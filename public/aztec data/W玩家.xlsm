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fishluv_svn_repository\Aztec\trunk\public\app_data\xls\"/>
    </mc:Choice>
  </mc:AlternateContent>
  <bookViews>
    <workbookView xWindow="0" yWindow="0" windowWidth="28800" windowHeight="11880" activeTab="2"/>
  </bookViews>
  <sheets>
    <sheet name="更新" sheetId="9" r:id="rId1"/>
    <sheet name="备注" sheetId="8" r:id="rId2"/>
    <sheet name="GolbalData" sheetId="1" r:id="rId3"/>
    <sheet name="PlayerLevel" sheetId="6" r:id="rId4"/>
    <sheet name="导出CSV" sheetId="10" r:id="rId5"/>
    <sheet name="宝箱循环" sheetId="11" r:id="rId6"/>
    <sheet name="价格" sheetId="12" r:id="rId7"/>
    <sheet name="联盟图标" sheetId="13" r:id="rId8"/>
    <sheet name="相扑" sheetId="14" r:id="rId9"/>
  </sheets>
  <definedNames>
    <definedName name="本地引用_全局">#REF!</definedName>
    <definedName name="买金币">#REF!</definedName>
    <definedName name="买体力">#REF!</definedName>
    <definedName name="买元宝">#REF!</definedName>
    <definedName name="每天卡包1">宝箱循环!$AD$12</definedName>
    <definedName name="每天卡包2">宝箱循环!$AD$13</definedName>
    <definedName name="每天卡包3">宝箱循环!$AD$14</definedName>
    <definedName name="每天卡包4">宝箱循环!$AD$15</definedName>
  </definedNames>
  <calcPr calcId="152511" concurrentCalc="0"/>
</workbook>
</file>

<file path=xl/calcChain.xml><?xml version="1.0" encoding="utf-8"?>
<calcChain xmlns="http://schemas.openxmlformats.org/spreadsheetml/2006/main">
  <c r="F102" i="1" l="1"/>
  <c r="F92" i="1"/>
  <c r="F90" i="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L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T2" i="11"/>
  <c r="T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AA13" i="11"/>
  <c r="AA12" i="11"/>
  <c r="AC12" i="11"/>
  <c r="AC13" i="11"/>
  <c r="AA14" i="11"/>
  <c r="AC14" i="11"/>
  <c r="AA15" i="11"/>
  <c r="AC15" i="11"/>
  <c r="AC16" i="11"/>
  <c r="AD13" i="11"/>
  <c r="AD14" i="11"/>
  <c r="AD15" i="11"/>
  <c r="AD12" i="11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118" i="1"/>
  <c r="F219" i="1"/>
  <c r="F218" i="1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12" i="14"/>
  <c r="F11" i="14"/>
  <c r="F3" i="13"/>
  <c r="F4" i="13"/>
  <c r="F5" i="13"/>
  <c r="F6" i="13"/>
  <c r="F7" i="13"/>
  <c r="F8" i="13"/>
  <c r="F9" i="13"/>
  <c r="F10" i="13"/>
  <c r="F11" i="13"/>
  <c r="F2" i="13"/>
  <c r="F94" i="1"/>
  <c r="F33" i="1"/>
  <c r="G35" i="6"/>
  <c r="G39" i="6"/>
  <c r="G43" i="6"/>
  <c r="G47" i="6"/>
  <c r="G51" i="6"/>
  <c r="G55" i="6"/>
  <c r="G59" i="6"/>
  <c r="G63" i="6"/>
  <c r="G67" i="6"/>
  <c r="G71" i="6"/>
  <c r="G75" i="6"/>
  <c r="G79" i="6"/>
  <c r="G83" i="6"/>
  <c r="G87" i="6"/>
  <c r="G91" i="6"/>
  <c r="G95" i="6"/>
  <c r="G99" i="6"/>
  <c r="G103" i="6"/>
  <c r="G107" i="6"/>
  <c r="G111" i="6"/>
  <c r="G115" i="6"/>
  <c r="G119" i="6"/>
  <c r="G123" i="6"/>
  <c r="G127" i="6"/>
  <c r="G131" i="6"/>
  <c r="G135" i="6"/>
  <c r="G139" i="6"/>
  <c r="G143" i="6"/>
  <c r="G147" i="6"/>
  <c r="G151" i="6"/>
  <c r="G155" i="6"/>
  <c r="G159" i="6"/>
  <c r="G163" i="6"/>
  <c r="G167" i="6"/>
  <c r="G171" i="6"/>
  <c r="G175" i="6"/>
  <c r="G179" i="6"/>
  <c r="G183" i="6"/>
  <c r="G187" i="6"/>
  <c r="G191" i="6"/>
  <c r="G195" i="6"/>
  <c r="G199" i="6"/>
  <c r="G203" i="6"/>
  <c r="G207" i="6"/>
  <c r="G211" i="6"/>
  <c r="G215" i="6"/>
  <c r="G219" i="6"/>
  <c r="G223" i="6"/>
  <c r="G227" i="6"/>
  <c r="G231" i="6"/>
  <c r="G235" i="6"/>
  <c r="G239" i="6"/>
  <c r="G243" i="6"/>
  <c r="G247" i="6"/>
  <c r="G251" i="6"/>
  <c r="G255" i="6"/>
  <c r="G259" i="6"/>
  <c r="G263" i="6"/>
  <c r="G267" i="6"/>
  <c r="G271" i="6"/>
  <c r="G275" i="6"/>
  <c r="G279" i="6"/>
  <c r="G283" i="6"/>
  <c r="G287" i="6"/>
  <c r="G291" i="6"/>
  <c r="G295" i="6"/>
  <c r="G299" i="6"/>
  <c r="G303" i="6"/>
  <c r="G31" i="6"/>
  <c r="G30" i="6"/>
  <c r="G34" i="6"/>
  <c r="G38" i="6"/>
  <c r="G42" i="6"/>
  <c r="G46" i="6"/>
  <c r="G50" i="6"/>
  <c r="G54" i="6"/>
  <c r="G58" i="6"/>
  <c r="G62" i="6"/>
  <c r="G66" i="6"/>
  <c r="G70" i="6"/>
  <c r="G74" i="6"/>
  <c r="G78" i="6"/>
  <c r="G82" i="6"/>
  <c r="G86" i="6"/>
  <c r="G90" i="6"/>
  <c r="G94" i="6"/>
  <c r="G98" i="6"/>
  <c r="G102" i="6"/>
  <c r="G106" i="6"/>
  <c r="G110" i="6"/>
  <c r="G114" i="6"/>
  <c r="G118" i="6"/>
  <c r="G122" i="6"/>
  <c r="G126" i="6"/>
  <c r="G130" i="6"/>
  <c r="G134" i="6"/>
  <c r="G138" i="6"/>
  <c r="G142" i="6"/>
  <c r="G146" i="6"/>
  <c r="G150" i="6"/>
  <c r="G154" i="6"/>
  <c r="G158" i="6"/>
  <c r="G162" i="6"/>
  <c r="G166" i="6"/>
  <c r="G170" i="6"/>
  <c r="G174" i="6"/>
  <c r="G178" i="6"/>
  <c r="G182" i="6"/>
  <c r="G186" i="6"/>
  <c r="G190" i="6"/>
  <c r="G194" i="6"/>
  <c r="G198" i="6"/>
  <c r="G202" i="6"/>
  <c r="G206" i="6"/>
  <c r="G210" i="6"/>
  <c r="G214" i="6"/>
  <c r="G218" i="6"/>
  <c r="G222" i="6"/>
  <c r="G226" i="6"/>
  <c r="G230" i="6"/>
  <c r="G234" i="6"/>
  <c r="G238" i="6"/>
  <c r="G242" i="6"/>
  <c r="G246" i="6"/>
  <c r="G250" i="6"/>
  <c r="G254" i="6"/>
  <c r="G258" i="6"/>
  <c r="G262" i="6"/>
  <c r="G266" i="6"/>
  <c r="G270" i="6"/>
  <c r="G274" i="6"/>
  <c r="G278" i="6"/>
  <c r="G282" i="6"/>
  <c r="G286" i="6"/>
  <c r="G290" i="6"/>
  <c r="G294" i="6"/>
  <c r="G298" i="6"/>
  <c r="G302" i="6"/>
  <c r="G306" i="6"/>
  <c r="G29" i="6"/>
  <c r="G33" i="6"/>
  <c r="G37" i="6"/>
  <c r="G41" i="6"/>
  <c r="G45" i="6"/>
  <c r="G49" i="6"/>
  <c r="G53" i="6"/>
  <c r="G57" i="6"/>
  <c r="G61" i="6"/>
  <c r="G65" i="6"/>
  <c r="G69" i="6"/>
  <c r="G73" i="6"/>
  <c r="G77" i="6"/>
  <c r="G81" i="6"/>
  <c r="G85" i="6"/>
  <c r="G89" i="6"/>
  <c r="G93" i="6"/>
  <c r="G97" i="6"/>
  <c r="G101" i="6"/>
  <c r="G105" i="6"/>
  <c r="G109" i="6"/>
  <c r="G113" i="6"/>
  <c r="G117" i="6"/>
  <c r="G121" i="6"/>
  <c r="G125" i="6"/>
  <c r="G129" i="6"/>
  <c r="G133" i="6"/>
  <c r="G137" i="6"/>
  <c r="G141" i="6"/>
  <c r="G145" i="6"/>
  <c r="G149" i="6"/>
  <c r="G153" i="6"/>
  <c r="G157" i="6"/>
  <c r="G161" i="6"/>
  <c r="G165" i="6"/>
  <c r="G169" i="6"/>
  <c r="G173" i="6"/>
  <c r="G177" i="6"/>
  <c r="G181" i="6"/>
  <c r="G185" i="6"/>
  <c r="G189" i="6"/>
  <c r="G193" i="6"/>
  <c r="G197" i="6"/>
  <c r="G201" i="6"/>
  <c r="G205" i="6"/>
  <c r="G209" i="6"/>
  <c r="G213" i="6"/>
  <c r="G217" i="6"/>
  <c r="G221" i="6"/>
  <c r="G225" i="6"/>
  <c r="G229" i="6"/>
  <c r="G233" i="6"/>
  <c r="G237" i="6"/>
  <c r="G241" i="6"/>
  <c r="G245" i="6"/>
  <c r="G249" i="6"/>
  <c r="G253" i="6"/>
  <c r="G257" i="6"/>
  <c r="G261" i="6"/>
  <c r="G265" i="6"/>
  <c r="G269" i="6"/>
  <c r="G273" i="6"/>
  <c r="G277" i="6"/>
  <c r="G281" i="6"/>
  <c r="G285" i="6"/>
  <c r="G289" i="6"/>
  <c r="G293" i="6"/>
  <c r="G297" i="6"/>
  <c r="G301" i="6"/>
  <c r="G305" i="6"/>
  <c r="G28" i="6"/>
  <c r="G32" i="6"/>
  <c r="G36" i="6"/>
  <c r="G40" i="6"/>
  <c r="G44" i="6"/>
  <c r="G48" i="6"/>
  <c r="G52" i="6"/>
  <c r="G56" i="6"/>
  <c r="G60" i="6"/>
  <c r="G64" i="6"/>
  <c r="G68" i="6"/>
  <c r="G72" i="6"/>
  <c r="G76" i="6"/>
  <c r="G80" i="6"/>
  <c r="G84" i="6"/>
  <c r="G88" i="6"/>
  <c r="G92" i="6"/>
  <c r="G96" i="6"/>
  <c r="G100" i="6"/>
  <c r="G104" i="6"/>
  <c r="G108" i="6"/>
  <c r="G112" i="6"/>
  <c r="G116" i="6"/>
  <c r="G120" i="6"/>
  <c r="G124" i="6"/>
  <c r="G128" i="6"/>
  <c r="G132" i="6"/>
  <c r="G136" i="6"/>
  <c r="G140" i="6"/>
  <c r="G144" i="6"/>
  <c r="G148" i="6"/>
  <c r="G152" i="6"/>
  <c r="G156" i="6"/>
  <c r="G160" i="6"/>
  <c r="G164" i="6"/>
  <c r="G168" i="6"/>
  <c r="G172" i="6"/>
  <c r="G176" i="6"/>
  <c r="G180" i="6"/>
  <c r="G184" i="6"/>
  <c r="G188" i="6"/>
  <c r="G192" i="6"/>
  <c r="G196" i="6"/>
  <c r="G200" i="6"/>
  <c r="G204" i="6"/>
  <c r="G208" i="6"/>
  <c r="G212" i="6"/>
  <c r="G216" i="6"/>
  <c r="G220" i="6"/>
  <c r="G224" i="6"/>
  <c r="G228" i="6"/>
  <c r="G232" i="6"/>
  <c r="G236" i="6"/>
  <c r="G240" i="6"/>
  <c r="G244" i="6"/>
  <c r="G248" i="6"/>
  <c r="G252" i="6"/>
  <c r="G256" i="6"/>
  <c r="G260" i="6"/>
  <c r="G264" i="6"/>
  <c r="G268" i="6"/>
  <c r="G272" i="6"/>
  <c r="G276" i="6"/>
  <c r="G280" i="6"/>
  <c r="G284" i="6"/>
  <c r="G288" i="6"/>
  <c r="G292" i="6"/>
  <c r="G296" i="6"/>
  <c r="G300" i="6"/>
  <c r="G304" i="6"/>
  <c r="G27" i="6"/>
  <c r="G26" i="6"/>
  <c r="G23" i="6"/>
  <c r="G24" i="6"/>
  <c r="G12" i="6"/>
  <c r="G13" i="6"/>
  <c r="G14" i="6"/>
  <c r="G15" i="6"/>
  <c r="G16" i="6"/>
  <c r="G17" i="6"/>
  <c r="G18" i="6"/>
  <c r="G19" i="6"/>
  <c r="G20" i="6"/>
  <c r="G21" i="6"/>
  <c r="G22" i="6"/>
  <c r="G11" i="6"/>
  <c r="F17" i="6"/>
  <c r="F21" i="6"/>
  <c r="F25" i="6"/>
  <c r="F29" i="6"/>
  <c r="F33" i="6"/>
  <c r="F37" i="6"/>
  <c r="F41" i="6"/>
  <c r="F45" i="6"/>
  <c r="F49" i="6"/>
  <c r="F53" i="6"/>
  <c r="F57" i="6"/>
  <c r="F61" i="6"/>
  <c r="F65" i="6"/>
  <c r="F69" i="6"/>
  <c r="F73" i="6"/>
  <c r="F77" i="6"/>
  <c r="F81" i="6"/>
  <c r="F85" i="6"/>
  <c r="F89" i="6"/>
  <c r="F93" i="6"/>
  <c r="F97" i="6"/>
  <c r="F101" i="6"/>
  <c r="F105" i="6"/>
  <c r="F109" i="6"/>
  <c r="F113" i="6"/>
  <c r="F117" i="6"/>
  <c r="F121" i="6"/>
  <c r="F125" i="6"/>
  <c r="F129" i="6"/>
  <c r="F133" i="6"/>
  <c r="F137" i="6"/>
  <c r="F141" i="6"/>
  <c r="F145" i="6"/>
  <c r="F149" i="6"/>
  <c r="F153" i="6"/>
  <c r="F157" i="6"/>
  <c r="F161" i="6"/>
  <c r="F165" i="6"/>
  <c r="F169" i="6"/>
  <c r="F173" i="6"/>
  <c r="F177" i="6"/>
  <c r="F181" i="6"/>
  <c r="F185" i="6"/>
  <c r="F189" i="6"/>
  <c r="F193" i="6"/>
  <c r="F197" i="6"/>
  <c r="F201" i="6"/>
  <c r="F205" i="6"/>
  <c r="F209" i="6"/>
  <c r="F213" i="6"/>
  <c r="F217" i="6"/>
  <c r="F221" i="6"/>
  <c r="F225" i="6"/>
  <c r="F229" i="6"/>
  <c r="F233" i="6"/>
  <c r="F237" i="6"/>
  <c r="F241" i="6"/>
  <c r="F245" i="6"/>
  <c r="F249" i="6"/>
  <c r="F253" i="6"/>
  <c r="F257" i="6"/>
  <c r="F261" i="6"/>
  <c r="F265" i="6"/>
  <c r="F269" i="6"/>
  <c r="F273" i="6"/>
  <c r="F277" i="6"/>
  <c r="F281" i="6"/>
  <c r="F285" i="6"/>
  <c r="F289" i="6"/>
  <c r="F293" i="6"/>
  <c r="F297" i="6"/>
  <c r="F301" i="6"/>
  <c r="F305" i="6"/>
  <c r="F13" i="6"/>
  <c r="F14" i="6"/>
  <c r="F18" i="6"/>
  <c r="F22" i="6"/>
  <c r="F26" i="6"/>
  <c r="F30" i="6"/>
  <c r="F34" i="6"/>
  <c r="F38" i="6"/>
  <c r="F42" i="6"/>
  <c r="F46" i="6"/>
  <c r="F50" i="6"/>
  <c r="F54" i="6"/>
  <c r="F58" i="6"/>
  <c r="F62" i="6"/>
  <c r="F66" i="6"/>
  <c r="F70" i="6"/>
  <c r="F74" i="6"/>
  <c r="F78" i="6"/>
  <c r="F82" i="6"/>
  <c r="F86" i="6"/>
  <c r="F90" i="6"/>
  <c r="F94" i="6"/>
  <c r="F98" i="6"/>
  <c r="F102" i="6"/>
  <c r="F106" i="6"/>
  <c r="F110" i="6"/>
  <c r="F114" i="6"/>
  <c r="F118" i="6"/>
  <c r="F122" i="6"/>
  <c r="F126" i="6"/>
  <c r="F130" i="6"/>
  <c r="F134" i="6"/>
  <c r="F138" i="6"/>
  <c r="F142" i="6"/>
  <c r="F146" i="6"/>
  <c r="F150" i="6"/>
  <c r="F154" i="6"/>
  <c r="F158" i="6"/>
  <c r="F162" i="6"/>
  <c r="F166" i="6"/>
  <c r="F170" i="6"/>
  <c r="F174" i="6"/>
  <c r="F178" i="6"/>
  <c r="F182" i="6"/>
  <c r="F186" i="6"/>
  <c r="F190" i="6"/>
  <c r="F194" i="6"/>
  <c r="F198" i="6"/>
  <c r="F202" i="6"/>
  <c r="F206" i="6"/>
  <c r="F210" i="6"/>
  <c r="F214" i="6"/>
  <c r="F218" i="6"/>
  <c r="F222" i="6"/>
  <c r="F226" i="6"/>
  <c r="F230" i="6"/>
  <c r="F234" i="6"/>
  <c r="F238" i="6"/>
  <c r="F242" i="6"/>
  <c r="F246" i="6"/>
  <c r="F250" i="6"/>
  <c r="F254" i="6"/>
  <c r="F258" i="6"/>
  <c r="F262" i="6"/>
  <c r="F266" i="6"/>
  <c r="F270" i="6"/>
  <c r="F274" i="6"/>
  <c r="F278" i="6"/>
  <c r="F282" i="6"/>
  <c r="F286" i="6"/>
  <c r="F290" i="6"/>
  <c r="F294" i="6"/>
  <c r="F298" i="6"/>
  <c r="F302" i="6"/>
  <c r="F306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68" i="6"/>
  <c r="E72" i="6"/>
  <c r="E76" i="6"/>
  <c r="E80" i="6"/>
  <c r="E84" i="6"/>
  <c r="E88" i="6"/>
  <c r="E92" i="6"/>
  <c r="E96" i="6"/>
  <c r="E100" i="6"/>
  <c r="E104" i="6"/>
  <c r="E108" i="6"/>
  <c r="E112" i="6"/>
  <c r="E116" i="6"/>
  <c r="E120" i="6"/>
  <c r="E124" i="6"/>
  <c r="E128" i="6"/>
  <c r="E132" i="6"/>
  <c r="E136" i="6"/>
  <c r="E140" i="6"/>
  <c r="E144" i="6"/>
  <c r="E148" i="6"/>
  <c r="E152" i="6"/>
  <c r="E156" i="6"/>
  <c r="E160" i="6"/>
  <c r="E164" i="6"/>
  <c r="E168" i="6"/>
  <c r="E172" i="6"/>
  <c r="E176" i="6"/>
  <c r="E180" i="6"/>
  <c r="E184" i="6"/>
  <c r="E188" i="6"/>
  <c r="E192" i="6"/>
  <c r="E196" i="6"/>
  <c r="E200" i="6"/>
  <c r="E204" i="6"/>
  <c r="E208" i="6"/>
  <c r="E212" i="6"/>
  <c r="E216" i="6"/>
  <c r="E220" i="6"/>
  <c r="E224" i="6"/>
  <c r="E228" i="6"/>
  <c r="E232" i="6"/>
  <c r="E236" i="6"/>
  <c r="E240" i="6"/>
  <c r="E244" i="6"/>
  <c r="E248" i="6"/>
  <c r="E252" i="6"/>
  <c r="E256" i="6"/>
  <c r="E260" i="6"/>
  <c r="E264" i="6"/>
  <c r="E268" i="6"/>
  <c r="E272" i="6"/>
  <c r="E276" i="6"/>
  <c r="E280" i="6"/>
  <c r="E284" i="6"/>
  <c r="E288" i="6"/>
  <c r="E292" i="6"/>
  <c r="E296" i="6"/>
  <c r="E300" i="6"/>
  <c r="E304" i="6"/>
  <c r="E13" i="6"/>
  <c r="E17" i="6"/>
  <c r="E21" i="6"/>
  <c r="E25" i="6"/>
  <c r="E29" i="6"/>
  <c r="E33" i="6"/>
  <c r="E37" i="6"/>
  <c r="E41" i="6"/>
  <c r="E45" i="6"/>
  <c r="E49" i="6"/>
  <c r="E53" i="6"/>
  <c r="E57" i="6"/>
  <c r="E61" i="6"/>
  <c r="E65" i="6"/>
  <c r="E69" i="6"/>
  <c r="E73" i="6"/>
  <c r="E77" i="6"/>
  <c r="E81" i="6"/>
  <c r="E85" i="6"/>
  <c r="E89" i="6"/>
  <c r="E93" i="6"/>
  <c r="E97" i="6"/>
  <c r="E101" i="6"/>
  <c r="E105" i="6"/>
  <c r="E109" i="6"/>
  <c r="E113" i="6"/>
  <c r="E117" i="6"/>
  <c r="E121" i="6"/>
  <c r="E125" i="6"/>
  <c r="E129" i="6"/>
  <c r="E133" i="6"/>
  <c r="E137" i="6"/>
  <c r="E141" i="6"/>
  <c r="E145" i="6"/>
  <c r="E149" i="6"/>
  <c r="E153" i="6"/>
  <c r="E157" i="6"/>
  <c r="E161" i="6"/>
  <c r="E165" i="6"/>
  <c r="E169" i="6"/>
  <c r="E173" i="6"/>
  <c r="E177" i="6"/>
  <c r="E181" i="6"/>
  <c r="E185" i="6"/>
  <c r="E189" i="6"/>
  <c r="E193" i="6"/>
  <c r="E197" i="6"/>
  <c r="E201" i="6"/>
  <c r="E205" i="6"/>
  <c r="E209" i="6"/>
  <c r="E213" i="6"/>
  <c r="E217" i="6"/>
  <c r="E221" i="6"/>
  <c r="E225" i="6"/>
  <c r="E229" i="6"/>
  <c r="E233" i="6"/>
  <c r="E237" i="6"/>
  <c r="E241" i="6"/>
  <c r="E245" i="6"/>
  <c r="E249" i="6"/>
  <c r="E253" i="6"/>
  <c r="E257" i="6"/>
  <c r="E261" i="6"/>
  <c r="E265" i="6"/>
  <c r="E269" i="6"/>
  <c r="E273" i="6"/>
  <c r="E277" i="6"/>
  <c r="E281" i="6"/>
  <c r="E285" i="6"/>
  <c r="E289" i="6"/>
  <c r="E293" i="6"/>
  <c r="E297" i="6"/>
  <c r="E301" i="6"/>
  <c r="E305" i="6"/>
  <c r="E14" i="6"/>
  <c r="E18" i="6"/>
  <c r="E22" i="6"/>
  <c r="E26" i="6"/>
  <c r="E30" i="6"/>
  <c r="E34" i="6"/>
  <c r="E38" i="6"/>
  <c r="E42" i="6"/>
  <c r="E46" i="6"/>
  <c r="E50" i="6"/>
  <c r="E54" i="6"/>
  <c r="E58" i="6"/>
  <c r="E62" i="6"/>
  <c r="E66" i="6"/>
  <c r="E70" i="6"/>
  <c r="E74" i="6"/>
  <c r="E78" i="6"/>
  <c r="E82" i="6"/>
  <c r="E86" i="6"/>
  <c r="E90" i="6"/>
  <c r="E94" i="6"/>
  <c r="E98" i="6"/>
  <c r="E102" i="6"/>
  <c r="E106" i="6"/>
  <c r="E110" i="6"/>
  <c r="E114" i="6"/>
  <c r="E118" i="6"/>
  <c r="E122" i="6"/>
  <c r="E126" i="6"/>
  <c r="E130" i="6"/>
  <c r="E134" i="6"/>
  <c r="E138" i="6"/>
  <c r="E142" i="6"/>
  <c r="E146" i="6"/>
  <c r="E150" i="6"/>
  <c r="E154" i="6"/>
  <c r="E158" i="6"/>
  <c r="E162" i="6"/>
  <c r="E166" i="6"/>
  <c r="E170" i="6"/>
  <c r="E174" i="6"/>
  <c r="E178" i="6"/>
  <c r="E182" i="6"/>
  <c r="E186" i="6"/>
  <c r="E190" i="6"/>
  <c r="E194" i="6"/>
  <c r="E198" i="6"/>
  <c r="E202" i="6"/>
  <c r="E206" i="6"/>
  <c r="E210" i="6"/>
  <c r="E214" i="6"/>
  <c r="E218" i="6"/>
  <c r="E222" i="6"/>
  <c r="E226" i="6"/>
  <c r="E230" i="6"/>
  <c r="E234" i="6"/>
  <c r="E238" i="6"/>
  <c r="E242" i="6"/>
  <c r="E246" i="6"/>
  <c r="E250" i="6"/>
  <c r="E254" i="6"/>
  <c r="E258" i="6"/>
  <c r="E262" i="6"/>
  <c r="E266" i="6"/>
  <c r="E270" i="6"/>
  <c r="E274" i="6"/>
  <c r="E278" i="6"/>
  <c r="E282" i="6"/>
  <c r="E286" i="6"/>
  <c r="E290" i="6"/>
  <c r="E294" i="6"/>
  <c r="E298" i="6"/>
  <c r="E302" i="6"/>
  <c r="E306" i="6"/>
  <c r="E11" i="6"/>
  <c r="E15" i="6"/>
  <c r="E19" i="6"/>
  <c r="E23" i="6"/>
  <c r="E27" i="6"/>
  <c r="E31" i="6"/>
  <c r="E35" i="6"/>
  <c r="E39" i="6"/>
  <c r="E43" i="6"/>
  <c r="E47" i="6"/>
  <c r="E51" i="6"/>
  <c r="E55" i="6"/>
  <c r="E59" i="6"/>
  <c r="E63" i="6"/>
  <c r="E67" i="6"/>
  <c r="E71" i="6"/>
  <c r="E75" i="6"/>
  <c r="E79" i="6"/>
  <c r="E83" i="6"/>
  <c r="E87" i="6"/>
  <c r="E91" i="6"/>
  <c r="E95" i="6"/>
  <c r="E99" i="6"/>
  <c r="E103" i="6"/>
  <c r="E107" i="6"/>
  <c r="E111" i="6"/>
  <c r="E115" i="6"/>
  <c r="E119" i="6"/>
  <c r="E123" i="6"/>
  <c r="E127" i="6"/>
  <c r="E131" i="6"/>
  <c r="E135" i="6"/>
  <c r="E139" i="6"/>
  <c r="E143" i="6"/>
  <c r="E147" i="6"/>
  <c r="E151" i="6"/>
  <c r="E155" i="6"/>
  <c r="E159" i="6"/>
  <c r="E163" i="6"/>
  <c r="E167" i="6"/>
  <c r="E171" i="6"/>
  <c r="E175" i="6"/>
  <c r="E179" i="6"/>
  <c r="E183" i="6"/>
  <c r="E187" i="6"/>
  <c r="E191" i="6"/>
  <c r="E195" i="6"/>
  <c r="E199" i="6"/>
  <c r="E203" i="6"/>
  <c r="E207" i="6"/>
  <c r="E211" i="6"/>
  <c r="E215" i="6"/>
  <c r="E219" i="6"/>
  <c r="E223" i="6"/>
  <c r="E227" i="6"/>
  <c r="E231" i="6"/>
  <c r="E235" i="6"/>
  <c r="E239" i="6"/>
  <c r="E243" i="6"/>
  <c r="E247" i="6"/>
  <c r="E251" i="6"/>
  <c r="E255" i="6"/>
  <c r="E259" i="6"/>
  <c r="E263" i="6"/>
  <c r="E267" i="6"/>
  <c r="E271" i="6"/>
  <c r="E275" i="6"/>
  <c r="E279" i="6"/>
  <c r="E283" i="6"/>
  <c r="E287" i="6"/>
  <c r="E291" i="6"/>
  <c r="E295" i="6"/>
  <c r="E299" i="6"/>
  <c r="E303" i="6"/>
  <c r="K28" i="6"/>
  <c r="K31" i="6"/>
  <c r="K34" i="6"/>
  <c r="K37" i="6"/>
  <c r="K40" i="6"/>
  <c r="K43" i="6"/>
  <c r="K46" i="6"/>
  <c r="K49" i="6"/>
  <c r="K52" i="6"/>
  <c r="K55" i="6"/>
  <c r="K58" i="6"/>
  <c r="K61" i="6"/>
  <c r="K64" i="6"/>
  <c r="K67" i="6"/>
  <c r="K70" i="6"/>
  <c r="K73" i="6"/>
  <c r="K76" i="6"/>
  <c r="K79" i="6"/>
  <c r="K82" i="6"/>
  <c r="K85" i="6"/>
  <c r="K88" i="6"/>
  <c r="K91" i="6"/>
  <c r="K94" i="6"/>
  <c r="K97" i="6"/>
  <c r="K100" i="6"/>
  <c r="K103" i="6"/>
  <c r="K106" i="6"/>
  <c r="K109" i="6"/>
  <c r="K112" i="6"/>
  <c r="K115" i="6"/>
  <c r="K118" i="6"/>
  <c r="K121" i="6"/>
  <c r="K124" i="6"/>
  <c r="K127" i="6"/>
  <c r="K130" i="6"/>
  <c r="K133" i="6"/>
  <c r="K136" i="6"/>
  <c r="K139" i="6"/>
  <c r="K142" i="6"/>
  <c r="K145" i="6"/>
  <c r="K148" i="6"/>
  <c r="K151" i="6"/>
  <c r="K154" i="6"/>
  <c r="K157" i="6"/>
  <c r="K160" i="6"/>
  <c r="K163" i="6"/>
  <c r="K166" i="6"/>
  <c r="K169" i="6"/>
  <c r="K172" i="6"/>
  <c r="K175" i="6"/>
  <c r="K178" i="6"/>
  <c r="K181" i="6"/>
  <c r="K184" i="6"/>
  <c r="K187" i="6"/>
  <c r="K190" i="6"/>
  <c r="K193" i="6"/>
  <c r="K196" i="6"/>
  <c r="K199" i="6"/>
  <c r="K202" i="6"/>
  <c r="K205" i="6"/>
  <c r="K208" i="6"/>
  <c r="K211" i="6"/>
  <c r="K214" i="6"/>
  <c r="K217" i="6"/>
  <c r="K220" i="6"/>
  <c r="K223" i="6"/>
  <c r="K226" i="6"/>
  <c r="K229" i="6"/>
  <c r="K232" i="6"/>
  <c r="K235" i="6"/>
  <c r="K238" i="6"/>
  <c r="K241" i="6"/>
  <c r="K244" i="6"/>
  <c r="K247" i="6"/>
  <c r="K250" i="6"/>
  <c r="K253" i="6"/>
  <c r="K256" i="6"/>
  <c r="K259" i="6"/>
  <c r="K262" i="6"/>
  <c r="K265" i="6"/>
  <c r="K268" i="6"/>
  <c r="K271" i="6"/>
  <c r="K274" i="6"/>
  <c r="K277" i="6"/>
  <c r="K280" i="6"/>
  <c r="K283" i="6"/>
  <c r="K286" i="6"/>
  <c r="K289" i="6"/>
  <c r="K292" i="6"/>
  <c r="K295" i="6"/>
  <c r="K298" i="6"/>
  <c r="K301" i="6"/>
  <c r="K304" i="6"/>
  <c r="K307" i="6"/>
  <c r="F7" i="6"/>
  <c r="F11" i="6"/>
  <c r="F15" i="6"/>
  <c r="F19" i="6"/>
  <c r="F23" i="6"/>
  <c r="F27" i="6"/>
  <c r="F31" i="6"/>
  <c r="F35" i="6"/>
  <c r="F39" i="6"/>
  <c r="F43" i="6"/>
  <c r="F47" i="6"/>
  <c r="F51" i="6"/>
  <c r="F55" i="6"/>
  <c r="F59" i="6"/>
  <c r="F63" i="6"/>
  <c r="F67" i="6"/>
  <c r="F71" i="6"/>
  <c r="F75" i="6"/>
  <c r="F79" i="6"/>
  <c r="F83" i="6"/>
  <c r="F87" i="6"/>
  <c r="F91" i="6"/>
  <c r="F95" i="6"/>
  <c r="F99" i="6"/>
  <c r="F103" i="6"/>
  <c r="F107" i="6"/>
  <c r="F111" i="6"/>
  <c r="F115" i="6"/>
  <c r="F119" i="6"/>
  <c r="F123" i="6"/>
  <c r="F127" i="6"/>
  <c r="F131" i="6"/>
  <c r="F135" i="6"/>
  <c r="F139" i="6"/>
  <c r="F143" i="6"/>
  <c r="F147" i="6"/>
  <c r="F151" i="6"/>
  <c r="F155" i="6"/>
  <c r="F159" i="6"/>
  <c r="F163" i="6"/>
  <c r="F167" i="6"/>
  <c r="F171" i="6"/>
  <c r="F175" i="6"/>
  <c r="F179" i="6"/>
  <c r="F183" i="6"/>
  <c r="F187" i="6"/>
  <c r="F191" i="6"/>
  <c r="F195" i="6"/>
  <c r="F199" i="6"/>
  <c r="F203" i="6"/>
  <c r="F207" i="6"/>
  <c r="F211" i="6"/>
  <c r="F215" i="6"/>
  <c r="F219" i="6"/>
  <c r="F223" i="6"/>
  <c r="F227" i="6"/>
  <c r="F231" i="6"/>
  <c r="F235" i="6"/>
  <c r="F239" i="6"/>
  <c r="F243" i="6"/>
  <c r="F247" i="6"/>
  <c r="F251" i="6"/>
  <c r="F255" i="6"/>
  <c r="F259" i="6"/>
  <c r="F263" i="6"/>
  <c r="F267" i="6"/>
  <c r="F271" i="6"/>
  <c r="F275" i="6"/>
  <c r="F279" i="6"/>
  <c r="F283" i="6"/>
  <c r="F287" i="6"/>
  <c r="F291" i="6"/>
  <c r="F295" i="6"/>
  <c r="F299" i="6"/>
  <c r="F303" i="6"/>
  <c r="F8" i="6"/>
  <c r="F12" i="6"/>
  <c r="F16" i="6"/>
  <c r="F20" i="6"/>
  <c r="F24" i="6"/>
  <c r="F28" i="6"/>
  <c r="F32" i="6"/>
  <c r="F36" i="6"/>
  <c r="F40" i="6"/>
  <c r="F44" i="6"/>
  <c r="F48" i="6"/>
  <c r="F52" i="6"/>
  <c r="F56" i="6"/>
  <c r="F60" i="6"/>
  <c r="F64" i="6"/>
  <c r="F68" i="6"/>
  <c r="F72" i="6"/>
  <c r="F76" i="6"/>
  <c r="F80" i="6"/>
  <c r="F84" i="6"/>
  <c r="F88" i="6"/>
  <c r="F92" i="6"/>
  <c r="F96" i="6"/>
  <c r="F100" i="6"/>
  <c r="F104" i="6"/>
  <c r="F108" i="6"/>
  <c r="F112" i="6"/>
  <c r="F116" i="6"/>
  <c r="F120" i="6"/>
  <c r="F124" i="6"/>
  <c r="F128" i="6"/>
  <c r="F132" i="6"/>
  <c r="F136" i="6"/>
  <c r="F140" i="6"/>
  <c r="F144" i="6"/>
  <c r="F148" i="6"/>
  <c r="F152" i="6"/>
  <c r="F156" i="6"/>
  <c r="F160" i="6"/>
  <c r="F164" i="6"/>
  <c r="F168" i="6"/>
  <c r="F172" i="6"/>
  <c r="F176" i="6"/>
  <c r="F180" i="6"/>
  <c r="F184" i="6"/>
  <c r="F188" i="6"/>
  <c r="F192" i="6"/>
  <c r="F196" i="6"/>
  <c r="F200" i="6"/>
  <c r="F204" i="6"/>
  <c r="F208" i="6"/>
  <c r="F212" i="6"/>
  <c r="F216" i="6"/>
  <c r="F220" i="6"/>
  <c r="F224" i="6"/>
  <c r="F228" i="6"/>
  <c r="F232" i="6"/>
  <c r="F236" i="6"/>
  <c r="F240" i="6"/>
  <c r="F244" i="6"/>
  <c r="F248" i="6"/>
  <c r="F252" i="6"/>
  <c r="F256" i="6"/>
  <c r="F260" i="6"/>
  <c r="F264" i="6"/>
  <c r="F268" i="6"/>
  <c r="F272" i="6"/>
  <c r="F276" i="6"/>
  <c r="F280" i="6"/>
  <c r="F284" i="6"/>
  <c r="F288" i="6"/>
  <c r="F292" i="6"/>
  <c r="F296" i="6"/>
  <c r="F300" i="6"/>
  <c r="F304" i="6"/>
  <c r="F9" i="6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O8" i="6"/>
  <c r="O9" i="6"/>
  <c r="O10" i="6"/>
  <c r="O11" i="6"/>
  <c r="O12" i="6"/>
  <c r="O13" i="6"/>
  <c r="O14" i="6"/>
  <c r="O15" i="6"/>
  <c r="O16" i="6"/>
  <c r="O17" i="6"/>
  <c r="O18" i="6"/>
  <c r="O19" i="6"/>
  <c r="O7" i="6"/>
  <c r="F111" i="1"/>
  <c r="N10" i="12"/>
  <c r="N11" i="12"/>
  <c r="N12" i="12"/>
  <c r="N13" i="12"/>
  <c r="O10" i="12"/>
  <c r="O11" i="12"/>
  <c r="M10" i="12"/>
  <c r="AB12" i="12"/>
  <c r="AB11" i="12"/>
  <c r="AB10" i="12"/>
  <c r="G10" i="12"/>
  <c r="G11" i="12"/>
  <c r="G12" i="12"/>
  <c r="G13" i="12"/>
  <c r="G14" i="12"/>
  <c r="G15" i="12"/>
  <c r="O12" i="12"/>
  <c r="P10" i="12"/>
  <c r="N14" i="12"/>
  <c r="N15" i="12"/>
  <c r="Q15" i="12"/>
  <c r="AE10" i="12"/>
  <c r="Q13" i="12"/>
  <c r="M11" i="12"/>
  <c r="AE11" i="12"/>
  <c r="T11" i="12"/>
  <c r="W11" i="12"/>
  <c r="R10" i="12"/>
  <c r="T13" i="12"/>
  <c r="W13" i="12"/>
  <c r="R12" i="12"/>
  <c r="Q11" i="12"/>
  <c r="Q12" i="12"/>
  <c r="O13" i="12"/>
  <c r="R13" i="12"/>
  <c r="U12" i="12"/>
  <c r="X12" i="12"/>
  <c r="U10" i="12"/>
  <c r="X10" i="12"/>
  <c r="U11" i="12"/>
  <c r="X11" i="12"/>
  <c r="S10" i="12"/>
  <c r="V10" i="12"/>
  <c r="T10" i="12"/>
  <c r="W10" i="12"/>
  <c r="T12" i="12"/>
  <c r="W12" i="12"/>
  <c r="X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H38" i="1"/>
  <c r="T14" i="12"/>
  <c r="W14" i="12"/>
  <c r="P11" i="12"/>
  <c r="Q10" i="12"/>
  <c r="S11" i="12"/>
  <c r="V11" i="12"/>
  <c r="M12" i="12"/>
  <c r="Q14" i="12"/>
  <c r="R11" i="12"/>
  <c r="N16" i="12"/>
  <c r="Q16" i="12"/>
  <c r="T15" i="12"/>
  <c r="W15" i="12"/>
  <c r="O14" i="12"/>
  <c r="R14" i="12"/>
  <c r="U13" i="12"/>
  <c r="X13" i="12"/>
  <c r="M13" i="12"/>
  <c r="P12" i="12"/>
  <c r="S12" i="12"/>
  <c r="V12" i="12"/>
  <c r="O15" i="12"/>
  <c r="R15" i="12"/>
  <c r="U14" i="12"/>
  <c r="X14" i="12"/>
  <c r="N17" i="12"/>
  <c r="Q17" i="12"/>
  <c r="T16" i="12"/>
  <c r="W16" i="12"/>
  <c r="F36" i="1"/>
  <c r="M14" i="12"/>
  <c r="P13" i="12"/>
  <c r="S13" i="12"/>
  <c r="V13" i="12"/>
  <c r="N18" i="12"/>
  <c r="Q18" i="12"/>
  <c r="T17" i="12"/>
  <c r="W17" i="12"/>
  <c r="O16" i="12"/>
  <c r="R16" i="12"/>
  <c r="U15" i="12"/>
  <c r="X15" i="12"/>
  <c r="M15" i="12"/>
  <c r="P14" i="12"/>
  <c r="S14" i="12"/>
  <c r="V14" i="12"/>
  <c r="O17" i="12"/>
  <c r="R17" i="12"/>
  <c r="U16" i="12"/>
  <c r="X16" i="12"/>
  <c r="N19" i="12"/>
  <c r="Q19" i="12"/>
  <c r="T18" i="12"/>
  <c r="W18" i="12"/>
  <c r="B311" i="1"/>
  <c r="B312" i="1"/>
  <c r="M16" i="12"/>
  <c r="P15" i="12"/>
  <c r="S15" i="12"/>
  <c r="V15" i="12"/>
  <c r="N20" i="12"/>
  <c r="Q20" i="12"/>
  <c r="T19" i="12"/>
  <c r="W19" i="12"/>
  <c r="O18" i="12"/>
  <c r="R18" i="12"/>
  <c r="U17" i="12"/>
  <c r="X17" i="12"/>
  <c r="M17" i="12"/>
  <c r="P16" i="12"/>
  <c r="S16" i="12"/>
  <c r="V16" i="12"/>
  <c r="O19" i="12"/>
  <c r="U18" i="12"/>
  <c r="X18" i="12"/>
  <c r="N21" i="12"/>
  <c r="Q21" i="12"/>
  <c r="T20" i="12"/>
  <c r="W20" i="12"/>
  <c r="M18" i="12"/>
  <c r="P17" i="12"/>
  <c r="S17" i="12"/>
  <c r="V17" i="12"/>
  <c r="U19" i="12"/>
  <c r="X19" i="12"/>
  <c r="R19" i="12"/>
  <c r="N22" i="12"/>
  <c r="Q22" i="12"/>
  <c r="T21" i="12"/>
  <c r="W21" i="12"/>
  <c r="M19" i="12"/>
  <c r="S18" i="12"/>
  <c r="V18" i="12"/>
  <c r="P18" i="12"/>
  <c r="N23" i="12"/>
  <c r="Q23" i="12"/>
  <c r="T22" i="12"/>
  <c r="W22" i="12"/>
  <c r="M20" i="12"/>
  <c r="S19" i="12"/>
  <c r="V19" i="12"/>
  <c r="P19" i="12"/>
  <c r="N24" i="12"/>
  <c r="Q24" i="12"/>
  <c r="T23" i="12"/>
  <c r="W23" i="12"/>
  <c r="M21" i="12"/>
  <c r="S20" i="12"/>
  <c r="V20" i="12"/>
  <c r="P20" i="12"/>
  <c r="N25" i="12"/>
  <c r="Q25" i="12"/>
  <c r="T24" i="12"/>
  <c r="W24" i="12"/>
  <c r="M22" i="12"/>
  <c r="S21" i="12"/>
  <c r="V21" i="12"/>
  <c r="P21" i="12"/>
  <c r="N26" i="12"/>
  <c r="Q26" i="12"/>
  <c r="T25" i="12"/>
  <c r="W25" i="12"/>
  <c r="M23" i="12"/>
  <c r="P22" i="12"/>
  <c r="S22" i="12"/>
  <c r="V22" i="12"/>
  <c r="N27" i="12"/>
  <c r="Q27" i="12"/>
  <c r="T26" i="12"/>
  <c r="W26" i="12"/>
  <c r="M24" i="12"/>
  <c r="S23" i="12"/>
  <c r="V23" i="12"/>
  <c r="P23" i="12"/>
  <c r="N28" i="12"/>
  <c r="Q28" i="12"/>
  <c r="T27" i="12"/>
  <c r="W27" i="12"/>
  <c r="M25" i="12"/>
  <c r="P24" i="12"/>
  <c r="S24" i="12"/>
  <c r="V24" i="12"/>
  <c r="N29" i="12"/>
  <c r="T28" i="12"/>
  <c r="W28" i="12"/>
  <c r="M26" i="12"/>
  <c r="P25" i="12"/>
  <c r="S25" i="12"/>
  <c r="V25" i="12"/>
  <c r="T29" i="12"/>
  <c r="W29" i="12"/>
  <c r="Q29" i="12"/>
  <c r="M27" i="12"/>
  <c r="P26" i="12"/>
  <c r="S26" i="12"/>
  <c r="V26" i="12"/>
  <c r="M28" i="12"/>
  <c r="S27" i="12"/>
  <c r="V27" i="12"/>
  <c r="P27" i="12"/>
  <c r="M29" i="12"/>
  <c r="S28" i="12"/>
  <c r="V28" i="12"/>
  <c r="P28" i="12"/>
  <c r="M30" i="12"/>
  <c r="S29" i="12"/>
  <c r="V29" i="12"/>
  <c r="P29" i="12"/>
  <c r="M31" i="12"/>
  <c r="S30" i="12"/>
  <c r="V30" i="12"/>
  <c r="P30" i="12"/>
  <c r="M32" i="12"/>
  <c r="S31" i="12"/>
  <c r="V31" i="12"/>
  <c r="P31" i="12"/>
  <c r="M33" i="12"/>
  <c r="P32" i="12"/>
  <c r="S32" i="12"/>
  <c r="V32" i="12"/>
  <c r="M34" i="12"/>
  <c r="P33" i="12"/>
  <c r="S33" i="12"/>
  <c r="V33" i="12"/>
  <c r="M35" i="12"/>
  <c r="P34" i="12"/>
  <c r="S34" i="12"/>
  <c r="V34" i="12"/>
  <c r="M36" i="12"/>
  <c r="S35" i="12"/>
  <c r="V35" i="12"/>
  <c r="P35" i="12"/>
  <c r="M37" i="12"/>
  <c r="P36" i="12"/>
  <c r="S36" i="12"/>
  <c r="V36" i="12"/>
  <c r="M38" i="12"/>
  <c r="P37" i="12"/>
  <c r="S37" i="12"/>
  <c r="V37" i="12"/>
  <c r="M39" i="12"/>
  <c r="P38" i="12"/>
  <c r="S38" i="12"/>
  <c r="V38" i="12"/>
  <c r="M40" i="12"/>
  <c r="S39" i="12"/>
  <c r="V39" i="12"/>
  <c r="P39" i="12"/>
  <c r="M41" i="12"/>
  <c r="S40" i="12"/>
  <c r="V40" i="12"/>
  <c r="P40" i="12"/>
  <c r="M42" i="12"/>
  <c r="P41" i="12"/>
  <c r="S41" i="12"/>
  <c r="V41" i="12"/>
  <c r="M43" i="12"/>
  <c r="S42" i="12"/>
  <c r="V42" i="12"/>
  <c r="P42" i="12"/>
  <c r="M44" i="12"/>
  <c r="P43" i="12"/>
  <c r="S43" i="12"/>
  <c r="V43" i="12"/>
  <c r="M45" i="12"/>
  <c r="P44" i="12"/>
  <c r="S44" i="12"/>
  <c r="V44" i="12"/>
  <c r="M46" i="12"/>
  <c r="P45" i="12"/>
  <c r="S45" i="12"/>
  <c r="V45" i="12"/>
  <c r="M47" i="12"/>
  <c r="S46" i="12"/>
  <c r="V46" i="12"/>
  <c r="P46" i="12"/>
  <c r="M48" i="12"/>
  <c r="S47" i="12"/>
  <c r="V47" i="12"/>
  <c r="P47" i="12"/>
  <c r="M49" i="12"/>
  <c r="P48" i="12"/>
  <c r="S48" i="12"/>
  <c r="V48" i="12"/>
  <c r="M50" i="12"/>
  <c r="S49" i="12"/>
  <c r="V49" i="12"/>
  <c r="P49" i="12"/>
  <c r="M51" i="12"/>
  <c r="P50" i="12"/>
  <c r="S50" i="12"/>
  <c r="V50" i="12"/>
  <c r="M52" i="12"/>
  <c r="S51" i="12"/>
  <c r="V51" i="12"/>
  <c r="P51" i="12"/>
  <c r="M53" i="12"/>
  <c r="P52" i="12"/>
  <c r="S52" i="12"/>
  <c r="V52" i="12"/>
  <c r="M54" i="12"/>
  <c r="P53" i="12"/>
  <c r="S53" i="12"/>
  <c r="V53" i="12"/>
  <c r="M55" i="12"/>
  <c r="P54" i="12"/>
  <c r="S54" i="12"/>
  <c r="V54" i="12"/>
  <c r="M56" i="12"/>
  <c r="P55" i="12"/>
  <c r="S55" i="12"/>
  <c r="V55" i="12"/>
  <c r="M57" i="12"/>
  <c r="P56" i="12"/>
  <c r="S56" i="12"/>
  <c r="V56" i="12"/>
  <c r="M58" i="12"/>
  <c r="P57" i="12"/>
  <c r="S57" i="12"/>
  <c r="V57" i="12"/>
  <c r="M59" i="12"/>
  <c r="S58" i="12"/>
  <c r="V58" i="12"/>
  <c r="P58" i="12"/>
  <c r="S59" i="12"/>
  <c r="V59" i="12"/>
  <c r="P59" i="12"/>
</calcChain>
</file>

<file path=xl/comments1.xml><?xml version="1.0" encoding="utf-8"?>
<comments xmlns="http://schemas.openxmlformats.org/spreadsheetml/2006/main">
  <authors>
    <author>ZL</author>
  </authors>
  <commentList>
    <comment ref="C54" authorId="0" shapeId="0">
      <text>
        <r>
          <rPr>
            <b/>
            <sz val="9"/>
            <color indexed="81"/>
            <rFont val="宋体"/>
            <family val="3"/>
            <charset val="134"/>
          </rPr>
          <t>Chest价格在宝箱配置里（竞技场等级不同，价格不同）</t>
        </r>
      </text>
    </comment>
    <comment ref="D101" authorId="0" shapeId="0">
      <text>
        <r>
          <rPr>
            <b/>
            <sz val="9"/>
            <color indexed="81"/>
            <rFont val="宋体"/>
            <family val="3"/>
            <charset val="134"/>
          </rPr>
          <t>每秒回复值
=恢复速度</t>
        </r>
      </text>
    </comment>
    <comment ref="D102" authorId="0" shapeId="0">
      <text>
        <r>
          <rPr>
            <b/>
            <sz val="9"/>
            <color indexed="81"/>
            <rFont val="宋体"/>
            <family val="3"/>
            <charset val="134"/>
          </rPr>
          <t>每秒回复值
=恢复速度</t>
        </r>
      </text>
    </comment>
    <comment ref="D103" authorId="0" shapeId="0">
      <text>
        <r>
          <rPr>
            <b/>
            <sz val="9"/>
            <color indexed="81"/>
            <rFont val="宋体"/>
            <family val="3"/>
            <charset val="134"/>
          </rPr>
          <t>每秒回复值
=恢复速度</t>
        </r>
      </text>
    </comment>
    <comment ref="D110" authorId="0" shapeId="0">
      <text>
        <r>
          <rPr>
            <b/>
            <sz val="9"/>
            <color indexed="81"/>
            <rFont val="宋体"/>
            <family val="3"/>
            <charset val="134"/>
          </rPr>
          <t>每秒回复值
=恢复速度</t>
        </r>
      </text>
    </comment>
    <comment ref="D111" authorId="0" shapeId="0">
      <text>
        <r>
          <rPr>
            <b/>
            <sz val="9"/>
            <color indexed="81"/>
            <rFont val="宋体"/>
            <family val="3"/>
            <charset val="134"/>
          </rPr>
          <t>每秒回复值
=恢复速度</t>
        </r>
      </text>
    </comment>
    <comment ref="D112" authorId="0" shapeId="0">
      <text>
        <r>
          <rPr>
            <b/>
            <sz val="9"/>
            <color indexed="81"/>
            <rFont val="宋体"/>
            <family val="3"/>
            <charset val="134"/>
          </rPr>
          <t>每秒回复值
=恢复速度</t>
        </r>
      </text>
    </comment>
  </commentList>
</comments>
</file>

<file path=xl/comments2.xml><?xml version="1.0" encoding="utf-8"?>
<comments xmlns="http://schemas.openxmlformats.org/spreadsheetml/2006/main">
  <authors>
    <author>ZL</author>
  </authors>
  <commentLis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抛射速度
15像素是1格，每秒</t>
        </r>
      </text>
    </comment>
    <comment ref="AA2" authorId="0" shapeId="0">
      <text>
        <r>
          <rPr>
            <b/>
            <sz val="9"/>
            <color indexed="81"/>
            <rFont val="宋体"/>
            <family val="3"/>
            <charset val="134"/>
          </rPr>
          <t>抛射速度
15像素是1格，每秒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1金币
2钻石
3防御塔卡牌
4喷漆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ZL:</t>
        </r>
        <r>
          <rPr>
            <sz val="9"/>
            <color indexed="81"/>
            <rFont val="宋体"/>
            <family val="3"/>
            <charset val="134"/>
          </rPr>
          <t xml:space="preserve">
毫秒</t>
        </r>
      </text>
    </comment>
  </commentList>
</comments>
</file>

<file path=xl/sharedStrings.xml><?xml version="1.0" encoding="utf-8"?>
<sst xmlns="http://schemas.openxmlformats.org/spreadsheetml/2006/main" count="2441" uniqueCount="1190">
  <si>
    <t>begin</t>
  </si>
  <si>
    <t>end</t>
  </si>
  <si>
    <t>fieldName</t>
    <phoneticPr fontId="3" type="noConversion"/>
  </si>
  <si>
    <t>fieldValue</t>
    <phoneticPr fontId="3" type="noConversion"/>
  </si>
  <si>
    <t>string</t>
    <phoneticPr fontId="3" type="noConversion"/>
  </si>
  <si>
    <t>notNull</t>
  </si>
  <si>
    <t>名称</t>
    <phoneticPr fontId="3" type="noConversion"/>
  </si>
  <si>
    <t>描述</t>
    <phoneticPr fontId="3" type="noConversion"/>
  </si>
  <si>
    <t>数据类型</t>
    <phoneticPr fontId="3" type="noConversion"/>
  </si>
  <si>
    <t>数据值</t>
    <phoneticPr fontId="3" type="noConversion"/>
  </si>
  <si>
    <t>B</t>
  </si>
  <si>
    <t>int32</t>
    <phoneticPr fontId="3" type="noConversion"/>
  </si>
  <si>
    <t>E</t>
    <phoneticPr fontId="3" type="noConversion"/>
  </si>
  <si>
    <t>end_--</t>
    <phoneticPr fontId="3" type="noConversion"/>
  </si>
  <si>
    <t>float</t>
    <phoneticPr fontId="3" type="noConversion"/>
  </si>
  <si>
    <t>fight_overtime</t>
    <phoneticPr fontId="3" type="noConversion"/>
  </si>
  <si>
    <t>fight_time</t>
    <phoneticPr fontId="3" type="noConversion"/>
  </si>
  <si>
    <t>string</t>
  </si>
  <si>
    <t>end</t>
    <phoneticPr fontId="9" type="noConversion"/>
  </si>
  <si>
    <t>uint16</t>
  </si>
  <si>
    <t>E</t>
    <phoneticPr fontId="9" type="noConversion"/>
  </si>
  <si>
    <t>等级</t>
    <phoneticPr fontId="3" type="noConversion"/>
  </si>
  <si>
    <t>防御塔HP</t>
    <phoneticPr fontId="3" type="noConversion"/>
  </si>
  <si>
    <t>防御塔攻击速度</t>
    <phoneticPr fontId="9" type="noConversion"/>
  </si>
  <si>
    <t>exp</t>
    <phoneticPr fontId="9" type="noConversion"/>
  </si>
  <si>
    <t>arenaTowerRange</t>
    <phoneticPr fontId="9" type="noConversion"/>
  </si>
  <si>
    <t>arenaTowerHitSpeed</t>
    <phoneticPr fontId="9" type="noConversion"/>
  </si>
  <si>
    <t>arenaTowerDamage</t>
    <phoneticPr fontId="9" type="noConversion"/>
  </si>
  <si>
    <t>uint32</t>
    <phoneticPr fontId="3" type="noConversion"/>
  </si>
  <si>
    <t>float</t>
  </si>
  <si>
    <t>defaultOpen</t>
    <phoneticPr fontId="9" type="noConversion"/>
  </si>
  <si>
    <t>联盟</t>
    <phoneticPr fontId="3" type="noConversion"/>
  </si>
  <si>
    <t>战斗</t>
    <phoneticPr fontId="3" type="noConversion"/>
  </si>
  <si>
    <t>clan_createPrice</t>
    <phoneticPr fontId="3" type="noConversion"/>
  </si>
  <si>
    <t>clan_requiredTrophies</t>
    <phoneticPr fontId="3" type="noConversion"/>
  </si>
  <si>
    <t>clan_memberMax</t>
    <phoneticPr fontId="3" type="noConversion"/>
  </si>
  <si>
    <t>0,0,0,0,2,2,0,0,2,0,0,0,2,0,0,0,2,0,0,2,0,0,0,2</t>
    <phoneticPr fontId="3" type="noConversion"/>
  </si>
  <si>
    <t>3,3,2,3,2,3,3,2,2,2,2,3,2,2,4,2,2,2,4,2,3,2,3,2</t>
    <phoneticPr fontId="3" type="noConversion"/>
  </si>
  <si>
    <t>NumberValue</t>
  </si>
  <si>
    <t>BooleanValue</t>
  </si>
  <si>
    <t>NumberArray</t>
  </si>
  <si>
    <t>int</t>
  </si>
  <si>
    <t>boolean</t>
  </si>
  <si>
    <t>战斗ping检测</t>
    <phoneticPr fontId="3" type="noConversion"/>
  </si>
  <si>
    <t>attack_finish_time_ms</t>
  </si>
  <si>
    <t>battle_ping_sample_seconds</t>
  </si>
  <si>
    <t>extra_buff_radius</t>
  </si>
  <si>
    <t>damage_increase_percent_per_spell_level</t>
  </si>
  <si>
    <t>hitpoint_increase_percent_per_spell_level</t>
  </si>
  <si>
    <t>damage_increase_percent_per_king_level</t>
  </si>
  <si>
    <t>hitpoint_increase_percent_per_king_level</t>
  </si>
  <si>
    <t>damage_increase_percent_per_tower_level</t>
  </si>
  <si>
    <t>hitpoint_increase_percent_per_tower_level</t>
  </si>
  <si>
    <t>melee_range_limit</t>
  </si>
  <si>
    <t>reduced_tower_damage_percent</t>
  </si>
  <si>
    <t>leave_alliance_donation_cooldown_minutes</t>
  </si>
  <si>
    <t>big_limit</t>
  </si>
  <si>
    <t>super_limit</t>
  </si>
  <si>
    <t>name_popup_win_cnt</t>
  </si>
  <si>
    <t>reset_spell_usage_counter_matches</t>
  </si>
  <si>
    <t>name</t>
  </si>
  <si>
    <t>alliance_create_resource</t>
  </si>
  <si>
    <t>alliance_create_cost</t>
  </si>
  <si>
    <t>alliance_troop_request_cooldown</t>
  </si>
  <si>
    <t>starting_diamonds</t>
  </si>
  <si>
    <t>clan_tournament_enabled</t>
  </si>
  <si>
    <t>achievements_enabled</t>
  </si>
  <si>
    <t>max_mana</t>
  </si>
  <si>
    <t>mana_regen_ms</t>
  </si>
  <si>
    <t>mana_regen_ms_end</t>
  </si>
  <si>
    <t>mana_regen_ms_overtime</t>
  </si>
  <si>
    <t>mana_speed_up_when_remaining_seconds</t>
  </si>
  <si>
    <t>mana_regen_penalty_from_tower</t>
  </si>
  <si>
    <t>start_mana</t>
  </si>
  <si>
    <t>k_factor</t>
  </si>
  <si>
    <t>minimum_change_for_real_battle</t>
  </si>
  <si>
    <t>target_score</t>
  </si>
  <si>
    <t>minimum_score</t>
  </si>
  <si>
    <t>damage_notice_time</t>
  </si>
  <si>
    <t>protection_cap_percentage</t>
  </si>
  <si>
    <t>panic_run_max_time</t>
  </si>
  <si>
    <t>panic_speed_multiplier</t>
  </si>
  <si>
    <t>max_message_length</t>
  </si>
  <si>
    <t>max_alliance_mail_length</t>
  </si>
  <si>
    <t>charge_damage_multiplier</t>
  </si>
  <si>
    <t>next_spell_cooldown_milliseconds</t>
  </si>
  <si>
    <t>next_spell_cooldown_milliseconds_boost</t>
  </si>
  <si>
    <t>next_spell_cooldown_milliseconds_overtime</t>
  </si>
  <si>
    <t>gamble_price_cooldown_minutes</t>
  </si>
  <si>
    <t>tutorial_max_spell_cast_distance_tiles</t>
  </si>
  <si>
    <t>speed_up_free_seconds</t>
  </si>
  <si>
    <t>resource_diamond_cost_1</t>
  </si>
  <si>
    <t>resource_diamond_cost_10</t>
  </si>
  <si>
    <t>resource_diamond_cost_100</t>
  </si>
  <si>
    <t>resource_diamond_cost_1000</t>
  </si>
  <si>
    <t>resource_diamond_cost_10000</t>
  </si>
  <si>
    <t>resource_diamond_cost_100000</t>
  </si>
  <si>
    <t>resource_diamond_cost_1000000</t>
  </si>
  <si>
    <t>alliance_score_contribution_percentage</t>
  </si>
  <si>
    <t/>
  </si>
  <si>
    <t>request_spells_cooldown_minutes</t>
    <phoneticPr fontId="3" type="noConversion"/>
  </si>
  <si>
    <t>离开联盟，捐献冷却时间</t>
    <phoneticPr fontId="3" type="noConversion"/>
  </si>
  <si>
    <t>默认开启</t>
    <phoneticPr fontId="3" type="noConversion"/>
  </si>
  <si>
    <t>关闭功能（对外关闭，特殊情况或者未制作完成的功能）</t>
    <phoneticPr fontId="3" type="noConversion"/>
  </si>
  <si>
    <t>默认不开启，根据条件开启</t>
    <phoneticPr fontId="3" type="noConversion"/>
  </si>
  <si>
    <t>System</t>
  </si>
  <si>
    <t>8小时</t>
    <phoneticPr fontId="3" type="noConversion"/>
  </si>
  <si>
    <t>int32[]</t>
    <phoneticPr fontId="3" type="noConversion"/>
  </si>
  <si>
    <t>clan_mail_cooldown</t>
    <phoneticPr fontId="3" type="noConversion"/>
  </si>
  <si>
    <t>clan_share_replay_cooldown</t>
    <phoneticPr fontId="3" type="noConversion"/>
  </si>
  <si>
    <t>3小时</t>
    <phoneticPr fontId="3" type="noConversion"/>
  </si>
  <si>
    <t>panic_run_min_time</t>
    <phoneticPr fontId="3" type="noConversion"/>
  </si>
  <si>
    <t>max_resource_purchase_size</t>
    <phoneticPr fontId="3" type="noConversion"/>
  </si>
  <si>
    <t>fight_mana_max</t>
    <phoneticPr fontId="3" type="noConversion"/>
  </si>
  <si>
    <t>fight_mana_initial</t>
    <phoneticPr fontId="3" type="noConversion"/>
  </si>
  <si>
    <t>fight_mana_recovery</t>
    <phoneticPr fontId="3" type="noConversion"/>
  </si>
  <si>
    <t>fight_mana_recovery_quick</t>
    <phoneticPr fontId="3" type="noConversion"/>
  </si>
  <si>
    <t>fight_mana_time_quick</t>
    <phoneticPr fontId="3" type="noConversion"/>
  </si>
  <si>
    <t>战斗_能量上限</t>
    <phoneticPr fontId="3" type="noConversion"/>
  </si>
  <si>
    <t>战斗_能量_初始值</t>
    <phoneticPr fontId="3" type="noConversion"/>
  </si>
  <si>
    <t>战斗_能量_恢复值每秒</t>
    <phoneticPr fontId="3" type="noConversion"/>
  </si>
  <si>
    <t>战斗_能量_恢复值每秒（加速时）</t>
    <phoneticPr fontId="3" type="noConversion"/>
  </si>
  <si>
    <t>战斗_能量_加快恢复的开始时间</t>
    <phoneticPr fontId="3" type="noConversion"/>
  </si>
  <si>
    <t>23小时</t>
    <phoneticPr fontId="3" type="noConversion"/>
  </si>
  <si>
    <t>4小时</t>
    <phoneticPr fontId="3" type="noConversion"/>
  </si>
  <si>
    <t>备注</t>
    <phoneticPr fontId="3" type="noConversion"/>
  </si>
  <si>
    <t>kingTowerHitSpeed</t>
    <phoneticPr fontId="9" type="noConversion"/>
  </si>
  <si>
    <t>kingTowerRange</t>
    <phoneticPr fontId="9" type="noConversion"/>
  </si>
  <si>
    <t>kingTowerHP</t>
    <phoneticPr fontId="9" type="noConversion"/>
  </si>
  <si>
    <t>kingTowerDamage</t>
    <phoneticPr fontId="9" type="noConversion"/>
  </si>
  <si>
    <t>level</t>
    <phoneticPr fontId="3" type="noConversion"/>
  </si>
  <si>
    <t>升完这一级需要的经验(从下级升到这级需要的经验)</t>
    <phoneticPr fontId="3" type="noConversion"/>
  </si>
  <si>
    <t>初始牌组initialCards改为6张</t>
    <phoneticPr fontId="3" type="noConversion"/>
  </si>
  <si>
    <t>E</t>
  </si>
  <si>
    <t>增加初始钻石</t>
    <phoneticPr fontId="3" type="noConversion"/>
  </si>
  <si>
    <t>int32</t>
  </si>
  <si>
    <t>B</t>
    <phoneticPr fontId="3" type="noConversion"/>
  </si>
  <si>
    <t>箱子</t>
    <phoneticPr fontId="3" type="noConversion"/>
  </si>
  <si>
    <t>卡牌</t>
    <phoneticPr fontId="3" type="noConversion"/>
  </si>
  <si>
    <t>成就</t>
    <phoneticPr fontId="3" type="noConversion"/>
  </si>
  <si>
    <t>achieve_...</t>
    <phoneticPr fontId="3" type="noConversion"/>
  </si>
  <si>
    <t>int32</t>
    <phoneticPr fontId="3" type="noConversion"/>
  </si>
  <si>
    <t>主角</t>
    <phoneticPr fontId="3" type="noConversion"/>
  </si>
  <si>
    <t>世界</t>
    <phoneticPr fontId="3" type="noConversion"/>
  </si>
  <si>
    <t>int64</t>
    <phoneticPr fontId="3" type="noConversion"/>
  </si>
  <si>
    <t>world_serverMajorVersion</t>
    <phoneticPr fontId="3" type="noConversion"/>
  </si>
  <si>
    <t>world_serverMinorVersion</t>
    <phoneticPr fontId="3" type="noConversion"/>
  </si>
  <si>
    <t>world_planVersion</t>
    <phoneticPr fontId="3" type="noConversion"/>
  </si>
  <si>
    <t>world_zeroTimer</t>
    <phoneticPr fontId="3" type="noConversion"/>
  </si>
  <si>
    <t>player_starting_ingot</t>
    <phoneticPr fontId="3" type="noConversion"/>
  </si>
  <si>
    <t>箱子_免费宝箱_获得钻石（循环序列，真实数据）</t>
    <phoneticPr fontId="3" type="noConversion"/>
  </si>
  <si>
    <t>箱子_免费宝箱_箱子ID</t>
    <phoneticPr fontId="3" type="noConversion"/>
  </si>
  <si>
    <t>箱子_免费宝箱_累计数量上限</t>
    <phoneticPr fontId="3" type="noConversion"/>
  </si>
  <si>
    <t>箱子_免费宝箱_倒计时</t>
    <phoneticPr fontId="3" type="noConversion"/>
  </si>
  <si>
    <t>箱子_任务宝箱_获得钻石（循环序列，真实数据）</t>
    <phoneticPr fontId="3" type="noConversion"/>
  </si>
  <si>
    <t>箱子_任务宝箱_箱子ID</t>
    <phoneticPr fontId="3" type="noConversion"/>
  </si>
  <si>
    <t>箱子_任务宝箱_需要皇冠数量</t>
    <phoneticPr fontId="3" type="noConversion"/>
  </si>
  <si>
    <t>card_initialCardIdList</t>
    <phoneticPr fontId="3" type="noConversion"/>
  </si>
  <si>
    <t>箱子_战斗宝箱_竞技场箱子的ID循环</t>
    <phoneticPr fontId="3" type="noConversion"/>
  </si>
  <si>
    <t>商店</t>
    <phoneticPr fontId="3" type="noConversion"/>
  </si>
  <si>
    <t>交战</t>
    <phoneticPr fontId="3" type="noConversion"/>
  </si>
  <si>
    <t>交战_新手训练_关卡数</t>
    <phoneticPr fontId="3" type="noConversion"/>
  </si>
  <si>
    <t>交战_新手训练_完成第N关，弹出输入名字界面</t>
    <phoneticPr fontId="3" type="noConversion"/>
  </si>
  <si>
    <t>battle_training_level_to_name</t>
    <phoneticPr fontId="3" type="noConversion"/>
  </si>
  <si>
    <t>战斗_持续时间</t>
    <phoneticPr fontId="3" type="noConversion"/>
  </si>
  <si>
    <t>战斗_加时赛的持续时间</t>
    <phoneticPr fontId="3" type="noConversion"/>
  </si>
  <si>
    <t>clan_donation_rare_gold</t>
    <phoneticPr fontId="3" type="noConversion"/>
  </si>
  <si>
    <t>clan_donation_rare_Value</t>
    <phoneticPr fontId="3" type="noConversion"/>
  </si>
  <si>
    <t>clan_donation_jointime_limit</t>
    <phoneticPr fontId="3" type="noConversion"/>
  </si>
  <si>
    <t>联盟_功能开启需要的玩家等级</t>
    <phoneticPr fontId="3" type="noConversion"/>
  </si>
  <si>
    <t>联盟_创建消耗金币</t>
    <phoneticPr fontId="3" type="noConversion"/>
  </si>
  <si>
    <t>联盟_最大人数</t>
    <phoneticPr fontId="3" type="noConversion"/>
  </si>
  <si>
    <t>联盟_邮件发送冷却时间</t>
    <phoneticPr fontId="3" type="noConversion"/>
  </si>
  <si>
    <t>联盟_分享战斗回放，冷却时间</t>
    <phoneticPr fontId="3" type="noConversion"/>
  </si>
  <si>
    <t>联盟_捐赠_普卡_金币</t>
    <phoneticPr fontId="3" type="noConversion"/>
  </si>
  <si>
    <t>联盟_捐赠_普卡_经验</t>
    <phoneticPr fontId="3" type="noConversion"/>
  </si>
  <si>
    <t>联盟_捐赠_金卡_经验</t>
    <phoneticPr fontId="3" type="noConversion"/>
  </si>
  <si>
    <t>联盟_捐赠_金卡_金币</t>
    <phoneticPr fontId="3" type="noConversion"/>
  </si>
  <si>
    <t>联盟_捐赠_捐赠卡牌需要累计进入联盟的时间限制</t>
    <phoneticPr fontId="3" type="noConversion"/>
  </si>
  <si>
    <t>联盟_捐赠_请求捐赠冷却时间</t>
    <phoneticPr fontId="3" type="noConversion"/>
  </si>
  <si>
    <t>箱子_加速，每分钟的钻石价格</t>
    <phoneticPr fontId="3" type="noConversion"/>
  </si>
  <si>
    <t>卡牌_初始牌组</t>
    <phoneticPr fontId="3" type="noConversion"/>
  </si>
  <si>
    <t>player_starting_gold</t>
    <phoneticPr fontId="3" type="noConversion"/>
  </si>
  <si>
    <t>主角_初始金币</t>
    <phoneticPr fontId="3" type="noConversion"/>
  </si>
  <si>
    <t>主角_初始钻石</t>
    <phoneticPr fontId="3" type="noConversion"/>
  </si>
  <si>
    <t>排行榜</t>
    <phoneticPr fontId="3" type="noConversion"/>
  </si>
  <si>
    <t>ranking_player_...</t>
    <phoneticPr fontId="3" type="noConversion"/>
  </si>
  <si>
    <t>排行榜_玩家_...</t>
    <phoneticPr fontId="3" type="noConversion"/>
  </si>
  <si>
    <t>ranking_clan_...</t>
    <phoneticPr fontId="3" type="noConversion"/>
  </si>
  <si>
    <t>排行榜_联盟_...</t>
    <phoneticPr fontId="3" type="noConversion"/>
  </si>
  <si>
    <t>成就_...</t>
    <phoneticPr fontId="3" type="noConversion"/>
  </si>
  <si>
    <t>世界_服务器大版本号</t>
    <phoneticPr fontId="3" type="noConversion"/>
  </si>
  <si>
    <t>世界_服务器小版本号</t>
    <phoneticPr fontId="3" type="noConversion"/>
  </si>
  <si>
    <t>世界_策划数据版本号</t>
    <phoneticPr fontId="3" type="noConversion"/>
  </si>
  <si>
    <t>世界_零点定时器.(重置数据的)(如早上0点5=0*60+5). 单位:分.</t>
    <phoneticPr fontId="3" type="noConversion"/>
  </si>
  <si>
    <t>chest_free_diamonds</t>
    <phoneticPr fontId="3" type="noConversion"/>
  </si>
  <si>
    <t>chest_free_chestId</t>
    <phoneticPr fontId="3" type="noConversion"/>
  </si>
  <si>
    <t>chest_free_interval</t>
    <phoneticPr fontId="3" type="noConversion"/>
  </si>
  <si>
    <t>chest_crown_diamonds</t>
    <phoneticPr fontId="3" type="noConversion"/>
  </si>
  <si>
    <t>chest_crown_chestId</t>
    <phoneticPr fontId="3" type="noConversion"/>
  </si>
  <si>
    <t>chest_crown_cooldown</t>
    <phoneticPr fontId="3" type="noConversion"/>
  </si>
  <si>
    <t>chest_crown_crownCount</t>
    <phoneticPr fontId="3" type="noConversion"/>
  </si>
  <si>
    <t>chest_free_maxCount</t>
    <phoneticPr fontId="3" type="noConversion"/>
  </si>
  <si>
    <t>chest_arena_mainCycle</t>
    <phoneticPr fontId="3" type="noConversion"/>
  </si>
  <si>
    <t>chest_speedUpPrice</t>
    <phoneticPr fontId="3" type="noConversion"/>
  </si>
  <si>
    <t>battle_training_arena_match_count</t>
    <phoneticPr fontId="3" type="noConversion"/>
  </si>
  <si>
    <t>shop_chest_rare_id</t>
    <phoneticPr fontId="3" type="noConversion"/>
  </si>
  <si>
    <t>shop_chest_epic_id</t>
    <phoneticPr fontId="3" type="noConversion"/>
  </si>
  <si>
    <t>shop_card_common_price</t>
    <phoneticPr fontId="3" type="noConversion"/>
  </si>
  <si>
    <t>shop_card_rare_price</t>
    <phoneticPr fontId="3" type="noConversion"/>
  </si>
  <si>
    <t>shop_card_epic_price</t>
    <phoneticPr fontId="3" type="noConversion"/>
  </si>
  <si>
    <t>商店_卡牌_普通_价格（数组长度=购买次数上限）</t>
    <phoneticPr fontId="3" type="noConversion"/>
  </si>
  <si>
    <t>商店_卡牌_稀有_价格（数组长度=购买次数上限）</t>
    <phoneticPr fontId="3" type="noConversion"/>
  </si>
  <si>
    <t>商店_卡牌_传奇_价格（数组长度=购买次数上限）</t>
    <phoneticPr fontId="3" type="noConversion"/>
  </si>
  <si>
    <t>shop_card_week7Title</t>
  </si>
  <si>
    <t>商店_卡牌_周7_标题</t>
  </si>
  <si>
    <t>魔法周末</t>
    <phoneticPr fontId="3" type="noConversion"/>
  </si>
  <si>
    <t>shop_ingot_price</t>
    <phoneticPr fontId="3" type="noConversion"/>
  </si>
  <si>
    <t>商店-钻石（充值）-购买钻石数量</t>
    <phoneticPr fontId="3" type="noConversion"/>
  </si>
  <si>
    <t>商店-钻石（充值）-花费现金金额</t>
    <phoneticPr fontId="3" type="noConversion"/>
  </si>
  <si>
    <t>shop_ingot_currency</t>
    <phoneticPr fontId="3" type="noConversion"/>
  </si>
  <si>
    <t>商店-钻石（充值）-现金种类（人民币、美元、港元等）</t>
    <phoneticPr fontId="3" type="noConversion"/>
  </si>
  <si>
    <t>RMB</t>
    <phoneticPr fontId="3" type="noConversion"/>
  </si>
  <si>
    <t>shop_gold_price</t>
    <phoneticPr fontId="3" type="noConversion"/>
  </si>
  <si>
    <t>shop_gold_getGold</t>
    <phoneticPr fontId="3" type="noConversion"/>
  </si>
  <si>
    <t>shop_ingot_getIngot</t>
    <phoneticPr fontId="3" type="noConversion"/>
  </si>
  <si>
    <t>商店-金币-购买金币数量</t>
    <phoneticPr fontId="3" type="noConversion"/>
  </si>
  <si>
    <t>商店-金币-购买金币价格（钻石）</t>
    <phoneticPr fontId="3" type="noConversion"/>
  </si>
  <si>
    <t>6,30,68,128,328,648</t>
    <phoneticPr fontId="3" type="noConversion"/>
  </si>
  <si>
    <t>捐赠金卡获得经验5→10</t>
    <phoneticPr fontId="3" type="noConversion"/>
  </si>
  <si>
    <t>奖杯</t>
    <phoneticPr fontId="3" type="noConversion"/>
  </si>
  <si>
    <t>trophy_win_max</t>
    <phoneticPr fontId="3" type="noConversion"/>
  </si>
  <si>
    <t>trophy_lose_max</t>
    <phoneticPr fontId="3" type="noConversion"/>
  </si>
  <si>
    <t>trophy_lose_min</t>
    <phoneticPr fontId="3" type="noConversion"/>
  </si>
  <si>
    <t>trophy_base</t>
    <phoneticPr fontId="3" type="noConversion"/>
  </si>
  <si>
    <t>trophy_delta_factor</t>
    <phoneticPr fontId="3" type="noConversion"/>
  </si>
  <si>
    <t>胜利者获得奖杯的最大值</t>
    <phoneticPr fontId="3" type="noConversion"/>
  </si>
  <si>
    <t>胜利者获得奖杯的最小值</t>
    <phoneticPr fontId="3" type="noConversion"/>
  </si>
  <si>
    <t>失败者失去奖杯的最大值</t>
    <phoneticPr fontId="3" type="noConversion"/>
  </si>
  <si>
    <t>失败者失去奖杯的最小值</t>
    <phoneticPr fontId="3" type="noConversion"/>
  </si>
  <si>
    <t>奖杯计算的基数</t>
    <phoneticPr fontId="3" type="noConversion"/>
  </si>
  <si>
    <t>奖杯计算的奖杯差值系数</t>
    <phoneticPr fontId="3" type="noConversion"/>
  </si>
  <si>
    <t>trophy_win_min</t>
    <phoneticPr fontId="3" type="noConversion"/>
  </si>
  <si>
    <t>增加奖杯计算公式参数</t>
    <phoneticPr fontId="3" type="noConversion"/>
  </si>
  <si>
    <t>序号</t>
    <phoneticPr fontId="3" type="noConversion"/>
  </si>
  <si>
    <t>颜色</t>
    <phoneticPr fontId="3" type="noConversion"/>
  </si>
  <si>
    <t>ID</t>
    <phoneticPr fontId="3" type="noConversion"/>
  </si>
  <si>
    <t>白银宝箱</t>
    <phoneticPr fontId="19" type="noConversion"/>
  </si>
  <si>
    <t>黄金宝箱</t>
    <phoneticPr fontId="19" type="noConversion"/>
  </si>
  <si>
    <t>魔法宝箱</t>
    <phoneticPr fontId="19" type="noConversion"/>
  </si>
  <si>
    <t>商店-超大宝箱</t>
    <phoneticPr fontId="9" type="noConversion"/>
  </si>
  <si>
    <t xml:space="preserve"> </t>
    <phoneticPr fontId="3" type="noConversion"/>
  </si>
  <si>
    <t>引用《宝箱循环》单元格内容</t>
    <phoneticPr fontId="3" type="noConversion"/>
  </si>
  <si>
    <t>1元=13.3钻石  1元=21.6钻石</t>
    <phoneticPr fontId="3" type="noConversion"/>
  </si>
  <si>
    <t>shop_chest_common_id</t>
    <phoneticPr fontId="3" type="noConversion"/>
  </si>
  <si>
    <t>card_rare_NumMax</t>
    <phoneticPr fontId="3" type="noConversion"/>
  </si>
  <si>
    <t>card_epic_NumMax</t>
    <phoneticPr fontId="3" type="noConversion"/>
  </si>
  <si>
    <t>card_common_becomeGold</t>
    <phoneticPr fontId="3" type="noConversion"/>
  </si>
  <si>
    <t>card_rare_becomeGold</t>
    <phoneticPr fontId="3" type="noConversion"/>
  </si>
  <si>
    <t>card_epic_becomeGold</t>
    <phoneticPr fontId="3" type="noConversion"/>
  </si>
  <si>
    <t>card_legendary_becomeGold</t>
    <phoneticPr fontId="3" type="noConversion"/>
  </si>
  <si>
    <t>金卡满级后，还可额外获得的数量上限</t>
    <phoneticPr fontId="3" type="noConversion"/>
  </si>
  <si>
    <t>紫卡满级后，还可额外获得的数量上限</t>
    <phoneticPr fontId="3" type="noConversion"/>
  </si>
  <si>
    <t>（传说）彩卡满级后，还可额外获得的数量上限</t>
    <phoneticPr fontId="3" type="noConversion"/>
  </si>
  <si>
    <t>普卡满级数量达到上限后，超出的变成金币</t>
    <phoneticPr fontId="3" type="noConversion"/>
  </si>
  <si>
    <t>金卡满级数量达到上限后，超出的变成金币</t>
    <phoneticPr fontId="3" type="noConversion"/>
  </si>
  <si>
    <t>紫卡满级数量达到上限后，超出的变成金币</t>
    <phoneticPr fontId="3" type="noConversion"/>
  </si>
  <si>
    <t>（传说）彩卡满级数量达到上限后，超出的变成金币</t>
    <phoneticPr fontId="3" type="noConversion"/>
  </si>
  <si>
    <t>猜测的数值~~~</t>
    <phoneticPr fontId="3" type="noConversion"/>
  </si>
  <si>
    <t>邮箱</t>
    <phoneticPr fontId="3" type="noConversion"/>
  </si>
  <si>
    <t>邮箱_类型图标_gm公告</t>
    <phoneticPr fontId="3" type="noConversion"/>
  </si>
  <si>
    <t>string</t>
    <phoneticPr fontId="3" type="noConversion"/>
  </si>
  <si>
    <t>mailBox_typeImage_gm_reward</t>
    <phoneticPr fontId="3" type="noConversion"/>
  </si>
  <si>
    <t>mailBox_typeImage_gm_affiche</t>
    <phoneticPr fontId="3" type="noConversion"/>
  </si>
  <si>
    <t>邮箱_类型图标_gm奖励</t>
    <phoneticPr fontId="3" type="noConversion"/>
  </si>
  <si>
    <t>chest_arena_superChestID</t>
    <phoneticPr fontId="3" type="noConversion"/>
  </si>
  <si>
    <t>chest_arena_superChestProbability</t>
    <phoneticPr fontId="3" type="noConversion"/>
  </si>
  <si>
    <t>箱子_战斗宝箱_超级魔法宝箱的ID</t>
    <phoneticPr fontId="3" type="noConversion"/>
  </si>
  <si>
    <t>增加战斗宝箱奖励超级魔法宝箱的2个参数</t>
    <phoneticPr fontId="3" type="noConversion"/>
  </si>
  <si>
    <t>箱子_战斗宝箱_超级魔法宝箱的概率（分母=1万）第1个值是第1个宝箱的概率，最后一个值是后面所有宝箱的概率</t>
    <phoneticPr fontId="3" type="noConversion"/>
  </si>
  <si>
    <t>chest_arena_superChestLimit</t>
    <phoneticPr fontId="3" type="noConversion"/>
  </si>
  <si>
    <t>累计开启箱子数量超过这个值后，有概率产出超级魔法箱子</t>
    <phoneticPr fontId="3" type="noConversion"/>
  </si>
  <si>
    <t>如果太靠前获得箱子，竞技场等级还低，反而不划算！</t>
    <phoneticPr fontId="3" type="noConversion"/>
  </si>
  <si>
    <t>删除周一到周二的卡牌数量。写死。因为运营需求变动很大，搞这种配置没什么意义。不如先按简单的规则制作出来。</t>
    <phoneticPr fontId="3" type="noConversion"/>
  </si>
  <si>
    <t>可能可以实时变动，对接平台时再考虑方案</t>
    <phoneticPr fontId="3" type="noConversion"/>
  </si>
  <si>
    <t>对接SDK时再制作，目前用不到此数据</t>
    <phoneticPr fontId="3" type="noConversion"/>
  </si>
  <si>
    <t>tv_weight_top3_vs_top3</t>
    <phoneticPr fontId="3" type="noConversion"/>
  </si>
  <si>
    <t>tv_weight_top3_vs_top10</t>
    <phoneticPr fontId="3" type="noConversion"/>
  </si>
  <si>
    <t>tv_weight_top10_vs_top10</t>
  </si>
  <si>
    <t>tv_weight_top10_vs_top20</t>
  </si>
  <si>
    <t>tv_weight_top20_vs_top50</t>
  </si>
  <si>
    <t>tv_weight_top50_vs_top50</t>
  </si>
  <si>
    <r>
      <t>tv_weight_top</t>
    </r>
    <r>
      <rPr>
        <sz val="11"/>
        <color theme="1"/>
        <rFont val="宋体"/>
        <family val="3"/>
        <charset val="134"/>
        <scheme val="minor"/>
      </rPr>
      <t>200</t>
    </r>
    <r>
      <rPr>
        <sz val="11"/>
        <color theme="1"/>
        <rFont val="宋体"/>
        <family val="3"/>
        <charset val="134"/>
        <scheme val="minor"/>
      </rPr>
      <t>_vs_top</t>
    </r>
    <r>
      <rPr>
        <sz val="11"/>
        <color theme="1"/>
        <rFont val="宋体"/>
        <family val="3"/>
        <charset val="134"/>
        <scheme val="minor"/>
      </rPr>
      <t>200</t>
    </r>
    <phoneticPr fontId="19" type="noConversion"/>
  </si>
  <si>
    <t>tv_weight_others</t>
  </si>
  <si>
    <t>tv_weigth_not_underdog</t>
    <phoneticPr fontId="3" type="noConversion"/>
  </si>
  <si>
    <t>tv_weight_winner_one_crown_behind</t>
    <phoneticPr fontId="19" type="noConversion"/>
  </si>
  <si>
    <t>TV推送</t>
    <phoneticPr fontId="3" type="noConversion"/>
  </si>
  <si>
    <t>TV推送权重-双方名次</t>
    <phoneticPr fontId="19" type="noConversion"/>
  </si>
  <si>
    <t>TV推送权重-胜负结果</t>
    <phoneticPr fontId="19" type="noConversion"/>
  </si>
  <si>
    <t>TV推送权重-战斗过程</t>
    <phoneticPr fontId="19" type="noConversion"/>
  </si>
  <si>
    <t>shop_gold_name</t>
    <phoneticPr fontId="3" type="noConversion"/>
  </si>
  <si>
    <t>商店-金币-购买金币名称</t>
    <phoneticPr fontId="3" type="noConversion"/>
  </si>
  <si>
    <t>string</t>
    <phoneticPr fontId="3" type="noConversion"/>
  </si>
  <si>
    <t>shop_ingot_name</t>
    <phoneticPr fontId="3" type="noConversion"/>
  </si>
  <si>
    <t>商店-钻石（充值）-购买钻石名称</t>
    <phoneticPr fontId="3" type="noConversion"/>
  </si>
  <si>
    <t>shop_ingot_picture</t>
    <phoneticPr fontId="3" type="noConversion"/>
  </si>
  <si>
    <t>1,2,3,4,5,6</t>
    <phoneticPr fontId="3" type="noConversion"/>
  </si>
  <si>
    <t>少量钻石,小袋钻石,大袋钻石,一车钻石,很多钻石,非常多钻石</t>
    <phoneticPr fontId="3" type="noConversion"/>
  </si>
  <si>
    <t>小袋金币,大袋金币,很多金币</t>
    <phoneticPr fontId="3" type="noConversion"/>
  </si>
  <si>
    <t>shop_gold_picture</t>
    <phoneticPr fontId="3" type="noConversion"/>
  </si>
  <si>
    <t>商店-金币-购买金币 显示图片</t>
    <phoneticPr fontId="3" type="noConversion"/>
  </si>
  <si>
    <t>商店-钻石（充值）-购买钻石 显示图片</t>
    <phoneticPr fontId="3" type="noConversion"/>
  </si>
  <si>
    <t>string[]</t>
    <phoneticPr fontId="3" type="noConversion"/>
  </si>
  <si>
    <t>商店_买箱子_箱子ID_1</t>
    <phoneticPr fontId="3" type="noConversion"/>
  </si>
  <si>
    <t>商店_买箱子_箱子ID_2</t>
  </si>
  <si>
    <t>商店_买箱子_箱子ID_3</t>
  </si>
  <si>
    <t>联盟_加入需要奖杯数量（可设置项）</t>
    <phoneticPr fontId="3" type="noConversion"/>
  </si>
  <si>
    <t>12小时</t>
    <phoneticPr fontId="3" type="noConversion"/>
  </si>
  <si>
    <t>40秒</t>
    <phoneticPr fontId="3" type="noConversion"/>
  </si>
  <si>
    <t>clan_search_requiredTrophies</t>
    <phoneticPr fontId="3" type="noConversion"/>
  </si>
  <si>
    <t>联盟-搜索-设置联盟最低奖杯数</t>
    <phoneticPr fontId="3" type="noConversion"/>
  </si>
  <si>
    <t>0-5万，间隔是500</t>
    <phoneticPr fontId="3" type="noConversion"/>
  </si>
  <si>
    <t>钻石</t>
    <phoneticPr fontId="3" type="noConversion"/>
  </si>
  <si>
    <t>人民币</t>
    <phoneticPr fontId="3" type="noConversion"/>
  </si>
  <si>
    <t>普卡价格</t>
    <phoneticPr fontId="3" type="noConversion"/>
  </si>
  <si>
    <t>橙卡价格</t>
    <phoneticPr fontId="3" type="noConversion"/>
  </si>
  <si>
    <t>紫卡价格</t>
    <phoneticPr fontId="3" type="noConversion"/>
  </si>
  <si>
    <t>金币购买卡牌</t>
    <phoneticPr fontId="3" type="noConversion"/>
  </si>
  <si>
    <t>现金购买钻石</t>
    <phoneticPr fontId="3" type="noConversion"/>
  </si>
  <si>
    <t>钻石购买金币</t>
    <phoneticPr fontId="3" type="noConversion"/>
  </si>
  <si>
    <t>金币</t>
    <phoneticPr fontId="3" type="noConversion"/>
  </si>
  <si>
    <t>钻石/现金</t>
    <phoneticPr fontId="3" type="noConversion"/>
  </si>
  <si>
    <t>金币/钻石</t>
    <phoneticPr fontId="3" type="noConversion"/>
  </si>
  <si>
    <t>性价比</t>
    <phoneticPr fontId="3" type="noConversion"/>
  </si>
  <si>
    <t>Max</t>
    <phoneticPr fontId="3" type="noConversion"/>
  </si>
  <si>
    <t>Min</t>
    <phoneticPr fontId="3" type="noConversion"/>
  </si>
  <si>
    <t>金币/现金</t>
    <phoneticPr fontId="3" type="noConversion"/>
  </si>
  <si>
    <t>现金换金币</t>
    <phoneticPr fontId="3" type="noConversion"/>
  </si>
  <si>
    <t>普卡现金</t>
    <phoneticPr fontId="3" type="noConversion"/>
  </si>
  <si>
    <t>橙卡现金</t>
    <phoneticPr fontId="3" type="noConversion"/>
  </si>
  <si>
    <t>紫卡现金</t>
    <phoneticPr fontId="3" type="noConversion"/>
  </si>
  <si>
    <t>购买张数</t>
    <phoneticPr fontId="3" type="noConversion"/>
  </si>
  <si>
    <t>普卡累加价格</t>
    <phoneticPr fontId="3" type="noConversion"/>
  </si>
  <si>
    <t>橙卡累加价格</t>
    <phoneticPr fontId="3" type="noConversion"/>
  </si>
  <si>
    <t>紫卡累加价格</t>
    <phoneticPr fontId="3" type="noConversion"/>
  </si>
  <si>
    <r>
      <rPr>
        <b/>
        <sz val="11"/>
        <color theme="1"/>
        <rFont val="宋体"/>
        <family val="3"/>
        <charset val="134"/>
        <scheme val="minor"/>
      </rPr>
      <t>累计购买需要现金</t>
    </r>
    <r>
      <rPr>
        <sz val="11"/>
        <color theme="1"/>
        <rFont val="宋体"/>
        <family val="3"/>
        <charset val="134"/>
        <scheme val="minor"/>
      </rPr>
      <t>(</t>
    </r>
    <r>
      <rPr>
        <sz val="11"/>
        <color theme="1"/>
        <rFont val="宋体"/>
        <family val="2"/>
        <charset val="134"/>
        <scheme val="minor"/>
      </rPr>
      <t>性价比Min)</t>
    </r>
    <phoneticPr fontId="3" type="noConversion"/>
  </si>
  <si>
    <r>
      <rPr>
        <b/>
        <sz val="11"/>
        <color theme="1"/>
        <rFont val="宋体"/>
        <family val="3"/>
        <charset val="134"/>
        <scheme val="minor"/>
      </rPr>
      <t>累计购买需要现金</t>
    </r>
    <r>
      <rPr>
        <sz val="11"/>
        <color theme="1"/>
        <rFont val="宋体"/>
        <family val="3"/>
        <charset val="134"/>
        <scheme val="minor"/>
      </rPr>
      <t>(</t>
    </r>
    <r>
      <rPr>
        <sz val="11"/>
        <color theme="1"/>
        <rFont val="宋体"/>
        <family val="2"/>
        <charset val="134"/>
        <scheme val="minor"/>
      </rPr>
      <t>性价比</t>
    </r>
    <r>
      <rPr>
        <sz val="11"/>
        <color theme="1"/>
        <rFont val="宋体"/>
        <family val="3"/>
        <charset val="134"/>
        <scheme val="minor"/>
      </rPr>
      <t>Max</t>
    </r>
    <r>
      <rPr>
        <sz val="11"/>
        <color theme="1"/>
        <rFont val="宋体"/>
        <family val="2"/>
        <charset val="134"/>
        <scheme val="minor"/>
      </rPr>
      <t>)</t>
    </r>
    <phoneticPr fontId="3" type="noConversion"/>
  </si>
  <si>
    <r>
      <rPr>
        <b/>
        <sz val="11"/>
        <color theme="1"/>
        <rFont val="宋体"/>
        <family val="3"/>
        <charset val="134"/>
        <scheme val="minor"/>
      </rPr>
      <t>购买一张需要现金</t>
    </r>
    <r>
      <rPr>
        <sz val="11"/>
        <color theme="1"/>
        <rFont val="宋体"/>
        <family val="3"/>
        <charset val="134"/>
        <scheme val="minor"/>
      </rPr>
      <t>(</t>
    </r>
    <r>
      <rPr>
        <sz val="11"/>
        <color theme="1"/>
        <rFont val="宋体"/>
        <family val="2"/>
        <charset val="134"/>
        <scheme val="minor"/>
      </rPr>
      <t>性价比</t>
    </r>
    <r>
      <rPr>
        <sz val="11"/>
        <color theme="1"/>
        <rFont val="宋体"/>
        <family val="3"/>
        <charset val="134"/>
        <scheme val="minor"/>
      </rPr>
      <t>Max</t>
    </r>
    <r>
      <rPr>
        <sz val="11"/>
        <color theme="1"/>
        <rFont val="宋体"/>
        <family val="2"/>
        <charset val="134"/>
        <scheme val="minor"/>
      </rPr>
      <t>)</t>
    </r>
    <phoneticPr fontId="3" type="noConversion"/>
  </si>
  <si>
    <t>箱子_任务宝箱_刷新时间（相对0点的偏移）</t>
    <phoneticPr fontId="3" type="noConversion"/>
  </si>
  <si>
    <t>shop_card_week4Title</t>
  </si>
  <si>
    <t>商店_卡牌_周4_标题</t>
  </si>
  <si>
    <t>shop_card_week3Title</t>
  </si>
  <si>
    <t>商店_卡牌_周3_标题</t>
  </si>
  <si>
    <t>shop_card_week2Title</t>
  </si>
  <si>
    <t>商店_卡牌_周2_标题</t>
  </si>
  <si>
    <t>shop_card_week1Title</t>
  </si>
  <si>
    <t>商店_卡牌_周1_标题</t>
  </si>
  <si>
    <t>shop_card_week5Title</t>
  </si>
  <si>
    <t>商店_卡牌_周5_标题</t>
  </si>
  <si>
    <t>shop_card_week6Title</t>
  </si>
  <si>
    <t>商店_卡牌_周6_标题</t>
  </si>
  <si>
    <t>空格</t>
    <phoneticPr fontId="3" type="noConversion"/>
  </si>
  <si>
    <t>根据实际测试，修改了能量恢复速度</t>
    <phoneticPr fontId="3" type="noConversion"/>
  </si>
  <si>
    <t>防御塔腰围</t>
    <phoneticPr fontId="3" type="noConversion"/>
  </si>
  <si>
    <t>kingTowerHalfWeight</t>
    <phoneticPr fontId="9" type="noConversion"/>
  </si>
  <si>
    <t>arenaTowerHP</t>
    <phoneticPr fontId="9" type="noConversion"/>
  </si>
  <si>
    <t>arenaTowerHalfWeight</t>
    <phoneticPr fontId="3" type="noConversion"/>
  </si>
  <si>
    <t>联盟_捐赠_需要竞技场等级</t>
    <phoneticPr fontId="3" type="noConversion"/>
  </si>
  <si>
    <t>fight_legend_startDate</t>
    <phoneticPr fontId="3" type="noConversion"/>
  </si>
  <si>
    <t>fight_legend_loopDate</t>
    <phoneticPr fontId="3" type="noConversion"/>
  </si>
  <si>
    <t>战斗-传奇竞技场第一次刷新日期</t>
    <phoneticPr fontId="3" type="noConversion"/>
  </si>
  <si>
    <t>战斗-传奇竞技场奖杯条件</t>
    <phoneticPr fontId="3" type="noConversion"/>
  </si>
  <si>
    <t>战斗匹配</t>
    <phoneticPr fontId="3" type="noConversion"/>
  </si>
  <si>
    <t>战斗匹配-竞技场-胜利次数-区间最小值</t>
    <phoneticPr fontId="3" type="noConversion"/>
  </si>
  <si>
    <t>match_arena_winCountMin</t>
    <phoneticPr fontId="3" type="noConversion"/>
  </si>
  <si>
    <t>match_arena_winCountMax</t>
    <phoneticPr fontId="3" type="noConversion"/>
  </si>
  <si>
    <t>match_arena_recordCount</t>
    <phoneticPr fontId="3" type="noConversion"/>
  </si>
  <si>
    <t>战斗匹配-竞技场-胜利次数-区间最大值</t>
    <phoneticPr fontId="3" type="noConversion"/>
  </si>
  <si>
    <t>match_arena_trophy0_min</t>
    <phoneticPr fontId="3" type="noConversion"/>
  </si>
  <si>
    <t>match_arena_trophy0_max</t>
    <phoneticPr fontId="3" type="noConversion"/>
  </si>
  <si>
    <t>match_arena_trophy1_min</t>
  </si>
  <si>
    <t>match_arena_trophy1_max</t>
  </si>
  <si>
    <t>match_arena_trophy2_min</t>
  </si>
  <si>
    <t>match_arena_trophy2_max</t>
  </si>
  <si>
    <t>战斗匹配-竞技场-弱者-奖杯差值-最小值</t>
    <phoneticPr fontId="3" type="noConversion"/>
  </si>
  <si>
    <t>战斗匹配-竞技场-弱者-奖杯差值-最大值</t>
    <phoneticPr fontId="3" type="noConversion"/>
  </si>
  <si>
    <t>战斗匹配-竞技场-强者-奖杯差值-最小值</t>
    <phoneticPr fontId="3" type="noConversion"/>
  </si>
  <si>
    <t>战斗匹配-竞技场-强者-奖杯差值-最大值</t>
    <phoneticPr fontId="3" type="noConversion"/>
  </si>
  <si>
    <t>战斗匹配-竞技场-普通玩家-奖杯差值-最小值</t>
    <phoneticPr fontId="3" type="noConversion"/>
  </si>
  <si>
    <t>战斗匹配-竞技场-普通玩家-奖杯差值-最大值</t>
    <phoneticPr fontId="3" type="noConversion"/>
  </si>
  <si>
    <t>match_arena_step1_trophyDelta</t>
    <phoneticPr fontId="3" type="noConversion"/>
  </si>
  <si>
    <t>match_PK_recordCount</t>
    <phoneticPr fontId="3" type="noConversion"/>
  </si>
  <si>
    <t>match_PK_InitRecordCount</t>
    <phoneticPr fontId="3" type="noConversion"/>
  </si>
  <si>
    <t>战斗匹配-赌博PK-胜利次数默认值</t>
    <phoneticPr fontId="3" type="noConversion"/>
  </si>
  <si>
    <t>战斗匹配-竞技场-记录最后N次战斗的结果（胜=1 负/平=0）</t>
    <phoneticPr fontId="3" type="noConversion"/>
  </si>
  <si>
    <t>战斗匹配-赌博PK-记录最后N次战斗的结果（胜=1 负/平=0）</t>
    <phoneticPr fontId="3" type="noConversion"/>
  </si>
  <si>
    <t>match_arena_step2_trophyDelta</t>
  </si>
  <si>
    <t>match_arena_step3_trophyDelta</t>
  </si>
  <si>
    <t>战斗匹配-竞技场-阶段1-奖杯差值（第一个值是竞技场0阶）</t>
    <phoneticPr fontId="3" type="noConversion"/>
  </si>
  <si>
    <t>战斗匹配-竞技场-阶段2-奖杯差值（第一个值是竞技场0阶）</t>
    <phoneticPr fontId="3" type="noConversion"/>
  </si>
  <si>
    <t>战斗匹配-竞技场-阶段3-奖杯差值（第一个值是竞技场0阶）</t>
    <phoneticPr fontId="3" type="noConversion"/>
  </si>
  <si>
    <t>clan_donation_reuqest_cooldown</t>
    <phoneticPr fontId="3" type="noConversion"/>
  </si>
  <si>
    <t>clan_donation_arenaLevel</t>
    <phoneticPr fontId="3" type="noConversion"/>
  </si>
  <si>
    <t>fight_legend_limit</t>
    <phoneticPr fontId="3" type="noConversion"/>
  </si>
  <si>
    <t>战斗-每天获得金币次数上限</t>
    <phoneticPr fontId="3" type="noConversion"/>
  </si>
  <si>
    <t>联盟_捐赠_普卡_捐兵值</t>
    <phoneticPr fontId="3" type="noConversion"/>
  </si>
  <si>
    <t>联盟_捐赠_金卡_捐兵值</t>
    <phoneticPr fontId="3" type="noConversion"/>
  </si>
  <si>
    <t>clan_donation_duration</t>
    <phoneticPr fontId="3" type="noConversion"/>
  </si>
  <si>
    <t>联盟_捐赠_请求持续时间（时间结束后，捐赠停止）</t>
    <phoneticPr fontId="3" type="noConversion"/>
  </si>
  <si>
    <t>clan_donationValue_clearTime</t>
    <phoneticPr fontId="3" type="noConversion"/>
  </si>
  <si>
    <t>联盟_捐赠_捐赠值每条清空的时间（相对0点偏移-秒）</t>
    <phoneticPr fontId="3" type="noConversion"/>
  </si>
  <si>
    <t>clan_donation_common_gold</t>
    <phoneticPr fontId="3" type="noConversion"/>
  </si>
  <si>
    <t>clan_donation_rare_exp</t>
    <phoneticPr fontId="3" type="noConversion"/>
  </si>
  <si>
    <t>clan_donation_common_exp</t>
    <phoneticPr fontId="3" type="noConversion"/>
  </si>
  <si>
    <t>clan_donation_common_Value</t>
    <phoneticPr fontId="3" type="noConversion"/>
  </si>
  <si>
    <t>fight_rewardGold_limit</t>
    <phoneticPr fontId="3" type="noConversion"/>
  </si>
  <si>
    <t>fight_meleeDistance</t>
    <phoneticPr fontId="3" type="noConversion"/>
  </si>
  <si>
    <t>战斗-通用的近战攻击距离</t>
    <phoneticPr fontId="3" type="noConversion"/>
  </si>
  <si>
    <t>防御塔伤害</t>
    <phoneticPr fontId="3" type="noConversion"/>
  </si>
  <si>
    <t>国王塔HP</t>
    <phoneticPr fontId="3" type="noConversion"/>
  </si>
  <si>
    <t>国王塔腰围</t>
    <phoneticPr fontId="3" type="noConversion"/>
  </si>
  <si>
    <t>国王塔攻击速度</t>
    <phoneticPr fontId="9" type="noConversion"/>
  </si>
  <si>
    <t>国王塔伤害</t>
    <phoneticPr fontId="3" type="noConversion"/>
  </si>
  <si>
    <t>notNull</t>
    <phoneticPr fontId="19" type="noConversion"/>
  </si>
  <si>
    <t>prevToNext</t>
  </si>
  <si>
    <t>攻击准备时间</t>
    <phoneticPr fontId="19" type="noConversion"/>
  </si>
  <si>
    <t>国王塔射程</t>
    <phoneticPr fontId="3" type="noConversion"/>
  </si>
  <si>
    <t>防御塔射程</t>
    <phoneticPr fontId="3" type="noConversion"/>
  </si>
  <si>
    <t>notNull</t>
    <phoneticPr fontId="19" type="noConversion"/>
  </si>
  <si>
    <t>子弹飞行速度</t>
  </si>
  <si>
    <t>kingTowerAttackDelayTime</t>
    <phoneticPr fontId="19" type="noConversion"/>
  </si>
  <si>
    <t>kingTowerTokenFlySpeed</t>
    <phoneticPr fontId="19" type="noConversion"/>
  </si>
  <si>
    <t>arenaTowerAttackDelayTime</t>
    <phoneticPr fontId="19" type="noConversion"/>
  </si>
  <si>
    <t>arenaTowerTokenFlySpeed</t>
    <phoneticPr fontId="19" type="noConversion"/>
  </si>
  <si>
    <t>国王塔实际射程格子</t>
    <phoneticPr fontId="3" type="noConversion"/>
  </si>
  <si>
    <t>防御塔实际射程格子</t>
    <phoneticPr fontId="3" type="noConversion"/>
  </si>
  <si>
    <t>world_ClientLabelWhiteList</t>
    <phoneticPr fontId="3" type="noConversion"/>
  </si>
  <si>
    <t>客户端标志的白名单</t>
    <phoneticPr fontId="3" type="noConversion"/>
  </si>
  <si>
    <t>客户端版本号的白名单</t>
    <phoneticPr fontId="3" type="noConversion"/>
  </si>
  <si>
    <t>world_ClientVersionWhiteList</t>
    <phoneticPr fontId="3" type="noConversion"/>
  </si>
  <si>
    <t>android_default_1.0,ios_default_1.0</t>
    <phoneticPr fontId="3" type="noConversion"/>
  </si>
  <si>
    <t>骑士，弓箭手，炸弹人，箭雨，火球，巨人'6,4,5,101,103,13</t>
    <phoneticPr fontId="3" type="noConversion"/>
  </si>
  <si>
    <t>商店_卡牌_史诗_价格（数组长度=购买次数上限）</t>
    <phoneticPr fontId="3" type="noConversion"/>
  </si>
  <si>
    <t>card_legendary_NumMax</t>
    <phoneticPr fontId="3" type="noConversion"/>
  </si>
  <si>
    <t>shop_card_legendary_price</t>
    <phoneticPr fontId="3" type="noConversion"/>
  </si>
  <si>
    <t>40000,80000</t>
    <phoneticPr fontId="3" type="noConversion"/>
  </si>
  <si>
    <t>程序还没增加此字段</t>
    <phoneticPr fontId="3" type="noConversion"/>
  </si>
  <si>
    <t>赌博系统</t>
    <phoneticPr fontId="3" type="noConversion"/>
  </si>
  <si>
    <t>bet_wager_type2</t>
  </si>
  <si>
    <t>bet_wager_type3</t>
  </si>
  <si>
    <t>bet_wager_type1</t>
    <phoneticPr fontId="3" type="noConversion"/>
  </si>
  <si>
    <t>赌博赌注2-类型</t>
  </si>
  <si>
    <t>赌博赌注3-类型</t>
  </si>
  <si>
    <t>bet_wager_number1</t>
  </si>
  <si>
    <t>bet_wager_number2</t>
  </si>
  <si>
    <t>bet_wager_number3</t>
  </si>
  <si>
    <t>赌博赌注1-货币数量</t>
    <phoneticPr fontId="3" type="noConversion"/>
  </si>
  <si>
    <t>赌博赌注2-货币数量</t>
  </si>
  <si>
    <t>赌博赌注3-货币数量</t>
  </si>
  <si>
    <t>bet_get_gold_max</t>
  </si>
  <si>
    <t>bet_get_ingot_max</t>
  </si>
  <si>
    <t>赌博-每天获得金币上限（获得奖励减去花费的赌注）</t>
    <phoneticPr fontId="3" type="noConversion"/>
  </si>
  <si>
    <t>赌博-每天获得钻石上限（获得奖励减去花费的赌注）</t>
    <phoneticPr fontId="3" type="noConversion"/>
  </si>
  <si>
    <t>赌博赌注1-类型(4钻石5金币）</t>
    <phoneticPr fontId="3" type="noConversion"/>
  </si>
  <si>
    <t>bet_tower_level</t>
  </si>
  <si>
    <t>bet_card_common_level</t>
  </si>
  <si>
    <t>bet_card_rare_level</t>
  </si>
  <si>
    <t>bet_card_epic_level</t>
  </si>
  <si>
    <t>bet_card_legendary_level</t>
  </si>
  <si>
    <t>bet_fight_overtime</t>
  </si>
  <si>
    <t>赌博-加时赛时长（秒）</t>
    <phoneticPr fontId="3" type="noConversion"/>
  </si>
  <si>
    <t>赌博-塔的固定等级</t>
    <phoneticPr fontId="3" type="noConversion"/>
  </si>
  <si>
    <t>赌博-卡牌-品质0-固定等级</t>
    <phoneticPr fontId="3" type="noConversion"/>
  </si>
  <si>
    <t>赌博-卡牌-品质1-固定等级</t>
  </si>
  <si>
    <t>赌博-卡牌-品质2-固定等级</t>
  </si>
  <si>
    <t>赌博-卡牌-品质3-固定等级</t>
  </si>
  <si>
    <t>bet_card_quality0_level</t>
  </si>
  <si>
    <t>bet_card_quality1_level</t>
  </si>
  <si>
    <t>bet_card_quality2_level</t>
  </si>
  <si>
    <t>bet_card_quality3_level</t>
  </si>
  <si>
    <t>bet_wager_common_bonus_percent</t>
  </si>
  <si>
    <t>bet_wager_added_bonus_lose_time</t>
  </si>
  <si>
    <t>bet_wager_added_bonus_percent</t>
  </si>
  <si>
    <t>bet_match1_second</t>
    <phoneticPr fontId="3" type="noConversion"/>
  </si>
  <si>
    <t>bet_match2_second</t>
    <phoneticPr fontId="3" type="noConversion"/>
  </si>
  <si>
    <t>bet_match_over_second</t>
    <phoneticPr fontId="3" type="noConversion"/>
  </si>
  <si>
    <t>赌博-给额外奖励连输次数</t>
    <phoneticPr fontId="3" type="noConversion"/>
  </si>
  <si>
    <t>赌博-额外奖励百分比</t>
    <phoneticPr fontId="3" type="noConversion"/>
  </si>
  <si>
    <t>赌博-匹配阶段1-时间</t>
    <phoneticPr fontId="3" type="noConversion"/>
  </si>
  <si>
    <t>赌博-匹配阶段2-时间</t>
  </si>
  <si>
    <t>赌博-超过匹配阶段2时间后，每隔N秒扩大匹配范围</t>
    <phoneticPr fontId="3" type="noConversion"/>
  </si>
  <si>
    <t>bet_wager_first_bonus_percent</t>
  </si>
  <si>
    <t>赌博-普通奖励百分比</t>
    <phoneticPr fontId="3" type="noConversion"/>
  </si>
  <si>
    <t>赌博-首胜奖励百分比</t>
    <phoneticPr fontId="3" type="noConversion"/>
  </si>
  <si>
    <t>赌博-轮盘-获得奖励的上限</t>
    <phoneticPr fontId="3" type="noConversion"/>
  </si>
  <si>
    <t>赌博-轮盘-激活时需要的筹码数组</t>
    <phoneticPr fontId="3" type="noConversion"/>
  </si>
  <si>
    <t>赌博-轮盘-转动花费系数</t>
    <phoneticPr fontId="3" type="noConversion"/>
  </si>
  <si>
    <t>赌博-轮盘-第一次转动花费值</t>
    <phoneticPr fontId="3" type="noConversion"/>
  </si>
  <si>
    <t>bet_wheel_reward_max</t>
    <phoneticPr fontId="3" type="noConversion"/>
  </si>
  <si>
    <t>tv_weight_top20_vs_top20</t>
    <phoneticPr fontId="3" type="noConversion"/>
  </si>
  <si>
    <t>bet_wheel_reward_weight</t>
    <phoneticPr fontId="3" type="noConversion"/>
  </si>
  <si>
    <t>bet_wheel_activation_cd</t>
    <phoneticPr fontId="3" type="noConversion"/>
  </si>
  <si>
    <t>赌博-轮盘-激活倒计时长度(激活持续时间）</t>
    <phoneticPr fontId="3" type="noConversion"/>
  </si>
  <si>
    <t>除以100后是系数</t>
    <phoneticPr fontId="3" type="noConversion"/>
  </si>
  <si>
    <t>各项概率=各项/（各项之和）</t>
    <phoneticPr fontId="3" type="noConversion"/>
  </si>
  <si>
    <t>秒</t>
    <phoneticPr fontId="3" type="noConversion"/>
  </si>
  <si>
    <t>bet_wheel_roll_price_factor</t>
    <phoneticPr fontId="3" type="noConversion"/>
  </si>
  <si>
    <t>bet_wheel_roll_first_price</t>
    <phoneticPr fontId="3" type="noConversion"/>
  </si>
  <si>
    <t>bet_openNeedPlayerLevel</t>
    <phoneticPr fontId="3" type="noConversion"/>
  </si>
  <si>
    <t>赌博系统开启需要玩家等级</t>
    <phoneticPr fontId="3" type="noConversion"/>
  </si>
  <si>
    <t>115,130,140,160,180,200</t>
    <phoneticPr fontId="3" type="noConversion"/>
  </si>
  <si>
    <t>bet_wheel_reward_factor</t>
    <phoneticPr fontId="3" type="noConversion"/>
  </si>
  <si>
    <r>
      <t>赌博-轮盘-每档奖励系数数组</t>
    </r>
    <r>
      <rPr>
        <b/>
        <sz val="11"/>
        <color rgb="FFFF0000"/>
        <rFont val="宋体"/>
        <family val="3"/>
        <charset val="134"/>
        <scheme val="minor"/>
      </rPr>
      <t>(1-6档）</t>
    </r>
    <phoneticPr fontId="3" type="noConversion"/>
  </si>
  <si>
    <r>
      <t>赌博-轮盘-每档概率数组</t>
    </r>
    <r>
      <rPr>
        <b/>
        <sz val="11"/>
        <color rgb="FFFF0000"/>
        <rFont val="宋体"/>
        <family val="3"/>
        <charset val="134"/>
        <scheme val="minor"/>
      </rPr>
      <t>(2-6档，以后改成5个数）</t>
    </r>
    <phoneticPr fontId="3" type="noConversion"/>
  </si>
  <si>
    <t>bet_wheel_ingot2gold</t>
    <phoneticPr fontId="3" type="noConversion"/>
  </si>
  <si>
    <t>赌博-轮盘-1个钻石换算的金币数</t>
    <phoneticPr fontId="3" type="noConversion"/>
  </si>
  <si>
    <t xml:space="preserve">bet_wheel_legendary_ingot_range </t>
    <phoneticPr fontId="3" type="noConversion"/>
  </si>
  <si>
    <t>bet_wheel_legendary_weight</t>
    <phoneticPr fontId="3" type="noConversion"/>
  </si>
  <si>
    <t>bet_wheel_legendary_cardNum</t>
    <phoneticPr fontId="3" type="noConversion"/>
  </si>
  <si>
    <t>赌博-轮盘-传说卡档-钻石价值区间</t>
    <phoneticPr fontId="3" type="noConversion"/>
  </si>
  <si>
    <t>赌博-轮盘-传说卡档-随机权重</t>
    <phoneticPr fontId="3" type="noConversion"/>
  </si>
  <si>
    <t>赌博-轮盘-传说卡档-传奇卡数量</t>
    <phoneticPr fontId="3" type="noConversion"/>
  </si>
  <si>
    <t>bet_wheel_legendary_card_Id</t>
    <phoneticPr fontId="3" type="noConversion"/>
  </si>
  <si>
    <t>bet_wheel_legendary_card_weight</t>
    <phoneticPr fontId="3" type="noConversion"/>
  </si>
  <si>
    <t>赌博-轮盘-传说卡档-传奇卡ID数组（在这里随机一个ID）</t>
    <phoneticPr fontId="3" type="noConversion"/>
  </si>
  <si>
    <t>赌博-轮盘-传说卡档-权重</t>
    <phoneticPr fontId="3" type="noConversion"/>
  </si>
  <si>
    <t>bet_wheel_sysTips_gold</t>
    <phoneticPr fontId="3" type="noConversion"/>
  </si>
  <si>
    <t>bet_wheel_sysTips_ingot</t>
    <phoneticPr fontId="3" type="noConversion"/>
  </si>
  <si>
    <t>bet_wheel_sysTips_win_streak</t>
    <phoneticPr fontId="3" type="noConversion"/>
  </si>
  <si>
    <t>赌博-轮盘-走马灯-触发条件：连胜次数</t>
    <phoneticPr fontId="3" type="noConversion"/>
  </si>
  <si>
    <t>赌博-轮盘-走马灯-触发条件：累计获得金币</t>
    <phoneticPr fontId="3" type="noConversion"/>
  </si>
  <si>
    <t>赌博-轮盘-走马灯-触发条件：累计获得钻石</t>
    <phoneticPr fontId="3" type="noConversion"/>
  </si>
  <si>
    <t>bet_wheel_activation_chip</t>
    <phoneticPr fontId="3" type="noConversion"/>
  </si>
  <si>
    <t>bet_fight_win_chip</t>
    <phoneticPr fontId="3" type="noConversion"/>
  </si>
  <si>
    <t>bet_fight_lose_chip</t>
    <phoneticPr fontId="3" type="noConversion"/>
  </si>
  <si>
    <t>赌博-战斗胜利获得筹码</t>
    <phoneticPr fontId="3" type="noConversion"/>
  </si>
  <si>
    <t>赌博-战斗失败获得筹码</t>
    <phoneticPr fontId="3" type="noConversion"/>
  </si>
  <si>
    <t>100,100</t>
    <phoneticPr fontId="3" type="noConversion"/>
  </si>
  <si>
    <t>5,10,20,35,20,10</t>
    <phoneticPr fontId="3" type="noConversion"/>
  </si>
  <si>
    <t>1.0.0.1,1.0.0.2</t>
    <phoneticPr fontId="3" type="noConversion"/>
  </si>
  <si>
    <t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t>
    <phoneticPr fontId="3" type="noConversion"/>
  </si>
  <si>
    <t>80,60,40,20</t>
    <phoneticPr fontId="3" type="noConversion"/>
  </si>
  <si>
    <t>3,4,5,6,7,8,10,12,14,17,20,24,29,35,42,50,60,72,86,103,124,149,179,215,258,310,372,446,535,642,770,924,1109,1331,1597,1916,2299,2759,3311,3973,4768,5722,6866,8239,9887,11864,14237,17084,20501,24601</t>
    <phoneticPr fontId="3" type="noConversion"/>
  </si>
  <si>
    <t>40,56,78,109,153,214,300,420,588,823,1152,1613,2258,3161,4425,6195,8673,12142,16999,23799</t>
    <phoneticPr fontId="3" type="noConversion"/>
  </si>
  <si>
    <t>2000,3600,6480,11664,20995,37791,68024,122443,220397,396715</t>
    <phoneticPr fontId="3" type="noConversion"/>
  </si>
  <si>
    <t>80,500,1200,2500,6500,14000</t>
    <phoneticPr fontId="3" type="noConversion"/>
  </si>
  <si>
    <t>60,500,4500</t>
    <phoneticPr fontId="3" type="noConversion"/>
  </si>
  <si>
    <t>1000,10000,100000</t>
    <phoneticPr fontId="3" type="noConversion"/>
  </si>
  <si>
    <t>0,200,400,600,800,1000</t>
    <phoneticPr fontId="3" type="noConversion"/>
  </si>
  <si>
    <t>0,500,1000,1500,2000,2500,3000,3500,4000,4500,5000,5500,6000,6500,7000,7500,8000,8500,9000,9500,10000,10500,11000,11500,12000,12500,13000,13500,14000,14500,15000,15500,16000,16500,17000,17500,18000,18500,19000,19500,20000,20500,21000,21500,22000,22500,23000,23500,24000,24500,25000,25500,26000,26500,27000,27500,28000,28500,29000,29500,30000,30500,31000,31500,32000,32500,33000,33500,34000,34500,35000,35500,36000,36500,37000,37500,38000,38500,39000,39500,40000,40500,41000,41500,42000,42500,43000,43500,44000,44500,45000,45500,46000,46500,47000,47500,48000,48500,49000,49500,50000</t>
    <phoneticPr fontId="3" type="noConversion"/>
  </si>
  <si>
    <t>200,400,1000,1500,2000,5454,10908,18180,27270,38178,50904,65448,81810,99990,119988,141804,165438,190890,218160,247248</t>
    <phoneticPr fontId="3" type="noConversion"/>
  </si>
  <si>
    <t>5,6,7,8,9,20,35,40,45,50,50,50,50,50,50,50,50,50,50,50</t>
    <phoneticPr fontId="3" type="noConversion"/>
  </si>
  <si>
    <t>1,1,1,1,1,2,3,4,5,6,7,8,9,10,11,12,13,14,15,16</t>
    <phoneticPr fontId="3" type="noConversion"/>
  </si>
  <si>
    <t>guide_battle_robot</t>
    <phoneticPr fontId="3" type="noConversion"/>
  </si>
  <si>
    <t>新手引导-战斗的机器人数组</t>
    <phoneticPr fontId="3" type="noConversion"/>
  </si>
  <si>
    <t>功能开启</t>
    <phoneticPr fontId="3" type="noConversion"/>
  </si>
  <si>
    <t>排行榜-功能开启需要的玩家等级</t>
    <phoneticPr fontId="3" type="noConversion"/>
  </si>
  <si>
    <t>成就-功能开启需要的玩家等级</t>
    <phoneticPr fontId="3" type="noConversion"/>
  </si>
  <si>
    <t>2</t>
    <phoneticPr fontId="3" type="noConversion"/>
  </si>
  <si>
    <t>4</t>
    <phoneticPr fontId="3" type="noConversion"/>
  </si>
  <si>
    <t>3</t>
    <phoneticPr fontId="3" type="noConversion"/>
  </si>
  <si>
    <t>rank_openNeedPlayerLevel</t>
    <phoneticPr fontId="3" type="noConversion"/>
  </si>
  <si>
    <t>email_openNeedPlayerLevel</t>
    <phoneticPr fontId="3" type="noConversion"/>
  </si>
  <si>
    <t>achievement_openNeedPlayerLevel</t>
    <phoneticPr fontId="3" type="noConversion"/>
  </si>
  <si>
    <t>邮件/战报-功能开启需要的玩家等级</t>
    <phoneticPr fontId="3" type="noConversion"/>
  </si>
  <si>
    <t>新手引导</t>
    <phoneticPr fontId="3" type="noConversion"/>
  </si>
  <si>
    <t>1,2,3,4</t>
    <phoneticPr fontId="3" type="noConversion"/>
  </si>
  <si>
    <t>guide_battle_chest_id</t>
    <phoneticPr fontId="3" type="noConversion"/>
  </si>
  <si>
    <t>guide_battle_chest_level</t>
    <phoneticPr fontId="3" type="noConversion"/>
  </si>
  <si>
    <t>1,2,3,4</t>
    <phoneticPr fontId="3" type="noConversion"/>
  </si>
  <si>
    <t>新手引导-战斗奖励宝箱ID</t>
    <phoneticPr fontId="3" type="noConversion"/>
  </si>
  <si>
    <t>新手引导-战斗奖励宝箱等级</t>
    <phoneticPr fontId="3" type="noConversion"/>
  </si>
  <si>
    <t>固定奖励种类</t>
    <phoneticPr fontId="19" type="noConversion"/>
  </si>
  <si>
    <t>固定奖励数量</t>
    <phoneticPr fontId="19" type="noConversion"/>
  </si>
  <si>
    <t>固定奖励随机列表</t>
    <phoneticPr fontId="19" type="noConversion"/>
  </si>
  <si>
    <t>随机概率</t>
    <phoneticPr fontId="19" type="noConversion"/>
  </si>
  <si>
    <t>随机奖励种类</t>
    <phoneticPr fontId="19" type="noConversion"/>
  </si>
  <si>
    <t>随机奖励数量</t>
    <phoneticPr fontId="19" type="noConversion"/>
  </si>
  <si>
    <t>随机奖励随机列表</t>
    <phoneticPr fontId="19" type="noConversion"/>
  </si>
  <si>
    <t>fixType</t>
    <phoneticPr fontId="3" type="noConversion"/>
  </si>
  <si>
    <t>fixNum</t>
    <phoneticPr fontId="3" type="noConversion"/>
  </si>
  <si>
    <t>fixList</t>
    <phoneticPr fontId="3" type="noConversion"/>
  </si>
  <si>
    <t>randomProbability</t>
    <phoneticPr fontId="3" type="noConversion"/>
  </si>
  <si>
    <t>randomType</t>
    <phoneticPr fontId="3" type="noConversion"/>
  </si>
  <si>
    <t>randomNum</t>
    <phoneticPr fontId="3" type="noConversion"/>
  </si>
  <si>
    <t>randomList</t>
    <phoneticPr fontId="3" type="noConversion"/>
  </si>
  <si>
    <t>int32[]</t>
  </si>
  <si>
    <t>301,302</t>
    <phoneticPr fontId="3" type="noConversion"/>
  </si>
  <si>
    <t>301,302,303,304</t>
    <phoneticPr fontId="3" type="noConversion"/>
  </si>
  <si>
    <t>card_initialTowerCardIdList</t>
    <phoneticPr fontId="3" type="noConversion"/>
  </si>
  <si>
    <t>卡牌_初始防御塔牌组</t>
    <phoneticPr fontId="3" type="noConversion"/>
  </si>
  <si>
    <t>301,302,302</t>
    <phoneticPr fontId="3" type="noConversion"/>
  </si>
  <si>
    <t>shop_card_1_epic_weight</t>
  </si>
  <si>
    <t>商店_卡牌_周1~6_史诗_权重 (第3个格子)</t>
  </si>
  <si>
    <t>shop_card_1_legendary_weight</t>
  </si>
  <si>
    <t>商店_卡牌_周1~6_传说_权重 (第3个格子)</t>
  </si>
  <si>
    <t>shop_card_1_tower_weightList</t>
  </si>
  <si>
    <t>商店_卡牌_周1~6_塔_权重列表 (第3个格子) (4个品质)</t>
  </si>
  <si>
    <t>shop_card_7_epic_weight</t>
  </si>
  <si>
    <t>商店_卡牌_周7_史诗_权重 (第8个格子)</t>
  </si>
  <si>
    <t>shop_card_7_legendary_weight</t>
  </si>
  <si>
    <t>商店_卡牌_周7_传说_权重 (第8个格子)</t>
  </si>
  <si>
    <t>shop_card_7_tower_weightList</t>
  </si>
  <si>
    <t>商店_卡牌_周7_塔_权重列表 (第9个格子) (4个品质)</t>
  </si>
  <si>
    <t>2000,2000,2000,2000</t>
    <phoneticPr fontId="3" type="noConversion"/>
  </si>
  <si>
    <t>2500,2500,2500,2500</t>
    <phoneticPr fontId="3" type="noConversion"/>
  </si>
  <si>
    <t>30,35,36,38,40</t>
    <phoneticPr fontId="3" type="noConversion"/>
  </si>
  <si>
    <t>喷漆</t>
    <phoneticPr fontId="3" type="noConversion"/>
  </si>
  <si>
    <t>scrawl_becomeGold</t>
  </si>
  <si>
    <t>喷涂已解锁后获得时_转化为金币</t>
  </si>
  <si>
    <t>card_initialScrawl</t>
    <phoneticPr fontId="3" type="noConversion"/>
  </si>
  <si>
    <t>初始化时解锁的喷涂</t>
    <phoneticPr fontId="3" type="noConversion"/>
  </si>
  <si>
    <t>相扑</t>
    <phoneticPr fontId="3" type="noConversion"/>
  </si>
  <si>
    <t>相扑－功能开启需要的玩家等级</t>
    <phoneticPr fontId="3" type="noConversion"/>
  </si>
  <si>
    <t>clan_openNeedPlayerLevel</t>
    <phoneticPr fontId="3" type="noConversion"/>
  </si>
  <si>
    <t>sumo_openNeedPlayerLevel</t>
    <phoneticPr fontId="3" type="noConversion"/>
  </si>
  <si>
    <t>普卡满级后，还可额外获得的数量上限</t>
    <phoneticPr fontId="3" type="noConversion"/>
  </si>
  <si>
    <t>card_common_NumMax</t>
    <phoneticPr fontId="3" type="noConversion"/>
  </si>
  <si>
    <t>sumo_initNum</t>
    <phoneticPr fontId="3" type="noConversion"/>
  </si>
  <si>
    <t>相扑-初始拥有次数</t>
    <phoneticPr fontId="3" type="noConversion"/>
  </si>
  <si>
    <t>sumo_combo_time</t>
    <phoneticPr fontId="3" type="noConversion"/>
  </si>
  <si>
    <t>sumo_battle_time</t>
    <phoneticPr fontId="3" type="noConversion"/>
  </si>
  <si>
    <t>相扑-战斗时长（秒）</t>
    <phoneticPr fontId="3" type="noConversion"/>
  </si>
  <si>
    <t>sumo_tool_time_min</t>
    <phoneticPr fontId="3" type="noConversion"/>
  </si>
  <si>
    <t>sumo_tool_time_max</t>
    <phoneticPr fontId="3" type="noConversion"/>
  </si>
  <si>
    <t>相扑-随机出道具的最小时间（秒）</t>
    <phoneticPr fontId="3" type="noConversion"/>
  </si>
  <si>
    <t>相扑-随机出道具的最大时间（秒）</t>
    <phoneticPr fontId="3" type="noConversion"/>
  </si>
  <si>
    <t>sumo_match_time_min</t>
    <phoneticPr fontId="3" type="noConversion"/>
  </si>
  <si>
    <t>sumo_match_time_max</t>
    <phoneticPr fontId="3" type="noConversion"/>
  </si>
  <si>
    <t>相扑-匹配随机时间最小时间（秒）（数组长度=24）</t>
    <phoneticPr fontId="3" type="noConversion"/>
  </si>
  <si>
    <t>相扑-匹配随机时间最大时间（秒）（数组长度=24）</t>
    <phoneticPr fontId="3" type="noConversion"/>
  </si>
  <si>
    <r>
      <t>2</t>
    </r>
    <r>
      <rPr>
        <sz val="11"/>
        <color theme="1"/>
        <rFont val="宋体"/>
        <family val="3"/>
        <charset val="134"/>
        <scheme val="minor"/>
      </rPr>
      <t>0,20,20,20,20,5,5,5,5,5,5,5,5,5,5,5,5,5,5,5,5,10,10,20</t>
    </r>
    <phoneticPr fontId="19" type="noConversion"/>
  </si>
  <si>
    <t>60,60,60,50,50,30,30,20,20,20,20,20,20,20,20,20,20,20,20,20,20,50,50,60</t>
    <phoneticPr fontId="19" type="noConversion"/>
  </si>
  <si>
    <t>sumo_rank_1_exp</t>
    <phoneticPr fontId="3" type="noConversion"/>
  </si>
  <si>
    <t>sumo_rank_2_exp</t>
  </si>
  <si>
    <t>sumo_rank_3_exp</t>
  </si>
  <si>
    <t>相扑-战斗结束，排名第1获得的经验</t>
    <phoneticPr fontId="3" type="noConversion"/>
  </si>
  <si>
    <t>相扑-战斗结束，排名第2获得的经验</t>
  </si>
  <si>
    <t>相扑-战斗结束，排名第3获得的经验</t>
  </si>
  <si>
    <t>相扑-战斗结束，排名第4获得的经验</t>
  </si>
  <si>
    <t>sumo_rank_4_exp</t>
    <phoneticPr fontId="3" type="noConversion"/>
  </si>
  <si>
    <t>sumo_combo_exp</t>
    <phoneticPr fontId="3" type="noConversion"/>
  </si>
  <si>
    <t>相扑-连击排名第一奖励经验值</t>
    <phoneticPr fontId="3" type="noConversion"/>
  </si>
  <si>
    <t>经验备份</t>
    <phoneticPr fontId="3" type="noConversion"/>
  </si>
  <si>
    <t>111,110,109,108,107,106,105,104,103,102,101</t>
    <phoneticPr fontId="3" type="noConversion"/>
  </si>
  <si>
    <t>fight_crown_exp</t>
  </si>
  <si>
    <t>fight_crown_exp</t>
    <phoneticPr fontId="3" type="noConversion"/>
  </si>
  <si>
    <t>fight_win_exp</t>
  </si>
  <si>
    <t>fight_win_exp</t>
    <phoneticPr fontId="3" type="noConversion"/>
  </si>
  <si>
    <t>战斗-每个皇冠获得经验</t>
  </si>
  <si>
    <t>战斗-每个皇冠获得经验</t>
    <phoneticPr fontId="3" type="noConversion"/>
  </si>
  <si>
    <t>战斗-获得胜利额外经验</t>
  </si>
  <si>
    <t>战斗-获得胜利额外经验</t>
    <phoneticPr fontId="3" type="noConversion"/>
  </si>
  <si>
    <t>match_arena_recordCount</t>
  </si>
  <si>
    <t>世界</t>
  </si>
  <si>
    <t>主角</t>
  </si>
  <si>
    <t>邮箱</t>
  </si>
  <si>
    <t>成就</t>
  </si>
  <si>
    <t>喷漆</t>
  </si>
  <si>
    <t>卡牌</t>
  </si>
  <si>
    <t>箱子</t>
  </si>
  <si>
    <t>商店</t>
  </si>
  <si>
    <t>功能开启</t>
  </si>
  <si>
    <t>联盟</t>
  </si>
  <si>
    <t>排行榜</t>
  </si>
  <si>
    <t>交战</t>
  </si>
  <si>
    <t>战斗</t>
  </si>
  <si>
    <t>战斗匹配</t>
  </si>
  <si>
    <t>奖杯</t>
  </si>
  <si>
    <t>TV推送</t>
  </si>
  <si>
    <t>赌博系统</t>
  </si>
  <si>
    <t>新手引导</t>
  </si>
  <si>
    <t>相扑</t>
  </si>
  <si>
    <t>fieldName</t>
  </si>
  <si>
    <t>名称</t>
  </si>
  <si>
    <t>world_ClientLabelWhiteList</t>
  </si>
  <si>
    <t>world_ClientVersionWhiteList</t>
  </si>
  <si>
    <t>world_serverMajorVersion</t>
  </si>
  <si>
    <t>world_serverMinorVersion</t>
  </si>
  <si>
    <t>world_planVersion</t>
  </si>
  <si>
    <t>world_zeroTimer</t>
  </si>
  <si>
    <t>player_starting_gold</t>
  </si>
  <si>
    <t>player_starting_ingot</t>
  </si>
  <si>
    <t>mailBox_typeImage_gm_affiche</t>
  </si>
  <si>
    <t>mailBox_typeImage_gm_reward</t>
  </si>
  <si>
    <t>achieve_...</t>
  </si>
  <si>
    <t>card_initialScrawl</t>
  </si>
  <si>
    <t>card_initialCardIdList</t>
  </si>
  <si>
    <t>card_initialTowerCardIdList</t>
  </si>
  <si>
    <t>card_common_NumMax</t>
  </si>
  <si>
    <t>card_rare_NumMax</t>
  </si>
  <si>
    <t>card_epic_NumMax</t>
  </si>
  <si>
    <t>card_legendary_NumMax</t>
  </si>
  <si>
    <t>card_common_becomeGold</t>
  </si>
  <si>
    <t>card_rare_becomeGold</t>
  </si>
  <si>
    <t>card_epic_becomeGold</t>
  </si>
  <si>
    <t>card_legendary_becomeGold</t>
  </si>
  <si>
    <t>chest_free_diamonds</t>
  </si>
  <si>
    <t>chest_free_chestId</t>
  </si>
  <si>
    <t>chest_free_maxCount</t>
  </si>
  <si>
    <t>chest_free_interval</t>
  </si>
  <si>
    <t>chest_crown_diamonds</t>
  </si>
  <si>
    <t>chest_crown_chestId</t>
  </si>
  <si>
    <t>chest_crown_cooldown</t>
  </si>
  <si>
    <t>chest_crown_crownCount</t>
  </si>
  <si>
    <t>chest_arena_mainCycle</t>
  </si>
  <si>
    <t>chest_arena_superChestID</t>
  </si>
  <si>
    <t>chest_arena_superChestLimit</t>
  </si>
  <si>
    <t>chest_arena_superChestProbability</t>
  </si>
  <si>
    <t>chest_speedUpPrice</t>
  </si>
  <si>
    <t>shop_card_common_price</t>
  </si>
  <si>
    <t>shop_card_rare_price</t>
  </si>
  <si>
    <t>shop_card_epic_price</t>
  </si>
  <si>
    <t>shop_card_legendary_price</t>
  </si>
  <si>
    <t>shop_chest_common_id</t>
  </si>
  <si>
    <t>shop_chest_rare_id</t>
  </si>
  <si>
    <t>shop_chest_epic_id</t>
  </si>
  <si>
    <t>shop_ingot_name</t>
  </si>
  <si>
    <t>shop_ingot_getIngot</t>
  </si>
  <si>
    <t>shop_ingot_price</t>
  </si>
  <si>
    <t>shop_ingot_picture</t>
  </si>
  <si>
    <t>shop_ingot_currency</t>
  </si>
  <si>
    <t>shop_gold_name</t>
  </si>
  <si>
    <t>shop_gold_getGold</t>
  </si>
  <si>
    <t>shop_gold_price</t>
  </si>
  <si>
    <t>shop_gold_picture</t>
  </si>
  <si>
    <t>email_openNeedPlayerLevel</t>
  </si>
  <si>
    <t>achievement_openNeedPlayerLevel</t>
  </si>
  <si>
    <t>rank_openNeedPlayerLevel</t>
  </si>
  <si>
    <t>clan_openNeedPlayerLevel</t>
  </si>
  <si>
    <t>sumo_openNeedPlayerLevel</t>
  </si>
  <si>
    <t>clan_createPrice</t>
  </si>
  <si>
    <t>clan_requiredTrophies</t>
  </si>
  <si>
    <t>clan_search_requiredTrophies</t>
  </si>
  <si>
    <t>clan_memberMax</t>
  </si>
  <si>
    <t>clan_mail_cooldown</t>
  </si>
  <si>
    <t>clan_share_replay_cooldown</t>
  </si>
  <si>
    <t>clan_donation_common_exp</t>
  </si>
  <si>
    <t>clan_donation_common_gold</t>
  </si>
  <si>
    <t>clan_donation_common_Value</t>
  </si>
  <si>
    <t>clan_donation_rare_exp</t>
  </si>
  <si>
    <t>clan_donation_rare_gold</t>
  </si>
  <si>
    <t>clan_donation_rare_Value</t>
  </si>
  <si>
    <t>clan_donation_arenaLevel</t>
  </si>
  <si>
    <t>clan_donation_reuqest_cooldown</t>
  </si>
  <si>
    <t>clan_donationValue_clearTime</t>
  </si>
  <si>
    <t>clan_donation_duration</t>
  </si>
  <si>
    <t>clan_donation_jointime_limit</t>
  </si>
  <si>
    <t>ranking_player_...</t>
  </si>
  <si>
    <t>ranking_clan_...</t>
  </si>
  <si>
    <t>battle_training_arena_match_count</t>
  </si>
  <si>
    <t>battle_training_level_to_name</t>
  </si>
  <si>
    <t>fight_mana_max</t>
  </si>
  <si>
    <t>fight_mana_initial</t>
  </si>
  <si>
    <t>fight_mana_recovery</t>
  </si>
  <si>
    <t>fight_mana_recovery_quick</t>
  </si>
  <si>
    <t>fight_mana_time_quick</t>
  </si>
  <si>
    <t>fight_time</t>
  </si>
  <si>
    <t>fight_overtime</t>
  </si>
  <si>
    <t>fight_legend_startDate</t>
  </si>
  <si>
    <t>fight_legend_loopDate</t>
  </si>
  <si>
    <t>fight_legend_limit</t>
  </si>
  <si>
    <t>fight_rewardGold_limit</t>
  </si>
  <si>
    <t>fight_meleeDistance</t>
  </si>
  <si>
    <t>match_arena_winCountMin</t>
  </si>
  <si>
    <t>match_arena_winCountMax</t>
  </si>
  <si>
    <t>match_arena_trophy0_min</t>
  </si>
  <si>
    <t>match_arena_trophy0_max</t>
  </si>
  <si>
    <t>match_arena_step1_trophyDelta</t>
  </si>
  <si>
    <t>match_PK_recordCount</t>
  </si>
  <si>
    <t>match_PK_InitRecordCount</t>
  </si>
  <si>
    <t>trophy_win_max</t>
  </si>
  <si>
    <t>trophy_win_min</t>
  </si>
  <si>
    <t>trophy_lose_max</t>
  </si>
  <si>
    <t>trophy_lose_min</t>
  </si>
  <si>
    <t>trophy_base</t>
  </si>
  <si>
    <t>trophy_delta_factor</t>
  </si>
  <si>
    <t>tv_weight_top3_vs_top3</t>
  </si>
  <si>
    <t>tv_weight_top3_vs_top10</t>
  </si>
  <si>
    <t>tv_weight_top20_vs_top20</t>
  </si>
  <si>
    <t>tv_weight_top200_vs_top200</t>
  </si>
  <si>
    <t>tv_weigth_not_underdog</t>
  </si>
  <si>
    <t>tv_weight_winner_one_crown_behind</t>
  </si>
  <si>
    <t>bet_openNeedPlayerLevel</t>
  </si>
  <si>
    <t>bet_wager_type1</t>
  </si>
  <si>
    <t>bet_fight_win_chip</t>
  </si>
  <si>
    <t>bet_fight_lose_chip</t>
  </si>
  <si>
    <t>bet_match1_second</t>
  </si>
  <si>
    <t>bet_match2_second</t>
  </si>
  <si>
    <t>bet_match_over_second</t>
  </si>
  <si>
    <t>bet_wheel_reward_max</t>
  </si>
  <si>
    <t>bet_wheel_reward_factor</t>
  </si>
  <si>
    <t>bet_wheel_reward_weight</t>
  </si>
  <si>
    <t>bet_wheel_ingot2gold</t>
  </si>
  <si>
    <t xml:space="preserve">bet_wheel_legendary_ingot_range </t>
  </si>
  <si>
    <t>bet_wheel_legendary_weight</t>
  </si>
  <si>
    <t>bet_wheel_legendary_cardNum</t>
  </si>
  <si>
    <t>bet_wheel_legendary_card_Id</t>
  </si>
  <si>
    <t>bet_wheel_legendary_card_weight</t>
  </si>
  <si>
    <t>bet_wheel_activation_chip</t>
  </si>
  <si>
    <t>bet_wheel_activation_cd</t>
  </si>
  <si>
    <t>bet_wheel_roll_price_factor</t>
  </si>
  <si>
    <t>bet_wheel_roll_first_price</t>
  </si>
  <si>
    <t>bet_wheel_sysTips_win_streak</t>
  </si>
  <si>
    <t>bet_wheel_sysTips_gold</t>
  </si>
  <si>
    <t>bet_wheel_sysTips_ingot</t>
  </si>
  <si>
    <t>guide_battle_robot</t>
  </si>
  <si>
    <t>guide_battle_chest_id</t>
  </si>
  <si>
    <t>guide_battle_chest_level</t>
  </si>
  <si>
    <t>sumo_initNum</t>
  </si>
  <si>
    <t>sumo_combo_time</t>
  </si>
  <si>
    <t>sumo_combo_exp</t>
  </si>
  <si>
    <t>sumo_rank_1_exp</t>
  </si>
  <si>
    <t>sumo_rank_4_exp</t>
  </si>
  <si>
    <t>sumo_battle_time</t>
  </si>
  <si>
    <t>sumo_tool_time_min</t>
  </si>
  <si>
    <t>sumo_tool_time_max</t>
  </si>
  <si>
    <t>sumo_match_time_min</t>
  </si>
  <si>
    <t>sumo_match_time_max</t>
  </si>
  <si>
    <t>end_--</t>
  </si>
  <si>
    <t>描述</t>
  </si>
  <si>
    <t>客户端标志的白名单</t>
  </si>
  <si>
    <t>客户端版本号的白名单</t>
  </si>
  <si>
    <t>世界_服务器大版本号</t>
  </si>
  <si>
    <t>世界_服务器小版本号</t>
  </si>
  <si>
    <t>世界_策划数据版本号</t>
  </si>
  <si>
    <t>世界_零点定时器.(重置数据的)(如早上0点5=0*60+5). 单位:分.</t>
  </si>
  <si>
    <t>主角_初始金币</t>
  </si>
  <si>
    <t>主角_初始钻石</t>
  </si>
  <si>
    <t>邮箱_类型图标_gm公告</t>
  </si>
  <si>
    <t>邮箱_类型图标_gm奖励</t>
  </si>
  <si>
    <t>成就_...</t>
  </si>
  <si>
    <t>初始化时解锁的喷涂</t>
  </si>
  <si>
    <t>卡牌_初始牌组</t>
  </si>
  <si>
    <t>卡牌_初始防御塔牌组</t>
  </si>
  <si>
    <t>普卡满级后，还可额外获得的数量上限</t>
  </si>
  <si>
    <t>金卡满级后，还可额外获得的数量上限</t>
  </si>
  <si>
    <t>紫卡满级后，还可额外获得的数量上限</t>
  </si>
  <si>
    <t>（传说）彩卡满级后，还可额外获得的数量上限</t>
  </si>
  <si>
    <t>普卡满级数量达到上限后，超出的变成金币</t>
  </si>
  <si>
    <t>金卡满级数量达到上限后，超出的变成金币</t>
  </si>
  <si>
    <t>紫卡满级数量达到上限后，超出的变成金币</t>
  </si>
  <si>
    <t>（传说）彩卡满级数量达到上限后，超出的变成金币</t>
  </si>
  <si>
    <t>箱子_免费宝箱_获得钻石（循环序列，真实数据）</t>
  </si>
  <si>
    <t>箱子_免费宝箱_箱子ID</t>
  </si>
  <si>
    <t>箱子_免费宝箱_累计数量上限</t>
  </si>
  <si>
    <t>箱子_免费宝箱_倒计时</t>
  </si>
  <si>
    <t>箱子_任务宝箱_获得钻石（循环序列，真实数据）</t>
  </si>
  <si>
    <t>箱子_任务宝箱_箱子ID</t>
  </si>
  <si>
    <t>箱子_任务宝箱_刷新时间（相对0点的偏移）</t>
  </si>
  <si>
    <t>箱子_任务宝箱_需要皇冠数量</t>
  </si>
  <si>
    <t>箱子_战斗宝箱_竞技场箱子的ID循环</t>
  </si>
  <si>
    <t>箱子_战斗宝箱_超级魔法宝箱的ID</t>
  </si>
  <si>
    <t>累计开启箱子数量超过这个值后，有概率产出超级魔法箱子</t>
  </si>
  <si>
    <t>箱子_战斗宝箱_超级魔法宝箱的概率（分母=1万）第1个值是第1个宝箱的概率，最后一个值是后面所有宝箱的概率</t>
  </si>
  <si>
    <t>箱子_加速，每分钟的钻石价格</t>
  </si>
  <si>
    <t>商店_卡牌_普通_价格（数组长度=购买次数上限）</t>
  </si>
  <si>
    <t>商店_卡牌_稀有_价格（数组长度=购买次数上限）</t>
  </si>
  <si>
    <t>商店_卡牌_史诗_价格（数组长度=购买次数上限）</t>
  </si>
  <si>
    <t>商店_卡牌_传奇_价格（数组长度=购买次数上限）</t>
  </si>
  <si>
    <t>商店_买箱子_箱子ID_1</t>
  </si>
  <si>
    <t>商店-钻石（充值）-购买钻石名称</t>
  </si>
  <si>
    <t>商店-钻石（充值）-购买钻石数量</t>
  </si>
  <si>
    <t>商店-钻石（充值）-花费现金金额</t>
  </si>
  <si>
    <t>商店-钻石（充值）-购买钻石 显示图片</t>
  </si>
  <si>
    <t>商店-钻石（充值）-现金种类（人民币、美元、港元等）</t>
  </si>
  <si>
    <t>商店-金币-购买金币名称</t>
  </si>
  <si>
    <t>商店-金币-购买金币数量</t>
  </si>
  <si>
    <t>商店-金币-购买金币价格（钻石）</t>
  </si>
  <si>
    <t>商店-金币-购买金币 显示图片</t>
  </si>
  <si>
    <t>邮件/战报-功能开启需要的玩家等级</t>
  </si>
  <si>
    <t>成就-功能开启需要的玩家等级</t>
  </si>
  <si>
    <t>排行榜-功能开启需要的玩家等级</t>
  </si>
  <si>
    <t>联盟_功能开启需要的玩家等级</t>
  </si>
  <si>
    <t>相扑－功能开启需要的玩家等级</t>
  </si>
  <si>
    <t>联盟_创建消耗金币</t>
  </si>
  <si>
    <t>联盟_加入需要奖杯数量（可设置项）</t>
  </si>
  <si>
    <t>联盟-搜索-设置联盟最低奖杯数</t>
  </si>
  <si>
    <t>联盟_最大人数</t>
  </si>
  <si>
    <t>联盟_邮件发送冷却时间</t>
  </si>
  <si>
    <t>联盟_分享战斗回放，冷却时间</t>
  </si>
  <si>
    <t>联盟_捐赠_普卡_经验</t>
  </si>
  <si>
    <t>联盟_捐赠_普卡_金币</t>
  </si>
  <si>
    <t>联盟_捐赠_普卡_捐兵值</t>
  </si>
  <si>
    <t>联盟_捐赠_金卡_经验</t>
  </si>
  <si>
    <t>联盟_捐赠_金卡_金币</t>
  </si>
  <si>
    <t>联盟_捐赠_金卡_捐兵值</t>
  </si>
  <si>
    <t>联盟_捐赠_需要竞技场等级</t>
  </si>
  <si>
    <t>联盟_捐赠_请求捐赠冷却时间</t>
  </si>
  <si>
    <t>联盟_捐赠_捐赠值每条清空的时间（相对0点偏移-秒）</t>
  </si>
  <si>
    <t>联盟_捐赠_请求持续时间（时间结束后，捐赠停止）</t>
  </si>
  <si>
    <t>联盟_捐赠_捐赠卡牌需要累计进入联盟的时间限制</t>
  </si>
  <si>
    <t>排行榜_玩家_...</t>
  </si>
  <si>
    <t>排行榜_联盟_...</t>
  </si>
  <si>
    <t>交战_新手训练_关卡数</t>
  </si>
  <si>
    <t>交战_新手训练_完成第N关，弹出输入名字界面</t>
  </si>
  <si>
    <t>战斗_能量上限</t>
  </si>
  <si>
    <t>战斗_能量_初始值</t>
  </si>
  <si>
    <t>战斗_能量_恢复值每秒</t>
  </si>
  <si>
    <t>战斗_能量_恢复值每秒（加速时）</t>
  </si>
  <si>
    <t>战斗_能量_加快恢复的开始时间</t>
  </si>
  <si>
    <t>战斗_持续时间</t>
  </si>
  <si>
    <t>战斗_加时赛的持续时间</t>
  </si>
  <si>
    <t>战斗-传奇竞技场第一次刷新日期</t>
  </si>
  <si>
    <t>战斗-传奇竞技场奖杯条件</t>
  </si>
  <si>
    <t>战斗-每天获得金币次数上限</t>
  </si>
  <si>
    <t>战斗-通用的近战攻击距离</t>
  </si>
  <si>
    <t>战斗匹配-竞技场-记录最后N次战斗的结果（胜=1 负/平=0）</t>
  </si>
  <si>
    <t>战斗匹配-竞技场-胜利次数-区间最小值</t>
  </si>
  <si>
    <t>战斗匹配-竞技场-胜利次数-区间最大值</t>
  </si>
  <si>
    <t>战斗匹配-竞技场-弱者-奖杯差值-最小值</t>
  </si>
  <si>
    <t>战斗匹配-竞技场-弱者-奖杯差值-最大值</t>
  </si>
  <si>
    <t>战斗匹配-竞技场-普通玩家-奖杯差值-最小值</t>
  </si>
  <si>
    <t>战斗匹配-竞技场-普通玩家-奖杯差值-最大值</t>
  </si>
  <si>
    <t>战斗匹配-竞技场-强者-奖杯差值-最小值</t>
  </si>
  <si>
    <t>战斗匹配-竞技场-强者-奖杯差值-最大值</t>
  </si>
  <si>
    <t>战斗匹配-竞技场-阶段1-奖杯差值（第一个值是竞技场0阶）</t>
  </si>
  <si>
    <t>战斗匹配-竞技场-阶段2-奖杯差值（第一个值是竞技场0阶）</t>
  </si>
  <si>
    <t>战斗匹配-竞技场-阶段3-奖杯差值（第一个值是竞技场0阶）</t>
  </si>
  <si>
    <t>战斗匹配-赌博PK-记录最后N次战斗的结果（胜=1 负/平=0）</t>
  </si>
  <si>
    <t>战斗匹配-赌博PK-胜利次数默认值</t>
  </si>
  <si>
    <t>胜利者获得奖杯的最大值</t>
  </si>
  <si>
    <t>胜利者获得奖杯的最小值</t>
  </si>
  <si>
    <t>失败者失去奖杯的最大值</t>
  </si>
  <si>
    <t>失败者失去奖杯的最小值</t>
  </si>
  <si>
    <t>奖杯计算的基数</t>
  </si>
  <si>
    <t>奖杯计算的奖杯差值系数</t>
  </si>
  <si>
    <t>TV推送权重-双方名次</t>
  </si>
  <si>
    <t>TV推送权重-胜负结果</t>
  </si>
  <si>
    <t>TV推送权重-战斗过程</t>
  </si>
  <si>
    <t>赌博系统开启需要玩家等级</t>
  </si>
  <si>
    <t>赌博赌注1-类型(4钻石5金币）</t>
  </si>
  <si>
    <t>赌博赌注1-货币数量</t>
  </si>
  <si>
    <t>赌博-每天获得金币上限（获得奖励减去花费的赌注）</t>
  </si>
  <si>
    <t>赌博-每天获得钻石上限（获得奖励减去花费的赌注）</t>
  </si>
  <si>
    <t>赌博-塔的固定等级</t>
  </si>
  <si>
    <t>赌博-卡牌-品质0-固定等级</t>
  </si>
  <si>
    <t>赌博-加时赛时长（秒）</t>
  </si>
  <si>
    <t>赌博-战斗胜利获得筹码</t>
  </si>
  <si>
    <t>赌博-战斗失败获得筹码</t>
  </si>
  <si>
    <t>赌博-普通奖励百分比</t>
  </si>
  <si>
    <t>赌博-首胜奖励百分比</t>
  </si>
  <si>
    <t>赌博-给额外奖励连输次数</t>
  </si>
  <si>
    <t>赌博-额外奖励百分比</t>
  </si>
  <si>
    <t>赌博-匹配阶段1-时间</t>
  </si>
  <si>
    <t>赌博-超过匹配阶段2时间后，每隔N秒扩大匹配范围</t>
  </si>
  <si>
    <t>赌博-轮盘-获得奖励的上限</t>
  </si>
  <si>
    <t>赌博-轮盘-每档奖励系数数组(1-6档）</t>
  </si>
  <si>
    <t>赌博-轮盘-每档概率数组(2-6档，以后改成5个数）</t>
  </si>
  <si>
    <t>赌博-轮盘-1个钻石换算的金币数</t>
  </si>
  <si>
    <t>赌博-轮盘-传说卡档-钻石价值区间</t>
  </si>
  <si>
    <t>赌博-轮盘-传说卡档-随机权重</t>
  </si>
  <si>
    <t>赌博-轮盘-传说卡档-传奇卡数量</t>
  </si>
  <si>
    <t>赌博-轮盘-传说卡档-传奇卡ID数组（在这里随机一个ID）</t>
  </si>
  <si>
    <t>赌博-轮盘-传说卡档-权重</t>
  </si>
  <si>
    <t>赌博-轮盘-激活时需要的筹码数组</t>
  </si>
  <si>
    <t>赌博-轮盘-激活倒计时长度(激活持续时间）</t>
  </si>
  <si>
    <t>赌博-轮盘-转动花费系数</t>
  </si>
  <si>
    <t>赌博-轮盘-第一次转动花费值</t>
  </si>
  <si>
    <t>赌博-轮盘-走马灯-触发条件：连胜次数</t>
  </si>
  <si>
    <t>赌博-轮盘-走马灯-触发条件：累计获得金币</t>
  </si>
  <si>
    <t>赌博-轮盘-走马灯-触发条件：累计获得钻石</t>
  </si>
  <si>
    <t>新手引导-战斗的机器人数组</t>
  </si>
  <si>
    <t>新手引导-战斗奖励宝箱ID</t>
  </si>
  <si>
    <t>新手引导-战斗奖励宝箱等级</t>
  </si>
  <si>
    <t>相扑-初始拥有次数</t>
  </si>
  <si>
    <t>相扑-连击排名第一奖励经验值</t>
  </si>
  <si>
    <t>相扑-战斗结束，排名第1获得的经验</t>
  </si>
  <si>
    <t>相扑-战斗时长（秒）</t>
  </si>
  <si>
    <t>相扑-随机出道具的最小时间（秒）</t>
  </si>
  <si>
    <t>相扑-随机出道具的最大时间（秒）</t>
  </si>
  <si>
    <t>相扑-匹配随机时间最小时间（秒）（数组长度=24）</t>
  </si>
  <si>
    <t>相扑-匹配随机时间最大时间（秒）（数组长度=24）</t>
  </si>
  <si>
    <t>数据类型</t>
  </si>
  <si>
    <t>string[]</t>
  </si>
  <si>
    <t>int64</t>
  </si>
  <si>
    <t>fieldValue</t>
  </si>
  <si>
    <t>数据值</t>
  </si>
  <si>
    <t>android_default_1.0,ios_default_1.0</t>
  </si>
  <si>
    <t>1.0.0.1,1.0.0.2</t>
  </si>
  <si>
    <t>301,302,302</t>
  </si>
  <si>
    <t>0,0,0,0,2,2,0,0,2,0,0,0,2,0,0,0,2,0,0,2,0,0,0,2</t>
  </si>
  <si>
    <t>3,3,2,3,2,3,3,2,2,2,2,3,2,2,4,2,2,2,4,2,3,2,3,2</t>
  </si>
  <si>
    <t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t>
  </si>
  <si>
    <t>80,60,40,20</t>
  </si>
  <si>
    <t>3,4,5,6,7,8,10,12,14,17,20,24,29,35,42,50,60,72,86,103,124,149,179,215,258,310,372,446,535,642,770,924,1109,1331,1597,1916,2299,2759,3311,3973,4768,5722,6866,8239,9887,11864,14237,17084,20501,24601</t>
  </si>
  <si>
    <t>40,56,78,109,153,214,300,420,588,823,1152,1613,2258,3161,4425,6195,8673,12142,16999,23799</t>
  </si>
  <si>
    <t>2000,3600,6480,11664,20995,37791,68024,122443,220397,396715</t>
  </si>
  <si>
    <t>40000,80000</t>
  </si>
  <si>
    <t xml:space="preserve"> </t>
  </si>
  <si>
    <t>魔法周末</t>
  </si>
  <si>
    <t>少量钻石,小袋钻石,大袋钻石,一车钻石,很多钻石,非常多钻石</t>
  </si>
  <si>
    <t>80,500,1200,2500,6500,14000</t>
  </si>
  <si>
    <t>6,30,68,128,328,648</t>
  </si>
  <si>
    <t>1,2,3,4,5,6</t>
  </si>
  <si>
    <t>RMB</t>
  </si>
  <si>
    <t>小袋金币,大袋金币,很多金币</t>
  </si>
  <si>
    <t>1000,10000,100000</t>
  </si>
  <si>
    <t>60,500,4500</t>
  </si>
  <si>
    <t>2000,2000,2000,2000</t>
  </si>
  <si>
    <t>2500,2500,2500,2500</t>
  </si>
  <si>
    <t>2</t>
  </si>
  <si>
    <t>0,200,400,600,800,1000</t>
  </si>
  <si>
    <t>0,500,1000,1500,2000,2500,3000,3500,4000,4500,5000,5500,6000,6500,7000,7500,8000,8500,9000,9500,10000,10500,11000,11500,12000,12500,13000,13500,14000,14500,15000,15500,16000,16500,17000,17500,18000,18500,19000,19500,20000,20500,21000,21500,22000,22500,23000,23500,24000,24500,25000,25500,26000,26500,27000,27500,28000,28500,29000,29500,30000,30500,31000,31500,32000,32500,33000,33500,34000,34500,35000,35500,36000,36500,37000,37500,38000,38500,39000,39500,40000,40500,41000,41500,42000,42500,43000,43500,44000,44500,45000,45500,46000,46500,47000,47500,48000,48500,49000,49500,50000</t>
  </si>
  <si>
    <t>115,130,140,160,180,200</t>
  </si>
  <si>
    <t>5,10,20,35,20,10</t>
  </si>
  <si>
    <t>200,400,1000,1500,2000,5454,10908,18180,27270,38178,50904,65448,81810,99990,119988,141804,165438,190890,218160,247248</t>
  </si>
  <si>
    <t>5,6,7,8,9,20,35,40,45,50,50,50,50,50,50,50,50,50,50,50</t>
  </si>
  <si>
    <t>1,1,1,1,1,2,3,4,5,6,7,8,9,10,11,12,13,14,15,16</t>
  </si>
  <si>
    <t>25,30</t>
  </si>
  <si>
    <t>100,100</t>
  </si>
  <si>
    <t>30,35,36,38,40</t>
  </si>
  <si>
    <t>1,2,3,4</t>
  </si>
  <si>
    <t>sumo_stun_probability</t>
  </si>
  <si>
    <t>sumo_stun_duration</t>
  </si>
  <si>
    <t>sumo_giant_probability</t>
  </si>
  <si>
    <t>sumo_giant_duration</t>
  </si>
  <si>
    <t>sumo_giant_duration</t>
    <phoneticPr fontId="3" type="noConversion"/>
  </si>
  <si>
    <t>sumo_earthquake_probability</t>
  </si>
  <si>
    <t>相扑-眩晕道具-概率（万分率）</t>
  </si>
  <si>
    <t>相扑-眩晕道具-概率（万分率）</t>
    <phoneticPr fontId="3" type="noConversion"/>
  </si>
  <si>
    <t>相扑-巨人道具-概率（万分率）</t>
  </si>
  <si>
    <t>相扑-巨人道具-概率（万分率）</t>
    <phoneticPr fontId="3" type="noConversion"/>
  </si>
  <si>
    <t>相扑-地震道具-概率（万分率）</t>
  </si>
  <si>
    <t>相扑-地震道具-概率（万分率）</t>
    <phoneticPr fontId="3" type="noConversion"/>
  </si>
  <si>
    <t>相扑-巨人道具-持续时间（毫秒）</t>
  </si>
  <si>
    <t>相扑-巨人道具-持续时间（毫秒）</t>
    <phoneticPr fontId="3" type="noConversion"/>
  </si>
  <si>
    <t>相扑-眩晕道具-持续时间（毫秒）</t>
  </si>
  <si>
    <t>相扑-眩晕道具-持续时间（毫秒）</t>
    <phoneticPr fontId="3" type="noConversion"/>
  </si>
  <si>
    <t>sumo_bornPoint</t>
  </si>
  <si>
    <t>sumo_bornPoint</t>
    <phoneticPr fontId="3" type="noConversion"/>
  </si>
  <si>
    <t>相扑-出生点（2个数是一个坐标，前4个坐标是初始出生点，所有出生点都是复活的位置）(必须偶数个值）</t>
  </si>
  <si>
    <t>相扑-出生点（2个数是一个坐标，前4个坐标是初始出生点，所有出生点都是复活的位置）(必须偶数个值）</t>
    <phoneticPr fontId="3" type="noConversion"/>
  </si>
  <si>
    <t>sumo_speedRotate</t>
  </si>
  <si>
    <t>sumo_speedRotate</t>
    <phoneticPr fontId="3" type="noConversion"/>
  </si>
  <si>
    <t>sumo_stun_duration</t>
    <phoneticPr fontId="3" type="noConversion"/>
  </si>
  <si>
    <t>sumo_stun_probability</t>
    <phoneticPr fontId="3" type="noConversion"/>
  </si>
  <si>
    <t>sumo_toolRaduis_stun</t>
  </si>
  <si>
    <t>sumo_toolRaduis_stun</t>
    <phoneticPr fontId="3" type="noConversion"/>
  </si>
  <si>
    <t>sumo_giant_probability</t>
    <phoneticPr fontId="3" type="noConversion"/>
  </si>
  <si>
    <t>sumo_toolRaduis_giant</t>
  </si>
  <si>
    <t>sumo_toolRaduis_giant</t>
    <phoneticPr fontId="3" type="noConversion"/>
  </si>
  <si>
    <t>sumo_earthquake_probability</t>
    <phoneticPr fontId="3" type="noConversion"/>
  </si>
  <si>
    <t>sumo_toolRaduis_earthquake</t>
  </si>
  <si>
    <t>sumo_toolRaduis_earthquake</t>
    <phoneticPr fontId="3" type="noConversion"/>
  </si>
  <si>
    <t>旋转速度</t>
  </si>
  <si>
    <t>旋转速度</t>
    <phoneticPr fontId="3" type="noConversion"/>
  </si>
  <si>
    <t>移动速度</t>
  </si>
  <si>
    <t>移动速度</t>
    <phoneticPr fontId="3" type="noConversion"/>
  </si>
  <si>
    <t>sumo_speedMove</t>
  </si>
  <si>
    <t>sumo_speedMove</t>
    <phoneticPr fontId="3" type="noConversion"/>
  </si>
  <si>
    <t>边界半径</t>
  </si>
  <si>
    <t>边界半径</t>
    <phoneticPr fontId="3" type="noConversion"/>
  </si>
  <si>
    <t>sumo_deathDistance</t>
  </si>
  <si>
    <t>sumo_deathDistance</t>
    <phoneticPr fontId="3" type="noConversion"/>
  </si>
  <si>
    <t>移动加速度</t>
  </si>
  <si>
    <t>移动加速度</t>
    <phoneticPr fontId="3" type="noConversion"/>
  </si>
  <si>
    <t>sumo_moveSpeedUp</t>
  </si>
  <si>
    <t>sumo_moveSpeedUp</t>
    <phoneticPr fontId="3" type="noConversion"/>
  </si>
  <si>
    <t>道具半径-眩晕</t>
  </si>
  <si>
    <t>道具半径-眩晕</t>
    <phoneticPr fontId="3" type="noConversion"/>
  </si>
  <si>
    <t>道具半径-巨人</t>
  </si>
  <si>
    <t>道具半径-巨人</t>
    <phoneticPr fontId="3" type="noConversion"/>
  </si>
  <si>
    <t>道具半径-地震</t>
  </si>
  <si>
    <t>道具半径-地震</t>
    <phoneticPr fontId="3" type="noConversion"/>
  </si>
  <si>
    <t>sumo_actorRaduis</t>
  </si>
  <si>
    <t>sumo_actorRaduis</t>
    <phoneticPr fontId="3" type="noConversion"/>
  </si>
  <si>
    <t>角色模型半径</t>
  </si>
  <si>
    <t>角色模型半径</t>
    <phoneticPr fontId="3" type="noConversion"/>
  </si>
  <si>
    <t>0,1800,1800,0,0,-1800,-1800,0,0,0</t>
  </si>
  <si>
    <t>0,1800,1800,0,0,-1800,-1800,0,0,0</t>
    <phoneticPr fontId="3" type="noConversion"/>
  </si>
  <si>
    <t>sumo_giant_factor</t>
  </si>
  <si>
    <t>sumo_giant_factor</t>
    <phoneticPr fontId="3" type="noConversion"/>
  </si>
  <si>
    <t>巨人道具-模型放大倍数</t>
  </si>
  <si>
    <t>巨人道具-模型放大倍数</t>
    <phoneticPr fontId="3" type="noConversion"/>
  </si>
  <si>
    <t>xxx</t>
  </si>
  <si>
    <t>xxx</t>
    <phoneticPr fontId="3" type="noConversion"/>
  </si>
  <si>
    <t>相扑-计算连击的时间条件（间隔小于则算作连击）（毫秒）</t>
  </si>
  <si>
    <t>相扑-计算连击的时间条件（间隔小于则算作连击）（毫秒）</t>
    <phoneticPr fontId="3" type="noConversion"/>
  </si>
  <si>
    <t>clan_iconList</t>
  </si>
  <si>
    <t>clan_iconList</t>
    <phoneticPr fontId="3" type="noConversion"/>
  </si>
  <si>
    <t>联盟-图标列表</t>
  </si>
  <si>
    <t>联盟-图标列表</t>
    <phoneticPr fontId="3" type="noConversion"/>
  </si>
  <si>
    <t>社交</t>
  </si>
  <si>
    <t>社交</t>
    <phoneticPr fontId="3" type="noConversion"/>
  </si>
  <si>
    <t>social_init_head</t>
  </si>
  <si>
    <t>social_init_head</t>
    <phoneticPr fontId="19" type="noConversion"/>
  </si>
  <si>
    <t>社交——默认头像</t>
  </si>
  <si>
    <t>社交——默认头像</t>
    <phoneticPr fontId="3" type="noConversion"/>
  </si>
  <si>
    <t>init_head</t>
  </si>
  <si>
    <t>init_head</t>
    <phoneticPr fontId="3" type="noConversion"/>
  </si>
  <si>
    <t>序号</t>
    <phoneticPr fontId="3" type="noConversion"/>
  </si>
  <si>
    <t>图片名</t>
    <phoneticPr fontId="3" type="noConversion"/>
  </si>
  <si>
    <t>icon_badge_none</t>
  </si>
  <si>
    <t>时间</t>
    <phoneticPr fontId="3" type="noConversion"/>
  </si>
  <si>
    <t>1,1,1,1,1,1,1,1,1,1,1,1,1,1,1,1,1,1,1,1,1,1,1,1</t>
  </si>
  <si>
    <t>5,5,5,5,5,5,5,5,5,5,5,5,5,5,5,5,5,5,5,5,5,5,5,5</t>
  </si>
  <si>
    <t>2016-03-21 12:00:00</t>
  </si>
  <si>
    <t>2016-03-21 12:00:00</t>
    <phoneticPr fontId="3" type="noConversion"/>
  </si>
  <si>
    <t>战斗-传奇竞技场刷新循环的秒数</t>
  </si>
  <si>
    <r>
      <t>战斗-传奇竞技场刷新循环的</t>
    </r>
    <r>
      <rPr>
        <b/>
        <sz val="11"/>
        <rFont val="宋体"/>
        <family val="3"/>
        <charset val="134"/>
        <scheme val="minor"/>
      </rPr>
      <t>秒数</t>
    </r>
    <phoneticPr fontId="3" type="noConversion"/>
  </si>
  <si>
    <t>赌博-战斗场景（随机数组）</t>
  </si>
  <si>
    <t>赌博-战斗场景（随机数组）</t>
    <phoneticPr fontId="3" type="noConversion"/>
  </si>
  <si>
    <t>bet_fight_location</t>
  </si>
  <si>
    <t>bet_fight_location</t>
    <phoneticPr fontId="3" type="noConversion"/>
  </si>
  <si>
    <t>103,107,108,111</t>
  </si>
  <si>
    <t>103,107,108,111</t>
    <phoneticPr fontId="3" type="noConversion"/>
  </si>
  <si>
    <t>battle_overTime_preparing_waiting2</t>
  </si>
  <si>
    <t>战斗_处于[preparing_waiting2]状态的多延长的时间(单位:秒)</t>
  </si>
  <si>
    <t>battle_overTime_preparing_waiting1</t>
  </si>
  <si>
    <t>战斗_处于[preparing_waiting1]状态的多延长的时间(单位:秒)</t>
  </si>
  <si>
    <t>battle_overTime_forwarding</t>
  </si>
  <si>
    <t>战斗_处于[forwarding]状态的多延长的时间(单位:秒)</t>
  </si>
  <si>
    <t>battle_overTime_finishing_waiting1</t>
  </si>
  <si>
    <t>战斗_处于[finishing_waiting1]状态的多延长的时间(单位:秒)</t>
  </si>
  <si>
    <t xml:space="preserve"> </t>
    <phoneticPr fontId="3" type="noConversion"/>
  </si>
  <si>
    <t>icon_badge_none,1001,1002,1003,1004,1005,1006,1007,1008,1009,1010,1011,1012,1013,1020,1021,1022,1023,1024,1025,1026,1027,1028,1029,1030,1031,1032,1033,1034,1035,1036</t>
  </si>
  <si>
    <t>tv_weigth_sign_change_factor</t>
  </si>
  <si>
    <t>tv_weigth_sign_change_factor</t>
    <phoneticPr fontId="3" type="noConversion"/>
  </si>
  <si>
    <t>tv_weigth_crown_0</t>
  </si>
  <si>
    <t>tv_weigth_crown_0</t>
    <phoneticPr fontId="3" type="noConversion"/>
  </si>
  <si>
    <t>tv_weigth_crown_1</t>
  </si>
  <si>
    <t>tv_weigth_crown_2</t>
  </si>
  <si>
    <t>tv_weigth_crown_3</t>
  </si>
  <si>
    <t>tv_weigth_hp_base</t>
  </si>
  <si>
    <t>tv_weigth_hp_power</t>
  </si>
  <si>
    <t>新的权重计算方法</t>
    <phoneticPr fontId="3" type="noConversion"/>
  </si>
  <si>
    <t>新老权重都用到的值</t>
    <phoneticPr fontId="3" type="noConversion"/>
  </si>
  <si>
    <t>新老权重都用到的值</t>
    <phoneticPr fontId="3" type="noConversion"/>
  </si>
  <si>
    <t>新老权重都用到的值</t>
    <phoneticPr fontId="3" type="noConversion"/>
  </si>
  <si>
    <t>TV推送权重-剩余血量权重的基数</t>
  </si>
  <si>
    <t>TV推送权重-剩余血量权重的基数</t>
    <phoneticPr fontId="19" type="noConversion"/>
  </si>
  <si>
    <t>TV推送权重-剩余血量权重的幂</t>
  </si>
  <si>
    <t>TV推送权重-剩余血量权重的幂</t>
    <phoneticPr fontId="19" type="noConversion"/>
  </si>
  <si>
    <t>TV推送权重-皇冠差值权重</t>
  </si>
  <si>
    <t>TV推送权重-皇冠差值权重</t>
    <phoneticPr fontId="19" type="noConversion"/>
  </si>
  <si>
    <t>TV推送权重-符号变化权重</t>
  </si>
  <si>
    <t>TV推送权重-符号变化权重</t>
    <phoneticPr fontId="19" type="noConversion"/>
  </si>
  <si>
    <t>0,72,95,115,131,144,153,162,201,241</t>
  </si>
  <si>
    <t>0,80,106,128,146,160,170,180,224,268</t>
  </si>
  <si>
    <t>0,100,132,160,182,200,212,225,280,335</t>
  </si>
  <si>
    <t>1,1,1,1</t>
  </si>
  <si>
    <t>1,1,1,1</t>
    <phoneticPr fontId="3" type="noConversion"/>
  </si>
  <si>
    <t>数量</t>
    <phoneticPr fontId="3" type="noConversion"/>
  </si>
  <si>
    <t>总时间</t>
    <phoneticPr fontId="3" type="noConversion"/>
  </si>
  <si>
    <t>1天数量</t>
    <phoneticPr fontId="3" type="noConversion"/>
  </si>
  <si>
    <t>时间/小时</t>
    <phoneticPr fontId="3" type="noConversion"/>
  </si>
  <si>
    <t>fightarea2</t>
  </si>
  <si>
    <t>fightarea2</t>
    <phoneticPr fontId="3" type="noConversion"/>
  </si>
  <si>
    <r>
      <rPr>
        <b/>
        <sz val="11"/>
        <color rgb="FFFF0000"/>
        <rFont val="宋体"/>
        <family val="3"/>
        <charset val="134"/>
        <scheme val="minor"/>
      </rPr>
      <t>16</t>
    </r>
    <r>
      <rPr>
        <b/>
        <sz val="11"/>
        <color theme="1"/>
        <rFont val="宋体"/>
        <family val="3"/>
        <charset val="134"/>
        <scheme val="minor"/>
      </rPr>
      <t>,4,5,101,</t>
    </r>
    <r>
      <rPr>
        <b/>
        <sz val="11"/>
        <color rgb="FFFF0000"/>
        <rFont val="宋体"/>
        <family val="3"/>
        <charset val="134"/>
        <scheme val="minor"/>
      </rPr>
      <t>30,</t>
    </r>
    <r>
      <rPr>
        <b/>
        <sz val="11"/>
        <color theme="1"/>
        <rFont val="宋体"/>
        <family val="3"/>
        <charset val="134"/>
        <scheme val="minor"/>
      </rPr>
      <t>13</t>
    </r>
    <r>
      <rPr>
        <b/>
        <sz val="11"/>
        <color rgb="FFFF0000"/>
        <rFont val="宋体"/>
        <family val="3"/>
        <charset val="134"/>
        <scheme val="minor"/>
      </rPr>
      <t>,14,2</t>
    </r>
    <phoneticPr fontId="3" type="noConversion"/>
  </si>
  <si>
    <t>16,4,5,101,30,13,14,2</t>
  </si>
  <si>
    <t>25,30</t>
    <phoneticPr fontId="3" type="noConversion"/>
  </si>
  <si>
    <t>2v2战斗</t>
  </si>
  <si>
    <t>2v2战斗</t>
    <phoneticPr fontId="3" type="noConversion"/>
  </si>
  <si>
    <t>fight_mana_max_team</t>
  </si>
  <si>
    <t>fight_mana_max_team</t>
    <phoneticPr fontId="3" type="noConversion"/>
  </si>
  <si>
    <t>fight_mana_initial_team</t>
  </si>
  <si>
    <t>fight_mana_initial_team</t>
    <phoneticPr fontId="3" type="noConversion"/>
  </si>
  <si>
    <t>fight_mana_recovery_team</t>
  </si>
  <si>
    <t>fight_mana_recovery_team</t>
    <phoneticPr fontId="3" type="noConversion"/>
  </si>
  <si>
    <t>fight_mana_recovery_quick_team</t>
  </si>
  <si>
    <t>fight_mana_recovery_quick_team</t>
    <phoneticPr fontId="3" type="noConversion"/>
  </si>
  <si>
    <t>fight_mana_time_quick_team</t>
  </si>
  <si>
    <t>fight_mana_time_quick_team</t>
    <phoneticPr fontId="3" type="noConversion"/>
  </si>
  <si>
    <t>fight_time_team</t>
  </si>
  <si>
    <t>fight_time_team</t>
    <phoneticPr fontId="3" type="noConversion"/>
  </si>
  <si>
    <t>fight_overtime_team</t>
  </si>
  <si>
    <t>fight_overtime_team</t>
    <phoneticPr fontId="3" type="noConversion"/>
  </si>
  <si>
    <t>fight_crown_exp_team</t>
  </si>
  <si>
    <t>fight_crown_exp_team</t>
    <phoneticPr fontId="3" type="noConversion"/>
  </si>
  <si>
    <t>fight_win_exp_team</t>
  </si>
  <si>
    <t>fight_win_exp_team</t>
    <phoneticPr fontId="3" type="noConversion"/>
  </si>
  <si>
    <t>2v2战斗_能量上限</t>
  </si>
  <si>
    <t>2v2战斗_能量上限</t>
    <phoneticPr fontId="3" type="noConversion"/>
  </si>
  <si>
    <t>2v2战斗_能量_初始值</t>
  </si>
  <si>
    <t>2v2战斗_能量_初始值</t>
    <phoneticPr fontId="3" type="noConversion"/>
  </si>
  <si>
    <t>2v2战斗_能量_恢复值每秒</t>
  </si>
  <si>
    <t>2v2战斗_能量_恢复值每秒</t>
    <phoneticPr fontId="3" type="noConversion"/>
  </si>
  <si>
    <t>2v2战斗_能量_恢复值每秒（加速时）</t>
  </si>
  <si>
    <t>2v2战斗_能量_恢复值每秒（加速时）</t>
    <phoneticPr fontId="3" type="noConversion"/>
  </si>
  <si>
    <t>2v2战斗_能量_加快恢复的开始时间</t>
  </si>
  <si>
    <t>2v2战斗_能量_加快恢复的开始时间</t>
    <phoneticPr fontId="3" type="noConversion"/>
  </si>
  <si>
    <t>2v2战斗_持续时间</t>
  </si>
  <si>
    <t>2v2战斗_持续时间</t>
    <phoneticPr fontId="3" type="noConversion"/>
  </si>
  <si>
    <t>2v2战斗_加时赛的持续时间</t>
  </si>
  <si>
    <t>2v2战斗_加时赛的持续时间</t>
    <phoneticPr fontId="3" type="noConversion"/>
  </si>
  <si>
    <t>2v2战斗-每个皇冠获得经验</t>
  </si>
  <si>
    <t>2v2战斗-每个皇冠获得经验</t>
    <phoneticPr fontId="3" type="noConversion"/>
  </si>
  <si>
    <t>2v2战斗-获得胜利额外经验</t>
  </si>
  <si>
    <t>2v2战斗-获得胜利额外经验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</si>
</sst>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34">
    <font>
      <sz val="11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rgb="FF7030A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1"/>
      <name val="宋体"/>
      <family val="3"/>
      <charset val="134"/>
    </font>
    <font>
      <b/>
      <sz val="11"/>
      <color rgb="FF00B0F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B0F0"/>
      <name val="宋体"/>
      <family val="2"/>
      <charset val="134"/>
      <scheme val="minor"/>
    </font>
    <font>
      <sz val="11"/>
      <color rgb="FF00B0F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0" tint="-0.14999847407452621"/>
      <name val="宋体"/>
      <family val="2"/>
      <charset val="134"/>
      <scheme val="minor"/>
    </font>
    <font>
      <sz val="11"/>
      <color rgb="FF0070C0"/>
      <name val="宋体"/>
      <family val="2"/>
      <charset val="134"/>
      <scheme val="minor"/>
    </font>
    <font>
      <sz val="11"/>
      <color rgb="FF00B050"/>
      <name val="宋体"/>
      <family val="2"/>
      <scheme val="minor"/>
    </font>
    <font>
      <u/>
      <sz val="11"/>
      <color theme="1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C00000"/>
      <name val="宋体"/>
      <family val="3"/>
      <charset val="134"/>
      <scheme val="minor"/>
    </font>
    <font>
      <strike/>
      <sz val="11"/>
      <color theme="0" tint="-0.499984740745262"/>
      <name val="宋体"/>
      <family val="2"/>
      <charset val="134"/>
      <scheme val="minor"/>
    </font>
    <font>
      <strike/>
      <sz val="11"/>
      <color theme="0" tint="-0.499984740745262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11"/>
      <color theme="5" tint="-0.249977111117893"/>
      <name val="宋体"/>
      <family val="3"/>
      <charset val="134"/>
      <scheme val="minor"/>
    </font>
    <font>
      <sz val="11"/>
      <color rgb="FF00B050"/>
      <name val="宋体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13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Fill="1">
      <alignment vertical="center"/>
    </xf>
    <xf numFmtId="0" fontId="0" fillId="0" borderId="0" xfId="0" applyFill="1">
      <alignment vertical="center"/>
    </xf>
    <xf numFmtId="0" fontId="5" fillId="0" borderId="0" xfId="0" applyFont="1" applyFill="1">
      <alignment vertical="center"/>
    </xf>
    <xf numFmtId="0" fontId="4" fillId="0" borderId="0" xfId="0" applyFont="1" applyFill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8" fillId="0" borderId="0" xfId="1" applyBorder="1" applyAlignment="1">
      <alignment horizontal="center" vertical="center"/>
    </xf>
    <xf numFmtId="0" fontId="8" fillId="0" borderId="0" xfId="1" applyBorder="1">
      <alignment vertical="center"/>
    </xf>
    <xf numFmtId="0" fontId="8" fillId="0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Border="1">
      <alignment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15" fillId="2" borderId="0" xfId="1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vertical="center"/>
    </xf>
    <xf numFmtId="0" fontId="13" fillId="0" borderId="0" xfId="0" applyFont="1">
      <alignment vertical="center"/>
    </xf>
    <xf numFmtId="0" fontId="1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0" fillId="0" borderId="0" xfId="1" applyFont="1" applyBorder="1">
      <alignment vertical="center"/>
    </xf>
    <xf numFmtId="14" fontId="0" fillId="0" borderId="0" xfId="0" applyNumberForma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left"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5" fillId="0" borderId="0" xfId="0" applyFont="1" applyFill="1">
      <alignment vertical="center"/>
    </xf>
    <xf numFmtId="0" fontId="0" fillId="0" borderId="0" xfId="0" applyFill="1" applyAlignment="1">
      <alignment horizontal="left" vertical="center"/>
    </xf>
    <xf numFmtId="0" fontId="7" fillId="0" borderId="0" xfId="0" quotePrefix="1" applyFont="1" applyFill="1" applyAlignment="1">
      <alignment horizontal="left" vertical="center"/>
    </xf>
    <xf numFmtId="49" fontId="2" fillId="0" borderId="0" xfId="0" quotePrefix="1" applyNumberFormat="1" applyFont="1" applyAlignment="1">
      <alignment horizontal="left" vertical="center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right" vertical="center"/>
    </xf>
    <xf numFmtId="0" fontId="10" fillId="5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left"/>
    </xf>
    <xf numFmtId="0" fontId="25" fillId="0" borderId="0" xfId="2" applyAlignment="1">
      <alignment vertical="center" wrapText="1"/>
    </xf>
    <xf numFmtId="0" fontId="26" fillId="0" borderId="0" xfId="0" applyFont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3" fontId="2" fillId="0" borderId="0" xfId="0" quotePrefix="1" applyNumberFormat="1" applyFont="1" applyAlignment="1">
      <alignment horizontal="left" vertical="center"/>
    </xf>
    <xf numFmtId="0" fontId="28" fillId="0" borderId="0" xfId="0" applyFont="1" applyAlignment="1">
      <alignment vertical="center" wrapText="1"/>
    </xf>
    <xf numFmtId="0" fontId="29" fillId="0" borderId="0" xfId="0" applyFont="1">
      <alignment vertical="center"/>
    </xf>
    <xf numFmtId="0" fontId="30" fillId="0" borderId="0" xfId="0" applyFont="1" applyAlignment="1">
      <alignment vertical="center" wrapText="1"/>
    </xf>
    <xf numFmtId="0" fontId="30" fillId="0" borderId="0" xfId="0" applyFont="1">
      <alignment vertical="center"/>
    </xf>
    <xf numFmtId="49" fontId="16" fillId="0" borderId="0" xfId="0" quotePrefix="1" applyNumberFormat="1" applyFont="1" applyAlignment="1">
      <alignment horizontal="center" vertical="center"/>
    </xf>
    <xf numFmtId="0" fontId="0" fillId="6" borderId="0" xfId="0" applyFill="1">
      <alignment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6" fillId="6" borderId="0" xfId="0" applyFont="1" applyFill="1">
      <alignment vertical="center"/>
    </xf>
    <xf numFmtId="0" fontId="27" fillId="0" borderId="0" xfId="0" applyFont="1" applyAlignment="1">
      <alignment horizontal="center" vertical="center"/>
    </xf>
    <xf numFmtId="14" fontId="7" fillId="0" borderId="0" xfId="0" quotePrefix="1" applyNumberFormat="1" applyFont="1" applyFill="1" applyAlignment="1">
      <alignment horizontal="left" vertical="center"/>
    </xf>
    <xf numFmtId="49" fontId="7" fillId="0" borderId="0" xfId="0" quotePrefix="1" applyNumberFormat="1" applyFont="1" applyFill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7" borderId="0" xfId="0" applyFill="1">
      <alignment vertical="center"/>
    </xf>
    <xf numFmtId="0" fontId="0" fillId="7" borderId="0" xfId="0" applyFill="1" applyAlignment="1">
      <alignment vertical="center" wrapText="1"/>
    </xf>
    <xf numFmtId="0" fontId="14" fillId="0" borderId="0" xfId="0" applyFont="1" applyAlignment="1">
      <alignment vertical="center"/>
    </xf>
    <xf numFmtId="0" fontId="0" fillId="8" borderId="0" xfId="0" applyFill="1">
      <alignment vertical="center"/>
    </xf>
    <xf numFmtId="0" fontId="0" fillId="8" borderId="0" xfId="0" applyFill="1" applyAlignment="1">
      <alignment vertical="center" wrapText="1"/>
    </xf>
    <xf numFmtId="0" fontId="5" fillId="8" borderId="0" xfId="0" applyFont="1" applyFill="1">
      <alignment vertical="center"/>
    </xf>
    <xf numFmtId="3" fontId="2" fillId="8" borderId="0" xfId="0" quotePrefix="1" applyNumberFormat="1" applyFont="1" applyFill="1" applyAlignment="1">
      <alignment horizontal="left" vertical="center"/>
    </xf>
    <xf numFmtId="0" fontId="7" fillId="0" borderId="0" xfId="0" quotePrefix="1" applyFont="1" applyFill="1" applyAlignment="1">
      <alignment horizontal="left" vertical="center" wrapText="1"/>
    </xf>
    <xf numFmtId="0" fontId="0" fillId="0" borderId="0" xfId="0" quotePrefix="1">
      <alignment vertical="center"/>
    </xf>
    <xf numFmtId="0" fontId="8" fillId="7" borderId="0" xfId="1" applyFill="1" applyBorder="1" applyAlignment="1">
      <alignment horizontal="center" vertical="center"/>
    </xf>
    <xf numFmtId="0" fontId="8" fillId="7" borderId="0" xfId="0" applyFont="1" applyFill="1" applyAlignment="1">
      <alignment horizontal="right" vertical="center"/>
    </xf>
    <xf numFmtId="0" fontId="0" fillId="7" borderId="0" xfId="0" applyFill="1" applyAlignment="1"/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31" fillId="7" borderId="0" xfId="1" applyFont="1" applyFill="1" applyAlignment="1">
      <alignment horizontal="center" vertical="center" wrapText="1"/>
    </xf>
    <xf numFmtId="0" fontId="8" fillId="7" borderId="0" xfId="1" applyFill="1" applyAlignment="1">
      <alignment horizontal="center" vertical="center" wrapText="1"/>
    </xf>
    <xf numFmtId="0" fontId="27" fillId="7" borderId="0" xfId="0" applyFont="1" applyFill="1" applyAlignment="1">
      <alignment horizontal="center" vertical="center"/>
    </xf>
    <xf numFmtId="0" fontId="33" fillId="7" borderId="0" xfId="0" applyFont="1" applyFill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8" fillId="0" borderId="0" xfId="0" quotePrefix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" fontId="16" fillId="0" borderId="0" xfId="0" quotePrefix="1" applyNumberFormat="1" applyFont="1" applyAlignment="1">
      <alignment horizontal="left" vertical="center"/>
    </xf>
    <xf numFmtId="0" fontId="10" fillId="0" borderId="0" xfId="0" quotePrefix="1" applyFont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27" fillId="0" borderId="0" xfId="0" quotePrefix="1" applyFont="1" applyAlignment="1">
      <alignment horizontal="left" vertical="center"/>
    </xf>
    <xf numFmtId="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4" fillId="6" borderId="0" xfId="0" applyFont="1" applyFill="1">
      <alignment vertical="center"/>
    </xf>
    <xf numFmtId="0" fontId="4" fillId="6" borderId="0" xfId="0" applyFont="1" applyFill="1" applyAlignment="1">
      <alignment vertical="center" wrapText="1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vertical="center" wrapText="1"/>
    </xf>
  </cellXfs>
  <cellStyles count="3">
    <cellStyle name="常规" xfId="0" builtinId="0"/>
    <cellStyle name="常规 3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10</xdr:col>
      <xdr:colOff>285750</xdr:colOff>
      <xdr:row>16</xdr:row>
      <xdr:rowOff>28575</xdr:rowOff>
    </xdr:to>
    <xdr:pic>
      <xdr:nvPicPr>
        <xdr:cNvPr id="2" name="图片 1" descr="C:\Users\ZL\Documents\Tencent Files\168173379\Image\C2C\SKEIS$0BQUNHE%QNTB3Q%8E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1543050"/>
          <a:ext cx="5772150" cy="1228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1181100</xdr:colOff>
          <xdr:row>0</xdr:row>
          <xdr:rowOff>0</xdr:rowOff>
        </xdr:from>
        <xdr:to>
          <xdr:col>2</xdr:col>
          <xdr:colOff>2524125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1266825</xdr:colOff>
          <xdr:row>0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249977111117893"/>
  </sheetPr>
  <dimension ref="A3:C18"/>
  <sheetViews>
    <sheetView workbookViewId="0">
      <selection activeCell="A19" sqref="A19"/>
    </sheetView>
  </sheetViews>
  <sheetFormatPr defaultRowHeight="13.5"/>
  <cols>
    <col min="1" max="1" width="15" customWidth="1"/>
    <col min="2" max="2" width="105.75" customWidth="1"/>
  </cols>
  <sheetData>
    <row r="3" spans="1:3">
      <c r="A3" s="28">
        <v>42422</v>
      </c>
      <c r="B3" s="3" t="s">
        <v>132</v>
      </c>
    </row>
    <row r="4" spans="1:3">
      <c r="A4" s="28">
        <v>42423</v>
      </c>
      <c r="B4" t="s">
        <v>134</v>
      </c>
    </row>
    <row r="5" spans="1:3">
      <c r="A5" s="28">
        <v>42426</v>
      </c>
      <c r="B5" t="s">
        <v>229</v>
      </c>
    </row>
    <row r="6" spans="1:3">
      <c r="A6" s="28">
        <v>42431</v>
      </c>
      <c r="B6" t="s">
        <v>243</v>
      </c>
    </row>
    <row r="7" spans="1:3">
      <c r="A7" s="28">
        <v>42436</v>
      </c>
      <c r="B7" t="s">
        <v>278</v>
      </c>
      <c r="C7" s="32" t="s">
        <v>275</v>
      </c>
    </row>
    <row r="8" spans="1:3">
      <c r="C8" s="32" t="s">
        <v>276</v>
      </c>
    </row>
    <row r="10" spans="1:3">
      <c r="A10" s="28">
        <v>42437</v>
      </c>
      <c r="B10" t="s">
        <v>283</v>
      </c>
    </row>
    <row r="18" spans="1:2">
      <c r="A18" s="28">
        <v>42445</v>
      </c>
      <c r="B18" t="s">
        <v>362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F7"/>
  <sheetViews>
    <sheetView workbookViewId="0">
      <selection activeCell="E21" sqref="E21"/>
    </sheetView>
  </sheetViews>
  <sheetFormatPr defaultRowHeight="13.5"/>
  <sheetData>
    <row r="3" spans="1:6">
      <c r="A3" s="24" t="s">
        <v>105</v>
      </c>
    </row>
    <row r="4" spans="1:6">
      <c r="A4" s="23" t="s">
        <v>30</v>
      </c>
      <c r="B4" s="22"/>
      <c r="C4" s="22"/>
      <c r="D4" s="22"/>
      <c r="E4" s="22"/>
      <c r="F4" s="22"/>
    </row>
    <row r="5" spans="1:6">
      <c r="A5" s="17">
        <v>0</v>
      </c>
      <c r="B5" t="s">
        <v>104</v>
      </c>
    </row>
    <row r="6" spans="1:6">
      <c r="A6" s="17">
        <v>1</v>
      </c>
      <c r="B6" t="s">
        <v>102</v>
      </c>
    </row>
    <row r="7" spans="1:6">
      <c r="A7" s="17">
        <v>2</v>
      </c>
      <c r="B7" t="s">
        <v>103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320"/>
  <sheetViews>
    <sheetView tabSelected="1" workbookViewId="0">
      <pane ySplit="1" topLeftCell="A93" activePane="bottomLeft" state="frozen"/>
      <selection pane="bottomLeft" activeCell="D113" sqref="D113"/>
    </sheetView>
  </sheetViews>
  <sheetFormatPr defaultRowHeight="13.5"/>
  <cols>
    <col min="1" max="1" width="2.5" style="1" bestFit="1" customWidth="1"/>
    <col min="2" max="2" width="30.875" style="1" customWidth="1"/>
    <col min="3" max="3" width="37" customWidth="1"/>
    <col min="4" max="4" width="59.25" style="3" customWidth="1"/>
    <col min="5" max="5" width="9.75" bestFit="1" customWidth="1"/>
    <col min="6" max="6" width="43.125" style="35" customWidth="1"/>
    <col min="7" max="7" width="37.25" customWidth="1"/>
    <col min="8" max="8" width="12.75" bestFit="1" customWidth="1"/>
  </cols>
  <sheetData>
    <row r="1" spans="1:8">
      <c r="C1" s="1" t="s">
        <v>0</v>
      </c>
      <c r="F1" s="21" t="s">
        <v>1</v>
      </c>
    </row>
    <row r="2" spans="1:8">
      <c r="A2"/>
      <c r="B2"/>
      <c r="C2" t="s">
        <v>2</v>
      </c>
      <c r="D2"/>
      <c r="F2" s="35" t="s">
        <v>3</v>
      </c>
    </row>
    <row r="3" spans="1:8">
      <c r="A3"/>
      <c r="B3"/>
      <c r="C3" t="s">
        <v>4</v>
      </c>
      <c r="D3"/>
      <c r="F3" s="35" t="s">
        <v>4</v>
      </c>
    </row>
    <row r="4" spans="1:8">
      <c r="A4"/>
      <c r="B4"/>
      <c r="C4" t="s">
        <v>5</v>
      </c>
      <c r="D4"/>
      <c r="F4" s="35" t="s">
        <v>5</v>
      </c>
    </row>
    <row r="5" spans="1:8">
      <c r="A5"/>
      <c r="B5"/>
      <c r="D5"/>
    </row>
    <row r="6" spans="1:8" s="1" customFormat="1">
      <c r="C6" s="1" t="s">
        <v>6</v>
      </c>
      <c r="D6" s="4" t="s">
        <v>7</v>
      </c>
      <c r="E6" s="1" t="s">
        <v>8</v>
      </c>
      <c r="F6" s="21" t="s">
        <v>9</v>
      </c>
      <c r="G6" s="1" t="s">
        <v>125</v>
      </c>
    </row>
    <row r="7" spans="1:8" s="33" customFormat="1">
      <c r="A7" s="1" t="s">
        <v>136</v>
      </c>
      <c r="B7" s="1" t="s">
        <v>143</v>
      </c>
      <c r="C7" s="32" t="s">
        <v>436</v>
      </c>
      <c r="D7" s="4" t="s">
        <v>437</v>
      </c>
      <c r="E7" s="37" t="s">
        <v>312</v>
      </c>
      <c r="F7" s="21" t="s">
        <v>440</v>
      </c>
    </row>
    <row r="8" spans="1:8" s="33" customFormat="1">
      <c r="C8" s="32" t="s">
        <v>439</v>
      </c>
      <c r="D8" s="4" t="s">
        <v>438</v>
      </c>
      <c r="E8" s="37" t="s">
        <v>312</v>
      </c>
      <c r="F8" s="58" t="s">
        <v>539</v>
      </c>
    </row>
    <row r="9" spans="1:8" s="29" customFormat="1">
      <c r="C9" s="78" t="s">
        <v>145</v>
      </c>
      <c r="D9" s="79" t="s">
        <v>191</v>
      </c>
      <c r="E9" s="78" t="s">
        <v>135</v>
      </c>
      <c r="F9" s="34">
        <v>1</v>
      </c>
    </row>
    <row r="10" spans="1:8" s="29" customFormat="1">
      <c r="A10" s="1"/>
      <c r="B10" s="1"/>
      <c r="C10" s="78" t="s">
        <v>146</v>
      </c>
      <c r="D10" s="79" t="s">
        <v>192</v>
      </c>
      <c r="E10" s="78" t="s">
        <v>135</v>
      </c>
      <c r="F10" s="34">
        <v>1</v>
      </c>
    </row>
    <row r="11" spans="1:8" s="29" customFormat="1">
      <c r="A11" s="1"/>
      <c r="B11" s="1"/>
      <c r="C11" s="78" t="s">
        <v>147</v>
      </c>
      <c r="D11" s="79" t="s">
        <v>193</v>
      </c>
      <c r="E11" s="78" t="s">
        <v>135</v>
      </c>
      <c r="F11" s="34">
        <v>1</v>
      </c>
    </row>
    <row r="12" spans="1:8" s="29" customFormat="1">
      <c r="C12" s="29" t="s">
        <v>148</v>
      </c>
      <c r="D12" s="30" t="s">
        <v>194</v>
      </c>
      <c r="E12" s="29" t="s">
        <v>144</v>
      </c>
      <c r="F12" s="31">
        <v>5</v>
      </c>
    </row>
    <row r="13" spans="1:8">
      <c r="B13" s="1" t="s">
        <v>142</v>
      </c>
      <c r="C13" t="s">
        <v>182</v>
      </c>
      <c r="D13" s="3" t="s">
        <v>183</v>
      </c>
      <c r="E13" s="7" t="s">
        <v>11</v>
      </c>
      <c r="F13" s="21">
        <v>100</v>
      </c>
      <c r="G13" s="20"/>
      <c r="H13" s="20"/>
    </row>
    <row r="14" spans="1:8">
      <c r="C14" t="s">
        <v>149</v>
      </c>
      <c r="D14" s="3" t="s">
        <v>184</v>
      </c>
      <c r="E14" s="7" t="s">
        <v>11</v>
      </c>
      <c r="F14" s="21">
        <v>100</v>
      </c>
      <c r="G14" s="20"/>
      <c r="H14" s="20"/>
    </row>
    <row r="15" spans="1:8" s="32" customFormat="1">
      <c r="A15" s="33"/>
      <c r="B15" s="33" t="s">
        <v>269</v>
      </c>
      <c r="C15" s="32" t="s">
        <v>273</v>
      </c>
      <c r="D15" s="36" t="s">
        <v>270</v>
      </c>
      <c r="E15" s="37" t="s">
        <v>271</v>
      </c>
      <c r="F15" s="58">
        <v>123</v>
      </c>
      <c r="G15" s="20"/>
      <c r="H15" s="20"/>
    </row>
    <row r="16" spans="1:8" s="32" customFormat="1">
      <c r="A16" s="33"/>
      <c r="B16" s="33"/>
      <c r="C16" s="32" t="s">
        <v>272</v>
      </c>
      <c r="D16" s="36" t="s">
        <v>274</v>
      </c>
      <c r="E16" s="37" t="s">
        <v>271</v>
      </c>
      <c r="F16" s="58">
        <v>456</v>
      </c>
      <c r="G16" s="20"/>
      <c r="H16" s="20"/>
    </row>
    <row r="17" spans="1:9">
      <c r="B17" s="1" t="s">
        <v>139</v>
      </c>
      <c r="C17" t="s">
        <v>140</v>
      </c>
      <c r="D17" s="3" t="s">
        <v>190</v>
      </c>
      <c r="E17" s="7" t="s">
        <v>141</v>
      </c>
      <c r="F17" s="21">
        <v>0</v>
      </c>
      <c r="G17" s="20"/>
      <c r="H17" s="20"/>
    </row>
    <row r="18" spans="1:9" s="32" customFormat="1">
      <c r="A18" s="33"/>
      <c r="B18" s="33" t="s">
        <v>607</v>
      </c>
      <c r="C18" s="32" t="s">
        <v>608</v>
      </c>
      <c r="D18" s="29" t="s">
        <v>609</v>
      </c>
      <c r="E18" s="37" t="s">
        <v>135</v>
      </c>
      <c r="F18" s="86">
        <v>20</v>
      </c>
    </row>
    <row r="19" spans="1:9" s="32" customFormat="1">
      <c r="A19" s="33"/>
      <c r="B19" s="33"/>
      <c r="C19" t="s">
        <v>610</v>
      </c>
      <c r="D19" s="29" t="s">
        <v>611</v>
      </c>
      <c r="E19" s="37" t="s">
        <v>107</v>
      </c>
      <c r="F19" s="86" t="s">
        <v>1106</v>
      </c>
    </row>
    <row r="20" spans="1:9">
      <c r="B20" s="1" t="s">
        <v>138</v>
      </c>
      <c r="C20" t="s">
        <v>157</v>
      </c>
      <c r="D20" s="3" t="s">
        <v>181</v>
      </c>
      <c r="E20" s="7" t="s">
        <v>107</v>
      </c>
      <c r="F20" s="58" t="s">
        <v>1149</v>
      </c>
      <c r="G20" s="80" t="s">
        <v>441</v>
      </c>
      <c r="H20" s="20"/>
    </row>
    <row r="21" spans="1:9" s="32" customFormat="1">
      <c r="A21" s="33"/>
      <c r="B21" s="33"/>
      <c r="C21" s="32" t="s">
        <v>589</v>
      </c>
      <c r="D21" s="36" t="s">
        <v>590</v>
      </c>
      <c r="E21" s="37" t="s">
        <v>107</v>
      </c>
      <c r="F21" s="58" t="s">
        <v>591</v>
      </c>
      <c r="G21" s="80"/>
      <c r="H21" s="20"/>
    </row>
    <row r="22" spans="1:9" s="32" customFormat="1">
      <c r="A22" s="33"/>
      <c r="B22" s="33"/>
      <c r="C22" s="32" t="s">
        <v>617</v>
      </c>
      <c r="D22" s="36" t="s">
        <v>616</v>
      </c>
      <c r="E22" s="37" t="s">
        <v>141</v>
      </c>
      <c r="F22" s="21">
        <v>100</v>
      </c>
      <c r="G22" s="20"/>
      <c r="H22" s="20"/>
    </row>
    <row r="23" spans="1:9" s="32" customFormat="1">
      <c r="A23" s="33"/>
      <c r="B23" s="33"/>
      <c r="C23" s="32" t="s">
        <v>255</v>
      </c>
      <c r="D23" s="36" t="s">
        <v>261</v>
      </c>
      <c r="E23" s="37" t="s">
        <v>141</v>
      </c>
      <c r="F23" s="21">
        <v>10</v>
      </c>
      <c r="G23" s="20"/>
      <c r="H23" s="20"/>
    </row>
    <row r="24" spans="1:9" s="32" customFormat="1">
      <c r="A24" s="33"/>
      <c r="B24" s="33"/>
      <c r="C24" s="32" t="s">
        <v>256</v>
      </c>
      <c r="D24" s="36" t="s">
        <v>262</v>
      </c>
      <c r="E24" s="37" t="s">
        <v>141</v>
      </c>
      <c r="F24" s="21">
        <v>1</v>
      </c>
      <c r="G24" s="20"/>
      <c r="H24" s="20"/>
    </row>
    <row r="25" spans="1:9" s="32" customFormat="1">
      <c r="A25" s="33"/>
      <c r="B25" s="33"/>
      <c r="C25" s="32" t="s">
        <v>443</v>
      </c>
      <c r="D25" s="36" t="s">
        <v>263</v>
      </c>
      <c r="E25" s="37" t="s">
        <v>141</v>
      </c>
      <c r="F25" s="21">
        <v>1</v>
      </c>
      <c r="G25" s="20"/>
      <c r="H25" s="20"/>
    </row>
    <row r="26" spans="1:9" s="32" customFormat="1">
      <c r="A26" s="33"/>
      <c r="B26" s="33"/>
      <c r="C26" s="32" t="s">
        <v>257</v>
      </c>
      <c r="D26" s="36" t="s">
        <v>264</v>
      </c>
      <c r="E26" s="37" t="s">
        <v>141</v>
      </c>
      <c r="F26" s="105">
        <v>5</v>
      </c>
      <c r="G26" s="56" t="s">
        <v>268</v>
      </c>
      <c r="H26" s="20"/>
    </row>
    <row r="27" spans="1:9" s="32" customFormat="1">
      <c r="A27" s="33"/>
      <c r="B27" s="33"/>
      <c r="C27" s="32" t="s">
        <v>258</v>
      </c>
      <c r="D27" s="36" t="s">
        <v>265</v>
      </c>
      <c r="E27" s="37" t="s">
        <v>141</v>
      </c>
      <c r="F27" s="105">
        <v>50</v>
      </c>
      <c r="G27"/>
      <c r="H27"/>
      <c r="I27"/>
    </row>
    <row r="28" spans="1:9" s="32" customFormat="1">
      <c r="A28" s="33"/>
      <c r="B28" s="33"/>
      <c r="C28" s="32" t="s">
        <v>259</v>
      </c>
      <c r="D28" s="36" t="s">
        <v>266</v>
      </c>
      <c r="E28" s="37" t="s">
        <v>141</v>
      </c>
      <c r="F28" s="105">
        <v>2000</v>
      </c>
      <c r="G28" s="56" t="s">
        <v>268</v>
      </c>
      <c r="H28"/>
      <c r="I28"/>
    </row>
    <row r="29" spans="1:9" s="32" customFormat="1">
      <c r="A29" s="33"/>
      <c r="B29" s="33"/>
      <c r="C29" s="32" t="s">
        <v>260</v>
      </c>
      <c r="D29" s="36" t="s">
        <v>267</v>
      </c>
      <c r="E29" s="37" t="s">
        <v>141</v>
      </c>
      <c r="F29" s="105">
        <v>40000</v>
      </c>
      <c r="G29" s="56" t="s">
        <v>268</v>
      </c>
      <c r="H29"/>
      <c r="I29"/>
    </row>
    <row r="30" spans="1:9" ht="27">
      <c r="B30" s="1" t="s">
        <v>137</v>
      </c>
      <c r="C30" s="2" t="s">
        <v>195</v>
      </c>
      <c r="D30" s="3" t="s">
        <v>150</v>
      </c>
      <c r="E30" s="7" t="s">
        <v>107</v>
      </c>
      <c r="F30" s="85" t="s">
        <v>36</v>
      </c>
    </row>
    <row r="31" spans="1:9">
      <c r="C31" t="s">
        <v>196</v>
      </c>
      <c r="D31" s="41" t="s">
        <v>151</v>
      </c>
      <c r="E31" s="7" t="s">
        <v>11</v>
      </c>
      <c r="F31" s="21">
        <v>15</v>
      </c>
      <c r="G31" s="20"/>
      <c r="H31" s="20"/>
    </row>
    <row r="32" spans="1:9">
      <c r="C32" t="s">
        <v>202</v>
      </c>
      <c r="D32" s="3" t="s">
        <v>152</v>
      </c>
      <c r="E32" s="7" t="s">
        <v>11</v>
      </c>
      <c r="F32" s="21">
        <v>2</v>
      </c>
      <c r="G32" s="20" t="s">
        <v>124</v>
      </c>
      <c r="H32" s="20"/>
    </row>
    <row r="33" spans="1:8">
      <c r="C33" t="s">
        <v>197</v>
      </c>
      <c r="D33" s="3" t="s">
        <v>153</v>
      </c>
      <c r="E33" s="7" t="s">
        <v>11</v>
      </c>
      <c r="F33" s="57">
        <f>4*60*60</f>
        <v>14400</v>
      </c>
      <c r="G33" s="20" t="s">
        <v>124</v>
      </c>
    </row>
    <row r="34" spans="1:8">
      <c r="C34" s="2" t="s">
        <v>198</v>
      </c>
      <c r="D34" s="3" t="s">
        <v>154</v>
      </c>
      <c r="E34" s="7" t="s">
        <v>107</v>
      </c>
      <c r="F34" s="39" t="s">
        <v>37</v>
      </c>
    </row>
    <row r="35" spans="1:8">
      <c r="C35" t="s">
        <v>199</v>
      </c>
      <c r="D35" s="42" t="s">
        <v>155</v>
      </c>
      <c r="E35" s="7" t="s">
        <v>11</v>
      </c>
      <c r="F35" s="21">
        <v>14</v>
      </c>
      <c r="G35" s="20" t="s">
        <v>123</v>
      </c>
      <c r="H35" s="20"/>
    </row>
    <row r="36" spans="1:8">
      <c r="C36" t="s">
        <v>200</v>
      </c>
      <c r="D36" s="3" t="s">
        <v>348</v>
      </c>
      <c r="E36" s="7" t="s">
        <v>11</v>
      </c>
      <c r="F36" s="21">
        <f>23*60*60</f>
        <v>82800</v>
      </c>
      <c r="G36" s="20" t="s">
        <v>123</v>
      </c>
      <c r="H36" s="20"/>
    </row>
    <row r="37" spans="1:8">
      <c r="C37" t="s">
        <v>201</v>
      </c>
      <c r="D37" s="3" t="s">
        <v>156</v>
      </c>
      <c r="E37" s="7" t="s">
        <v>11</v>
      </c>
      <c r="F37" s="21">
        <v>10</v>
      </c>
      <c r="G37" s="20"/>
      <c r="H37" s="20"/>
    </row>
    <row r="38" spans="1:8">
      <c r="C38" t="s">
        <v>203</v>
      </c>
      <c r="D38" s="42" t="s">
        <v>158</v>
      </c>
      <c r="E38" s="7" t="s">
        <v>107</v>
      </c>
      <c r="F38" s="35" t="s">
        <v>540</v>
      </c>
      <c r="G38" s="55" t="s">
        <v>252</v>
      </c>
      <c r="H38" s="54" t="str">
        <f>宝箱循环!$X$41</f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,8,8,8,8,9,8,8,9,8</v>
      </c>
    </row>
    <row r="39" spans="1:8" s="32" customFormat="1">
      <c r="A39" s="33"/>
      <c r="B39" s="33"/>
      <c r="C39" s="32" t="s">
        <v>275</v>
      </c>
      <c r="D39" s="36" t="s">
        <v>277</v>
      </c>
      <c r="E39" s="37" t="s">
        <v>11</v>
      </c>
      <c r="F39" s="21">
        <v>13</v>
      </c>
      <c r="H39" s="20"/>
    </row>
    <row r="40" spans="1:8" s="32" customFormat="1">
      <c r="A40" s="33"/>
      <c r="B40" s="33"/>
      <c r="C40" s="32" t="s">
        <v>280</v>
      </c>
      <c r="D40" s="36" t="s">
        <v>281</v>
      </c>
      <c r="E40" s="37" t="s">
        <v>11</v>
      </c>
      <c r="F40" s="59">
        <v>100</v>
      </c>
      <c r="G40" s="32" t="s">
        <v>282</v>
      </c>
      <c r="H40" s="20"/>
    </row>
    <row r="41" spans="1:8" s="32" customFormat="1" ht="27">
      <c r="A41" s="33"/>
      <c r="B41" s="33"/>
      <c r="C41" s="32" t="s">
        <v>276</v>
      </c>
      <c r="D41" s="36" t="s">
        <v>279</v>
      </c>
      <c r="E41" s="37" t="s">
        <v>107</v>
      </c>
      <c r="F41" s="59" t="s">
        <v>541</v>
      </c>
      <c r="G41"/>
      <c r="H41" s="20"/>
    </row>
    <row r="42" spans="1:8">
      <c r="C42" t="s">
        <v>204</v>
      </c>
      <c r="D42" s="3" t="s">
        <v>180</v>
      </c>
      <c r="E42" s="37" t="s">
        <v>14</v>
      </c>
      <c r="F42" s="21">
        <v>0.1</v>
      </c>
      <c r="G42" s="20"/>
      <c r="H42" s="20"/>
    </row>
    <row r="43" spans="1:8">
      <c r="B43" s="33" t="s">
        <v>159</v>
      </c>
      <c r="C43" t="s">
        <v>208</v>
      </c>
      <c r="D43" s="3" t="s">
        <v>211</v>
      </c>
      <c r="E43" s="7" t="s">
        <v>107</v>
      </c>
      <c r="F43" s="58" t="s">
        <v>542</v>
      </c>
      <c r="G43" s="20"/>
      <c r="H43" s="20"/>
    </row>
    <row r="44" spans="1:8">
      <c r="C44" t="s">
        <v>209</v>
      </c>
      <c r="D44" s="3" t="s">
        <v>212</v>
      </c>
      <c r="E44" s="7" t="s">
        <v>107</v>
      </c>
      <c r="F44" s="58" t="s">
        <v>543</v>
      </c>
      <c r="G44" s="20"/>
      <c r="H44" s="20"/>
    </row>
    <row r="45" spans="1:8">
      <c r="C45" t="s">
        <v>210</v>
      </c>
      <c r="D45" s="3" t="s">
        <v>442</v>
      </c>
      <c r="E45" s="7" t="s">
        <v>107</v>
      </c>
      <c r="F45" s="58" t="s">
        <v>544</v>
      </c>
      <c r="G45" s="20"/>
      <c r="H45" s="20"/>
    </row>
    <row r="46" spans="1:8" s="32" customFormat="1">
      <c r="A46" s="33"/>
      <c r="B46" s="33"/>
      <c r="C46" s="81" t="s">
        <v>444</v>
      </c>
      <c r="D46" s="82" t="s">
        <v>213</v>
      </c>
      <c r="E46" s="83" t="s">
        <v>107</v>
      </c>
      <c r="F46" s="84" t="s">
        <v>445</v>
      </c>
      <c r="G46" s="84" t="s">
        <v>446</v>
      </c>
      <c r="H46" s="20"/>
    </row>
    <row r="47" spans="1:8" s="32" customFormat="1">
      <c r="A47" s="33"/>
      <c r="B47" s="33"/>
      <c r="C47" s="32" t="s">
        <v>355</v>
      </c>
      <c r="D47" s="36" t="s">
        <v>356</v>
      </c>
      <c r="E47" s="32" t="s">
        <v>302</v>
      </c>
      <c r="F47" s="32" t="s">
        <v>251</v>
      </c>
      <c r="G47" s="20" t="s">
        <v>361</v>
      </c>
      <c r="H47" s="20"/>
    </row>
    <row r="48" spans="1:8" s="32" customFormat="1">
      <c r="A48" s="33"/>
      <c r="B48" s="33"/>
      <c r="C48" s="32" t="s">
        <v>353</v>
      </c>
      <c r="D48" s="36" t="s">
        <v>354</v>
      </c>
      <c r="E48" s="32" t="s">
        <v>302</v>
      </c>
      <c r="F48" s="32" t="s">
        <v>251</v>
      </c>
      <c r="G48" s="20" t="s">
        <v>361</v>
      </c>
      <c r="H48" s="20"/>
    </row>
    <row r="49" spans="1:8" s="32" customFormat="1">
      <c r="A49" s="33"/>
      <c r="B49" s="33"/>
      <c r="C49" s="32" t="s">
        <v>351</v>
      </c>
      <c r="D49" s="36" t="s">
        <v>352</v>
      </c>
      <c r="E49" s="32" t="s">
        <v>302</v>
      </c>
      <c r="F49" s="32" t="s">
        <v>251</v>
      </c>
      <c r="G49" s="20" t="s">
        <v>361</v>
      </c>
      <c r="H49" s="20"/>
    </row>
    <row r="50" spans="1:8" s="32" customFormat="1">
      <c r="A50" s="33"/>
      <c r="B50" s="33"/>
      <c r="C50" s="32" t="s">
        <v>349</v>
      </c>
      <c r="D50" s="36" t="s">
        <v>350</v>
      </c>
      <c r="E50" s="32" t="s">
        <v>302</v>
      </c>
      <c r="F50" s="32" t="s">
        <v>251</v>
      </c>
      <c r="G50" s="20" t="s">
        <v>361</v>
      </c>
      <c r="H50" s="20"/>
    </row>
    <row r="51" spans="1:8" s="32" customFormat="1">
      <c r="A51" s="33"/>
      <c r="B51" s="33"/>
      <c r="C51" s="32" t="s">
        <v>357</v>
      </c>
      <c r="D51" s="36" t="s">
        <v>358</v>
      </c>
      <c r="E51" s="32" t="s">
        <v>302</v>
      </c>
      <c r="F51" s="32" t="s">
        <v>251</v>
      </c>
      <c r="G51" s="20" t="s">
        <v>361</v>
      </c>
      <c r="H51" s="20"/>
    </row>
    <row r="52" spans="1:8" s="32" customFormat="1">
      <c r="A52" s="33"/>
      <c r="B52" s="33"/>
      <c r="C52" s="32" t="s">
        <v>359</v>
      </c>
      <c r="D52" s="36" t="s">
        <v>360</v>
      </c>
      <c r="E52" s="32" t="s">
        <v>302</v>
      </c>
      <c r="F52" s="32" t="s">
        <v>251</v>
      </c>
      <c r="G52" s="20" t="s">
        <v>361</v>
      </c>
      <c r="H52" s="20"/>
    </row>
    <row r="53" spans="1:8" s="32" customFormat="1">
      <c r="A53" s="33"/>
      <c r="B53" s="33"/>
      <c r="C53" s="32" t="s">
        <v>214</v>
      </c>
      <c r="D53" s="36" t="s">
        <v>215</v>
      </c>
      <c r="E53" s="32" t="s">
        <v>302</v>
      </c>
      <c r="F53" t="s">
        <v>216</v>
      </c>
      <c r="G53" s="20"/>
      <c r="H53" s="20"/>
    </row>
    <row r="54" spans="1:8" s="32" customFormat="1">
      <c r="A54" s="33"/>
      <c r="B54" s="33"/>
      <c r="C54" s="32" t="s">
        <v>254</v>
      </c>
      <c r="D54" s="36" t="s">
        <v>313</v>
      </c>
      <c r="E54" s="37" t="s">
        <v>11</v>
      </c>
      <c r="F54" s="21">
        <v>11</v>
      </c>
      <c r="G54" s="20"/>
      <c r="H54" s="20"/>
    </row>
    <row r="55" spans="1:8" s="32" customFormat="1">
      <c r="A55" s="33"/>
      <c r="B55" s="33"/>
      <c r="C55" s="32" t="s">
        <v>206</v>
      </c>
      <c r="D55" s="36" t="s">
        <v>314</v>
      </c>
      <c r="E55" s="37" t="s">
        <v>11</v>
      </c>
      <c r="F55" s="21">
        <v>12</v>
      </c>
      <c r="G55" s="20"/>
      <c r="H55" s="20"/>
    </row>
    <row r="56" spans="1:8" s="32" customFormat="1">
      <c r="A56" s="33"/>
      <c r="B56" s="33"/>
      <c r="C56" s="32" t="s">
        <v>207</v>
      </c>
      <c r="D56" s="36" t="s">
        <v>315</v>
      </c>
      <c r="E56" s="37" t="s">
        <v>11</v>
      </c>
      <c r="F56" s="21">
        <v>13</v>
      </c>
      <c r="G56" s="20"/>
      <c r="H56" s="20"/>
    </row>
    <row r="57" spans="1:8" s="32" customFormat="1">
      <c r="A57" s="33"/>
      <c r="B57" s="33"/>
      <c r="C57" s="32" t="s">
        <v>303</v>
      </c>
      <c r="D57" s="36" t="s">
        <v>304</v>
      </c>
      <c r="E57" s="32" t="s">
        <v>312</v>
      </c>
      <c r="F57" s="40" t="s">
        <v>307</v>
      </c>
      <c r="G57" s="20"/>
    </row>
    <row r="58" spans="1:8" s="32" customFormat="1">
      <c r="A58" s="33"/>
      <c r="B58" s="33"/>
      <c r="C58" s="32" t="s">
        <v>225</v>
      </c>
      <c r="D58" s="36" t="s">
        <v>218</v>
      </c>
      <c r="E58" s="37" t="s">
        <v>107</v>
      </c>
      <c r="F58" s="40" t="s">
        <v>545</v>
      </c>
      <c r="G58" s="20" t="s">
        <v>253</v>
      </c>
      <c r="H58"/>
    </row>
    <row r="59" spans="1:8" s="32" customFormat="1">
      <c r="A59" s="33"/>
      <c r="B59" s="33"/>
      <c r="C59" s="32" t="s">
        <v>217</v>
      </c>
      <c r="D59" s="36" t="s">
        <v>219</v>
      </c>
      <c r="E59" s="37" t="s">
        <v>107</v>
      </c>
      <c r="F59" s="40" t="s">
        <v>228</v>
      </c>
      <c r="G59" s="60" t="s">
        <v>285</v>
      </c>
    </row>
    <row r="60" spans="1:8" s="32" customFormat="1">
      <c r="A60" s="33"/>
      <c r="B60" s="33"/>
      <c r="C60" s="32" t="s">
        <v>305</v>
      </c>
      <c r="D60" s="36" t="s">
        <v>311</v>
      </c>
      <c r="E60" s="32" t="s">
        <v>312</v>
      </c>
      <c r="F60" s="40" t="s">
        <v>306</v>
      </c>
      <c r="G60" s="60"/>
      <c r="H60" s="20"/>
    </row>
    <row r="61" spans="1:8" s="32" customFormat="1">
      <c r="A61" s="33"/>
      <c r="B61" s="33"/>
      <c r="C61" s="61" t="s">
        <v>220</v>
      </c>
      <c r="D61" s="62" t="s">
        <v>221</v>
      </c>
      <c r="E61" s="63" t="s">
        <v>17</v>
      </c>
      <c r="F61" s="63" t="s">
        <v>222</v>
      </c>
      <c r="G61" s="60" t="s">
        <v>284</v>
      </c>
      <c r="H61" s="20"/>
    </row>
    <row r="62" spans="1:8" s="32" customFormat="1">
      <c r="A62" s="33"/>
      <c r="B62" s="33"/>
      <c r="C62" s="32" t="s">
        <v>300</v>
      </c>
      <c r="D62" s="36" t="s">
        <v>301</v>
      </c>
      <c r="E62" s="32" t="s">
        <v>312</v>
      </c>
      <c r="F62" s="40" t="s">
        <v>308</v>
      </c>
      <c r="G62" s="60"/>
      <c r="H62" s="20"/>
    </row>
    <row r="63" spans="1:8" s="32" customFormat="1">
      <c r="A63" s="33"/>
      <c r="B63" s="33"/>
      <c r="C63" s="32" t="s">
        <v>224</v>
      </c>
      <c r="D63" s="36" t="s">
        <v>226</v>
      </c>
      <c r="E63" s="37" t="s">
        <v>107</v>
      </c>
      <c r="F63" s="40" t="s">
        <v>547</v>
      </c>
      <c r="G63" s="60"/>
      <c r="H63" s="20"/>
    </row>
    <row r="64" spans="1:8" s="32" customFormat="1">
      <c r="A64" s="33"/>
      <c r="B64" s="33"/>
      <c r="C64" s="32" t="s">
        <v>223</v>
      </c>
      <c r="D64" s="36" t="s">
        <v>227</v>
      </c>
      <c r="E64" s="37" t="s">
        <v>107</v>
      </c>
      <c r="F64" s="40" t="s">
        <v>546</v>
      </c>
      <c r="H64" s="20"/>
    </row>
    <row r="65" spans="1:8" s="32" customFormat="1">
      <c r="A65" s="33"/>
      <c r="B65" s="33"/>
      <c r="C65" s="32" t="s">
        <v>309</v>
      </c>
      <c r="D65" s="36" t="s">
        <v>310</v>
      </c>
      <c r="E65" s="32" t="s">
        <v>312</v>
      </c>
      <c r="F65" s="40" t="s">
        <v>546</v>
      </c>
      <c r="H65" s="20"/>
    </row>
    <row r="66" spans="1:8">
      <c r="C66" t="s">
        <v>592</v>
      </c>
      <c r="D66" s="3" t="s">
        <v>593</v>
      </c>
      <c r="E66" t="s">
        <v>135</v>
      </c>
      <c r="F66" s="31">
        <v>2000</v>
      </c>
    </row>
    <row r="67" spans="1:8">
      <c r="C67" t="s">
        <v>594</v>
      </c>
      <c r="D67" s="3" t="s">
        <v>595</v>
      </c>
      <c r="E67" t="s">
        <v>135</v>
      </c>
      <c r="F67" s="31">
        <v>2000</v>
      </c>
    </row>
    <row r="68" spans="1:8">
      <c r="C68" t="s">
        <v>596</v>
      </c>
      <c r="D68" s="3" t="s">
        <v>597</v>
      </c>
      <c r="E68" t="s">
        <v>586</v>
      </c>
      <c r="F68" s="102" t="s">
        <v>604</v>
      </c>
    </row>
    <row r="69" spans="1:8">
      <c r="C69" t="s">
        <v>598</v>
      </c>
      <c r="D69" s="3" t="s">
        <v>599</v>
      </c>
      <c r="E69" t="s">
        <v>135</v>
      </c>
      <c r="F69" s="31">
        <v>5000</v>
      </c>
    </row>
    <row r="70" spans="1:8">
      <c r="C70" t="s">
        <v>600</v>
      </c>
      <c r="D70" s="3" t="s">
        <v>601</v>
      </c>
      <c r="E70" t="s">
        <v>135</v>
      </c>
      <c r="F70" s="31">
        <v>5000</v>
      </c>
    </row>
    <row r="71" spans="1:8">
      <c r="C71" t="s">
        <v>602</v>
      </c>
      <c r="D71" s="3" t="s">
        <v>603</v>
      </c>
      <c r="E71" t="s">
        <v>586</v>
      </c>
      <c r="F71" s="102" t="s">
        <v>605</v>
      </c>
    </row>
    <row r="72" spans="1:8" s="32" customFormat="1">
      <c r="A72" s="33"/>
      <c r="B72" s="33" t="s">
        <v>555</v>
      </c>
      <c r="C72" s="2" t="s">
        <v>562</v>
      </c>
      <c r="D72" s="36" t="s">
        <v>564</v>
      </c>
      <c r="E72" s="37" t="s">
        <v>11</v>
      </c>
      <c r="F72" s="40" t="s">
        <v>558</v>
      </c>
      <c r="G72" s="40" t="s">
        <v>560</v>
      </c>
      <c r="H72" s="20"/>
    </row>
    <row r="73" spans="1:8" s="32" customFormat="1">
      <c r="A73" s="33"/>
      <c r="B73" s="33"/>
      <c r="C73" s="2" t="s">
        <v>563</v>
      </c>
      <c r="D73" s="36" t="s">
        <v>557</v>
      </c>
      <c r="E73" s="37" t="s">
        <v>11</v>
      </c>
      <c r="F73" s="40" t="s">
        <v>558</v>
      </c>
      <c r="G73" s="40" t="s">
        <v>558</v>
      </c>
      <c r="H73" s="20"/>
    </row>
    <row r="74" spans="1:8" s="32" customFormat="1">
      <c r="A74" s="33"/>
      <c r="B74" s="33"/>
      <c r="C74" s="2" t="s">
        <v>561</v>
      </c>
      <c r="D74" s="36" t="s">
        <v>556</v>
      </c>
      <c r="E74" s="37" t="s">
        <v>11</v>
      </c>
      <c r="F74" s="40" t="s">
        <v>558</v>
      </c>
      <c r="G74" s="40" t="s">
        <v>559</v>
      </c>
      <c r="H74" s="20"/>
    </row>
    <row r="75" spans="1:8">
      <c r="C75" s="2" t="s">
        <v>614</v>
      </c>
      <c r="D75" s="8" t="s">
        <v>169</v>
      </c>
      <c r="E75" s="7" t="s">
        <v>11</v>
      </c>
      <c r="F75" s="39">
        <v>2</v>
      </c>
      <c r="G75" s="39">
        <v>3</v>
      </c>
    </row>
    <row r="76" spans="1:8" s="32" customFormat="1">
      <c r="A76" s="33"/>
      <c r="B76" s="33"/>
      <c r="C76" s="2" t="s">
        <v>615</v>
      </c>
      <c r="D76" s="8" t="s">
        <v>613</v>
      </c>
      <c r="E76" s="37" t="s">
        <v>11</v>
      </c>
      <c r="F76" s="39">
        <v>2</v>
      </c>
      <c r="G76" s="39">
        <v>4</v>
      </c>
    </row>
    <row r="77" spans="1:8">
      <c r="B77" s="1" t="s">
        <v>31</v>
      </c>
      <c r="C77" s="2" t="s">
        <v>33</v>
      </c>
      <c r="D77" s="8" t="s">
        <v>170</v>
      </c>
      <c r="E77" s="7" t="s">
        <v>11</v>
      </c>
      <c r="F77" s="39">
        <v>1000</v>
      </c>
    </row>
    <row r="78" spans="1:8">
      <c r="C78" s="2" t="s">
        <v>34</v>
      </c>
      <c r="D78" s="8" t="s">
        <v>316</v>
      </c>
      <c r="E78" s="7" t="s">
        <v>107</v>
      </c>
      <c r="F78" s="39" t="s">
        <v>548</v>
      </c>
    </row>
    <row r="79" spans="1:8" s="32" customFormat="1">
      <c r="A79" s="33"/>
      <c r="B79" s="33"/>
      <c r="C79" s="2" t="s">
        <v>319</v>
      </c>
      <c r="D79" s="8" t="s">
        <v>320</v>
      </c>
      <c r="E79" s="37" t="s">
        <v>107</v>
      </c>
      <c r="F79" s="39" t="s">
        <v>549</v>
      </c>
      <c r="G79" s="32" t="s">
        <v>321</v>
      </c>
    </row>
    <row r="80" spans="1:8">
      <c r="C80" s="2" t="s">
        <v>35</v>
      </c>
      <c r="D80" s="8" t="s">
        <v>171</v>
      </c>
      <c r="E80" s="7" t="s">
        <v>11</v>
      </c>
      <c r="F80" s="39">
        <v>50</v>
      </c>
    </row>
    <row r="81" spans="1:15">
      <c r="C81" t="s">
        <v>108</v>
      </c>
      <c r="D81" s="3" t="s">
        <v>172</v>
      </c>
      <c r="E81" s="7" t="s">
        <v>11</v>
      </c>
      <c r="F81" s="21">
        <v>43200</v>
      </c>
      <c r="G81" s="20" t="s">
        <v>317</v>
      </c>
      <c r="H81" s="20"/>
      <c r="N81" s="32"/>
      <c r="O81" s="32"/>
    </row>
    <row r="82" spans="1:15">
      <c r="C82" t="s">
        <v>109</v>
      </c>
      <c r="D82" s="3" t="s">
        <v>173</v>
      </c>
      <c r="E82" s="7" t="s">
        <v>11</v>
      </c>
      <c r="F82" s="21">
        <v>40</v>
      </c>
      <c r="G82" s="20" t="s">
        <v>318</v>
      </c>
      <c r="H82" s="20"/>
      <c r="N82" s="32"/>
      <c r="O82" s="32"/>
    </row>
    <row r="83" spans="1:15">
      <c r="C83" t="s">
        <v>413</v>
      </c>
      <c r="D83" s="3" t="s">
        <v>175</v>
      </c>
      <c r="E83" s="7" t="s">
        <v>11</v>
      </c>
      <c r="F83" s="21">
        <v>1</v>
      </c>
      <c r="G83" s="20"/>
      <c r="H83" s="20"/>
      <c r="N83" s="32"/>
      <c r="O83" s="32"/>
    </row>
    <row r="84" spans="1:15">
      <c r="C84" t="s">
        <v>411</v>
      </c>
      <c r="D84" s="3" t="s">
        <v>174</v>
      </c>
      <c r="E84" s="7" t="s">
        <v>11</v>
      </c>
      <c r="F84" s="21">
        <v>5</v>
      </c>
      <c r="G84" s="20"/>
      <c r="H84" s="20"/>
      <c r="N84" s="32"/>
      <c r="O84" s="32"/>
    </row>
    <row r="85" spans="1:15">
      <c r="C85" t="s">
        <v>414</v>
      </c>
      <c r="D85" s="3" t="s">
        <v>405</v>
      </c>
      <c r="E85" s="7" t="s">
        <v>11</v>
      </c>
      <c r="F85" s="21">
        <v>1</v>
      </c>
      <c r="G85" s="20"/>
      <c r="H85" s="20"/>
      <c r="N85" s="32"/>
      <c r="O85" s="32"/>
    </row>
    <row r="86" spans="1:15">
      <c r="C86" t="s">
        <v>412</v>
      </c>
      <c r="D86" s="3" t="s">
        <v>176</v>
      </c>
      <c r="E86" s="7" t="s">
        <v>11</v>
      </c>
      <c r="F86" s="21">
        <v>10</v>
      </c>
      <c r="G86" s="20"/>
      <c r="H86" s="20"/>
      <c r="N86" s="32"/>
      <c r="O86" s="32"/>
    </row>
    <row r="87" spans="1:15">
      <c r="C87" t="s">
        <v>166</v>
      </c>
      <c r="D87" s="3" t="s">
        <v>177</v>
      </c>
      <c r="E87" s="7" t="s">
        <v>11</v>
      </c>
      <c r="F87" s="21">
        <v>50</v>
      </c>
      <c r="G87" s="20"/>
      <c r="H87" s="20"/>
      <c r="N87" s="32"/>
      <c r="O87" s="32"/>
    </row>
    <row r="88" spans="1:15">
      <c r="C88" t="s">
        <v>167</v>
      </c>
      <c r="D88" s="3" t="s">
        <v>406</v>
      </c>
      <c r="E88" s="7" t="s">
        <v>11</v>
      </c>
      <c r="F88" s="21">
        <v>10</v>
      </c>
      <c r="G88" s="20"/>
      <c r="H88" s="20"/>
      <c r="N88" s="32"/>
      <c r="O88" s="32"/>
    </row>
    <row r="89" spans="1:15" s="32" customFormat="1">
      <c r="A89" s="33"/>
      <c r="B89" s="33"/>
      <c r="C89" s="32" t="s">
        <v>402</v>
      </c>
      <c r="D89" s="36" t="s">
        <v>367</v>
      </c>
      <c r="E89" s="37" t="s">
        <v>11</v>
      </c>
      <c r="F89" s="21">
        <v>0</v>
      </c>
      <c r="G89" s="20"/>
      <c r="H89" s="20"/>
    </row>
    <row r="90" spans="1:15">
      <c r="C90" t="s">
        <v>401</v>
      </c>
      <c r="D90" s="3" t="s">
        <v>179</v>
      </c>
      <c r="E90" s="7" t="s">
        <v>11</v>
      </c>
      <c r="F90" s="21">
        <f>8*60*60</f>
        <v>28800</v>
      </c>
      <c r="G90" s="20" t="s">
        <v>106</v>
      </c>
      <c r="H90" s="20"/>
      <c r="N90" s="32"/>
      <c r="O90" s="32"/>
    </row>
    <row r="91" spans="1:15">
      <c r="C91" t="s">
        <v>409</v>
      </c>
      <c r="D91" s="3" t="s">
        <v>410</v>
      </c>
      <c r="E91" s="7" t="s">
        <v>11</v>
      </c>
      <c r="F91" s="21">
        <v>30</v>
      </c>
      <c r="H91" s="20"/>
      <c r="N91" s="32"/>
      <c r="O91" s="32"/>
    </row>
    <row r="92" spans="1:15">
      <c r="C92" t="s">
        <v>407</v>
      </c>
      <c r="D92" s="3" t="s">
        <v>408</v>
      </c>
      <c r="E92" s="7" t="s">
        <v>11</v>
      </c>
      <c r="F92" s="21">
        <f>3*60*60</f>
        <v>10800</v>
      </c>
      <c r="G92" s="20" t="s">
        <v>110</v>
      </c>
      <c r="H92" s="20"/>
      <c r="N92" s="32"/>
      <c r="O92" s="32"/>
    </row>
    <row r="93" spans="1:15">
      <c r="C93" t="s">
        <v>168</v>
      </c>
      <c r="D93" s="3" t="s">
        <v>178</v>
      </c>
      <c r="E93" s="7" t="s">
        <v>11</v>
      </c>
      <c r="F93" s="57">
        <v>30</v>
      </c>
      <c r="G93" s="20" t="s">
        <v>110</v>
      </c>
      <c r="H93" s="20"/>
      <c r="N93" s="32"/>
      <c r="O93" s="32"/>
    </row>
    <row r="94" spans="1:15" s="32" customFormat="1">
      <c r="A94" s="33"/>
      <c r="B94" s="33"/>
      <c r="C94" s="32" t="s">
        <v>1080</v>
      </c>
      <c r="D94" s="36" t="s">
        <v>1082</v>
      </c>
      <c r="E94" s="32" t="s">
        <v>312</v>
      </c>
      <c r="F94" s="21" t="str">
        <f>联盟图标!F2</f>
        <v>icon_badge_none,1001,1002,1003,1004,1005,1006,1007,1008,1009,1010,1011,1012,1013,1020,1021,1022,1023,1024,1025,1026,1027,1028,1029,1030,1031,1032,1033,1034,1035,1036</v>
      </c>
      <c r="G94" s="20"/>
      <c r="H94" s="20"/>
    </row>
    <row r="95" spans="1:15" s="32" customFormat="1">
      <c r="A95" s="33"/>
      <c r="B95" s="33" t="s">
        <v>185</v>
      </c>
      <c r="C95" s="32" t="s">
        <v>186</v>
      </c>
      <c r="D95" s="36" t="s">
        <v>187</v>
      </c>
      <c r="E95" s="37" t="s">
        <v>11</v>
      </c>
      <c r="F95" s="21">
        <v>0</v>
      </c>
      <c r="G95" s="20"/>
      <c r="H95" s="20"/>
    </row>
    <row r="96" spans="1:15" s="32" customFormat="1">
      <c r="A96" s="33"/>
      <c r="B96" s="33"/>
      <c r="C96" s="32" t="s">
        <v>188</v>
      </c>
      <c r="D96" s="36" t="s">
        <v>189</v>
      </c>
      <c r="E96" s="37" t="s">
        <v>11</v>
      </c>
      <c r="F96" s="21">
        <v>0</v>
      </c>
      <c r="G96" s="20"/>
      <c r="H96" s="20"/>
    </row>
    <row r="97" spans="1:15">
      <c r="B97" s="1" t="s">
        <v>160</v>
      </c>
      <c r="C97" t="s">
        <v>205</v>
      </c>
      <c r="D97" s="3" t="s">
        <v>161</v>
      </c>
      <c r="E97" s="7" t="s">
        <v>11</v>
      </c>
      <c r="F97" s="21">
        <v>7</v>
      </c>
      <c r="G97" s="20"/>
      <c r="H97" s="20"/>
      <c r="N97" s="32"/>
      <c r="O97" s="32"/>
    </row>
    <row r="98" spans="1:15">
      <c r="C98" t="s">
        <v>163</v>
      </c>
      <c r="D98" s="3" t="s">
        <v>162</v>
      </c>
      <c r="E98" s="7" t="s">
        <v>11</v>
      </c>
      <c r="F98" s="21">
        <v>4</v>
      </c>
      <c r="G98" s="20"/>
      <c r="H98" s="20"/>
      <c r="N98" s="32"/>
      <c r="O98" s="32"/>
    </row>
    <row r="99" spans="1:15" s="32" customFormat="1">
      <c r="A99" s="33"/>
      <c r="B99" s="33" t="s">
        <v>1153</v>
      </c>
      <c r="C99" s="111" t="s">
        <v>1155</v>
      </c>
      <c r="D99" s="112" t="s">
        <v>1173</v>
      </c>
      <c r="E99" s="37" t="s">
        <v>29</v>
      </c>
      <c r="F99" s="39">
        <v>10</v>
      </c>
    </row>
    <row r="100" spans="1:15" s="32" customFormat="1">
      <c r="A100" s="33"/>
      <c r="B100" s="33"/>
      <c r="C100" s="111" t="s">
        <v>1157</v>
      </c>
      <c r="D100" s="112" t="s">
        <v>1175</v>
      </c>
      <c r="E100" s="2" t="s">
        <v>14</v>
      </c>
      <c r="F100" s="39">
        <v>5</v>
      </c>
    </row>
    <row r="101" spans="1:15" s="32" customFormat="1">
      <c r="A101" s="33"/>
      <c r="B101" s="33"/>
      <c r="C101" s="111" t="s">
        <v>1159</v>
      </c>
      <c r="D101" s="112" t="s">
        <v>1177</v>
      </c>
      <c r="E101" s="2" t="s">
        <v>14</v>
      </c>
      <c r="F101" s="39">
        <v>0.36</v>
      </c>
    </row>
    <row r="102" spans="1:15" s="32" customFormat="1">
      <c r="A102" s="33"/>
      <c r="B102" s="33"/>
      <c r="C102" s="111" t="s">
        <v>1161</v>
      </c>
      <c r="D102" s="112" t="s">
        <v>1179</v>
      </c>
      <c r="E102" s="2" t="s">
        <v>14</v>
      </c>
      <c r="F102" s="39">
        <f>F101*2</f>
        <v>0.72</v>
      </c>
    </row>
    <row r="103" spans="1:15" s="32" customFormat="1">
      <c r="A103" s="33"/>
      <c r="B103" s="33"/>
      <c r="C103" s="111" t="s">
        <v>1163</v>
      </c>
      <c r="D103" s="112" t="s">
        <v>1181</v>
      </c>
      <c r="E103" s="37" t="s">
        <v>11</v>
      </c>
      <c r="F103" s="39">
        <v>120</v>
      </c>
    </row>
    <row r="104" spans="1:15" s="32" customFormat="1">
      <c r="A104" s="33"/>
      <c r="B104" s="33"/>
      <c r="C104" s="111" t="s">
        <v>1165</v>
      </c>
      <c r="D104" s="112" t="s">
        <v>1183</v>
      </c>
      <c r="E104" s="37" t="s">
        <v>11</v>
      </c>
      <c r="F104" s="39">
        <v>180</v>
      </c>
    </row>
    <row r="105" spans="1:15" s="32" customFormat="1">
      <c r="A105" s="33"/>
      <c r="B105" s="33"/>
      <c r="C105" s="111" t="s">
        <v>1167</v>
      </c>
      <c r="D105" s="112" t="s">
        <v>1185</v>
      </c>
      <c r="E105" s="37" t="s">
        <v>11</v>
      </c>
      <c r="F105" s="39">
        <v>60</v>
      </c>
    </row>
    <row r="106" spans="1:15" s="32" customFormat="1">
      <c r="A106" s="33"/>
      <c r="B106" s="33"/>
      <c r="C106" s="111" t="s">
        <v>1169</v>
      </c>
      <c r="D106" s="112" t="s">
        <v>1187</v>
      </c>
      <c r="E106" s="37" t="s">
        <v>11</v>
      </c>
      <c r="F106" s="39">
        <v>5</v>
      </c>
    </row>
    <row r="107" spans="1:15" s="32" customFormat="1">
      <c r="A107" s="33"/>
      <c r="B107" s="33"/>
      <c r="C107" s="111" t="s">
        <v>1171</v>
      </c>
      <c r="D107" s="112" t="s">
        <v>1189</v>
      </c>
      <c r="E107" s="37" t="s">
        <v>11</v>
      </c>
      <c r="F107" s="39">
        <v>5</v>
      </c>
    </row>
    <row r="108" spans="1:15">
      <c r="B108" s="1" t="s">
        <v>32</v>
      </c>
      <c r="C108" s="109" t="s">
        <v>113</v>
      </c>
      <c r="D108" s="110" t="s">
        <v>118</v>
      </c>
      <c r="E108" s="7" t="s">
        <v>29</v>
      </c>
      <c r="F108" s="39">
        <v>10</v>
      </c>
      <c r="N108" s="32"/>
      <c r="O108" s="32"/>
    </row>
    <row r="109" spans="1:15">
      <c r="C109" s="109" t="s">
        <v>114</v>
      </c>
      <c r="D109" s="110" t="s">
        <v>119</v>
      </c>
      <c r="E109" s="2" t="s">
        <v>14</v>
      </c>
      <c r="F109" s="39">
        <v>5</v>
      </c>
      <c r="N109" s="32"/>
      <c r="O109" s="32"/>
    </row>
    <row r="110" spans="1:15">
      <c r="C110" s="109" t="s">
        <v>115</v>
      </c>
      <c r="D110" s="110" t="s">
        <v>120</v>
      </c>
      <c r="E110" s="2" t="s">
        <v>14</v>
      </c>
      <c r="F110" s="39">
        <v>0.36</v>
      </c>
      <c r="N110" s="32"/>
      <c r="O110" s="32"/>
    </row>
    <row r="111" spans="1:15">
      <c r="C111" s="109" t="s">
        <v>116</v>
      </c>
      <c r="D111" s="110" t="s">
        <v>121</v>
      </c>
      <c r="E111" s="2" t="s">
        <v>14</v>
      </c>
      <c r="F111" s="39">
        <f>F110*2</f>
        <v>0.72</v>
      </c>
      <c r="N111" s="32"/>
      <c r="O111" s="32"/>
    </row>
    <row r="112" spans="1:15">
      <c r="C112" s="109" t="s">
        <v>117</v>
      </c>
      <c r="D112" s="110" t="s">
        <v>122</v>
      </c>
      <c r="E112" s="7" t="s">
        <v>11</v>
      </c>
      <c r="F112" s="39">
        <v>120</v>
      </c>
      <c r="N112" s="32"/>
      <c r="O112" s="32"/>
    </row>
    <row r="113" spans="1:15">
      <c r="C113" s="109" t="s">
        <v>16</v>
      </c>
      <c r="D113" s="110" t="s">
        <v>164</v>
      </c>
      <c r="E113" s="7" t="s">
        <v>11</v>
      </c>
      <c r="F113" s="39">
        <v>180</v>
      </c>
      <c r="N113" s="32"/>
      <c r="O113" s="32"/>
    </row>
    <row r="114" spans="1:15">
      <c r="C114" s="109" t="s">
        <v>15</v>
      </c>
      <c r="D114" s="110" t="s">
        <v>165</v>
      </c>
      <c r="E114" s="7" t="s">
        <v>11</v>
      </c>
      <c r="F114" s="39">
        <v>60</v>
      </c>
      <c r="N114" s="32"/>
      <c r="O114" s="32"/>
    </row>
    <row r="115" spans="1:15" s="32" customFormat="1">
      <c r="A115" s="33"/>
      <c r="B115" s="33"/>
      <c r="C115" s="109" t="s">
        <v>646</v>
      </c>
      <c r="D115" s="110" t="s">
        <v>650</v>
      </c>
      <c r="E115" s="37" t="s">
        <v>11</v>
      </c>
      <c r="F115" s="39">
        <v>5</v>
      </c>
    </row>
    <row r="116" spans="1:15" s="32" customFormat="1">
      <c r="A116" s="33"/>
      <c r="B116" s="33"/>
      <c r="C116" s="109" t="s">
        <v>648</v>
      </c>
      <c r="D116" s="110" t="s">
        <v>652</v>
      </c>
      <c r="E116" s="37" t="s">
        <v>11</v>
      </c>
      <c r="F116" s="39">
        <v>5</v>
      </c>
    </row>
    <row r="117" spans="1:15" s="32" customFormat="1">
      <c r="A117" s="33"/>
      <c r="B117" s="33"/>
      <c r="C117" s="2" t="s">
        <v>368</v>
      </c>
      <c r="D117" s="8" t="s">
        <v>370</v>
      </c>
      <c r="E117" s="32" t="s">
        <v>312</v>
      </c>
      <c r="F117" s="74" t="s">
        <v>1098</v>
      </c>
    </row>
    <row r="118" spans="1:15" s="32" customFormat="1">
      <c r="A118" s="33"/>
      <c r="B118" s="33"/>
      <c r="C118" s="2" t="s">
        <v>369</v>
      </c>
      <c r="D118" s="8" t="s">
        <v>1100</v>
      </c>
      <c r="E118" s="37" t="s">
        <v>11</v>
      </c>
      <c r="F118" s="39">
        <f>15*24*60*60</f>
        <v>1296000</v>
      </c>
    </row>
    <row r="119" spans="1:15" s="32" customFormat="1">
      <c r="A119" s="33"/>
      <c r="B119" s="33"/>
      <c r="C119" s="2" t="s">
        <v>403</v>
      </c>
      <c r="D119" s="8" t="s">
        <v>371</v>
      </c>
      <c r="E119" s="37" t="s">
        <v>11</v>
      </c>
      <c r="F119" s="39">
        <v>3000</v>
      </c>
    </row>
    <row r="120" spans="1:15" s="32" customFormat="1">
      <c r="A120" s="33"/>
      <c r="B120" s="33"/>
      <c r="C120" s="2" t="s">
        <v>415</v>
      </c>
      <c r="D120" s="8" t="s">
        <v>404</v>
      </c>
      <c r="E120" s="37" t="s">
        <v>11</v>
      </c>
      <c r="F120" s="39">
        <v>20</v>
      </c>
    </row>
    <row r="121" spans="1:15" s="32" customFormat="1">
      <c r="A121" s="33"/>
      <c r="B121" s="33"/>
      <c r="C121" s="2" t="s">
        <v>416</v>
      </c>
      <c r="D121" s="8" t="s">
        <v>417</v>
      </c>
      <c r="E121" s="37" t="s">
        <v>11</v>
      </c>
      <c r="F121" s="39">
        <v>7</v>
      </c>
    </row>
    <row r="122" spans="1:15" s="32" customFormat="1">
      <c r="A122" s="5"/>
      <c r="B122" s="5"/>
      <c r="C122" s="6" t="s">
        <v>1107</v>
      </c>
      <c r="D122" s="30" t="s">
        <v>1108</v>
      </c>
      <c r="E122" s="37" t="s">
        <v>135</v>
      </c>
      <c r="F122" s="38">
        <v>40</v>
      </c>
    </row>
    <row r="123" spans="1:15" s="32" customFormat="1">
      <c r="A123" s="5"/>
      <c r="B123" s="5"/>
      <c r="C123" s="6" t="s">
        <v>1109</v>
      </c>
      <c r="D123" s="30" t="s">
        <v>1110</v>
      </c>
      <c r="E123" s="37" t="s">
        <v>135</v>
      </c>
      <c r="F123" s="38">
        <v>30</v>
      </c>
    </row>
    <row r="124" spans="1:15" s="32" customFormat="1">
      <c r="A124" s="5"/>
      <c r="B124" s="5"/>
      <c r="C124" s="6" t="s">
        <v>1111</v>
      </c>
      <c r="D124" s="30" t="s">
        <v>1112</v>
      </c>
      <c r="E124" s="37" t="s">
        <v>135</v>
      </c>
      <c r="F124" s="38">
        <v>30</v>
      </c>
    </row>
    <row r="125" spans="1:15" s="32" customFormat="1">
      <c r="A125" s="5"/>
      <c r="B125" s="5"/>
      <c r="C125" s="6" t="s">
        <v>1113</v>
      </c>
      <c r="D125" s="30" t="s">
        <v>1114</v>
      </c>
      <c r="E125" s="37" t="s">
        <v>135</v>
      </c>
      <c r="F125" s="38">
        <v>10</v>
      </c>
    </row>
    <row r="126" spans="1:15" s="32" customFormat="1">
      <c r="A126" s="33"/>
      <c r="B126" s="33" t="s">
        <v>372</v>
      </c>
      <c r="C126" s="2" t="s">
        <v>376</v>
      </c>
      <c r="D126" s="8" t="s">
        <v>394</v>
      </c>
      <c r="E126" s="37" t="s">
        <v>11</v>
      </c>
      <c r="F126" s="39">
        <v>5</v>
      </c>
    </row>
    <row r="127" spans="1:15" s="32" customFormat="1">
      <c r="A127" s="33"/>
      <c r="B127" s="33"/>
      <c r="C127" s="2" t="s">
        <v>374</v>
      </c>
      <c r="D127" s="8" t="s">
        <v>373</v>
      </c>
      <c r="E127" s="37" t="s">
        <v>11</v>
      </c>
      <c r="F127" s="39">
        <v>2</v>
      </c>
    </row>
    <row r="128" spans="1:15" s="32" customFormat="1">
      <c r="A128" s="33"/>
      <c r="B128" s="33"/>
      <c r="C128" s="2" t="s">
        <v>375</v>
      </c>
      <c r="D128" s="8" t="s">
        <v>377</v>
      </c>
      <c r="E128" s="37" t="s">
        <v>11</v>
      </c>
      <c r="F128" s="39">
        <v>3</v>
      </c>
    </row>
    <row r="129" spans="1:6" s="32" customFormat="1">
      <c r="A129" s="33"/>
      <c r="B129" s="33"/>
      <c r="C129" s="2" t="s">
        <v>378</v>
      </c>
      <c r="D129" s="8" t="s">
        <v>384</v>
      </c>
      <c r="E129" s="37" t="s">
        <v>11</v>
      </c>
      <c r="F129" s="39">
        <v>-250</v>
      </c>
    </row>
    <row r="130" spans="1:6" s="32" customFormat="1">
      <c r="A130" s="33"/>
      <c r="B130" s="33"/>
      <c r="C130" s="2" t="s">
        <v>379</v>
      </c>
      <c r="D130" s="8" t="s">
        <v>385</v>
      </c>
      <c r="E130" s="37" t="s">
        <v>11</v>
      </c>
      <c r="F130" s="39">
        <v>250</v>
      </c>
    </row>
    <row r="131" spans="1:6" s="32" customFormat="1">
      <c r="A131" s="33"/>
      <c r="B131" s="33"/>
      <c r="C131" s="2" t="s">
        <v>380</v>
      </c>
      <c r="D131" s="8" t="s">
        <v>388</v>
      </c>
      <c r="E131" s="37" t="s">
        <v>11</v>
      </c>
      <c r="F131" s="39">
        <v>-250</v>
      </c>
    </row>
    <row r="132" spans="1:6" s="32" customFormat="1">
      <c r="A132" s="33"/>
      <c r="B132" s="33"/>
      <c r="C132" s="2" t="s">
        <v>381</v>
      </c>
      <c r="D132" s="8" t="s">
        <v>389</v>
      </c>
      <c r="E132" s="37" t="s">
        <v>11</v>
      </c>
      <c r="F132" s="39">
        <v>250</v>
      </c>
    </row>
    <row r="133" spans="1:6" s="32" customFormat="1">
      <c r="A133" s="33"/>
      <c r="B133" s="33"/>
      <c r="C133" s="2" t="s">
        <v>382</v>
      </c>
      <c r="D133" s="8" t="s">
        <v>386</v>
      </c>
      <c r="E133" s="37" t="s">
        <v>11</v>
      </c>
      <c r="F133" s="39">
        <v>-250</v>
      </c>
    </row>
    <row r="134" spans="1:6" s="32" customFormat="1">
      <c r="A134" s="33"/>
      <c r="B134" s="33"/>
      <c r="C134" s="2" t="s">
        <v>383</v>
      </c>
      <c r="D134" s="8" t="s">
        <v>387</v>
      </c>
      <c r="E134" s="37" t="s">
        <v>11</v>
      </c>
      <c r="F134" s="39">
        <v>250</v>
      </c>
    </row>
    <row r="135" spans="1:6" s="32" customFormat="1">
      <c r="A135" s="33"/>
      <c r="B135" s="33"/>
      <c r="C135" s="2" t="s">
        <v>390</v>
      </c>
      <c r="D135" s="8" t="s">
        <v>398</v>
      </c>
      <c r="E135" s="37" t="s">
        <v>107</v>
      </c>
      <c r="F135" s="75" t="s">
        <v>1138</v>
      </c>
    </row>
    <row r="136" spans="1:6" s="32" customFormat="1">
      <c r="A136" s="33"/>
      <c r="B136" s="33"/>
      <c r="C136" s="2" t="s">
        <v>396</v>
      </c>
      <c r="D136" s="8" t="s">
        <v>399</v>
      </c>
      <c r="E136" s="37" t="s">
        <v>107</v>
      </c>
      <c r="F136" s="75" t="s">
        <v>1139</v>
      </c>
    </row>
    <row r="137" spans="1:6" s="32" customFormat="1">
      <c r="A137" s="33"/>
      <c r="B137" s="33"/>
      <c r="C137" s="2" t="s">
        <v>397</v>
      </c>
      <c r="D137" s="8" t="s">
        <v>400</v>
      </c>
      <c r="E137" s="37" t="s">
        <v>107</v>
      </c>
      <c r="F137" s="75" t="s">
        <v>1140</v>
      </c>
    </row>
    <row r="138" spans="1:6" s="32" customFormat="1">
      <c r="A138" s="33"/>
      <c r="B138" s="33"/>
      <c r="C138" s="2" t="s">
        <v>391</v>
      </c>
      <c r="D138" s="8" t="s">
        <v>395</v>
      </c>
      <c r="E138" s="37" t="s">
        <v>11</v>
      </c>
      <c r="F138" s="39">
        <v>32</v>
      </c>
    </row>
    <row r="139" spans="1:6" s="32" customFormat="1">
      <c r="A139" s="33"/>
      <c r="B139" s="33"/>
      <c r="C139" s="2" t="s">
        <v>392</v>
      </c>
      <c r="D139" s="8" t="s">
        <v>393</v>
      </c>
      <c r="E139" s="37" t="s">
        <v>11</v>
      </c>
      <c r="F139" s="39">
        <v>12</v>
      </c>
    </row>
    <row r="140" spans="1:6" s="32" customFormat="1">
      <c r="A140" s="33"/>
      <c r="B140" s="33" t="s">
        <v>230</v>
      </c>
      <c r="C140" s="2" t="s">
        <v>231</v>
      </c>
      <c r="D140" s="8" t="s">
        <v>236</v>
      </c>
      <c r="E140" s="37" t="s">
        <v>11</v>
      </c>
      <c r="F140" s="39">
        <v>90</v>
      </c>
    </row>
    <row r="141" spans="1:6" s="32" customFormat="1">
      <c r="A141" s="33"/>
      <c r="B141" s="33"/>
      <c r="C141" s="2" t="s">
        <v>242</v>
      </c>
      <c r="D141" s="8" t="s">
        <v>237</v>
      </c>
      <c r="E141" s="37" t="s">
        <v>11</v>
      </c>
      <c r="F141" s="39">
        <v>1</v>
      </c>
    </row>
    <row r="142" spans="1:6" s="32" customFormat="1">
      <c r="A142" s="33"/>
      <c r="B142" s="33"/>
      <c r="C142" s="2" t="s">
        <v>232</v>
      </c>
      <c r="D142" s="8" t="s">
        <v>238</v>
      </c>
      <c r="E142" s="37" t="s">
        <v>11</v>
      </c>
      <c r="F142" s="39">
        <v>50</v>
      </c>
    </row>
    <row r="143" spans="1:6" s="32" customFormat="1">
      <c r="A143" s="33"/>
      <c r="B143" s="33"/>
      <c r="C143" s="2" t="s">
        <v>233</v>
      </c>
      <c r="D143" s="8" t="s">
        <v>239</v>
      </c>
      <c r="E143" s="37" t="s">
        <v>11</v>
      </c>
      <c r="F143" s="39">
        <v>1</v>
      </c>
    </row>
    <row r="144" spans="1:6" s="32" customFormat="1">
      <c r="A144" s="33"/>
      <c r="B144" s="33"/>
      <c r="C144" s="2" t="s">
        <v>234</v>
      </c>
      <c r="D144" s="8" t="s">
        <v>240</v>
      </c>
      <c r="E144" s="37" t="s">
        <v>11</v>
      </c>
      <c r="F144" s="39">
        <v>30</v>
      </c>
    </row>
    <row r="145" spans="1:15" s="32" customFormat="1">
      <c r="A145" s="33"/>
      <c r="B145" s="33"/>
      <c r="C145" s="2" t="s">
        <v>235</v>
      </c>
      <c r="D145" s="8" t="s">
        <v>241</v>
      </c>
      <c r="E145" s="2" t="s">
        <v>14</v>
      </c>
      <c r="F145" s="39">
        <v>8.5000000000000006E-2</v>
      </c>
    </row>
    <row r="146" spans="1:15">
      <c r="B146" s="1" t="s">
        <v>296</v>
      </c>
      <c r="C146" s="32" t="s">
        <v>286</v>
      </c>
      <c r="D146" s="29" t="s">
        <v>297</v>
      </c>
      <c r="E146" s="37" t="s">
        <v>11</v>
      </c>
      <c r="F146" s="21">
        <v>100</v>
      </c>
      <c r="G146" t="s">
        <v>1127</v>
      </c>
      <c r="N146" s="32"/>
      <c r="O146" s="32"/>
    </row>
    <row r="147" spans="1:15">
      <c r="C147" s="32" t="s">
        <v>287</v>
      </c>
      <c r="D147" s="29" t="s">
        <v>297</v>
      </c>
      <c r="E147" s="37" t="s">
        <v>11</v>
      </c>
      <c r="F147" s="21">
        <v>70</v>
      </c>
      <c r="G147" t="s">
        <v>1128</v>
      </c>
      <c r="N147" s="32"/>
      <c r="O147" s="32"/>
    </row>
    <row r="148" spans="1:15">
      <c r="C148" s="32" t="s">
        <v>288</v>
      </c>
      <c r="D148" s="29" t="s">
        <v>297</v>
      </c>
      <c r="E148" s="37" t="s">
        <v>11</v>
      </c>
      <c r="F148" s="21">
        <v>60</v>
      </c>
      <c r="G148" t="s">
        <v>1129</v>
      </c>
      <c r="N148" s="32"/>
      <c r="O148" s="32"/>
    </row>
    <row r="149" spans="1:15">
      <c r="C149" s="32" t="s">
        <v>289</v>
      </c>
      <c r="D149" s="29" t="s">
        <v>297</v>
      </c>
      <c r="E149" s="37" t="s">
        <v>11</v>
      </c>
      <c r="F149" s="21">
        <v>55</v>
      </c>
      <c r="G149" t="s">
        <v>1129</v>
      </c>
      <c r="N149" s="32"/>
      <c r="O149" s="32"/>
    </row>
    <row r="150" spans="1:15">
      <c r="C150" s="32" t="s">
        <v>499</v>
      </c>
      <c r="D150" s="29" t="s">
        <v>297</v>
      </c>
      <c r="E150" s="37" t="s">
        <v>11</v>
      </c>
      <c r="F150" s="21">
        <v>50</v>
      </c>
      <c r="G150" t="s">
        <v>1129</v>
      </c>
      <c r="N150" s="32"/>
      <c r="O150" s="32"/>
    </row>
    <row r="151" spans="1:15">
      <c r="C151" s="32" t="s">
        <v>290</v>
      </c>
      <c r="D151" s="29" t="s">
        <v>297</v>
      </c>
      <c r="E151" s="37" t="s">
        <v>11</v>
      </c>
      <c r="F151" s="21">
        <v>45</v>
      </c>
      <c r="G151" t="s">
        <v>1129</v>
      </c>
      <c r="N151" s="32"/>
      <c r="O151" s="32"/>
    </row>
    <row r="152" spans="1:15">
      <c r="C152" s="32" t="s">
        <v>291</v>
      </c>
      <c r="D152" s="29" t="s">
        <v>297</v>
      </c>
      <c r="E152" s="37" t="s">
        <v>11</v>
      </c>
      <c r="F152" s="21">
        <v>40</v>
      </c>
      <c r="G152" t="s">
        <v>1129</v>
      </c>
      <c r="N152" s="32"/>
      <c r="O152" s="32"/>
    </row>
    <row r="153" spans="1:15">
      <c r="C153" s="29" t="s">
        <v>292</v>
      </c>
      <c r="D153" s="29" t="s">
        <v>297</v>
      </c>
      <c r="E153" s="37" t="s">
        <v>11</v>
      </c>
      <c r="F153" s="21">
        <v>35</v>
      </c>
      <c r="G153" t="s">
        <v>1129</v>
      </c>
      <c r="N153" s="32"/>
      <c r="O153" s="32"/>
    </row>
    <row r="154" spans="1:15">
      <c r="C154" s="32" t="s">
        <v>293</v>
      </c>
      <c r="D154" s="29" t="s">
        <v>297</v>
      </c>
      <c r="E154" s="37" t="s">
        <v>11</v>
      </c>
      <c r="F154" s="21">
        <v>30</v>
      </c>
      <c r="G154" t="s">
        <v>1129</v>
      </c>
      <c r="N154" s="32"/>
      <c r="O154" s="32"/>
    </row>
    <row r="155" spans="1:15">
      <c r="C155" s="29" t="s">
        <v>294</v>
      </c>
      <c r="D155" s="29" t="s">
        <v>298</v>
      </c>
      <c r="E155" s="37" t="s">
        <v>11</v>
      </c>
      <c r="F155" s="21">
        <v>80</v>
      </c>
      <c r="N155" s="32"/>
      <c r="O155" s="32"/>
    </row>
    <row r="156" spans="1:15">
      <c r="C156" s="29" t="s">
        <v>295</v>
      </c>
      <c r="D156" s="29" t="s">
        <v>299</v>
      </c>
      <c r="E156" s="37" t="s">
        <v>11</v>
      </c>
      <c r="F156" s="21">
        <v>90</v>
      </c>
      <c r="N156" s="32"/>
      <c r="O156" s="32"/>
    </row>
    <row r="157" spans="1:15" s="32" customFormat="1">
      <c r="A157" s="33"/>
      <c r="B157" s="33"/>
      <c r="C157" s="33" t="s">
        <v>1118</v>
      </c>
      <c r="D157" s="29" t="s">
        <v>1137</v>
      </c>
      <c r="E157" s="37" t="s">
        <v>11</v>
      </c>
      <c r="F157" s="21">
        <v>1000</v>
      </c>
      <c r="G157" s="32" t="s">
        <v>1126</v>
      </c>
    </row>
    <row r="158" spans="1:15" s="32" customFormat="1">
      <c r="A158" s="33"/>
      <c r="B158" s="33"/>
      <c r="C158" s="33" t="s">
        <v>1120</v>
      </c>
      <c r="D158" s="29" t="s">
        <v>1135</v>
      </c>
      <c r="E158" s="37" t="s">
        <v>11</v>
      </c>
      <c r="F158" s="21">
        <v>35000</v>
      </c>
      <c r="G158" s="32" t="s">
        <v>1126</v>
      </c>
    </row>
    <row r="159" spans="1:15" s="32" customFormat="1">
      <c r="A159" s="33"/>
      <c r="B159" s="33"/>
      <c r="C159" s="33" t="s">
        <v>1121</v>
      </c>
      <c r="D159" s="29" t="s">
        <v>1135</v>
      </c>
      <c r="E159" s="37" t="s">
        <v>11</v>
      </c>
      <c r="F159" s="21">
        <v>50000</v>
      </c>
      <c r="G159" s="32" t="s">
        <v>1126</v>
      </c>
    </row>
    <row r="160" spans="1:15" s="32" customFormat="1">
      <c r="A160" s="33"/>
      <c r="B160" s="33"/>
      <c r="C160" s="33" t="s">
        <v>1122</v>
      </c>
      <c r="D160" s="29" t="s">
        <v>1135</v>
      </c>
      <c r="E160" s="37" t="s">
        <v>11</v>
      </c>
      <c r="F160" s="21">
        <v>30000</v>
      </c>
      <c r="G160" s="32" t="s">
        <v>1126</v>
      </c>
    </row>
    <row r="161" spans="1:7" s="32" customFormat="1">
      <c r="A161" s="33"/>
      <c r="B161" s="33"/>
      <c r="C161" s="33" t="s">
        <v>1123</v>
      </c>
      <c r="D161" s="29" t="s">
        <v>1135</v>
      </c>
      <c r="E161" s="37" t="s">
        <v>11</v>
      </c>
      <c r="F161" s="21">
        <v>10000</v>
      </c>
      <c r="G161" s="32" t="s">
        <v>1126</v>
      </c>
    </row>
    <row r="162" spans="1:7" s="32" customFormat="1">
      <c r="A162" s="33"/>
      <c r="B162" s="33"/>
      <c r="C162" s="33" t="s">
        <v>1124</v>
      </c>
      <c r="D162" s="29" t="s">
        <v>1131</v>
      </c>
      <c r="E162" s="37" t="s">
        <v>11</v>
      </c>
      <c r="F162" s="21">
        <v>1000</v>
      </c>
      <c r="G162" s="32" t="s">
        <v>1126</v>
      </c>
    </row>
    <row r="163" spans="1:7" s="32" customFormat="1">
      <c r="A163" s="33"/>
      <c r="B163" s="33"/>
      <c r="C163" s="33" t="s">
        <v>1125</v>
      </c>
      <c r="D163" s="29" t="s">
        <v>1133</v>
      </c>
      <c r="E163" s="37" t="s">
        <v>11</v>
      </c>
      <c r="F163" s="21">
        <v>6</v>
      </c>
      <c r="G163" s="32" t="s">
        <v>1126</v>
      </c>
    </row>
    <row r="164" spans="1:7" s="32" customFormat="1">
      <c r="A164" s="33"/>
      <c r="B164" s="33" t="s">
        <v>447</v>
      </c>
      <c r="C164" s="29" t="s">
        <v>508</v>
      </c>
      <c r="D164" s="29" t="s">
        <v>509</v>
      </c>
      <c r="E164" s="37" t="s">
        <v>11</v>
      </c>
      <c r="F164" s="21">
        <v>2</v>
      </c>
      <c r="G164" s="32">
        <v>6</v>
      </c>
    </row>
    <row r="165" spans="1:7" s="32" customFormat="1">
      <c r="A165" s="33"/>
      <c r="C165" s="29" t="s">
        <v>450</v>
      </c>
      <c r="D165" s="29" t="s">
        <v>463</v>
      </c>
      <c r="E165" s="37" t="s">
        <v>11</v>
      </c>
      <c r="F165" s="21">
        <v>5</v>
      </c>
    </row>
    <row r="166" spans="1:7" s="32" customFormat="1">
      <c r="A166" s="33"/>
      <c r="B166" s="33"/>
      <c r="C166" s="29" t="s">
        <v>453</v>
      </c>
      <c r="D166" s="29" t="s">
        <v>456</v>
      </c>
      <c r="E166" s="37" t="s">
        <v>11</v>
      </c>
      <c r="F166" s="21">
        <v>100</v>
      </c>
    </row>
    <row r="167" spans="1:7" s="32" customFormat="1">
      <c r="A167" s="33"/>
      <c r="B167" s="33"/>
      <c r="C167" s="29" t="s">
        <v>448</v>
      </c>
      <c r="D167" s="29" t="s">
        <v>451</v>
      </c>
      <c r="E167" s="37" t="s">
        <v>11</v>
      </c>
      <c r="F167" s="21">
        <v>5</v>
      </c>
    </row>
    <row r="168" spans="1:7" s="32" customFormat="1">
      <c r="A168" s="33"/>
      <c r="B168" s="33"/>
      <c r="C168" s="29" t="s">
        <v>454</v>
      </c>
      <c r="D168" s="29" t="s">
        <v>457</v>
      </c>
      <c r="E168" s="37" t="s">
        <v>11</v>
      </c>
      <c r="F168" s="21">
        <v>500</v>
      </c>
    </row>
    <row r="169" spans="1:7" s="32" customFormat="1">
      <c r="A169" s="33"/>
      <c r="B169" s="33"/>
      <c r="C169" s="29" t="s">
        <v>449</v>
      </c>
      <c r="D169" s="29" t="s">
        <v>452</v>
      </c>
      <c r="E169" s="37" t="s">
        <v>11</v>
      </c>
      <c r="F169" s="21">
        <v>4</v>
      </c>
    </row>
    <row r="170" spans="1:7" s="32" customFormat="1">
      <c r="A170" s="33"/>
      <c r="B170" s="33"/>
      <c r="C170" s="29" t="s">
        <v>455</v>
      </c>
      <c r="D170" s="29" t="s">
        <v>458</v>
      </c>
      <c r="E170" s="37" t="s">
        <v>11</v>
      </c>
      <c r="F170" s="21">
        <v>40</v>
      </c>
    </row>
    <row r="171" spans="1:7" s="32" customFormat="1">
      <c r="A171" s="33"/>
      <c r="B171" s="33"/>
      <c r="C171" s="29" t="s">
        <v>459</v>
      </c>
      <c r="D171" s="29" t="s">
        <v>461</v>
      </c>
      <c r="E171" s="37" t="s">
        <v>11</v>
      </c>
      <c r="F171" s="21">
        <v>4000</v>
      </c>
    </row>
    <row r="172" spans="1:7" s="32" customFormat="1">
      <c r="A172" s="33"/>
      <c r="B172" s="33"/>
      <c r="C172" s="29" t="s">
        <v>460</v>
      </c>
      <c r="D172" s="29" t="s">
        <v>462</v>
      </c>
      <c r="E172" s="37" t="s">
        <v>11</v>
      </c>
      <c r="F172" s="21">
        <v>500</v>
      </c>
    </row>
    <row r="173" spans="1:7" s="32" customFormat="1">
      <c r="A173" s="33"/>
      <c r="B173" s="33"/>
      <c r="C173" s="29" t="s">
        <v>464</v>
      </c>
      <c r="D173" s="29" t="s">
        <v>471</v>
      </c>
      <c r="E173" s="37" t="s">
        <v>11</v>
      </c>
      <c r="F173" s="21">
        <v>9</v>
      </c>
    </row>
    <row r="174" spans="1:7" s="32" customFormat="1">
      <c r="A174" s="33"/>
      <c r="B174"/>
      <c r="C174" s="29" t="s">
        <v>476</v>
      </c>
      <c r="D174" s="29" t="s">
        <v>472</v>
      </c>
      <c r="E174" s="37" t="s">
        <v>11</v>
      </c>
      <c r="F174" s="21">
        <v>9</v>
      </c>
      <c r="G174" s="32" t="s">
        <v>465</v>
      </c>
    </row>
    <row r="175" spans="1:7" s="32" customFormat="1">
      <c r="A175" s="33"/>
      <c r="B175"/>
      <c r="C175" s="29" t="s">
        <v>477</v>
      </c>
      <c r="D175" s="29" t="s">
        <v>473</v>
      </c>
      <c r="E175" s="37" t="s">
        <v>11</v>
      </c>
      <c r="F175" s="21">
        <v>7</v>
      </c>
      <c r="G175" s="32" t="s">
        <v>466</v>
      </c>
    </row>
    <row r="176" spans="1:7" s="32" customFormat="1">
      <c r="A176" s="33"/>
      <c r="B176"/>
      <c r="C176" s="29" t="s">
        <v>478</v>
      </c>
      <c r="D176" s="29" t="s">
        <v>474</v>
      </c>
      <c r="E176" s="37" t="s">
        <v>11</v>
      </c>
      <c r="F176" s="21">
        <v>4</v>
      </c>
      <c r="G176" s="32" t="s">
        <v>467</v>
      </c>
    </row>
    <row r="177" spans="1:9" s="32" customFormat="1">
      <c r="A177" s="33"/>
      <c r="B177"/>
      <c r="C177" s="29" t="s">
        <v>479</v>
      </c>
      <c r="D177" s="29" t="s">
        <v>475</v>
      </c>
      <c r="E177" s="37" t="s">
        <v>11</v>
      </c>
      <c r="F177" s="21">
        <v>1</v>
      </c>
      <c r="G177" s="32" t="s">
        <v>468</v>
      </c>
    </row>
    <row r="178" spans="1:9" s="32" customFormat="1">
      <c r="A178" s="33"/>
      <c r="B178"/>
      <c r="C178" s="29" t="s">
        <v>469</v>
      </c>
      <c r="D178" s="29" t="s">
        <v>470</v>
      </c>
      <c r="E178" s="37" t="s">
        <v>11</v>
      </c>
      <c r="F178" s="21">
        <v>180</v>
      </c>
    </row>
    <row r="179" spans="1:9" s="32" customFormat="1">
      <c r="A179" s="33"/>
      <c r="C179" s="29" t="s">
        <v>533</v>
      </c>
      <c r="D179" s="29" t="s">
        <v>535</v>
      </c>
      <c r="E179" s="37" t="s">
        <v>11</v>
      </c>
      <c r="F179" s="21">
        <v>20</v>
      </c>
    </row>
    <row r="180" spans="1:9" s="32" customFormat="1">
      <c r="A180" s="33"/>
      <c r="C180" s="29" t="s">
        <v>534</v>
      </c>
      <c r="D180" s="29" t="s">
        <v>536</v>
      </c>
      <c r="E180" s="37" t="s">
        <v>11</v>
      </c>
      <c r="F180" s="21">
        <v>10</v>
      </c>
    </row>
    <row r="181" spans="1:9" s="32" customFormat="1">
      <c r="A181" s="33"/>
      <c r="B181" s="33"/>
      <c r="C181" s="29" t="s">
        <v>480</v>
      </c>
      <c r="D181" s="29" t="s">
        <v>492</v>
      </c>
      <c r="E181" s="37" t="s">
        <v>11</v>
      </c>
      <c r="F181" s="21">
        <v>180</v>
      </c>
    </row>
    <row r="182" spans="1:9" s="32" customFormat="1">
      <c r="A182" s="33"/>
      <c r="B182" s="33"/>
      <c r="C182" s="29" t="s">
        <v>491</v>
      </c>
      <c r="D182" s="29" t="s">
        <v>493</v>
      </c>
      <c r="E182" s="37" t="s">
        <v>11</v>
      </c>
      <c r="F182" s="21">
        <v>360</v>
      </c>
    </row>
    <row r="183" spans="1:9" s="32" customFormat="1">
      <c r="A183" s="33"/>
      <c r="B183" s="33"/>
      <c r="C183" s="29" t="s">
        <v>481</v>
      </c>
      <c r="D183" s="29" t="s">
        <v>486</v>
      </c>
      <c r="E183" s="37" t="s">
        <v>11</v>
      </c>
      <c r="F183" s="21">
        <v>3</v>
      </c>
    </row>
    <row r="184" spans="1:9" s="32" customFormat="1">
      <c r="A184" s="33"/>
      <c r="B184" s="33"/>
      <c r="C184" s="29" t="s">
        <v>482</v>
      </c>
      <c r="D184" s="29" t="s">
        <v>487</v>
      </c>
      <c r="E184" s="37" t="s">
        <v>11</v>
      </c>
      <c r="F184" s="21">
        <v>120</v>
      </c>
    </row>
    <row r="185" spans="1:9" s="32" customFormat="1">
      <c r="A185" s="33"/>
      <c r="B185" s="33"/>
      <c r="C185" s="29" t="s">
        <v>483</v>
      </c>
      <c r="D185" s="29" t="s">
        <v>488</v>
      </c>
      <c r="E185" s="37" t="s">
        <v>11</v>
      </c>
      <c r="F185" s="21">
        <v>5</v>
      </c>
    </row>
    <row r="186" spans="1:9" s="32" customFormat="1">
      <c r="A186" s="33"/>
      <c r="B186" s="33"/>
      <c r="C186" s="29" t="s">
        <v>484</v>
      </c>
      <c r="D186" s="29" t="s">
        <v>489</v>
      </c>
      <c r="E186" s="37" t="s">
        <v>11</v>
      </c>
      <c r="F186" s="21">
        <v>10</v>
      </c>
    </row>
    <row r="187" spans="1:9" s="32" customFormat="1">
      <c r="A187" s="33"/>
      <c r="B187" s="33"/>
      <c r="C187" s="29" t="s">
        <v>485</v>
      </c>
      <c r="D187" s="29" t="s">
        <v>490</v>
      </c>
      <c r="E187" s="37" t="s">
        <v>11</v>
      </c>
      <c r="F187" s="21">
        <v>5</v>
      </c>
      <c r="G187"/>
      <c r="H187"/>
      <c r="I187"/>
    </row>
    <row r="188" spans="1:9" s="32" customFormat="1">
      <c r="A188" s="33"/>
      <c r="B188" s="33"/>
      <c r="C188" s="29" t="s">
        <v>498</v>
      </c>
      <c r="D188" s="29" t="s">
        <v>494</v>
      </c>
      <c r="E188" s="37" t="s">
        <v>11</v>
      </c>
      <c r="F188" s="21">
        <v>800000</v>
      </c>
      <c r="G188"/>
      <c r="H188"/>
      <c r="I188"/>
    </row>
    <row r="189" spans="1:9" s="32" customFormat="1">
      <c r="A189" s="33"/>
      <c r="B189" s="33"/>
      <c r="C189" s="29" t="s">
        <v>511</v>
      </c>
      <c r="D189" s="29" t="s">
        <v>512</v>
      </c>
      <c r="E189" s="37" t="s">
        <v>107</v>
      </c>
      <c r="F189" s="59" t="s">
        <v>510</v>
      </c>
      <c r="G189" t="s">
        <v>503</v>
      </c>
      <c r="H189"/>
      <c r="I189"/>
    </row>
    <row r="190" spans="1:9" s="32" customFormat="1">
      <c r="A190" s="33"/>
      <c r="B190" s="33"/>
      <c r="C190" s="29" t="s">
        <v>500</v>
      </c>
      <c r="D190" s="29" t="s">
        <v>513</v>
      </c>
      <c r="E190" s="37" t="s">
        <v>107</v>
      </c>
      <c r="F190" s="59" t="s">
        <v>538</v>
      </c>
      <c r="G190" t="s">
        <v>504</v>
      </c>
      <c r="H190"/>
      <c r="I190"/>
    </row>
    <row r="191" spans="1:9" s="32" customFormat="1">
      <c r="A191" s="33"/>
      <c r="B191" s="33"/>
      <c r="C191" s="29" t="s">
        <v>514</v>
      </c>
      <c r="D191" s="29" t="s">
        <v>515</v>
      </c>
      <c r="E191" s="37" t="s">
        <v>11</v>
      </c>
      <c r="F191" s="59">
        <v>22</v>
      </c>
    </row>
    <row r="192" spans="1:9" s="32" customFormat="1">
      <c r="A192" s="33"/>
      <c r="B192" s="33"/>
      <c r="C192" s="29" t="s">
        <v>516</v>
      </c>
      <c r="D192" s="29" t="s">
        <v>519</v>
      </c>
      <c r="E192" s="37" t="s">
        <v>107</v>
      </c>
      <c r="F192" s="59" t="s">
        <v>550</v>
      </c>
    </row>
    <row r="193" spans="1:9" s="32" customFormat="1">
      <c r="A193" s="33"/>
      <c r="B193" s="33"/>
      <c r="C193" s="29" t="s">
        <v>517</v>
      </c>
      <c r="D193" s="29" t="s">
        <v>520</v>
      </c>
      <c r="E193" s="37" t="s">
        <v>107</v>
      </c>
      <c r="F193" s="59" t="s">
        <v>551</v>
      </c>
    </row>
    <row r="194" spans="1:9" s="32" customFormat="1">
      <c r="A194" s="33"/>
      <c r="B194" s="33"/>
      <c r="C194" s="29" t="s">
        <v>518</v>
      </c>
      <c r="D194" s="29" t="s">
        <v>521</v>
      </c>
      <c r="E194" s="37" t="s">
        <v>107</v>
      </c>
      <c r="F194" s="59" t="s">
        <v>552</v>
      </c>
    </row>
    <row r="195" spans="1:9" s="32" customFormat="1">
      <c r="A195" s="33"/>
      <c r="B195" s="33"/>
      <c r="C195" s="29" t="s">
        <v>522</v>
      </c>
      <c r="D195" s="29" t="s">
        <v>524</v>
      </c>
      <c r="E195" s="37" t="s">
        <v>107</v>
      </c>
      <c r="F195" s="21" t="s">
        <v>1151</v>
      </c>
    </row>
    <row r="196" spans="1:9" s="32" customFormat="1">
      <c r="A196" s="33"/>
      <c r="B196" s="33"/>
      <c r="C196" s="29" t="s">
        <v>523</v>
      </c>
      <c r="D196" s="29" t="s">
        <v>525</v>
      </c>
      <c r="E196" s="37" t="s">
        <v>107</v>
      </c>
      <c r="F196" s="59" t="s">
        <v>537</v>
      </c>
    </row>
    <row r="197" spans="1:9" s="32" customFormat="1">
      <c r="A197" s="33"/>
      <c r="B197" s="33"/>
      <c r="C197" s="29" t="s">
        <v>532</v>
      </c>
      <c r="D197" s="29" t="s">
        <v>495</v>
      </c>
      <c r="E197" s="37" t="s">
        <v>107</v>
      </c>
      <c r="F197" s="59" t="s">
        <v>606</v>
      </c>
      <c r="G197"/>
      <c r="H197"/>
      <c r="I197"/>
    </row>
    <row r="198" spans="1:9" s="32" customFormat="1">
      <c r="A198" s="33"/>
      <c r="B198" s="33"/>
      <c r="C198" s="29" t="s">
        <v>501</v>
      </c>
      <c r="D198" s="29" t="s">
        <v>502</v>
      </c>
      <c r="E198" s="37" t="s">
        <v>11</v>
      </c>
      <c r="F198" s="57">
        <v>600</v>
      </c>
      <c r="G198" t="s">
        <v>505</v>
      </c>
      <c r="H198"/>
      <c r="I198"/>
    </row>
    <row r="199" spans="1:9" s="32" customFormat="1">
      <c r="A199" s="33"/>
      <c r="B199" s="33"/>
      <c r="C199" s="29" t="s">
        <v>506</v>
      </c>
      <c r="D199" s="29" t="s">
        <v>496</v>
      </c>
      <c r="E199" s="2" t="s">
        <v>14</v>
      </c>
      <c r="F199" s="21">
        <v>1.2</v>
      </c>
      <c r="G199"/>
      <c r="H199"/>
      <c r="I199"/>
    </row>
    <row r="200" spans="1:9" s="32" customFormat="1">
      <c r="A200" s="33"/>
      <c r="B200" s="33"/>
      <c r="C200" s="29" t="s">
        <v>507</v>
      </c>
      <c r="D200" s="29" t="s">
        <v>497</v>
      </c>
      <c r="E200" s="37" t="s">
        <v>11</v>
      </c>
      <c r="F200" s="21">
        <v>198</v>
      </c>
      <c r="G200"/>
      <c r="H200"/>
      <c r="I200"/>
    </row>
    <row r="201" spans="1:9" s="32" customFormat="1">
      <c r="A201" s="33"/>
      <c r="B201" s="33"/>
      <c r="C201" s="29" t="s">
        <v>528</v>
      </c>
      <c r="D201" s="29" t="s">
        <v>529</v>
      </c>
      <c r="E201" s="37" t="s">
        <v>11</v>
      </c>
      <c r="F201" s="57">
        <v>3</v>
      </c>
    </row>
    <row r="202" spans="1:9" s="32" customFormat="1">
      <c r="A202" s="33"/>
      <c r="B202" s="33"/>
      <c r="C202" s="29" t="s">
        <v>526</v>
      </c>
      <c r="D202" s="29" t="s">
        <v>530</v>
      </c>
      <c r="E202" s="37" t="s">
        <v>11</v>
      </c>
      <c r="F202" s="21">
        <v>500</v>
      </c>
    </row>
    <row r="203" spans="1:9" s="32" customFormat="1">
      <c r="A203" s="33"/>
      <c r="B203" s="33"/>
      <c r="C203" s="29" t="s">
        <v>527</v>
      </c>
      <c r="D203" s="29" t="s">
        <v>531</v>
      </c>
      <c r="E203" s="37" t="s">
        <v>11</v>
      </c>
      <c r="F203" s="21">
        <v>80</v>
      </c>
    </row>
    <row r="204" spans="1:9" s="32" customFormat="1">
      <c r="A204" s="33"/>
      <c r="B204" s="33"/>
      <c r="C204" s="29" t="s">
        <v>1104</v>
      </c>
      <c r="D204" s="29" t="s">
        <v>1102</v>
      </c>
      <c r="E204" s="37" t="s">
        <v>312</v>
      </c>
      <c r="F204" s="21" t="s">
        <v>1148</v>
      </c>
    </row>
    <row r="205" spans="1:9" s="32" customFormat="1">
      <c r="A205" s="33"/>
      <c r="B205" s="33" t="s">
        <v>565</v>
      </c>
      <c r="C205" s="29" t="s">
        <v>553</v>
      </c>
      <c r="D205" s="29" t="s">
        <v>554</v>
      </c>
      <c r="E205" s="32" t="s">
        <v>312</v>
      </c>
      <c r="F205" s="86" t="s">
        <v>566</v>
      </c>
    </row>
    <row r="206" spans="1:9" s="32" customFormat="1">
      <c r="A206" s="33"/>
      <c r="B206" s="33"/>
      <c r="C206" s="29" t="s">
        <v>567</v>
      </c>
      <c r="D206" s="29" t="s">
        <v>570</v>
      </c>
      <c r="E206" s="37" t="s">
        <v>107</v>
      </c>
      <c r="F206" s="86" t="s">
        <v>569</v>
      </c>
    </row>
    <row r="207" spans="1:9" s="32" customFormat="1">
      <c r="A207" s="33"/>
      <c r="B207" s="33"/>
      <c r="C207" s="29" t="s">
        <v>568</v>
      </c>
      <c r="D207" s="29" t="s">
        <v>571</v>
      </c>
      <c r="E207" s="37" t="s">
        <v>107</v>
      </c>
      <c r="F207" s="86" t="s">
        <v>1142</v>
      </c>
    </row>
    <row r="208" spans="1:9" s="32" customFormat="1">
      <c r="A208" s="33"/>
      <c r="B208" s="33" t="s">
        <v>612</v>
      </c>
      <c r="C208" s="29" t="s">
        <v>618</v>
      </c>
      <c r="D208" s="29" t="s">
        <v>619</v>
      </c>
      <c r="E208" s="37" t="s">
        <v>11</v>
      </c>
      <c r="F208" s="58">
        <v>6</v>
      </c>
    </row>
    <row r="209" spans="1:6" s="32" customFormat="1">
      <c r="A209" s="33"/>
      <c r="B209" s="33"/>
      <c r="C209" s="29" t="s">
        <v>620</v>
      </c>
      <c r="D209" s="29" t="s">
        <v>1078</v>
      </c>
      <c r="E209" s="37" t="s">
        <v>11</v>
      </c>
      <c r="F209" s="58">
        <v>8000</v>
      </c>
    </row>
    <row r="210" spans="1:6" s="32" customFormat="1">
      <c r="A210" s="33"/>
      <c r="B210" s="33"/>
      <c r="C210" s="29" t="s">
        <v>641</v>
      </c>
      <c r="D210" s="29" t="s">
        <v>642</v>
      </c>
      <c r="E210" s="37" t="s">
        <v>11</v>
      </c>
      <c r="F210" s="58">
        <v>5</v>
      </c>
    </row>
    <row r="211" spans="1:6" s="32" customFormat="1">
      <c r="A211" s="33"/>
      <c r="B211" s="33"/>
      <c r="C211" s="29" t="s">
        <v>633</v>
      </c>
      <c r="D211" s="29" t="s">
        <v>636</v>
      </c>
      <c r="E211" s="37" t="s">
        <v>11</v>
      </c>
      <c r="F211" s="58">
        <v>30</v>
      </c>
    </row>
    <row r="212" spans="1:6" s="32" customFormat="1">
      <c r="A212" s="33"/>
      <c r="B212" s="33"/>
      <c r="C212" s="29" t="s">
        <v>634</v>
      </c>
      <c r="D212" s="29" t="s">
        <v>637</v>
      </c>
      <c r="E212" s="37" t="s">
        <v>11</v>
      </c>
      <c r="F212" s="58">
        <v>29</v>
      </c>
    </row>
    <row r="213" spans="1:6" s="32" customFormat="1">
      <c r="A213" s="33"/>
      <c r="B213" s="33"/>
      <c r="C213" s="29" t="s">
        <v>635</v>
      </c>
      <c r="D213" s="29" t="s">
        <v>638</v>
      </c>
      <c r="E213" s="37" t="s">
        <v>11</v>
      </c>
      <c r="F213" s="58">
        <v>28</v>
      </c>
    </row>
    <row r="214" spans="1:6" s="32" customFormat="1">
      <c r="A214" s="33"/>
      <c r="B214" s="33"/>
      <c r="C214" s="29" t="s">
        <v>640</v>
      </c>
      <c r="D214" s="29" t="s">
        <v>639</v>
      </c>
      <c r="E214" s="37" t="s">
        <v>11</v>
      </c>
      <c r="F214" s="58">
        <v>27</v>
      </c>
    </row>
    <row r="215" spans="1:6" s="32" customFormat="1">
      <c r="A215" s="33"/>
      <c r="B215" s="33"/>
      <c r="C215" s="29" t="s">
        <v>621</v>
      </c>
      <c r="D215" s="29" t="s">
        <v>622</v>
      </c>
      <c r="E215" s="37" t="s">
        <v>11</v>
      </c>
      <c r="F215" s="106">
        <v>90</v>
      </c>
    </row>
    <row r="216" spans="1:6" s="32" customFormat="1">
      <c r="A216" s="33"/>
      <c r="B216" s="33"/>
      <c r="C216" s="29" t="s">
        <v>623</v>
      </c>
      <c r="D216" s="29" t="s">
        <v>625</v>
      </c>
      <c r="E216" s="37" t="s">
        <v>11</v>
      </c>
      <c r="F216" s="58">
        <v>8</v>
      </c>
    </row>
    <row r="217" spans="1:6" s="32" customFormat="1">
      <c r="A217" s="33"/>
      <c r="B217" s="33"/>
      <c r="C217" s="29" t="s">
        <v>624</v>
      </c>
      <c r="D217" s="29" t="s">
        <v>626</v>
      </c>
      <c r="E217" s="37" t="s">
        <v>11</v>
      </c>
      <c r="F217" s="58">
        <v>24</v>
      </c>
    </row>
    <row r="218" spans="1:6" s="32" customFormat="1">
      <c r="A218" s="33"/>
      <c r="B218" s="33"/>
      <c r="C218" s="29" t="s">
        <v>627</v>
      </c>
      <c r="D218" s="29" t="s">
        <v>629</v>
      </c>
      <c r="E218" s="37" t="s">
        <v>107</v>
      </c>
      <c r="F218" s="29" t="str">
        <f>相扑!F34</f>
        <v>1,1,1,1,1,1,1,1,1,1,1,1,1,1,1,1,1,1,1,1,1,1,1,1</v>
      </c>
    </row>
    <row r="219" spans="1:6" s="32" customFormat="1">
      <c r="A219" s="33"/>
      <c r="B219" s="33"/>
      <c r="C219" s="29" t="s">
        <v>628</v>
      </c>
      <c r="D219" s="29" t="s">
        <v>630</v>
      </c>
      <c r="E219" s="37" t="s">
        <v>107</v>
      </c>
      <c r="F219" s="29" t="str">
        <f>相扑!G34</f>
        <v>5,5,5,5,5,5,5,5,5,5,5,5,5,5,5,5,5,5,5,5,5,5,5,5</v>
      </c>
    </row>
    <row r="220" spans="1:6" s="32" customFormat="1">
      <c r="A220" s="33"/>
      <c r="B220" s="33"/>
      <c r="C220" s="29" t="s">
        <v>1036</v>
      </c>
      <c r="D220" s="29" t="s">
        <v>1020</v>
      </c>
      <c r="E220" s="37" t="s">
        <v>11</v>
      </c>
      <c r="F220" s="21">
        <v>4000</v>
      </c>
    </row>
    <row r="221" spans="1:6" s="32" customFormat="1">
      <c r="A221" s="33"/>
      <c r="B221" s="33"/>
      <c r="C221" s="29" t="s">
        <v>1035</v>
      </c>
      <c r="D221" s="29" t="s">
        <v>1028</v>
      </c>
      <c r="E221" s="37" t="s">
        <v>11</v>
      </c>
      <c r="F221" s="21">
        <v>5000</v>
      </c>
    </row>
    <row r="222" spans="1:6" s="32" customFormat="1">
      <c r="A222" s="33"/>
      <c r="B222" s="33"/>
      <c r="C222" s="29" t="s">
        <v>1039</v>
      </c>
      <c r="D222" s="29" t="s">
        <v>1022</v>
      </c>
      <c r="E222" s="37" t="s">
        <v>11</v>
      </c>
      <c r="F222" s="21">
        <v>4000</v>
      </c>
    </row>
    <row r="223" spans="1:6" s="32" customFormat="1">
      <c r="A223" s="33"/>
      <c r="B223" s="33"/>
      <c r="C223" s="29" t="s">
        <v>1017</v>
      </c>
      <c r="D223" s="29" t="s">
        <v>1026</v>
      </c>
      <c r="E223" s="37" t="s">
        <v>11</v>
      </c>
      <c r="F223" s="21">
        <v>9000</v>
      </c>
    </row>
    <row r="224" spans="1:6" s="32" customFormat="1">
      <c r="A224" s="33"/>
      <c r="B224" s="33"/>
      <c r="C224" s="29" t="s">
        <v>1042</v>
      </c>
      <c r="D224" s="29" t="s">
        <v>1024</v>
      </c>
      <c r="E224" s="37" t="s">
        <v>11</v>
      </c>
      <c r="F224" s="21">
        <v>2000</v>
      </c>
    </row>
    <row r="225" spans="1:15" s="32" customFormat="1" ht="27">
      <c r="A225" s="33"/>
      <c r="B225" s="33"/>
      <c r="C225" s="29" t="s">
        <v>1030</v>
      </c>
      <c r="D225" s="30" t="s">
        <v>1032</v>
      </c>
      <c r="E225" s="37" t="s">
        <v>107</v>
      </c>
      <c r="F225" s="31" t="s">
        <v>1070</v>
      </c>
    </row>
    <row r="226" spans="1:15" s="32" customFormat="1">
      <c r="A226" s="33"/>
      <c r="B226" s="33"/>
      <c r="C226" s="29" t="s">
        <v>1034</v>
      </c>
      <c r="D226" s="30" t="s">
        <v>1046</v>
      </c>
      <c r="E226" s="2" t="s">
        <v>14</v>
      </c>
      <c r="F226" s="31">
        <v>2.2999999999999998</v>
      </c>
      <c r="G226"/>
    </row>
    <row r="227" spans="1:15" s="32" customFormat="1">
      <c r="A227" s="33"/>
      <c r="B227" s="33"/>
      <c r="C227" s="29" t="s">
        <v>1050</v>
      </c>
      <c r="D227" s="30" t="s">
        <v>1048</v>
      </c>
      <c r="E227" s="2" t="s">
        <v>14</v>
      </c>
      <c r="F227" s="31">
        <v>2</v>
      </c>
    </row>
    <row r="228" spans="1:15" s="32" customFormat="1">
      <c r="A228" s="33"/>
      <c r="B228" s="33"/>
      <c r="C228" s="29" t="s">
        <v>1054</v>
      </c>
      <c r="D228" s="30" t="s">
        <v>1052</v>
      </c>
      <c r="E228" s="2" t="s">
        <v>14</v>
      </c>
      <c r="F228" s="31">
        <v>2.6</v>
      </c>
    </row>
    <row r="229" spans="1:15" s="32" customFormat="1">
      <c r="A229" s="33"/>
      <c r="B229" s="33"/>
      <c r="C229" s="29" t="s">
        <v>1058</v>
      </c>
      <c r="D229" s="30" t="s">
        <v>1056</v>
      </c>
      <c r="E229" s="2" t="s">
        <v>14</v>
      </c>
      <c r="F229" s="31">
        <v>3</v>
      </c>
    </row>
    <row r="230" spans="1:15" s="32" customFormat="1">
      <c r="A230" s="33"/>
      <c r="B230" s="33"/>
      <c r="C230" s="29" t="s">
        <v>1072</v>
      </c>
      <c r="D230" s="30" t="s">
        <v>1074</v>
      </c>
      <c r="E230" s="2" t="s">
        <v>14</v>
      </c>
      <c r="F230" s="31">
        <v>1.5</v>
      </c>
    </row>
    <row r="231" spans="1:15" s="32" customFormat="1">
      <c r="A231" s="33"/>
      <c r="B231" s="33"/>
      <c r="C231" s="29" t="s">
        <v>1066</v>
      </c>
      <c r="D231" s="30" t="s">
        <v>1068</v>
      </c>
      <c r="E231" s="2" t="s">
        <v>14</v>
      </c>
      <c r="F231" s="31">
        <v>0.85</v>
      </c>
    </row>
    <row r="232" spans="1:15" s="32" customFormat="1">
      <c r="A232" s="33"/>
      <c r="B232" s="33"/>
      <c r="C232" s="29" t="s">
        <v>1038</v>
      </c>
      <c r="D232" s="30" t="s">
        <v>1060</v>
      </c>
      <c r="E232" s="2" t="s">
        <v>14</v>
      </c>
      <c r="F232" s="31">
        <v>0.4</v>
      </c>
    </row>
    <row r="233" spans="1:15" s="32" customFormat="1">
      <c r="A233" s="33"/>
      <c r="B233" s="33"/>
      <c r="C233" s="29" t="s">
        <v>1041</v>
      </c>
      <c r="D233" s="30" t="s">
        <v>1062</v>
      </c>
      <c r="E233" s="2" t="s">
        <v>14</v>
      </c>
      <c r="F233" s="31">
        <v>0.4</v>
      </c>
    </row>
    <row r="234" spans="1:15" s="32" customFormat="1">
      <c r="A234" s="33"/>
      <c r="B234" s="33"/>
      <c r="C234" s="29" t="s">
        <v>1044</v>
      </c>
      <c r="D234" s="30" t="s">
        <v>1064</v>
      </c>
      <c r="E234" s="2" t="s">
        <v>14</v>
      </c>
      <c r="F234" s="31">
        <v>0.4</v>
      </c>
    </row>
    <row r="235" spans="1:15" s="32" customFormat="1">
      <c r="A235" s="33"/>
      <c r="B235" s="33" t="s">
        <v>1084</v>
      </c>
      <c r="C235" s="29" t="s">
        <v>1086</v>
      </c>
      <c r="D235" s="30" t="s">
        <v>1088</v>
      </c>
      <c r="E235" s="32" t="s">
        <v>4</v>
      </c>
      <c r="F235" s="31" t="s">
        <v>1090</v>
      </c>
    </row>
    <row r="236" spans="1:15">
      <c r="A236" s="5" t="s">
        <v>12</v>
      </c>
      <c r="B236" s="5"/>
      <c r="C236" s="6" t="s">
        <v>13</v>
      </c>
      <c r="D236" s="30" t="s">
        <v>1076</v>
      </c>
      <c r="E236" s="37" t="s">
        <v>11</v>
      </c>
      <c r="F236" s="38">
        <v>123</v>
      </c>
      <c r="N236" s="32"/>
      <c r="O236" s="32"/>
    </row>
    <row r="237" spans="1:15" s="32" customFormat="1">
      <c r="A237" s="5"/>
      <c r="B237" s="5"/>
      <c r="C237" s="6"/>
      <c r="D237" s="30"/>
      <c r="E237" s="37"/>
      <c r="F237" s="38"/>
    </row>
    <row r="238" spans="1:15" s="32" customFormat="1">
      <c r="A238" s="5"/>
      <c r="B238" s="5"/>
      <c r="C238" s="6"/>
      <c r="D238" s="30"/>
      <c r="E238" s="37"/>
      <c r="F238" s="38"/>
    </row>
    <row r="239" spans="1:15" s="32" customFormat="1">
      <c r="A239" s="5"/>
      <c r="B239" s="5"/>
      <c r="C239" s="6"/>
      <c r="D239" s="30"/>
      <c r="E239" s="37"/>
      <c r="F239" s="38"/>
    </row>
    <row r="240" spans="1:15" s="32" customFormat="1">
      <c r="A240" s="5"/>
      <c r="B240" s="5"/>
      <c r="C240" s="6"/>
      <c r="D240" s="30"/>
      <c r="E240" s="37"/>
      <c r="F240" s="38"/>
    </row>
    <row r="241" spans="1:15" s="32" customFormat="1">
      <c r="A241" s="5"/>
      <c r="B241" s="5"/>
      <c r="C241" s="6"/>
      <c r="D241" s="30"/>
      <c r="E241" s="37"/>
      <c r="F241" s="38"/>
    </row>
    <row r="242" spans="1:15" s="32" customFormat="1">
      <c r="A242" s="5"/>
      <c r="B242" s="5"/>
      <c r="C242" s="6"/>
      <c r="D242" s="30"/>
      <c r="E242" s="37"/>
      <c r="F242" s="38"/>
    </row>
    <row r="243" spans="1:15" s="32" customFormat="1">
      <c r="A243" s="5"/>
      <c r="B243" s="5"/>
      <c r="C243" s="6"/>
      <c r="D243" s="30"/>
      <c r="E243" s="37"/>
      <c r="F243" s="38"/>
    </row>
    <row r="244" spans="1:15" s="32" customFormat="1">
      <c r="A244" s="5"/>
      <c r="B244" s="5"/>
      <c r="C244" s="6"/>
      <c r="D244" s="30"/>
      <c r="E244" s="37"/>
      <c r="F244" s="38"/>
    </row>
    <row r="245" spans="1:15" s="32" customFormat="1">
      <c r="A245" s="5"/>
      <c r="B245" s="5"/>
      <c r="C245" s="6"/>
      <c r="D245" s="30"/>
      <c r="E245" s="37"/>
      <c r="F245" s="38"/>
    </row>
    <row r="246" spans="1:15">
      <c r="N246" s="32"/>
      <c r="O246" s="32"/>
    </row>
    <row r="247" spans="1:15">
      <c r="C247" t="s">
        <v>44</v>
      </c>
      <c r="F247" s="21">
        <v>250</v>
      </c>
      <c r="N247" s="32"/>
      <c r="O247" s="32"/>
    </row>
    <row r="248" spans="1:15">
      <c r="C248" t="s">
        <v>45</v>
      </c>
      <c r="D248" s="3" t="s">
        <v>43</v>
      </c>
      <c r="F248" s="21">
        <v>15</v>
      </c>
      <c r="N248" s="32"/>
      <c r="O248" s="32"/>
    </row>
    <row r="249" spans="1:15">
      <c r="C249" t="s">
        <v>46</v>
      </c>
      <c r="F249" s="21">
        <v>2000</v>
      </c>
      <c r="N249" s="32"/>
      <c r="O249" s="32"/>
    </row>
    <row r="250" spans="1:15">
      <c r="C250" t="s">
        <v>47</v>
      </c>
      <c r="F250" s="21">
        <v>10</v>
      </c>
      <c r="G250" s="20"/>
      <c r="H250" s="20"/>
      <c r="N250" s="32"/>
      <c r="O250" s="32"/>
    </row>
    <row r="251" spans="1:15">
      <c r="C251" t="s">
        <v>48</v>
      </c>
      <c r="F251" s="21">
        <v>10</v>
      </c>
      <c r="G251" s="20"/>
      <c r="H251" s="20"/>
      <c r="N251" s="32"/>
      <c r="O251" s="32"/>
    </row>
    <row r="252" spans="1:15">
      <c r="C252" t="s">
        <v>49</v>
      </c>
      <c r="F252" s="21">
        <v>8</v>
      </c>
      <c r="G252" s="20"/>
      <c r="H252" s="20"/>
      <c r="N252" s="32"/>
      <c r="O252" s="32"/>
    </row>
    <row r="253" spans="1:15">
      <c r="C253" t="s">
        <v>50</v>
      </c>
      <c r="F253" s="21">
        <v>8</v>
      </c>
      <c r="G253" s="20"/>
      <c r="H253" s="20"/>
      <c r="N253" s="32"/>
      <c r="O253" s="32"/>
    </row>
    <row r="254" spans="1:15">
      <c r="C254" t="s">
        <v>51</v>
      </c>
      <c r="F254" s="21">
        <v>9</v>
      </c>
      <c r="G254" s="20"/>
      <c r="H254" s="20"/>
      <c r="N254" s="32"/>
      <c r="O254" s="32"/>
    </row>
    <row r="255" spans="1:15">
      <c r="C255" t="s">
        <v>52</v>
      </c>
      <c r="F255" s="21">
        <v>9</v>
      </c>
      <c r="G255" s="20"/>
      <c r="H255" s="20"/>
      <c r="N255" s="32"/>
      <c r="O255" s="32"/>
    </row>
    <row r="256" spans="1:15">
      <c r="C256" t="s">
        <v>53</v>
      </c>
      <c r="F256" s="21">
        <v>2000</v>
      </c>
      <c r="G256" s="20"/>
      <c r="H256" s="20"/>
      <c r="N256" s="32"/>
      <c r="O256" s="32"/>
    </row>
    <row r="257" spans="3:15">
      <c r="C257" t="s">
        <v>100</v>
      </c>
      <c r="F257" s="21">
        <v>480</v>
      </c>
      <c r="G257" s="20"/>
      <c r="H257" s="20"/>
      <c r="N257" s="32"/>
      <c r="O257" s="32"/>
    </row>
    <row r="258" spans="3:15">
      <c r="C258" t="s">
        <v>54</v>
      </c>
      <c r="F258" s="21">
        <v>50</v>
      </c>
      <c r="G258" s="20"/>
      <c r="H258" s="20"/>
      <c r="N258" s="32"/>
      <c r="O258" s="32"/>
    </row>
    <row r="259" spans="3:15">
      <c r="C259" t="s">
        <v>55</v>
      </c>
      <c r="D259" s="3" t="s">
        <v>101</v>
      </c>
      <c r="F259" s="21">
        <v>150</v>
      </c>
      <c r="G259" s="20"/>
      <c r="H259" s="20"/>
      <c r="N259" s="32"/>
      <c r="O259" s="32"/>
    </row>
    <row r="260" spans="3:15">
      <c r="C260" t="s">
        <v>56</v>
      </c>
      <c r="F260" s="21">
        <v>1000</v>
      </c>
      <c r="G260" s="20"/>
      <c r="H260" s="20"/>
      <c r="N260" s="32"/>
      <c r="O260" s="32"/>
    </row>
    <row r="261" spans="3:15">
      <c r="C261" t="s">
        <v>57</v>
      </c>
      <c r="F261" s="21">
        <v>50000</v>
      </c>
      <c r="G261" s="20"/>
      <c r="H261" s="20"/>
      <c r="N261" s="32"/>
      <c r="O261" s="32"/>
    </row>
    <row r="262" spans="3:15">
      <c r="C262" t="s">
        <v>58</v>
      </c>
      <c r="F262" s="21">
        <v>6</v>
      </c>
      <c r="G262" s="20"/>
      <c r="H262" s="20"/>
      <c r="N262" s="32"/>
      <c r="O262" s="32"/>
    </row>
    <row r="263" spans="3:15">
      <c r="C263" t="s">
        <v>59</v>
      </c>
      <c r="F263" s="21">
        <v>10</v>
      </c>
      <c r="G263" s="20"/>
      <c r="H263" s="20"/>
      <c r="N263" s="32"/>
      <c r="O263" s="32"/>
    </row>
    <row r="264" spans="3:15">
      <c r="D264"/>
      <c r="F264" s="21"/>
      <c r="N264" s="32"/>
      <c r="O264" s="32"/>
    </row>
    <row r="265" spans="3:15">
      <c r="D265"/>
      <c r="N265" s="32"/>
      <c r="O265" s="32"/>
    </row>
    <row r="266" spans="3:15">
      <c r="C266" t="s">
        <v>60</v>
      </c>
      <c r="D266" t="s">
        <v>38</v>
      </c>
      <c r="E266" t="s">
        <v>39</v>
      </c>
      <c r="F266" s="35" t="s">
        <v>40</v>
      </c>
      <c r="G266" s="20"/>
      <c r="H266" s="20"/>
      <c r="N266" s="32"/>
      <c r="O266" s="32"/>
    </row>
    <row r="267" spans="3:15">
      <c r="C267" t="s">
        <v>17</v>
      </c>
      <c r="D267" t="s">
        <v>41</v>
      </c>
      <c r="E267" t="s">
        <v>42</v>
      </c>
      <c r="F267" s="35" t="s">
        <v>41</v>
      </c>
      <c r="G267" s="20"/>
      <c r="H267" s="20"/>
      <c r="N267" s="32"/>
      <c r="O267" s="32"/>
    </row>
    <row r="268" spans="3:15">
      <c r="C268" t="s">
        <v>61</v>
      </c>
      <c r="D268"/>
      <c r="G268" s="20"/>
      <c r="H268" s="20"/>
      <c r="N268" s="32"/>
      <c r="O268" s="32"/>
    </row>
    <row r="269" spans="3:15">
      <c r="C269" t="s">
        <v>62</v>
      </c>
      <c r="D269">
        <v>1000</v>
      </c>
      <c r="G269" s="20"/>
      <c r="H269" s="20"/>
      <c r="N269" s="32"/>
      <c r="O269" s="32"/>
    </row>
    <row r="270" spans="3:15">
      <c r="C270" t="s">
        <v>63</v>
      </c>
      <c r="D270">
        <v>1200</v>
      </c>
      <c r="G270" s="20"/>
      <c r="H270" s="20"/>
      <c r="N270" s="32"/>
      <c r="O270" s="32"/>
    </row>
    <row r="271" spans="3:15">
      <c r="C271" t="s">
        <v>64</v>
      </c>
      <c r="D271">
        <v>100</v>
      </c>
      <c r="G271" s="20"/>
      <c r="H271" s="20"/>
      <c r="N271" s="32"/>
      <c r="O271" s="32"/>
    </row>
    <row r="272" spans="3:15">
      <c r="C272" t="s">
        <v>65</v>
      </c>
      <c r="D272"/>
      <c r="E272" t="b">
        <v>1</v>
      </c>
      <c r="G272" s="20"/>
      <c r="H272" s="20"/>
      <c r="N272" s="32"/>
      <c r="O272" s="32"/>
    </row>
    <row r="273" spans="3:15">
      <c r="C273" t="s">
        <v>66</v>
      </c>
      <c r="D273"/>
      <c r="E273" t="b">
        <v>1</v>
      </c>
      <c r="G273" s="20"/>
      <c r="H273" s="20"/>
      <c r="N273" s="32"/>
      <c r="O273" s="32"/>
    </row>
    <row r="274" spans="3:15">
      <c r="C274" t="s">
        <v>67</v>
      </c>
      <c r="D274">
        <v>10</v>
      </c>
      <c r="G274" s="20"/>
      <c r="H274" s="20"/>
      <c r="N274" s="32"/>
      <c r="O274" s="32"/>
    </row>
    <row r="275" spans="3:15">
      <c r="C275" t="s">
        <v>68</v>
      </c>
      <c r="D275">
        <v>28000</v>
      </c>
      <c r="G275" s="20"/>
      <c r="H275" s="20"/>
      <c r="N275" s="32"/>
      <c r="O275" s="32"/>
    </row>
    <row r="276" spans="3:15">
      <c r="C276" t="s">
        <v>69</v>
      </c>
      <c r="D276">
        <v>14000</v>
      </c>
      <c r="G276" s="20"/>
      <c r="H276" s="20"/>
      <c r="N276" s="32"/>
      <c r="O276" s="32"/>
    </row>
    <row r="277" spans="3:15">
      <c r="C277" t="s">
        <v>70</v>
      </c>
      <c r="D277">
        <v>14000</v>
      </c>
      <c r="G277" s="20"/>
      <c r="H277" s="20"/>
      <c r="N277" s="32"/>
      <c r="O277" s="32"/>
    </row>
    <row r="278" spans="3:15">
      <c r="C278" t="s">
        <v>71</v>
      </c>
      <c r="D278">
        <v>60</v>
      </c>
      <c r="G278" s="20"/>
      <c r="H278" s="20"/>
      <c r="N278" s="32"/>
      <c r="O278" s="32"/>
    </row>
    <row r="279" spans="3:15">
      <c r="C279" t="s">
        <v>72</v>
      </c>
      <c r="D279"/>
      <c r="G279" s="20"/>
      <c r="H279" s="20"/>
      <c r="N279" s="32"/>
      <c r="O279" s="32"/>
    </row>
    <row r="280" spans="3:15">
      <c r="C280" t="s">
        <v>73</v>
      </c>
      <c r="D280">
        <v>5</v>
      </c>
      <c r="G280" s="20"/>
      <c r="H280" s="20"/>
      <c r="N280" s="32"/>
      <c r="O280" s="32"/>
    </row>
    <row r="281" spans="3:15">
      <c r="C281" t="s">
        <v>74</v>
      </c>
      <c r="D281">
        <v>60</v>
      </c>
      <c r="G281" s="20"/>
      <c r="H281" s="20"/>
      <c r="N281" s="32"/>
      <c r="O281" s="32"/>
    </row>
    <row r="282" spans="3:15">
      <c r="C282" t="s">
        <v>75</v>
      </c>
      <c r="D282">
        <v>1</v>
      </c>
      <c r="G282" s="20"/>
      <c r="H282" s="20"/>
      <c r="N282" s="32"/>
      <c r="O282" s="32"/>
    </row>
    <row r="283" spans="3:15">
      <c r="C283" t="s">
        <v>76</v>
      </c>
      <c r="D283">
        <v>1000</v>
      </c>
      <c r="G283" s="20"/>
      <c r="H283" s="20"/>
      <c r="N283" s="32"/>
      <c r="O283" s="32"/>
    </row>
    <row r="284" spans="3:15">
      <c r="C284" t="s">
        <v>77</v>
      </c>
      <c r="D284">
        <v>0</v>
      </c>
      <c r="G284" s="20"/>
      <c r="H284" s="20"/>
      <c r="N284" s="32"/>
      <c r="O284" s="32"/>
    </row>
    <row r="285" spans="3:15">
      <c r="C285" t="s">
        <v>78</v>
      </c>
      <c r="D285">
        <v>2000</v>
      </c>
      <c r="G285" s="20"/>
      <c r="H285" s="20"/>
      <c r="N285" s="32"/>
      <c r="O285" s="32"/>
    </row>
    <row r="286" spans="3:15">
      <c r="C286" t="s">
        <v>79</v>
      </c>
      <c r="D286">
        <v>90</v>
      </c>
      <c r="G286" s="20"/>
      <c r="H286" s="20"/>
      <c r="N286" s="32"/>
      <c r="O286" s="32"/>
    </row>
    <row r="287" spans="3:15">
      <c r="C287" t="s">
        <v>111</v>
      </c>
      <c r="D287">
        <v>1000</v>
      </c>
      <c r="G287" s="20"/>
      <c r="H287" s="20"/>
      <c r="N287" s="32"/>
      <c r="O287" s="32"/>
    </row>
    <row r="288" spans="3:15">
      <c r="C288" t="s">
        <v>80</v>
      </c>
      <c r="D288">
        <v>1500</v>
      </c>
      <c r="G288" s="20"/>
      <c r="H288" s="20"/>
      <c r="N288" s="32"/>
      <c r="O288" s="32"/>
    </row>
    <row r="289" spans="3:15">
      <c r="C289" t="s">
        <v>81</v>
      </c>
      <c r="D289">
        <v>175</v>
      </c>
      <c r="G289" s="20"/>
      <c r="H289" s="20"/>
      <c r="N289" s="32"/>
      <c r="O289" s="32"/>
    </row>
    <row r="290" spans="3:15">
      <c r="C290" t="s">
        <v>82</v>
      </c>
      <c r="D290">
        <v>128</v>
      </c>
      <c r="G290" s="20"/>
      <c r="H290" s="20"/>
      <c r="N290" s="32"/>
      <c r="O290" s="32"/>
    </row>
    <row r="291" spans="3:15">
      <c r="C291" t="s">
        <v>83</v>
      </c>
      <c r="D291">
        <v>256</v>
      </c>
      <c r="G291" s="20"/>
      <c r="H291" s="20"/>
      <c r="N291" s="32"/>
      <c r="O291" s="32"/>
    </row>
    <row r="292" spans="3:15">
      <c r="C292" t="s">
        <v>84</v>
      </c>
      <c r="D292">
        <v>200</v>
      </c>
      <c r="G292" s="20"/>
      <c r="H292" s="20"/>
      <c r="N292" s="32"/>
      <c r="O292" s="32"/>
    </row>
    <row r="293" spans="3:15">
      <c r="C293" t="s">
        <v>85</v>
      </c>
      <c r="D293">
        <v>2000</v>
      </c>
      <c r="G293" s="20"/>
      <c r="H293" s="20"/>
      <c r="N293" s="32"/>
      <c r="O293" s="32"/>
    </row>
    <row r="294" spans="3:15">
      <c r="C294" t="s">
        <v>86</v>
      </c>
      <c r="D294">
        <v>1000</v>
      </c>
      <c r="G294" s="20"/>
      <c r="H294" s="20"/>
      <c r="N294" s="32"/>
      <c r="O294" s="32"/>
    </row>
    <row r="295" spans="3:15">
      <c r="C295" t="s">
        <v>87</v>
      </c>
      <c r="D295">
        <v>1000</v>
      </c>
      <c r="G295" s="20"/>
      <c r="H295" s="20"/>
      <c r="N295" s="32"/>
      <c r="O295" s="32"/>
    </row>
    <row r="296" spans="3:15">
      <c r="G296" s="20"/>
      <c r="H296" s="20"/>
      <c r="N296" s="32"/>
      <c r="O296" s="32"/>
    </row>
    <row r="297" spans="3:15">
      <c r="C297" t="s">
        <v>88</v>
      </c>
      <c r="D297">
        <v>1380</v>
      </c>
      <c r="G297" s="20"/>
      <c r="H297" s="20"/>
      <c r="N297" s="32"/>
      <c r="O297" s="32"/>
    </row>
    <row r="298" spans="3:15">
      <c r="C298" t="s">
        <v>89</v>
      </c>
      <c r="D298">
        <v>6</v>
      </c>
      <c r="G298" s="20"/>
      <c r="H298" s="20"/>
      <c r="N298" s="32"/>
      <c r="O298" s="32"/>
    </row>
    <row r="299" spans="3:15">
      <c r="C299" t="s">
        <v>90</v>
      </c>
      <c r="D299">
        <v>0</v>
      </c>
      <c r="G299" s="20"/>
      <c r="H299" s="20"/>
      <c r="N299" s="32"/>
      <c r="O299" s="32"/>
    </row>
    <row r="300" spans="3:15">
      <c r="C300" t="s">
        <v>91</v>
      </c>
      <c r="D300">
        <v>1</v>
      </c>
      <c r="G300" s="20"/>
      <c r="H300" s="20"/>
    </row>
    <row r="301" spans="3:15">
      <c r="C301" t="s">
        <v>92</v>
      </c>
      <c r="D301">
        <v>1</v>
      </c>
      <c r="G301" s="20"/>
      <c r="H301" s="20"/>
    </row>
    <row r="302" spans="3:15">
      <c r="C302" t="s">
        <v>93</v>
      </c>
      <c r="D302">
        <v>8</v>
      </c>
      <c r="G302" s="20"/>
      <c r="H302" s="20"/>
    </row>
    <row r="303" spans="3:15">
      <c r="C303" t="s">
        <v>94</v>
      </c>
      <c r="D303">
        <v>60</v>
      </c>
      <c r="G303" s="20"/>
      <c r="H303" s="20"/>
    </row>
    <row r="304" spans="3:15">
      <c r="C304" t="s">
        <v>95</v>
      </c>
      <c r="D304">
        <v>500</v>
      </c>
      <c r="G304" s="20"/>
      <c r="H304" s="20"/>
    </row>
    <row r="305" spans="2:8">
      <c r="C305" t="s">
        <v>96</v>
      </c>
      <c r="D305">
        <v>4500</v>
      </c>
      <c r="G305" s="20"/>
      <c r="H305" s="20"/>
    </row>
    <row r="306" spans="2:8">
      <c r="C306" t="s">
        <v>97</v>
      </c>
      <c r="D306">
        <v>45000</v>
      </c>
      <c r="G306" s="20"/>
      <c r="H306" s="20"/>
    </row>
    <row r="307" spans="2:8">
      <c r="C307" t="s">
        <v>112</v>
      </c>
      <c r="D307">
        <v>1000000</v>
      </c>
      <c r="G307" s="20"/>
      <c r="H307" s="20"/>
    </row>
    <row r="308" spans="2:8">
      <c r="C308" t="s">
        <v>98</v>
      </c>
      <c r="D308"/>
      <c r="F308" s="21">
        <v>50</v>
      </c>
      <c r="G308" s="20"/>
      <c r="H308" s="20"/>
    </row>
    <row r="309" spans="2:8">
      <c r="C309" t="s">
        <v>99</v>
      </c>
      <c r="D309"/>
      <c r="F309" s="21">
        <v>25</v>
      </c>
      <c r="G309" s="20"/>
      <c r="H309" s="20"/>
    </row>
    <row r="310" spans="2:8">
      <c r="C310" t="s">
        <v>99</v>
      </c>
      <c r="D310"/>
      <c r="F310" s="21">
        <v>12</v>
      </c>
      <c r="G310" s="20"/>
      <c r="H310" s="20"/>
    </row>
    <row r="311" spans="2:8">
      <c r="B311" s="1" t="str">
        <f t="shared" ref="B311:B312" si="0">LOWER(C311)</f>
        <v/>
      </c>
      <c r="C311" t="s">
        <v>99</v>
      </c>
      <c r="D311"/>
      <c r="F311" s="21">
        <v>10</v>
      </c>
      <c r="G311" s="20"/>
      <c r="H311" s="20"/>
    </row>
    <row r="312" spans="2:8">
      <c r="B312" s="1" t="str">
        <f t="shared" si="0"/>
        <v/>
      </c>
      <c r="C312" t="s">
        <v>99</v>
      </c>
      <c r="D312"/>
      <c r="F312" s="21">
        <v>3</v>
      </c>
      <c r="G312" s="20"/>
      <c r="H312" s="20"/>
    </row>
    <row r="317" spans="2:8">
      <c r="D317"/>
    </row>
    <row r="318" spans="2:8">
      <c r="D318"/>
    </row>
    <row r="319" spans="2:8">
      <c r="D319"/>
    </row>
    <row r="320" spans="2:8">
      <c r="D320"/>
    </row>
  </sheetData>
  <phoneticPr fontId="3" type="noConversion"/>
  <hyperlinks>
    <hyperlink ref="G38" location="宝箱循环!G40" display="引用《宝箱循环》单元格内容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export">
                <anchor moveWithCells="1" sizeWithCells="1">
                  <from>
                    <xdr:col>2</xdr:col>
                    <xdr:colOff>1181100</xdr:colOff>
                    <xdr:row>0</xdr:row>
                    <xdr:rowOff>0</xdr:rowOff>
                  </from>
                  <to>
                    <xdr:col>2</xdr:col>
                    <xdr:colOff>2524125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07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G16" sqref="G16"/>
    </sheetView>
  </sheetViews>
  <sheetFormatPr defaultRowHeight="13.5"/>
  <cols>
    <col min="1" max="1" width="2.5" bestFit="1" customWidth="1"/>
    <col min="2" max="2" width="8.5" bestFit="1" customWidth="1"/>
    <col min="3" max="3" width="17.75" customWidth="1"/>
    <col min="4" max="4" width="5.75" style="32" customWidth="1"/>
    <col min="5" max="6" width="10.25" style="32" customWidth="1"/>
    <col min="7" max="7" width="19.625" style="32" customWidth="1"/>
    <col min="8" max="11" width="10.25" style="32" customWidth="1"/>
    <col min="12" max="12" width="6.75" customWidth="1"/>
    <col min="13" max="13" width="6.375" customWidth="1"/>
    <col min="14" max="14" width="5.375" style="32" customWidth="1"/>
    <col min="15" max="15" width="7.625" customWidth="1"/>
    <col min="16" max="16" width="7.625" style="32" customWidth="1"/>
    <col min="17" max="17" width="7" customWidth="1"/>
    <col min="18" max="19" width="7" style="32" customWidth="1"/>
    <col min="20" max="20" width="8" customWidth="1"/>
    <col min="21" max="21" width="5.375" customWidth="1"/>
    <col min="22" max="22" width="8" style="32" customWidth="1"/>
    <col min="23" max="23" width="7.375" customWidth="1"/>
    <col min="24" max="24" width="7.375" style="32" customWidth="1"/>
    <col min="25" max="25" width="8.125" customWidth="1"/>
    <col min="29" max="29" width="7" style="32" customWidth="1"/>
  </cols>
  <sheetData>
    <row r="1" spans="1:29">
      <c r="A1" s="9"/>
      <c r="B1" s="26" t="s">
        <v>0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V1" s="10"/>
      <c r="W1" s="11"/>
      <c r="X1" s="11"/>
      <c r="Z1" s="10"/>
      <c r="AA1" s="25" t="s">
        <v>18</v>
      </c>
      <c r="AC1" s="10"/>
    </row>
    <row r="2" spans="1:29">
      <c r="A2" s="12"/>
      <c r="B2" s="11" t="s">
        <v>130</v>
      </c>
      <c r="C2" s="13" t="s">
        <v>24</v>
      </c>
      <c r="D2" s="13"/>
      <c r="E2" s="13" t="s">
        <v>579</v>
      </c>
      <c r="F2" s="13" t="s">
        <v>580</v>
      </c>
      <c r="G2" s="13" t="s">
        <v>581</v>
      </c>
      <c r="H2" s="13" t="s">
        <v>582</v>
      </c>
      <c r="I2" s="13" t="s">
        <v>583</v>
      </c>
      <c r="J2" s="13" t="s">
        <v>584</v>
      </c>
      <c r="K2" s="13" t="s">
        <v>585</v>
      </c>
      <c r="L2" s="87" t="s">
        <v>128</v>
      </c>
      <c r="M2" s="87" t="s">
        <v>129</v>
      </c>
      <c r="N2" s="87" t="s">
        <v>364</v>
      </c>
      <c r="O2" s="87" t="s">
        <v>127</v>
      </c>
      <c r="P2" s="87"/>
      <c r="Q2" s="87" t="s">
        <v>126</v>
      </c>
      <c r="R2" s="88" t="s">
        <v>430</v>
      </c>
      <c r="S2" s="88" t="s">
        <v>431</v>
      </c>
      <c r="T2" s="87" t="s">
        <v>365</v>
      </c>
      <c r="U2" s="87" t="s">
        <v>27</v>
      </c>
      <c r="V2" s="87" t="s">
        <v>366</v>
      </c>
      <c r="W2" s="87" t="s">
        <v>25</v>
      </c>
      <c r="X2" s="87"/>
      <c r="Y2" s="87" t="s">
        <v>26</v>
      </c>
      <c r="Z2" s="88" t="s">
        <v>432</v>
      </c>
      <c r="AA2" s="88" t="s">
        <v>433</v>
      </c>
      <c r="AC2" s="13"/>
    </row>
    <row r="3" spans="1:29">
      <c r="A3" s="12"/>
      <c r="B3" s="11" t="s">
        <v>19</v>
      </c>
      <c r="C3" s="11" t="s">
        <v>28</v>
      </c>
      <c r="D3" s="11"/>
      <c r="E3" s="11" t="s">
        <v>28</v>
      </c>
      <c r="F3" s="11" t="s">
        <v>28</v>
      </c>
      <c r="G3" s="11" t="s">
        <v>586</v>
      </c>
      <c r="H3" s="11" t="s">
        <v>28</v>
      </c>
      <c r="I3" s="11" t="s">
        <v>28</v>
      </c>
      <c r="J3" s="11" t="s">
        <v>28</v>
      </c>
      <c r="K3" s="11" t="s">
        <v>586</v>
      </c>
      <c r="L3" s="87" t="s">
        <v>29</v>
      </c>
      <c r="M3" s="87" t="s">
        <v>29</v>
      </c>
      <c r="N3" s="87" t="s">
        <v>29</v>
      </c>
      <c r="O3" s="87" t="s">
        <v>29</v>
      </c>
      <c r="P3" s="87"/>
      <c r="Q3" s="87" t="s">
        <v>29</v>
      </c>
      <c r="R3" s="89" t="s">
        <v>135</v>
      </c>
      <c r="S3" s="89" t="s">
        <v>135</v>
      </c>
      <c r="T3" s="87" t="s">
        <v>29</v>
      </c>
      <c r="U3" s="87" t="s">
        <v>29</v>
      </c>
      <c r="V3" s="87" t="s">
        <v>29</v>
      </c>
      <c r="W3" s="87" t="s">
        <v>29</v>
      </c>
      <c r="X3" s="87"/>
      <c r="Y3" s="87" t="s">
        <v>29</v>
      </c>
      <c r="Z3" s="89" t="s">
        <v>135</v>
      </c>
      <c r="AA3" s="89" t="s">
        <v>135</v>
      </c>
      <c r="AC3" s="11"/>
    </row>
    <row r="4" spans="1:29">
      <c r="A4" s="12"/>
      <c r="B4" s="11" t="s">
        <v>5</v>
      </c>
      <c r="C4" s="11" t="s">
        <v>5</v>
      </c>
      <c r="D4" s="11"/>
      <c r="E4" s="11" t="s">
        <v>5</v>
      </c>
      <c r="F4" s="11" t="s">
        <v>5</v>
      </c>
      <c r="G4" s="11"/>
      <c r="H4" s="11"/>
      <c r="I4" s="11"/>
      <c r="J4" s="11"/>
      <c r="K4" s="11"/>
      <c r="L4" s="87" t="s">
        <v>5</v>
      </c>
      <c r="M4" s="87" t="s">
        <v>5</v>
      </c>
      <c r="N4" s="87" t="s">
        <v>5</v>
      </c>
      <c r="O4" s="87" t="s">
        <v>5</v>
      </c>
      <c r="P4" s="87"/>
      <c r="Q4" s="87" t="s">
        <v>5</v>
      </c>
      <c r="R4" s="89" t="s">
        <v>423</v>
      </c>
      <c r="S4" s="89" t="s">
        <v>428</v>
      </c>
      <c r="T4" s="87" t="s">
        <v>5</v>
      </c>
      <c r="U4" s="87" t="s">
        <v>5</v>
      </c>
      <c r="V4" s="87" t="s">
        <v>5</v>
      </c>
      <c r="W4" s="87" t="s">
        <v>5</v>
      </c>
      <c r="X4" s="87"/>
      <c r="Y4" s="87" t="s">
        <v>5</v>
      </c>
      <c r="Z4" s="89" t="s">
        <v>423</v>
      </c>
      <c r="AA4" s="89" t="s">
        <v>428</v>
      </c>
      <c r="AC4" s="11"/>
    </row>
    <row r="5" spans="1:29">
      <c r="A5" s="12"/>
      <c r="B5" s="11"/>
      <c r="C5" s="13"/>
      <c r="D5" s="13"/>
      <c r="E5" s="13"/>
      <c r="F5" s="13"/>
      <c r="G5" s="13"/>
      <c r="H5" s="13"/>
      <c r="I5" s="13"/>
      <c r="J5" s="13"/>
      <c r="K5" s="13"/>
      <c r="L5" s="87"/>
      <c r="M5" s="87"/>
      <c r="N5" s="87"/>
      <c r="O5" s="87"/>
      <c r="P5" s="87"/>
      <c r="Q5" s="87"/>
      <c r="R5" s="89" t="s">
        <v>424</v>
      </c>
      <c r="S5" s="89" t="s">
        <v>424</v>
      </c>
      <c r="T5" s="90"/>
      <c r="U5" s="87"/>
      <c r="V5" s="90"/>
      <c r="W5" s="87"/>
      <c r="X5" s="87"/>
      <c r="Y5" s="87"/>
      <c r="Z5" s="89" t="s">
        <v>424</v>
      </c>
      <c r="AA5" s="89" t="s">
        <v>424</v>
      </c>
      <c r="AC5" s="13"/>
    </row>
    <row r="6" spans="1:29" ht="40.5">
      <c r="A6" s="15"/>
      <c r="B6" s="16" t="s">
        <v>21</v>
      </c>
      <c r="C6" s="3" t="s">
        <v>131</v>
      </c>
      <c r="D6" s="30"/>
      <c r="E6" s="30" t="s">
        <v>572</v>
      </c>
      <c r="F6" s="30" t="s">
        <v>573</v>
      </c>
      <c r="G6" s="30" t="s">
        <v>574</v>
      </c>
      <c r="H6" s="30" t="s">
        <v>575</v>
      </c>
      <c r="I6" s="30" t="s">
        <v>576</v>
      </c>
      <c r="J6" s="30" t="s">
        <v>577</v>
      </c>
      <c r="K6" s="30" t="s">
        <v>578</v>
      </c>
      <c r="L6" s="91" t="s">
        <v>419</v>
      </c>
      <c r="M6" s="91" t="s">
        <v>422</v>
      </c>
      <c r="N6" s="92" t="s">
        <v>420</v>
      </c>
      <c r="O6" s="92" t="s">
        <v>426</v>
      </c>
      <c r="P6" s="92" t="s">
        <v>434</v>
      </c>
      <c r="Q6" s="93" t="s">
        <v>421</v>
      </c>
      <c r="R6" s="94" t="s">
        <v>425</v>
      </c>
      <c r="S6" s="95" t="s">
        <v>429</v>
      </c>
      <c r="T6" s="91" t="s">
        <v>22</v>
      </c>
      <c r="U6" s="91" t="s">
        <v>418</v>
      </c>
      <c r="V6" s="92" t="s">
        <v>363</v>
      </c>
      <c r="W6" s="92" t="s">
        <v>427</v>
      </c>
      <c r="X6" s="92" t="s">
        <v>435</v>
      </c>
      <c r="Y6" s="93" t="s">
        <v>23</v>
      </c>
      <c r="Z6" s="94" t="s">
        <v>425</v>
      </c>
      <c r="AA6" s="95" t="s">
        <v>429</v>
      </c>
      <c r="AC6" s="36" t="s">
        <v>643</v>
      </c>
    </row>
    <row r="7" spans="1:29">
      <c r="A7" s="27" t="s">
        <v>10</v>
      </c>
      <c r="B7" s="14">
        <v>1</v>
      </c>
      <c r="C7" s="14">
        <v>0</v>
      </c>
      <c r="D7" s="43"/>
      <c r="E7" s="43">
        <v>1</v>
      </c>
      <c r="F7" s="43">
        <f>200</f>
        <v>200</v>
      </c>
      <c r="G7" s="103" t="s">
        <v>99</v>
      </c>
      <c r="H7" s="43"/>
      <c r="I7" s="43"/>
      <c r="J7" s="43"/>
      <c r="K7" s="43"/>
      <c r="L7" s="90">
        <v>2400</v>
      </c>
      <c r="M7" s="90">
        <v>50</v>
      </c>
      <c r="N7" s="96">
        <v>55</v>
      </c>
      <c r="O7" s="97">
        <f>INT(P7*30)</f>
        <v>195</v>
      </c>
      <c r="P7" s="98">
        <v>6.5</v>
      </c>
      <c r="Q7" s="90">
        <v>1000</v>
      </c>
      <c r="R7" s="90">
        <v>50</v>
      </c>
      <c r="S7" s="90">
        <v>350</v>
      </c>
      <c r="T7" s="90">
        <v>1400</v>
      </c>
      <c r="U7" s="90">
        <v>50</v>
      </c>
      <c r="V7" s="96">
        <v>35</v>
      </c>
      <c r="W7" s="97">
        <f>INT(X7*30)</f>
        <v>214</v>
      </c>
      <c r="X7" s="98">
        <v>7.15</v>
      </c>
      <c r="Y7" s="90">
        <v>800</v>
      </c>
      <c r="Z7" s="90">
        <v>50</v>
      </c>
      <c r="AA7" s="90">
        <v>350</v>
      </c>
      <c r="AC7" s="14">
        <v>0</v>
      </c>
    </row>
    <row r="8" spans="1:29">
      <c r="A8" s="15"/>
      <c r="B8" s="14">
        <v>2</v>
      </c>
      <c r="C8" s="18">
        <v>25</v>
      </c>
      <c r="D8" s="43"/>
      <c r="E8" s="43">
        <v>2</v>
      </c>
      <c r="F8" s="43">
        <f>30</f>
        <v>30</v>
      </c>
      <c r="G8" s="103" t="s">
        <v>99</v>
      </c>
      <c r="H8" s="43">
        <v>2000</v>
      </c>
      <c r="I8" s="43">
        <v>1</v>
      </c>
      <c r="J8" s="43">
        <v>200</v>
      </c>
      <c r="K8" s="43"/>
      <c r="L8" s="90">
        <v>2568</v>
      </c>
      <c r="M8" s="90">
        <v>53</v>
      </c>
      <c r="N8" s="96">
        <v>55</v>
      </c>
      <c r="O8" s="97">
        <f t="shared" ref="O8:O19" si="0">INT(P8*30)</f>
        <v>195</v>
      </c>
      <c r="P8" s="98">
        <v>6.5</v>
      </c>
      <c r="Q8" s="90">
        <v>1000</v>
      </c>
      <c r="R8" s="90">
        <v>50</v>
      </c>
      <c r="S8" s="90">
        <v>350</v>
      </c>
      <c r="T8" s="90">
        <v>1512</v>
      </c>
      <c r="U8" s="90">
        <v>54</v>
      </c>
      <c r="V8" s="96">
        <v>35</v>
      </c>
      <c r="W8" s="97">
        <f t="shared" ref="W8:W19" si="1">INT(X8*30)</f>
        <v>214</v>
      </c>
      <c r="X8" s="98">
        <v>7.15</v>
      </c>
      <c r="Y8" s="90">
        <v>800</v>
      </c>
      <c r="Z8" s="90">
        <v>50</v>
      </c>
      <c r="AA8" s="90">
        <v>350</v>
      </c>
      <c r="AC8" s="18">
        <v>25</v>
      </c>
    </row>
    <row r="9" spans="1:29">
      <c r="A9" s="15"/>
      <c r="B9" s="14">
        <v>3</v>
      </c>
      <c r="C9" s="18">
        <v>25</v>
      </c>
      <c r="D9" s="43">
        <v>1</v>
      </c>
      <c r="E9" s="43">
        <v>3</v>
      </c>
      <c r="F9" s="43">
        <f>1</f>
        <v>1</v>
      </c>
      <c r="G9" s="103" t="s">
        <v>587</v>
      </c>
      <c r="H9" s="43"/>
      <c r="I9" s="43"/>
      <c r="J9" s="43"/>
      <c r="K9" s="43"/>
      <c r="L9" s="90">
        <v>2736</v>
      </c>
      <c r="M9" s="90">
        <v>57</v>
      </c>
      <c r="N9" s="96">
        <v>55</v>
      </c>
      <c r="O9" s="97">
        <f t="shared" si="0"/>
        <v>195</v>
      </c>
      <c r="P9" s="98">
        <v>6.5</v>
      </c>
      <c r="Q9" s="90">
        <v>1000</v>
      </c>
      <c r="R9" s="90">
        <v>50</v>
      </c>
      <c r="S9" s="90">
        <v>350</v>
      </c>
      <c r="T9" s="90">
        <v>1624</v>
      </c>
      <c r="U9" s="90">
        <v>58</v>
      </c>
      <c r="V9" s="96">
        <v>35</v>
      </c>
      <c r="W9" s="97">
        <f t="shared" si="1"/>
        <v>214</v>
      </c>
      <c r="X9" s="98">
        <v>7.15</v>
      </c>
      <c r="Y9" s="90">
        <v>800</v>
      </c>
      <c r="Z9" s="90">
        <v>50</v>
      </c>
      <c r="AA9" s="90">
        <v>350</v>
      </c>
      <c r="AC9" s="18">
        <v>30</v>
      </c>
    </row>
    <row r="10" spans="1:29">
      <c r="A10" s="15"/>
      <c r="B10" s="14">
        <v>4</v>
      </c>
      <c r="C10" s="18">
        <v>25</v>
      </c>
      <c r="D10" s="43"/>
      <c r="E10" s="43">
        <v>4</v>
      </c>
      <c r="F10" s="43">
        <v>1</v>
      </c>
      <c r="G10" s="103" t="s">
        <v>644</v>
      </c>
      <c r="H10" s="43">
        <v>2000</v>
      </c>
      <c r="I10" s="43">
        <v>3</v>
      </c>
      <c r="J10" s="43">
        <v>1</v>
      </c>
      <c r="K10" s="99" t="s">
        <v>587</v>
      </c>
      <c r="L10" s="90">
        <v>2904</v>
      </c>
      <c r="M10" s="90">
        <v>60</v>
      </c>
      <c r="N10" s="96">
        <v>55</v>
      </c>
      <c r="O10" s="97">
        <f t="shared" si="0"/>
        <v>195</v>
      </c>
      <c r="P10" s="98">
        <v>6.5</v>
      </c>
      <c r="Q10" s="90">
        <v>1000</v>
      </c>
      <c r="R10" s="90">
        <v>50</v>
      </c>
      <c r="S10" s="90">
        <v>350</v>
      </c>
      <c r="T10" s="90">
        <v>1750</v>
      </c>
      <c r="U10" s="90">
        <v>62</v>
      </c>
      <c r="V10" s="96">
        <v>35</v>
      </c>
      <c r="W10" s="97">
        <f t="shared" si="1"/>
        <v>214</v>
      </c>
      <c r="X10" s="98">
        <v>7.15</v>
      </c>
      <c r="Y10" s="90">
        <v>800</v>
      </c>
      <c r="Z10" s="90">
        <v>50</v>
      </c>
      <c r="AA10" s="90">
        <v>350</v>
      </c>
      <c r="AC10" s="19">
        <v>30</v>
      </c>
    </row>
    <row r="11" spans="1:29">
      <c r="A11" s="15"/>
      <c r="B11" s="14">
        <v>5</v>
      </c>
      <c r="C11" s="18">
        <v>25</v>
      </c>
      <c r="D11" s="43"/>
      <c r="E11" s="101">
        <f>E7</f>
        <v>1</v>
      </c>
      <c r="F11" s="101">
        <f>F7+10</f>
        <v>210</v>
      </c>
      <c r="G11" s="104" t="str">
        <f>G7</f>
        <v/>
      </c>
      <c r="H11" s="43"/>
      <c r="I11" s="43"/>
      <c r="J11" s="43"/>
      <c r="K11" s="43"/>
      <c r="L11" s="90">
        <v>3096</v>
      </c>
      <c r="M11" s="90">
        <v>64</v>
      </c>
      <c r="N11" s="96">
        <v>55</v>
      </c>
      <c r="O11" s="97">
        <f t="shared" si="0"/>
        <v>195</v>
      </c>
      <c r="P11" s="98">
        <v>6.5</v>
      </c>
      <c r="Q11" s="90">
        <v>1000</v>
      </c>
      <c r="R11" s="90">
        <v>50</v>
      </c>
      <c r="S11" s="90">
        <v>350</v>
      </c>
      <c r="T11" s="90">
        <v>1890</v>
      </c>
      <c r="U11" s="90">
        <v>67</v>
      </c>
      <c r="V11" s="96">
        <v>35</v>
      </c>
      <c r="W11" s="97">
        <f t="shared" si="1"/>
        <v>214</v>
      </c>
      <c r="X11" s="98">
        <v>7.15</v>
      </c>
      <c r="Y11" s="90">
        <v>800</v>
      </c>
      <c r="Z11" s="90">
        <v>50</v>
      </c>
      <c r="AA11" s="90">
        <v>350</v>
      </c>
      <c r="AC11" s="18">
        <v>40</v>
      </c>
    </row>
    <row r="12" spans="1:29">
      <c r="A12" s="15"/>
      <c r="B12" s="14">
        <v>6</v>
      </c>
      <c r="C12" s="18">
        <v>25</v>
      </c>
      <c r="E12" s="101">
        <f t="shared" ref="E12:F14" si="2">E8</f>
        <v>2</v>
      </c>
      <c r="F12" s="101">
        <f>F8+2</f>
        <v>32</v>
      </c>
      <c r="G12" s="104" t="str">
        <f t="shared" ref="G12:G75" si="3">G8</f>
        <v/>
      </c>
      <c r="H12" s="43">
        <v>2000</v>
      </c>
      <c r="I12" s="43">
        <v>2</v>
      </c>
      <c r="J12" s="43">
        <v>35</v>
      </c>
      <c r="K12" s="43"/>
      <c r="L12" s="90">
        <v>3312</v>
      </c>
      <c r="M12" s="90">
        <v>69</v>
      </c>
      <c r="N12" s="96">
        <v>55</v>
      </c>
      <c r="O12" s="97">
        <f t="shared" si="0"/>
        <v>195</v>
      </c>
      <c r="P12" s="98">
        <v>6.5</v>
      </c>
      <c r="Q12" s="90">
        <v>1000</v>
      </c>
      <c r="R12" s="90">
        <v>50</v>
      </c>
      <c r="S12" s="90">
        <v>350</v>
      </c>
      <c r="T12" s="90">
        <v>2030</v>
      </c>
      <c r="U12" s="90">
        <v>72</v>
      </c>
      <c r="V12" s="96">
        <v>35</v>
      </c>
      <c r="W12" s="97">
        <f t="shared" si="1"/>
        <v>214</v>
      </c>
      <c r="X12" s="98">
        <v>7.15</v>
      </c>
      <c r="Y12" s="90">
        <v>800</v>
      </c>
      <c r="Z12" s="90">
        <v>50</v>
      </c>
      <c r="AA12" s="90">
        <v>350</v>
      </c>
      <c r="AC12" s="19">
        <v>40</v>
      </c>
    </row>
    <row r="13" spans="1:29">
      <c r="A13" s="15"/>
      <c r="B13" s="14">
        <v>7</v>
      </c>
      <c r="C13" s="18">
        <v>25</v>
      </c>
      <c r="D13" s="43">
        <v>1.08</v>
      </c>
      <c r="E13" s="101">
        <f t="shared" si="2"/>
        <v>3</v>
      </c>
      <c r="F13" s="101">
        <f>INT(D13)</f>
        <v>1</v>
      </c>
      <c r="G13" s="104" t="str">
        <f t="shared" si="3"/>
        <v>301,302</v>
      </c>
      <c r="H13" s="43"/>
      <c r="I13" s="43"/>
      <c r="J13" s="43"/>
      <c r="K13" s="99"/>
      <c r="L13" s="90">
        <v>3528</v>
      </c>
      <c r="M13" s="90">
        <v>73</v>
      </c>
      <c r="N13" s="96">
        <v>55</v>
      </c>
      <c r="O13" s="97">
        <f t="shared" si="0"/>
        <v>195</v>
      </c>
      <c r="P13" s="98">
        <v>6.5</v>
      </c>
      <c r="Q13" s="90">
        <v>1000</v>
      </c>
      <c r="R13" s="90">
        <v>50</v>
      </c>
      <c r="S13" s="90">
        <v>350</v>
      </c>
      <c r="T13" s="90">
        <v>2184</v>
      </c>
      <c r="U13" s="90">
        <v>78</v>
      </c>
      <c r="V13" s="96">
        <v>35</v>
      </c>
      <c r="W13" s="97">
        <f t="shared" si="1"/>
        <v>214</v>
      </c>
      <c r="X13" s="98">
        <v>7.15</v>
      </c>
      <c r="Y13" s="90">
        <v>800</v>
      </c>
      <c r="Z13" s="90">
        <v>50</v>
      </c>
      <c r="AA13" s="90">
        <v>350</v>
      </c>
      <c r="AC13" s="18">
        <v>50</v>
      </c>
    </row>
    <row r="14" spans="1:29">
      <c r="A14" s="15"/>
      <c r="B14" s="14">
        <v>8</v>
      </c>
      <c r="C14" s="18">
        <v>25</v>
      </c>
      <c r="D14" s="43"/>
      <c r="E14" s="101">
        <f t="shared" si="2"/>
        <v>4</v>
      </c>
      <c r="F14" s="101">
        <f t="shared" si="2"/>
        <v>1</v>
      </c>
      <c r="G14" s="104" t="str">
        <f t="shared" si="3"/>
        <v>111,110,109,108,107,106,105,104,103,102,101</v>
      </c>
      <c r="H14" s="43">
        <v>2000</v>
      </c>
      <c r="I14" s="43">
        <v>1</v>
      </c>
      <c r="J14" s="43">
        <v>400</v>
      </c>
      <c r="K14" s="43"/>
      <c r="L14" s="90">
        <v>3768</v>
      </c>
      <c r="M14" s="90">
        <v>78</v>
      </c>
      <c r="N14" s="96">
        <v>55</v>
      </c>
      <c r="O14" s="97">
        <f t="shared" si="0"/>
        <v>195</v>
      </c>
      <c r="P14" s="98">
        <v>6.5</v>
      </c>
      <c r="Q14" s="90">
        <v>1000</v>
      </c>
      <c r="R14" s="90">
        <v>50</v>
      </c>
      <c r="S14" s="90">
        <v>350</v>
      </c>
      <c r="T14" s="90">
        <v>2352</v>
      </c>
      <c r="U14" s="90">
        <v>84</v>
      </c>
      <c r="V14" s="96">
        <v>35</v>
      </c>
      <c r="W14" s="97">
        <f t="shared" si="1"/>
        <v>214</v>
      </c>
      <c r="X14" s="98">
        <v>7.15</v>
      </c>
      <c r="Y14" s="90">
        <v>800</v>
      </c>
      <c r="Z14" s="90">
        <v>50</v>
      </c>
      <c r="AA14" s="90">
        <v>350</v>
      </c>
      <c r="AC14" s="19">
        <v>60</v>
      </c>
    </row>
    <row r="15" spans="1:29">
      <c r="A15" s="15"/>
      <c r="B15" s="14">
        <v>9</v>
      </c>
      <c r="C15" s="18">
        <v>25</v>
      </c>
      <c r="D15" s="43"/>
      <c r="E15" s="101">
        <f t="shared" ref="E15" si="4">E11</f>
        <v>1</v>
      </c>
      <c r="F15" s="101">
        <f t="shared" ref="F15" si="5">F11+10</f>
        <v>220</v>
      </c>
      <c r="G15" s="104" t="str">
        <f t="shared" si="3"/>
        <v/>
      </c>
      <c r="H15" s="43"/>
      <c r="I15" s="43"/>
      <c r="J15" s="43"/>
      <c r="K15" s="43"/>
      <c r="L15" s="90">
        <v>4008</v>
      </c>
      <c r="M15" s="90">
        <v>83</v>
      </c>
      <c r="N15" s="96">
        <v>55</v>
      </c>
      <c r="O15" s="97">
        <f t="shared" si="0"/>
        <v>195</v>
      </c>
      <c r="P15" s="98">
        <v>6.5</v>
      </c>
      <c r="Q15" s="90">
        <v>1000</v>
      </c>
      <c r="R15" s="90">
        <v>50</v>
      </c>
      <c r="S15" s="90">
        <v>350</v>
      </c>
      <c r="T15" s="90">
        <v>2534</v>
      </c>
      <c r="U15" s="90">
        <v>90</v>
      </c>
      <c r="V15" s="96">
        <v>35</v>
      </c>
      <c r="W15" s="97">
        <f t="shared" si="1"/>
        <v>214</v>
      </c>
      <c r="X15" s="98">
        <v>7.15</v>
      </c>
      <c r="Y15" s="90">
        <v>800</v>
      </c>
      <c r="Z15" s="90">
        <v>50</v>
      </c>
      <c r="AA15" s="90">
        <v>350</v>
      </c>
      <c r="AC15" s="18">
        <v>70</v>
      </c>
    </row>
    <row r="16" spans="1:29">
      <c r="A16" s="15"/>
      <c r="B16" s="14">
        <v>10</v>
      </c>
      <c r="C16" s="18">
        <v>25</v>
      </c>
      <c r="D16" s="43"/>
      <c r="E16" s="101">
        <f t="shared" ref="E16" si="6">E12</f>
        <v>2</v>
      </c>
      <c r="F16" s="101">
        <f t="shared" ref="F16" si="7">F12+2</f>
        <v>34</v>
      </c>
      <c r="G16" s="104" t="str">
        <f t="shared" si="3"/>
        <v/>
      </c>
      <c r="H16" s="43">
        <v>2000</v>
      </c>
      <c r="I16" s="43">
        <v>3</v>
      </c>
      <c r="J16" s="43">
        <v>1</v>
      </c>
      <c r="K16" s="99" t="s">
        <v>587</v>
      </c>
      <c r="L16" s="90">
        <v>4392</v>
      </c>
      <c r="M16" s="90">
        <v>91</v>
      </c>
      <c r="N16" s="96">
        <v>55</v>
      </c>
      <c r="O16" s="97">
        <f t="shared" si="0"/>
        <v>195</v>
      </c>
      <c r="P16" s="98">
        <v>6.5</v>
      </c>
      <c r="Q16" s="90">
        <v>1000</v>
      </c>
      <c r="R16" s="90">
        <v>50</v>
      </c>
      <c r="S16" s="90">
        <v>350</v>
      </c>
      <c r="T16" s="90">
        <v>2786</v>
      </c>
      <c r="U16" s="90">
        <v>99</v>
      </c>
      <c r="V16" s="96">
        <v>35</v>
      </c>
      <c r="W16" s="97">
        <f t="shared" si="1"/>
        <v>214</v>
      </c>
      <c r="X16" s="98">
        <v>7.15</v>
      </c>
      <c r="Y16" s="90">
        <v>800</v>
      </c>
      <c r="Z16" s="90">
        <v>50</v>
      </c>
      <c r="AA16" s="90">
        <v>350</v>
      </c>
      <c r="AC16" s="19">
        <v>80</v>
      </c>
    </row>
    <row r="17" spans="2:29">
      <c r="B17" s="14">
        <v>11</v>
      </c>
      <c r="C17" s="18">
        <v>25</v>
      </c>
      <c r="D17" s="43">
        <v>1.1599999999999999</v>
      </c>
      <c r="E17" s="101">
        <f t="shared" ref="E17" si="8">E13</f>
        <v>3</v>
      </c>
      <c r="F17" s="101">
        <f t="shared" ref="F17" si="9">INT(D17)</f>
        <v>1</v>
      </c>
      <c r="G17" s="104" t="str">
        <f t="shared" si="3"/>
        <v>301,302</v>
      </c>
      <c r="H17" s="43"/>
      <c r="I17" s="43"/>
      <c r="J17" s="43"/>
      <c r="K17" s="43"/>
      <c r="L17" s="90">
        <v>4824</v>
      </c>
      <c r="M17" s="90">
        <v>100</v>
      </c>
      <c r="N17" s="96">
        <v>55</v>
      </c>
      <c r="O17" s="97">
        <f t="shared" si="0"/>
        <v>195</v>
      </c>
      <c r="P17" s="98">
        <v>6.5</v>
      </c>
      <c r="Q17" s="90">
        <v>1000</v>
      </c>
      <c r="R17" s="90">
        <v>50</v>
      </c>
      <c r="S17" s="90">
        <v>350</v>
      </c>
      <c r="T17" s="90">
        <v>3052</v>
      </c>
      <c r="U17" s="90">
        <v>109</v>
      </c>
      <c r="V17" s="96">
        <v>35</v>
      </c>
      <c r="W17" s="97">
        <f t="shared" si="1"/>
        <v>214</v>
      </c>
      <c r="X17" s="98">
        <v>7.15</v>
      </c>
      <c r="Y17" s="90">
        <v>800</v>
      </c>
      <c r="Z17" s="90">
        <v>50</v>
      </c>
      <c r="AA17" s="90">
        <v>350</v>
      </c>
      <c r="AC17" s="18">
        <v>90</v>
      </c>
    </row>
    <row r="18" spans="2:29">
      <c r="B18" s="14">
        <v>12</v>
      </c>
      <c r="C18" s="18">
        <v>25</v>
      </c>
      <c r="D18" s="43"/>
      <c r="E18" s="101">
        <f t="shared" ref="E18:F18" si="10">E14</f>
        <v>4</v>
      </c>
      <c r="F18" s="101">
        <f t="shared" si="10"/>
        <v>1</v>
      </c>
      <c r="G18" s="104" t="str">
        <f t="shared" si="3"/>
        <v>111,110,109,108,107,106,105,104,103,102,101</v>
      </c>
      <c r="H18" s="43">
        <v>2000</v>
      </c>
      <c r="I18" s="43">
        <v>2</v>
      </c>
      <c r="J18" s="43">
        <v>45</v>
      </c>
      <c r="K18" s="43"/>
      <c r="L18" s="90">
        <v>5304</v>
      </c>
      <c r="M18" s="90">
        <v>110</v>
      </c>
      <c r="N18" s="96">
        <v>55</v>
      </c>
      <c r="O18" s="97">
        <f t="shared" si="0"/>
        <v>195</v>
      </c>
      <c r="P18" s="98">
        <v>6.5</v>
      </c>
      <c r="Q18" s="90">
        <v>1000</v>
      </c>
      <c r="R18" s="90">
        <v>50</v>
      </c>
      <c r="S18" s="90">
        <v>350</v>
      </c>
      <c r="T18" s="90">
        <v>3346</v>
      </c>
      <c r="U18" s="90">
        <v>119</v>
      </c>
      <c r="V18" s="96">
        <v>35</v>
      </c>
      <c r="W18" s="97">
        <f t="shared" si="1"/>
        <v>214</v>
      </c>
      <c r="X18" s="98">
        <v>7.15</v>
      </c>
      <c r="Y18" s="90">
        <v>800</v>
      </c>
      <c r="Z18" s="90">
        <v>50</v>
      </c>
      <c r="AA18" s="90">
        <v>350</v>
      </c>
      <c r="AC18" s="19">
        <v>100</v>
      </c>
    </row>
    <row r="19" spans="2:29">
      <c r="B19" s="14">
        <v>13</v>
      </c>
      <c r="C19" s="18">
        <v>25</v>
      </c>
      <c r="D19" s="43"/>
      <c r="E19" s="101">
        <f t="shared" ref="E19" si="11">E15</f>
        <v>1</v>
      </c>
      <c r="F19" s="101">
        <f t="shared" ref="F19" si="12">F15+10</f>
        <v>230</v>
      </c>
      <c r="G19" s="104" t="str">
        <f t="shared" si="3"/>
        <v/>
      </c>
      <c r="H19" s="43"/>
      <c r="I19" s="43"/>
      <c r="J19" s="43"/>
      <c r="K19" s="99"/>
      <c r="L19" s="14">
        <v>5832</v>
      </c>
      <c r="M19" s="14">
        <v>121</v>
      </c>
      <c r="N19" s="73">
        <v>55</v>
      </c>
      <c r="O19" s="77">
        <f t="shared" si="0"/>
        <v>195</v>
      </c>
      <c r="P19" s="76">
        <v>6.5</v>
      </c>
      <c r="Q19" s="14">
        <v>1000</v>
      </c>
      <c r="R19" s="14">
        <v>50</v>
      </c>
      <c r="S19" s="14">
        <v>350</v>
      </c>
      <c r="T19" s="14">
        <v>3668</v>
      </c>
      <c r="U19" s="14">
        <v>131</v>
      </c>
      <c r="V19" s="73">
        <v>35</v>
      </c>
      <c r="W19" s="77">
        <f t="shared" si="1"/>
        <v>214</v>
      </c>
      <c r="X19" s="76">
        <v>7.15</v>
      </c>
      <c r="Y19" s="14">
        <v>800</v>
      </c>
      <c r="Z19" s="14">
        <v>50</v>
      </c>
      <c r="AA19" s="14">
        <v>350</v>
      </c>
      <c r="AC19" s="19">
        <v>100</v>
      </c>
    </row>
    <row r="20" spans="2:29">
      <c r="B20" s="14">
        <v>14</v>
      </c>
      <c r="C20" s="18">
        <v>25</v>
      </c>
      <c r="E20" s="101">
        <f t="shared" ref="E20" si="13">E16</f>
        <v>2</v>
      </c>
      <c r="F20" s="101">
        <f t="shared" ref="F20" si="14">F16+2</f>
        <v>36</v>
      </c>
      <c r="G20" s="104" t="str">
        <f t="shared" si="3"/>
        <v/>
      </c>
      <c r="H20" s="43">
        <v>2000</v>
      </c>
      <c r="I20" s="43">
        <v>1</v>
      </c>
      <c r="J20" s="43">
        <v>600</v>
      </c>
      <c r="K20" s="43"/>
      <c r="L20">
        <v>5832</v>
      </c>
      <c r="M20">
        <v>121</v>
      </c>
      <c r="N20" s="32">
        <v>55</v>
      </c>
      <c r="O20">
        <v>195</v>
      </c>
      <c r="P20" s="32">
        <v>6.5</v>
      </c>
      <c r="Q20">
        <v>1000</v>
      </c>
      <c r="R20" s="32">
        <v>50</v>
      </c>
      <c r="S20" s="32">
        <v>350</v>
      </c>
      <c r="T20">
        <v>3668</v>
      </c>
      <c r="U20">
        <v>131</v>
      </c>
      <c r="V20" s="32">
        <v>35</v>
      </c>
      <c r="W20">
        <v>214</v>
      </c>
      <c r="X20" s="32">
        <v>7.15</v>
      </c>
      <c r="Y20">
        <v>800</v>
      </c>
      <c r="Z20">
        <v>50</v>
      </c>
      <c r="AA20">
        <v>350</v>
      </c>
      <c r="AC20" s="18">
        <v>100</v>
      </c>
    </row>
    <row r="21" spans="2:29">
      <c r="B21" s="14">
        <v>15</v>
      </c>
      <c r="C21" s="18">
        <v>25</v>
      </c>
      <c r="D21" s="43">
        <v>1.24</v>
      </c>
      <c r="E21" s="101">
        <f t="shared" ref="E21" si="15">E17</f>
        <v>3</v>
      </c>
      <c r="F21" s="101">
        <f t="shared" ref="F21" si="16">INT(D21)</f>
        <v>1</v>
      </c>
      <c r="G21" s="104" t="str">
        <f t="shared" si="3"/>
        <v>301,302</v>
      </c>
      <c r="H21" s="43">
        <v>2000</v>
      </c>
      <c r="I21" s="43">
        <v>2</v>
      </c>
      <c r="J21" s="43">
        <v>50</v>
      </c>
      <c r="K21" s="43"/>
      <c r="L21">
        <v>5832</v>
      </c>
      <c r="M21">
        <v>121</v>
      </c>
      <c r="N21" s="32">
        <v>55</v>
      </c>
      <c r="O21">
        <v>195</v>
      </c>
      <c r="P21" s="32">
        <v>6.5</v>
      </c>
      <c r="Q21">
        <v>1000</v>
      </c>
      <c r="R21" s="32">
        <v>50</v>
      </c>
      <c r="S21" s="32">
        <v>350</v>
      </c>
      <c r="T21">
        <v>3668</v>
      </c>
      <c r="U21">
        <v>131</v>
      </c>
      <c r="V21" s="32">
        <v>35</v>
      </c>
      <c r="W21">
        <v>214</v>
      </c>
      <c r="X21" s="32">
        <v>7.15</v>
      </c>
      <c r="Y21">
        <v>800</v>
      </c>
      <c r="Z21">
        <v>50</v>
      </c>
      <c r="AA21">
        <v>350</v>
      </c>
      <c r="AC21" s="18">
        <v>100</v>
      </c>
    </row>
    <row r="22" spans="2:29">
      <c r="B22" s="14">
        <v>16</v>
      </c>
      <c r="C22" s="18">
        <v>25</v>
      </c>
      <c r="D22" s="43"/>
      <c r="E22" s="101">
        <f t="shared" ref="E22:F22" si="17">E18</f>
        <v>4</v>
      </c>
      <c r="F22" s="101">
        <f t="shared" si="17"/>
        <v>1</v>
      </c>
      <c r="G22" s="104" t="str">
        <f t="shared" si="3"/>
        <v>111,110,109,108,107,106,105,104,103,102,101</v>
      </c>
      <c r="H22" s="43">
        <v>2000</v>
      </c>
      <c r="I22" s="43">
        <v>3</v>
      </c>
      <c r="J22" s="43">
        <v>1</v>
      </c>
      <c r="K22" s="99" t="s">
        <v>587</v>
      </c>
      <c r="L22" s="32">
        <v>5832</v>
      </c>
      <c r="M22" s="32">
        <v>121</v>
      </c>
      <c r="N22" s="32">
        <v>55</v>
      </c>
      <c r="O22" s="32">
        <v>195</v>
      </c>
      <c r="P22" s="32">
        <v>6.5</v>
      </c>
      <c r="Q22" s="32">
        <v>1000</v>
      </c>
      <c r="R22" s="32">
        <v>50</v>
      </c>
      <c r="S22" s="32">
        <v>350</v>
      </c>
      <c r="T22" s="32">
        <v>3668</v>
      </c>
      <c r="U22" s="32">
        <v>131</v>
      </c>
      <c r="V22" s="32">
        <v>35</v>
      </c>
      <c r="W22" s="32">
        <v>214</v>
      </c>
      <c r="X22" s="32">
        <v>7.15</v>
      </c>
      <c r="Y22" s="32">
        <v>800</v>
      </c>
      <c r="Z22" s="32">
        <v>50</v>
      </c>
      <c r="AA22" s="32">
        <v>350</v>
      </c>
      <c r="AC22" s="18">
        <v>100</v>
      </c>
    </row>
    <row r="23" spans="2:29">
      <c r="B23" s="14">
        <v>17</v>
      </c>
      <c r="C23" s="18">
        <v>25</v>
      </c>
      <c r="D23" s="43"/>
      <c r="E23" s="101">
        <f t="shared" ref="E23" si="18">E19</f>
        <v>1</v>
      </c>
      <c r="F23" s="101">
        <f t="shared" ref="F23" si="19">F19+10</f>
        <v>240</v>
      </c>
      <c r="G23" s="104" t="str">
        <f t="shared" si="3"/>
        <v/>
      </c>
      <c r="H23" s="43">
        <v>2000</v>
      </c>
      <c r="I23" s="43">
        <v>1</v>
      </c>
      <c r="J23" s="43">
        <v>700</v>
      </c>
      <c r="K23" s="43"/>
      <c r="L23" s="32">
        <v>5832</v>
      </c>
      <c r="M23" s="32">
        <v>121</v>
      </c>
      <c r="N23" s="32">
        <v>55</v>
      </c>
      <c r="O23" s="32">
        <v>195</v>
      </c>
      <c r="P23" s="32">
        <v>6.5</v>
      </c>
      <c r="Q23" s="32">
        <v>1000</v>
      </c>
      <c r="R23" s="32">
        <v>50</v>
      </c>
      <c r="S23" s="32">
        <v>350</v>
      </c>
      <c r="T23" s="32">
        <v>3668</v>
      </c>
      <c r="U23" s="32">
        <v>131</v>
      </c>
      <c r="V23" s="32">
        <v>35</v>
      </c>
      <c r="W23" s="32">
        <v>214</v>
      </c>
      <c r="X23" s="32">
        <v>7.15</v>
      </c>
      <c r="Y23" s="32">
        <v>800</v>
      </c>
      <c r="Z23" s="32">
        <v>50</v>
      </c>
      <c r="AA23" s="32">
        <v>350</v>
      </c>
      <c r="AC23" s="18">
        <v>100</v>
      </c>
    </row>
    <row r="24" spans="2:29">
      <c r="B24" s="14">
        <v>18</v>
      </c>
      <c r="C24" s="18">
        <v>25</v>
      </c>
      <c r="D24" s="43"/>
      <c r="E24" s="101">
        <f t="shared" ref="E24" si="20">E20</f>
        <v>2</v>
      </c>
      <c r="F24" s="101">
        <f t="shared" ref="F24" si="21">F20+2</f>
        <v>38</v>
      </c>
      <c r="G24" s="104" t="str">
        <f t="shared" si="3"/>
        <v/>
      </c>
      <c r="H24" s="43">
        <v>2000</v>
      </c>
      <c r="I24" s="43">
        <v>2</v>
      </c>
      <c r="J24" s="43">
        <v>55</v>
      </c>
      <c r="K24" s="43"/>
      <c r="L24" s="32">
        <v>5832</v>
      </c>
      <c r="M24" s="32">
        <v>121</v>
      </c>
      <c r="N24" s="32">
        <v>55</v>
      </c>
      <c r="O24" s="32">
        <v>195</v>
      </c>
      <c r="P24" s="32">
        <v>6.5</v>
      </c>
      <c r="Q24" s="32">
        <v>1000</v>
      </c>
      <c r="R24" s="32">
        <v>50</v>
      </c>
      <c r="S24" s="32">
        <v>350</v>
      </c>
      <c r="T24" s="32">
        <v>3668</v>
      </c>
      <c r="U24" s="32">
        <v>131</v>
      </c>
      <c r="V24" s="32">
        <v>35</v>
      </c>
      <c r="W24" s="32">
        <v>214</v>
      </c>
      <c r="X24" s="32">
        <v>7.15</v>
      </c>
      <c r="Y24" s="32">
        <v>800</v>
      </c>
      <c r="Z24" s="32">
        <v>50</v>
      </c>
      <c r="AA24" s="32">
        <v>350</v>
      </c>
      <c r="AC24" s="18">
        <v>100</v>
      </c>
    </row>
    <row r="25" spans="2:29">
      <c r="B25" s="14">
        <v>19</v>
      </c>
      <c r="C25" s="18">
        <v>25</v>
      </c>
      <c r="D25" s="43">
        <v>1.32</v>
      </c>
      <c r="E25" s="101">
        <f t="shared" ref="E25" si="22">E21</f>
        <v>3</v>
      </c>
      <c r="F25" s="101">
        <f t="shared" ref="F25" si="23">INT(D25)</f>
        <v>1</v>
      </c>
      <c r="G25" s="103" t="s">
        <v>588</v>
      </c>
      <c r="H25" s="43">
        <v>2000</v>
      </c>
      <c r="I25" s="43">
        <v>3</v>
      </c>
      <c r="J25" s="43">
        <v>1</v>
      </c>
      <c r="K25" s="99" t="s">
        <v>588</v>
      </c>
      <c r="L25" s="32">
        <v>5832</v>
      </c>
      <c r="M25" s="32">
        <v>121</v>
      </c>
      <c r="N25" s="32">
        <v>55</v>
      </c>
      <c r="O25" s="32">
        <v>195</v>
      </c>
      <c r="P25" s="32">
        <v>6.5</v>
      </c>
      <c r="Q25" s="32">
        <v>1000</v>
      </c>
      <c r="R25" s="32">
        <v>50</v>
      </c>
      <c r="S25" s="32">
        <v>350</v>
      </c>
      <c r="T25" s="32">
        <v>3668</v>
      </c>
      <c r="U25" s="32">
        <v>131</v>
      </c>
      <c r="V25" s="32">
        <v>35</v>
      </c>
      <c r="W25" s="32">
        <v>214</v>
      </c>
      <c r="X25" s="32">
        <v>7.15</v>
      </c>
      <c r="Y25" s="32">
        <v>800</v>
      </c>
      <c r="Z25" s="32">
        <v>50</v>
      </c>
      <c r="AA25" s="32">
        <v>350</v>
      </c>
      <c r="AC25" s="18">
        <v>100</v>
      </c>
    </row>
    <row r="26" spans="2:29">
      <c r="B26" s="14">
        <v>20</v>
      </c>
      <c r="C26" s="18">
        <v>25</v>
      </c>
      <c r="D26" s="43"/>
      <c r="E26" s="101">
        <f t="shared" ref="E26:F26" si="24">E22</f>
        <v>4</v>
      </c>
      <c r="F26" s="101">
        <f t="shared" si="24"/>
        <v>1</v>
      </c>
      <c r="G26" s="104" t="str">
        <f t="shared" si="3"/>
        <v>111,110,109,108,107,106,105,104,103,102,101</v>
      </c>
      <c r="H26" s="43">
        <v>2000</v>
      </c>
      <c r="I26" s="43">
        <v>1</v>
      </c>
      <c r="J26" s="43">
        <v>800</v>
      </c>
      <c r="K26" s="43"/>
      <c r="L26" s="32">
        <v>5832</v>
      </c>
      <c r="M26" s="32">
        <v>121</v>
      </c>
      <c r="N26" s="32">
        <v>55</v>
      </c>
      <c r="O26" s="32">
        <v>195</v>
      </c>
      <c r="P26" s="32">
        <v>6.5</v>
      </c>
      <c r="Q26" s="32">
        <v>1000</v>
      </c>
      <c r="R26" s="32">
        <v>50</v>
      </c>
      <c r="S26" s="32">
        <v>350</v>
      </c>
      <c r="T26" s="32">
        <v>3668</v>
      </c>
      <c r="U26" s="32">
        <v>131</v>
      </c>
      <c r="V26" s="32">
        <v>35</v>
      </c>
      <c r="W26" s="32">
        <v>214</v>
      </c>
      <c r="X26" s="32">
        <v>7.15</v>
      </c>
      <c r="Y26" s="32">
        <v>800</v>
      </c>
      <c r="Z26" s="32">
        <v>50</v>
      </c>
      <c r="AA26" s="32">
        <v>350</v>
      </c>
      <c r="AC26" s="18">
        <v>100</v>
      </c>
    </row>
    <row r="27" spans="2:29">
      <c r="B27" s="14">
        <v>21</v>
      </c>
      <c r="C27" s="18">
        <v>25</v>
      </c>
      <c r="D27" s="43"/>
      <c r="E27" s="101">
        <f t="shared" ref="E27" si="25">E23</f>
        <v>1</v>
      </c>
      <c r="F27" s="101">
        <f t="shared" ref="F27" si="26">F23+10</f>
        <v>250</v>
      </c>
      <c r="G27" s="104" t="str">
        <f t="shared" si="3"/>
        <v/>
      </c>
      <c r="H27" s="43">
        <v>2000</v>
      </c>
      <c r="I27" s="43">
        <v>2</v>
      </c>
      <c r="J27" s="43">
        <v>60</v>
      </c>
      <c r="K27" s="43"/>
      <c r="L27" s="32">
        <v>5832</v>
      </c>
      <c r="M27" s="32">
        <v>121</v>
      </c>
      <c r="N27" s="32">
        <v>55</v>
      </c>
      <c r="O27" s="32">
        <v>195</v>
      </c>
      <c r="P27" s="32">
        <v>6.5</v>
      </c>
      <c r="Q27" s="32">
        <v>1000</v>
      </c>
      <c r="R27" s="32">
        <v>50</v>
      </c>
      <c r="S27" s="32">
        <v>350</v>
      </c>
      <c r="T27" s="32">
        <v>3668</v>
      </c>
      <c r="U27" s="32">
        <v>131</v>
      </c>
      <c r="V27" s="32">
        <v>35</v>
      </c>
      <c r="W27" s="32">
        <v>214</v>
      </c>
      <c r="X27" s="32">
        <v>7.15</v>
      </c>
      <c r="Y27" s="32">
        <v>800</v>
      </c>
      <c r="Z27" s="32">
        <v>50</v>
      </c>
      <c r="AA27" s="32">
        <v>350</v>
      </c>
      <c r="AC27" s="18">
        <v>100</v>
      </c>
    </row>
    <row r="28" spans="2:29">
      <c r="B28" s="14">
        <v>22</v>
      </c>
      <c r="C28" s="18">
        <v>25</v>
      </c>
      <c r="E28" s="101">
        <f t="shared" ref="E28" si="27">E24</f>
        <v>2</v>
      </c>
      <c r="F28" s="101">
        <f t="shared" ref="F28" si="28">F24+2</f>
        <v>40</v>
      </c>
      <c r="G28" s="104" t="str">
        <f t="shared" si="3"/>
        <v/>
      </c>
      <c r="H28" s="43">
        <v>2000</v>
      </c>
      <c r="I28" s="43">
        <v>3</v>
      </c>
      <c r="J28" s="43">
        <v>1</v>
      </c>
      <c r="K28" s="100" t="str">
        <f>K25</f>
        <v>301,302,303,304</v>
      </c>
      <c r="L28" s="32">
        <v>5832</v>
      </c>
      <c r="M28" s="32">
        <v>121</v>
      </c>
      <c r="N28" s="32">
        <v>55</v>
      </c>
      <c r="O28" s="32">
        <v>195</v>
      </c>
      <c r="P28" s="32">
        <v>6.5</v>
      </c>
      <c r="Q28" s="32">
        <v>1000</v>
      </c>
      <c r="R28" s="32">
        <v>50</v>
      </c>
      <c r="S28" s="32">
        <v>350</v>
      </c>
      <c r="T28" s="32">
        <v>3668</v>
      </c>
      <c r="U28" s="32">
        <v>131</v>
      </c>
      <c r="V28" s="32">
        <v>35</v>
      </c>
      <c r="W28" s="32">
        <v>214</v>
      </c>
      <c r="X28" s="32">
        <v>7.15</v>
      </c>
      <c r="Y28" s="32">
        <v>800</v>
      </c>
      <c r="Z28" s="32">
        <v>50</v>
      </c>
      <c r="AA28" s="32">
        <v>350</v>
      </c>
      <c r="AC28" s="18">
        <v>100</v>
      </c>
    </row>
    <row r="29" spans="2:29">
      <c r="B29" s="14">
        <v>23</v>
      </c>
      <c r="C29" s="18">
        <v>25</v>
      </c>
      <c r="D29" s="43">
        <v>1.4</v>
      </c>
      <c r="E29" s="101">
        <f t="shared" ref="E29" si="29">E25</f>
        <v>3</v>
      </c>
      <c r="F29" s="101">
        <f t="shared" ref="F29" si="30">INT(D29)</f>
        <v>1</v>
      </c>
      <c r="G29" s="104" t="str">
        <f t="shared" si="3"/>
        <v>301,302,303,304</v>
      </c>
      <c r="H29" s="43">
        <v>2000</v>
      </c>
      <c r="I29" s="43">
        <v>1</v>
      </c>
      <c r="J29" s="43">
        <v>900</v>
      </c>
      <c r="K29" s="101"/>
      <c r="L29" s="32">
        <v>5832</v>
      </c>
      <c r="M29" s="32">
        <v>121</v>
      </c>
      <c r="N29" s="32">
        <v>55</v>
      </c>
      <c r="O29" s="32">
        <v>195</v>
      </c>
      <c r="P29" s="32">
        <v>6.5</v>
      </c>
      <c r="Q29" s="32">
        <v>1000</v>
      </c>
      <c r="R29" s="32">
        <v>50</v>
      </c>
      <c r="S29" s="32">
        <v>350</v>
      </c>
      <c r="T29" s="32">
        <v>3668</v>
      </c>
      <c r="U29" s="32">
        <v>131</v>
      </c>
      <c r="V29" s="32">
        <v>35</v>
      </c>
      <c r="W29" s="32">
        <v>214</v>
      </c>
      <c r="X29" s="32">
        <v>7.15</v>
      </c>
      <c r="Y29" s="32">
        <v>800</v>
      </c>
      <c r="Z29" s="32">
        <v>50</v>
      </c>
      <c r="AA29" s="32">
        <v>350</v>
      </c>
      <c r="AC29" s="18">
        <v>100</v>
      </c>
    </row>
    <row r="30" spans="2:29">
      <c r="B30" s="14">
        <v>24</v>
      </c>
      <c r="C30" s="18">
        <v>25</v>
      </c>
      <c r="D30" s="43"/>
      <c r="E30" s="101">
        <f t="shared" ref="E30:F30" si="31">E26</f>
        <v>4</v>
      </c>
      <c r="F30" s="101">
        <f t="shared" si="31"/>
        <v>1</v>
      </c>
      <c r="G30" s="104" t="str">
        <f t="shared" si="3"/>
        <v>111,110,109,108,107,106,105,104,103,102,101</v>
      </c>
      <c r="H30" s="43">
        <v>2000</v>
      </c>
      <c r="I30" s="43">
        <v>2</v>
      </c>
      <c r="J30" s="43">
        <v>65</v>
      </c>
      <c r="K30" s="101"/>
      <c r="L30" s="32">
        <v>5832</v>
      </c>
      <c r="M30" s="32">
        <v>121</v>
      </c>
      <c r="N30" s="32">
        <v>55</v>
      </c>
      <c r="O30" s="32">
        <v>195</v>
      </c>
      <c r="P30" s="32">
        <v>6.5</v>
      </c>
      <c r="Q30" s="32">
        <v>1000</v>
      </c>
      <c r="R30" s="32">
        <v>50</v>
      </c>
      <c r="S30" s="32">
        <v>350</v>
      </c>
      <c r="T30" s="32">
        <v>3668</v>
      </c>
      <c r="U30" s="32">
        <v>131</v>
      </c>
      <c r="V30" s="32">
        <v>35</v>
      </c>
      <c r="W30" s="32">
        <v>214</v>
      </c>
      <c r="X30" s="32">
        <v>7.15</v>
      </c>
      <c r="Y30" s="32">
        <v>800</v>
      </c>
      <c r="Z30" s="32">
        <v>50</v>
      </c>
      <c r="AA30" s="32">
        <v>350</v>
      </c>
      <c r="AC30" s="18">
        <v>100</v>
      </c>
    </row>
    <row r="31" spans="2:29">
      <c r="B31" s="14">
        <v>25</v>
      </c>
      <c r="C31" s="18">
        <v>25</v>
      </c>
      <c r="D31" s="43"/>
      <c r="E31" s="101">
        <f t="shared" ref="E31" si="32">E27</f>
        <v>1</v>
      </c>
      <c r="F31" s="101">
        <f t="shared" ref="F31" si="33">F27+10</f>
        <v>260</v>
      </c>
      <c r="G31" s="104" t="str">
        <f t="shared" si="3"/>
        <v/>
      </c>
      <c r="H31" s="43">
        <v>3000</v>
      </c>
      <c r="I31" s="43">
        <v>3</v>
      </c>
      <c r="J31" s="43">
        <v>1</v>
      </c>
      <c r="K31" s="100" t="str">
        <f t="shared" ref="K31" si="34">K28</f>
        <v>301,302,303,304</v>
      </c>
      <c r="L31" s="32">
        <v>5832</v>
      </c>
      <c r="M31" s="32">
        <v>121</v>
      </c>
      <c r="N31" s="32">
        <v>55</v>
      </c>
      <c r="O31" s="32">
        <v>195</v>
      </c>
      <c r="P31" s="32">
        <v>6.5</v>
      </c>
      <c r="Q31" s="32">
        <v>1000</v>
      </c>
      <c r="R31" s="32">
        <v>50</v>
      </c>
      <c r="S31" s="32">
        <v>350</v>
      </c>
      <c r="T31" s="32">
        <v>3668</v>
      </c>
      <c r="U31" s="32">
        <v>131</v>
      </c>
      <c r="V31" s="32">
        <v>35</v>
      </c>
      <c r="W31" s="32">
        <v>214</v>
      </c>
      <c r="X31" s="32">
        <v>7.15</v>
      </c>
      <c r="Y31" s="32">
        <v>800</v>
      </c>
      <c r="Z31" s="32">
        <v>50</v>
      </c>
      <c r="AA31" s="32">
        <v>350</v>
      </c>
      <c r="AC31" s="18">
        <v>100</v>
      </c>
    </row>
    <row r="32" spans="2:29">
      <c r="B32" s="14">
        <v>26</v>
      </c>
      <c r="C32" s="18">
        <v>25</v>
      </c>
      <c r="D32" s="43"/>
      <c r="E32" s="101">
        <f t="shared" ref="E32" si="35">E28</f>
        <v>2</v>
      </c>
      <c r="F32" s="101">
        <f t="shared" ref="F32" si="36">F28+2</f>
        <v>42</v>
      </c>
      <c r="G32" s="104" t="str">
        <f t="shared" si="3"/>
        <v/>
      </c>
      <c r="H32" s="43">
        <v>3000</v>
      </c>
      <c r="I32" s="43">
        <v>1</v>
      </c>
      <c r="J32" s="43">
        <v>1000</v>
      </c>
      <c r="K32" s="101"/>
      <c r="L32" s="32">
        <v>5832</v>
      </c>
      <c r="M32" s="32">
        <v>121</v>
      </c>
      <c r="N32" s="32">
        <v>55</v>
      </c>
      <c r="O32" s="32">
        <v>195</v>
      </c>
      <c r="P32" s="32">
        <v>6.5</v>
      </c>
      <c r="Q32" s="32">
        <v>1000</v>
      </c>
      <c r="R32" s="32">
        <v>50</v>
      </c>
      <c r="S32" s="32">
        <v>350</v>
      </c>
      <c r="T32" s="32">
        <v>3668</v>
      </c>
      <c r="U32" s="32">
        <v>131</v>
      </c>
      <c r="V32" s="32">
        <v>35</v>
      </c>
      <c r="W32" s="32">
        <v>214</v>
      </c>
      <c r="X32" s="32">
        <v>7.15</v>
      </c>
      <c r="Y32" s="32">
        <v>800</v>
      </c>
      <c r="Z32" s="32">
        <v>50</v>
      </c>
      <c r="AA32" s="32">
        <v>350</v>
      </c>
      <c r="AC32" s="18"/>
    </row>
    <row r="33" spans="2:29">
      <c r="B33" s="14">
        <v>27</v>
      </c>
      <c r="C33" s="18">
        <v>25</v>
      </c>
      <c r="D33" s="43">
        <v>1.48</v>
      </c>
      <c r="E33" s="101">
        <f t="shared" ref="E33" si="37">E29</f>
        <v>3</v>
      </c>
      <c r="F33" s="101">
        <f t="shared" ref="F33" si="38">INT(D33)</f>
        <v>1</v>
      </c>
      <c r="G33" s="104" t="str">
        <f t="shared" si="3"/>
        <v>301,302,303,304</v>
      </c>
      <c r="H33" s="43">
        <v>3000</v>
      </c>
      <c r="I33" s="43">
        <v>2</v>
      </c>
      <c r="J33" s="43">
        <v>70</v>
      </c>
      <c r="K33" s="101"/>
      <c r="L33" s="32">
        <v>5832</v>
      </c>
      <c r="M33" s="32">
        <v>121</v>
      </c>
      <c r="N33" s="32">
        <v>55</v>
      </c>
      <c r="O33" s="32">
        <v>195</v>
      </c>
      <c r="P33" s="32">
        <v>6.5</v>
      </c>
      <c r="Q33" s="32">
        <v>1000</v>
      </c>
      <c r="R33" s="32">
        <v>50</v>
      </c>
      <c r="S33" s="32">
        <v>350</v>
      </c>
      <c r="T33" s="32">
        <v>3668</v>
      </c>
      <c r="U33" s="32">
        <v>131</v>
      </c>
      <c r="V33" s="32">
        <v>35</v>
      </c>
      <c r="W33" s="32">
        <v>214</v>
      </c>
      <c r="X33" s="32">
        <v>7.15</v>
      </c>
      <c r="Y33" s="32">
        <v>800</v>
      </c>
      <c r="Z33" s="32">
        <v>50</v>
      </c>
      <c r="AA33" s="32">
        <v>350</v>
      </c>
      <c r="AC33" s="18"/>
    </row>
    <row r="34" spans="2:29">
      <c r="B34" s="14">
        <v>28</v>
      </c>
      <c r="C34" s="18">
        <v>25</v>
      </c>
      <c r="D34" s="43"/>
      <c r="E34" s="101">
        <f t="shared" ref="E34:F34" si="39">E30</f>
        <v>4</v>
      </c>
      <c r="F34" s="101">
        <f t="shared" si="39"/>
        <v>1</v>
      </c>
      <c r="G34" s="104" t="str">
        <f t="shared" si="3"/>
        <v>111,110,109,108,107,106,105,104,103,102,101</v>
      </c>
      <c r="H34" s="43">
        <v>3000</v>
      </c>
      <c r="I34" s="43">
        <v>3</v>
      </c>
      <c r="J34" s="43">
        <v>1</v>
      </c>
      <c r="K34" s="100" t="str">
        <f t="shared" ref="K34" si="40">K31</f>
        <v>301,302,303,304</v>
      </c>
      <c r="L34" s="32">
        <v>5832</v>
      </c>
      <c r="M34" s="32">
        <v>121</v>
      </c>
      <c r="N34" s="32">
        <v>55</v>
      </c>
      <c r="O34" s="32">
        <v>195</v>
      </c>
      <c r="P34" s="32">
        <v>6.5</v>
      </c>
      <c r="Q34" s="32">
        <v>1000</v>
      </c>
      <c r="R34" s="32">
        <v>50</v>
      </c>
      <c r="S34" s="32">
        <v>350</v>
      </c>
      <c r="T34" s="32">
        <v>3668</v>
      </c>
      <c r="U34" s="32">
        <v>131</v>
      </c>
      <c r="V34" s="32">
        <v>35</v>
      </c>
      <c r="W34" s="32">
        <v>214</v>
      </c>
      <c r="X34" s="32">
        <v>7.15</v>
      </c>
      <c r="Y34" s="32">
        <v>800</v>
      </c>
      <c r="Z34" s="32">
        <v>50</v>
      </c>
      <c r="AA34" s="32">
        <v>350</v>
      </c>
      <c r="AC34" s="18"/>
    </row>
    <row r="35" spans="2:29">
      <c r="B35" s="14">
        <v>29</v>
      </c>
      <c r="C35" s="18">
        <v>25</v>
      </c>
      <c r="D35" s="43"/>
      <c r="E35" s="101">
        <f t="shared" ref="E35" si="41">E31</f>
        <v>1</v>
      </c>
      <c r="F35" s="101">
        <f t="shared" ref="F35" si="42">F31+10</f>
        <v>270</v>
      </c>
      <c r="G35" s="104" t="str">
        <f t="shared" si="3"/>
        <v/>
      </c>
      <c r="H35" s="43">
        <v>3000</v>
      </c>
      <c r="I35" s="43">
        <v>1</v>
      </c>
      <c r="J35" s="43">
        <v>1100</v>
      </c>
      <c r="K35" s="101"/>
      <c r="L35" s="32">
        <v>5832</v>
      </c>
      <c r="M35" s="32">
        <v>121</v>
      </c>
      <c r="N35" s="32">
        <v>55</v>
      </c>
      <c r="O35" s="32">
        <v>195</v>
      </c>
      <c r="P35" s="32">
        <v>6.5</v>
      </c>
      <c r="Q35" s="32">
        <v>1000</v>
      </c>
      <c r="R35" s="32">
        <v>50</v>
      </c>
      <c r="S35" s="32">
        <v>350</v>
      </c>
      <c r="T35" s="32">
        <v>3668</v>
      </c>
      <c r="U35" s="32">
        <v>131</v>
      </c>
      <c r="V35" s="32">
        <v>35</v>
      </c>
      <c r="W35" s="32">
        <v>214</v>
      </c>
      <c r="X35" s="32">
        <v>7.15</v>
      </c>
      <c r="Y35" s="32">
        <v>800</v>
      </c>
      <c r="Z35" s="32">
        <v>50</v>
      </c>
      <c r="AA35" s="32">
        <v>350</v>
      </c>
      <c r="AC35" s="18"/>
    </row>
    <row r="36" spans="2:29">
      <c r="B36" s="14">
        <v>30</v>
      </c>
      <c r="C36" s="18">
        <v>25</v>
      </c>
      <c r="E36" s="101">
        <f t="shared" ref="E36" si="43">E32</f>
        <v>2</v>
      </c>
      <c r="F36" s="101">
        <f t="shared" ref="F36" si="44">F32+2</f>
        <v>44</v>
      </c>
      <c r="G36" s="104" t="str">
        <f t="shared" si="3"/>
        <v/>
      </c>
      <c r="H36" s="43">
        <v>3000</v>
      </c>
      <c r="I36" s="43">
        <v>2</v>
      </c>
      <c r="J36" s="43">
        <v>75</v>
      </c>
      <c r="K36" s="101"/>
      <c r="L36" s="32">
        <v>5832</v>
      </c>
      <c r="M36" s="32">
        <v>121</v>
      </c>
      <c r="N36" s="32">
        <v>55</v>
      </c>
      <c r="O36" s="32">
        <v>195</v>
      </c>
      <c r="P36" s="32">
        <v>6.5</v>
      </c>
      <c r="Q36" s="32">
        <v>1000</v>
      </c>
      <c r="R36" s="32">
        <v>50</v>
      </c>
      <c r="S36" s="32">
        <v>350</v>
      </c>
      <c r="T36" s="32">
        <v>3668</v>
      </c>
      <c r="U36" s="32">
        <v>131</v>
      </c>
      <c r="V36" s="32">
        <v>35</v>
      </c>
      <c r="W36" s="32">
        <v>214</v>
      </c>
      <c r="X36" s="32">
        <v>7.15</v>
      </c>
      <c r="Y36" s="32">
        <v>800</v>
      </c>
      <c r="Z36" s="32">
        <v>50</v>
      </c>
      <c r="AA36" s="32">
        <v>350</v>
      </c>
      <c r="AC36" s="18"/>
    </row>
    <row r="37" spans="2:29">
      <c r="B37" s="14">
        <v>31</v>
      </c>
      <c r="C37" s="18">
        <v>25</v>
      </c>
      <c r="D37" s="43">
        <v>1.56</v>
      </c>
      <c r="E37" s="101">
        <f t="shared" ref="E37" si="45">E33</f>
        <v>3</v>
      </c>
      <c r="F37" s="101">
        <f t="shared" ref="F37" si="46">INT(D37)</f>
        <v>1</v>
      </c>
      <c r="G37" s="104" t="str">
        <f t="shared" si="3"/>
        <v>301,302,303,304</v>
      </c>
      <c r="H37" s="43">
        <v>3000</v>
      </c>
      <c r="I37" s="43">
        <v>3</v>
      </c>
      <c r="J37" s="43">
        <v>1</v>
      </c>
      <c r="K37" s="100" t="str">
        <f t="shared" ref="K37" si="47">K34</f>
        <v>301,302,303,304</v>
      </c>
      <c r="L37" s="32">
        <v>5832</v>
      </c>
      <c r="M37" s="32">
        <v>121</v>
      </c>
      <c r="N37" s="32">
        <v>55</v>
      </c>
      <c r="O37" s="32">
        <v>195</v>
      </c>
      <c r="P37" s="32">
        <v>6.5</v>
      </c>
      <c r="Q37" s="32">
        <v>1000</v>
      </c>
      <c r="R37" s="32">
        <v>50</v>
      </c>
      <c r="S37" s="32">
        <v>350</v>
      </c>
      <c r="T37" s="32">
        <v>3668</v>
      </c>
      <c r="U37" s="32">
        <v>131</v>
      </c>
      <c r="V37" s="32">
        <v>35</v>
      </c>
      <c r="W37" s="32">
        <v>214</v>
      </c>
      <c r="X37" s="32">
        <v>7.15</v>
      </c>
      <c r="Y37" s="32">
        <v>800</v>
      </c>
      <c r="Z37" s="32">
        <v>50</v>
      </c>
      <c r="AA37" s="32">
        <v>350</v>
      </c>
      <c r="AC37" s="18"/>
    </row>
    <row r="38" spans="2:29">
      <c r="B38" s="14">
        <v>32</v>
      </c>
      <c r="C38" s="18">
        <v>25</v>
      </c>
      <c r="D38" s="43"/>
      <c r="E38" s="101">
        <f t="shared" ref="E38:F38" si="48">E34</f>
        <v>4</v>
      </c>
      <c r="F38" s="101">
        <f t="shared" si="48"/>
        <v>1</v>
      </c>
      <c r="G38" s="104" t="str">
        <f t="shared" si="3"/>
        <v>111,110,109,108,107,106,105,104,103,102,101</v>
      </c>
      <c r="H38" s="43">
        <v>3000</v>
      </c>
      <c r="I38" s="43">
        <v>1</v>
      </c>
      <c r="J38" s="43">
        <v>1200</v>
      </c>
      <c r="K38" s="101"/>
      <c r="L38" s="32">
        <v>5832</v>
      </c>
      <c r="M38" s="32">
        <v>121</v>
      </c>
      <c r="N38" s="32">
        <v>55</v>
      </c>
      <c r="O38" s="32">
        <v>195</v>
      </c>
      <c r="P38" s="32">
        <v>6.5</v>
      </c>
      <c r="Q38" s="32">
        <v>1000</v>
      </c>
      <c r="R38" s="32">
        <v>50</v>
      </c>
      <c r="S38" s="32">
        <v>350</v>
      </c>
      <c r="T38" s="32">
        <v>3668</v>
      </c>
      <c r="U38" s="32">
        <v>131</v>
      </c>
      <c r="V38" s="32">
        <v>35</v>
      </c>
      <c r="W38" s="32">
        <v>214</v>
      </c>
      <c r="X38" s="32">
        <v>7.15</v>
      </c>
      <c r="Y38" s="32">
        <v>800</v>
      </c>
      <c r="Z38" s="32">
        <v>50</v>
      </c>
      <c r="AA38" s="32">
        <v>350</v>
      </c>
      <c r="AC38" s="18"/>
    </row>
    <row r="39" spans="2:29">
      <c r="B39" s="14">
        <v>33</v>
      </c>
      <c r="C39" s="18">
        <v>25</v>
      </c>
      <c r="D39" s="43"/>
      <c r="E39" s="101">
        <f t="shared" ref="E39" si="49">E35</f>
        <v>1</v>
      </c>
      <c r="F39" s="101">
        <f t="shared" ref="F39" si="50">F35+10</f>
        <v>280</v>
      </c>
      <c r="G39" s="104" t="str">
        <f t="shared" si="3"/>
        <v/>
      </c>
      <c r="H39" s="43">
        <v>3000</v>
      </c>
      <c r="I39" s="43">
        <v>2</v>
      </c>
      <c r="J39" s="43">
        <v>80</v>
      </c>
      <c r="K39" s="101"/>
      <c r="L39" s="32">
        <v>5832</v>
      </c>
      <c r="M39" s="32">
        <v>121</v>
      </c>
      <c r="N39" s="32">
        <v>55</v>
      </c>
      <c r="O39" s="32">
        <v>195</v>
      </c>
      <c r="P39" s="32">
        <v>6.5</v>
      </c>
      <c r="Q39" s="32">
        <v>1000</v>
      </c>
      <c r="R39" s="32">
        <v>50</v>
      </c>
      <c r="S39" s="32">
        <v>350</v>
      </c>
      <c r="T39" s="32">
        <v>3668</v>
      </c>
      <c r="U39" s="32">
        <v>131</v>
      </c>
      <c r="V39" s="32">
        <v>35</v>
      </c>
      <c r="W39" s="32">
        <v>214</v>
      </c>
      <c r="X39" s="32">
        <v>7.15</v>
      </c>
      <c r="Y39" s="32">
        <v>800</v>
      </c>
      <c r="Z39" s="32">
        <v>50</v>
      </c>
      <c r="AA39" s="32">
        <v>350</v>
      </c>
      <c r="AC39" s="18"/>
    </row>
    <row r="40" spans="2:29">
      <c r="B40" s="14">
        <v>34</v>
      </c>
      <c r="C40" s="18">
        <v>25</v>
      </c>
      <c r="D40" s="43"/>
      <c r="E40" s="101">
        <f t="shared" ref="E40" si="51">E36</f>
        <v>2</v>
      </c>
      <c r="F40" s="101">
        <f t="shared" ref="F40" si="52">F36+2</f>
        <v>46</v>
      </c>
      <c r="G40" s="104" t="str">
        <f t="shared" si="3"/>
        <v/>
      </c>
      <c r="H40" s="43">
        <v>3000</v>
      </c>
      <c r="I40" s="43">
        <v>3</v>
      </c>
      <c r="J40" s="43">
        <v>1</v>
      </c>
      <c r="K40" s="100" t="str">
        <f t="shared" ref="K40" si="53">K37</f>
        <v>301,302,303,304</v>
      </c>
      <c r="L40" s="32">
        <v>5832</v>
      </c>
      <c r="M40" s="32">
        <v>121</v>
      </c>
      <c r="N40" s="32">
        <v>55</v>
      </c>
      <c r="O40" s="32">
        <v>195</v>
      </c>
      <c r="P40" s="32">
        <v>6.5</v>
      </c>
      <c r="Q40" s="32">
        <v>1000</v>
      </c>
      <c r="R40" s="32">
        <v>50</v>
      </c>
      <c r="S40" s="32">
        <v>350</v>
      </c>
      <c r="T40" s="32">
        <v>3668</v>
      </c>
      <c r="U40" s="32">
        <v>131</v>
      </c>
      <c r="V40" s="32">
        <v>35</v>
      </c>
      <c r="W40" s="32">
        <v>214</v>
      </c>
      <c r="X40" s="32">
        <v>7.15</v>
      </c>
      <c r="Y40" s="32">
        <v>800</v>
      </c>
      <c r="Z40" s="32">
        <v>50</v>
      </c>
      <c r="AA40" s="32">
        <v>350</v>
      </c>
      <c r="AC40" s="18"/>
    </row>
    <row r="41" spans="2:29">
      <c r="B41" s="14">
        <v>35</v>
      </c>
      <c r="C41" s="18">
        <v>25</v>
      </c>
      <c r="D41" s="43">
        <v>1.64</v>
      </c>
      <c r="E41" s="101">
        <f t="shared" ref="E41" si="54">E37</f>
        <v>3</v>
      </c>
      <c r="F41" s="101">
        <f t="shared" ref="F41" si="55">INT(D41)</f>
        <v>1</v>
      </c>
      <c r="G41" s="104" t="str">
        <f t="shared" si="3"/>
        <v>301,302,303,304</v>
      </c>
      <c r="H41" s="43">
        <v>3000</v>
      </c>
      <c r="I41" s="43">
        <v>1</v>
      </c>
      <c r="J41" s="43">
        <v>1300</v>
      </c>
      <c r="K41" s="101"/>
      <c r="L41" s="32">
        <v>5832</v>
      </c>
      <c r="M41" s="32">
        <v>121</v>
      </c>
      <c r="N41" s="32">
        <v>55</v>
      </c>
      <c r="O41" s="32">
        <v>195</v>
      </c>
      <c r="P41" s="32">
        <v>6.5</v>
      </c>
      <c r="Q41" s="32">
        <v>1000</v>
      </c>
      <c r="R41" s="32">
        <v>50</v>
      </c>
      <c r="S41" s="32">
        <v>350</v>
      </c>
      <c r="T41" s="32">
        <v>3668</v>
      </c>
      <c r="U41" s="32">
        <v>131</v>
      </c>
      <c r="V41" s="32">
        <v>35</v>
      </c>
      <c r="W41" s="32">
        <v>214</v>
      </c>
      <c r="X41" s="32">
        <v>7.15</v>
      </c>
      <c r="Y41" s="32">
        <v>800</v>
      </c>
      <c r="Z41" s="32">
        <v>50</v>
      </c>
      <c r="AA41" s="32">
        <v>350</v>
      </c>
      <c r="AC41" s="18"/>
    </row>
    <row r="42" spans="2:29">
      <c r="B42" s="14">
        <v>36</v>
      </c>
      <c r="C42" s="18">
        <v>25</v>
      </c>
      <c r="D42" s="43"/>
      <c r="E42" s="101">
        <f t="shared" ref="E42:F42" si="56">E38</f>
        <v>4</v>
      </c>
      <c r="F42" s="101">
        <f t="shared" si="56"/>
        <v>1</v>
      </c>
      <c r="G42" s="104" t="str">
        <f t="shared" si="3"/>
        <v>111,110,109,108,107,106,105,104,103,102,101</v>
      </c>
      <c r="H42" s="43">
        <v>3000</v>
      </c>
      <c r="I42" s="43">
        <v>2</v>
      </c>
      <c r="J42" s="43">
        <v>85</v>
      </c>
      <c r="K42" s="101"/>
      <c r="L42" s="32">
        <v>5832</v>
      </c>
      <c r="M42" s="32">
        <v>121</v>
      </c>
      <c r="N42" s="32">
        <v>55</v>
      </c>
      <c r="O42" s="32">
        <v>195</v>
      </c>
      <c r="P42" s="32">
        <v>6.5</v>
      </c>
      <c r="Q42" s="32">
        <v>1000</v>
      </c>
      <c r="R42" s="32">
        <v>50</v>
      </c>
      <c r="S42" s="32">
        <v>350</v>
      </c>
      <c r="T42" s="32">
        <v>3668</v>
      </c>
      <c r="U42" s="32">
        <v>131</v>
      </c>
      <c r="V42" s="32">
        <v>35</v>
      </c>
      <c r="W42" s="32">
        <v>214</v>
      </c>
      <c r="X42" s="32">
        <v>7.15</v>
      </c>
      <c r="Y42" s="32">
        <v>800</v>
      </c>
      <c r="Z42" s="32">
        <v>50</v>
      </c>
      <c r="AA42" s="32">
        <v>350</v>
      </c>
      <c r="AC42" s="18"/>
    </row>
    <row r="43" spans="2:29">
      <c r="B43" s="14">
        <v>37</v>
      </c>
      <c r="C43" s="18">
        <v>25</v>
      </c>
      <c r="D43" s="43"/>
      <c r="E43" s="101">
        <f t="shared" ref="E43" si="57">E39</f>
        <v>1</v>
      </c>
      <c r="F43" s="101">
        <f t="shared" ref="F43" si="58">F39+10</f>
        <v>290</v>
      </c>
      <c r="G43" s="104" t="str">
        <f t="shared" si="3"/>
        <v/>
      </c>
      <c r="H43" s="43">
        <v>3000</v>
      </c>
      <c r="I43" s="43">
        <v>3</v>
      </c>
      <c r="J43" s="43">
        <v>1</v>
      </c>
      <c r="K43" s="100" t="str">
        <f t="shared" ref="K43" si="59">K40</f>
        <v>301,302,303,304</v>
      </c>
      <c r="L43" s="32">
        <v>5832</v>
      </c>
      <c r="M43" s="32">
        <v>121</v>
      </c>
      <c r="N43" s="32">
        <v>55</v>
      </c>
      <c r="O43" s="32">
        <v>195</v>
      </c>
      <c r="P43" s="32">
        <v>6.5</v>
      </c>
      <c r="Q43" s="32">
        <v>1000</v>
      </c>
      <c r="R43" s="32">
        <v>50</v>
      </c>
      <c r="S43" s="32">
        <v>350</v>
      </c>
      <c r="T43" s="32">
        <v>3668</v>
      </c>
      <c r="U43" s="32">
        <v>131</v>
      </c>
      <c r="V43" s="32">
        <v>35</v>
      </c>
      <c r="W43" s="32">
        <v>214</v>
      </c>
      <c r="X43" s="32">
        <v>7.15</v>
      </c>
      <c r="Y43" s="32">
        <v>800</v>
      </c>
      <c r="Z43" s="32">
        <v>50</v>
      </c>
      <c r="AA43" s="32">
        <v>350</v>
      </c>
      <c r="AC43" s="18"/>
    </row>
    <row r="44" spans="2:29">
      <c r="B44" s="14">
        <v>38</v>
      </c>
      <c r="C44" s="18">
        <v>25</v>
      </c>
      <c r="E44" s="101">
        <f t="shared" ref="E44" si="60">E40</f>
        <v>2</v>
      </c>
      <c r="F44" s="101">
        <f t="shared" ref="F44" si="61">F40+2</f>
        <v>48</v>
      </c>
      <c r="G44" s="104" t="str">
        <f t="shared" si="3"/>
        <v/>
      </c>
      <c r="H44" s="43">
        <v>3000</v>
      </c>
      <c r="I44" s="43">
        <v>1</v>
      </c>
      <c r="J44" s="43">
        <v>1400</v>
      </c>
      <c r="K44" s="101"/>
      <c r="L44" s="32">
        <v>5832</v>
      </c>
      <c r="M44" s="32">
        <v>121</v>
      </c>
      <c r="N44" s="32">
        <v>55</v>
      </c>
      <c r="O44" s="32">
        <v>195</v>
      </c>
      <c r="P44" s="32">
        <v>6.5</v>
      </c>
      <c r="Q44" s="32">
        <v>1000</v>
      </c>
      <c r="R44" s="32">
        <v>50</v>
      </c>
      <c r="S44" s="32">
        <v>350</v>
      </c>
      <c r="T44" s="32">
        <v>3668</v>
      </c>
      <c r="U44" s="32">
        <v>131</v>
      </c>
      <c r="V44" s="32">
        <v>35</v>
      </c>
      <c r="W44" s="32">
        <v>214</v>
      </c>
      <c r="X44" s="32">
        <v>7.15</v>
      </c>
      <c r="Y44" s="32">
        <v>800</v>
      </c>
      <c r="Z44" s="32">
        <v>50</v>
      </c>
      <c r="AA44" s="32">
        <v>350</v>
      </c>
      <c r="AC44" s="18"/>
    </row>
    <row r="45" spans="2:29">
      <c r="B45" s="14">
        <v>39</v>
      </c>
      <c r="C45" s="18">
        <v>25</v>
      </c>
      <c r="D45" s="43">
        <v>1.72</v>
      </c>
      <c r="E45" s="101">
        <f t="shared" ref="E45" si="62">E41</f>
        <v>3</v>
      </c>
      <c r="F45" s="101">
        <f t="shared" ref="F45" si="63">INT(D45)</f>
        <v>1</v>
      </c>
      <c r="G45" s="104" t="str">
        <f t="shared" si="3"/>
        <v>301,302,303,304</v>
      </c>
      <c r="H45" s="43">
        <v>3000</v>
      </c>
      <c r="I45" s="43">
        <v>2</v>
      </c>
      <c r="J45" s="43">
        <v>90</v>
      </c>
      <c r="K45" s="101"/>
      <c r="L45" s="32">
        <v>5832</v>
      </c>
      <c r="M45" s="32">
        <v>121</v>
      </c>
      <c r="N45" s="32">
        <v>55</v>
      </c>
      <c r="O45" s="32">
        <v>195</v>
      </c>
      <c r="P45" s="32">
        <v>6.5</v>
      </c>
      <c r="Q45" s="32">
        <v>1000</v>
      </c>
      <c r="R45" s="32">
        <v>50</v>
      </c>
      <c r="S45" s="32">
        <v>350</v>
      </c>
      <c r="T45" s="32">
        <v>3668</v>
      </c>
      <c r="U45" s="32">
        <v>131</v>
      </c>
      <c r="V45" s="32">
        <v>35</v>
      </c>
      <c r="W45" s="32">
        <v>214</v>
      </c>
      <c r="X45" s="32">
        <v>7.15</v>
      </c>
      <c r="Y45" s="32">
        <v>800</v>
      </c>
      <c r="Z45" s="32">
        <v>50</v>
      </c>
      <c r="AA45" s="32">
        <v>350</v>
      </c>
      <c r="AC45" s="18"/>
    </row>
    <row r="46" spans="2:29">
      <c r="B46" s="14">
        <v>40</v>
      </c>
      <c r="C46" s="18">
        <v>25</v>
      </c>
      <c r="D46" s="43"/>
      <c r="E46" s="101">
        <f t="shared" ref="E46:F46" si="64">E42</f>
        <v>4</v>
      </c>
      <c r="F46" s="101">
        <f t="shared" si="64"/>
        <v>1</v>
      </c>
      <c r="G46" s="104" t="str">
        <f t="shared" si="3"/>
        <v>111,110,109,108,107,106,105,104,103,102,101</v>
      </c>
      <c r="H46" s="43">
        <v>3000</v>
      </c>
      <c r="I46" s="43">
        <v>3</v>
      </c>
      <c r="J46" s="43">
        <v>1</v>
      </c>
      <c r="K46" s="100" t="str">
        <f t="shared" ref="K46" si="65">K43</f>
        <v>301,302,303,304</v>
      </c>
      <c r="L46" s="32">
        <v>5832</v>
      </c>
      <c r="M46" s="32">
        <v>121</v>
      </c>
      <c r="N46" s="32">
        <v>55</v>
      </c>
      <c r="O46" s="32">
        <v>195</v>
      </c>
      <c r="P46" s="32">
        <v>6.5</v>
      </c>
      <c r="Q46" s="32">
        <v>1000</v>
      </c>
      <c r="R46" s="32">
        <v>50</v>
      </c>
      <c r="S46" s="32">
        <v>350</v>
      </c>
      <c r="T46" s="32">
        <v>3668</v>
      </c>
      <c r="U46" s="32">
        <v>131</v>
      </c>
      <c r="V46" s="32">
        <v>35</v>
      </c>
      <c r="W46" s="32">
        <v>214</v>
      </c>
      <c r="X46" s="32">
        <v>7.15</v>
      </c>
      <c r="Y46" s="32">
        <v>800</v>
      </c>
      <c r="Z46" s="32">
        <v>50</v>
      </c>
      <c r="AA46" s="32">
        <v>350</v>
      </c>
      <c r="AC46" s="18"/>
    </row>
    <row r="47" spans="2:29">
      <c r="B47" s="14">
        <v>41</v>
      </c>
      <c r="C47" s="18">
        <v>25</v>
      </c>
      <c r="D47" s="43"/>
      <c r="E47" s="101">
        <f t="shared" ref="E47" si="66">E43</f>
        <v>1</v>
      </c>
      <c r="F47" s="101">
        <f t="shared" ref="F47" si="67">F43+10</f>
        <v>300</v>
      </c>
      <c r="G47" s="104" t="str">
        <f t="shared" si="3"/>
        <v/>
      </c>
      <c r="H47" s="43">
        <v>3000</v>
      </c>
      <c r="I47" s="43">
        <v>1</v>
      </c>
      <c r="J47" s="43">
        <v>1500</v>
      </c>
      <c r="K47" s="101"/>
      <c r="L47" s="32">
        <v>5832</v>
      </c>
      <c r="M47" s="32">
        <v>121</v>
      </c>
      <c r="N47" s="32">
        <v>55</v>
      </c>
      <c r="O47" s="32">
        <v>195</v>
      </c>
      <c r="P47" s="32">
        <v>6.5</v>
      </c>
      <c r="Q47" s="32">
        <v>1000</v>
      </c>
      <c r="R47" s="32">
        <v>50</v>
      </c>
      <c r="S47" s="32">
        <v>350</v>
      </c>
      <c r="T47" s="32">
        <v>3668</v>
      </c>
      <c r="U47" s="32">
        <v>131</v>
      </c>
      <c r="V47" s="32">
        <v>35</v>
      </c>
      <c r="W47" s="32">
        <v>214</v>
      </c>
      <c r="X47" s="32">
        <v>7.15</v>
      </c>
      <c r="Y47" s="32">
        <v>800</v>
      </c>
      <c r="Z47" s="32">
        <v>50</v>
      </c>
      <c r="AA47" s="32">
        <v>350</v>
      </c>
      <c r="AC47" s="18"/>
    </row>
    <row r="48" spans="2:29">
      <c r="B48" s="14">
        <v>42</v>
      </c>
      <c r="C48" s="18">
        <v>25</v>
      </c>
      <c r="D48" s="43"/>
      <c r="E48" s="101">
        <f t="shared" ref="E48" si="68">E44</f>
        <v>2</v>
      </c>
      <c r="F48" s="101">
        <f t="shared" ref="F48" si="69">F44+2</f>
        <v>50</v>
      </c>
      <c r="G48" s="104" t="str">
        <f t="shared" si="3"/>
        <v/>
      </c>
      <c r="H48" s="43">
        <v>3000</v>
      </c>
      <c r="I48" s="43">
        <v>2</v>
      </c>
      <c r="J48" s="43">
        <v>95</v>
      </c>
      <c r="K48" s="101"/>
      <c r="L48" s="32">
        <v>5832</v>
      </c>
      <c r="M48" s="32">
        <v>121</v>
      </c>
      <c r="N48" s="32">
        <v>55</v>
      </c>
      <c r="O48" s="32">
        <v>195</v>
      </c>
      <c r="P48" s="32">
        <v>6.5</v>
      </c>
      <c r="Q48" s="32">
        <v>1000</v>
      </c>
      <c r="R48" s="32">
        <v>50</v>
      </c>
      <c r="S48" s="32">
        <v>350</v>
      </c>
      <c r="T48" s="32">
        <v>3668</v>
      </c>
      <c r="U48" s="32">
        <v>131</v>
      </c>
      <c r="V48" s="32">
        <v>35</v>
      </c>
      <c r="W48" s="32">
        <v>214</v>
      </c>
      <c r="X48" s="32">
        <v>7.15</v>
      </c>
      <c r="Y48" s="32">
        <v>800</v>
      </c>
      <c r="Z48" s="32">
        <v>50</v>
      </c>
      <c r="AA48" s="32">
        <v>350</v>
      </c>
      <c r="AC48" s="18"/>
    </row>
    <row r="49" spans="2:29">
      <c r="B49" s="14">
        <v>43</v>
      </c>
      <c r="C49" s="18">
        <v>25</v>
      </c>
      <c r="D49" s="43">
        <v>1.8</v>
      </c>
      <c r="E49" s="101">
        <f t="shared" ref="E49" si="70">E45</f>
        <v>3</v>
      </c>
      <c r="F49" s="101">
        <f t="shared" ref="F49" si="71">INT(D49)</f>
        <v>1</v>
      </c>
      <c r="G49" s="104" t="str">
        <f t="shared" si="3"/>
        <v>301,302,303,304</v>
      </c>
      <c r="H49" s="43">
        <v>3000</v>
      </c>
      <c r="I49" s="43">
        <v>3</v>
      </c>
      <c r="J49" s="43">
        <v>1</v>
      </c>
      <c r="K49" s="100" t="str">
        <f t="shared" ref="K49" si="72">K46</f>
        <v>301,302,303,304</v>
      </c>
      <c r="L49" s="32">
        <v>5832</v>
      </c>
      <c r="M49" s="32">
        <v>121</v>
      </c>
      <c r="N49" s="32">
        <v>55</v>
      </c>
      <c r="O49" s="32">
        <v>195</v>
      </c>
      <c r="P49" s="32">
        <v>6.5</v>
      </c>
      <c r="Q49" s="32">
        <v>1000</v>
      </c>
      <c r="R49" s="32">
        <v>50</v>
      </c>
      <c r="S49" s="32">
        <v>350</v>
      </c>
      <c r="T49" s="32">
        <v>3668</v>
      </c>
      <c r="U49" s="32">
        <v>131</v>
      </c>
      <c r="V49" s="32">
        <v>35</v>
      </c>
      <c r="W49" s="32">
        <v>214</v>
      </c>
      <c r="X49" s="32">
        <v>7.15</v>
      </c>
      <c r="Y49" s="32">
        <v>800</v>
      </c>
      <c r="Z49" s="32">
        <v>50</v>
      </c>
      <c r="AA49" s="32">
        <v>350</v>
      </c>
      <c r="AC49" s="18"/>
    </row>
    <row r="50" spans="2:29">
      <c r="B50" s="14">
        <v>44</v>
      </c>
      <c r="C50" s="18">
        <v>25</v>
      </c>
      <c r="D50" s="43"/>
      <c r="E50" s="101">
        <f t="shared" ref="E50:F50" si="73">E46</f>
        <v>4</v>
      </c>
      <c r="F50" s="101">
        <f t="shared" si="73"/>
        <v>1</v>
      </c>
      <c r="G50" s="104" t="str">
        <f t="shared" si="3"/>
        <v>111,110,109,108,107,106,105,104,103,102,101</v>
      </c>
      <c r="H50" s="43">
        <v>3000</v>
      </c>
      <c r="I50" s="43">
        <v>1</v>
      </c>
      <c r="J50" s="43">
        <v>1600</v>
      </c>
      <c r="K50" s="101"/>
      <c r="L50" s="32">
        <v>5832</v>
      </c>
      <c r="M50" s="32">
        <v>121</v>
      </c>
      <c r="N50" s="32">
        <v>55</v>
      </c>
      <c r="O50" s="32">
        <v>195</v>
      </c>
      <c r="P50" s="32">
        <v>6.5</v>
      </c>
      <c r="Q50" s="32">
        <v>1000</v>
      </c>
      <c r="R50" s="32">
        <v>50</v>
      </c>
      <c r="S50" s="32">
        <v>350</v>
      </c>
      <c r="T50" s="32">
        <v>3668</v>
      </c>
      <c r="U50" s="32">
        <v>131</v>
      </c>
      <c r="V50" s="32">
        <v>35</v>
      </c>
      <c r="W50" s="32">
        <v>214</v>
      </c>
      <c r="X50" s="32">
        <v>7.15</v>
      </c>
      <c r="Y50" s="32">
        <v>800</v>
      </c>
      <c r="Z50" s="32">
        <v>50</v>
      </c>
      <c r="AA50" s="32">
        <v>350</v>
      </c>
      <c r="AC50" s="18"/>
    </row>
    <row r="51" spans="2:29">
      <c r="B51" s="14">
        <v>45</v>
      </c>
      <c r="C51" s="18">
        <v>25</v>
      </c>
      <c r="D51" s="43"/>
      <c r="E51" s="101">
        <f t="shared" ref="E51" si="74">E47</f>
        <v>1</v>
      </c>
      <c r="F51" s="101">
        <f t="shared" ref="F51" si="75">F47+10</f>
        <v>310</v>
      </c>
      <c r="G51" s="104" t="str">
        <f t="shared" si="3"/>
        <v/>
      </c>
      <c r="H51" s="43">
        <v>3000</v>
      </c>
      <c r="I51" s="43">
        <v>2</v>
      </c>
      <c r="J51" s="43">
        <v>100</v>
      </c>
      <c r="K51" s="101"/>
      <c r="L51" s="32">
        <v>5832</v>
      </c>
      <c r="M51" s="32">
        <v>121</v>
      </c>
      <c r="N51" s="32">
        <v>55</v>
      </c>
      <c r="O51" s="32">
        <v>195</v>
      </c>
      <c r="P51" s="32">
        <v>6.5</v>
      </c>
      <c r="Q51" s="32">
        <v>1000</v>
      </c>
      <c r="R51" s="32">
        <v>50</v>
      </c>
      <c r="S51" s="32">
        <v>350</v>
      </c>
      <c r="T51" s="32">
        <v>3668</v>
      </c>
      <c r="U51" s="32">
        <v>131</v>
      </c>
      <c r="V51" s="32">
        <v>35</v>
      </c>
      <c r="W51" s="32">
        <v>214</v>
      </c>
      <c r="X51" s="32">
        <v>7.15</v>
      </c>
      <c r="Y51" s="32">
        <v>800</v>
      </c>
      <c r="Z51" s="32">
        <v>50</v>
      </c>
      <c r="AA51" s="32">
        <v>350</v>
      </c>
      <c r="AC51" s="18"/>
    </row>
    <row r="52" spans="2:29">
      <c r="B52" s="14">
        <v>46</v>
      </c>
      <c r="C52" s="18">
        <v>25</v>
      </c>
      <c r="E52" s="101">
        <f t="shared" ref="E52" si="76">E48</f>
        <v>2</v>
      </c>
      <c r="F52" s="101">
        <f t="shared" ref="F52" si="77">F48+2</f>
        <v>52</v>
      </c>
      <c r="G52" s="104" t="str">
        <f t="shared" si="3"/>
        <v/>
      </c>
      <c r="H52" s="43">
        <v>3000</v>
      </c>
      <c r="I52" s="43">
        <v>3</v>
      </c>
      <c r="J52" s="43">
        <v>1</v>
      </c>
      <c r="K52" s="100" t="str">
        <f t="shared" ref="K52" si="78">K49</f>
        <v>301,302,303,304</v>
      </c>
      <c r="L52" s="32">
        <v>5832</v>
      </c>
      <c r="M52" s="32">
        <v>121</v>
      </c>
      <c r="N52" s="32">
        <v>55</v>
      </c>
      <c r="O52" s="32">
        <v>195</v>
      </c>
      <c r="P52" s="32">
        <v>6.5</v>
      </c>
      <c r="Q52" s="32">
        <v>1000</v>
      </c>
      <c r="R52" s="32">
        <v>50</v>
      </c>
      <c r="S52" s="32">
        <v>350</v>
      </c>
      <c r="T52" s="32">
        <v>3668</v>
      </c>
      <c r="U52" s="32">
        <v>131</v>
      </c>
      <c r="V52" s="32">
        <v>35</v>
      </c>
      <c r="W52" s="32">
        <v>214</v>
      </c>
      <c r="X52" s="32">
        <v>7.15</v>
      </c>
      <c r="Y52" s="32">
        <v>800</v>
      </c>
      <c r="Z52" s="32">
        <v>50</v>
      </c>
      <c r="AA52" s="32">
        <v>350</v>
      </c>
      <c r="AC52" s="18"/>
    </row>
    <row r="53" spans="2:29">
      <c r="B53" s="14">
        <v>47</v>
      </c>
      <c r="C53" s="18">
        <v>25</v>
      </c>
      <c r="D53" s="43">
        <v>1.88</v>
      </c>
      <c r="E53" s="101">
        <f t="shared" ref="E53" si="79">E49</f>
        <v>3</v>
      </c>
      <c r="F53" s="101">
        <f t="shared" ref="F53" si="80">INT(D53)</f>
        <v>1</v>
      </c>
      <c r="G53" s="104" t="str">
        <f t="shared" si="3"/>
        <v>301,302,303,304</v>
      </c>
      <c r="H53" s="43">
        <v>3000</v>
      </c>
      <c r="I53" s="43">
        <v>1</v>
      </c>
      <c r="J53" s="43">
        <v>1700</v>
      </c>
      <c r="K53" s="101"/>
      <c r="L53" s="32">
        <v>5832</v>
      </c>
      <c r="M53" s="32">
        <v>121</v>
      </c>
      <c r="N53" s="32">
        <v>55</v>
      </c>
      <c r="O53" s="32">
        <v>195</v>
      </c>
      <c r="P53" s="32">
        <v>6.5</v>
      </c>
      <c r="Q53" s="32">
        <v>1000</v>
      </c>
      <c r="R53" s="32">
        <v>50</v>
      </c>
      <c r="S53" s="32">
        <v>350</v>
      </c>
      <c r="T53" s="32">
        <v>3668</v>
      </c>
      <c r="U53" s="32">
        <v>131</v>
      </c>
      <c r="V53" s="32">
        <v>35</v>
      </c>
      <c r="W53" s="32">
        <v>214</v>
      </c>
      <c r="X53" s="32">
        <v>7.15</v>
      </c>
      <c r="Y53" s="32">
        <v>800</v>
      </c>
      <c r="Z53" s="32">
        <v>50</v>
      </c>
      <c r="AA53" s="32">
        <v>350</v>
      </c>
      <c r="AC53" s="18"/>
    </row>
    <row r="54" spans="2:29">
      <c r="B54" s="14">
        <v>48</v>
      </c>
      <c r="C54" s="18">
        <v>25</v>
      </c>
      <c r="D54" s="43"/>
      <c r="E54" s="101">
        <f t="shared" ref="E54:F54" si="81">E50</f>
        <v>4</v>
      </c>
      <c r="F54" s="101">
        <f t="shared" si="81"/>
        <v>1</v>
      </c>
      <c r="G54" s="104" t="str">
        <f t="shared" si="3"/>
        <v>111,110,109,108,107,106,105,104,103,102,101</v>
      </c>
      <c r="H54" s="43">
        <v>3000</v>
      </c>
      <c r="I54" s="43">
        <v>2</v>
      </c>
      <c r="J54" s="43">
        <v>105</v>
      </c>
      <c r="K54" s="101"/>
      <c r="L54" s="32">
        <v>5832</v>
      </c>
      <c r="M54" s="32">
        <v>121</v>
      </c>
      <c r="N54" s="32">
        <v>55</v>
      </c>
      <c r="O54" s="32">
        <v>195</v>
      </c>
      <c r="P54" s="32">
        <v>6.5</v>
      </c>
      <c r="Q54" s="32">
        <v>1000</v>
      </c>
      <c r="R54" s="32">
        <v>50</v>
      </c>
      <c r="S54" s="32">
        <v>350</v>
      </c>
      <c r="T54" s="32">
        <v>3668</v>
      </c>
      <c r="U54" s="32">
        <v>131</v>
      </c>
      <c r="V54" s="32">
        <v>35</v>
      </c>
      <c r="W54" s="32">
        <v>214</v>
      </c>
      <c r="X54" s="32">
        <v>7.15</v>
      </c>
      <c r="Y54" s="32">
        <v>800</v>
      </c>
      <c r="Z54" s="32">
        <v>50</v>
      </c>
      <c r="AA54" s="32">
        <v>350</v>
      </c>
      <c r="AC54" s="18"/>
    </row>
    <row r="55" spans="2:29">
      <c r="B55" s="14">
        <v>49</v>
      </c>
      <c r="C55" s="18">
        <v>25</v>
      </c>
      <c r="D55" s="43"/>
      <c r="E55" s="101">
        <f t="shared" ref="E55" si="82">E51</f>
        <v>1</v>
      </c>
      <c r="F55" s="101">
        <f t="shared" ref="F55" si="83">F51+10</f>
        <v>320</v>
      </c>
      <c r="G55" s="104" t="str">
        <f t="shared" si="3"/>
        <v/>
      </c>
      <c r="H55" s="43">
        <v>3000</v>
      </c>
      <c r="I55" s="43">
        <v>3</v>
      </c>
      <c r="J55" s="43">
        <v>1</v>
      </c>
      <c r="K55" s="100" t="str">
        <f t="shared" ref="K55" si="84">K52</f>
        <v>301,302,303,304</v>
      </c>
      <c r="L55" s="32">
        <v>5832</v>
      </c>
      <c r="M55" s="32">
        <v>121</v>
      </c>
      <c r="N55" s="32">
        <v>55</v>
      </c>
      <c r="O55" s="32">
        <v>195</v>
      </c>
      <c r="P55" s="32">
        <v>6.5</v>
      </c>
      <c r="Q55" s="32">
        <v>1000</v>
      </c>
      <c r="R55" s="32">
        <v>50</v>
      </c>
      <c r="S55" s="32">
        <v>350</v>
      </c>
      <c r="T55" s="32">
        <v>3668</v>
      </c>
      <c r="U55" s="32">
        <v>131</v>
      </c>
      <c r="V55" s="32">
        <v>35</v>
      </c>
      <c r="W55" s="32">
        <v>214</v>
      </c>
      <c r="X55" s="32">
        <v>7.15</v>
      </c>
      <c r="Y55" s="32">
        <v>800</v>
      </c>
      <c r="Z55" s="32">
        <v>50</v>
      </c>
      <c r="AA55" s="32">
        <v>350</v>
      </c>
      <c r="AC55" s="18"/>
    </row>
    <row r="56" spans="2:29">
      <c r="B56" s="14">
        <v>50</v>
      </c>
      <c r="C56" s="18">
        <v>25</v>
      </c>
      <c r="D56" s="43"/>
      <c r="E56" s="101">
        <f t="shared" ref="E56" si="85">E52</f>
        <v>2</v>
      </c>
      <c r="F56" s="101">
        <f t="shared" ref="F56" si="86">F52+2</f>
        <v>54</v>
      </c>
      <c r="G56" s="104" t="str">
        <f t="shared" si="3"/>
        <v/>
      </c>
      <c r="H56" s="43">
        <v>3000</v>
      </c>
      <c r="I56" s="43">
        <v>1</v>
      </c>
      <c r="J56" s="43">
        <v>1800</v>
      </c>
      <c r="K56" s="101"/>
      <c r="L56" s="32">
        <v>5832</v>
      </c>
      <c r="M56" s="32">
        <v>121</v>
      </c>
      <c r="N56" s="32">
        <v>55</v>
      </c>
      <c r="O56" s="32">
        <v>195</v>
      </c>
      <c r="P56" s="32">
        <v>6.5</v>
      </c>
      <c r="Q56" s="32">
        <v>1000</v>
      </c>
      <c r="R56" s="32">
        <v>50</v>
      </c>
      <c r="S56" s="32">
        <v>350</v>
      </c>
      <c r="T56" s="32">
        <v>3668</v>
      </c>
      <c r="U56" s="32">
        <v>131</v>
      </c>
      <c r="V56" s="32">
        <v>35</v>
      </c>
      <c r="W56" s="32">
        <v>214</v>
      </c>
      <c r="X56" s="32">
        <v>7.15</v>
      </c>
      <c r="Y56" s="32">
        <v>800</v>
      </c>
      <c r="Z56" s="32">
        <v>50</v>
      </c>
      <c r="AA56" s="32">
        <v>350</v>
      </c>
      <c r="AC56" s="18"/>
    </row>
    <row r="57" spans="2:29">
      <c r="B57" s="14">
        <v>51</v>
      </c>
      <c r="C57" s="18">
        <v>25</v>
      </c>
      <c r="D57" s="43">
        <v>1.96</v>
      </c>
      <c r="E57" s="101">
        <f t="shared" ref="E57" si="87">E53</f>
        <v>3</v>
      </c>
      <c r="F57" s="101">
        <f t="shared" ref="F57" si="88">INT(D57)</f>
        <v>1</v>
      </c>
      <c r="G57" s="104" t="str">
        <f t="shared" si="3"/>
        <v>301,302,303,304</v>
      </c>
      <c r="H57" s="43">
        <v>3000</v>
      </c>
      <c r="I57" s="43">
        <v>2</v>
      </c>
      <c r="J57" s="43">
        <v>110</v>
      </c>
      <c r="K57" s="101"/>
      <c r="L57" s="32">
        <v>5832</v>
      </c>
      <c r="M57" s="32">
        <v>121</v>
      </c>
      <c r="N57" s="32">
        <v>55</v>
      </c>
      <c r="O57" s="32">
        <v>195</v>
      </c>
      <c r="P57" s="32">
        <v>6.5</v>
      </c>
      <c r="Q57" s="32">
        <v>1000</v>
      </c>
      <c r="R57" s="32">
        <v>50</v>
      </c>
      <c r="S57" s="32">
        <v>350</v>
      </c>
      <c r="T57" s="32">
        <v>3668</v>
      </c>
      <c r="U57" s="32">
        <v>131</v>
      </c>
      <c r="V57" s="32">
        <v>35</v>
      </c>
      <c r="W57" s="32">
        <v>214</v>
      </c>
      <c r="X57" s="32">
        <v>7.15</v>
      </c>
      <c r="Y57" s="32">
        <v>800</v>
      </c>
      <c r="Z57" s="32">
        <v>50</v>
      </c>
      <c r="AA57" s="32">
        <v>350</v>
      </c>
      <c r="AC57" s="18"/>
    </row>
    <row r="58" spans="2:29">
      <c r="B58" s="14">
        <v>52</v>
      </c>
      <c r="C58" s="18">
        <v>25</v>
      </c>
      <c r="D58" s="43"/>
      <c r="E58" s="101">
        <f t="shared" ref="E58:F58" si="89">E54</f>
        <v>4</v>
      </c>
      <c r="F58" s="101">
        <f t="shared" si="89"/>
        <v>1</v>
      </c>
      <c r="G58" s="104" t="str">
        <f t="shared" si="3"/>
        <v>111,110,109,108,107,106,105,104,103,102,101</v>
      </c>
      <c r="H58" s="43">
        <v>3000</v>
      </c>
      <c r="I58" s="43">
        <v>3</v>
      </c>
      <c r="J58" s="43">
        <v>1</v>
      </c>
      <c r="K58" s="100" t="str">
        <f t="shared" ref="K58" si="90">K55</f>
        <v>301,302,303,304</v>
      </c>
      <c r="L58" s="32">
        <v>5832</v>
      </c>
      <c r="M58" s="32">
        <v>121</v>
      </c>
      <c r="N58" s="32">
        <v>55</v>
      </c>
      <c r="O58" s="32">
        <v>195</v>
      </c>
      <c r="P58" s="32">
        <v>6.5</v>
      </c>
      <c r="Q58" s="32">
        <v>1000</v>
      </c>
      <c r="R58" s="32">
        <v>50</v>
      </c>
      <c r="S58" s="32">
        <v>350</v>
      </c>
      <c r="T58" s="32">
        <v>3668</v>
      </c>
      <c r="U58" s="32">
        <v>131</v>
      </c>
      <c r="V58" s="32">
        <v>35</v>
      </c>
      <c r="W58" s="32">
        <v>214</v>
      </c>
      <c r="X58" s="32">
        <v>7.15</v>
      </c>
      <c r="Y58" s="32">
        <v>800</v>
      </c>
      <c r="Z58" s="32">
        <v>50</v>
      </c>
      <c r="AA58" s="32">
        <v>350</v>
      </c>
      <c r="AC58" s="18"/>
    </row>
    <row r="59" spans="2:29">
      <c r="B59" s="14">
        <v>53</v>
      </c>
      <c r="C59" s="18">
        <v>25</v>
      </c>
      <c r="D59" s="43"/>
      <c r="E59" s="101">
        <f t="shared" ref="E59" si="91">E55</f>
        <v>1</v>
      </c>
      <c r="F59" s="101">
        <f t="shared" ref="F59" si="92">F55+10</f>
        <v>330</v>
      </c>
      <c r="G59" s="104" t="str">
        <f t="shared" si="3"/>
        <v/>
      </c>
      <c r="H59" s="43">
        <v>3000</v>
      </c>
      <c r="I59" s="43">
        <v>1</v>
      </c>
      <c r="J59" s="43">
        <v>1900</v>
      </c>
      <c r="K59" s="101"/>
      <c r="L59" s="32">
        <v>5832</v>
      </c>
      <c r="M59" s="32">
        <v>121</v>
      </c>
      <c r="N59" s="32">
        <v>55</v>
      </c>
      <c r="O59" s="32">
        <v>195</v>
      </c>
      <c r="P59" s="32">
        <v>6.5</v>
      </c>
      <c r="Q59" s="32">
        <v>1000</v>
      </c>
      <c r="R59" s="32">
        <v>50</v>
      </c>
      <c r="S59" s="32">
        <v>350</v>
      </c>
      <c r="T59" s="32">
        <v>3668</v>
      </c>
      <c r="U59" s="32">
        <v>131</v>
      </c>
      <c r="V59" s="32">
        <v>35</v>
      </c>
      <c r="W59" s="32">
        <v>214</v>
      </c>
      <c r="X59" s="32">
        <v>7.15</v>
      </c>
      <c r="Y59" s="32">
        <v>800</v>
      </c>
      <c r="Z59" s="32">
        <v>50</v>
      </c>
      <c r="AA59" s="32">
        <v>350</v>
      </c>
      <c r="AC59" s="18"/>
    </row>
    <row r="60" spans="2:29">
      <c r="B60" s="14">
        <v>54</v>
      </c>
      <c r="C60" s="18">
        <v>25</v>
      </c>
      <c r="E60" s="101">
        <f t="shared" ref="E60" si="93">E56</f>
        <v>2</v>
      </c>
      <c r="F60" s="101">
        <f t="shared" ref="F60" si="94">F56+2</f>
        <v>56</v>
      </c>
      <c r="G60" s="104" t="str">
        <f t="shared" si="3"/>
        <v/>
      </c>
      <c r="H60" s="43">
        <v>3000</v>
      </c>
      <c r="I60" s="43">
        <v>2</v>
      </c>
      <c r="J60" s="43">
        <v>115</v>
      </c>
      <c r="K60" s="101"/>
      <c r="L60" s="32">
        <v>5832</v>
      </c>
      <c r="M60" s="32">
        <v>121</v>
      </c>
      <c r="N60" s="32">
        <v>55</v>
      </c>
      <c r="O60" s="32">
        <v>195</v>
      </c>
      <c r="P60" s="32">
        <v>6.5</v>
      </c>
      <c r="Q60" s="32">
        <v>1000</v>
      </c>
      <c r="R60" s="32">
        <v>50</v>
      </c>
      <c r="S60" s="32">
        <v>350</v>
      </c>
      <c r="T60" s="32">
        <v>3668</v>
      </c>
      <c r="U60" s="32">
        <v>131</v>
      </c>
      <c r="V60" s="32">
        <v>35</v>
      </c>
      <c r="W60" s="32">
        <v>214</v>
      </c>
      <c r="X60" s="32">
        <v>7.15</v>
      </c>
      <c r="Y60" s="32">
        <v>800</v>
      </c>
      <c r="Z60" s="32">
        <v>50</v>
      </c>
      <c r="AA60" s="32">
        <v>350</v>
      </c>
      <c r="AC60" s="18"/>
    </row>
    <row r="61" spans="2:29">
      <c r="B61" s="14">
        <v>55</v>
      </c>
      <c r="C61" s="18">
        <v>25</v>
      </c>
      <c r="D61" s="43">
        <v>2.04</v>
      </c>
      <c r="E61" s="101">
        <f t="shared" ref="E61" si="95">E57</f>
        <v>3</v>
      </c>
      <c r="F61" s="101">
        <f t="shared" ref="F61" si="96">INT(D61)</f>
        <v>2</v>
      </c>
      <c r="G61" s="104" t="str">
        <f t="shared" si="3"/>
        <v>301,302,303,304</v>
      </c>
      <c r="H61" s="43">
        <v>3000</v>
      </c>
      <c r="I61" s="43">
        <v>3</v>
      </c>
      <c r="J61" s="43">
        <v>1</v>
      </c>
      <c r="K61" s="100" t="str">
        <f t="shared" ref="K61" si="97">K58</f>
        <v>301,302,303,304</v>
      </c>
      <c r="L61" s="32">
        <v>5832</v>
      </c>
      <c r="M61" s="32">
        <v>121</v>
      </c>
      <c r="N61" s="32">
        <v>55</v>
      </c>
      <c r="O61" s="32">
        <v>195</v>
      </c>
      <c r="P61" s="32">
        <v>6.5</v>
      </c>
      <c r="Q61" s="32">
        <v>1000</v>
      </c>
      <c r="R61" s="32">
        <v>50</v>
      </c>
      <c r="S61" s="32">
        <v>350</v>
      </c>
      <c r="T61" s="32">
        <v>3668</v>
      </c>
      <c r="U61" s="32">
        <v>131</v>
      </c>
      <c r="V61" s="32">
        <v>35</v>
      </c>
      <c r="W61" s="32">
        <v>214</v>
      </c>
      <c r="X61" s="32">
        <v>7.15</v>
      </c>
      <c r="Y61" s="32">
        <v>800</v>
      </c>
      <c r="Z61" s="32">
        <v>50</v>
      </c>
      <c r="AA61" s="32">
        <v>350</v>
      </c>
      <c r="AC61" s="18"/>
    </row>
    <row r="62" spans="2:29">
      <c r="B62" s="14">
        <v>56</v>
      </c>
      <c r="C62" s="18">
        <v>25</v>
      </c>
      <c r="D62" s="43"/>
      <c r="E62" s="101">
        <f t="shared" ref="E62:F62" si="98">E58</f>
        <v>4</v>
      </c>
      <c r="F62" s="101">
        <f t="shared" si="98"/>
        <v>1</v>
      </c>
      <c r="G62" s="104" t="str">
        <f t="shared" si="3"/>
        <v>111,110,109,108,107,106,105,104,103,102,101</v>
      </c>
      <c r="H62" s="43">
        <v>3000</v>
      </c>
      <c r="I62" s="43">
        <v>1</v>
      </c>
      <c r="J62" s="43">
        <v>2000</v>
      </c>
      <c r="K62" s="101"/>
      <c r="L62" s="32">
        <v>5832</v>
      </c>
      <c r="M62" s="32">
        <v>121</v>
      </c>
      <c r="N62" s="32">
        <v>55</v>
      </c>
      <c r="O62" s="32">
        <v>195</v>
      </c>
      <c r="P62" s="32">
        <v>6.5</v>
      </c>
      <c r="Q62" s="32">
        <v>1000</v>
      </c>
      <c r="R62" s="32">
        <v>50</v>
      </c>
      <c r="S62" s="32">
        <v>350</v>
      </c>
      <c r="T62" s="32">
        <v>3668</v>
      </c>
      <c r="U62" s="32">
        <v>131</v>
      </c>
      <c r="V62" s="32">
        <v>35</v>
      </c>
      <c r="W62" s="32">
        <v>214</v>
      </c>
      <c r="X62" s="32">
        <v>7.15</v>
      </c>
      <c r="Y62" s="32">
        <v>800</v>
      </c>
      <c r="Z62" s="32">
        <v>50</v>
      </c>
      <c r="AA62" s="32">
        <v>350</v>
      </c>
      <c r="AC62" s="18"/>
    </row>
    <row r="63" spans="2:29">
      <c r="B63" s="14">
        <v>57</v>
      </c>
      <c r="C63" s="18">
        <v>25</v>
      </c>
      <c r="D63" s="43"/>
      <c r="E63" s="101">
        <f t="shared" ref="E63" si="99">E59</f>
        <v>1</v>
      </c>
      <c r="F63" s="101">
        <f t="shared" ref="F63" si="100">F59+10</f>
        <v>340</v>
      </c>
      <c r="G63" s="104" t="str">
        <f t="shared" si="3"/>
        <v/>
      </c>
      <c r="H63" s="43">
        <v>3000</v>
      </c>
      <c r="I63" s="43">
        <v>2</v>
      </c>
      <c r="J63" s="43">
        <v>120</v>
      </c>
      <c r="K63" s="101"/>
      <c r="L63" s="32">
        <v>5832</v>
      </c>
      <c r="M63" s="32">
        <v>121</v>
      </c>
      <c r="N63" s="32">
        <v>55</v>
      </c>
      <c r="O63" s="32">
        <v>195</v>
      </c>
      <c r="P63" s="32">
        <v>6.5</v>
      </c>
      <c r="Q63" s="32">
        <v>1000</v>
      </c>
      <c r="R63" s="32">
        <v>50</v>
      </c>
      <c r="S63" s="32">
        <v>350</v>
      </c>
      <c r="T63" s="32">
        <v>3668</v>
      </c>
      <c r="U63" s="32">
        <v>131</v>
      </c>
      <c r="V63" s="32">
        <v>35</v>
      </c>
      <c r="W63" s="32">
        <v>214</v>
      </c>
      <c r="X63" s="32">
        <v>7.15</v>
      </c>
      <c r="Y63" s="32">
        <v>800</v>
      </c>
      <c r="Z63" s="32">
        <v>50</v>
      </c>
      <c r="AA63" s="32">
        <v>350</v>
      </c>
      <c r="AC63" s="18"/>
    </row>
    <row r="64" spans="2:29">
      <c r="B64" s="14">
        <v>58</v>
      </c>
      <c r="C64" s="18">
        <v>25</v>
      </c>
      <c r="D64" s="43"/>
      <c r="E64" s="101">
        <f t="shared" ref="E64" si="101">E60</f>
        <v>2</v>
      </c>
      <c r="F64" s="101">
        <f t="shared" ref="F64" si="102">F60+2</f>
        <v>58</v>
      </c>
      <c r="G64" s="104" t="str">
        <f t="shared" si="3"/>
        <v/>
      </c>
      <c r="H64" s="43">
        <v>3000</v>
      </c>
      <c r="I64" s="43">
        <v>3</v>
      </c>
      <c r="J64" s="43">
        <v>1</v>
      </c>
      <c r="K64" s="100" t="str">
        <f t="shared" ref="K64" si="103">K61</f>
        <v>301,302,303,304</v>
      </c>
      <c r="L64" s="32">
        <v>5832</v>
      </c>
      <c r="M64" s="32">
        <v>121</v>
      </c>
      <c r="N64" s="32">
        <v>55</v>
      </c>
      <c r="O64" s="32">
        <v>195</v>
      </c>
      <c r="P64" s="32">
        <v>6.5</v>
      </c>
      <c r="Q64" s="32">
        <v>1000</v>
      </c>
      <c r="R64" s="32">
        <v>50</v>
      </c>
      <c r="S64" s="32">
        <v>350</v>
      </c>
      <c r="T64" s="32">
        <v>3668</v>
      </c>
      <c r="U64" s="32">
        <v>131</v>
      </c>
      <c r="V64" s="32">
        <v>35</v>
      </c>
      <c r="W64" s="32">
        <v>214</v>
      </c>
      <c r="X64" s="32">
        <v>7.15</v>
      </c>
      <c r="Y64" s="32">
        <v>800</v>
      </c>
      <c r="Z64" s="32">
        <v>50</v>
      </c>
      <c r="AA64" s="32">
        <v>350</v>
      </c>
      <c r="AC64" s="18"/>
    </row>
    <row r="65" spans="2:29">
      <c r="B65" s="14">
        <v>59</v>
      </c>
      <c r="C65" s="18">
        <v>25</v>
      </c>
      <c r="D65" s="43">
        <v>2.12</v>
      </c>
      <c r="E65" s="101">
        <f t="shared" ref="E65" si="104">E61</f>
        <v>3</v>
      </c>
      <c r="F65" s="101">
        <f t="shared" ref="F65" si="105">INT(D65)</f>
        <v>2</v>
      </c>
      <c r="G65" s="104" t="str">
        <f t="shared" si="3"/>
        <v>301,302,303,304</v>
      </c>
      <c r="H65" s="43">
        <v>3000</v>
      </c>
      <c r="I65" s="43">
        <v>1</v>
      </c>
      <c r="J65" s="43">
        <v>2100</v>
      </c>
      <c r="K65" s="101"/>
      <c r="L65" s="32">
        <v>5832</v>
      </c>
      <c r="M65" s="32">
        <v>121</v>
      </c>
      <c r="N65" s="32">
        <v>55</v>
      </c>
      <c r="O65" s="32">
        <v>195</v>
      </c>
      <c r="P65" s="32">
        <v>6.5</v>
      </c>
      <c r="Q65" s="32">
        <v>1000</v>
      </c>
      <c r="R65" s="32">
        <v>50</v>
      </c>
      <c r="S65" s="32">
        <v>350</v>
      </c>
      <c r="T65" s="32">
        <v>3668</v>
      </c>
      <c r="U65" s="32">
        <v>131</v>
      </c>
      <c r="V65" s="32">
        <v>35</v>
      </c>
      <c r="W65" s="32">
        <v>214</v>
      </c>
      <c r="X65" s="32">
        <v>7.15</v>
      </c>
      <c r="Y65" s="32">
        <v>800</v>
      </c>
      <c r="Z65" s="32">
        <v>50</v>
      </c>
      <c r="AA65" s="32">
        <v>350</v>
      </c>
      <c r="AC65" s="18"/>
    </row>
    <row r="66" spans="2:29">
      <c r="B66" s="14">
        <v>60</v>
      </c>
      <c r="C66" s="18">
        <v>25</v>
      </c>
      <c r="D66" s="43"/>
      <c r="E66" s="101">
        <f t="shared" ref="E66:F66" si="106">E62</f>
        <v>4</v>
      </c>
      <c r="F66" s="101">
        <f t="shared" si="106"/>
        <v>1</v>
      </c>
      <c r="G66" s="104" t="str">
        <f t="shared" si="3"/>
        <v>111,110,109,108,107,106,105,104,103,102,101</v>
      </c>
      <c r="H66" s="43">
        <v>3000</v>
      </c>
      <c r="I66" s="43">
        <v>2</v>
      </c>
      <c r="J66" s="43">
        <v>125</v>
      </c>
      <c r="K66" s="101"/>
      <c r="L66" s="32">
        <v>5832</v>
      </c>
      <c r="M66" s="32">
        <v>121</v>
      </c>
      <c r="N66" s="32">
        <v>55</v>
      </c>
      <c r="O66" s="32">
        <v>195</v>
      </c>
      <c r="P66" s="32">
        <v>6.5</v>
      </c>
      <c r="Q66" s="32">
        <v>1000</v>
      </c>
      <c r="R66" s="32">
        <v>50</v>
      </c>
      <c r="S66" s="32">
        <v>350</v>
      </c>
      <c r="T66" s="32">
        <v>3668</v>
      </c>
      <c r="U66" s="32">
        <v>131</v>
      </c>
      <c r="V66" s="32">
        <v>35</v>
      </c>
      <c r="W66" s="32">
        <v>214</v>
      </c>
      <c r="X66" s="32">
        <v>7.15</v>
      </c>
      <c r="Y66" s="32">
        <v>800</v>
      </c>
      <c r="Z66" s="32">
        <v>50</v>
      </c>
      <c r="AA66" s="32">
        <v>350</v>
      </c>
      <c r="AC66" s="18"/>
    </row>
    <row r="67" spans="2:29">
      <c r="B67" s="14">
        <v>61</v>
      </c>
      <c r="C67" s="18">
        <v>25</v>
      </c>
      <c r="D67" s="43"/>
      <c r="E67" s="101">
        <f t="shared" ref="E67" si="107">E63</f>
        <v>1</v>
      </c>
      <c r="F67" s="101">
        <f t="shared" ref="F67" si="108">F63+10</f>
        <v>350</v>
      </c>
      <c r="G67" s="104" t="str">
        <f t="shared" si="3"/>
        <v/>
      </c>
      <c r="H67" s="43">
        <v>3000</v>
      </c>
      <c r="I67" s="43">
        <v>3</v>
      </c>
      <c r="J67" s="43">
        <v>1</v>
      </c>
      <c r="K67" s="100" t="str">
        <f t="shared" ref="K67" si="109">K64</f>
        <v>301,302,303,304</v>
      </c>
      <c r="L67" s="32">
        <v>5832</v>
      </c>
      <c r="M67" s="32">
        <v>121</v>
      </c>
      <c r="N67" s="32">
        <v>55</v>
      </c>
      <c r="O67" s="32">
        <v>195</v>
      </c>
      <c r="P67" s="32">
        <v>6.5</v>
      </c>
      <c r="Q67" s="32">
        <v>1000</v>
      </c>
      <c r="R67" s="32">
        <v>50</v>
      </c>
      <c r="S67" s="32">
        <v>350</v>
      </c>
      <c r="T67" s="32">
        <v>3668</v>
      </c>
      <c r="U67" s="32">
        <v>131</v>
      </c>
      <c r="V67" s="32">
        <v>35</v>
      </c>
      <c r="W67" s="32">
        <v>214</v>
      </c>
      <c r="X67" s="32">
        <v>7.15</v>
      </c>
      <c r="Y67" s="32">
        <v>800</v>
      </c>
      <c r="Z67" s="32">
        <v>50</v>
      </c>
      <c r="AA67" s="32">
        <v>350</v>
      </c>
      <c r="AC67" s="18"/>
    </row>
    <row r="68" spans="2:29">
      <c r="B68" s="14">
        <v>62</v>
      </c>
      <c r="C68" s="18">
        <v>25</v>
      </c>
      <c r="E68" s="101">
        <f t="shared" ref="E68" si="110">E64</f>
        <v>2</v>
      </c>
      <c r="F68" s="101">
        <f t="shared" ref="F68" si="111">F64+2</f>
        <v>60</v>
      </c>
      <c r="G68" s="104" t="str">
        <f t="shared" si="3"/>
        <v/>
      </c>
      <c r="H68" s="43">
        <v>3000</v>
      </c>
      <c r="I68" s="43">
        <v>1</v>
      </c>
      <c r="J68" s="43">
        <v>2200</v>
      </c>
      <c r="K68" s="101"/>
      <c r="L68" s="32">
        <v>5832</v>
      </c>
      <c r="M68" s="32">
        <v>121</v>
      </c>
      <c r="N68" s="32">
        <v>55</v>
      </c>
      <c r="O68" s="32">
        <v>195</v>
      </c>
      <c r="P68" s="32">
        <v>6.5</v>
      </c>
      <c r="Q68" s="32">
        <v>1000</v>
      </c>
      <c r="R68" s="32">
        <v>50</v>
      </c>
      <c r="S68" s="32">
        <v>350</v>
      </c>
      <c r="T68" s="32">
        <v>3668</v>
      </c>
      <c r="U68" s="32">
        <v>131</v>
      </c>
      <c r="V68" s="32">
        <v>35</v>
      </c>
      <c r="W68" s="32">
        <v>214</v>
      </c>
      <c r="X68" s="32">
        <v>7.15</v>
      </c>
      <c r="Y68" s="32">
        <v>800</v>
      </c>
      <c r="Z68" s="32">
        <v>50</v>
      </c>
      <c r="AA68" s="32">
        <v>350</v>
      </c>
      <c r="AC68" s="18"/>
    </row>
    <row r="69" spans="2:29">
      <c r="B69" s="14">
        <v>63</v>
      </c>
      <c r="C69" s="18">
        <v>25</v>
      </c>
      <c r="D69" s="43">
        <v>2.2000000000000002</v>
      </c>
      <c r="E69" s="101">
        <f t="shared" ref="E69" si="112">E65</f>
        <v>3</v>
      </c>
      <c r="F69" s="101">
        <f t="shared" ref="F69" si="113">INT(D69)</f>
        <v>2</v>
      </c>
      <c r="G69" s="104" t="str">
        <f t="shared" si="3"/>
        <v>301,302,303,304</v>
      </c>
      <c r="H69" s="43">
        <v>3000</v>
      </c>
      <c r="I69" s="43">
        <v>2</v>
      </c>
      <c r="J69" s="43">
        <v>130</v>
      </c>
      <c r="K69" s="101"/>
      <c r="L69" s="32">
        <v>5832</v>
      </c>
      <c r="M69" s="32">
        <v>121</v>
      </c>
      <c r="N69" s="32">
        <v>55</v>
      </c>
      <c r="O69" s="32">
        <v>195</v>
      </c>
      <c r="P69" s="32">
        <v>6.5</v>
      </c>
      <c r="Q69" s="32">
        <v>1000</v>
      </c>
      <c r="R69" s="32">
        <v>50</v>
      </c>
      <c r="S69" s="32">
        <v>350</v>
      </c>
      <c r="T69" s="32">
        <v>3668</v>
      </c>
      <c r="U69" s="32">
        <v>131</v>
      </c>
      <c r="V69" s="32">
        <v>35</v>
      </c>
      <c r="W69" s="32">
        <v>214</v>
      </c>
      <c r="X69" s="32">
        <v>7.15</v>
      </c>
      <c r="Y69" s="32">
        <v>800</v>
      </c>
      <c r="Z69" s="32">
        <v>50</v>
      </c>
      <c r="AA69" s="32">
        <v>350</v>
      </c>
      <c r="AC69" s="18"/>
    </row>
    <row r="70" spans="2:29">
      <c r="B70" s="14">
        <v>64</v>
      </c>
      <c r="C70" s="18">
        <v>25</v>
      </c>
      <c r="D70" s="43"/>
      <c r="E70" s="101">
        <f t="shared" ref="E70:F70" si="114">E66</f>
        <v>4</v>
      </c>
      <c r="F70" s="101">
        <f t="shared" si="114"/>
        <v>1</v>
      </c>
      <c r="G70" s="104" t="str">
        <f t="shared" si="3"/>
        <v>111,110,109,108,107,106,105,104,103,102,101</v>
      </c>
      <c r="H70" s="43">
        <v>3000</v>
      </c>
      <c r="I70" s="43">
        <v>3</v>
      </c>
      <c r="J70" s="43">
        <v>2</v>
      </c>
      <c r="K70" s="100" t="str">
        <f t="shared" ref="K70" si="115">K67</f>
        <v>301,302,303,304</v>
      </c>
      <c r="L70" s="32">
        <v>5832</v>
      </c>
      <c r="M70" s="32">
        <v>121</v>
      </c>
      <c r="N70" s="32">
        <v>55</v>
      </c>
      <c r="O70" s="32">
        <v>195</v>
      </c>
      <c r="P70" s="32">
        <v>6.5</v>
      </c>
      <c r="Q70" s="32">
        <v>1000</v>
      </c>
      <c r="R70" s="32">
        <v>50</v>
      </c>
      <c r="S70" s="32">
        <v>350</v>
      </c>
      <c r="T70" s="32">
        <v>3668</v>
      </c>
      <c r="U70" s="32">
        <v>131</v>
      </c>
      <c r="V70" s="32">
        <v>35</v>
      </c>
      <c r="W70" s="32">
        <v>214</v>
      </c>
      <c r="X70" s="32">
        <v>7.15</v>
      </c>
      <c r="Y70" s="32">
        <v>800</v>
      </c>
      <c r="Z70" s="32">
        <v>50</v>
      </c>
      <c r="AA70" s="32">
        <v>350</v>
      </c>
      <c r="AC70" s="18"/>
    </row>
    <row r="71" spans="2:29">
      <c r="B71" s="14">
        <v>65</v>
      </c>
      <c r="C71" s="18">
        <v>25</v>
      </c>
      <c r="D71" s="43"/>
      <c r="E71" s="101">
        <f t="shared" ref="E71" si="116">E67</f>
        <v>1</v>
      </c>
      <c r="F71" s="101">
        <f t="shared" ref="F71" si="117">F67+10</f>
        <v>360</v>
      </c>
      <c r="G71" s="104" t="str">
        <f t="shared" si="3"/>
        <v/>
      </c>
      <c r="H71" s="43">
        <v>3000</v>
      </c>
      <c r="I71" s="43">
        <v>1</v>
      </c>
      <c r="J71" s="43">
        <v>2300</v>
      </c>
      <c r="K71" s="101"/>
      <c r="L71" s="32">
        <v>5832</v>
      </c>
      <c r="M71" s="32">
        <v>121</v>
      </c>
      <c r="N71" s="32">
        <v>55</v>
      </c>
      <c r="O71" s="32">
        <v>195</v>
      </c>
      <c r="P71" s="32">
        <v>6.5</v>
      </c>
      <c r="Q71" s="32">
        <v>1000</v>
      </c>
      <c r="R71" s="32">
        <v>50</v>
      </c>
      <c r="S71" s="32">
        <v>350</v>
      </c>
      <c r="T71" s="32">
        <v>3668</v>
      </c>
      <c r="U71" s="32">
        <v>131</v>
      </c>
      <c r="V71" s="32">
        <v>35</v>
      </c>
      <c r="W71" s="32">
        <v>214</v>
      </c>
      <c r="X71" s="32">
        <v>7.15</v>
      </c>
      <c r="Y71" s="32">
        <v>800</v>
      </c>
      <c r="Z71" s="32">
        <v>50</v>
      </c>
      <c r="AA71" s="32">
        <v>350</v>
      </c>
      <c r="AC71" s="18"/>
    </row>
    <row r="72" spans="2:29">
      <c r="B72" s="14">
        <v>66</v>
      </c>
      <c r="C72" s="18">
        <v>25</v>
      </c>
      <c r="D72" s="43"/>
      <c r="E72" s="101">
        <f t="shared" ref="E72" si="118">E68</f>
        <v>2</v>
      </c>
      <c r="F72" s="101">
        <f t="shared" ref="F72" si="119">F68+2</f>
        <v>62</v>
      </c>
      <c r="G72" s="104" t="str">
        <f t="shared" si="3"/>
        <v/>
      </c>
      <c r="H72" s="43">
        <v>3000</v>
      </c>
      <c r="I72" s="43">
        <v>2</v>
      </c>
      <c r="J72" s="43">
        <v>135</v>
      </c>
      <c r="K72" s="101"/>
      <c r="L72" s="32">
        <v>5832</v>
      </c>
      <c r="M72" s="32">
        <v>121</v>
      </c>
      <c r="N72" s="32">
        <v>55</v>
      </c>
      <c r="O72" s="32">
        <v>195</v>
      </c>
      <c r="P72" s="32">
        <v>6.5</v>
      </c>
      <c r="Q72" s="32">
        <v>1000</v>
      </c>
      <c r="R72" s="32">
        <v>50</v>
      </c>
      <c r="S72" s="32">
        <v>350</v>
      </c>
      <c r="T72" s="32">
        <v>3668</v>
      </c>
      <c r="U72" s="32">
        <v>131</v>
      </c>
      <c r="V72" s="32">
        <v>35</v>
      </c>
      <c r="W72" s="32">
        <v>214</v>
      </c>
      <c r="X72" s="32">
        <v>7.15</v>
      </c>
      <c r="Y72" s="32">
        <v>800</v>
      </c>
      <c r="Z72" s="32">
        <v>50</v>
      </c>
      <c r="AA72" s="32">
        <v>350</v>
      </c>
      <c r="AC72" s="18"/>
    </row>
    <row r="73" spans="2:29">
      <c r="B73" s="14">
        <v>67</v>
      </c>
      <c r="C73" s="18">
        <v>25</v>
      </c>
      <c r="D73" s="43">
        <v>2.2799999999999998</v>
      </c>
      <c r="E73" s="101">
        <f t="shared" ref="E73" si="120">E69</f>
        <v>3</v>
      </c>
      <c r="F73" s="101">
        <f t="shared" ref="F73" si="121">INT(D73)</f>
        <v>2</v>
      </c>
      <c r="G73" s="104" t="str">
        <f t="shared" si="3"/>
        <v>301,302,303,304</v>
      </c>
      <c r="H73" s="43">
        <v>3000</v>
      </c>
      <c r="I73" s="43">
        <v>3</v>
      </c>
      <c r="J73" s="43">
        <v>2</v>
      </c>
      <c r="K73" s="100" t="str">
        <f t="shared" ref="K73" si="122">K70</f>
        <v>301,302,303,304</v>
      </c>
      <c r="L73" s="32">
        <v>5832</v>
      </c>
      <c r="M73" s="32">
        <v>121</v>
      </c>
      <c r="N73" s="32">
        <v>55</v>
      </c>
      <c r="O73" s="32">
        <v>195</v>
      </c>
      <c r="P73" s="32">
        <v>6.5</v>
      </c>
      <c r="Q73" s="32">
        <v>1000</v>
      </c>
      <c r="R73" s="32">
        <v>50</v>
      </c>
      <c r="S73" s="32">
        <v>350</v>
      </c>
      <c r="T73" s="32">
        <v>3668</v>
      </c>
      <c r="U73" s="32">
        <v>131</v>
      </c>
      <c r="V73" s="32">
        <v>35</v>
      </c>
      <c r="W73" s="32">
        <v>214</v>
      </c>
      <c r="X73" s="32">
        <v>7.15</v>
      </c>
      <c r="Y73" s="32">
        <v>800</v>
      </c>
      <c r="Z73" s="32">
        <v>50</v>
      </c>
      <c r="AA73" s="32">
        <v>350</v>
      </c>
      <c r="AC73" s="18"/>
    </row>
    <row r="74" spans="2:29">
      <c r="B74" s="14">
        <v>68</v>
      </c>
      <c r="C74" s="18">
        <v>25</v>
      </c>
      <c r="D74" s="43"/>
      <c r="E74" s="101">
        <f t="shared" ref="E74:F74" si="123">E70</f>
        <v>4</v>
      </c>
      <c r="F74" s="101">
        <f t="shared" si="123"/>
        <v>1</v>
      </c>
      <c r="G74" s="104" t="str">
        <f t="shared" si="3"/>
        <v>111,110,109,108,107,106,105,104,103,102,101</v>
      </c>
      <c r="H74" s="43">
        <v>3000</v>
      </c>
      <c r="I74" s="43">
        <v>1</v>
      </c>
      <c r="J74" s="43">
        <v>2400</v>
      </c>
      <c r="K74" s="101"/>
      <c r="L74" s="32">
        <v>5832</v>
      </c>
      <c r="M74" s="32">
        <v>121</v>
      </c>
      <c r="N74" s="32">
        <v>55</v>
      </c>
      <c r="O74" s="32">
        <v>195</v>
      </c>
      <c r="P74" s="32">
        <v>6.5</v>
      </c>
      <c r="Q74" s="32">
        <v>1000</v>
      </c>
      <c r="R74" s="32">
        <v>50</v>
      </c>
      <c r="S74" s="32">
        <v>350</v>
      </c>
      <c r="T74" s="32">
        <v>3668</v>
      </c>
      <c r="U74" s="32">
        <v>131</v>
      </c>
      <c r="V74" s="32">
        <v>35</v>
      </c>
      <c r="W74" s="32">
        <v>214</v>
      </c>
      <c r="X74" s="32">
        <v>7.15</v>
      </c>
      <c r="Y74" s="32">
        <v>800</v>
      </c>
      <c r="Z74" s="32">
        <v>50</v>
      </c>
      <c r="AA74" s="32">
        <v>350</v>
      </c>
      <c r="AC74" s="18"/>
    </row>
    <row r="75" spans="2:29">
      <c r="B75" s="14">
        <v>69</v>
      </c>
      <c r="C75" s="18">
        <v>25</v>
      </c>
      <c r="D75" s="43"/>
      <c r="E75" s="101">
        <f t="shared" ref="E75" si="124">E71</f>
        <v>1</v>
      </c>
      <c r="F75" s="101">
        <f t="shared" ref="F75" si="125">F71+10</f>
        <v>370</v>
      </c>
      <c r="G75" s="104" t="str">
        <f t="shared" si="3"/>
        <v/>
      </c>
      <c r="H75" s="43">
        <v>3000</v>
      </c>
      <c r="I75" s="43">
        <v>2</v>
      </c>
      <c r="J75" s="43">
        <v>140</v>
      </c>
      <c r="K75" s="101"/>
      <c r="L75" s="32">
        <v>5832</v>
      </c>
      <c r="M75" s="32">
        <v>121</v>
      </c>
      <c r="N75" s="32">
        <v>55</v>
      </c>
      <c r="O75" s="32">
        <v>195</v>
      </c>
      <c r="P75" s="32">
        <v>6.5</v>
      </c>
      <c r="Q75" s="32">
        <v>1000</v>
      </c>
      <c r="R75" s="32">
        <v>50</v>
      </c>
      <c r="S75" s="32">
        <v>350</v>
      </c>
      <c r="T75" s="32">
        <v>3668</v>
      </c>
      <c r="U75" s="32">
        <v>131</v>
      </c>
      <c r="V75" s="32">
        <v>35</v>
      </c>
      <c r="W75" s="32">
        <v>214</v>
      </c>
      <c r="X75" s="32">
        <v>7.15</v>
      </c>
      <c r="Y75" s="32">
        <v>800</v>
      </c>
      <c r="Z75" s="32">
        <v>50</v>
      </c>
      <c r="AA75" s="32">
        <v>350</v>
      </c>
      <c r="AC75" s="18"/>
    </row>
    <row r="76" spans="2:29">
      <c r="B76" s="14">
        <v>70</v>
      </c>
      <c r="C76" s="18">
        <v>25</v>
      </c>
      <c r="E76" s="101">
        <f t="shared" ref="E76" si="126">E72</f>
        <v>2</v>
      </c>
      <c r="F76" s="101">
        <f t="shared" ref="F76" si="127">F72+2</f>
        <v>64</v>
      </c>
      <c r="G76" s="104" t="str">
        <f t="shared" ref="G76:G139" si="128">G72</f>
        <v/>
      </c>
      <c r="H76" s="43">
        <v>3000</v>
      </c>
      <c r="I76" s="43">
        <v>3</v>
      </c>
      <c r="J76" s="43">
        <v>2</v>
      </c>
      <c r="K76" s="100" t="str">
        <f t="shared" ref="K76" si="129">K73</f>
        <v>301,302,303,304</v>
      </c>
      <c r="L76" s="32">
        <v>5832</v>
      </c>
      <c r="M76" s="32">
        <v>121</v>
      </c>
      <c r="N76" s="32">
        <v>55</v>
      </c>
      <c r="O76" s="32">
        <v>195</v>
      </c>
      <c r="P76" s="32">
        <v>6.5</v>
      </c>
      <c r="Q76" s="32">
        <v>1000</v>
      </c>
      <c r="R76" s="32">
        <v>50</v>
      </c>
      <c r="S76" s="32">
        <v>350</v>
      </c>
      <c r="T76" s="32">
        <v>3668</v>
      </c>
      <c r="U76" s="32">
        <v>131</v>
      </c>
      <c r="V76" s="32">
        <v>35</v>
      </c>
      <c r="W76" s="32">
        <v>214</v>
      </c>
      <c r="X76" s="32">
        <v>7.15</v>
      </c>
      <c r="Y76" s="32">
        <v>800</v>
      </c>
      <c r="Z76" s="32">
        <v>50</v>
      </c>
      <c r="AA76" s="32">
        <v>350</v>
      </c>
      <c r="AC76" s="18"/>
    </row>
    <row r="77" spans="2:29">
      <c r="B77" s="14">
        <v>71</v>
      </c>
      <c r="C77" s="18">
        <v>25</v>
      </c>
      <c r="D77" s="43">
        <v>2.36</v>
      </c>
      <c r="E77" s="101">
        <f t="shared" ref="E77" si="130">E73</f>
        <v>3</v>
      </c>
      <c r="F77" s="101">
        <f t="shared" ref="F77" si="131">INT(D77)</f>
        <v>2</v>
      </c>
      <c r="G77" s="104" t="str">
        <f t="shared" si="128"/>
        <v>301,302,303,304</v>
      </c>
      <c r="H77" s="43">
        <v>3000</v>
      </c>
      <c r="I77" s="43">
        <v>1</v>
      </c>
      <c r="J77" s="43">
        <v>2500</v>
      </c>
      <c r="K77" s="101"/>
      <c r="L77" s="32">
        <v>5832</v>
      </c>
      <c r="M77" s="32">
        <v>121</v>
      </c>
      <c r="N77" s="32">
        <v>55</v>
      </c>
      <c r="O77" s="32">
        <v>195</v>
      </c>
      <c r="P77" s="32">
        <v>6.5</v>
      </c>
      <c r="Q77" s="32">
        <v>1000</v>
      </c>
      <c r="R77" s="32">
        <v>50</v>
      </c>
      <c r="S77" s="32">
        <v>350</v>
      </c>
      <c r="T77" s="32">
        <v>3668</v>
      </c>
      <c r="U77" s="32">
        <v>131</v>
      </c>
      <c r="V77" s="32">
        <v>35</v>
      </c>
      <c r="W77" s="32">
        <v>214</v>
      </c>
      <c r="X77" s="32">
        <v>7.15</v>
      </c>
      <c r="Y77" s="32">
        <v>800</v>
      </c>
      <c r="Z77" s="32">
        <v>50</v>
      </c>
      <c r="AA77" s="32">
        <v>350</v>
      </c>
      <c r="AC77" s="18"/>
    </row>
    <row r="78" spans="2:29">
      <c r="B78" s="14">
        <v>72</v>
      </c>
      <c r="C78" s="18">
        <v>25</v>
      </c>
      <c r="D78" s="43"/>
      <c r="E78" s="101">
        <f t="shared" ref="E78:F78" si="132">E74</f>
        <v>4</v>
      </c>
      <c r="F78" s="101">
        <f t="shared" si="132"/>
        <v>1</v>
      </c>
      <c r="G78" s="104" t="str">
        <f t="shared" si="128"/>
        <v>111,110,109,108,107,106,105,104,103,102,101</v>
      </c>
      <c r="H78" s="43">
        <v>3000</v>
      </c>
      <c r="I78" s="43">
        <v>2</v>
      </c>
      <c r="J78" s="43">
        <v>145</v>
      </c>
      <c r="K78" s="101"/>
      <c r="L78" s="32">
        <v>5832</v>
      </c>
      <c r="M78" s="32">
        <v>121</v>
      </c>
      <c r="N78" s="32">
        <v>55</v>
      </c>
      <c r="O78" s="32">
        <v>195</v>
      </c>
      <c r="P78" s="32">
        <v>6.5</v>
      </c>
      <c r="Q78" s="32">
        <v>1000</v>
      </c>
      <c r="R78" s="32">
        <v>50</v>
      </c>
      <c r="S78" s="32">
        <v>350</v>
      </c>
      <c r="T78" s="32">
        <v>3668</v>
      </c>
      <c r="U78" s="32">
        <v>131</v>
      </c>
      <c r="V78" s="32">
        <v>35</v>
      </c>
      <c r="W78" s="32">
        <v>214</v>
      </c>
      <c r="X78" s="32">
        <v>7.15</v>
      </c>
      <c r="Y78" s="32">
        <v>800</v>
      </c>
      <c r="Z78" s="32">
        <v>50</v>
      </c>
      <c r="AA78" s="32">
        <v>350</v>
      </c>
      <c r="AC78" s="18"/>
    </row>
    <row r="79" spans="2:29">
      <c r="B79" s="14">
        <v>73</v>
      </c>
      <c r="C79" s="18">
        <v>25</v>
      </c>
      <c r="D79" s="43"/>
      <c r="E79" s="101">
        <f t="shared" ref="E79" si="133">E75</f>
        <v>1</v>
      </c>
      <c r="F79" s="101">
        <f t="shared" ref="F79" si="134">F75+10</f>
        <v>380</v>
      </c>
      <c r="G79" s="104" t="str">
        <f t="shared" si="128"/>
        <v/>
      </c>
      <c r="H79" s="43">
        <v>3000</v>
      </c>
      <c r="I79" s="43">
        <v>3</v>
      </c>
      <c r="J79" s="43">
        <v>2</v>
      </c>
      <c r="K79" s="100" t="str">
        <f t="shared" ref="K79" si="135">K76</f>
        <v>301,302,303,304</v>
      </c>
      <c r="L79" s="32">
        <v>5832</v>
      </c>
      <c r="M79" s="32">
        <v>121</v>
      </c>
      <c r="N79" s="32">
        <v>55</v>
      </c>
      <c r="O79" s="32">
        <v>195</v>
      </c>
      <c r="P79" s="32">
        <v>6.5</v>
      </c>
      <c r="Q79" s="32">
        <v>1000</v>
      </c>
      <c r="R79" s="32">
        <v>50</v>
      </c>
      <c r="S79" s="32">
        <v>350</v>
      </c>
      <c r="T79" s="32">
        <v>3668</v>
      </c>
      <c r="U79" s="32">
        <v>131</v>
      </c>
      <c r="V79" s="32">
        <v>35</v>
      </c>
      <c r="W79" s="32">
        <v>214</v>
      </c>
      <c r="X79" s="32">
        <v>7.15</v>
      </c>
      <c r="Y79" s="32">
        <v>800</v>
      </c>
      <c r="Z79" s="32">
        <v>50</v>
      </c>
      <c r="AA79" s="32">
        <v>350</v>
      </c>
      <c r="AC79" s="18"/>
    </row>
    <row r="80" spans="2:29">
      <c r="B80" s="14">
        <v>74</v>
      </c>
      <c r="C80" s="18">
        <v>25</v>
      </c>
      <c r="D80" s="43"/>
      <c r="E80" s="101">
        <f t="shared" ref="E80" si="136">E76</f>
        <v>2</v>
      </c>
      <c r="F80" s="101">
        <f t="shared" ref="F80" si="137">F76+2</f>
        <v>66</v>
      </c>
      <c r="G80" s="104" t="str">
        <f t="shared" si="128"/>
        <v/>
      </c>
      <c r="H80" s="43">
        <v>3000</v>
      </c>
      <c r="I80" s="43">
        <v>1</v>
      </c>
      <c r="J80" s="43">
        <v>2600</v>
      </c>
      <c r="K80" s="101"/>
      <c r="L80" s="32">
        <v>5832</v>
      </c>
      <c r="M80" s="32">
        <v>121</v>
      </c>
      <c r="N80" s="32">
        <v>55</v>
      </c>
      <c r="O80" s="32">
        <v>195</v>
      </c>
      <c r="P80" s="32">
        <v>6.5</v>
      </c>
      <c r="Q80" s="32">
        <v>1000</v>
      </c>
      <c r="R80" s="32">
        <v>50</v>
      </c>
      <c r="S80" s="32">
        <v>350</v>
      </c>
      <c r="T80" s="32">
        <v>3668</v>
      </c>
      <c r="U80" s="32">
        <v>131</v>
      </c>
      <c r="V80" s="32">
        <v>35</v>
      </c>
      <c r="W80" s="32">
        <v>214</v>
      </c>
      <c r="X80" s="32">
        <v>7.15</v>
      </c>
      <c r="Y80" s="32">
        <v>800</v>
      </c>
      <c r="Z80" s="32">
        <v>50</v>
      </c>
      <c r="AA80" s="32">
        <v>350</v>
      </c>
      <c r="AC80" s="18"/>
    </row>
    <row r="81" spans="2:29">
      <c r="B81" s="14">
        <v>75</v>
      </c>
      <c r="C81" s="18">
        <v>25</v>
      </c>
      <c r="D81" s="43">
        <v>2.44</v>
      </c>
      <c r="E81" s="101">
        <f t="shared" ref="E81" si="138">E77</f>
        <v>3</v>
      </c>
      <c r="F81" s="101">
        <f t="shared" ref="F81" si="139">INT(D81)</f>
        <v>2</v>
      </c>
      <c r="G81" s="104" t="str">
        <f t="shared" si="128"/>
        <v>301,302,303,304</v>
      </c>
      <c r="H81" s="43">
        <v>3000</v>
      </c>
      <c r="I81" s="43">
        <v>2</v>
      </c>
      <c r="J81" s="43">
        <v>150</v>
      </c>
      <c r="K81" s="101"/>
      <c r="L81" s="32">
        <v>5832</v>
      </c>
      <c r="M81" s="32">
        <v>121</v>
      </c>
      <c r="N81" s="32">
        <v>55</v>
      </c>
      <c r="O81" s="32">
        <v>195</v>
      </c>
      <c r="P81" s="32">
        <v>6.5</v>
      </c>
      <c r="Q81" s="32">
        <v>1000</v>
      </c>
      <c r="R81" s="32">
        <v>50</v>
      </c>
      <c r="S81" s="32">
        <v>350</v>
      </c>
      <c r="T81" s="32">
        <v>3668</v>
      </c>
      <c r="U81" s="32">
        <v>131</v>
      </c>
      <c r="V81" s="32">
        <v>35</v>
      </c>
      <c r="W81" s="32">
        <v>214</v>
      </c>
      <c r="X81" s="32">
        <v>7.15</v>
      </c>
      <c r="Y81" s="32">
        <v>800</v>
      </c>
      <c r="Z81" s="32">
        <v>50</v>
      </c>
      <c r="AA81" s="32">
        <v>350</v>
      </c>
      <c r="AC81" s="18"/>
    </row>
    <row r="82" spans="2:29">
      <c r="B82" s="14">
        <v>76</v>
      </c>
      <c r="C82" s="18">
        <v>25</v>
      </c>
      <c r="D82" s="43"/>
      <c r="E82" s="101">
        <f t="shared" ref="E82:F82" si="140">E78</f>
        <v>4</v>
      </c>
      <c r="F82" s="101">
        <f t="shared" si="140"/>
        <v>1</v>
      </c>
      <c r="G82" s="104" t="str">
        <f t="shared" si="128"/>
        <v>111,110,109,108,107,106,105,104,103,102,101</v>
      </c>
      <c r="H82" s="43">
        <v>3000</v>
      </c>
      <c r="I82" s="43">
        <v>3</v>
      </c>
      <c r="J82" s="43">
        <v>2</v>
      </c>
      <c r="K82" s="100" t="str">
        <f t="shared" ref="K82" si="141">K79</f>
        <v>301,302,303,304</v>
      </c>
      <c r="L82" s="32">
        <v>5832</v>
      </c>
      <c r="M82" s="32">
        <v>121</v>
      </c>
      <c r="N82" s="32">
        <v>55</v>
      </c>
      <c r="O82" s="32">
        <v>195</v>
      </c>
      <c r="P82" s="32">
        <v>6.5</v>
      </c>
      <c r="Q82" s="32">
        <v>1000</v>
      </c>
      <c r="R82" s="32">
        <v>50</v>
      </c>
      <c r="S82" s="32">
        <v>350</v>
      </c>
      <c r="T82" s="32">
        <v>3668</v>
      </c>
      <c r="U82" s="32">
        <v>131</v>
      </c>
      <c r="V82" s="32">
        <v>35</v>
      </c>
      <c r="W82" s="32">
        <v>214</v>
      </c>
      <c r="X82" s="32">
        <v>7.15</v>
      </c>
      <c r="Y82" s="32">
        <v>800</v>
      </c>
      <c r="Z82" s="32">
        <v>50</v>
      </c>
      <c r="AA82" s="32">
        <v>350</v>
      </c>
      <c r="AC82" s="18"/>
    </row>
    <row r="83" spans="2:29">
      <c r="B83" s="14">
        <v>77</v>
      </c>
      <c r="C83" s="18">
        <v>25</v>
      </c>
      <c r="D83" s="43"/>
      <c r="E83" s="101">
        <f t="shared" ref="E83" si="142">E79</f>
        <v>1</v>
      </c>
      <c r="F83" s="101">
        <f t="shared" ref="F83" si="143">F79+10</f>
        <v>390</v>
      </c>
      <c r="G83" s="104" t="str">
        <f t="shared" si="128"/>
        <v/>
      </c>
      <c r="H83" s="43">
        <v>3000</v>
      </c>
      <c r="I83" s="43">
        <v>1</v>
      </c>
      <c r="J83" s="43">
        <v>2700</v>
      </c>
      <c r="K83" s="101"/>
      <c r="L83" s="32">
        <v>5832</v>
      </c>
      <c r="M83" s="32">
        <v>121</v>
      </c>
      <c r="N83" s="32">
        <v>55</v>
      </c>
      <c r="O83" s="32">
        <v>195</v>
      </c>
      <c r="P83" s="32">
        <v>6.5</v>
      </c>
      <c r="Q83" s="32">
        <v>1000</v>
      </c>
      <c r="R83" s="32">
        <v>50</v>
      </c>
      <c r="S83" s="32">
        <v>350</v>
      </c>
      <c r="T83" s="32">
        <v>3668</v>
      </c>
      <c r="U83" s="32">
        <v>131</v>
      </c>
      <c r="V83" s="32">
        <v>35</v>
      </c>
      <c r="W83" s="32">
        <v>214</v>
      </c>
      <c r="X83" s="32">
        <v>7.15</v>
      </c>
      <c r="Y83" s="32">
        <v>800</v>
      </c>
      <c r="Z83" s="32">
        <v>50</v>
      </c>
      <c r="AA83" s="32">
        <v>350</v>
      </c>
      <c r="AC83" s="18"/>
    </row>
    <row r="84" spans="2:29">
      <c r="B84" s="14">
        <v>78</v>
      </c>
      <c r="C84" s="18">
        <v>25</v>
      </c>
      <c r="E84" s="101">
        <f t="shared" ref="E84" si="144">E80</f>
        <v>2</v>
      </c>
      <c r="F84" s="101">
        <f t="shared" ref="F84" si="145">F80+2</f>
        <v>68</v>
      </c>
      <c r="G84" s="104" t="str">
        <f t="shared" si="128"/>
        <v/>
      </c>
      <c r="H84" s="43">
        <v>3000</v>
      </c>
      <c r="I84" s="43">
        <v>2</v>
      </c>
      <c r="J84" s="43">
        <v>155</v>
      </c>
      <c r="K84" s="101"/>
      <c r="L84" s="32">
        <v>5832</v>
      </c>
      <c r="M84" s="32">
        <v>121</v>
      </c>
      <c r="N84" s="32">
        <v>55</v>
      </c>
      <c r="O84" s="32">
        <v>195</v>
      </c>
      <c r="P84" s="32">
        <v>6.5</v>
      </c>
      <c r="Q84" s="32">
        <v>1000</v>
      </c>
      <c r="R84" s="32">
        <v>50</v>
      </c>
      <c r="S84" s="32">
        <v>350</v>
      </c>
      <c r="T84" s="32">
        <v>3668</v>
      </c>
      <c r="U84" s="32">
        <v>131</v>
      </c>
      <c r="V84" s="32">
        <v>35</v>
      </c>
      <c r="W84" s="32">
        <v>214</v>
      </c>
      <c r="X84" s="32">
        <v>7.15</v>
      </c>
      <c r="Y84" s="32">
        <v>800</v>
      </c>
      <c r="Z84" s="32">
        <v>50</v>
      </c>
      <c r="AA84" s="32">
        <v>350</v>
      </c>
      <c r="AC84" s="18"/>
    </row>
    <row r="85" spans="2:29">
      <c r="B85" s="14">
        <v>79</v>
      </c>
      <c r="C85" s="18">
        <v>25</v>
      </c>
      <c r="D85" s="43">
        <v>2.52</v>
      </c>
      <c r="E85" s="101">
        <f t="shared" ref="E85" si="146">E81</f>
        <v>3</v>
      </c>
      <c r="F85" s="101">
        <f t="shared" ref="F85" si="147">INT(D85)</f>
        <v>2</v>
      </c>
      <c r="G85" s="104" t="str">
        <f t="shared" si="128"/>
        <v>301,302,303,304</v>
      </c>
      <c r="H85" s="43">
        <v>3000</v>
      </c>
      <c r="I85" s="43">
        <v>3</v>
      </c>
      <c r="J85" s="43">
        <v>2</v>
      </c>
      <c r="K85" s="100" t="str">
        <f t="shared" ref="K85" si="148">K82</f>
        <v>301,302,303,304</v>
      </c>
      <c r="L85" s="32">
        <v>5832</v>
      </c>
      <c r="M85" s="32">
        <v>121</v>
      </c>
      <c r="N85" s="32">
        <v>55</v>
      </c>
      <c r="O85" s="32">
        <v>195</v>
      </c>
      <c r="P85" s="32">
        <v>6.5</v>
      </c>
      <c r="Q85" s="32">
        <v>1000</v>
      </c>
      <c r="R85" s="32">
        <v>50</v>
      </c>
      <c r="S85" s="32">
        <v>350</v>
      </c>
      <c r="T85" s="32">
        <v>3668</v>
      </c>
      <c r="U85" s="32">
        <v>131</v>
      </c>
      <c r="V85" s="32">
        <v>35</v>
      </c>
      <c r="W85" s="32">
        <v>214</v>
      </c>
      <c r="X85" s="32">
        <v>7.15</v>
      </c>
      <c r="Y85" s="32">
        <v>800</v>
      </c>
      <c r="Z85" s="32">
        <v>50</v>
      </c>
      <c r="AA85" s="32">
        <v>350</v>
      </c>
      <c r="AC85" s="18"/>
    </row>
    <row r="86" spans="2:29">
      <c r="B86" s="14">
        <v>80</v>
      </c>
      <c r="C86" s="18">
        <v>25</v>
      </c>
      <c r="D86" s="43"/>
      <c r="E86" s="101">
        <f t="shared" ref="E86:F86" si="149">E82</f>
        <v>4</v>
      </c>
      <c r="F86" s="101">
        <f t="shared" si="149"/>
        <v>1</v>
      </c>
      <c r="G86" s="104" t="str">
        <f t="shared" si="128"/>
        <v>111,110,109,108,107,106,105,104,103,102,101</v>
      </c>
      <c r="H86" s="43">
        <v>3000</v>
      </c>
      <c r="I86" s="43">
        <v>1</v>
      </c>
      <c r="J86" s="43">
        <v>2800</v>
      </c>
      <c r="K86" s="101"/>
      <c r="L86" s="32">
        <v>5832</v>
      </c>
      <c r="M86" s="32">
        <v>121</v>
      </c>
      <c r="N86" s="32">
        <v>55</v>
      </c>
      <c r="O86" s="32">
        <v>195</v>
      </c>
      <c r="P86" s="32">
        <v>6.5</v>
      </c>
      <c r="Q86" s="32">
        <v>1000</v>
      </c>
      <c r="R86" s="32">
        <v>50</v>
      </c>
      <c r="S86" s="32">
        <v>350</v>
      </c>
      <c r="T86" s="32">
        <v>3668</v>
      </c>
      <c r="U86" s="32">
        <v>131</v>
      </c>
      <c r="V86" s="32">
        <v>35</v>
      </c>
      <c r="W86" s="32">
        <v>214</v>
      </c>
      <c r="X86" s="32">
        <v>7.15</v>
      </c>
      <c r="Y86" s="32">
        <v>800</v>
      </c>
      <c r="Z86" s="32">
        <v>50</v>
      </c>
      <c r="AA86" s="32">
        <v>350</v>
      </c>
      <c r="AC86" s="18"/>
    </row>
    <row r="87" spans="2:29">
      <c r="B87" s="14">
        <v>81</v>
      </c>
      <c r="C87" s="18">
        <v>25</v>
      </c>
      <c r="D87" s="43"/>
      <c r="E87" s="101">
        <f t="shared" ref="E87" si="150">E83</f>
        <v>1</v>
      </c>
      <c r="F87" s="101">
        <f t="shared" ref="F87" si="151">F83+10</f>
        <v>400</v>
      </c>
      <c r="G87" s="104" t="str">
        <f t="shared" si="128"/>
        <v/>
      </c>
      <c r="H87" s="43">
        <v>3000</v>
      </c>
      <c r="I87" s="43">
        <v>2</v>
      </c>
      <c r="J87" s="43">
        <v>160</v>
      </c>
      <c r="K87" s="101"/>
      <c r="L87" s="32">
        <v>5832</v>
      </c>
      <c r="M87" s="32">
        <v>121</v>
      </c>
      <c r="N87" s="32">
        <v>55</v>
      </c>
      <c r="O87" s="32">
        <v>195</v>
      </c>
      <c r="P87" s="32">
        <v>6.5</v>
      </c>
      <c r="Q87" s="32">
        <v>1000</v>
      </c>
      <c r="R87" s="32">
        <v>50</v>
      </c>
      <c r="S87" s="32">
        <v>350</v>
      </c>
      <c r="T87" s="32">
        <v>3668</v>
      </c>
      <c r="U87" s="32">
        <v>131</v>
      </c>
      <c r="V87" s="32">
        <v>35</v>
      </c>
      <c r="W87" s="32">
        <v>214</v>
      </c>
      <c r="X87" s="32">
        <v>7.15</v>
      </c>
      <c r="Y87" s="32">
        <v>800</v>
      </c>
      <c r="Z87" s="32">
        <v>50</v>
      </c>
      <c r="AA87" s="32">
        <v>350</v>
      </c>
      <c r="AC87" s="18"/>
    </row>
    <row r="88" spans="2:29">
      <c r="B88" s="14">
        <v>82</v>
      </c>
      <c r="C88" s="18">
        <v>25</v>
      </c>
      <c r="D88" s="43"/>
      <c r="E88" s="101">
        <f t="shared" ref="E88" si="152">E84</f>
        <v>2</v>
      </c>
      <c r="F88" s="101">
        <f t="shared" ref="F88" si="153">F84+2</f>
        <v>70</v>
      </c>
      <c r="G88" s="104" t="str">
        <f t="shared" si="128"/>
        <v/>
      </c>
      <c r="H88" s="43">
        <v>3000</v>
      </c>
      <c r="I88" s="43">
        <v>3</v>
      </c>
      <c r="J88" s="43">
        <v>2</v>
      </c>
      <c r="K88" s="100" t="str">
        <f t="shared" ref="K88" si="154">K85</f>
        <v>301,302,303,304</v>
      </c>
      <c r="L88" s="32">
        <v>5832</v>
      </c>
      <c r="M88" s="32">
        <v>121</v>
      </c>
      <c r="N88" s="32">
        <v>55</v>
      </c>
      <c r="O88" s="32">
        <v>195</v>
      </c>
      <c r="P88" s="32">
        <v>6.5</v>
      </c>
      <c r="Q88" s="32">
        <v>1000</v>
      </c>
      <c r="R88" s="32">
        <v>50</v>
      </c>
      <c r="S88" s="32">
        <v>350</v>
      </c>
      <c r="T88" s="32">
        <v>3668</v>
      </c>
      <c r="U88" s="32">
        <v>131</v>
      </c>
      <c r="V88" s="32">
        <v>35</v>
      </c>
      <c r="W88" s="32">
        <v>214</v>
      </c>
      <c r="X88" s="32">
        <v>7.15</v>
      </c>
      <c r="Y88" s="32">
        <v>800</v>
      </c>
      <c r="Z88" s="32">
        <v>50</v>
      </c>
      <c r="AA88" s="32">
        <v>350</v>
      </c>
      <c r="AC88" s="18"/>
    </row>
    <row r="89" spans="2:29">
      <c r="B89" s="14">
        <v>83</v>
      </c>
      <c r="C89" s="18">
        <v>25</v>
      </c>
      <c r="D89" s="43">
        <v>2.6</v>
      </c>
      <c r="E89" s="101">
        <f t="shared" ref="E89" si="155">E85</f>
        <v>3</v>
      </c>
      <c r="F89" s="101">
        <f t="shared" ref="F89" si="156">INT(D89)</f>
        <v>2</v>
      </c>
      <c r="G89" s="104" t="str">
        <f t="shared" si="128"/>
        <v>301,302,303,304</v>
      </c>
      <c r="H89" s="43">
        <v>3000</v>
      </c>
      <c r="I89" s="43">
        <v>1</v>
      </c>
      <c r="J89" s="43">
        <v>2900</v>
      </c>
      <c r="K89" s="101"/>
      <c r="L89" s="32">
        <v>5832</v>
      </c>
      <c r="M89" s="32">
        <v>121</v>
      </c>
      <c r="N89" s="32">
        <v>55</v>
      </c>
      <c r="O89" s="32">
        <v>195</v>
      </c>
      <c r="P89" s="32">
        <v>6.5</v>
      </c>
      <c r="Q89" s="32">
        <v>1000</v>
      </c>
      <c r="R89" s="32">
        <v>50</v>
      </c>
      <c r="S89" s="32">
        <v>350</v>
      </c>
      <c r="T89" s="32">
        <v>3668</v>
      </c>
      <c r="U89" s="32">
        <v>131</v>
      </c>
      <c r="V89" s="32">
        <v>35</v>
      </c>
      <c r="W89" s="32">
        <v>214</v>
      </c>
      <c r="X89" s="32">
        <v>7.15</v>
      </c>
      <c r="Y89" s="32">
        <v>800</v>
      </c>
      <c r="Z89" s="32">
        <v>50</v>
      </c>
      <c r="AA89" s="32">
        <v>350</v>
      </c>
      <c r="AC89" s="18"/>
    </row>
    <row r="90" spans="2:29">
      <c r="B90" s="14">
        <v>84</v>
      </c>
      <c r="C90" s="18">
        <v>25</v>
      </c>
      <c r="D90" s="43"/>
      <c r="E90" s="101">
        <f t="shared" ref="E90:F90" si="157">E86</f>
        <v>4</v>
      </c>
      <c r="F90" s="101">
        <f t="shared" si="157"/>
        <v>1</v>
      </c>
      <c r="G90" s="104" t="str">
        <f t="shared" si="128"/>
        <v>111,110,109,108,107,106,105,104,103,102,101</v>
      </c>
      <c r="H90" s="43">
        <v>3000</v>
      </c>
      <c r="I90" s="43">
        <v>2</v>
      </c>
      <c r="J90" s="43">
        <v>165</v>
      </c>
      <c r="K90" s="101"/>
      <c r="L90" s="32">
        <v>5832</v>
      </c>
      <c r="M90" s="32">
        <v>121</v>
      </c>
      <c r="N90" s="32">
        <v>55</v>
      </c>
      <c r="O90" s="32">
        <v>195</v>
      </c>
      <c r="P90" s="32">
        <v>6.5</v>
      </c>
      <c r="Q90" s="32">
        <v>1000</v>
      </c>
      <c r="R90" s="32">
        <v>50</v>
      </c>
      <c r="S90" s="32">
        <v>350</v>
      </c>
      <c r="T90" s="32">
        <v>3668</v>
      </c>
      <c r="U90" s="32">
        <v>131</v>
      </c>
      <c r="V90" s="32">
        <v>35</v>
      </c>
      <c r="W90" s="32">
        <v>214</v>
      </c>
      <c r="X90" s="32">
        <v>7.15</v>
      </c>
      <c r="Y90" s="32">
        <v>800</v>
      </c>
      <c r="Z90" s="32">
        <v>50</v>
      </c>
      <c r="AA90" s="32">
        <v>350</v>
      </c>
      <c r="AC90" s="18"/>
    </row>
    <row r="91" spans="2:29">
      <c r="B91" s="14">
        <v>85</v>
      </c>
      <c r="C91" s="18">
        <v>25</v>
      </c>
      <c r="D91" s="43"/>
      <c r="E91" s="101">
        <f t="shared" ref="E91" si="158">E87</f>
        <v>1</v>
      </c>
      <c r="F91" s="101">
        <f t="shared" ref="F91" si="159">F87+10</f>
        <v>410</v>
      </c>
      <c r="G91" s="104" t="str">
        <f t="shared" si="128"/>
        <v/>
      </c>
      <c r="H91" s="43">
        <v>3000</v>
      </c>
      <c r="I91" s="43">
        <v>3</v>
      </c>
      <c r="J91" s="43">
        <v>2</v>
      </c>
      <c r="K91" s="100" t="str">
        <f t="shared" ref="K91" si="160">K88</f>
        <v>301,302,303,304</v>
      </c>
      <c r="L91" s="32">
        <v>5832</v>
      </c>
      <c r="M91" s="32">
        <v>121</v>
      </c>
      <c r="N91" s="32">
        <v>55</v>
      </c>
      <c r="O91" s="32">
        <v>195</v>
      </c>
      <c r="P91" s="32">
        <v>6.5</v>
      </c>
      <c r="Q91" s="32">
        <v>1000</v>
      </c>
      <c r="R91" s="32">
        <v>50</v>
      </c>
      <c r="S91" s="32">
        <v>350</v>
      </c>
      <c r="T91" s="32">
        <v>3668</v>
      </c>
      <c r="U91" s="32">
        <v>131</v>
      </c>
      <c r="V91" s="32">
        <v>35</v>
      </c>
      <c r="W91" s="32">
        <v>214</v>
      </c>
      <c r="X91" s="32">
        <v>7.15</v>
      </c>
      <c r="Y91" s="32">
        <v>800</v>
      </c>
      <c r="Z91" s="32">
        <v>50</v>
      </c>
      <c r="AA91" s="32">
        <v>350</v>
      </c>
      <c r="AC91" s="18"/>
    </row>
    <row r="92" spans="2:29">
      <c r="B92" s="14">
        <v>86</v>
      </c>
      <c r="C92" s="18">
        <v>25</v>
      </c>
      <c r="E92" s="101">
        <f t="shared" ref="E92" si="161">E88</f>
        <v>2</v>
      </c>
      <c r="F92" s="101">
        <f t="shared" ref="F92" si="162">F88+2</f>
        <v>72</v>
      </c>
      <c r="G92" s="104" t="str">
        <f t="shared" si="128"/>
        <v/>
      </c>
      <c r="H92" s="43">
        <v>3000</v>
      </c>
      <c r="I92" s="43">
        <v>1</v>
      </c>
      <c r="J92" s="43">
        <v>3000</v>
      </c>
      <c r="K92" s="101"/>
      <c r="L92" s="32">
        <v>5832</v>
      </c>
      <c r="M92" s="32">
        <v>121</v>
      </c>
      <c r="N92" s="32">
        <v>55</v>
      </c>
      <c r="O92" s="32">
        <v>195</v>
      </c>
      <c r="P92" s="32">
        <v>6.5</v>
      </c>
      <c r="Q92" s="32">
        <v>1000</v>
      </c>
      <c r="R92" s="32">
        <v>50</v>
      </c>
      <c r="S92" s="32">
        <v>350</v>
      </c>
      <c r="T92" s="32">
        <v>3668</v>
      </c>
      <c r="U92" s="32">
        <v>131</v>
      </c>
      <c r="V92" s="32">
        <v>35</v>
      </c>
      <c r="W92" s="32">
        <v>214</v>
      </c>
      <c r="X92" s="32">
        <v>7.15</v>
      </c>
      <c r="Y92" s="32">
        <v>800</v>
      </c>
      <c r="Z92" s="32">
        <v>50</v>
      </c>
      <c r="AA92" s="32">
        <v>350</v>
      </c>
      <c r="AC92" s="18"/>
    </row>
    <row r="93" spans="2:29">
      <c r="B93" s="14">
        <v>87</v>
      </c>
      <c r="C93" s="18">
        <v>25</v>
      </c>
      <c r="D93" s="43">
        <v>2.68</v>
      </c>
      <c r="E93" s="101">
        <f t="shared" ref="E93" si="163">E89</f>
        <v>3</v>
      </c>
      <c r="F93" s="101">
        <f t="shared" ref="F93" si="164">INT(D93)</f>
        <v>2</v>
      </c>
      <c r="G93" s="104" t="str">
        <f t="shared" si="128"/>
        <v>301,302,303,304</v>
      </c>
      <c r="H93" s="43">
        <v>3000</v>
      </c>
      <c r="I93" s="43">
        <v>2</v>
      </c>
      <c r="J93" s="43">
        <v>170</v>
      </c>
      <c r="K93" s="101"/>
      <c r="L93" s="32">
        <v>5832</v>
      </c>
      <c r="M93" s="32">
        <v>121</v>
      </c>
      <c r="N93" s="32">
        <v>55</v>
      </c>
      <c r="O93" s="32">
        <v>195</v>
      </c>
      <c r="P93" s="32">
        <v>6.5</v>
      </c>
      <c r="Q93" s="32">
        <v>1000</v>
      </c>
      <c r="R93" s="32">
        <v>50</v>
      </c>
      <c r="S93" s="32">
        <v>350</v>
      </c>
      <c r="T93" s="32">
        <v>3668</v>
      </c>
      <c r="U93" s="32">
        <v>131</v>
      </c>
      <c r="V93" s="32">
        <v>35</v>
      </c>
      <c r="W93" s="32">
        <v>214</v>
      </c>
      <c r="X93" s="32">
        <v>7.15</v>
      </c>
      <c r="Y93" s="32">
        <v>800</v>
      </c>
      <c r="Z93" s="32">
        <v>50</v>
      </c>
      <c r="AA93" s="32">
        <v>350</v>
      </c>
      <c r="AC93" s="18"/>
    </row>
    <row r="94" spans="2:29">
      <c r="B94" s="14">
        <v>88</v>
      </c>
      <c r="C94" s="18">
        <v>25</v>
      </c>
      <c r="D94" s="43"/>
      <c r="E94" s="101">
        <f t="shared" ref="E94:F94" si="165">E90</f>
        <v>4</v>
      </c>
      <c r="F94" s="101">
        <f t="shared" si="165"/>
        <v>1</v>
      </c>
      <c r="G94" s="104" t="str">
        <f t="shared" si="128"/>
        <v>111,110,109,108,107,106,105,104,103,102,101</v>
      </c>
      <c r="H94" s="43">
        <v>3000</v>
      </c>
      <c r="I94" s="43">
        <v>3</v>
      </c>
      <c r="J94" s="43">
        <v>2</v>
      </c>
      <c r="K94" s="100" t="str">
        <f t="shared" ref="K94" si="166">K91</f>
        <v>301,302,303,304</v>
      </c>
      <c r="L94" s="32">
        <v>5832</v>
      </c>
      <c r="M94" s="32">
        <v>121</v>
      </c>
      <c r="N94" s="32">
        <v>55</v>
      </c>
      <c r="O94" s="32">
        <v>195</v>
      </c>
      <c r="P94" s="32">
        <v>6.5</v>
      </c>
      <c r="Q94" s="32">
        <v>1000</v>
      </c>
      <c r="R94" s="32">
        <v>50</v>
      </c>
      <c r="S94" s="32">
        <v>350</v>
      </c>
      <c r="T94" s="32">
        <v>3668</v>
      </c>
      <c r="U94" s="32">
        <v>131</v>
      </c>
      <c r="V94" s="32">
        <v>35</v>
      </c>
      <c r="W94" s="32">
        <v>214</v>
      </c>
      <c r="X94" s="32">
        <v>7.15</v>
      </c>
      <c r="Y94" s="32">
        <v>800</v>
      </c>
      <c r="Z94" s="32">
        <v>50</v>
      </c>
      <c r="AA94" s="32">
        <v>350</v>
      </c>
      <c r="AC94" s="18"/>
    </row>
    <row r="95" spans="2:29">
      <c r="B95" s="14">
        <v>89</v>
      </c>
      <c r="C95" s="18">
        <v>25</v>
      </c>
      <c r="D95" s="43"/>
      <c r="E95" s="101">
        <f t="shared" ref="E95" si="167">E91</f>
        <v>1</v>
      </c>
      <c r="F95" s="101">
        <f t="shared" ref="F95" si="168">F91+10</f>
        <v>420</v>
      </c>
      <c r="G95" s="104" t="str">
        <f t="shared" si="128"/>
        <v/>
      </c>
      <c r="H95" s="43">
        <v>3000</v>
      </c>
      <c r="I95" s="43">
        <v>1</v>
      </c>
      <c r="J95" s="43">
        <v>3100</v>
      </c>
      <c r="K95" s="101"/>
      <c r="L95" s="32">
        <v>5832</v>
      </c>
      <c r="M95" s="32">
        <v>121</v>
      </c>
      <c r="N95" s="32">
        <v>55</v>
      </c>
      <c r="O95" s="32">
        <v>195</v>
      </c>
      <c r="P95" s="32">
        <v>6.5</v>
      </c>
      <c r="Q95" s="32">
        <v>1000</v>
      </c>
      <c r="R95" s="32">
        <v>50</v>
      </c>
      <c r="S95" s="32">
        <v>350</v>
      </c>
      <c r="T95" s="32">
        <v>3668</v>
      </c>
      <c r="U95" s="32">
        <v>131</v>
      </c>
      <c r="V95" s="32">
        <v>35</v>
      </c>
      <c r="W95" s="32">
        <v>214</v>
      </c>
      <c r="X95" s="32">
        <v>7.15</v>
      </c>
      <c r="Y95" s="32">
        <v>800</v>
      </c>
      <c r="Z95" s="32">
        <v>50</v>
      </c>
      <c r="AA95" s="32">
        <v>350</v>
      </c>
      <c r="AC95" s="18"/>
    </row>
    <row r="96" spans="2:29">
      <c r="B96" s="14">
        <v>90</v>
      </c>
      <c r="C96" s="18">
        <v>25</v>
      </c>
      <c r="D96" s="43"/>
      <c r="E96" s="101">
        <f t="shared" ref="E96" si="169">E92</f>
        <v>2</v>
      </c>
      <c r="F96" s="101">
        <f t="shared" ref="F96" si="170">F92+2</f>
        <v>74</v>
      </c>
      <c r="G96" s="104" t="str">
        <f t="shared" si="128"/>
        <v/>
      </c>
      <c r="H96" s="43">
        <v>3000</v>
      </c>
      <c r="I96" s="43">
        <v>2</v>
      </c>
      <c r="J96" s="43">
        <v>175</v>
      </c>
      <c r="K96" s="101"/>
      <c r="L96" s="32">
        <v>5832</v>
      </c>
      <c r="M96" s="32">
        <v>121</v>
      </c>
      <c r="N96" s="32">
        <v>55</v>
      </c>
      <c r="O96" s="32">
        <v>195</v>
      </c>
      <c r="P96" s="32">
        <v>6.5</v>
      </c>
      <c r="Q96" s="32">
        <v>1000</v>
      </c>
      <c r="R96" s="32">
        <v>50</v>
      </c>
      <c r="S96" s="32">
        <v>350</v>
      </c>
      <c r="T96" s="32">
        <v>3668</v>
      </c>
      <c r="U96" s="32">
        <v>131</v>
      </c>
      <c r="V96" s="32">
        <v>35</v>
      </c>
      <c r="W96" s="32">
        <v>214</v>
      </c>
      <c r="X96" s="32">
        <v>7.15</v>
      </c>
      <c r="Y96" s="32">
        <v>800</v>
      </c>
      <c r="Z96" s="32">
        <v>50</v>
      </c>
      <c r="AA96" s="32">
        <v>350</v>
      </c>
      <c r="AC96" s="18"/>
    </row>
    <row r="97" spans="2:29">
      <c r="B97" s="14">
        <v>91</v>
      </c>
      <c r="C97" s="18">
        <v>25</v>
      </c>
      <c r="D97" s="43">
        <v>2.76</v>
      </c>
      <c r="E97" s="101">
        <f t="shared" ref="E97" si="171">E93</f>
        <v>3</v>
      </c>
      <c r="F97" s="101">
        <f t="shared" ref="F97" si="172">INT(D97)</f>
        <v>2</v>
      </c>
      <c r="G97" s="104" t="str">
        <f t="shared" si="128"/>
        <v>301,302,303,304</v>
      </c>
      <c r="H97" s="43">
        <v>3000</v>
      </c>
      <c r="I97" s="43">
        <v>3</v>
      </c>
      <c r="J97" s="43">
        <v>2</v>
      </c>
      <c r="K97" s="100" t="str">
        <f t="shared" ref="K97" si="173">K94</f>
        <v>301,302,303,304</v>
      </c>
      <c r="L97" s="32">
        <v>5832</v>
      </c>
      <c r="M97" s="32">
        <v>121</v>
      </c>
      <c r="N97" s="32">
        <v>55</v>
      </c>
      <c r="O97" s="32">
        <v>195</v>
      </c>
      <c r="P97" s="32">
        <v>6.5</v>
      </c>
      <c r="Q97" s="32">
        <v>1000</v>
      </c>
      <c r="R97" s="32">
        <v>50</v>
      </c>
      <c r="S97" s="32">
        <v>350</v>
      </c>
      <c r="T97" s="32">
        <v>3668</v>
      </c>
      <c r="U97" s="32">
        <v>131</v>
      </c>
      <c r="V97" s="32">
        <v>35</v>
      </c>
      <c r="W97" s="32">
        <v>214</v>
      </c>
      <c r="X97" s="32">
        <v>7.15</v>
      </c>
      <c r="Y97" s="32">
        <v>800</v>
      </c>
      <c r="Z97" s="32">
        <v>50</v>
      </c>
      <c r="AA97" s="32">
        <v>350</v>
      </c>
      <c r="AC97" s="18"/>
    </row>
    <row r="98" spans="2:29">
      <c r="B98" s="14">
        <v>92</v>
      </c>
      <c r="C98" s="18">
        <v>25</v>
      </c>
      <c r="D98" s="43"/>
      <c r="E98" s="101">
        <f t="shared" ref="E98:F98" si="174">E94</f>
        <v>4</v>
      </c>
      <c r="F98" s="101">
        <f t="shared" si="174"/>
        <v>1</v>
      </c>
      <c r="G98" s="104" t="str">
        <f t="shared" si="128"/>
        <v>111,110,109,108,107,106,105,104,103,102,101</v>
      </c>
      <c r="H98" s="43">
        <v>3000</v>
      </c>
      <c r="I98" s="43">
        <v>1</v>
      </c>
      <c r="J98" s="43">
        <v>3200</v>
      </c>
      <c r="K98" s="101"/>
      <c r="L98" s="32">
        <v>5832</v>
      </c>
      <c r="M98" s="32">
        <v>121</v>
      </c>
      <c r="N98" s="32">
        <v>55</v>
      </c>
      <c r="O98" s="32">
        <v>195</v>
      </c>
      <c r="P98" s="32">
        <v>6.5</v>
      </c>
      <c r="Q98" s="32">
        <v>1000</v>
      </c>
      <c r="R98" s="32">
        <v>50</v>
      </c>
      <c r="S98" s="32">
        <v>350</v>
      </c>
      <c r="T98" s="32">
        <v>3668</v>
      </c>
      <c r="U98" s="32">
        <v>131</v>
      </c>
      <c r="V98" s="32">
        <v>35</v>
      </c>
      <c r="W98" s="32">
        <v>214</v>
      </c>
      <c r="X98" s="32">
        <v>7.15</v>
      </c>
      <c r="Y98" s="32">
        <v>800</v>
      </c>
      <c r="Z98" s="32">
        <v>50</v>
      </c>
      <c r="AA98" s="32">
        <v>350</v>
      </c>
      <c r="AC98" s="18"/>
    </row>
    <row r="99" spans="2:29">
      <c r="B99" s="14">
        <v>93</v>
      </c>
      <c r="C99" s="18">
        <v>25</v>
      </c>
      <c r="D99" s="43"/>
      <c r="E99" s="101">
        <f t="shared" ref="E99" si="175">E95</f>
        <v>1</v>
      </c>
      <c r="F99" s="101">
        <f t="shared" ref="F99" si="176">F95+10</f>
        <v>430</v>
      </c>
      <c r="G99" s="104" t="str">
        <f t="shared" si="128"/>
        <v/>
      </c>
      <c r="H99" s="43">
        <v>3000</v>
      </c>
      <c r="I99" s="43">
        <v>2</v>
      </c>
      <c r="J99" s="43">
        <v>180</v>
      </c>
      <c r="K99" s="101"/>
      <c r="L99" s="32">
        <v>5832</v>
      </c>
      <c r="M99" s="32">
        <v>121</v>
      </c>
      <c r="N99" s="32">
        <v>55</v>
      </c>
      <c r="O99" s="32">
        <v>195</v>
      </c>
      <c r="P99" s="32">
        <v>6.5</v>
      </c>
      <c r="Q99" s="32">
        <v>1000</v>
      </c>
      <c r="R99" s="32">
        <v>50</v>
      </c>
      <c r="S99" s="32">
        <v>350</v>
      </c>
      <c r="T99" s="32">
        <v>3668</v>
      </c>
      <c r="U99" s="32">
        <v>131</v>
      </c>
      <c r="V99" s="32">
        <v>35</v>
      </c>
      <c r="W99" s="32">
        <v>214</v>
      </c>
      <c r="X99" s="32">
        <v>7.15</v>
      </c>
      <c r="Y99" s="32">
        <v>800</v>
      </c>
      <c r="Z99" s="32">
        <v>50</v>
      </c>
      <c r="AA99" s="32">
        <v>350</v>
      </c>
      <c r="AC99" s="18"/>
    </row>
    <row r="100" spans="2:29">
      <c r="B100" s="14">
        <v>94</v>
      </c>
      <c r="C100" s="18">
        <v>25</v>
      </c>
      <c r="E100" s="101">
        <f t="shared" ref="E100" si="177">E96</f>
        <v>2</v>
      </c>
      <c r="F100" s="101">
        <f t="shared" ref="F100" si="178">F96+2</f>
        <v>76</v>
      </c>
      <c r="G100" s="104" t="str">
        <f t="shared" si="128"/>
        <v/>
      </c>
      <c r="H100" s="43">
        <v>3000</v>
      </c>
      <c r="I100" s="43">
        <v>3</v>
      </c>
      <c r="J100" s="43">
        <v>2</v>
      </c>
      <c r="K100" s="100" t="str">
        <f t="shared" ref="K100" si="179">K97</f>
        <v>301,302,303,304</v>
      </c>
      <c r="L100" s="32">
        <v>5832</v>
      </c>
      <c r="M100" s="32">
        <v>121</v>
      </c>
      <c r="N100" s="32">
        <v>55</v>
      </c>
      <c r="O100" s="32">
        <v>195</v>
      </c>
      <c r="P100" s="32">
        <v>6.5</v>
      </c>
      <c r="Q100" s="32">
        <v>1000</v>
      </c>
      <c r="R100" s="32">
        <v>50</v>
      </c>
      <c r="S100" s="32">
        <v>350</v>
      </c>
      <c r="T100" s="32">
        <v>3668</v>
      </c>
      <c r="U100" s="32">
        <v>131</v>
      </c>
      <c r="V100" s="32">
        <v>35</v>
      </c>
      <c r="W100" s="32">
        <v>214</v>
      </c>
      <c r="X100" s="32">
        <v>7.15</v>
      </c>
      <c r="Y100" s="32">
        <v>800</v>
      </c>
      <c r="Z100" s="32">
        <v>50</v>
      </c>
      <c r="AA100" s="32">
        <v>350</v>
      </c>
      <c r="AC100" s="18"/>
    </row>
    <row r="101" spans="2:29">
      <c r="B101" s="14">
        <v>95</v>
      </c>
      <c r="C101" s="18">
        <v>25</v>
      </c>
      <c r="D101" s="43">
        <v>2.84</v>
      </c>
      <c r="E101" s="101">
        <f t="shared" ref="E101" si="180">E97</f>
        <v>3</v>
      </c>
      <c r="F101" s="101">
        <f t="shared" ref="F101" si="181">INT(D101)</f>
        <v>2</v>
      </c>
      <c r="G101" s="104" t="str">
        <f t="shared" si="128"/>
        <v>301,302,303,304</v>
      </c>
      <c r="H101" s="43">
        <v>3000</v>
      </c>
      <c r="I101" s="43">
        <v>1</v>
      </c>
      <c r="J101" s="43">
        <v>3300</v>
      </c>
      <c r="K101" s="101"/>
      <c r="L101" s="32">
        <v>5832</v>
      </c>
      <c r="M101" s="32">
        <v>121</v>
      </c>
      <c r="N101" s="32">
        <v>55</v>
      </c>
      <c r="O101" s="32">
        <v>195</v>
      </c>
      <c r="P101" s="32">
        <v>6.5</v>
      </c>
      <c r="Q101" s="32">
        <v>1000</v>
      </c>
      <c r="R101" s="32">
        <v>50</v>
      </c>
      <c r="S101" s="32">
        <v>350</v>
      </c>
      <c r="T101" s="32">
        <v>3668</v>
      </c>
      <c r="U101" s="32">
        <v>131</v>
      </c>
      <c r="V101" s="32">
        <v>35</v>
      </c>
      <c r="W101" s="32">
        <v>214</v>
      </c>
      <c r="X101" s="32">
        <v>7.15</v>
      </c>
      <c r="Y101" s="32">
        <v>800</v>
      </c>
      <c r="Z101" s="32">
        <v>50</v>
      </c>
      <c r="AA101" s="32">
        <v>350</v>
      </c>
      <c r="AC101" s="18"/>
    </row>
    <row r="102" spans="2:29">
      <c r="B102" s="14">
        <v>96</v>
      </c>
      <c r="C102" s="18">
        <v>25</v>
      </c>
      <c r="D102" s="43"/>
      <c r="E102" s="101">
        <f t="shared" ref="E102:F102" si="182">E98</f>
        <v>4</v>
      </c>
      <c r="F102" s="101">
        <f t="shared" si="182"/>
        <v>1</v>
      </c>
      <c r="G102" s="104" t="str">
        <f t="shared" si="128"/>
        <v>111,110,109,108,107,106,105,104,103,102,101</v>
      </c>
      <c r="H102" s="43">
        <v>3000</v>
      </c>
      <c r="I102" s="43">
        <v>2</v>
      </c>
      <c r="J102" s="43">
        <v>185</v>
      </c>
      <c r="K102" s="101"/>
      <c r="L102" s="32">
        <v>5832</v>
      </c>
      <c r="M102" s="32">
        <v>121</v>
      </c>
      <c r="N102" s="32">
        <v>55</v>
      </c>
      <c r="O102" s="32">
        <v>195</v>
      </c>
      <c r="P102" s="32">
        <v>6.5</v>
      </c>
      <c r="Q102" s="32">
        <v>1000</v>
      </c>
      <c r="R102" s="32">
        <v>50</v>
      </c>
      <c r="S102" s="32">
        <v>350</v>
      </c>
      <c r="T102" s="32">
        <v>3668</v>
      </c>
      <c r="U102" s="32">
        <v>131</v>
      </c>
      <c r="V102" s="32">
        <v>35</v>
      </c>
      <c r="W102" s="32">
        <v>214</v>
      </c>
      <c r="X102" s="32">
        <v>7.15</v>
      </c>
      <c r="Y102" s="32">
        <v>800</v>
      </c>
      <c r="Z102" s="32">
        <v>50</v>
      </c>
      <c r="AA102" s="32">
        <v>350</v>
      </c>
      <c r="AC102" s="18"/>
    </row>
    <row r="103" spans="2:29">
      <c r="B103" s="14">
        <v>97</v>
      </c>
      <c r="C103" s="18">
        <v>25</v>
      </c>
      <c r="D103" s="43"/>
      <c r="E103" s="101">
        <f t="shared" ref="E103" si="183">E99</f>
        <v>1</v>
      </c>
      <c r="F103" s="101">
        <f t="shared" ref="F103" si="184">F99+10</f>
        <v>440</v>
      </c>
      <c r="G103" s="104" t="str">
        <f t="shared" si="128"/>
        <v/>
      </c>
      <c r="H103" s="43">
        <v>3000</v>
      </c>
      <c r="I103" s="43">
        <v>3</v>
      </c>
      <c r="J103" s="43">
        <v>2</v>
      </c>
      <c r="K103" s="100" t="str">
        <f t="shared" ref="K103" si="185">K100</f>
        <v>301,302,303,304</v>
      </c>
      <c r="L103" s="32">
        <v>5832</v>
      </c>
      <c r="M103" s="32">
        <v>121</v>
      </c>
      <c r="N103" s="32">
        <v>55</v>
      </c>
      <c r="O103" s="32">
        <v>195</v>
      </c>
      <c r="P103" s="32">
        <v>6.5</v>
      </c>
      <c r="Q103" s="32">
        <v>1000</v>
      </c>
      <c r="R103" s="32">
        <v>50</v>
      </c>
      <c r="S103" s="32">
        <v>350</v>
      </c>
      <c r="T103" s="32">
        <v>3668</v>
      </c>
      <c r="U103" s="32">
        <v>131</v>
      </c>
      <c r="V103" s="32">
        <v>35</v>
      </c>
      <c r="W103" s="32">
        <v>214</v>
      </c>
      <c r="X103" s="32">
        <v>7.15</v>
      </c>
      <c r="Y103" s="32">
        <v>800</v>
      </c>
      <c r="Z103" s="32">
        <v>50</v>
      </c>
      <c r="AA103" s="32">
        <v>350</v>
      </c>
      <c r="AC103" s="18"/>
    </row>
    <row r="104" spans="2:29">
      <c r="B104" s="14">
        <v>98</v>
      </c>
      <c r="C104" s="18">
        <v>25</v>
      </c>
      <c r="D104" s="43"/>
      <c r="E104" s="101">
        <f t="shared" ref="E104" si="186">E100</f>
        <v>2</v>
      </c>
      <c r="F104" s="101">
        <f t="shared" ref="F104" si="187">F100+2</f>
        <v>78</v>
      </c>
      <c r="G104" s="104" t="str">
        <f t="shared" si="128"/>
        <v/>
      </c>
      <c r="H104" s="43">
        <v>3000</v>
      </c>
      <c r="I104" s="43">
        <v>1</v>
      </c>
      <c r="J104" s="43">
        <v>3400</v>
      </c>
      <c r="K104" s="101"/>
      <c r="L104" s="32">
        <v>5832</v>
      </c>
      <c r="M104" s="32">
        <v>121</v>
      </c>
      <c r="N104" s="32">
        <v>55</v>
      </c>
      <c r="O104" s="32">
        <v>195</v>
      </c>
      <c r="P104" s="32">
        <v>6.5</v>
      </c>
      <c r="Q104" s="32">
        <v>1000</v>
      </c>
      <c r="R104" s="32">
        <v>50</v>
      </c>
      <c r="S104" s="32">
        <v>350</v>
      </c>
      <c r="T104" s="32">
        <v>3668</v>
      </c>
      <c r="U104" s="32">
        <v>131</v>
      </c>
      <c r="V104" s="32">
        <v>35</v>
      </c>
      <c r="W104" s="32">
        <v>214</v>
      </c>
      <c r="X104" s="32">
        <v>7.15</v>
      </c>
      <c r="Y104" s="32">
        <v>800</v>
      </c>
      <c r="Z104" s="32">
        <v>50</v>
      </c>
      <c r="AA104" s="32">
        <v>350</v>
      </c>
      <c r="AC104" s="18"/>
    </row>
    <row r="105" spans="2:29">
      <c r="B105" s="14">
        <v>99</v>
      </c>
      <c r="C105" s="18">
        <v>25</v>
      </c>
      <c r="D105" s="43">
        <v>2.92</v>
      </c>
      <c r="E105" s="101">
        <f t="shared" ref="E105" si="188">E101</f>
        <v>3</v>
      </c>
      <c r="F105" s="101">
        <f t="shared" ref="F105" si="189">INT(D105)</f>
        <v>2</v>
      </c>
      <c r="G105" s="104" t="str">
        <f t="shared" si="128"/>
        <v>301,302,303,304</v>
      </c>
      <c r="H105" s="43">
        <v>3000</v>
      </c>
      <c r="I105" s="43">
        <v>2</v>
      </c>
      <c r="J105" s="43">
        <v>190</v>
      </c>
      <c r="K105" s="101"/>
      <c r="L105" s="32">
        <v>5832</v>
      </c>
      <c r="M105" s="32">
        <v>121</v>
      </c>
      <c r="N105" s="32">
        <v>55</v>
      </c>
      <c r="O105" s="32">
        <v>195</v>
      </c>
      <c r="P105" s="32">
        <v>6.5</v>
      </c>
      <c r="Q105" s="32">
        <v>1000</v>
      </c>
      <c r="R105" s="32">
        <v>50</v>
      </c>
      <c r="S105" s="32">
        <v>350</v>
      </c>
      <c r="T105" s="32">
        <v>3668</v>
      </c>
      <c r="U105" s="32">
        <v>131</v>
      </c>
      <c r="V105" s="32">
        <v>35</v>
      </c>
      <c r="W105" s="32">
        <v>214</v>
      </c>
      <c r="X105" s="32">
        <v>7.15</v>
      </c>
      <c r="Y105" s="32">
        <v>800</v>
      </c>
      <c r="Z105" s="32">
        <v>50</v>
      </c>
      <c r="AA105" s="32">
        <v>350</v>
      </c>
      <c r="AC105" s="18"/>
    </row>
    <row r="106" spans="2:29">
      <c r="B106" s="14">
        <v>100</v>
      </c>
      <c r="C106" s="18">
        <v>25</v>
      </c>
      <c r="D106" s="43"/>
      <c r="E106" s="101">
        <f t="shared" ref="E106:F106" si="190">E102</f>
        <v>4</v>
      </c>
      <c r="F106" s="101">
        <f t="shared" si="190"/>
        <v>1</v>
      </c>
      <c r="G106" s="104" t="str">
        <f t="shared" si="128"/>
        <v>111,110,109,108,107,106,105,104,103,102,101</v>
      </c>
      <c r="H106" s="43">
        <v>3000</v>
      </c>
      <c r="I106" s="43">
        <v>3</v>
      </c>
      <c r="J106" s="43">
        <v>2</v>
      </c>
      <c r="K106" s="100" t="str">
        <f t="shared" ref="K106" si="191">K103</f>
        <v>301,302,303,304</v>
      </c>
      <c r="L106" s="32">
        <v>5832</v>
      </c>
      <c r="M106" s="32">
        <v>121</v>
      </c>
      <c r="N106" s="32">
        <v>55</v>
      </c>
      <c r="O106" s="32">
        <v>195</v>
      </c>
      <c r="P106" s="32">
        <v>6.5</v>
      </c>
      <c r="Q106" s="32">
        <v>1000</v>
      </c>
      <c r="R106" s="32">
        <v>50</v>
      </c>
      <c r="S106" s="32">
        <v>350</v>
      </c>
      <c r="T106" s="32">
        <v>3668</v>
      </c>
      <c r="U106" s="32">
        <v>131</v>
      </c>
      <c r="V106" s="32">
        <v>35</v>
      </c>
      <c r="W106" s="32">
        <v>214</v>
      </c>
      <c r="X106" s="32">
        <v>7.15</v>
      </c>
      <c r="Y106" s="32">
        <v>800</v>
      </c>
      <c r="Z106" s="32">
        <v>50</v>
      </c>
      <c r="AA106" s="32">
        <v>350</v>
      </c>
      <c r="AC106" s="18"/>
    </row>
    <row r="107" spans="2:29">
      <c r="B107" s="14">
        <v>101</v>
      </c>
      <c r="C107" s="18">
        <v>25</v>
      </c>
      <c r="D107" s="43"/>
      <c r="E107" s="101">
        <f t="shared" ref="E107" si="192">E103</f>
        <v>1</v>
      </c>
      <c r="F107" s="101">
        <f t="shared" ref="F107" si="193">F103+10</f>
        <v>450</v>
      </c>
      <c r="G107" s="104" t="str">
        <f t="shared" si="128"/>
        <v/>
      </c>
      <c r="H107" s="43">
        <v>3000</v>
      </c>
      <c r="I107" s="43">
        <v>1</v>
      </c>
      <c r="J107" s="43">
        <v>3500</v>
      </c>
      <c r="K107" s="101"/>
      <c r="L107" s="32">
        <v>5832</v>
      </c>
      <c r="M107" s="32">
        <v>121</v>
      </c>
      <c r="N107" s="32">
        <v>55</v>
      </c>
      <c r="O107" s="32">
        <v>195</v>
      </c>
      <c r="P107" s="32">
        <v>6.5</v>
      </c>
      <c r="Q107" s="32">
        <v>1000</v>
      </c>
      <c r="R107" s="32">
        <v>50</v>
      </c>
      <c r="S107" s="32">
        <v>350</v>
      </c>
      <c r="T107" s="32">
        <v>3668</v>
      </c>
      <c r="U107" s="32">
        <v>131</v>
      </c>
      <c r="V107" s="32">
        <v>35</v>
      </c>
      <c r="W107" s="32">
        <v>214</v>
      </c>
      <c r="X107" s="32">
        <v>7.15</v>
      </c>
      <c r="Y107" s="32">
        <v>800</v>
      </c>
      <c r="Z107" s="32">
        <v>50</v>
      </c>
      <c r="AA107" s="32">
        <v>350</v>
      </c>
      <c r="AC107" s="18"/>
    </row>
    <row r="108" spans="2:29">
      <c r="B108" s="14">
        <v>102</v>
      </c>
      <c r="C108" s="18">
        <v>25</v>
      </c>
      <c r="E108" s="101">
        <f t="shared" ref="E108" si="194">E104</f>
        <v>2</v>
      </c>
      <c r="F108" s="101">
        <f t="shared" ref="F108" si="195">F104+2</f>
        <v>80</v>
      </c>
      <c r="G108" s="104" t="str">
        <f t="shared" si="128"/>
        <v/>
      </c>
      <c r="H108" s="43">
        <v>3000</v>
      </c>
      <c r="I108" s="43">
        <v>2</v>
      </c>
      <c r="J108" s="43">
        <v>195</v>
      </c>
      <c r="K108" s="101"/>
      <c r="L108" s="32">
        <v>5832</v>
      </c>
      <c r="M108" s="32">
        <v>121</v>
      </c>
      <c r="N108" s="32">
        <v>55</v>
      </c>
      <c r="O108" s="32">
        <v>195</v>
      </c>
      <c r="P108" s="32">
        <v>6.5</v>
      </c>
      <c r="Q108" s="32">
        <v>1000</v>
      </c>
      <c r="R108" s="32">
        <v>50</v>
      </c>
      <c r="S108" s="32">
        <v>350</v>
      </c>
      <c r="T108" s="32">
        <v>3668</v>
      </c>
      <c r="U108" s="32">
        <v>131</v>
      </c>
      <c r="V108" s="32">
        <v>35</v>
      </c>
      <c r="W108" s="32">
        <v>214</v>
      </c>
      <c r="X108" s="32">
        <v>7.15</v>
      </c>
      <c r="Y108" s="32">
        <v>800</v>
      </c>
      <c r="Z108" s="32">
        <v>50</v>
      </c>
      <c r="AA108" s="32">
        <v>350</v>
      </c>
      <c r="AC108" s="18"/>
    </row>
    <row r="109" spans="2:29">
      <c r="B109" s="14">
        <v>103</v>
      </c>
      <c r="C109" s="18">
        <v>25</v>
      </c>
      <c r="D109" s="43">
        <v>3</v>
      </c>
      <c r="E109" s="101">
        <f t="shared" ref="E109" si="196">E105</f>
        <v>3</v>
      </c>
      <c r="F109" s="101">
        <f t="shared" ref="F109" si="197">INT(D109)</f>
        <v>3</v>
      </c>
      <c r="G109" s="104" t="str">
        <f t="shared" si="128"/>
        <v>301,302,303,304</v>
      </c>
      <c r="H109" s="43">
        <v>3000</v>
      </c>
      <c r="I109" s="43">
        <v>3</v>
      </c>
      <c r="J109" s="43">
        <v>2</v>
      </c>
      <c r="K109" s="100" t="str">
        <f t="shared" ref="K109" si="198">K106</f>
        <v>301,302,303,304</v>
      </c>
      <c r="L109" s="32">
        <v>5832</v>
      </c>
      <c r="M109" s="32">
        <v>121</v>
      </c>
      <c r="N109" s="32">
        <v>55</v>
      </c>
      <c r="O109" s="32">
        <v>195</v>
      </c>
      <c r="P109" s="32">
        <v>6.5</v>
      </c>
      <c r="Q109" s="32">
        <v>1000</v>
      </c>
      <c r="R109" s="32">
        <v>50</v>
      </c>
      <c r="S109" s="32">
        <v>350</v>
      </c>
      <c r="T109" s="32">
        <v>3668</v>
      </c>
      <c r="U109" s="32">
        <v>131</v>
      </c>
      <c r="V109" s="32">
        <v>35</v>
      </c>
      <c r="W109" s="32">
        <v>214</v>
      </c>
      <c r="X109" s="32">
        <v>7.15</v>
      </c>
      <c r="Y109" s="32">
        <v>800</v>
      </c>
      <c r="Z109" s="32">
        <v>50</v>
      </c>
      <c r="AA109" s="32">
        <v>350</v>
      </c>
      <c r="AC109" s="18"/>
    </row>
    <row r="110" spans="2:29">
      <c r="B110" s="14">
        <v>104</v>
      </c>
      <c r="C110" s="18">
        <v>25</v>
      </c>
      <c r="D110" s="43"/>
      <c r="E110" s="101">
        <f t="shared" ref="E110:F110" si="199">E106</f>
        <v>4</v>
      </c>
      <c r="F110" s="101">
        <f t="shared" si="199"/>
        <v>1</v>
      </c>
      <c r="G110" s="104" t="str">
        <f t="shared" si="128"/>
        <v>111,110,109,108,107,106,105,104,103,102,101</v>
      </c>
      <c r="H110" s="43">
        <v>3000</v>
      </c>
      <c r="I110" s="43">
        <v>1</v>
      </c>
      <c r="J110" s="43">
        <v>3600</v>
      </c>
      <c r="K110" s="101"/>
      <c r="L110" s="32">
        <v>5832</v>
      </c>
      <c r="M110" s="32">
        <v>121</v>
      </c>
      <c r="N110" s="32">
        <v>55</v>
      </c>
      <c r="O110" s="32">
        <v>195</v>
      </c>
      <c r="P110" s="32">
        <v>6.5</v>
      </c>
      <c r="Q110" s="32">
        <v>1000</v>
      </c>
      <c r="R110" s="32">
        <v>50</v>
      </c>
      <c r="S110" s="32">
        <v>350</v>
      </c>
      <c r="T110" s="32">
        <v>3668</v>
      </c>
      <c r="U110" s="32">
        <v>131</v>
      </c>
      <c r="V110" s="32">
        <v>35</v>
      </c>
      <c r="W110" s="32">
        <v>214</v>
      </c>
      <c r="X110" s="32">
        <v>7.15</v>
      </c>
      <c r="Y110" s="32">
        <v>800</v>
      </c>
      <c r="Z110" s="32">
        <v>50</v>
      </c>
      <c r="AA110" s="32">
        <v>350</v>
      </c>
      <c r="AC110" s="18"/>
    </row>
    <row r="111" spans="2:29">
      <c r="B111" s="14">
        <v>105</v>
      </c>
      <c r="C111" s="18">
        <v>25</v>
      </c>
      <c r="D111" s="43"/>
      <c r="E111" s="101">
        <f t="shared" ref="E111" si="200">E107</f>
        <v>1</v>
      </c>
      <c r="F111" s="101">
        <f t="shared" ref="F111" si="201">F107+10</f>
        <v>460</v>
      </c>
      <c r="G111" s="104" t="str">
        <f t="shared" si="128"/>
        <v/>
      </c>
      <c r="H111" s="43">
        <v>3000</v>
      </c>
      <c r="I111" s="43">
        <v>2</v>
      </c>
      <c r="J111" s="43">
        <v>200</v>
      </c>
      <c r="K111" s="101"/>
      <c r="L111" s="32">
        <v>5832</v>
      </c>
      <c r="M111" s="32">
        <v>121</v>
      </c>
      <c r="N111" s="32">
        <v>55</v>
      </c>
      <c r="O111" s="32">
        <v>195</v>
      </c>
      <c r="P111" s="32">
        <v>6.5</v>
      </c>
      <c r="Q111" s="32">
        <v>1000</v>
      </c>
      <c r="R111" s="32">
        <v>50</v>
      </c>
      <c r="S111" s="32">
        <v>350</v>
      </c>
      <c r="T111" s="32">
        <v>3668</v>
      </c>
      <c r="U111" s="32">
        <v>131</v>
      </c>
      <c r="V111" s="32">
        <v>35</v>
      </c>
      <c r="W111" s="32">
        <v>214</v>
      </c>
      <c r="X111" s="32">
        <v>7.15</v>
      </c>
      <c r="Y111" s="32">
        <v>800</v>
      </c>
      <c r="Z111" s="32">
        <v>50</v>
      </c>
      <c r="AA111" s="32">
        <v>350</v>
      </c>
      <c r="AC111" s="18"/>
    </row>
    <row r="112" spans="2:29">
      <c r="B112" s="14">
        <v>106</v>
      </c>
      <c r="C112" s="18">
        <v>25</v>
      </c>
      <c r="D112" s="43"/>
      <c r="E112" s="101">
        <f t="shared" ref="E112" si="202">E108</f>
        <v>2</v>
      </c>
      <c r="F112" s="101">
        <f t="shared" ref="F112" si="203">F108+2</f>
        <v>82</v>
      </c>
      <c r="G112" s="104" t="str">
        <f t="shared" si="128"/>
        <v/>
      </c>
      <c r="H112" s="43">
        <v>3000</v>
      </c>
      <c r="I112" s="43">
        <v>3</v>
      </c>
      <c r="J112" s="43">
        <v>2</v>
      </c>
      <c r="K112" s="100" t="str">
        <f t="shared" ref="K112" si="204">K109</f>
        <v>301,302,303,304</v>
      </c>
      <c r="L112" s="32">
        <v>5832</v>
      </c>
      <c r="M112" s="32">
        <v>121</v>
      </c>
      <c r="N112" s="32">
        <v>55</v>
      </c>
      <c r="O112" s="32">
        <v>195</v>
      </c>
      <c r="P112" s="32">
        <v>6.5</v>
      </c>
      <c r="Q112" s="32">
        <v>1000</v>
      </c>
      <c r="R112" s="32">
        <v>50</v>
      </c>
      <c r="S112" s="32">
        <v>350</v>
      </c>
      <c r="T112" s="32">
        <v>3668</v>
      </c>
      <c r="U112" s="32">
        <v>131</v>
      </c>
      <c r="V112" s="32">
        <v>35</v>
      </c>
      <c r="W112" s="32">
        <v>214</v>
      </c>
      <c r="X112" s="32">
        <v>7.15</v>
      </c>
      <c r="Y112" s="32">
        <v>800</v>
      </c>
      <c r="Z112" s="32">
        <v>50</v>
      </c>
      <c r="AA112" s="32">
        <v>350</v>
      </c>
      <c r="AC112" s="18"/>
    </row>
    <row r="113" spans="2:29">
      <c r="B113" s="14">
        <v>107</v>
      </c>
      <c r="C113" s="18">
        <v>25</v>
      </c>
      <c r="D113" s="43">
        <v>3.08</v>
      </c>
      <c r="E113" s="101">
        <f t="shared" ref="E113" si="205">E109</f>
        <v>3</v>
      </c>
      <c r="F113" s="101">
        <f t="shared" ref="F113" si="206">INT(D113)</f>
        <v>3</v>
      </c>
      <c r="G113" s="104" t="str">
        <f t="shared" si="128"/>
        <v>301,302,303,304</v>
      </c>
      <c r="H113" s="43">
        <v>3000</v>
      </c>
      <c r="I113" s="43">
        <v>1</v>
      </c>
      <c r="J113" s="43">
        <v>3700</v>
      </c>
      <c r="K113" s="101"/>
      <c r="L113" s="32">
        <v>5832</v>
      </c>
      <c r="M113" s="32">
        <v>121</v>
      </c>
      <c r="N113" s="32">
        <v>55</v>
      </c>
      <c r="O113" s="32">
        <v>195</v>
      </c>
      <c r="P113" s="32">
        <v>6.5</v>
      </c>
      <c r="Q113" s="32">
        <v>1000</v>
      </c>
      <c r="R113" s="32">
        <v>50</v>
      </c>
      <c r="S113" s="32">
        <v>350</v>
      </c>
      <c r="T113" s="32">
        <v>3668</v>
      </c>
      <c r="U113" s="32">
        <v>131</v>
      </c>
      <c r="V113" s="32">
        <v>35</v>
      </c>
      <c r="W113" s="32">
        <v>214</v>
      </c>
      <c r="X113" s="32">
        <v>7.15</v>
      </c>
      <c r="Y113" s="32">
        <v>800</v>
      </c>
      <c r="Z113" s="32">
        <v>50</v>
      </c>
      <c r="AA113" s="32">
        <v>350</v>
      </c>
      <c r="AC113" s="18"/>
    </row>
    <row r="114" spans="2:29">
      <c r="B114" s="14">
        <v>108</v>
      </c>
      <c r="C114" s="18">
        <v>25</v>
      </c>
      <c r="D114" s="43"/>
      <c r="E114" s="101">
        <f t="shared" ref="E114:F114" si="207">E110</f>
        <v>4</v>
      </c>
      <c r="F114" s="101">
        <f t="shared" si="207"/>
        <v>1</v>
      </c>
      <c r="G114" s="104" t="str">
        <f t="shared" si="128"/>
        <v>111,110,109,108,107,106,105,104,103,102,101</v>
      </c>
      <c r="H114" s="43">
        <v>3000</v>
      </c>
      <c r="I114" s="43">
        <v>2</v>
      </c>
      <c r="J114" s="43">
        <v>205</v>
      </c>
      <c r="K114" s="101"/>
      <c r="L114" s="32">
        <v>5832</v>
      </c>
      <c r="M114" s="32">
        <v>121</v>
      </c>
      <c r="N114" s="32">
        <v>55</v>
      </c>
      <c r="O114" s="32">
        <v>195</v>
      </c>
      <c r="P114" s="32">
        <v>6.5</v>
      </c>
      <c r="Q114" s="32">
        <v>1000</v>
      </c>
      <c r="R114" s="32">
        <v>50</v>
      </c>
      <c r="S114" s="32">
        <v>350</v>
      </c>
      <c r="T114" s="32">
        <v>3668</v>
      </c>
      <c r="U114" s="32">
        <v>131</v>
      </c>
      <c r="V114" s="32">
        <v>35</v>
      </c>
      <c r="W114" s="32">
        <v>214</v>
      </c>
      <c r="X114" s="32">
        <v>7.15</v>
      </c>
      <c r="Y114" s="32">
        <v>800</v>
      </c>
      <c r="Z114" s="32">
        <v>50</v>
      </c>
      <c r="AA114" s="32">
        <v>350</v>
      </c>
      <c r="AC114" s="18"/>
    </row>
    <row r="115" spans="2:29">
      <c r="B115" s="14">
        <v>109</v>
      </c>
      <c r="C115" s="18">
        <v>25</v>
      </c>
      <c r="D115" s="43"/>
      <c r="E115" s="101">
        <f t="shared" ref="E115" si="208">E111</f>
        <v>1</v>
      </c>
      <c r="F115" s="101">
        <f t="shared" ref="F115" si="209">F111+10</f>
        <v>470</v>
      </c>
      <c r="G115" s="104" t="str">
        <f t="shared" si="128"/>
        <v/>
      </c>
      <c r="H115" s="43">
        <v>3000</v>
      </c>
      <c r="I115" s="43">
        <v>3</v>
      </c>
      <c r="J115" s="43">
        <v>2</v>
      </c>
      <c r="K115" s="100" t="str">
        <f t="shared" ref="K115" si="210">K112</f>
        <v>301,302,303,304</v>
      </c>
      <c r="L115" s="32">
        <v>5832</v>
      </c>
      <c r="M115" s="32">
        <v>121</v>
      </c>
      <c r="N115" s="32">
        <v>55</v>
      </c>
      <c r="O115" s="32">
        <v>195</v>
      </c>
      <c r="P115" s="32">
        <v>6.5</v>
      </c>
      <c r="Q115" s="32">
        <v>1000</v>
      </c>
      <c r="R115" s="32">
        <v>50</v>
      </c>
      <c r="S115" s="32">
        <v>350</v>
      </c>
      <c r="T115" s="32">
        <v>3668</v>
      </c>
      <c r="U115" s="32">
        <v>131</v>
      </c>
      <c r="V115" s="32">
        <v>35</v>
      </c>
      <c r="W115" s="32">
        <v>214</v>
      </c>
      <c r="X115" s="32">
        <v>7.15</v>
      </c>
      <c r="Y115" s="32">
        <v>800</v>
      </c>
      <c r="Z115" s="32">
        <v>50</v>
      </c>
      <c r="AA115" s="32">
        <v>350</v>
      </c>
      <c r="AC115" s="18"/>
    </row>
    <row r="116" spans="2:29">
      <c r="B116" s="14">
        <v>110</v>
      </c>
      <c r="C116" s="18">
        <v>25</v>
      </c>
      <c r="E116" s="101">
        <f t="shared" ref="E116" si="211">E112</f>
        <v>2</v>
      </c>
      <c r="F116" s="101">
        <f t="shared" ref="F116" si="212">F112+2</f>
        <v>84</v>
      </c>
      <c r="G116" s="104" t="str">
        <f t="shared" si="128"/>
        <v/>
      </c>
      <c r="H116" s="43">
        <v>3000</v>
      </c>
      <c r="I116" s="43">
        <v>1</v>
      </c>
      <c r="J116" s="43">
        <v>3800</v>
      </c>
      <c r="K116" s="101"/>
      <c r="L116" s="32">
        <v>5832</v>
      </c>
      <c r="M116" s="32">
        <v>121</v>
      </c>
      <c r="N116" s="32">
        <v>55</v>
      </c>
      <c r="O116" s="32">
        <v>195</v>
      </c>
      <c r="P116" s="32">
        <v>6.5</v>
      </c>
      <c r="Q116" s="32">
        <v>1000</v>
      </c>
      <c r="R116" s="32">
        <v>50</v>
      </c>
      <c r="S116" s="32">
        <v>350</v>
      </c>
      <c r="T116" s="32">
        <v>3668</v>
      </c>
      <c r="U116" s="32">
        <v>131</v>
      </c>
      <c r="V116" s="32">
        <v>35</v>
      </c>
      <c r="W116" s="32">
        <v>214</v>
      </c>
      <c r="X116" s="32">
        <v>7.15</v>
      </c>
      <c r="Y116" s="32">
        <v>800</v>
      </c>
      <c r="Z116" s="32">
        <v>50</v>
      </c>
      <c r="AA116" s="32">
        <v>350</v>
      </c>
      <c r="AC116" s="18"/>
    </row>
    <row r="117" spans="2:29">
      <c r="B117" s="14">
        <v>111</v>
      </c>
      <c r="C117" s="18">
        <v>25</v>
      </c>
      <c r="D117" s="43">
        <v>3.16</v>
      </c>
      <c r="E117" s="101">
        <f t="shared" ref="E117" si="213">E113</f>
        <v>3</v>
      </c>
      <c r="F117" s="101">
        <f t="shared" ref="F117" si="214">INT(D117)</f>
        <v>3</v>
      </c>
      <c r="G117" s="104" t="str">
        <f t="shared" si="128"/>
        <v>301,302,303,304</v>
      </c>
      <c r="H117" s="43">
        <v>3000</v>
      </c>
      <c r="I117" s="43">
        <v>2</v>
      </c>
      <c r="J117" s="43">
        <v>210</v>
      </c>
      <c r="K117" s="101"/>
      <c r="L117" s="32">
        <v>5832</v>
      </c>
      <c r="M117" s="32">
        <v>121</v>
      </c>
      <c r="N117" s="32">
        <v>55</v>
      </c>
      <c r="O117" s="32">
        <v>195</v>
      </c>
      <c r="P117" s="32">
        <v>6.5</v>
      </c>
      <c r="Q117" s="32">
        <v>1000</v>
      </c>
      <c r="R117" s="32">
        <v>50</v>
      </c>
      <c r="S117" s="32">
        <v>350</v>
      </c>
      <c r="T117" s="32">
        <v>3668</v>
      </c>
      <c r="U117" s="32">
        <v>131</v>
      </c>
      <c r="V117" s="32">
        <v>35</v>
      </c>
      <c r="W117" s="32">
        <v>214</v>
      </c>
      <c r="X117" s="32">
        <v>7.15</v>
      </c>
      <c r="Y117" s="32">
        <v>800</v>
      </c>
      <c r="Z117" s="32">
        <v>50</v>
      </c>
      <c r="AA117" s="32">
        <v>350</v>
      </c>
      <c r="AC117" s="18"/>
    </row>
    <row r="118" spans="2:29">
      <c r="B118" s="14">
        <v>112</v>
      </c>
      <c r="C118" s="18">
        <v>25</v>
      </c>
      <c r="D118" s="43"/>
      <c r="E118" s="101">
        <f t="shared" ref="E118:F118" si="215">E114</f>
        <v>4</v>
      </c>
      <c r="F118" s="101">
        <f t="shared" si="215"/>
        <v>1</v>
      </c>
      <c r="G118" s="104" t="str">
        <f t="shared" si="128"/>
        <v>111,110,109,108,107,106,105,104,103,102,101</v>
      </c>
      <c r="H118" s="43">
        <v>3000</v>
      </c>
      <c r="I118" s="43">
        <v>3</v>
      </c>
      <c r="J118" s="43">
        <v>2</v>
      </c>
      <c r="K118" s="100" t="str">
        <f t="shared" ref="K118" si="216">K115</f>
        <v>301,302,303,304</v>
      </c>
      <c r="L118" s="32">
        <v>5832</v>
      </c>
      <c r="M118" s="32">
        <v>121</v>
      </c>
      <c r="N118" s="32">
        <v>55</v>
      </c>
      <c r="O118" s="32">
        <v>195</v>
      </c>
      <c r="P118" s="32">
        <v>6.5</v>
      </c>
      <c r="Q118" s="32">
        <v>1000</v>
      </c>
      <c r="R118" s="32">
        <v>50</v>
      </c>
      <c r="S118" s="32">
        <v>350</v>
      </c>
      <c r="T118" s="32">
        <v>3668</v>
      </c>
      <c r="U118" s="32">
        <v>131</v>
      </c>
      <c r="V118" s="32">
        <v>35</v>
      </c>
      <c r="W118" s="32">
        <v>214</v>
      </c>
      <c r="X118" s="32">
        <v>7.15</v>
      </c>
      <c r="Y118" s="32">
        <v>800</v>
      </c>
      <c r="Z118" s="32">
        <v>50</v>
      </c>
      <c r="AA118" s="32">
        <v>350</v>
      </c>
      <c r="AC118" s="18"/>
    </row>
    <row r="119" spans="2:29">
      <c r="B119" s="14">
        <v>113</v>
      </c>
      <c r="C119" s="18">
        <v>25</v>
      </c>
      <c r="D119" s="43"/>
      <c r="E119" s="101">
        <f t="shared" ref="E119" si="217">E115</f>
        <v>1</v>
      </c>
      <c r="F119" s="101">
        <f t="shared" ref="F119" si="218">F115+10</f>
        <v>480</v>
      </c>
      <c r="G119" s="104" t="str">
        <f t="shared" si="128"/>
        <v/>
      </c>
      <c r="H119" s="43">
        <v>3000</v>
      </c>
      <c r="I119" s="43">
        <v>1</v>
      </c>
      <c r="J119" s="43">
        <v>3900</v>
      </c>
      <c r="K119" s="101"/>
      <c r="L119" s="32">
        <v>5832</v>
      </c>
      <c r="M119" s="32">
        <v>121</v>
      </c>
      <c r="N119" s="32">
        <v>55</v>
      </c>
      <c r="O119" s="32">
        <v>195</v>
      </c>
      <c r="P119" s="32">
        <v>6.5</v>
      </c>
      <c r="Q119" s="32">
        <v>1000</v>
      </c>
      <c r="R119" s="32">
        <v>50</v>
      </c>
      <c r="S119" s="32">
        <v>350</v>
      </c>
      <c r="T119" s="32">
        <v>3668</v>
      </c>
      <c r="U119" s="32">
        <v>131</v>
      </c>
      <c r="V119" s="32">
        <v>35</v>
      </c>
      <c r="W119" s="32">
        <v>214</v>
      </c>
      <c r="X119" s="32">
        <v>7.15</v>
      </c>
      <c r="Y119" s="32">
        <v>800</v>
      </c>
      <c r="Z119" s="32">
        <v>50</v>
      </c>
      <c r="AA119" s="32">
        <v>350</v>
      </c>
      <c r="AC119" s="18"/>
    </row>
    <row r="120" spans="2:29">
      <c r="B120" s="14">
        <v>114</v>
      </c>
      <c r="C120" s="18">
        <v>25</v>
      </c>
      <c r="D120" s="43"/>
      <c r="E120" s="101">
        <f t="shared" ref="E120" si="219">E116</f>
        <v>2</v>
      </c>
      <c r="F120" s="101">
        <f t="shared" ref="F120" si="220">F116+2</f>
        <v>86</v>
      </c>
      <c r="G120" s="104" t="str">
        <f t="shared" si="128"/>
        <v/>
      </c>
      <c r="H120" s="43">
        <v>3000</v>
      </c>
      <c r="I120" s="43">
        <v>2</v>
      </c>
      <c r="J120" s="43">
        <v>215</v>
      </c>
      <c r="K120" s="101"/>
      <c r="L120" s="32">
        <v>5832</v>
      </c>
      <c r="M120" s="32">
        <v>121</v>
      </c>
      <c r="N120" s="32">
        <v>55</v>
      </c>
      <c r="O120" s="32">
        <v>195</v>
      </c>
      <c r="P120" s="32">
        <v>6.5</v>
      </c>
      <c r="Q120" s="32">
        <v>1000</v>
      </c>
      <c r="R120" s="32">
        <v>50</v>
      </c>
      <c r="S120" s="32">
        <v>350</v>
      </c>
      <c r="T120" s="32">
        <v>3668</v>
      </c>
      <c r="U120" s="32">
        <v>131</v>
      </c>
      <c r="V120" s="32">
        <v>35</v>
      </c>
      <c r="W120" s="32">
        <v>214</v>
      </c>
      <c r="X120" s="32">
        <v>7.15</v>
      </c>
      <c r="Y120" s="32">
        <v>800</v>
      </c>
      <c r="Z120" s="32">
        <v>50</v>
      </c>
      <c r="AA120" s="32">
        <v>350</v>
      </c>
      <c r="AC120" s="18"/>
    </row>
    <row r="121" spans="2:29">
      <c r="B121" s="14">
        <v>115</v>
      </c>
      <c r="C121" s="18">
        <v>25</v>
      </c>
      <c r="D121" s="43">
        <v>3.24</v>
      </c>
      <c r="E121" s="101">
        <f t="shared" ref="E121" si="221">E117</f>
        <v>3</v>
      </c>
      <c r="F121" s="101">
        <f t="shared" ref="F121" si="222">INT(D121)</f>
        <v>3</v>
      </c>
      <c r="G121" s="104" t="str">
        <f t="shared" si="128"/>
        <v>301,302,303,304</v>
      </c>
      <c r="H121" s="43">
        <v>3000</v>
      </c>
      <c r="I121" s="43">
        <v>3</v>
      </c>
      <c r="J121" s="43">
        <v>2</v>
      </c>
      <c r="K121" s="100" t="str">
        <f t="shared" ref="K121" si="223">K118</f>
        <v>301,302,303,304</v>
      </c>
      <c r="L121" s="32">
        <v>5832</v>
      </c>
      <c r="M121" s="32">
        <v>121</v>
      </c>
      <c r="N121" s="32">
        <v>55</v>
      </c>
      <c r="O121" s="32">
        <v>195</v>
      </c>
      <c r="P121" s="32">
        <v>6.5</v>
      </c>
      <c r="Q121" s="32">
        <v>1000</v>
      </c>
      <c r="R121" s="32">
        <v>50</v>
      </c>
      <c r="S121" s="32">
        <v>350</v>
      </c>
      <c r="T121" s="32">
        <v>3668</v>
      </c>
      <c r="U121" s="32">
        <v>131</v>
      </c>
      <c r="V121" s="32">
        <v>35</v>
      </c>
      <c r="W121" s="32">
        <v>214</v>
      </c>
      <c r="X121" s="32">
        <v>7.15</v>
      </c>
      <c r="Y121" s="32">
        <v>800</v>
      </c>
      <c r="Z121" s="32">
        <v>50</v>
      </c>
      <c r="AA121" s="32">
        <v>350</v>
      </c>
      <c r="AC121" s="18"/>
    </row>
    <row r="122" spans="2:29">
      <c r="B122" s="14">
        <v>116</v>
      </c>
      <c r="C122" s="18">
        <v>25</v>
      </c>
      <c r="D122" s="43"/>
      <c r="E122" s="101">
        <f t="shared" ref="E122:F122" si="224">E118</f>
        <v>4</v>
      </c>
      <c r="F122" s="101">
        <f t="shared" si="224"/>
        <v>1</v>
      </c>
      <c r="G122" s="104" t="str">
        <f t="shared" si="128"/>
        <v>111,110,109,108,107,106,105,104,103,102,101</v>
      </c>
      <c r="H122" s="43">
        <v>3000</v>
      </c>
      <c r="I122" s="43">
        <v>1</v>
      </c>
      <c r="J122" s="43">
        <v>4000</v>
      </c>
      <c r="K122" s="101"/>
      <c r="L122" s="32">
        <v>5832</v>
      </c>
      <c r="M122" s="32">
        <v>121</v>
      </c>
      <c r="N122" s="32">
        <v>55</v>
      </c>
      <c r="O122" s="32">
        <v>195</v>
      </c>
      <c r="P122" s="32">
        <v>6.5</v>
      </c>
      <c r="Q122" s="32">
        <v>1000</v>
      </c>
      <c r="R122" s="32">
        <v>50</v>
      </c>
      <c r="S122" s="32">
        <v>350</v>
      </c>
      <c r="T122" s="32">
        <v>3668</v>
      </c>
      <c r="U122" s="32">
        <v>131</v>
      </c>
      <c r="V122" s="32">
        <v>35</v>
      </c>
      <c r="W122" s="32">
        <v>214</v>
      </c>
      <c r="X122" s="32">
        <v>7.15</v>
      </c>
      <c r="Y122" s="32">
        <v>800</v>
      </c>
      <c r="Z122" s="32">
        <v>50</v>
      </c>
      <c r="AA122" s="32">
        <v>350</v>
      </c>
      <c r="AC122" s="18"/>
    </row>
    <row r="123" spans="2:29">
      <c r="B123" s="14">
        <v>117</v>
      </c>
      <c r="C123" s="18">
        <v>25</v>
      </c>
      <c r="D123" s="43"/>
      <c r="E123" s="101">
        <f t="shared" ref="E123" si="225">E119</f>
        <v>1</v>
      </c>
      <c r="F123" s="101">
        <f t="shared" ref="F123" si="226">F119+10</f>
        <v>490</v>
      </c>
      <c r="G123" s="104" t="str">
        <f t="shared" si="128"/>
        <v/>
      </c>
      <c r="H123" s="43">
        <v>3000</v>
      </c>
      <c r="I123" s="43">
        <v>2</v>
      </c>
      <c r="J123" s="43">
        <v>220</v>
      </c>
      <c r="K123" s="101"/>
      <c r="L123" s="32">
        <v>5832</v>
      </c>
      <c r="M123" s="32">
        <v>121</v>
      </c>
      <c r="N123" s="32">
        <v>55</v>
      </c>
      <c r="O123" s="32">
        <v>195</v>
      </c>
      <c r="P123" s="32">
        <v>6.5</v>
      </c>
      <c r="Q123" s="32">
        <v>1000</v>
      </c>
      <c r="R123" s="32">
        <v>50</v>
      </c>
      <c r="S123" s="32">
        <v>350</v>
      </c>
      <c r="T123" s="32">
        <v>3668</v>
      </c>
      <c r="U123" s="32">
        <v>131</v>
      </c>
      <c r="V123" s="32">
        <v>35</v>
      </c>
      <c r="W123" s="32">
        <v>214</v>
      </c>
      <c r="X123" s="32">
        <v>7.15</v>
      </c>
      <c r="Y123" s="32">
        <v>800</v>
      </c>
      <c r="Z123" s="32">
        <v>50</v>
      </c>
      <c r="AA123" s="32">
        <v>350</v>
      </c>
      <c r="AC123" s="18"/>
    </row>
    <row r="124" spans="2:29">
      <c r="B124" s="14">
        <v>118</v>
      </c>
      <c r="C124" s="18">
        <v>25</v>
      </c>
      <c r="E124" s="101">
        <f t="shared" ref="E124" si="227">E120</f>
        <v>2</v>
      </c>
      <c r="F124" s="101">
        <f t="shared" ref="F124" si="228">F120+2</f>
        <v>88</v>
      </c>
      <c r="G124" s="104" t="str">
        <f t="shared" si="128"/>
        <v/>
      </c>
      <c r="H124" s="43">
        <v>3000</v>
      </c>
      <c r="I124" s="43">
        <v>3</v>
      </c>
      <c r="J124" s="43">
        <v>2</v>
      </c>
      <c r="K124" s="100" t="str">
        <f t="shared" ref="K124" si="229">K121</f>
        <v>301,302,303,304</v>
      </c>
      <c r="L124" s="32">
        <v>5832</v>
      </c>
      <c r="M124" s="32">
        <v>121</v>
      </c>
      <c r="N124" s="32">
        <v>55</v>
      </c>
      <c r="O124" s="32">
        <v>195</v>
      </c>
      <c r="P124" s="32">
        <v>6.5</v>
      </c>
      <c r="Q124" s="32">
        <v>1000</v>
      </c>
      <c r="R124" s="32">
        <v>50</v>
      </c>
      <c r="S124" s="32">
        <v>350</v>
      </c>
      <c r="T124" s="32">
        <v>3668</v>
      </c>
      <c r="U124" s="32">
        <v>131</v>
      </c>
      <c r="V124" s="32">
        <v>35</v>
      </c>
      <c r="W124" s="32">
        <v>214</v>
      </c>
      <c r="X124" s="32">
        <v>7.15</v>
      </c>
      <c r="Y124" s="32">
        <v>800</v>
      </c>
      <c r="Z124" s="32">
        <v>50</v>
      </c>
      <c r="AA124" s="32">
        <v>350</v>
      </c>
      <c r="AC124" s="18"/>
    </row>
    <row r="125" spans="2:29">
      <c r="B125" s="14">
        <v>119</v>
      </c>
      <c r="C125" s="18">
        <v>25</v>
      </c>
      <c r="D125" s="43">
        <v>3.32</v>
      </c>
      <c r="E125" s="101">
        <f t="shared" ref="E125" si="230">E121</f>
        <v>3</v>
      </c>
      <c r="F125" s="101">
        <f t="shared" ref="F125" si="231">INT(D125)</f>
        <v>3</v>
      </c>
      <c r="G125" s="104" t="str">
        <f t="shared" si="128"/>
        <v>301,302,303,304</v>
      </c>
      <c r="H125" s="43">
        <v>3000</v>
      </c>
      <c r="I125" s="43">
        <v>1</v>
      </c>
      <c r="J125" s="43">
        <v>4100</v>
      </c>
      <c r="K125" s="101"/>
      <c r="L125" s="32">
        <v>5832</v>
      </c>
      <c r="M125" s="32">
        <v>121</v>
      </c>
      <c r="N125" s="32">
        <v>55</v>
      </c>
      <c r="O125" s="32">
        <v>195</v>
      </c>
      <c r="P125" s="32">
        <v>6.5</v>
      </c>
      <c r="Q125" s="32">
        <v>1000</v>
      </c>
      <c r="R125" s="32">
        <v>50</v>
      </c>
      <c r="S125" s="32">
        <v>350</v>
      </c>
      <c r="T125" s="32">
        <v>3668</v>
      </c>
      <c r="U125" s="32">
        <v>131</v>
      </c>
      <c r="V125" s="32">
        <v>35</v>
      </c>
      <c r="W125" s="32">
        <v>214</v>
      </c>
      <c r="X125" s="32">
        <v>7.15</v>
      </c>
      <c r="Y125" s="32">
        <v>800</v>
      </c>
      <c r="Z125" s="32">
        <v>50</v>
      </c>
      <c r="AA125" s="32">
        <v>350</v>
      </c>
      <c r="AC125" s="18"/>
    </row>
    <row r="126" spans="2:29">
      <c r="B126" s="14">
        <v>120</v>
      </c>
      <c r="C126" s="18">
        <v>25</v>
      </c>
      <c r="D126" s="43"/>
      <c r="E126" s="101">
        <f t="shared" ref="E126:F126" si="232">E122</f>
        <v>4</v>
      </c>
      <c r="F126" s="101">
        <f t="shared" si="232"/>
        <v>1</v>
      </c>
      <c r="G126" s="104" t="str">
        <f t="shared" si="128"/>
        <v>111,110,109,108,107,106,105,104,103,102,101</v>
      </c>
      <c r="H126" s="43">
        <v>3000</v>
      </c>
      <c r="I126" s="43">
        <v>2</v>
      </c>
      <c r="J126" s="43">
        <v>225</v>
      </c>
      <c r="K126" s="101"/>
      <c r="L126" s="32">
        <v>5832</v>
      </c>
      <c r="M126" s="32">
        <v>121</v>
      </c>
      <c r="N126" s="32">
        <v>55</v>
      </c>
      <c r="O126" s="32">
        <v>195</v>
      </c>
      <c r="P126" s="32">
        <v>6.5</v>
      </c>
      <c r="Q126" s="32">
        <v>1000</v>
      </c>
      <c r="R126" s="32">
        <v>50</v>
      </c>
      <c r="S126" s="32">
        <v>350</v>
      </c>
      <c r="T126" s="32">
        <v>3668</v>
      </c>
      <c r="U126" s="32">
        <v>131</v>
      </c>
      <c r="V126" s="32">
        <v>35</v>
      </c>
      <c r="W126" s="32">
        <v>214</v>
      </c>
      <c r="X126" s="32">
        <v>7.15</v>
      </c>
      <c r="Y126" s="32">
        <v>800</v>
      </c>
      <c r="Z126" s="32">
        <v>50</v>
      </c>
      <c r="AA126" s="32">
        <v>350</v>
      </c>
      <c r="AC126" s="18"/>
    </row>
    <row r="127" spans="2:29">
      <c r="B127" s="14">
        <v>121</v>
      </c>
      <c r="C127" s="18">
        <v>25</v>
      </c>
      <c r="D127" s="43"/>
      <c r="E127" s="101">
        <f t="shared" ref="E127" si="233">E123</f>
        <v>1</v>
      </c>
      <c r="F127" s="101">
        <f t="shared" ref="F127" si="234">F123+10</f>
        <v>500</v>
      </c>
      <c r="G127" s="104" t="str">
        <f t="shared" si="128"/>
        <v/>
      </c>
      <c r="H127" s="43">
        <v>3000</v>
      </c>
      <c r="I127" s="43">
        <v>3</v>
      </c>
      <c r="J127" s="43">
        <v>2</v>
      </c>
      <c r="K127" s="100" t="str">
        <f t="shared" ref="K127" si="235">K124</f>
        <v>301,302,303,304</v>
      </c>
      <c r="L127" s="32">
        <v>5832</v>
      </c>
      <c r="M127" s="32">
        <v>121</v>
      </c>
      <c r="N127" s="32">
        <v>55</v>
      </c>
      <c r="O127" s="32">
        <v>195</v>
      </c>
      <c r="P127" s="32">
        <v>6.5</v>
      </c>
      <c r="Q127" s="32">
        <v>1000</v>
      </c>
      <c r="R127" s="32">
        <v>50</v>
      </c>
      <c r="S127" s="32">
        <v>350</v>
      </c>
      <c r="T127" s="32">
        <v>3668</v>
      </c>
      <c r="U127" s="32">
        <v>131</v>
      </c>
      <c r="V127" s="32">
        <v>35</v>
      </c>
      <c r="W127" s="32">
        <v>214</v>
      </c>
      <c r="X127" s="32">
        <v>7.15</v>
      </c>
      <c r="Y127" s="32">
        <v>800</v>
      </c>
      <c r="Z127" s="32">
        <v>50</v>
      </c>
      <c r="AA127" s="32">
        <v>350</v>
      </c>
      <c r="AC127" s="18"/>
    </row>
    <row r="128" spans="2:29">
      <c r="B128" s="14">
        <v>122</v>
      </c>
      <c r="C128" s="18">
        <v>25</v>
      </c>
      <c r="D128" s="43"/>
      <c r="E128" s="101">
        <f t="shared" ref="E128" si="236">E124</f>
        <v>2</v>
      </c>
      <c r="F128" s="101">
        <f t="shared" ref="F128" si="237">F124+2</f>
        <v>90</v>
      </c>
      <c r="G128" s="104" t="str">
        <f t="shared" si="128"/>
        <v/>
      </c>
      <c r="H128" s="43">
        <v>3000</v>
      </c>
      <c r="I128" s="43">
        <v>1</v>
      </c>
      <c r="J128" s="43">
        <v>4200</v>
      </c>
      <c r="K128" s="101"/>
      <c r="L128" s="32">
        <v>5832</v>
      </c>
      <c r="M128" s="32">
        <v>121</v>
      </c>
      <c r="N128" s="32">
        <v>55</v>
      </c>
      <c r="O128" s="32">
        <v>195</v>
      </c>
      <c r="P128" s="32">
        <v>6.5</v>
      </c>
      <c r="Q128" s="32">
        <v>1000</v>
      </c>
      <c r="R128" s="32">
        <v>50</v>
      </c>
      <c r="S128" s="32">
        <v>350</v>
      </c>
      <c r="T128" s="32">
        <v>3668</v>
      </c>
      <c r="U128" s="32">
        <v>131</v>
      </c>
      <c r="V128" s="32">
        <v>35</v>
      </c>
      <c r="W128" s="32">
        <v>214</v>
      </c>
      <c r="X128" s="32">
        <v>7.15</v>
      </c>
      <c r="Y128" s="32">
        <v>800</v>
      </c>
      <c r="Z128" s="32">
        <v>50</v>
      </c>
      <c r="AA128" s="32">
        <v>350</v>
      </c>
      <c r="AC128" s="18"/>
    </row>
    <row r="129" spans="2:29">
      <c r="B129" s="14">
        <v>123</v>
      </c>
      <c r="C129" s="18">
        <v>25</v>
      </c>
      <c r="D129" s="43">
        <v>3.4</v>
      </c>
      <c r="E129" s="101">
        <f t="shared" ref="E129" si="238">E125</f>
        <v>3</v>
      </c>
      <c r="F129" s="101">
        <f t="shared" ref="F129" si="239">INT(D129)</f>
        <v>3</v>
      </c>
      <c r="G129" s="104" t="str">
        <f t="shared" si="128"/>
        <v>301,302,303,304</v>
      </c>
      <c r="H129" s="43">
        <v>3000</v>
      </c>
      <c r="I129" s="43">
        <v>2</v>
      </c>
      <c r="J129" s="43">
        <v>230</v>
      </c>
      <c r="K129" s="101"/>
      <c r="L129" s="32">
        <v>5832</v>
      </c>
      <c r="M129" s="32">
        <v>121</v>
      </c>
      <c r="N129" s="32">
        <v>55</v>
      </c>
      <c r="O129" s="32">
        <v>195</v>
      </c>
      <c r="P129" s="32">
        <v>6.5</v>
      </c>
      <c r="Q129" s="32">
        <v>1000</v>
      </c>
      <c r="R129" s="32">
        <v>50</v>
      </c>
      <c r="S129" s="32">
        <v>350</v>
      </c>
      <c r="T129" s="32">
        <v>3668</v>
      </c>
      <c r="U129" s="32">
        <v>131</v>
      </c>
      <c r="V129" s="32">
        <v>35</v>
      </c>
      <c r="W129" s="32">
        <v>214</v>
      </c>
      <c r="X129" s="32">
        <v>7.15</v>
      </c>
      <c r="Y129" s="32">
        <v>800</v>
      </c>
      <c r="Z129" s="32">
        <v>50</v>
      </c>
      <c r="AA129" s="32">
        <v>350</v>
      </c>
      <c r="AC129" s="18"/>
    </row>
    <row r="130" spans="2:29">
      <c r="B130" s="14">
        <v>124</v>
      </c>
      <c r="C130" s="18">
        <v>25</v>
      </c>
      <c r="D130" s="43"/>
      <c r="E130" s="101">
        <f t="shared" ref="E130:F130" si="240">E126</f>
        <v>4</v>
      </c>
      <c r="F130" s="101">
        <f t="shared" si="240"/>
        <v>1</v>
      </c>
      <c r="G130" s="104" t="str">
        <f t="shared" si="128"/>
        <v>111,110,109,108,107,106,105,104,103,102,101</v>
      </c>
      <c r="H130" s="43">
        <v>3000</v>
      </c>
      <c r="I130" s="43">
        <v>3</v>
      </c>
      <c r="J130" s="43">
        <v>3</v>
      </c>
      <c r="K130" s="100" t="str">
        <f t="shared" ref="K130" si="241">K127</f>
        <v>301,302,303,304</v>
      </c>
      <c r="L130" s="32">
        <v>5832</v>
      </c>
      <c r="M130" s="32">
        <v>121</v>
      </c>
      <c r="N130" s="32">
        <v>55</v>
      </c>
      <c r="O130" s="32">
        <v>195</v>
      </c>
      <c r="P130" s="32">
        <v>6.5</v>
      </c>
      <c r="Q130" s="32">
        <v>1000</v>
      </c>
      <c r="R130" s="32">
        <v>50</v>
      </c>
      <c r="S130" s="32">
        <v>350</v>
      </c>
      <c r="T130" s="32">
        <v>3668</v>
      </c>
      <c r="U130" s="32">
        <v>131</v>
      </c>
      <c r="V130" s="32">
        <v>35</v>
      </c>
      <c r="W130" s="32">
        <v>214</v>
      </c>
      <c r="X130" s="32">
        <v>7.15</v>
      </c>
      <c r="Y130" s="32">
        <v>800</v>
      </c>
      <c r="Z130" s="32">
        <v>50</v>
      </c>
      <c r="AA130" s="32">
        <v>350</v>
      </c>
      <c r="AC130" s="18"/>
    </row>
    <row r="131" spans="2:29">
      <c r="B131" s="14">
        <v>125</v>
      </c>
      <c r="C131" s="18">
        <v>25</v>
      </c>
      <c r="D131" s="43"/>
      <c r="E131" s="101">
        <f t="shared" ref="E131" si="242">E127</f>
        <v>1</v>
      </c>
      <c r="F131" s="101">
        <f t="shared" ref="F131" si="243">F127+10</f>
        <v>510</v>
      </c>
      <c r="G131" s="104" t="str">
        <f t="shared" si="128"/>
        <v/>
      </c>
      <c r="H131" s="43">
        <v>3000</v>
      </c>
      <c r="I131" s="43">
        <v>1</v>
      </c>
      <c r="J131" s="43">
        <v>4300</v>
      </c>
      <c r="K131" s="101"/>
      <c r="L131" s="32">
        <v>5832</v>
      </c>
      <c r="M131" s="32">
        <v>121</v>
      </c>
      <c r="N131" s="32">
        <v>55</v>
      </c>
      <c r="O131" s="32">
        <v>195</v>
      </c>
      <c r="P131" s="32">
        <v>6.5</v>
      </c>
      <c r="Q131" s="32">
        <v>1000</v>
      </c>
      <c r="R131" s="32">
        <v>50</v>
      </c>
      <c r="S131" s="32">
        <v>350</v>
      </c>
      <c r="T131" s="32">
        <v>3668</v>
      </c>
      <c r="U131" s="32">
        <v>131</v>
      </c>
      <c r="V131" s="32">
        <v>35</v>
      </c>
      <c r="W131" s="32">
        <v>214</v>
      </c>
      <c r="X131" s="32">
        <v>7.15</v>
      </c>
      <c r="Y131" s="32">
        <v>800</v>
      </c>
      <c r="Z131" s="32">
        <v>50</v>
      </c>
      <c r="AA131" s="32">
        <v>350</v>
      </c>
      <c r="AC131" s="18"/>
    </row>
    <row r="132" spans="2:29">
      <c r="B132" s="14">
        <v>126</v>
      </c>
      <c r="C132" s="18">
        <v>25</v>
      </c>
      <c r="E132" s="101">
        <f t="shared" ref="E132" si="244">E128</f>
        <v>2</v>
      </c>
      <c r="F132" s="101">
        <f t="shared" ref="F132" si="245">F128+2</f>
        <v>92</v>
      </c>
      <c r="G132" s="104" t="str">
        <f t="shared" si="128"/>
        <v/>
      </c>
      <c r="H132" s="43">
        <v>3000</v>
      </c>
      <c r="I132" s="43">
        <v>2</v>
      </c>
      <c r="J132" s="43">
        <v>235</v>
      </c>
      <c r="K132" s="101"/>
      <c r="L132" s="32">
        <v>5832</v>
      </c>
      <c r="M132" s="32">
        <v>121</v>
      </c>
      <c r="N132" s="32">
        <v>55</v>
      </c>
      <c r="O132" s="32">
        <v>195</v>
      </c>
      <c r="P132" s="32">
        <v>6.5</v>
      </c>
      <c r="Q132" s="32">
        <v>1000</v>
      </c>
      <c r="R132" s="32">
        <v>50</v>
      </c>
      <c r="S132" s="32">
        <v>350</v>
      </c>
      <c r="T132" s="32">
        <v>3668</v>
      </c>
      <c r="U132" s="32">
        <v>131</v>
      </c>
      <c r="V132" s="32">
        <v>35</v>
      </c>
      <c r="W132" s="32">
        <v>214</v>
      </c>
      <c r="X132" s="32">
        <v>7.15</v>
      </c>
      <c r="Y132" s="32">
        <v>800</v>
      </c>
      <c r="Z132" s="32">
        <v>50</v>
      </c>
      <c r="AA132" s="32">
        <v>350</v>
      </c>
      <c r="AC132" s="18"/>
    </row>
    <row r="133" spans="2:29">
      <c r="B133" s="14">
        <v>127</v>
      </c>
      <c r="C133" s="18">
        <v>25</v>
      </c>
      <c r="D133" s="43">
        <v>3.48</v>
      </c>
      <c r="E133" s="101">
        <f t="shared" ref="E133" si="246">E129</f>
        <v>3</v>
      </c>
      <c r="F133" s="101">
        <f t="shared" ref="F133" si="247">INT(D133)</f>
        <v>3</v>
      </c>
      <c r="G133" s="104" t="str">
        <f t="shared" si="128"/>
        <v>301,302,303,304</v>
      </c>
      <c r="H133" s="43">
        <v>3000</v>
      </c>
      <c r="I133" s="43">
        <v>3</v>
      </c>
      <c r="J133" s="43">
        <v>3</v>
      </c>
      <c r="K133" s="100" t="str">
        <f t="shared" ref="K133" si="248">K130</f>
        <v>301,302,303,304</v>
      </c>
      <c r="L133" s="32">
        <v>5832</v>
      </c>
      <c r="M133" s="32">
        <v>121</v>
      </c>
      <c r="N133" s="32">
        <v>55</v>
      </c>
      <c r="O133" s="32">
        <v>195</v>
      </c>
      <c r="P133" s="32">
        <v>6.5</v>
      </c>
      <c r="Q133" s="32">
        <v>1000</v>
      </c>
      <c r="R133" s="32">
        <v>50</v>
      </c>
      <c r="S133" s="32">
        <v>350</v>
      </c>
      <c r="T133" s="32">
        <v>3668</v>
      </c>
      <c r="U133" s="32">
        <v>131</v>
      </c>
      <c r="V133" s="32">
        <v>35</v>
      </c>
      <c r="W133" s="32">
        <v>214</v>
      </c>
      <c r="X133" s="32">
        <v>7.15</v>
      </c>
      <c r="Y133" s="32">
        <v>800</v>
      </c>
      <c r="Z133" s="32">
        <v>50</v>
      </c>
      <c r="AA133" s="32">
        <v>350</v>
      </c>
      <c r="AC133" s="18"/>
    </row>
    <row r="134" spans="2:29">
      <c r="B134" s="14">
        <v>128</v>
      </c>
      <c r="C134" s="18">
        <v>25</v>
      </c>
      <c r="D134" s="43"/>
      <c r="E134" s="101">
        <f t="shared" ref="E134:F134" si="249">E130</f>
        <v>4</v>
      </c>
      <c r="F134" s="101">
        <f t="shared" si="249"/>
        <v>1</v>
      </c>
      <c r="G134" s="104" t="str">
        <f t="shared" si="128"/>
        <v>111,110,109,108,107,106,105,104,103,102,101</v>
      </c>
      <c r="H134" s="43">
        <v>3000</v>
      </c>
      <c r="I134" s="43">
        <v>1</v>
      </c>
      <c r="J134" s="43">
        <v>4400</v>
      </c>
      <c r="K134" s="101"/>
      <c r="L134" s="32">
        <v>5832</v>
      </c>
      <c r="M134" s="32">
        <v>121</v>
      </c>
      <c r="N134" s="32">
        <v>55</v>
      </c>
      <c r="O134" s="32">
        <v>195</v>
      </c>
      <c r="P134" s="32">
        <v>6.5</v>
      </c>
      <c r="Q134" s="32">
        <v>1000</v>
      </c>
      <c r="R134" s="32">
        <v>50</v>
      </c>
      <c r="S134" s="32">
        <v>350</v>
      </c>
      <c r="T134" s="32">
        <v>3668</v>
      </c>
      <c r="U134" s="32">
        <v>131</v>
      </c>
      <c r="V134" s="32">
        <v>35</v>
      </c>
      <c r="W134" s="32">
        <v>214</v>
      </c>
      <c r="X134" s="32">
        <v>7.15</v>
      </c>
      <c r="Y134" s="32">
        <v>800</v>
      </c>
      <c r="Z134" s="32">
        <v>50</v>
      </c>
      <c r="AA134" s="32">
        <v>350</v>
      </c>
      <c r="AC134" s="18"/>
    </row>
    <row r="135" spans="2:29">
      <c r="B135" s="14">
        <v>129</v>
      </c>
      <c r="C135" s="18">
        <v>25</v>
      </c>
      <c r="D135" s="43"/>
      <c r="E135" s="101">
        <f t="shared" ref="E135" si="250">E131</f>
        <v>1</v>
      </c>
      <c r="F135" s="101">
        <f t="shared" ref="F135" si="251">F131+10</f>
        <v>520</v>
      </c>
      <c r="G135" s="104" t="str">
        <f t="shared" si="128"/>
        <v/>
      </c>
      <c r="H135" s="43">
        <v>3000</v>
      </c>
      <c r="I135" s="43">
        <v>2</v>
      </c>
      <c r="J135" s="43">
        <v>240</v>
      </c>
      <c r="K135" s="101"/>
      <c r="L135" s="32">
        <v>5832</v>
      </c>
      <c r="M135" s="32">
        <v>121</v>
      </c>
      <c r="N135" s="32">
        <v>55</v>
      </c>
      <c r="O135" s="32">
        <v>195</v>
      </c>
      <c r="P135" s="32">
        <v>6.5</v>
      </c>
      <c r="Q135" s="32">
        <v>1000</v>
      </c>
      <c r="R135" s="32">
        <v>50</v>
      </c>
      <c r="S135" s="32">
        <v>350</v>
      </c>
      <c r="T135" s="32">
        <v>3668</v>
      </c>
      <c r="U135" s="32">
        <v>131</v>
      </c>
      <c r="V135" s="32">
        <v>35</v>
      </c>
      <c r="W135" s="32">
        <v>214</v>
      </c>
      <c r="X135" s="32">
        <v>7.15</v>
      </c>
      <c r="Y135" s="32">
        <v>800</v>
      </c>
      <c r="Z135" s="32">
        <v>50</v>
      </c>
      <c r="AA135" s="32">
        <v>350</v>
      </c>
      <c r="AC135" s="18"/>
    </row>
    <row r="136" spans="2:29">
      <c r="B136" s="14">
        <v>130</v>
      </c>
      <c r="C136" s="18">
        <v>25</v>
      </c>
      <c r="D136" s="43"/>
      <c r="E136" s="101">
        <f t="shared" ref="E136" si="252">E132</f>
        <v>2</v>
      </c>
      <c r="F136" s="101">
        <f t="shared" ref="F136" si="253">F132+2</f>
        <v>94</v>
      </c>
      <c r="G136" s="104" t="str">
        <f t="shared" si="128"/>
        <v/>
      </c>
      <c r="H136" s="43">
        <v>3000</v>
      </c>
      <c r="I136" s="43">
        <v>3</v>
      </c>
      <c r="J136" s="43">
        <v>3</v>
      </c>
      <c r="K136" s="100" t="str">
        <f t="shared" ref="K136" si="254">K133</f>
        <v>301,302,303,304</v>
      </c>
      <c r="L136" s="32">
        <v>5832</v>
      </c>
      <c r="M136" s="32">
        <v>121</v>
      </c>
      <c r="N136" s="32">
        <v>55</v>
      </c>
      <c r="O136" s="32">
        <v>195</v>
      </c>
      <c r="P136" s="32">
        <v>6.5</v>
      </c>
      <c r="Q136" s="32">
        <v>1000</v>
      </c>
      <c r="R136" s="32">
        <v>50</v>
      </c>
      <c r="S136" s="32">
        <v>350</v>
      </c>
      <c r="T136" s="32">
        <v>3668</v>
      </c>
      <c r="U136" s="32">
        <v>131</v>
      </c>
      <c r="V136" s="32">
        <v>35</v>
      </c>
      <c r="W136" s="32">
        <v>214</v>
      </c>
      <c r="X136" s="32">
        <v>7.15</v>
      </c>
      <c r="Y136" s="32">
        <v>800</v>
      </c>
      <c r="Z136" s="32">
        <v>50</v>
      </c>
      <c r="AA136" s="32">
        <v>350</v>
      </c>
      <c r="AC136" s="18"/>
    </row>
    <row r="137" spans="2:29">
      <c r="B137" s="14">
        <v>131</v>
      </c>
      <c r="C137" s="18">
        <v>25</v>
      </c>
      <c r="D137" s="43">
        <v>3.56</v>
      </c>
      <c r="E137" s="101">
        <f t="shared" ref="E137" si="255">E133</f>
        <v>3</v>
      </c>
      <c r="F137" s="101">
        <f t="shared" ref="F137" si="256">INT(D137)</f>
        <v>3</v>
      </c>
      <c r="G137" s="104" t="str">
        <f t="shared" si="128"/>
        <v>301,302,303,304</v>
      </c>
      <c r="H137" s="43">
        <v>3000</v>
      </c>
      <c r="I137" s="43">
        <v>1</v>
      </c>
      <c r="J137" s="43">
        <v>4500</v>
      </c>
      <c r="K137" s="101"/>
      <c r="L137" s="32">
        <v>5832</v>
      </c>
      <c r="M137" s="32">
        <v>121</v>
      </c>
      <c r="N137" s="32">
        <v>55</v>
      </c>
      <c r="O137" s="32">
        <v>195</v>
      </c>
      <c r="P137" s="32">
        <v>6.5</v>
      </c>
      <c r="Q137" s="32">
        <v>1000</v>
      </c>
      <c r="R137" s="32">
        <v>50</v>
      </c>
      <c r="S137" s="32">
        <v>350</v>
      </c>
      <c r="T137" s="32">
        <v>3668</v>
      </c>
      <c r="U137" s="32">
        <v>131</v>
      </c>
      <c r="V137" s="32">
        <v>35</v>
      </c>
      <c r="W137" s="32">
        <v>214</v>
      </c>
      <c r="X137" s="32">
        <v>7.15</v>
      </c>
      <c r="Y137" s="32">
        <v>800</v>
      </c>
      <c r="Z137" s="32">
        <v>50</v>
      </c>
      <c r="AA137" s="32">
        <v>350</v>
      </c>
      <c r="AC137" s="18"/>
    </row>
    <row r="138" spans="2:29">
      <c r="B138" s="14">
        <v>132</v>
      </c>
      <c r="C138" s="18">
        <v>25</v>
      </c>
      <c r="D138" s="43"/>
      <c r="E138" s="101">
        <f t="shared" ref="E138:F138" si="257">E134</f>
        <v>4</v>
      </c>
      <c r="F138" s="101">
        <f t="shared" si="257"/>
        <v>1</v>
      </c>
      <c r="G138" s="104" t="str">
        <f t="shared" si="128"/>
        <v>111,110,109,108,107,106,105,104,103,102,101</v>
      </c>
      <c r="H138" s="43">
        <v>3000</v>
      </c>
      <c r="I138" s="43">
        <v>2</v>
      </c>
      <c r="J138" s="43">
        <v>245</v>
      </c>
      <c r="K138" s="101"/>
      <c r="L138" s="32">
        <v>5832</v>
      </c>
      <c r="M138" s="32">
        <v>121</v>
      </c>
      <c r="N138" s="32">
        <v>55</v>
      </c>
      <c r="O138" s="32">
        <v>195</v>
      </c>
      <c r="P138" s="32">
        <v>6.5</v>
      </c>
      <c r="Q138" s="32">
        <v>1000</v>
      </c>
      <c r="R138" s="32">
        <v>50</v>
      </c>
      <c r="S138" s="32">
        <v>350</v>
      </c>
      <c r="T138" s="32">
        <v>3668</v>
      </c>
      <c r="U138" s="32">
        <v>131</v>
      </c>
      <c r="V138" s="32">
        <v>35</v>
      </c>
      <c r="W138" s="32">
        <v>214</v>
      </c>
      <c r="X138" s="32">
        <v>7.15</v>
      </c>
      <c r="Y138" s="32">
        <v>800</v>
      </c>
      <c r="Z138" s="32">
        <v>50</v>
      </c>
      <c r="AA138" s="32">
        <v>350</v>
      </c>
      <c r="AC138" s="18"/>
    </row>
    <row r="139" spans="2:29">
      <c r="B139" s="14">
        <v>133</v>
      </c>
      <c r="C139" s="18">
        <v>25</v>
      </c>
      <c r="D139" s="43"/>
      <c r="E139" s="101">
        <f t="shared" ref="E139" si="258">E135</f>
        <v>1</v>
      </c>
      <c r="F139" s="101">
        <f t="shared" ref="F139" si="259">F135+10</f>
        <v>530</v>
      </c>
      <c r="G139" s="104" t="str">
        <f t="shared" si="128"/>
        <v/>
      </c>
      <c r="H139" s="43">
        <v>3000</v>
      </c>
      <c r="I139" s="43">
        <v>3</v>
      </c>
      <c r="J139" s="43">
        <v>3</v>
      </c>
      <c r="K139" s="100" t="str">
        <f t="shared" ref="K139" si="260">K136</f>
        <v>301,302,303,304</v>
      </c>
      <c r="L139" s="32">
        <v>5832</v>
      </c>
      <c r="M139" s="32">
        <v>121</v>
      </c>
      <c r="N139" s="32">
        <v>55</v>
      </c>
      <c r="O139" s="32">
        <v>195</v>
      </c>
      <c r="P139" s="32">
        <v>6.5</v>
      </c>
      <c r="Q139" s="32">
        <v>1000</v>
      </c>
      <c r="R139" s="32">
        <v>50</v>
      </c>
      <c r="S139" s="32">
        <v>350</v>
      </c>
      <c r="T139" s="32">
        <v>3668</v>
      </c>
      <c r="U139" s="32">
        <v>131</v>
      </c>
      <c r="V139" s="32">
        <v>35</v>
      </c>
      <c r="W139" s="32">
        <v>214</v>
      </c>
      <c r="X139" s="32">
        <v>7.15</v>
      </c>
      <c r="Y139" s="32">
        <v>800</v>
      </c>
      <c r="Z139" s="32">
        <v>50</v>
      </c>
      <c r="AA139" s="32">
        <v>350</v>
      </c>
      <c r="AC139" s="18"/>
    </row>
    <row r="140" spans="2:29">
      <c r="B140" s="14">
        <v>134</v>
      </c>
      <c r="C140" s="18">
        <v>25</v>
      </c>
      <c r="E140" s="101">
        <f t="shared" ref="E140" si="261">E136</f>
        <v>2</v>
      </c>
      <c r="F140" s="101">
        <f t="shared" ref="F140" si="262">F136+2</f>
        <v>96</v>
      </c>
      <c r="G140" s="104" t="str">
        <f t="shared" ref="G140:G203" si="263">G136</f>
        <v/>
      </c>
      <c r="H140" s="43">
        <v>3000</v>
      </c>
      <c r="I140" s="43">
        <v>1</v>
      </c>
      <c r="J140" s="43">
        <v>4600</v>
      </c>
      <c r="K140" s="101"/>
      <c r="L140" s="32">
        <v>5832</v>
      </c>
      <c r="M140" s="32">
        <v>121</v>
      </c>
      <c r="N140" s="32">
        <v>55</v>
      </c>
      <c r="O140" s="32">
        <v>195</v>
      </c>
      <c r="P140" s="32">
        <v>6.5</v>
      </c>
      <c r="Q140" s="32">
        <v>1000</v>
      </c>
      <c r="R140" s="32">
        <v>50</v>
      </c>
      <c r="S140" s="32">
        <v>350</v>
      </c>
      <c r="T140" s="32">
        <v>3668</v>
      </c>
      <c r="U140" s="32">
        <v>131</v>
      </c>
      <c r="V140" s="32">
        <v>35</v>
      </c>
      <c r="W140" s="32">
        <v>214</v>
      </c>
      <c r="X140" s="32">
        <v>7.15</v>
      </c>
      <c r="Y140" s="32">
        <v>800</v>
      </c>
      <c r="Z140" s="32">
        <v>50</v>
      </c>
      <c r="AA140" s="32">
        <v>350</v>
      </c>
      <c r="AC140" s="18"/>
    </row>
    <row r="141" spans="2:29">
      <c r="B141" s="14">
        <v>135</v>
      </c>
      <c r="C141" s="18">
        <v>25</v>
      </c>
      <c r="D141" s="43">
        <v>3.64</v>
      </c>
      <c r="E141" s="101">
        <f t="shared" ref="E141" si="264">E137</f>
        <v>3</v>
      </c>
      <c r="F141" s="101">
        <f t="shared" ref="F141" si="265">INT(D141)</f>
        <v>3</v>
      </c>
      <c r="G141" s="104" t="str">
        <f t="shared" si="263"/>
        <v>301,302,303,304</v>
      </c>
      <c r="H141" s="43">
        <v>3000</v>
      </c>
      <c r="I141" s="43">
        <v>2</v>
      </c>
      <c r="J141" s="43">
        <v>250</v>
      </c>
      <c r="K141" s="101"/>
      <c r="L141" s="32">
        <v>5832</v>
      </c>
      <c r="M141" s="32">
        <v>121</v>
      </c>
      <c r="N141" s="32">
        <v>55</v>
      </c>
      <c r="O141" s="32">
        <v>195</v>
      </c>
      <c r="P141" s="32">
        <v>6.5</v>
      </c>
      <c r="Q141" s="32">
        <v>1000</v>
      </c>
      <c r="R141" s="32">
        <v>50</v>
      </c>
      <c r="S141" s="32">
        <v>350</v>
      </c>
      <c r="T141" s="32">
        <v>3668</v>
      </c>
      <c r="U141" s="32">
        <v>131</v>
      </c>
      <c r="V141" s="32">
        <v>35</v>
      </c>
      <c r="W141" s="32">
        <v>214</v>
      </c>
      <c r="X141" s="32">
        <v>7.15</v>
      </c>
      <c r="Y141" s="32">
        <v>800</v>
      </c>
      <c r="Z141" s="32">
        <v>50</v>
      </c>
      <c r="AA141" s="32">
        <v>350</v>
      </c>
      <c r="AC141" s="18"/>
    </row>
    <row r="142" spans="2:29">
      <c r="B142" s="14">
        <v>136</v>
      </c>
      <c r="C142" s="18">
        <v>25</v>
      </c>
      <c r="D142" s="43"/>
      <c r="E142" s="101">
        <f t="shared" ref="E142:F142" si="266">E138</f>
        <v>4</v>
      </c>
      <c r="F142" s="101">
        <f t="shared" si="266"/>
        <v>1</v>
      </c>
      <c r="G142" s="104" t="str">
        <f t="shared" si="263"/>
        <v>111,110,109,108,107,106,105,104,103,102,101</v>
      </c>
      <c r="H142" s="43">
        <v>3000</v>
      </c>
      <c r="I142" s="43">
        <v>3</v>
      </c>
      <c r="J142" s="43">
        <v>3</v>
      </c>
      <c r="K142" s="100" t="str">
        <f t="shared" ref="K142" si="267">K139</f>
        <v>301,302,303,304</v>
      </c>
      <c r="L142" s="32">
        <v>5832</v>
      </c>
      <c r="M142" s="32">
        <v>121</v>
      </c>
      <c r="N142" s="32">
        <v>55</v>
      </c>
      <c r="O142" s="32">
        <v>195</v>
      </c>
      <c r="P142" s="32">
        <v>6.5</v>
      </c>
      <c r="Q142" s="32">
        <v>1000</v>
      </c>
      <c r="R142" s="32">
        <v>50</v>
      </c>
      <c r="S142" s="32">
        <v>350</v>
      </c>
      <c r="T142" s="32">
        <v>3668</v>
      </c>
      <c r="U142" s="32">
        <v>131</v>
      </c>
      <c r="V142" s="32">
        <v>35</v>
      </c>
      <c r="W142" s="32">
        <v>214</v>
      </c>
      <c r="X142" s="32">
        <v>7.15</v>
      </c>
      <c r="Y142" s="32">
        <v>800</v>
      </c>
      <c r="Z142" s="32">
        <v>50</v>
      </c>
      <c r="AA142" s="32">
        <v>350</v>
      </c>
      <c r="AC142" s="18"/>
    </row>
    <row r="143" spans="2:29">
      <c r="B143" s="14">
        <v>137</v>
      </c>
      <c r="C143" s="18">
        <v>25</v>
      </c>
      <c r="D143" s="43"/>
      <c r="E143" s="101">
        <f t="shared" ref="E143" si="268">E139</f>
        <v>1</v>
      </c>
      <c r="F143" s="101">
        <f t="shared" ref="F143" si="269">F139+10</f>
        <v>540</v>
      </c>
      <c r="G143" s="104" t="str">
        <f t="shared" si="263"/>
        <v/>
      </c>
      <c r="H143" s="43">
        <v>3000</v>
      </c>
      <c r="I143" s="43">
        <v>1</v>
      </c>
      <c r="J143" s="43">
        <v>4700</v>
      </c>
      <c r="K143" s="101"/>
      <c r="L143" s="32">
        <v>5832</v>
      </c>
      <c r="M143" s="32">
        <v>121</v>
      </c>
      <c r="N143" s="32">
        <v>55</v>
      </c>
      <c r="O143" s="32">
        <v>195</v>
      </c>
      <c r="P143" s="32">
        <v>6.5</v>
      </c>
      <c r="Q143" s="32">
        <v>1000</v>
      </c>
      <c r="R143" s="32">
        <v>50</v>
      </c>
      <c r="S143" s="32">
        <v>350</v>
      </c>
      <c r="T143" s="32">
        <v>3668</v>
      </c>
      <c r="U143" s="32">
        <v>131</v>
      </c>
      <c r="V143" s="32">
        <v>35</v>
      </c>
      <c r="W143" s="32">
        <v>214</v>
      </c>
      <c r="X143" s="32">
        <v>7.15</v>
      </c>
      <c r="Y143" s="32">
        <v>800</v>
      </c>
      <c r="Z143" s="32">
        <v>50</v>
      </c>
      <c r="AA143" s="32">
        <v>350</v>
      </c>
      <c r="AC143" s="18"/>
    </row>
    <row r="144" spans="2:29">
      <c r="B144" s="14">
        <v>138</v>
      </c>
      <c r="C144" s="18">
        <v>25</v>
      </c>
      <c r="D144" s="43"/>
      <c r="E144" s="101">
        <f t="shared" ref="E144" si="270">E140</f>
        <v>2</v>
      </c>
      <c r="F144" s="101">
        <f t="shared" ref="F144" si="271">F140+2</f>
        <v>98</v>
      </c>
      <c r="G144" s="104" t="str">
        <f t="shared" si="263"/>
        <v/>
      </c>
      <c r="H144" s="43">
        <v>3000</v>
      </c>
      <c r="I144" s="43">
        <v>2</v>
      </c>
      <c r="J144" s="43">
        <v>255</v>
      </c>
      <c r="K144" s="101"/>
      <c r="L144" s="32">
        <v>5832</v>
      </c>
      <c r="M144" s="32">
        <v>121</v>
      </c>
      <c r="N144" s="32">
        <v>55</v>
      </c>
      <c r="O144" s="32">
        <v>195</v>
      </c>
      <c r="P144" s="32">
        <v>6.5</v>
      </c>
      <c r="Q144" s="32">
        <v>1000</v>
      </c>
      <c r="R144" s="32">
        <v>50</v>
      </c>
      <c r="S144" s="32">
        <v>350</v>
      </c>
      <c r="T144" s="32">
        <v>3668</v>
      </c>
      <c r="U144" s="32">
        <v>131</v>
      </c>
      <c r="V144" s="32">
        <v>35</v>
      </c>
      <c r="W144" s="32">
        <v>214</v>
      </c>
      <c r="X144" s="32">
        <v>7.15</v>
      </c>
      <c r="Y144" s="32">
        <v>800</v>
      </c>
      <c r="Z144" s="32">
        <v>50</v>
      </c>
      <c r="AA144" s="32">
        <v>350</v>
      </c>
      <c r="AC144" s="18"/>
    </row>
    <row r="145" spans="2:29">
      <c r="B145" s="14">
        <v>139</v>
      </c>
      <c r="C145" s="18">
        <v>25</v>
      </c>
      <c r="D145" s="43">
        <v>3.72</v>
      </c>
      <c r="E145" s="101">
        <f t="shared" ref="E145" si="272">E141</f>
        <v>3</v>
      </c>
      <c r="F145" s="101">
        <f t="shared" ref="F145" si="273">INT(D145)</f>
        <v>3</v>
      </c>
      <c r="G145" s="104" t="str">
        <f t="shared" si="263"/>
        <v>301,302,303,304</v>
      </c>
      <c r="H145" s="43">
        <v>3000</v>
      </c>
      <c r="I145" s="43">
        <v>3</v>
      </c>
      <c r="J145" s="43">
        <v>3</v>
      </c>
      <c r="K145" s="100" t="str">
        <f t="shared" ref="K145" si="274">K142</f>
        <v>301,302,303,304</v>
      </c>
      <c r="L145" s="32">
        <v>5832</v>
      </c>
      <c r="M145" s="32">
        <v>121</v>
      </c>
      <c r="N145" s="32">
        <v>55</v>
      </c>
      <c r="O145" s="32">
        <v>195</v>
      </c>
      <c r="P145" s="32">
        <v>6.5</v>
      </c>
      <c r="Q145" s="32">
        <v>1000</v>
      </c>
      <c r="R145" s="32">
        <v>50</v>
      </c>
      <c r="S145" s="32">
        <v>350</v>
      </c>
      <c r="T145" s="32">
        <v>3668</v>
      </c>
      <c r="U145" s="32">
        <v>131</v>
      </c>
      <c r="V145" s="32">
        <v>35</v>
      </c>
      <c r="W145" s="32">
        <v>214</v>
      </c>
      <c r="X145" s="32">
        <v>7.15</v>
      </c>
      <c r="Y145" s="32">
        <v>800</v>
      </c>
      <c r="Z145" s="32">
        <v>50</v>
      </c>
      <c r="AA145" s="32">
        <v>350</v>
      </c>
      <c r="AC145" s="18"/>
    </row>
    <row r="146" spans="2:29">
      <c r="B146" s="14">
        <v>140</v>
      </c>
      <c r="C146" s="18">
        <v>25</v>
      </c>
      <c r="D146" s="43"/>
      <c r="E146" s="101">
        <f t="shared" ref="E146:F146" si="275">E142</f>
        <v>4</v>
      </c>
      <c r="F146" s="101">
        <f t="shared" si="275"/>
        <v>1</v>
      </c>
      <c r="G146" s="104" t="str">
        <f t="shared" si="263"/>
        <v>111,110,109,108,107,106,105,104,103,102,101</v>
      </c>
      <c r="H146" s="43">
        <v>3000</v>
      </c>
      <c r="I146" s="43">
        <v>1</v>
      </c>
      <c r="J146" s="43">
        <v>4800</v>
      </c>
      <c r="K146" s="101"/>
      <c r="L146" s="32">
        <v>5832</v>
      </c>
      <c r="M146" s="32">
        <v>121</v>
      </c>
      <c r="N146" s="32">
        <v>55</v>
      </c>
      <c r="O146" s="32">
        <v>195</v>
      </c>
      <c r="P146" s="32">
        <v>6.5</v>
      </c>
      <c r="Q146" s="32">
        <v>1000</v>
      </c>
      <c r="R146" s="32">
        <v>50</v>
      </c>
      <c r="S146" s="32">
        <v>350</v>
      </c>
      <c r="T146" s="32">
        <v>3668</v>
      </c>
      <c r="U146" s="32">
        <v>131</v>
      </c>
      <c r="V146" s="32">
        <v>35</v>
      </c>
      <c r="W146" s="32">
        <v>214</v>
      </c>
      <c r="X146" s="32">
        <v>7.15</v>
      </c>
      <c r="Y146" s="32">
        <v>800</v>
      </c>
      <c r="Z146" s="32">
        <v>50</v>
      </c>
      <c r="AA146" s="32">
        <v>350</v>
      </c>
      <c r="AC146" s="18"/>
    </row>
    <row r="147" spans="2:29">
      <c r="B147" s="14">
        <v>141</v>
      </c>
      <c r="C147" s="18">
        <v>25</v>
      </c>
      <c r="D147" s="43"/>
      <c r="E147" s="101">
        <f t="shared" ref="E147" si="276">E143</f>
        <v>1</v>
      </c>
      <c r="F147" s="101">
        <f t="shared" ref="F147" si="277">F143+10</f>
        <v>550</v>
      </c>
      <c r="G147" s="104" t="str">
        <f t="shared" si="263"/>
        <v/>
      </c>
      <c r="H147" s="43">
        <v>3000</v>
      </c>
      <c r="I147" s="43">
        <v>2</v>
      </c>
      <c r="J147" s="43">
        <v>260</v>
      </c>
      <c r="K147" s="101"/>
      <c r="L147" s="32">
        <v>5832</v>
      </c>
      <c r="M147" s="32">
        <v>121</v>
      </c>
      <c r="N147" s="32">
        <v>55</v>
      </c>
      <c r="O147" s="32">
        <v>195</v>
      </c>
      <c r="P147" s="32">
        <v>6.5</v>
      </c>
      <c r="Q147" s="32">
        <v>1000</v>
      </c>
      <c r="R147" s="32">
        <v>50</v>
      </c>
      <c r="S147" s="32">
        <v>350</v>
      </c>
      <c r="T147" s="32">
        <v>3668</v>
      </c>
      <c r="U147" s="32">
        <v>131</v>
      </c>
      <c r="V147" s="32">
        <v>35</v>
      </c>
      <c r="W147" s="32">
        <v>214</v>
      </c>
      <c r="X147" s="32">
        <v>7.15</v>
      </c>
      <c r="Y147" s="32">
        <v>800</v>
      </c>
      <c r="Z147" s="32">
        <v>50</v>
      </c>
      <c r="AA147" s="32">
        <v>350</v>
      </c>
      <c r="AC147" s="18"/>
    </row>
    <row r="148" spans="2:29">
      <c r="B148" s="14">
        <v>142</v>
      </c>
      <c r="C148" s="18">
        <v>25</v>
      </c>
      <c r="E148" s="101">
        <f t="shared" ref="E148" si="278">E144</f>
        <v>2</v>
      </c>
      <c r="F148" s="101">
        <f t="shared" ref="F148" si="279">F144+2</f>
        <v>100</v>
      </c>
      <c r="G148" s="104" t="str">
        <f t="shared" si="263"/>
        <v/>
      </c>
      <c r="H148" s="43">
        <v>3000</v>
      </c>
      <c r="I148" s="43">
        <v>3</v>
      </c>
      <c r="J148" s="43">
        <v>3</v>
      </c>
      <c r="K148" s="100" t="str">
        <f t="shared" ref="K148" si="280">K145</f>
        <v>301,302,303,304</v>
      </c>
      <c r="L148" s="32">
        <v>5832</v>
      </c>
      <c r="M148" s="32">
        <v>121</v>
      </c>
      <c r="N148" s="32">
        <v>55</v>
      </c>
      <c r="O148" s="32">
        <v>195</v>
      </c>
      <c r="P148" s="32">
        <v>6.5</v>
      </c>
      <c r="Q148" s="32">
        <v>1000</v>
      </c>
      <c r="R148" s="32">
        <v>50</v>
      </c>
      <c r="S148" s="32">
        <v>350</v>
      </c>
      <c r="T148" s="32">
        <v>3668</v>
      </c>
      <c r="U148" s="32">
        <v>131</v>
      </c>
      <c r="V148" s="32">
        <v>35</v>
      </c>
      <c r="W148" s="32">
        <v>214</v>
      </c>
      <c r="X148" s="32">
        <v>7.15</v>
      </c>
      <c r="Y148" s="32">
        <v>800</v>
      </c>
      <c r="Z148" s="32">
        <v>50</v>
      </c>
      <c r="AA148" s="32">
        <v>350</v>
      </c>
      <c r="AC148" s="18"/>
    </row>
    <row r="149" spans="2:29">
      <c r="B149" s="14">
        <v>143</v>
      </c>
      <c r="C149" s="18">
        <v>25</v>
      </c>
      <c r="D149" s="43">
        <v>3.8</v>
      </c>
      <c r="E149" s="101">
        <f t="shared" ref="E149" si="281">E145</f>
        <v>3</v>
      </c>
      <c r="F149" s="101">
        <f t="shared" ref="F149" si="282">INT(D149)</f>
        <v>3</v>
      </c>
      <c r="G149" s="104" t="str">
        <f t="shared" si="263"/>
        <v>301,302,303,304</v>
      </c>
      <c r="H149" s="43">
        <v>3000</v>
      </c>
      <c r="I149" s="43">
        <v>1</v>
      </c>
      <c r="J149" s="43">
        <v>4900</v>
      </c>
      <c r="K149" s="101"/>
      <c r="L149" s="32">
        <v>5832</v>
      </c>
      <c r="M149" s="32">
        <v>121</v>
      </c>
      <c r="N149" s="32">
        <v>55</v>
      </c>
      <c r="O149" s="32">
        <v>195</v>
      </c>
      <c r="P149" s="32">
        <v>6.5</v>
      </c>
      <c r="Q149" s="32">
        <v>1000</v>
      </c>
      <c r="R149" s="32">
        <v>50</v>
      </c>
      <c r="S149" s="32">
        <v>350</v>
      </c>
      <c r="T149" s="32">
        <v>3668</v>
      </c>
      <c r="U149" s="32">
        <v>131</v>
      </c>
      <c r="V149" s="32">
        <v>35</v>
      </c>
      <c r="W149" s="32">
        <v>214</v>
      </c>
      <c r="X149" s="32">
        <v>7.15</v>
      </c>
      <c r="Y149" s="32">
        <v>800</v>
      </c>
      <c r="Z149" s="32">
        <v>50</v>
      </c>
      <c r="AA149" s="32">
        <v>350</v>
      </c>
      <c r="AC149" s="18"/>
    </row>
    <row r="150" spans="2:29">
      <c r="B150" s="14">
        <v>144</v>
      </c>
      <c r="C150" s="18">
        <v>25</v>
      </c>
      <c r="D150" s="43"/>
      <c r="E150" s="101">
        <f t="shared" ref="E150:F150" si="283">E146</f>
        <v>4</v>
      </c>
      <c r="F150" s="101">
        <f t="shared" si="283"/>
        <v>1</v>
      </c>
      <c r="G150" s="104" t="str">
        <f t="shared" si="263"/>
        <v>111,110,109,108,107,106,105,104,103,102,101</v>
      </c>
      <c r="H150" s="43">
        <v>3000</v>
      </c>
      <c r="I150" s="43">
        <v>2</v>
      </c>
      <c r="J150" s="43">
        <v>265</v>
      </c>
      <c r="K150" s="101"/>
      <c r="L150" s="32">
        <v>5832</v>
      </c>
      <c r="M150" s="32">
        <v>121</v>
      </c>
      <c r="N150" s="32">
        <v>55</v>
      </c>
      <c r="O150" s="32">
        <v>195</v>
      </c>
      <c r="P150" s="32">
        <v>6.5</v>
      </c>
      <c r="Q150" s="32">
        <v>1000</v>
      </c>
      <c r="R150" s="32">
        <v>50</v>
      </c>
      <c r="S150" s="32">
        <v>350</v>
      </c>
      <c r="T150" s="32">
        <v>3668</v>
      </c>
      <c r="U150" s="32">
        <v>131</v>
      </c>
      <c r="V150" s="32">
        <v>35</v>
      </c>
      <c r="W150" s="32">
        <v>214</v>
      </c>
      <c r="X150" s="32">
        <v>7.15</v>
      </c>
      <c r="Y150" s="32">
        <v>800</v>
      </c>
      <c r="Z150" s="32">
        <v>50</v>
      </c>
      <c r="AA150" s="32">
        <v>350</v>
      </c>
      <c r="AC150" s="18"/>
    </row>
    <row r="151" spans="2:29">
      <c r="B151" s="14">
        <v>145</v>
      </c>
      <c r="C151" s="18">
        <v>25</v>
      </c>
      <c r="D151" s="43"/>
      <c r="E151" s="101">
        <f t="shared" ref="E151" si="284">E147</f>
        <v>1</v>
      </c>
      <c r="F151" s="101">
        <f t="shared" ref="F151" si="285">F147+10</f>
        <v>560</v>
      </c>
      <c r="G151" s="104" t="str">
        <f t="shared" si="263"/>
        <v/>
      </c>
      <c r="H151" s="43">
        <v>3000</v>
      </c>
      <c r="I151" s="43">
        <v>3</v>
      </c>
      <c r="J151" s="43">
        <v>3</v>
      </c>
      <c r="K151" s="100" t="str">
        <f t="shared" ref="K151" si="286">K148</f>
        <v>301,302,303,304</v>
      </c>
      <c r="L151" s="32">
        <v>5832</v>
      </c>
      <c r="M151" s="32">
        <v>121</v>
      </c>
      <c r="N151" s="32">
        <v>55</v>
      </c>
      <c r="O151" s="32">
        <v>195</v>
      </c>
      <c r="P151" s="32">
        <v>6.5</v>
      </c>
      <c r="Q151" s="32">
        <v>1000</v>
      </c>
      <c r="R151" s="32">
        <v>50</v>
      </c>
      <c r="S151" s="32">
        <v>350</v>
      </c>
      <c r="T151" s="32">
        <v>3668</v>
      </c>
      <c r="U151" s="32">
        <v>131</v>
      </c>
      <c r="V151" s="32">
        <v>35</v>
      </c>
      <c r="W151" s="32">
        <v>214</v>
      </c>
      <c r="X151" s="32">
        <v>7.15</v>
      </c>
      <c r="Y151" s="32">
        <v>800</v>
      </c>
      <c r="Z151" s="32">
        <v>50</v>
      </c>
      <c r="AA151" s="32">
        <v>350</v>
      </c>
      <c r="AC151" s="18"/>
    </row>
    <row r="152" spans="2:29">
      <c r="B152" s="14">
        <v>146</v>
      </c>
      <c r="C152" s="18">
        <v>25</v>
      </c>
      <c r="D152" s="43"/>
      <c r="E152" s="101">
        <f t="shared" ref="E152" si="287">E148</f>
        <v>2</v>
      </c>
      <c r="F152" s="101">
        <f t="shared" ref="F152" si="288">F148+2</f>
        <v>102</v>
      </c>
      <c r="G152" s="104" t="str">
        <f t="shared" si="263"/>
        <v/>
      </c>
      <c r="H152" s="43">
        <v>3000</v>
      </c>
      <c r="I152" s="43">
        <v>1</v>
      </c>
      <c r="J152" s="43">
        <v>5000</v>
      </c>
      <c r="K152" s="101"/>
      <c r="L152" s="32">
        <v>5832</v>
      </c>
      <c r="M152" s="32">
        <v>121</v>
      </c>
      <c r="N152" s="32">
        <v>55</v>
      </c>
      <c r="O152" s="32">
        <v>195</v>
      </c>
      <c r="P152" s="32">
        <v>6.5</v>
      </c>
      <c r="Q152" s="32">
        <v>1000</v>
      </c>
      <c r="R152" s="32">
        <v>50</v>
      </c>
      <c r="S152" s="32">
        <v>350</v>
      </c>
      <c r="T152" s="32">
        <v>3668</v>
      </c>
      <c r="U152" s="32">
        <v>131</v>
      </c>
      <c r="V152" s="32">
        <v>35</v>
      </c>
      <c r="W152" s="32">
        <v>214</v>
      </c>
      <c r="X152" s="32">
        <v>7.15</v>
      </c>
      <c r="Y152" s="32">
        <v>800</v>
      </c>
      <c r="Z152" s="32">
        <v>50</v>
      </c>
      <c r="AA152" s="32">
        <v>350</v>
      </c>
      <c r="AC152" s="18"/>
    </row>
    <row r="153" spans="2:29">
      <c r="B153" s="14">
        <v>147</v>
      </c>
      <c r="C153" s="18">
        <v>25</v>
      </c>
      <c r="D153" s="43">
        <v>3.88</v>
      </c>
      <c r="E153" s="101">
        <f t="shared" ref="E153" si="289">E149</f>
        <v>3</v>
      </c>
      <c r="F153" s="101">
        <f t="shared" ref="F153" si="290">INT(D153)</f>
        <v>3</v>
      </c>
      <c r="G153" s="104" t="str">
        <f t="shared" si="263"/>
        <v>301,302,303,304</v>
      </c>
      <c r="H153" s="43">
        <v>3000</v>
      </c>
      <c r="I153" s="43">
        <v>2</v>
      </c>
      <c r="J153" s="43">
        <v>270</v>
      </c>
      <c r="K153" s="101"/>
      <c r="L153" s="32">
        <v>5832</v>
      </c>
      <c r="M153" s="32">
        <v>121</v>
      </c>
      <c r="N153" s="32">
        <v>55</v>
      </c>
      <c r="O153" s="32">
        <v>195</v>
      </c>
      <c r="P153" s="32">
        <v>6.5</v>
      </c>
      <c r="Q153" s="32">
        <v>1000</v>
      </c>
      <c r="R153" s="32">
        <v>50</v>
      </c>
      <c r="S153" s="32">
        <v>350</v>
      </c>
      <c r="T153" s="32">
        <v>3668</v>
      </c>
      <c r="U153" s="32">
        <v>131</v>
      </c>
      <c r="V153" s="32">
        <v>35</v>
      </c>
      <c r="W153" s="32">
        <v>214</v>
      </c>
      <c r="X153" s="32">
        <v>7.15</v>
      </c>
      <c r="Y153" s="32">
        <v>800</v>
      </c>
      <c r="Z153" s="32">
        <v>50</v>
      </c>
      <c r="AA153" s="32">
        <v>350</v>
      </c>
      <c r="AC153" s="18"/>
    </row>
    <row r="154" spans="2:29">
      <c r="B154" s="14">
        <v>148</v>
      </c>
      <c r="C154" s="18">
        <v>25</v>
      </c>
      <c r="D154" s="43"/>
      <c r="E154" s="101">
        <f t="shared" ref="E154:F154" si="291">E150</f>
        <v>4</v>
      </c>
      <c r="F154" s="101">
        <f t="shared" si="291"/>
        <v>1</v>
      </c>
      <c r="G154" s="104" t="str">
        <f t="shared" si="263"/>
        <v>111,110,109,108,107,106,105,104,103,102,101</v>
      </c>
      <c r="H154" s="43">
        <v>3000</v>
      </c>
      <c r="I154" s="43">
        <v>3</v>
      </c>
      <c r="J154" s="43">
        <v>3</v>
      </c>
      <c r="K154" s="100" t="str">
        <f t="shared" ref="K154" si="292">K151</f>
        <v>301,302,303,304</v>
      </c>
      <c r="L154" s="32">
        <v>5832</v>
      </c>
      <c r="M154" s="32">
        <v>121</v>
      </c>
      <c r="N154" s="32">
        <v>55</v>
      </c>
      <c r="O154" s="32">
        <v>195</v>
      </c>
      <c r="P154" s="32">
        <v>6.5</v>
      </c>
      <c r="Q154" s="32">
        <v>1000</v>
      </c>
      <c r="R154" s="32">
        <v>50</v>
      </c>
      <c r="S154" s="32">
        <v>350</v>
      </c>
      <c r="T154" s="32">
        <v>3668</v>
      </c>
      <c r="U154" s="32">
        <v>131</v>
      </c>
      <c r="V154" s="32">
        <v>35</v>
      </c>
      <c r="W154" s="32">
        <v>214</v>
      </c>
      <c r="X154" s="32">
        <v>7.15</v>
      </c>
      <c r="Y154" s="32">
        <v>800</v>
      </c>
      <c r="Z154" s="32">
        <v>50</v>
      </c>
      <c r="AA154" s="32">
        <v>350</v>
      </c>
      <c r="AC154" s="18"/>
    </row>
    <row r="155" spans="2:29">
      <c r="B155" s="14">
        <v>149</v>
      </c>
      <c r="C155" s="18">
        <v>25</v>
      </c>
      <c r="D155" s="43"/>
      <c r="E155" s="101">
        <f t="shared" ref="E155" si="293">E151</f>
        <v>1</v>
      </c>
      <c r="F155" s="101">
        <f t="shared" ref="F155" si="294">F151+10</f>
        <v>570</v>
      </c>
      <c r="G155" s="104" t="str">
        <f t="shared" si="263"/>
        <v/>
      </c>
      <c r="H155" s="43">
        <v>3000</v>
      </c>
      <c r="I155" s="43">
        <v>1</v>
      </c>
      <c r="J155" s="43">
        <v>5100</v>
      </c>
      <c r="K155" s="101"/>
      <c r="L155" s="32">
        <v>5832</v>
      </c>
      <c r="M155" s="32">
        <v>121</v>
      </c>
      <c r="N155" s="32">
        <v>55</v>
      </c>
      <c r="O155" s="32">
        <v>195</v>
      </c>
      <c r="P155" s="32">
        <v>6.5</v>
      </c>
      <c r="Q155" s="32">
        <v>1000</v>
      </c>
      <c r="R155" s="32">
        <v>50</v>
      </c>
      <c r="S155" s="32">
        <v>350</v>
      </c>
      <c r="T155" s="32">
        <v>3668</v>
      </c>
      <c r="U155" s="32">
        <v>131</v>
      </c>
      <c r="V155" s="32">
        <v>35</v>
      </c>
      <c r="W155" s="32">
        <v>214</v>
      </c>
      <c r="X155" s="32">
        <v>7.15</v>
      </c>
      <c r="Y155" s="32">
        <v>800</v>
      </c>
      <c r="Z155" s="32">
        <v>50</v>
      </c>
      <c r="AA155" s="32">
        <v>350</v>
      </c>
      <c r="AC155" s="18"/>
    </row>
    <row r="156" spans="2:29">
      <c r="B156" s="14">
        <v>150</v>
      </c>
      <c r="C156" s="18">
        <v>25</v>
      </c>
      <c r="E156" s="101">
        <f t="shared" ref="E156" si="295">E152</f>
        <v>2</v>
      </c>
      <c r="F156" s="101">
        <f t="shared" ref="F156" si="296">F152+2</f>
        <v>104</v>
      </c>
      <c r="G156" s="104" t="str">
        <f t="shared" si="263"/>
        <v/>
      </c>
      <c r="H156" s="43">
        <v>3000</v>
      </c>
      <c r="I156" s="43">
        <v>2</v>
      </c>
      <c r="J156" s="43">
        <v>275</v>
      </c>
      <c r="K156" s="101"/>
      <c r="L156" s="32">
        <v>5832</v>
      </c>
      <c r="M156" s="32">
        <v>121</v>
      </c>
      <c r="N156" s="32">
        <v>55</v>
      </c>
      <c r="O156" s="32">
        <v>195</v>
      </c>
      <c r="P156" s="32">
        <v>6.5</v>
      </c>
      <c r="Q156" s="32">
        <v>1000</v>
      </c>
      <c r="R156" s="32">
        <v>50</v>
      </c>
      <c r="S156" s="32">
        <v>350</v>
      </c>
      <c r="T156" s="32">
        <v>3668</v>
      </c>
      <c r="U156" s="32">
        <v>131</v>
      </c>
      <c r="V156" s="32">
        <v>35</v>
      </c>
      <c r="W156" s="32">
        <v>214</v>
      </c>
      <c r="X156" s="32">
        <v>7.15</v>
      </c>
      <c r="Y156" s="32">
        <v>800</v>
      </c>
      <c r="Z156" s="32">
        <v>50</v>
      </c>
      <c r="AA156" s="32">
        <v>350</v>
      </c>
      <c r="AC156" s="18"/>
    </row>
    <row r="157" spans="2:29">
      <c r="B157" s="14">
        <v>151</v>
      </c>
      <c r="C157" s="18">
        <v>25</v>
      </c>
      <c r="D157" s="43">
        <v>3.96</v>
      </c>
      <c r="E157" s="101">
        <f t="shared" ref="E157" si="297">E153</f>
        <v>3</v>
      </c>
      <c r="F157" s="101">
        <f t="shared" ref="F157" si="298">INT(D157)</f>
        <v>3</v>
      </c>
      <c r="G157" s="104" t="str">
        <f t="shared" si="263"/>
        <v>301,302,303,304</v>
      </c>
      <c r="H157" s="43">
        <v>3000</v>
      </c>
      <c r="I157" s="43">
        <v>3</v>
      </c>
      <c r="J157" s="43">
        <v>3</v>
      </c>
      <c r="K157" s="100" t="str">
        <f t="shared" ref="K157" si="299">K154</f>
        <v>301,302,303,304</v>
      </c>
      <c r="L157" s="32">
        <v>5832</v>
      </c>
      <c r="M157" s="32">
        <v>121</v>
      </c>
      <c r="N157" s="32">
        <v>55</v>
      </c>
      <c r="O157" s="32">
        <v>195</v>
      </c>
      <c r="P157" s="32">
        <v>6.5</v>
      </c>
      <c r="Q157" s="32">
        <v>1000</v>
      </c>
      <c r="R157" s="32">
        <v>50</v>
      </c>
      <c r="S157" s="32">
        <v>350</v>
      </c>
      <c r="T157" s="32">
        <v>3668</v>
      </c>
      <c r="U157" s="32">
        <v>131</v>
      </c>
      <c r="V157" s="32">
        <v>35</v>
      </c>
      <c r="W157" s="32">
        <v>214</v>
      </c>
      <c r="X157" s="32">
        <v>7.15</v>
      </c>
      <c r="Y157" s="32">
        <v>800</v>
      </c>
      <c r="Z157" s="32">
        <v>50</v>
      </c>
      <c r="AA157" s="32">
        <v>350</v>
      </c>
      <c r="AC157" s="18"/>
    </row>
    <row r="158" spans="2:29">
      <c r="B158" s="14">
        <v>152</v>
      </c>
      <c r="C158" s="18">
        <v>25</v>
      </c>
      <c r="D158" s="43"/>
      <c r="E158" s="101">
        <f t="shared" ref="E158:F158" si="300">E154</f>
        <v>4</v>
      </c>
      <c r="F158" s="101">
        <f t="shared" si="300"/>
        <v>1</v>
      </c>
      <c r="G158" s="104" t="str">
        <f t="shared" si="263"/>
        <v>111,110,109,108,107,106,105,104,103,102,101</v>
      </c>
      <c r="H158" s="43">
        <v>3000</v>
      </c>
      <c r="I158" s="43">
        <v>1</v>
      </c>
      <c r="J158" s="43">
        <v>5200</v>
      </c>
      <c r="K158" s="101"/>
      <c r="L158" s="32">
        <v>5832</v>
      </c>
      <c r="M158" s="32">
        <v>121</v>
      </c>
      <c r="N158" s="32">
        <v>55</v>
      </c>
      <c r="O158" s="32">
        <v>195</v>
      </c>
      <c r="P158" s="32">
        <v>6.5</v>
      </c>
      <c r="Q158" s="32">
        <v>1000</v>
      </c>
      <c r="R158" s="32">
        <v>50</v>
      </c>
      <c r="S158" s="32">
        <v>350</v>
      </c>
      <c r="T158" s="32">
        <v>3668</v>
      </c>
      <c r="U158" s="32">
        <v>131</v>
      </c>
      <c r="V158" s="32">
        <v>35</v>
      </c>
      <c r="W158" s="32">
        <v>214</v>
      </c>
      <c r="X158" s="32">
        <v>7.15</v>
      </c>
      <c r="Y158" s="32">
        <v>800</v>
      </c>
      <c r="Z158" s="32">
        <v>50</v>
      </c>
      <c r="AA158" s="32">
        <v>350</v>
      </c>
      <c r="AC158" s="18"/>
    </row>
    <row r="159" spans="2:29">
      <c r="B159" s="14">
        <v>153</v>
      </c>
      <c r="C159" s="18">
        <v>25</v>
      </c>
      <c r="D159" s="43"/>
      <c r="E159" s="101">
        <f t="shared" ref="E159" si="301">E155</f>
        <v>1</v>
      </c>
      <c r="F159" s="101">
        <f t="shared" ref="F159" si="302">F155+10</f>
        <v>580</v>
      </c>
      <c r="G159" s="104" t="str">
        <f t="shared" si="263"/>
        <v/>
      </c>
      <c r="H159" s="43">
        <v>3000</v>
      </c>
      <c r="I159" s="43">
        <v>2</v>
      </c>
      <c r="J159" s="43">
        <v>280</v>
      </c>
      <c r="K159" s="101"/>
      <c r="L159" s="32">
        <v>5832</v>
      </c>
      <c r="M159" s="32">
        <v>121</v>
      </c>
      <c r="N159" s="32">
        <v>55</v>
      </c>
      <c r="O159" s="32">
        <v>195</v>
      </c>
      <c r="P159" s="32">
        <v>6.5</v>
      </c>
      <c r="Q159" s="32">
        <v>1000</v>
      </c>
      <c r="R159" s="32">
        <v>50</v>
      </c>
      <c r="S159" s="32">
        <v>350</v>
      </c>
      <c r="T159" s="32">
        <v>3668</v>
      </c>
      <c r="U159" s="32">
        <v>131</v>
      </c>
      <c r="V159" s="32">
        <v>35</v>
      </c>
      <c r="W159" s="32">
        <v>214</v>
      </c>
      <c r="X159" s="32">
        <v>7.15</v>
      </c>
      <c r="Y159" s="32">
        <v>800</v>
      </c>
      <c r="Z159" s="32">
        <v>50</v>
      </c>
      <c r="AA159" s="32">
        <v>350</v>
      </c>
      <c r="AC159" s="18"/>
    </row>
    <row r="160" spans="2:29">
      <c r="B160" s="14">
        <v>154</v>
      </c>
      <c r="C160" s="18">
        <v>25</v>
      </c>
      <c r="D160" s="43"/>
      <c r="E160" s="101">
        <f t="shared" ref="E160" si="303">E156</f>
        <v>2</v>
      </c>
      <c r="F160" s="101">
        <f t="shared" ref="F160" si="304">F156+2</f>
        <v>106</v>
      </c>
      <c r="G160" s="104" t="str">
        <f t="shared" si="263"/>
        <v/>
      </c>
      <c r="H160" s="43">
        <v>3000</v>
      </c>
      <c r="I160" s="43">
        <v>3</v>
      </c>
      <c r="J160" s="43">
        <v>3</v>
      </c>
      <c r="K160" s="100" t="str">
        <f t="shared" ref="K160" si="305">K157</f>
        <v>301,302,303,304</v>
      </c>
      <c r="L160" s="32">
        <v>5832</v>
      </c>
      <c r="M160" s="32">
        <v>121</v>
      </c>
      <c r="N160" s="32">
        <v>55</v>
      </c>
      <c r="O160" s="32">
        <v>195</v>
      </c>
      <c r="P160" s="32">
        <v>6.5</v>
      </c>
      <c r="Q160" s="32">
        <v>1000</v>
      </c>
      <c r="R160" s="32">
        <v>50</v>
      </c>
      <c r="S160" s="32">
        <v>350</v>
      </c>
      <c r="T160" s="32">
        <v>3668</v>
      </c>
      <c r="U160" s="32">
        <v>131</v>
      </c>
      <c r="V160" s="32">
        <v>35</v>
      </c>
      <c r="W160" s="32">
        <v>214</v>
      </c>
      <c r="X160" s="32">
        <v>7.15</v>
      </c>
      <c r="Y160" s="32">
        <v>800</v>
      </c>
      <c r="Z160" s="32">
        <v>50</v>
      </c>
      <c r="AA160" s="32">
        <v>350</v>
      </c>
      <c r="AC160" s="18"/>
    </row>
    <row r="161" spans="2:29">
      <c r="B161" s="14">
        <v>155</v>
      </c>
      <c r="C161" s="18">
        <v>25</v>
      </c>
      <c r="D161" s="43">
        <v>4.04</v>
      </c>
      <c r="E161" s="101">
        <f t="shared" ref="E161" si="306">E157</f>
        <v>3</v>
      </c>
      <c r="F161" s="101">
        <f t="shared" ref="F161" si="307">INT(D161)</f>
        <v>4</v>
      </c>
      <c r="G161" s="104" t="str">
        <f t="shared" si="263"/>
        <v>301,302,303,304</v>
      </c>
      <c r="H161" s="43">
        <v>3000</v>
      </c>
      <c r="I161" s="43">
        <v>1</v>
      </c>
      <c r="J161" s="43">
        <v>5300</v>
      </c>
      <c r="K161" s="101"/>
      <c r="L161" s="32">
        <v>5832</v>
      </c>
      <c r="M161" s="32">
        <v>121</v>
      </c>
      <c r="N161" s="32">
        <v>55</v>
      </c>
      <c r="O161" s="32">
        <v>195</v>
      </c>
      <c r="P161" s="32">
        <v>6.5</v>
      </c>
      <c r="Q161" s="32">
        <v>1000</v>
      </c>
      <c r="R161" s="32">
        <v>50</v>
      </c>
      <c r="S161" s="32">
        <v>350</v>
      </c>
      <c r="T161" s="32">
        <v>3668</v>
      </c>
      <c r="U161" s="32">
        <v>131</v>
      </c>
      <c r="V161" s="32">
        <v>35</v>
      </c>
      <c r="W161" s="32">
        <v>214</v>
      </c>
      <c r="X161" s="32">
        <v>7.15</v>
      </c>
      <c r="Y161" s="32">
        <v>800</v>
      </c>
      <c r="Z161" s="32">
        <v>50</v>
      </c>
      <c r="AA161" s="32">
        <v>350</v>
      </c>
      <c r="AC161" s="18"/>
    </row>
    <row r="162" spans="2:29">
      <c r="B162" s="14">
        <v>156</v>
      </c>
      <c r="C162" s="18">
        <v>25</v>
      </c>
      <c r="D162" s="43"/>
      <c r="E162" s="101">
        <f t="shared" ref="E162:F162" si="308">E158</f>
        <v>4</v>
      </c>
      <c r="F162" s="101">
        <f t="shared" si="308"/>
        <v>1</v>
      </c>
      <c r="G162" s="104" t="str">
        <f t="shared" si="263"/>
        <v>111,110,109,108,107,106,105,104,103,102,101</v>
      </c>
      <c r="H162" s="43">
        <v>3000</v>
      </c>
      <c r="I162" s="43">
        <v>2</v>
      </c>
      <c r="J162" s="43">
        <v>285</v>
      </c>
      <c r="K162" s="101"/>
      <c r="L162" s="32">
        <v>5832</v>
      </c>
      <c r="M162" s="32">
        <v>121</v>
      </c>
      <c r="N162" s="32">
        <v>55</v>
      </c>
      <c r="O162" s="32">
        <v>195</v>
      </c>
      <c r="P162" s="32">
        <v>6.5</v>
      </c>
      <c r="Q162" s="32">
        <v>1000</v>
      </c>
      <c r="R162" s="32">
        <v>50</v>
      </c>
      <c r="S162" s="32">
        <v>350</v>
      </c>
      <c r="T162" s="32">
        <v>3668</v>
      </c>
      <c r="U162" s="32">
        <v>131</v>
      </c>
      <c r="V162" s="32">
        <v>35</v>
      </c>
      <c r="W162" s="32">
        <v>214</v>
      </c>
      <c r="X162" s="32">
        <v>7.15</v>
      </c>
      <c r="Y162" s="32">
        <v>800</v>
      </c>
      <c r="Z162" s="32">
        <v>50</v>
      </c>
      <c r="AA162" s="32">
        <v>350</v>
      </c>
      <c r="AC162" s="18"/>
    </row>
    <row r="163" spans="2:29">
      <c r="B163" s="14">
        <v>157</v>
      </c>
      <c r="C163" s="18">
        <v>25</v>
      </c>
      <c r="D163" s="43"/>
      <c r="E163" s="101">
        <f t="shared" ref="E163" si="309">E159</f>
        <v>1</v>
      </c>
      <c r="F163" s="101">
        <f t="shared" ref="F163" si="310">F159+10</f>
        <v>590</v>
      </c>
      <c r="G163" s="104" t="str">
        <f t="shared" si="263"/>
        <v/>
      </c>
      <c r="H163" s="43">
        <v>3000</v>
      </c>
      <c r="I163" s="43">
        <v>3</v>
      </c>
      <c r="J163" s="43">
        <v>3</v>
      </c>
      <c r="K163" s="100" t="str">
        <f t="shared" ref="K163" si="311">K160</f>
        <v>301,302,303,304</v>
      </c>
      <c r="L163" s="32">
        <v>5832</v>
      </c>
      <c r="M163" s="32">
        <v>121</v>
      </c>
      <c r="N163" s="32">
        <v>55</v>
      </c>
      <c r="O163" s="32">
        <v>195</v>
      </c>
      <c r="P163" s="32">
        <v>6.5</v>
      </c>
      <c r="Q163" s="32">
        <v>1000</v>
      </c>
      <c r="R163" s="32">
        <v>50</v>
      </c>
      <c r="S163" s="32">
        <v>350</v>
      </c>
      <c r="T163" s="32">
        <v>3668</v>
      </c>
      <c r="U163" s="32">
        <v>131</v>
      </c>
      <c r="V163" s="32">
        <v>35</v>
      </c>
      <c r="W163" s="32">
        <v>214</v>
      </c>
      <c r="X163" s="32">
        <v>7.15</v>
      </c>
      <c r="Y163" s="32">
        <v>800</v>
      </c>
      <c r="Z163" s="32">
        <v>50</v>
      </c>
      <c r="AA163" s="32">
        <v>350</v>
      </c>
      <c r="AC163" s="18"/>
    </row>
    <row r="164" spans="2:29">
      <c r="B164" s="14">
        <v>158</v>
      </c>
      <c r="C164" s="18">
        <v>25</v>
      </c>
      <c r="E164" s="101">
        <f t="shared" ref="E164" si="312">E160</f>
        <v>2</v>
      </c>
      <c r="F164" s="101">
        <f t="shared" ref="F164" si="313">F160+2</f>
        <v>108</v>
      </c>
      <c r="G164" s="104" t="str">
        <f t="shared" si="263"/>
        <v/>
      </c>
      <c r="H164" s="43">
        <v>3000</v>
      </c>
      <c r="I164" s="43">
        <v>1</v>
      </c>
      <c r="J164" s="43">
        <v>5400</v>
      </c>
      <c r="K164" s="101"/>
      <c r="L164" s="32">
        <v>5832</v>
      </c>
      <c r="M164" s="32">
        <v>121</v>
      </c>
      <c r="N164" s="32">
        <v>55</v>
      </c>
      <c r="O164" s="32">
        <v>195</v>
      </c>
      <c r="P164" s="32">
        <v>6.5</v>
      </c>
      <c r="Q164" s="32">
        <v>1000</v>
      </c>
      <c r="R164" s="32">
        <v>50</v>
      </c>
      <c r="S164" s="32">
        <v>350</v>
      </c>
      <c r="T164" s="32">
        <v>3668</v>
      </c>
      <c r="U164" s="32">
        <v>131</v>
      </c>
      <c r="V164" s="32">
        <v>35</v>
      </c>
      <c r="W164" s="32">
        <v>214</v>
      </c>
      <c r="X164" s="32">
        <v>7.15</v>
      </c>
      <c r="Y164" s="32">
        <v>800</v>
      </c>
      <c r="Z164" s="32">
        <v>50</v>
      </c>
      <c r="AA164" s="32">
        <v>350</v>
      </c>
      <c r="AC164" s="18"/>
    </row>
    <row r="165" spans="2:29">
      <c r="B165" s="14">
        <v>159</v>
      </c>
      <c r="C165" s="18">
        <v>25</v>
      </c>
      <c r="D165" s="43">
        <v>4.12</v>
      </c>
      <c r="E165" s="101">
        <f t="shared" ref="E165" si="314">E161</f>
        <v>3</v>
      </c>
      <c r="F165" s="101">
        <f t="shared" ref="F165" si="315">INT(D165)</f>
        <v>4</v>
      </c>
      <c r="G165" s="104" t="str">
        <f t="shared" si="263"/>
        <v>301,302,303,304</v>
      </c>
      <c r="H165" s="43">
        <v>3000</v>
      </c>
      <c r="I165" s="43">
        <v>2</v>
      </c>
      <c r="J165" s="43">
        <v>290</v>
      </c>
      <c r="K165" s="101"/>
      <c r="L165" s="32">
        <v>5832</v>
      </c>
      <c r="M165" s="32">
        <v>121</v>
      </c>
      <c r="N165" s="32">
        <v>55</v>
      </c>
      <c r="O165" s="32">
        <v>195</v>
      </c>
      <c r="P165" s="32">
        <v>6.5</v>
      </c>
      <c r="Q165" s="32">
        <v>1000</v>
      </c>
      <c r="R165" s="32">
        <v>50</v>
      </c>
      <c r="S165" s="32">
        <v>350</v>
      </c>
      <c r="T165" s="32">
        <v>3668</v>
      </c>
      <c r="U165" s="32">
        <v>131</v>
      </c>
      <c r="V165" s="32">
        <v>35</v>
      </c>
      <c r="W165" s="32">
        <v>214</v>
      </c>
      <c r="X165" s="32">
        <v>7.15</v>
      </c>
      <c r="Y165" s="32">
        <v>800</v>
      </c>
      <c r="Z165" s="32">
        <v>50</v>
      </c>
      <c r="AA165" s="32">
        <v>350</v>
      </c>
      <c r="AC165" s="18"/>
    </row>
    <row r="166" spans="2:29">
      <c r="B166" s="14">
        <v>160</v>
      </c>
      <c r="C166" s="18">
        <v>25</v>
      </c>
      <c r="D166" s="43"/>
      <c r="E166" s="101">
        <f t="shared" ref="E166:F166" si="316">E162</f>
        <v>4</v>
      </c>
      <c r="F166" s="101">
        <f t="shared" si="316"/>
        <v>1</v>
      </c>
      <c r="G166" s="104" t="str">
        <f t="shared" si="263"/>
        <v>111,110,109,108,107,106,105,104,103,102,101</v>
      </c>
      <c r="H166" s="43">
        <v>3000</v>
      </c>
      <c r="I166" s="43">
        <v>3</v>
      </c>
      <c r="J166" s="43">
        <v>3</v>
      </c>
      <c r="K166" s="100" t="str">
        <f t="shared" ref="K166" si="317">K163</f>
        <v>301,302,303,304</v>
      </c>
      <c r="L166" s="32">
        <v>5832</v>
      </c>
      <c r="M166" s="32">
        <v>121</v>
      </c>
      <c r="N166" s="32">
        <v>55</v>
      </c>
      <c r="O166" s="32">
        <v>195</v>
      </c>
      <c r="P166" s="32">
        <v>6.5</v>
      </c>
      <c r="Q166" s="32">
        <v>1000</v>
      </c>
      <c r="R166" s="32">
        <v>50</v>
      </c>
      <c r="S166" s="32">
        <v>350</v>
      </c>
      <c r="T166" s="32">
        <v>3668</v>
      </c>
      <c r="U166" s="32">
        <v>131</v>
      </c>
      <c r="V166" s="32">
        <v>35</v>
      </c>
      <c r="W166" s="32">
        <v>214</v>
      </c>
      <c r="X166" s="32">
        <v>7.15</v>
      </c>
      <c r="Y166" s="32">
        <v>800</v>
      </c>
      <c r="Z166" s="32">
        <v>50</v>
      </c>
      <c r="AA166" s="32">
        <v>350</v>
      </c>
      <c r="AC166" s="18"/>
    </row>
    <row r="167" spans="2:29">
      <c r="B167" s="14">
        <v>161</v>
      </c>
      <c r="C167" s="18">
        <v>25</v>
      </c>
      <c r="D167" s="43"/>
      <c r="E167" s="101">
        <f t="shared" ref="E167" si="318">E163</f>
        <v>1</v>
      </c>
      <c r="F167" s="101">
        <f t="shared" ref="F167" si="319">F163+10</f>
        <v>600</v>
      </c>
      <c r="G167" s="104" t="str">
        <f t="shared" si="263"/>
        <v/>
      </c>
      <c r="H167" s="43">
        <v>3000</v>
      </c>
      <c r="I167" s="43">
        <v>1</v>
      </c>
      <c r="J167" s="43">
        <v>5500</v>
      </c>
      <c r="K167" s="101"/>
      <c r="L167" s="32">
        <v>5832</v>
      </c>
      <c r="M167" s="32">
        <v>121</v>
      </c>
      <c r="N167" s="32">
        <v>55</v>
      </c>
      <c r="O167" s="32">
        <v>195</v>
      </c>
      <c r="P167" s="32">
        <v>6.5</v>
      </c>
      <c r="Q167" s="32">
        <v>1000</v>
      </c>
      <c r="R167" s="32">
        <v>50</v>
      </c>
      <c r="S167" s="32">
        <v>350</v>
      </c>
      <c r="T167" s="32">
        <v>3668</v>
      </c>
      <c r="U167" s="32">
        <v>131</v>
      </c>
      <c r="V167" s="32">
        <v>35</v>
      </c>
      <c r="W167" s="32">
        <v>214</v>
      </c>
      <c r="X167" s="32">
        <v>7.15</v>
      </c>
      <c r="Y167" s="32">
        <v>800</v>
      </c>
      <c r="Z167" s="32">
        <v>50</v>
      </c>
      <c r="AA167" s="32">
        <v>350</v>
      </c>
      <c r="AC167" s="18"/>
    </row>
    <row r="168" spans="2:29">
      <c r="B168" s="14">
        <v>162</v>
      </c>
      <c r="C168" s="18">
        <v>25</v>
      </c>
      <c r="D168" s="43"/>
      <c r="E168" s="101">
        <f t="shared" ref="E168" si="320">E164</f>
        <v>2</v>
      </c>
      <c r="F168" s="101">
        <f t="shared" ref="F168" si="321">F164+2</f>
        <v>110</v>
      </c>
      <c r="G168" s="104" t="str">
        <f t="shared" si="263"/>
        <v/>
      </c>
      <c r="H168" s="43">
        <v>3000</v>
      </c>
      <c r="I168" s="43">
        <v>2</v>
      </c>
      <c r="J168" s="43">
        <v>295</v>
      </c>
      <c r="K168" s="101"/>
      <c r="L168" s="32">
        <v>5832</v>
      </c>
      <c r="M168" s="32">
        <v>121</v>
      </c>
      <c r="N168" s="32">
        <v>55</v>
      </c>
      <c r="O168" s="32">
        <v>195</v>
      </c>
      <c r="P168" s="32">
        <v>6.5</v>
      </c>
      <c r="Q168" s="32">
        <v>1000</v>
      </c>
      <c r="R168" s="32">
        <v>50</v>
      </c>
      <c r="S168" s="32">
        <v>350</v>
      </c>
      <c r="T168" s="32">
        <v>3668</v>
      </c>
      <c r="U168" s="32">
        <v>131</v>
      </c>
      <c r="V168" s="32">
        <v>35</v>
      </c>
      <c r="W168" s="32">
        <v>214</v>
      </c>
      <c r="X168" s="32">
        <v>7.15</v>
      </c>
      <c r="Y168" s="32">
        <v>800</v>
      </c>
      <c r="Z168" s="32">
        <v>50</v>
      </c>
      <c r="AA168" s="32">
        <v>350</v>
      </c>
      <c r="AC168" s="18"/>
    </row>
    <row r="169" spans="2:29">
      <c r="B169" s="14">
        <v>163</v>
      </c>
      <c r="C169" s="18">
        <v>25</v>
      </c>
      <c r="D169" s="43">
        <v>4.2</v>
      </c>
      <c r="E169" s="101">
        <f t="shared" ref="E169" si="322">E165</f>
        <v>3</v>
      </c>
      <c r="F169" s="101">
        <f t="shared" ref="F169" si="323">INT(D169)</f>
        <v>4</v>
      </c>
      <c r="G169" s="104" t="str">
        <f t="shared" si="263"/>
        <v>301,302,303,304</v>
      </c>
      <c r="H169" s="43">
        <v>3000</v>
      </c>
      <c r="I169" s="43">
        <v>3</v>
      </c>
      <c r="J169" s="43">
        <v>3</v>
      </c>
      <c r="K169" s="100" t="str">
        <f t="shared" ref="K169" si="324">K166</f>
        <v>301,302,303,304</v>
      </c>
      <c r="L169" s="32">
        <v>5832</v>
      </c>
      <c r="M169" s="32">
        <v>121</v>
      </c>
      <c r="N169" s="32">
        <v>55</v>
      </c>
      <c r="O169" s="32">
        <v>195</v>
      </c>
      <c r="P169" s="32">
        <v>6.5</v>
      </c>
      <c r="Q169" s="32">
        <v>1000</v>
      </c>
      <c r="R169" s="32">
        <v>50</v>
      </c>
      <c r="S169" s="32">
        <v>350</v>
      </c>
      <c r="T169" s="32">
        <v>3668</v>
      </c>
      <c r="U169" s="32">
        <v>131</v>
      </c>
      <c r="V169" s="32">
        <v>35</v>
      </c>
      <c r="W169" s="32">
        <v>214</v>
      </c>
      <c r="X169" s="32">
        <v>7.15</v>
      </c>
      <c r="Y169" s="32">
        <v>800</v>
      </c>
      <c r="Z169" s="32">
        <v>50</v>
      </c>
      <c r="AA169" s="32">
        <v>350</v>
      </c>
      <c r="AC169" s="18"/>
    </row>
    <row r="170" spans="2:29">
      <c r="B170" s="14">
        <v>164</v>
      </c>
      <c r="C170" s="18">
        <v>25</v>
      </c>
      <c r="D170" s="43"/>
      <c r="E170" s="101">
        <f t="shared" ref="E170:F170" si="325">E166</f>
        <v>4</v>
      </c>
      <c r="F170" s="101">
        <f t="shared" si="325"/>
        <v>1</v>
      </c>
      <c r="G170" s="104" t="str">
        <f t="shared" si="263"/>
        <v>111,110,109,108,107,106,105,104,103,102,101</v>
      </c>
      <c r="H170" s="43">
        <v>3000</v>
      </c>
      <c r="I170" s="43">
        <v>1</v>
      </c>
      <c r="J170" s="43">
        <v>5600</v>
      </c>
      <c r="K170" s="101"/>
      <c r="L170" s="32">
        <v>5832</v>
      </c>
      <c r="M170" s="32">
        <v>121</v>
      </c>
      <c r="N170" s="32">
        <v>55</v>
      </c>
      <c r="O170" s="32">
        <v>195</v>
      </c>
      <c r="P170" s="32">
        <v>6.5</v>
      </c>
      <c r="Q170" s="32">
        <v>1000</v>
      </c>
      <c r="R170" s="32">
        <v>50</v>
      </c>
      <c r="S170" s="32">
        <v>350</v>
      </c>
      <c r="T170" s="32">
        <v>3668</v>
      </c>
      <c r="U170" s="32">
        <v>131</v>
      </c>
      <c r="V170" s="32">
        <v>35</v>
      </c>
      <c r="W170" s="32">
        <v>214</v>
      </c>
      <c r="X170" s="32">
        <v>7.15</v>
      </c>
      <c r="Y170" s="32">
        <v>800</v>
      </c>
      <c r="Z170" s="32">
        <v>50</v>
      </c>
      <c r="AA170" s="32">
        <v>350</v>
      </c>
      <c r="AC170" s="18"/>
    </row>
    <row r="171" spans="2:29">
      <c r="B171" s="14">
        <v>165</v>
      </c>
      <c r="C171" s="18">
        <v>25</v>
      </c>
      <c r="D171" s="43"/>
      <c r="E171" s="101">
        <f t="shared" ref="E171" si="326">E167</f>
        <v>1</v>
      </c>
      <c r="F171" s="101">
        <f t="shared" ref="F171" si="327">F167+10</f>
        <v>610</v>
      </c>
      <c r="G171" s="104" t="str">
        <f t="shared" si="263"/>
        <v/>
      </c>
      <c r="H171" s="43">
        <v>3000</v>
      </c>
      <c r="I171" s="43">
        <v>2</v>
      </c>
      <c r="J171" s="43">
        <v>300</v>
      </c>
      <c r="K171" s="101"/>
      <c r="L171" s="32">
        <v>5832</v>
      </c>
      <c r="M171" s="32">
        <v>121</v>
      </c>
      <c r="N171" s="32">
        <v>55</v>
      </c>
      <c r="O171" s="32">
        <v>195</v>
      </c>
      <c r="P171" s="32">
        <v>6.5</v>
      </c>
      <c r="Q171" s="32">
        <v>1000</v>
      </c>
      <c r="R171" s="32">
        <v>50</v>
      </c>
      <c r="S171" s="32">
        <v>350</v>
      </c>
      <c r="T171" s="32">
        <v>3668</v>
      </c>
      <c r="U171" s="32">
        <v>131</v>
      </c>
      <c r="V171" s="32">
        <v>35</v>
      </c>
      <c r="W171" s="32">
        <v>214</v>
      </c>
      <c r="X171" s="32">
        <v>7.15</v>
      </c>
      <c r="Y171" s="32">
        <v>800</v>
      </c>
      <c r="Z171" s="32">
        <v>50</v>
      </c>
      <c r="AA171" s="32">
        <v>350</v>
      </c>
      <c r="AC171" s="18"/>
    </row>
    <row r="172" spans="2:29">
      <c r="B172" s="14">
        <v>166</v>
      </c>
      <c r="C172" s="18">
        <v>25</v>
      </c>
      <c r="E172" s="101">
        <f t="shared" ref="E172" si="328">E168</f>
        <v>2</v>
      </c>
      <c r="F172" s="101">
        <f t="shared" ref="F172" si="329">F168+2</f>
        <v>112</v>
      </c>
      <c r="G172" s="104" t="str">
        <f t="shared" si="263"/>
        <v/>
      </c>
      <c r="H172" s="43">
        <v>3000</v>
      </c>
      <c r="I172" s="43">
        <v>3</v>
      </c>
      <c r="J172" s="43">
        <v>3</v>
      </c>
      <c r="K172" s="100" t="str">
        <f t="shared" ref="K172" si="330">K169</f>
        <v>301,302,303,304</v>
      </c>
      <c r="L172" s="32">
        <v>5832</v>
      </c>
      <c r="M172" s="32">
        <v>121</v>
      </c>
      <c r="N172" s="32">
        <v>55</v>
      </c>
      <c r="O172" s="32">
        <v>195</v>
      </c>
      <c r="P172" s="32">
        <v>6.5</v>
      </c>
      <c r="Q172" s="32">
        <v>1000</v>
      </c>
      <c r="R172" s="32">
        <v>50</v>
      </c>
      <c r="S172" s="32">
        <v>350</v>
      </c>
      <c r="T172" s="32">
        <v>3668</v>
      </c>
      <c r="U172" s="32">
        <v>131</v>
      </c>
      <c r="V172" s="32">
        <v>35</v>
      </c>
      <c r="W172" s="32">
        <v>214</v>
      </c>
      <c r="X172" s="32">
        <v>7.15</v>
      </c>
      <c r="Y172" s="32">
        <v>800</v>
      </c>
      <c r="Z172" s="32">
        <v>50</v>
      </c>
      <c r="AA172" s="32">
        <v>350</v>
      </c>
      <c r="AC172" s="18"/>
    </row>
    <row r="173" spans="2:29">
      <c r="B173" s="14">
        <v>167</v>
      </c>
      <c r="C173" s="18">
        <v>25</v>
      </c>
      <c r="D173" s="43">
        <v>4.28</v>
      </c>
      <c r="E173" s="101">
        <f t="shared" ref="E173" si="331">E169</f>
        <v>3</v>
      </c>
      <c r="F173" s="101">
        <f t="shared" ref="F173" si="332">INT(D173)</f>
        <v>4</v>
      </c>
      <c r="G173" s="104" t="str">
        <f t="shared" si="263"/>
        <v>301,302,303,304</v>
      </c>
      <c r="H173" s="43">
        <v>3000</v>
      </c>
      <c r="I173" s="43">
        <v>1</v>
      </c>
      <c r="J173" s="43">
        <v>5700</v>
      </c>
      <c r="K173" s="101"/>
      <c r="L173" s="32">
        <v>5832</v>
      </c>
      <c r="M173" s="32">
        <v>121</v>
      </c>
      <c r="N173" s="32">
        <v>55</v>
      </c>
      <c r="O173" s="32">
        <v>195</v>
      </c>
      <c r="P173" s="32">
        <v>6.5</v>
      </c>
      <c r="Q173" s="32">
        <v>1000</v>
      </c>
      <c r="R173" s="32">
        <v>50</v>
      </c>
      <c r="S173" s="32">
        <v>350</v>
      </c>
      <c r="T173" s="32">
        <v>3668</v>
      </c>
      <c r="U173" s="32">
        <v>131</v>
      </c>
      <c r="V173" s="32">
        <v>35</v>
      </c>
      <c r="W173" s="32">
        <v>214</v>
      </c>
      <c r="X173" s="32">
        <v>7.15</v>
      </c>
      <c r="Y173" s="32">
        <v>800</v>
      </c>
      <c r="Z173" s="32">
        <v>50</v>
      </c>
      <c r="AA173" s="32">
        <v>350</v>
      </c>
      <c r="AC173" s="18"/>
    </row>
    <row r="174" spans="2:29">
      <c r="B174" s="14">
        <v>168</v>
      </c>
      <c r="C174" s="18">
        <v>25</v>
      </c>
      <c r="D174" s="43"/>
      <c r="E174" s="101">
        <f t="shared" ref="E174:F174" si="333">E170</f>
        <v>4</v>
      </c>
      <c r="F174" s="101">
        <f t="shared" si="333"/>
        <v>1</v>
      </c>
      <c r="G174" s="104" t="str">
        <f t="shared" si="263"/>
        <v>111,110,109,108,107,106,105,104,103,102,101</v>
      </c>
      <c r="H174" s="43">
        <v>3000</v>
      </c>
      <c r="I174" s="43">
        <v>2</v>
      </c>
      <c r="J174" s="43">
        <v>305</v>
      </c>
      <c r="K174" s="101"/>
      <c r="L174" s="32">
        <v>5832</v>
      </c>
      <c r="M174" s="32">
        <v>121</v>
      </c>
      <c r="N174" s="32">
        <v>55</v>
      </c>
      <c r="O174" s="32">
        <v>195</v>
      </c>
      <c r="P174" s="32">
        <v>6.5</v>
      </c>
      <c r="Q174" s="32">
        <v>1000</v>
      </c>
      <c r="R174" s="32">
        <v>50</v>
      </c>
      <c r="S174" s="32">
        <v>350</v>
      </c>
      <c r="T174" s="32">
        <v>3668</v>
      </c>
      <c r="U174" s="32">
        <v>131</v>
      </c>
      <c r="V174" s="32">
        <v>35</v>
      </c>
      <c r="W174" s="32">
        <v>214</v>
      </c>
      <c r="X174" s="32">
        <v>7.15</v>
      </c>
      <c r="Y174" s="32">
        <v>800</v>
      </c>
      <c r="Z174" s="32">
        <v>50</v>
      </c>
      <c r="AA174" s="32">
        <v>350</v>
      </c>
      <c r="AC174" s="18"/>
    </row>
    <row r="175" spans="2:29">
      <c r="B175" s="14">
        <v>169</v>
      </c>
      <c r="C175" s="18">
        <v>25</v>
      </c>
      <c r="D175" s="43"/>
      <c r="E175" s="101">
        <f t="shared" ref="E175" si="334">E171</f>
        <v>1</v>
      </c>
      <c r="F175" s="101">
        <f t="shared" ref="F175" si="335">F171+10</f>
        <v>620</v>
      </c>
      <c r="G175" s="104" t="str">
        <f t="shared" si="263"/>
        <v/>
      </c>
      <c r="H175" s="43">
        <v>3000</v>
      </c>
      <c r="I175" s="43">
        <v>3</v>
      </c>
      <c r="J175" s="43">
        <v>3</v>
      </c>
      <c r="K175" s="100" t="str">
        <f t="shared" ref="K175" si="336">K172</f>
        <v>301,302,303,304</v>
      </c>
      <c r="L175" s="32">
        <v>5832</v>
      </c>
      <c r="M175" s="32">
        <v>121</v>
      </c>
      <c r="N175" s="32">
        <v>55</v>
      </c>
      <c r="O175" s="32">
        <v>195</v>
      </c>
      <c r="P175" s="32">
        <v>6.5</v>
      </c>
      <c r="Q175" s="32">
        <v>1000</v>
      </c>
      <c r="R175" s="32">
        <v>50</v>
      </c>
      <c r="S175" s="32">
        <v>350</v>
      </c>
      <c r="T175" s="32">
        <v>3668</v>
      </c>
      <c r="U175" s="32">
        <v>131</v>
      </c>
      <c r="V175" s="32">
        <v>35</v>
      </c>
      <c r="W175" s="32">
        <v>214</v>
      </c>
      <c r="X175" s="32">
        <v>7.15</v>
      </c>
      <c r="Y175" s="32">
        <v>800</v>
      </c>
      <c r="Z175" s="32">
        <v>50</v>
      </c>
      <c r="AA175" s="32">
        <v>350</v>
      </c>
      <c r="AC175" s="18"/>
    </row>
    <row r="176" spans="2:29">
      <c r="B176" s="14">
        <v>170</v>
      </c>
      <c r="C176" s="18">
        <v>25</v>
      </c>
      <c r="D176" s="43"/>
      <c r="E176" s="101">
        <f t="shared" ref="E176" si="337">E172</f>
        <v>2</v>
      </c>
      <c r="F176" s="101">
        <f t="shared" ref="F176" si="338">F172+2</f>
        <v>114</v>
      </c>
      <c r="G176" s="104" t="str">
        <f t="shared" si="263"/>
        <v/>
      </c>
      <c r="H176" s="43">
        <v>3000</v>
      </c>
      <c r="I176" s="43">
        <v>1</v>
      </c>
      <c r="J176" s="43">
        <v>5800</v>
      </c>
      <c r="K176" s="101"/>
      <c r="L176" s="32">
        <v>5832</v>
      </c>
      <c r="M176" s="32">
        <v>121</v>
      </c>
      <c r="N176" s="32">
        <v>55</v>
      </c>
      <c r="O176" s="32">
        <v>195</v>
      </c>
      <c r="P176" s="32">
        <v>6.5</v>
      </c>
      <c r="Q176" s="32">
        <v>1000</v>
      </c>
      <c r="R176" s="32">
        <v>50</v>
      </c>
      <c r="S176" s="32">
        <v>350</v>
      </c>
      <c r="T176" s="32">
        <v>3668</v>
      </c>
      <c r="U176" s="32">
        <v>131</v>
      </c>
      <c r="V176" s="32">
        <v>35</v>
      </c>
      <c r="W176" s="32">
        <v>214</v>
      </c>
      <c r="X176" s="32">
        <v>7.15</v>
      </c>
      <c r="Y176" s="32">
        <v>800</v>
      </c>
      <c r="Z176" s="32">
        <v>50</v>
      </c>
      <c r="AA176" s="32">
        <v>350</v>
      </c>
      <c r="AC176" s="18"/>
    </row>
    <row r="177" spans="2:29">
      <c r="B177" s="14">
        <v>171</v>
      </c>
      <c r="C177" s="18">
        <v>25</v>
      </c>
      <c r="D177" s="43">
        <v>4.3600000000000003</v>
      </c>
      <c r="E177" s="101">
        <f t="shared" ref="E177" si="339">E173</f>
        <v>3</v>
      </c>
      <c r="F177" s="101">
        <f t="shared" ref="F177" si="340">INT(D177)</f>
        <v>4</v>
      </c>
      <c r="G177" s="104" t="str">
        <f t="shared" si="263"/>
        <v>301,302,303,304</v>
      </c>
      <c r="H177" s="43">
        <v>3000</v>
      </c>
      <c r="I177" s="43">
        <v>2</v>
      </c>
      <c r="J177" s="43">
        <v>310</v>
      </c>
      <c r="K177" s="101"/>
      <c r="L177" s="32">
        <v>5832</v>
      </c>
      <c r="M177" s="32">
        <v>121</v>
      </c>
      <c r="N177" s="32">
        <v>55</v>
      </c>
      <c r="O177" s="32">
        <v>195</v>
      </c>
      <c r="P177" s="32">
        <v>6.5</v>
      </c>
      <c r="Q177" s="32">
        <v>1000</v>
      </c>
      <c r="R177" s="32">
        <v>50</v>
      </c>
      <c r="S177" s="32">
        <v>350</v>
      </c>
      <c r="T177" s="32">
        <v>3668</v>
      </c>
      <c r="U177" s="32">
        <v>131</v>
      </c>
      <c r="V177" s="32">
        <v>35</v>
      </c>
      <c r="W177" s="32">
        <v>214</v>
      </c>
      <c r="X177" s="32">
        <v>7.15</v>
      </c>
      <c r="Y177" s="32">
        <v>800</v>
      </c>
      <c r="Z177" s="32">
        <v>50</v>
      </c>
      <c r="AA177" s="32">
        <v>350</v>
      </c>
      <c r="AC177" s="18"/>
    </row>
    <row r="178" spans="2:29">
      <c r="B178" s="14">
        <v>172</v>
      </c>
      <c r="C178" s="18">
        <v>25</v>
      </c>
      <c r="D178" s="43"/>
      <c r="E178" s="101">
        <f t="shared" ref="E178:F178" si="341">E174</f>
        <v>4</v>
      </c>
      <c r="F178" s="101">
        <f t="shared" si="341"/>
        <v>1</v>
      </c>
      <c r="G178" s="104" t="str">
        <f t="shared" si="263"/>
        <v>111,110,109,108,107,106,105,104,103,102,101</v>
      </c>
      <c r="H178" s="43">
        <v>3000</v>
      </c>
      <c r="I178" s="43">
        <v>3</v>
      </c>
      <c r="J178" s="43">
        <v>3</v>
      </c>
      <c r="K178" s="100" t="str">
        <f t="shared" ref="K178" si="342">K175</f>
        <v>301,302,303,304</v>
      </c>
      <c r="L178" s="32">
        <v>5832</v>
      </c>
      <c r="M178" s="32">
        <v>121</v>
      </c>
      <c r="N178" s="32">
        <v>55</v>
      </c>
      <c r="O178" s="32">
        <v>195</v>
      </c>
      <c r="P178" s="32">
        <v>6.5</v>
      </c>
      <c r="Q178" s="32">
        <v>1000</v>
      </c>
      <c r="R178" s="32">
        <v>50</v>
      </c>
      <c r="S178" s="32">
        <v>350</v>
      </c>
      <c r="T178" s="32">
        <v>3668</v>
      </c>
      <c r="U178" s="32">
        <v>131</v>
      </c>
      <c r="V178" s="32">
        <v>35</v>
      </c>
      <c r="W178" s="32">
        <v>214</v>
      </c>
      <c r="X178" s="32">
        <v>7.15</v>
      </c>
      <c r="Y178" s="32">
        <v>800</v>
      </c>
      <c r="Z178" s="32">
        <v>50</v>
      </c>
      <c r="AA178" s="32">
        <v>350</v>
      </c>
      <c r="AC178" s="18"/>
    </row>
    <row r="179" spans="2:29">
      <c r="B179" s="14">
        <v>173</v>
      </c>
      <c r="C179" s="18">
        <v>25</v>
      </c>
      <c r="D179" s="43"/>
      <c r="E179" s="101">
        <f t="shared" ref="E179" si="343">E175</f>
        <v>1</v>
      </c>
      <c r="F179" s="101">
        <f t="shared" ref="F179" si="344">F175+10</f>
        <v>630</v>
      </c>
      <c r="G179" s="104" t="str">
        <f t="shared" si="263"/>
        <v/>
      </c>
      <c r="H179" s="43">
        <v>3000</v>
      </c>
      <c r="I179" s="43">
        <v>1</v>
      </c>
      <c r="J179" s="43">
        <v>5900</v>
      </c>
      <c r="K179" s="101"/>
      <c r="L179" s="32">
        <v>5832</v>
      </c>
      <c r="M179" s="32">
        <v>121</v>
      </c>
      <c r="N179" s="32">
        <v>55</v>
      </c>
      <c r="O179" s="32">
        <v>195</v>
      </c>
      <c r="P179" s="32">
        <v>6.5</v>
      </c>
      <c r="Q179" s="32">
        <v>1000</v>
      </c>
      <c r="R179" s="32">
        <v>50</v>
      </c>
      <c r="S179" s="32">
        <v>350</v>
      </c>
      <c r="T179" s="32">
        <v>3668</v>
      </c>
      <c r="U179" s="32">
        <v>131</v>
      </c>
      <c r="V179" s="32">
        <v>35</v>
      </c>
      <c r="W179" s="32">
        <v>214</v>
      </c>
      <c r="X179" s="32">
        <v>7.15</v>
      </c>
      <c r="Y179" s="32">
        <v>800</v>
      </c>
      <c r="Z179" s="32">
        <v>50</v>
      </c>
      <c r="AA179" s="32">
        <v>350</v>
      </c>
      <c r="AC179" s="18"/>
    </row>
    <row r="180" spans="2:29">
      <c r="B180" s="14">
        <v>174</v>
      </c>
      <c r="C180" s="18">
        <v>25</v>
      </c>
      <c r="E180" s="101">
        <f t="shared" ref="E180" si="345">E176</f>
        <v>2</v>
      </c>
      <c r="F180" s="101">
        <f t="shared" ref="F180" si="346">F176+2</f>
        <v>116</v>
      </c>
      <c r="G180" s="104" t="str">
        <f t="shared" si="263"/>
        <v/>
      </c>
      <c r="H180" s="43">
        <v>3000</v>
      </c>
      <c r="I180" s="43">
        <v>2</v>
      </c>
      <c r="J180" s="43">
        <v>315</v>
      </c>
      <c r="K180" s="101"/>
      <c r="L180" s="32">
        <v>5832</v>
      </c>
      <c r="M180" s="32">
        <v>121</v>
      </c>
      <c r="N180" s="32">
        <v>55</v>
      </c>
      <c r="O180" s="32">
        <v>195</v>
      </c>
      <c r="P180" s="32">
        <v>6.5</v>
      </c>
      <c r="Q180" s="32">
        <v>1000</v>
      </c>
      <c r="R180" s="32">
        <v>50</v>
      </c>
      <c r="S180" s="32">
        <v>350</v>
      </c>
      <c r="T180" s="32">
        <v>3668</v>
      </c>
      <c r="U180" s="32">
        <v>131</v>
      </c>
      <c r="V180" s="32">
        <v>35</v>
      </c>
      <c r="W180" s="32">
        <v>214</v>
      </c>
      <c r="X180" s="32">
        <v>7.15</v>
      </c>
      <c r="Y180" s="32">
        <v>800</v>
      </c>
      <c r="Z180" s="32">
        <v>50</v>
      </c>
      <c r="AA180" s="32">
        <v>350</v>
      </c>
      <c r="AC180" s="18"/>
    </row>
    <row r="181" spans="2:29">
      <c r="B181" s="14">
        <v>175</v>
      </c>
      <c r="C181" s="18">
        <v>25</v>
      </c>
      <c r="D181" s="43">
        <v>4.4400000000000004</v>
      </c>
      <c r="E181" s="101">
        <f t="shared" ref="E181" si="347">E177</f>
        <v>3</v>
      </c>
      <c r="F181" s="101">
        <f t="shared" ref="F181" si="348">INT(D181)</f>
        <v>4</v>
      </c>
      <c r="G181" s="104" t="str">
        <f t="shared" si="263"/>
        <v>301,302,303,304</v>
      </c>
      <c r="H181" s="43">
        <v>3000</v>
      </c>
      <c r="I181" s="43">
        <v>3</v>
      </c>
      <c r="J181" s="43">
        <v>3</v>
      </c>
      <c r="K181" s="100" t="str">
        <f t="shared" ref="K181" si="349">K178</f>
        <v>301,302,303,304</v>
      </c>
      <c r="L181" s="32">
        <v>5832</v>
      </c>
      <c r="M181" s="32">
        <v>121</v>
      </c>
      <c r="N181" s="32">
        <v>55</v>
      </c>
      <c r="O181" s="32">
        <v>195</v>
      </c>
      <c r="P181" s="32">
        <v>6.5</v>
      </c>
      <c r="Q181" s="32">
        <v>1000</v>
      </c>
      <c r="R181" s="32">
        <v>50</v>
      </c>
      <c r="S181" s="32">
        <v>350</v>
      </c>
      <c r="T181" s="32">
        <v>3668</v>
      </c>
      <c r="U181" s="32">
        <v>131</v>
      </c>
      <c r="V181" s="32">
        <v>35</v>
      </c>
      <c r="W181" s="32">
        <v>214</v>
      </c>
      <c r="X181" s="32">
        <v>7.15</v>
      </c>
      <c r="Y181" s="32">
        <v>800</v>
      </c>
      <c r="Z181" s="32">
        <v>50</v>
      </c>
      <c r="AA181" s="32">
        <v>350</v>
      </c>
      <c r="AC181" s="18"/>
    </row>
    <row r="182" spans="2:29">
      <c r="B182" s="14">
        <v>176</v>
      </c>
      <c r="C182" s="18">
        <v>25</v>
      </c>
      <c r="D182" s="43"/>
      <c r="E182" s="101">
        <f t="shared" ref="E182:F182" si="350">E178</f>
        <v>4</v>
      </c>
      <c r="F182" s="101">
        <f t="shared" si="350"/>
        <v>1</v>
      </c>
      <c r="G182" s="104" t="str">
        <f t="shared" si="263"/>
        <v>111,110,109,108,107,106,105,104,103,102,101</v>
      </c>
      <c r="H182" s="43">
        <v>3000</v>
      </c>
      <c r="I182" s="43">
        <v>1</v>
      </c>
      <c r="J182" s="43">
        <v>6000</v>
      </c>
      <c r="K182" s="101"/>
      <c r="L182" s="32">
        <v>5832</v>
      </c>
      <c r="M182" s="32">
        <v>121</v>
      </c>
      <c r="N182" s="32">
        <v>55</v>
      </c>
      <c r="O182" s="32">
        <v>195</v>
      </c>
      <c r="P182" s="32">
        <v>6.5</v>
      </c>
      <c r="Q182" s="32">
        <v>1000</v>
      </c>
      <c r="R182" s="32">
        <v>50</v>
      </c>
      <c r="S182" s="32">
        <v>350</v>
      </c>
      <c r="T182" s="32">
        <v>3668</v>
      </c>
      <c r="U182" s="32">
        <v>131</v>
      </c>
      <c r="V182" s="32">
        <v>35</v>
      </c>
      <c r="W182" s="32">
        <v>214</v>
      </c>
      <c r="X182" s="32">
        <v>7.15</v>
      </c>
      <c r="Y182" s="32">
        <v>800</v>
      </c>
      <c r="Z182" s="32">
        <v>50</v>
      </c>
      <c r="AA182" s="32">
        <v>350</v>
      </c>
      <c r="AC182" s="18"/>
    </row>
    <row r="183" spans="2:29">
      <c r="B183" s="14">
        <v>177</v>
      </c>
      <c r="C183" s="18">
        <v>25</v>
      </c>
      <c r="D183" s="43"/>
      <c r="E183" s="101">
        <f t="shared" ref="E183" si="351">E179</f>
        <v>1</v>
      </c>
      <c r="F183" s="101">
        <f t="shared" ref="F183" si="352">F179+10</f>
        <v>640</v>
      </c>
      <c r="G183" s="104" t="str">
        <f t="shared" si="263"/>
        <v/>
      </c>
      <c r="H183" s="43">
        <v>3000</v>
      </c>
      <c r="I183" s="43">
        <v>2</v>
      </c>
      <c r="J183" s="43">
        <v>320</v>
      </c>
      <c r="K183" s="101"/>
      <c r="L183" s="32">
        <v>5832</v>
      </c>
      <c r="M183" s="32">
        <v>121</v>
      </c>
      <c r="N183" s="32">
        <v>55</v>
      </c>
      <c r="O183" s="32">
        <v>195</v>
      </c>
      <c r="P183" s="32">
        <v>6.5</v>
      </c>
      <c r="Q183" s="32">
        <v>1000</v>
      </c>
      <c r="R183" s="32">
        <v>50</v>
      </c>
      <c r="S183" s="32">
        <v>350</v>
      </c>
      <c r="T183" s="32">
        <v>3668</v>
      </c>
      <c r="U183" s="32">
        <v>131</v>
      </c>
      <c r="V183" s="32">
        <v>35</v>
      </c>
      <c r="W183" s="32">
        <v>214</v>
      </c>
      <c r="X183" s="32">
        <v>7.15</v>
      </c>
      <c r="Y183" s="32">
        <v>800</v>
      </c>
      <c r="Z183" s="32">
        <v>50</v>
      </c>
      <c r="AA183" s="32">
        <v>350</v>
      </c>
      <c r="AC183" s="18"/>
    </row>
    <row r="184" spans="2:29">
      <c r="B184" s="14">
        <v>178</v>
      </c>
      <c r="C184" s="18">
        <v>25</v>
      </c>
      <c r="D184" s="43"/>
      <c r="E184" s="101">
        <f t="shared" ref="E184" si="353">E180</f>
        <v>2</v>
      </c>
      <c r="F184" s="101">
        <f t="shared" ref="F184" si="354">F180+2</f>
        <v>118</v>
      </c>
      <c r="G184" s="104" t="str">
        <f t="shared" si="263"/>
        <v/>
      </c>
      <c r="H184" s="43">
        <v>3000</v>
      </c>
      <c r="I184" s="43">
        <v>3</v>
      </c>
      <c r="J184" s="43">
        <v>3</v>
      </c>
      <c r="K184" s="100" t="str">
        <f t="shared" ref="K184" si="355">K181</f>
        <v>301,302,303,304</v>
      </c>
      <c r="L184" s="32">
        <v>5832</v>
      </c>
      <c r="M184" s="32">
        <v>121</v>
      </c>
      <c r="N184" s="32">
        <v>55</v>
      </c>
      <c r="O184" s="32">
        <v>195</v>
      </c>
      <c r="P184" s="32">
        <v>6.5</v>
      </c>
      <c r="Q184" s="32">
        <v>1000</v>
      </c>
      <c r="R184" s="32">
        <v>50</v>
      </c>
      <c r="S184" s="32">
        <v>350</v>
      </c>
      <c r="T184" s="32">
        <v>3668</v>
      </c>
      <c r="U184" s="32">
        <v>131</v>
      </c>
      <c r="V184" s="32">
        <v>35</v>
      </c>
      <c r="W184" s="32">
        <v>214</v>
      </c>
      <c r="X184" s="32">
        <v>7.15</v>
      </c>
      <c r="Y184" s="32">
        <v>800</v>
      </c>
      <c r="Z184" s="32">
        <v>50</v>
      </c>
      <c r="AA184" s="32">
        <v>350</v>
      </c>
      <c r="AC184" s="18"/>
    </row>
    <row r="185" spans="2:29">
      <c r="B185" s="14">
        <v>179</v>
      </c>
      <c r="C185" s="18">
        <v>25</v>
      </c>
      <c r="D185" s="43">
        <v>4.5199999999999996</v>
      </c>
      <c r="E185" s="101">
        <f t="shared" ref="E185" si="356">E181</f>
        <v>3</v>
      </c>
      <c r="F185" s="101">
        <f t="shared" ref="F185" si="357">INT(D185)</f>
        <v>4</v>
      </c>
      <c r="G185" s="104" t="str">
        <f t="shared" si="263"/>
        <v>301,302,303,304</v>
      </c>
      <c r="H185" s="43">
        <v>3000</v>
      </c>
      <c r="I185" s="43">
        <v>1</v>
      </c>
      <c r="J185" s="43">
        <v>6100</v>
      </c>
      <c r="K185" s="101"/>
      <c r="L185" s="32">
        <v>5832</v>
      </c>
      <c r="M185" s="32">
        <v>121</v>
      </c>
      <c r="N185" s="32">
        <v>55</v>
      </c>
      <c r="O185" s="32">
        <v>195</v>
      </c>
      <c r="P185" s="32">
        <v>6.5</v>
      </c>
      <c r="Q185" s="32">
        <v>1000</v>
      </c>
      <c r="R185" s="32">
        <v>50</v>
      </c>
      <c r="S185" s="32">
        <v>350</v>
      </c>
      <c r="T185" s="32">
        <v>3668</v>
      </c>
      <c r="U185" s="32">
        <v>131</v>
      </c>
      <c r="V185" s="32">
        <v>35</v>
      </c>
      <c r="W185" s="32">
        <v>214</v>
      </c>
      <c r="X185" s="32">
        <v>7.15</v>
      </c>
      <c r="Y185" s="32">
        <v>800</v>
      </c>
      <c r="Z185" s="32">
        <v>50</v>
      </c>
      <c r="AA185" s="32">
        <v>350</v>
      </c>
      <c r="AC185" s="18"/>
    </row>
    <row r="186" spans="2:29">
      <c r="B186" s="14">
        <v>180</v>
      </c>
      <c r="C186" s="18">
        <v>25</v>
      </c>
      <c r="D186" s="43"/>
      <c r="E186" s="101">
        <f t="shared" ref="E186:F186" si="358">E182</f>
        <v>4</v>
      </c>
      <c r="F186" s="101">
        <f t="shared" si="358"/>
        <v>1</v>
      </c>
      <c r="G186" s="104" t="str">
        <f t="shared" si="263"/>
        <v>111,110,109,108,107,106,105,104,103,102,101</v>
      </c>
      <c r="H186" s="43">
        <v>3000</v>
      </c>
      <c r="I186" s="43">
        <v>2</v>
      </c>
      <c r="J186" s="43">
        <v>325</v>
      </c>
      <c r="K186" s="101"/>
      <c r="L186" s="32">
        <v>5832</v>
      </c>
      <c r="M186" s="32">
        <v>121</v>
      </c>
      <c r="N186" s="32">
        <v>55</v>
      </c>
      <c r="O186" s="32">
        <v>195</v>
      </c>
      <c r="P186" s="32">
        <v>6.5</v>
      </c>
      <c r="Q186" s="32">
        <v>1000</v>
      </c>
      <c r="R186" s="32">
        <v>50</v>
      </c>
      <c r="S186" s="32">
        <v>350</v>
      </c>
      <c r="T186" s="32">
        <v>3668</v>
      </c>
      <c r="U186" s="32">
        <v>131</v>
      </c>
      <c r="V186" s="32">
        <v>35</v>
      </c>
      <c r="W186" s="32">
        <v>214</v>
      </c>
      <c r="X186" s="32">
        <v>7.15</v>
      </c>
      <c r="Y186" s="32">
        <v>800</v>
      </c>
      <c r="Z186" s="32">
        <v>50</v>
      </c>
      <c r="AA186" s="32">
        <v>350</v>
      </c>
      <c r="AC186" s="18"/>
    </row>
    <row r="187" spans="2:29">
      <c r="B187" s="14">
        <v>181</v>
      </c>
      <c r="C187" s="18">
        <v>25</v>
      </c>
      <c r="D187" s="43"/>
      <c r="E187" s="101">
        <f t="shared" ref="E187" si="359">E183</f>
        <v>1</v>
      </c>
      <c r="F187" s="101">
        <f t="shared" ref="F187" si="360">F183+10</f>
        <v>650</v>
      </c>
      <c r="G187" s="104" t="str">
        <f t="shared" si="263"/>
        <v/>
      </c>
      <c r="H187" s="43">
        <v>3000</v>
      </c>
      <c r="I187" s="43">
        <v>3</v>
      </c>
      <c r="J187" s="43">
        <v>3</v>
      </c>
      <c r="K187" s="100" t="str">
        <f t="shared" ref="K187" si="361">K184</f>
        <v>301,302,303,304</v>
      </c>
      <c r="L187" s="32">
        <v>5832</v>
      </c>
      <c r="M187" s="32">
        <v>121</v>
      </c>
      <c r="N187" s="32">
        <v>55</v>
      </c>
      <c r="O187" s="32">
        <v>195</v>
      </c>
      <c r="P187" s="32">
        <v>6.5</v>
      </c>
      <c r="Q187" s="32">
        <v>1000</v>
      </c>
      <c r="R187" s="32">
        <v>50</v>
      </c>
      <c r="S187" s="32">
        <v>350</v>
      </c>
      <c r="T187" s="32">
        <v>3668</v>
      </c>
      <c r="U187" s="32">
        <v>131</v>
      </c>
      <c r="V187" s="32">
        <v>35</v>
      </c>
      <c r="W187" s="32">
        <v>214</v>
      </c>
      <c r="X187" s="32">
        <v>7.15</v>
      </c>
      <c r="Y187" s="32">
        <v>800</v>
      </c>
      <c r="Z187" s="32">
        <v>50</v>
      </c>
      <c r="AA187" s="32">
        <v>350</v>
      </c>
      <c r="AC187" s="18"/>
    </row>
    <row r="188" spans="2:29">
      <c r="B188" s="14">
        <v>182</v>
      </c>
      <c r="C188" s="18">
        <v>25</v>
      </c>
      <c r="E188" s="101">
        <f t="shared" ref="E188" si="362">E184</f>
        <v>2</v>
      </c>
      <c r="F188" s="101">
        <f t="shared" ref="F188" si="363">F184+2</f>
        <v>120</v>
      </c>
      <c r="G188" s="104" t="str">
        <f t="shared" si="263"/>
        <v/>
      </c>
      <c r="H188" s="43">
        <v>3000</v>
      </c>
      <c r="I188" s="43">
        <v>1</v>
      </c>
      <c r="J188" s="43">
        <v>6200</v>
      </c>
      <c r="K188" s="101"/>
      <c r="L188" s="32">
        <v>5832</v>
      </c>
      <c r="M188" s="32">
        <v>121</v>
      </c>
      <c r="N188" s="32">
        <v>55</v>
      </c>
      <c r="O188" s="32">
        <v>195</v>
      </c>
      <c r="P188" s="32">
        <v>6.5</v>
      </c>
      <c r="Q188" s="32">
        <v>1000</v>
      </c>
      <c r="R188" s="32">
        <v>50</v>
      </c>
      <c r="S188" s="32">
        <v>350</v>
      </c>
      <c r="T188" s="32">
        <v>3668</v>
      </c>
      <c r="U188" s="32">
        <v>131</v>
      </c>
      <c r="V188" s="32">
        <v>35</v>
      </c>
      <c r="W188" s="32">
        <v>214</v>
      </c>
      <c r="X188" s="32">
        <v>7.15</v>
      </c>
      <c r="Y188" s="32">
        <v>800</v>
      </c>
      <c r="Z188" s="32">
        <v>50</v>
      </c>
      <c r="AA188" s="32">
        <v>350</v>
      </c>
      <c r="AC188" s="18"/>
    </row>
    <row r="189" spans="2:29">
      <c r="B189" s="14">
        <v>183</v>
      </c>
      <c r="C189" s="18">
        <v>25</v>
      </c>
      <c r="D189" s="43">
        <v>4.5999999999999996</v>
      </c>
      <c r="E189" s="101">
        <f t="shared" ref="E189" si="364">E185</f>
        <v>3</v>
      </c>
      <c r="F189" s="101">
        <f t="shared" ref="F189" si="365">INT(D189)</f>
        <v>4</v>
      </c>
      <c r="G189" s="104" t="str">
        <f t="shared" si="263"/>
        <v>301,302,303,304</v>
      </c>
      <c r="H189" s="43">
        <v>3000</v>
      </c>
      <c r="I189" s="43">
        <v>2</v>
      </c>
      <c r="J189" s="43">
        <v>330</v>
      </c>
      <c r="K189" s="101"/>
      <c r="L189" s="32">
        <v>5832</v>
      </c>
      <c r="M189" s="32">
        <v>121</v>
      </c>
      <c r="N189" s="32">
        <v>55</v>
      </c>
      <c r="O189" s="32">
        <v>195</v>
      </c>
      <c r="P189" s="32">
        <v>6.5</v>
      </c>
      <c r="Q189" s="32">
        <v>1000</v>
      </c>
      <c r="R189" s="32">
        <v>50</v>
      </c>
      <c r="S189" s="32">
        <v>350</v>
      </c>
      <c r="T189" s="32">
        <v>3668</v>
      </c>
      <c r="U189" s="32">
        <v>131</v>
      </c>
      <c r="V189" s="32">
        <v>35</v>
      </c>
      <c r="W189" s="32">
        <v>214</v>
      </c>
      <c r="X189" s="32">
        <v>7.15</v>
      </c>
      <c r="Y189" s="32">
        <v>800</v>
      </c>
      <c r="Z189" s="32">
        <v>50</v>
      </c>
      <c r="AA189" s="32">
        <v>350</v>
      </c>
      <c r="AC189" s="18"/>
    </row>
    <row r="190" spans="2:29">
      <c r="B190" s="14">
        <v>184</v>
      </c>
      <c r="C190" s="18">
        <v>25</v>
      </c>
      <c r="D190" s="43"/>
      <c r="E190" s="101">
        <f t="shared" ref="E190:F190" si="366">E186</f>
        <v>4</v>
      </c>
      <c r="F190" s="101">
        <f t="shared" si="366"/>
        <v>1</v>
      </c>
      <c r="G190" s="104" t="str">
        <f t="shared" si="263"/>
        <v>111,110,109,108,107,106,105,104,103,102,101</v>
      </c>
      <c r="H190" s="43">
        <v>3000</v>
      </c>
      <c r="I190" s="43">
        <v>3</v>
      </c>
      <c r="J190" s="43">
        <v>4</v>
      </c>
      <c r="K190" s="100" t="str">
        <f t="shared" ref="K190" si="367">K187</f>
        <v>301,302,303,304</v>
      </c>
      <c r="L190" s="32">
        <v>5832</v>
      </c>
      <c r="M190" s="32">
        <v>121</v>
      </c>
      <c r="N190" s="32">
        <v>55</v>
      </c>
      <c r="O190" s="32">
        <v>195</v>
      </c>
      <c r="P190" s="32">
        <v>6.5</v>
      </c>
      <c r="Q190" s="32">
        <v>1000</v>
      </c>
      <c r="R190" s="32">
        <v>50</v>
      </c>
      <c r="S190" s="32">
        <v>350</v>
      </c>
      <c r="T190" s="32">
        <v>3668</v>
      </c>
      <c r="U190" s="32">
        <v>131</v>
      </c>
      <c r="V190" s="32">
        <v>35</v>
      </c>
      <c r="W190" s="32">
        <v>214</v>
      </c>
      <c r="X190" s="32">
        <v>7.15</v>
      </c>
      <c r="Y190" s="32">
        <v>800</v>
      </c>
      <c r="Z190" s="32">
        <v>50</v>
      </c>
      <c r="AA190" s="32">
        <v>350</v>
      </c>
      <c r="AC190" s="18"/>
    </row>
    <row r="191" spans="2:29">
      <c r="B191" s="14">
        <v>185</v>
      </c>
      <c r="C191" s="18">
        <v>25</v>
      </c>
      <c r="D191" s="43"/>
      <c r="E191" s="101">
        <f t="shared" ref="E191" si="368">E187</f>
        <v>1</v>
      </c>
      <c r="F191" s="101">
        <f t="shared" ref="F191" si="369">F187+10</f>
        <v>660</v>
      </c>
      <c r="G191" s="104" t="str">
        <f t="shared" si="263"/>
        <v/>
      </c>
      <c r="H191" s="43">
        <v>3000</v>
      </c>
      <c r="I191" s="43">
        <v>1</v>
      </c>
      <c r="J191" s="43">
        <v>6300</v>
      </c>
      <c r="K191" s="101"/>
      <c r="L191" s="32">
        <v>5832</v>
      </c>
      <c r="M191" s="32">
        <v>121</v>
      </c>
      <c r="N191" s="32">
        <v>55</v>
      </c>
      <c r="O191" s="32">
        <v>195</v>
      </c>
      <c r="P191" s="32">
        <v>6.5</v>
      </c>
      <c r="Q191" s="32">
        <v>1000</v>
      </c>
      <c r="R191" s="32">
        <v>50</v>
      </c>
      <c r="S191" s="32">
        <v>350</v>
      </c>
      <c r="T191" s="32">
        <v>3668</v>
      </c>
      <c r="U191" s="32">
        <v>131</v>
      </c>
      <c r="V191" s="32">
        <v>35</v>
      </c>
      <c r="W191" s="32">
        <v>214</v>
      </c>
      <c r="X191" s="32">
        <v>7.15</v>
      </c>
      <c r="Y191" s="32">
        <v>800</v>
      </c>
      <c r="Z191" s="32">
        <v>50</v>
      </c>
      <c r="AA191" s="32">
        <v>350</v>
      </c>
      <c r="AC191" s="18"/>
    </row>
    <row r="192" spans="2:29">
      <c r="B192" s="14">
        <v>186</v>
      </c>
      <c r="C192" s="18">
        <v>25</v>
      </c>
      <c r="D192" s="43"/>
      <c r="E192" s="101">
        <f t="shared" ref="E192" si="370">E188</f>
        <v>2</v>
      </c>
      <c r="F192" s="101">
        <f t="shared" ref="F192" si="371">F188+2</f>
        <v>122</v>
      </c>
      <c r="G192" s="104" t="str">
        <f t="shared" si="263"/>
        <v/>
      </c>
      <c r="H192" s="43">
        <v>3000</v>
      </c>
      <c r="I192" s="43">
        <v>2</v>
      </c>
      <c r="J192" s="43">
        <v>335</v>
      </c>
      <c r="K192" s="101"/>
      <c r="L192" s="32">
        <v>5832</v>
      </c>
      <c r="M192" s="32">
        <v>121</v>
      </c>
      <c r="N192" s="32">
        <v>55</v>
      </c>
      <c r="O192" s="32">
        <v>195</v>
      </c>
      <c r="P192" s="32">
        <v>6.5</v>
      </c>
      <c r="Q192" s="32">
        <v>1000</v>
      </c>
      <c r="R192" s="32">
        <v>50</v>
      </c>
      <c r="S192" s="32">
        <v>350</v>
      </c>
      <c r="T192" s="32">
        <v>3668</v>
      </c>
      <c r="U192" s="32">
        <v>131</v>
      </c>
      <c r="V192" s="32">
        <v>35</v>
      </c>
      <c r="W192" s="32">
        <v>214</v>
      </c>
      <c r="X192" s="32">
        <v>7.15</v>
      </c>
      <c r="Y192" s="32">
        <v>800</v>
      </c>
      <c r="Z192" s="32">
        <v>50</v>
      </c>
      <c r="AA192" s="32">
        <v>350</v>
      </c>
      <c r="AC192" s="18"/>
    </row>
    <row r="193" spans="2:29">
      <c r="B193" s="14">
        <v>187</v>
      </c>
      <c r="C193" s="18">
        <v>25</v>
      </c>
      <c r="D193" s="43">
        <v>4.68</v>
      </c>
      <c r="E193" s="101">
        <f t="shared" ref="E193" si="372">E189</f>
        <v>3</v>
      </c>
      <c r="F193" s="101">
        <f t="shared" ref="F193" si="373">INT(D193)</f>
        <v>4</v>
      </c>
      <c r="G193" s="104" t="str">
        <f t="shared" si="263"/>
        <v>301,302,303,304</v>
      </c>
      <c r="H193" s="43">
        <v>3000</v>
      </c>
      <c r="I193" s="43">
        <v>3</v>
      </c>
      <c r="J193" s="43">
        <v>4</v>
      </c>
      <c r="K193" s="100" t="str">
        <f t="shared" ref="K193" si="374">K190</f>
        <v>301,302,303,304</v>
      </c>
      <c r="L193" s="32">
        <v>5832</v>
      </c>
      <c r="M193" s="32">
        <v>121</v>
      </c>
      <c r="N193" s="32">
        <v>55</v>
      </c>
      <c r="O193" s="32">
        <v>195</v>
      </c>
      <c r="P193" s="32">
        <v>6.5</v>
      </c>
      <c r="Q193" s="32">
        <v>1000</v>
      </c>
      <c r="R193" s="32">
        <v>50</v>
      </c>
      <c r="S193" s="32">
        <v>350</v>
      </c>
      <c r="T193" s="32">
        <v>3668</v>
      </c>
      <c r="U193" s="32">
        <v>131</v>
      </c>
      <c r="V193" s="32">
        <v>35</v>
      </c>
      <c r="W193" s="32">
        <v>214</v>
      </c>
      <c r="X193" s="32">
        <v>7.15</v>
      </c>
      <c r="Y193" s="32">
        <v>800</v>
      </c>
      <c r="Z193" s="32">
        <v>50</v>
      </c>
      <c r="AA193" s="32">
        <v>350</v>
      </c>
      <c r="AC193" s="18"/>
    </row>
    <row r="194" spans="2:29">
      <c r="B194" s="14">
        <v>188</v>
      </c>
      <c r="C194" s="18">
        <v>25</v>
      </c>
      <c r="D194" s="43"/>
      <c r="E194" s="101">
        <f t="shared" ref="E194:F194" si="375">E190</f>
        <v>4</v>
      </c>
      <c r="F194" s="101">
        <f t="shared" si="375"/>
        <v>1</v>
      </c>
      <c r="G194" s="104" t="str">
        <f t="shared" si="263"/>
        <v>111,110,109,108,107,106,105,104,103,102,101</v>
      </c>
      <c r="H194" s="43">
        <v>3000</v>
      </c>
      <c r="I194" s="43">
        <v>1</v>
      </c>
      <c r="J194" s="43">
        <v>6400</v>
      </c>
      <c r="K194" s="101"/>
      <c r="L194" s="32">
        <v>5832</v>
      </c>
      <c r="M194" s="32">
        <v>121</v>
      </c>
      <c r="N194" s="32">
        <v>55</v>
      </c>
      <c r="O194" s="32">
        <v>195</v>
      </c>
      <c r="P194" s="32">
        <v>6.5</v>
      </c>
      <c r="Q194" s="32">
        <v>1000</v>
      </c>
      <c r="R194" s="32">
        <v>50</v>
      </c>
      <c r="S194" s="32">
        <v>350</v>
      </c>
      <c r="T194" s="32">
        <v>3668</v>
      </c>
      <c r="U194" s="32">
        <v>131</v>
      </c>
      <c r="V194" s="32">
        <v>35</v>
      </c>
      <c r="W194" s="32">
        <v>214</v>
      </c>
      <c r="X194" s="32">
        <v>7.15</v>
      </c>
      <c r="Y194" s="32">
        <v>800</v>
      </c>
      <c r="Z194" s="32">
        <v>50</v>
      </c>
      <c r="AA194" s="32">
        <v>350</v>
      </c>
      <c r="AC194" s="18"/>
    </row>
    <row r="195" spans="2:29">
      <c r="B195" s="14">
        <v>189</v>
      </c>
      <c r="C195" s="18">
        <v>25</v>
      </c>
      <c r="D195" s="43"/>
      <c r="E195" s="101">
        <f t="shared" ref="E195" si="376">E191</f>
        <v>1</v>
      </c>
      <c r="F195" s="101">
        <f t="shared" ref="F195" si="377">F191+10</f>
        <v>670</v>
      </c>
      <c r="G195" s="104" t="str">
        <f t="shared" si="263"/>
        <v/>
      </c>
      <c r="H195" s="43">
        <v>3000</v>
      </c>
      <c r="I195" s="43">
        <v>2</v>
      </c>
      <c r="J195" s="43">
        <v>340</v>
      </c>
      <c r="K195" s="101"/>
      <c r="L195" s="32">
        <v>5832</v>
      </c>
      <c r="M195" s="32">
        <v>121</v>
      </c>
      <c r="N195" s="32">
        <v>55</v>
      </c>
      <c r="O195" s="32">
        <v>195</v>
      </c>
      <c r="P195" s="32">
        <v>6.5</v>
      </c>
      <c r="Q195" s="32">
        <v>1000</v>
      </c>
      <c r="R195" s="32">
        <v>50</v>
      </c>
      <c r="S195" s="32">
        <v>350</v>
      </c>
      <c r="T195" s="32">
        <v>3668</v>
      </c>
      <c r="U195" s="32">
        <v>131</v>
      </c>
      <c r="V195" s="32">
        <v>35</v>
      </c>
      <c r="W195" s="32">
        <v>214</v>
      </c>
      <c r="X195" s="32">
        <v>7.15</v>
      </c>
      <c r="Y195" s="32">
        <v>800</v>
      </c>
      <c r="Z195" s="32">
        <v>50</v>
      </c>
      <c r="AA195" s="32">
        <v>350</v>
      </c>
      <c r="AC195" s="18"/>
    </row>
    <row r="196" spans="2:29">
      <c r="B196" s="14">
        <v>190</v>
      </c>
      <c r="C196" s="18">
        <v>25</v>
      </c>
      <c r="E196" s="101">
        <f t="shared" ref="E196" si="378">E192</f>
        <v>2</v>
      </c>
      <c r="F196" s="101">
        <f t="shared" ref="F196" si="379">F192+2</f>
        <v>124</v>
      </c>
      <c r="G196" s="104" t="str">
        <f t="shared" si="263"/>
        <v/>
      </c>
      <c r="H196" s="43">
        <v>3000</v>
      </c>
      <c r="I196" s="43">
        <v>3</v>
      </c>
      <c r="J196" s="43">
        <v>4</v>
      </c>
      <c r="K196" s="100" t="str">
        <f t="shared" ref="K196" si="380">K193</f>
        <v>301,302,303,304</v>
      </c>
      <c r="L196" s="32">
        <v>5832</v>
      </c>
      <c r="M196" s="32">
        <v>121</v>
      </c>
      <c r="N196" s="32">
        <v>55</v>
      </c>
      <c r="O196" s="32">
        <v>195</v>
      </c>
      <c r="P196" s="32">
        <v>6.5</v>
      </c>
      <c r="Q196" s="32">
        <v>1000</v>
      </c>
      <c r="R196" s="32">
        <v>50</v>
      </c>
      <c r="S196" s="32">
        <v>350</v>
      </c>
      <c r="T196" s="32">
        <v>3668</v>
      </c>
      <c r="U196" s="32">
        <v>131</v>
      </c>
      <c r="V196" s="32">
        <v>35</v>
      </c>
      <c r="W196" s="32">
        <v>214</v>
      </c>
      <c r="X196" s="32">
        <v>7.15</v>
      </c>
      <c r="Y196" s="32">
        <v>800</v>
      </c>
      <c r="Z196" s="32">
        <v>50</v>
      </c>
      <c r="AA196" s="32">
        <v>350</v>
      </c>
      <c r="AC196" s="18"/>
    </row>
    <row r="197" spans="2:29">
      <c r="B197" s="14">
        <v>191</v>
      </c>
      <c r="C197" s="18">
        <v>25</v>
      </c>
      <c r="D197" s="43">
        <v>4.76</v>
      </c>
      <c r="E197" s="101">
        <f t="shared" ref="E197" si="381">E193</f>
        <v>3</v>
      </c>
      <c r="F197" s="101">
        <f t="shared" ref="F197" si="382">INT(D197)</f>
        <v>4</v>
      </c>
      <c r="G197" s="104" t="str">
        <f t="shared" si="263"/>
        <v>301,302,303,304</v>
      </c>
      <c r="H197" s="43">
        <v>3000</v>
      </c>
      <c r="I197" s="43">
        <v>1</v>
      </c>
      <c r="J197" s="43">
        <v>6500</v>
      </c>
      <c r="K197" s="101"/>
      <c r="L197" s="32">
        <v>5832</v>
      </c>
      <c r="M197" s="32">
        <v>121</v>
      </c>
      <c r="N197" s="32">
        <v>55</v>
      </c>
      <c r="O197" s="32">
        <v>195</v>
      </c>
      <c r="P197" s="32">
        <v>6.5</v>
      </c>
      <c r="Q197" s="32">
        <v>1000</v>
      </c>
      <c r="R197" s="32">
        <v>50</v>
      </c>
      <c r="S197" s="32">
        <v>350</v>
      </c>
      <c r="T197" s="32">
        <v>3668</v>
      </c>
      <c r="U197" s="32">
        <v>131</v>
      </c>
      <c r="V197" s="32">
        <v>35</v>
      </c>
      <c r="W197" s="32">
        <v>214</v>
      </c>
      <c r="X197" s="32">
        <v>7.15</v>
      </c>
      <c r="Y197" s="32">
        <v>800</v>
      </c>
      <c r="Z197" s="32">
        <v>50</v>
      </c>
      <c r="AA197" s="32">
        <v>350</v>
      </c>
      <c r="AC197" s="18"/>
    </row>
    <row r="198" spans="2:29">
      <c r="B198" s="14">
        <v>192</v>
      </c>
      <c r="C198" s="18">
        <v>25</v>
      </c>
      <c r="D198" s="43"/>
      <c r="E198" s="101">
        <f t="shared" ref="E198:F198" si="383">E194</f>
        <v>4</v>
      </c>
      <c r="F198" s="101">
        <f t="shared" si="383"/>
        <v>1</v>
      </c>
      <c r="G198" s="104" t="str">
        <f t="shared" si="263"/>
        <v>111,110,109,108,107,106,105,104,103,102,101</v>
      </c>
      <c r="H198" s="43">
        <v>3000</v>
      </c>
      <c r="I198" s="43">
        <v>2</v>
      </c>
      <c r="J198" s="43">
        <v>345</v>
      </c>
      <c r="K198" s="101"/>
      <c r="L198" s="32">
        <v>5832</v>
      </c>
      <c r="M198" s="32">
        <v>121</v>
      </c>
      <c r="N198" s="32">
        <v>55</v>
      </c>
      <c r="O198" s="32">
        <v>195</v>
      </c>
      <c r="P198" s="32">
        <v>6.5</v>
      </c>
      <c r="Q198" s="32">
        <v>1000</v>
      </c>
      <c r="R198" s="32">
        <v>50</v>
      </c>
      <c r="S198" s="32">
        <v>350</v>
      </c>
      <c r="T198" s="32">
        <v>3668</v>
      </c>
      <c r="U198" s="32">
        <v>131</v>
      </c>
      <c r="V198" s="32">
        <v>35</v>
      </c>
      <c r="W198" s="32">
        <v>214</v>
      </c>
      <c r="X198" s="32">
        <v>7.15</v>
      </c>
      <c r="Y198" s="32">
        <v>800</v>
      </c>
      <c r="Z198" s="32">
        <v>50</v>
      </c>
      <c r="AA198" s="32">
        <v>350</v>
      </c>
      <c r="AC198" s="18"/>
    </row>
    <row r="199" spans="2:29">
      <c r="B199" s="14">
        <v>193</v>
      </c>
      <c r="C199" s="18">
        <v>25</v>
      </c>
      <c r="D199" s="43"/>
      <c r="E199" s="101">
        <f t="shared" ref="E199" si="384">E195</f>
        <v>1</v>
      </c>
      <c r="F199" s="101">
        <f t="shared" ref="F199" si="385">F195+10</f>
        <v>680</v>
      </c>
      <c r="G199" s="104" t="str">
        <f t="shared" si="263"/>
        <v/>
      </c>
      <c r="H199" s="43">
        <v>3000</v>
      </c>
      <c r="I199" s="43">
        <v>3</v>
      </c>
      <c r="J199" s="43">
        <v>4</v>
      </c>
      <c r="K199" s="100" t="str">
        <f t="shared" ref="K199" si="386">K196</f>
        <v>301,302,303,304</v>
      </c>
      <c r="L199" s="32">
        <v>5832</v>
      </c>
      <c r="M199" s="32">
        <v>121</v>
      </c>
      <c r="N199" s="32">
        <v>55</v>
      </c>
      <c r="O199" s="32">
        <v>195</v>
      </c>
      <c r="P199" s="32">
        <v>6.5</v>
      </c>
      <c r="Q199" s="32">
        <v>1000</v>
      </c>
      <c r="R199" s="32">
        <v>50</v>
      </c>
      <c r="S199" s="32">
        <v>350</v>
      </c>
      <c r="T199" s="32">
        <v>3668</v>
      </c>
      <c r="U199" s="32">
        <v>131</v>
      </c>
      <c r="V199" s="32">
        <v>35</v>
      </c>
      <c r="W199" s="32">
        <v>214</v>
      </c>
      <c r="X199" s="32">
        <v>7.15</v>
      </c>
      <c r="Y199" s="32">
        <v>800</v>
      </c>
      <c r="Z199" s="32">
        <v>50</v>
      </c>
      <c r="AA199" s="32">
        <v>350</v>
      </c>
      <c r="AC199" s="18"/>
    </row>
    <row r="200" spans="2:29">
      <c r="B200" s="14">
        <v>194</v>
      </c>
      <c r="C200" s="18">
        <v>25</v>
      </c>
      <c r="D200" s="43"/>
      <c r="E200" s="101">
        <f t="shared" ref="E200" si="387">E196</f>
        <v>2</v>
      </c>
      <c r="F200" s="101">
        <f t="shared" ref="F200" si="388">F196+2</f>
        <v>126</v>
      </c>
      <c r="G200" s="104" t="str">
        <f t="shared" si="263"/>
        <v/>
      </c>
      <c r="H200" s="43">
        <v>3000</v>
      </c>
      <c r="I200" s="43">
        <v>1</v>
      </c>
      <c r="J200" s="43">
        <v>6600</v>
      </c>
      <c r="K200" s="101"/>
      <c r="L200" s="32">
        <v>5832</v>
      </c>
      <c r="M200" s="32">
        <v>121</v>
      </c>
      <c r="N200" s="32">
        <v>55</v>
      </c>
      <c r="O200" s="32">
        <v>195</v>
      </c>
      <c r="P200" s="32">
        <v>6.5</v>
      </c>
      <c r="Q200" s="32">
        <v>1000</v>
      </c>
      <c r="R200" s="32">
        <v>50</v>
      </c>
      <c r="S200" s="32">
        <v>350</v>
      </c>
      <c r="T200" s="32">
        <v>3668</v>
      </c>
      <c r="U200" s="32">
        <v>131</v>
      </c>
      <c r="V200" s="32">
        <v>35</v>
      </c>
      <c r="W200" s="32">
        <v>214</v>
      </c>
      <c r="X200" s="32">
        <v>7.15</v>
      </c>
      <c r="Y200" s="32">
        <v>800</v>
      </c>
      <c r="Z200" s="32">
        <v>50</v>
      </c>
      <c r="AA200" s="32">
        <v>350</v>
      </c>
      <c r="AC200" s="18"/>
    </row>
    <row r="201" spans="2:29">
      <c r="B201" s="14">
        <v>195</v>
      </c>
      <c r="C201" s="18">
        <v>25</v>
      </c>
      <c r="D201" s="43">
        <v>4.84</v>
      </c>
      <c r="E201" s="101">
        <f t="shared" ref="E201" si="389">E197</f>
        <v>3</v>
      </c>
      <c r="F201" s="101">
        <f t="shared" ref="F201" si="390">INT(D201)</f>
        <v>4</v>
      </c>
      <c r="G201" s="104" t="str">
        <f t="shared" si="263"/>
        <v>301,302,303,304</v>
      </c>
      <c r="H201" s="43">
        <v>3000</v>
      </c>
      <c r="I201" s="43">
        <v>2</v>
      </c>
      <c r="J201" s="43">
        <v>350</v>
      </c>
      <c r="K201" s="101"/>
      <c r="L201" s="32">
        <v>5832</v>
      </c>
      <c r="M201" s="32">
        <v>121</v>
      </c>
      <c r="N201" s="32">
        <v>55</v>
      </c>
      <c r="O201" s="32">
        <v>195</v>
      </c>
      <c r="P201" s="32">
        <v>6.5</v>
      </c>
      <c r="Q201" s="32">
        <v>1000</v>
      </c>
      <c r="R201" s="32">
        <v>50</v>
      </c>
      <c r="S201" s="32">
        <v>350</v>
      </c>
      <c r="T201" s="32">
        <v>3668</v>
      </c>
      <c r="U201" s="32">
        <v>131</v>
      </c>
      <c r="V201" s="32">
        <v>35</v>
      </c>
      <c r="W201" s="32">
        <v>214</v>
      </c>
      <c r="X201" s="32">
        <v>7.15</v>
      </c>
      <c r="Y201" s="32">
        <v>800</v>
      </c>
      <c r="Z201" s="32">
        <v>50</v>
      </c>
      <c r="AA201" s="32">
        <v>350</v>
      </c>
      <c r="AC201" s="18"/>
    </row>
    <row r="202" spans="2:29">
      <c r="B202" s="14">
        <v>196</v>
      </c>
      <c r="C202" s="18">
        <v>25</v>
      </c>
      <c r="D202" s="43"/>
      <c r="E202" s="101">
        <f t="shared" ref="E202:F202" si="391">E198</f>
        <v>4</v>
      </c>
      <c r="F202" s="101">
        <f t="shared" si="391"/>
        <v>1</v>
      </c>
      <c r="G202" s="104" t="str">
        <f t="shared" si="263"/>
        <v>111,110,109,108,107,106,105,104,103,102,101</v>
      </c>
      <c r="H202" s="43">
        <v>3000</v>
      </c>
      <c r="I202" s="43">
        <v>3</v>
      </c>
      <c r="J202" s="43">
        <v>4</v>
      </c>
      <c r="K202" s="100" t="str">
        <f t="shared" ref="K202" si="392">K199</f>
        <v>301,302,303,304</v>
      </c>
      <c r="L202" s="32">
        <v>5832</v>
      </c>
      <c r="M202" s="32">
        <v>121</v>
      </c>
      <c r="N202" s="32">
        <v>55</v>
      </c>
      <c r="O202" s="32">
        <v>195</v>
      </c>
      <c r="P202" s="32">
        <v>6.5</v>
      </c>
      <c r="Q202" s="32">
        <v>1000</v>
      </c>
      <c r="R202" s="32">
        <v>50</v>
      </c>
      <c r="S202" s="32">
        <v>350</v>
      </c>
      <c r="T202" s="32">
        <v>3668</v>
      </c>
      <c r="U202" s="32">
        <v>131</v>
      </c>
      <c r="V202" s="32">
        <v>35</v>
      </c>
      <c r="W202" s="32">
        <v>214</v>
      </c>
      <c r="X202" s="32">
        <v>7.15</v>
      </c>
      <c r="Y202" s="32">
        <v>800</v>
      </c>
      <c r="Z202" s="32">
        <v>50</v>
      </c>
      <c r="AA202" s="32">
        <v>350</v>
      </c>
      <c r="AC202" s="18"/>
    </row>
    <row r="203" spans="2:29">
      <c r="B203" s="14">
        <v>197</v>
      </c>
      <c r="C203" s="18">
        <v>25</v>
      </c>
      <c r="D203" s="43"/>
      <c r="E203" s="101">
        <f t="shared" ref="E203" si="393">E199</f>
        <v>1</v>
      </c>
      <c r="F203" s="101">
        <f t="shared" ref="F203" si="394">F199+10</f>
        <v>690</v>
      </c>
      <c r="G203" s="104" t="str">
        <f t="shared" si="263"/>
        <v/>
      </c>
      <c r="H203" s="43">
        <v>3000</v>
      </c>
      <c r="I203" s="43">
        <v>1</v>
      </c>
      <c r="J203" s="43">
        <v>6700</v>
      </c>
      <c r="K203" s="101"/>
      <c r="L203" s="32">
        <v>5832</v>
      </c>
      <c r="M203" s="32">
        <v>121</v>
      </c>
      <c r="N203" s="32">
        <v>55</v>
      </c>
      <c r="O203" s="32">
        <v>195</v>
      </c>
      <c r="P203" s="32">
        <v>6.5</v>
      </c>
      <c r="Q203" s="32">
        <v>1000</v>
      </c>
      <c r="R203" s="32">
        <v>50</v>
      </c>
      <c r="S203" s="32">
        <v>350</v>
      </c>
      <c r="T203" s="32">
        <v>3668</v>
      </c>
      <c r="U203" s="32">
        <v>131</v>
      </c>
      <c r="V203" s="32">
        <v>35</v>
      </c>
      <c r="W203" s="32">
        <v>214</v>
      </c>
      <c r="X203" s="32">
        <v>7.15</v>
      </c>
      <c r="Y203" s="32">
        <v>800</v>
      </c>
      <c r="Z203" s="32">
        <v>50</v>
      </c>
      <c r="AA203" s="32">
        <v>350</v>
      </c>
      <c r="AC203" s="18"/>
    </row>
    <row r="204" spans="2:29">
      <c r="B204" s="14">
        <v>198</v>
      </c>
      <c r="C204" s="18">
        <v>25</v>
      </c>
      <c r="E204" s="101">
        <f t="shared" ref="E204" si="395">E200</f>
        <v>2</v>
      </c>
      <c r="F204" s="101">
        <f t="shared" ref="F204" si="396">F200+2</f>
        <v>128</v>
      </c>
      <c r="G204" s="104" t="str">
        <f t="shared" ref="G204:G267" si="397">G200</f>
        <v/>
      </c>
      <c r="H204" s="43">
        <v>3000</v>
      </c>
      <c r="I204" s="43">
        <v>2</v>
      </c>
      <c r="J204" s="43">
        <v>355</v>
      </c>
      <c r="K204" s="101"/>
      <c r="L204" s="32">
        <v>5832</v>
      </c>
      <c r="M204" s="32">
        <v>121</v>
      </c>
      <c r="N204" s="32">
        <v>55</v>
      </c>
      <c r="O204" s="32">
        <v>195</v>
      </c>
      <c r="P204" s="32">
        <v>6.5</v>
      </c>
      <c r="Q204" s="32">
        <v>1000</v>
      </c>
      <c r="R204" s="32">
        <v>50</v>
      </c>
      <c r="S204" s="32">
        <v>350</v>
      </c>
      <c r="T204" s="32">
        <v>3668</v>
      </c>
      <c r="U204" s="32">
        <v>131</v>
      </c>
      <c r="V204" s="32">
        <v>35</v>
      </c>
      <c r="W204" s="32">
        <v>214</v>
      </c>
      <c r="X204" s="32">
        <v>7.15</v>
      </c>
      <c r="Y204" s="32">
        <v>800</v>
      </c>
      <c r="Z204" s="32">
        <v>50</v>
      </c>
      <c r="AA204" s="32">
        <v>350</v>
      </c>
      <c r="AC204" s="18"/>
    </row>
    <row r="205" spans="2:29">
      <c r="B205" s="14">
        <v>199</v>
      </c>
      <c r="C205" s="18">
        <v>25</v>
      </c>
      <c r="D205" s="43">
        <v>4.92</v>
      </c>
      <c r="E205" s="101">
        <f t="shared" ref="E205" si="398">E201</f>
        <v>3</v>
      </c>
      <c r="F205" s="101">
        <f t="shared" ref="F205" si="399">INT(D205)</f>
        <v>4</v>
      </c>
      <c r="G205" s="104" t="str">
        <f t="shared" si="397"/>
        <v>301,302,303,304</v>
      </c>
      <c r="H205" s="43">
        <v>3000</v>
      </c>
      <c r="I205" s="43">
        <v>3</v>
      </c>
      <c r="J205" s="43">
        <v>4</v>
      </c>
      <c r="K205" s="100" t="str">
        <f t="shared" ref="K205" si="400">K202</f>
        <v>301,302,303,304</v>
      </c>
      <c r="L205" s="32">
        <v>5832</v>
      </c>
      <c r="M205" s="32">
        <v>121</v>
      </c>
      <c r="N205" s="32">
        <v>55</v>
      </c>
      <c r="O205" s="32">
        <v>195</v>
      </c>
      <c r="P205" s="32">
        <v>6.5</v>
      </c>
      <c r="Q205" s="32">
        <v>1000</v>
      </c>
      <c r="R205" s="32">
        <v>50</v>
      </c>
      <c r="S205" s="32">
        <v>350</v>
      </c>
      <c r="T205" s="32">
        <v>3668</v>
      </c>
      <c r="U205" s="32">
        <v>131</v>
      </c>
      <c r="V205" s="32">
        <v>35</v>
      </c>
      <c r="W205" s="32">
        <v>214</v>
      </c>
      <c r="X205" s="32">
        <v>7.15</v>
      </c>
      <c r="Y205" s="32">
        <v>800</v>
      </c>
      <c r="Z205" s="32">
        <v>50</v>
      </c>
      <c r="AA205" s="32">
        <v>350</v>
      </c>
      <c r="AC205" s="18"/>
    </row>
    <row r="206" spans="2:29">
      <c r="B206" s="14">
        <v>200</v>
      </c>
      <c r="C206" s="18">
        <v>25</v>
      </c>
      <c r="D206" s="43"/>
      <c r="E206" s="101">
        <f t="shared" ref="E206:F206" si="401">E202</f>
        <v>4</v>
      </c>
      <c r="F206" s="101">
        <f t="shared" si="401"/>
        <v>1</v>
      </c>
      <c r="G206" s="104" t="str">
        <f t="shared" si="397"/>
        <v>111,110,109,108,107,106,105,104,103,102,101</v>
      </c>
      <c r="H206" s="43">
        <v>3000</v>
      </c>
      <c r="I206" s="43">
        <v>1</v>
      </c>
      <c r="J206" s="43">
        <v>6800</v>
      </c>
      <c r="K206" s="101"/>
      <c r="L206" s="32">
        <v>5832</v>
      </c>
      <c r="M206" s="32">
        <v>121</v>
      </c>
      <c r="N206" s="32">
        <v>55</v>
      </c>
      <c r="O206" s="32">
        <v>195</v>
      </c>
      <c r="P206" s="32">
        <v>6.5</v>
      </c>
      <c r="Q206" s="32">
        <v>1000</v>
      </c>
      <c r="R206" s="32">
        <v>50</v>
      </c>
      <c r="S206" s="32">
        <v>350</v>
      </c>
      <c r="T206" s="32">
        <v>3668</v>
      </c>
      <c r="U206" s="32">
        <v>131</v>
      </c>
      <c r="V206" s="32">
        <v>35</v>
      </c>
      <c r="W206" s="32">
        <v>214</v>
      </c>
      <c r="X206" s="32">
        <v>7.15</v>
      </c>
      <c r="Y206" s="32">
        <v>800</v>
      </c>
      <c r="Z206" s="32">
        <v>50</v>
      </c>
      <c r="AA206" s="32">
        <v>350</v>
      </c>
      <c r="AC206" s="18"/>
    </row>
    <row r="207" spans="2:29">
      <c r="B207" s="14">
        <v>201</v>
      </c>
      <c r="C207" s="18">
        <v>25</v>
      </c>
      <c r="D207" s="43"/>
      <c r="E207" s="101">
        <f t="shared" ref="E207" si="402">E203</f>
        <v>1</v>
      </c>
      <c r="F207" s="101">
        <f t="shared" ref="F207" si="403">F203+10</f>
        <v>700</v>
      </c>
      <c r="G207" s="104" t="str">
        <f t="shared" si="397"/>
        <v/>
      </c>
      <c r="H207" s="43">
        <v>3000</v>
      </c>
      <c r="I207" s="43">
        <v>2</v>
      </c>
      <c r="J207" s="43">
        <v>360</v>
      </c>
      <c r="K207" s="101"/>
      <c r="L207" s="32">
        <v>5832</v>
      </c>
      <c r="M207" s="32">
        <v>121</v>
      </c>
      <c r="N207" s="32">
        <v>55</v>
      </c>
      <c r="O207" s="32">
        <v>195</v>
      </c>
      <c r="P207" s="32">
        <v>6.5</v>
      </c>
      <c r="Q207" s="32">
        <v>1000</v>
      </c>
      <c r="R207" s="32">
        <v>50</v>
      </c>
      <c r="S207" s="32">
        <v>350</v>
      </c>
      <c r="T207" s="32">
        <v>3668</v>
      </c>
      <c r="U207" s="32">
        <v>131</v>
      </c>
      <c r="V207" s="32">
        <v>35</v>
      </c>
      <c r="W207" s="32">
        <v>214</v>
      </c>
      <c r="X207" s="32">
        <v>7.15</v>
      </c>
      <c r="Y207" s="32">
        <v>800</v>
      </c>
      <c r="Z207" s="32">
        <v>50</v>
      </c>
      <c r="AA207" s="32">
        <v>350</v>
      </c>
      <c r="AC207" s="18"/>
    </row>
    <row r="208" spans="2:29">
      <c r="B208" s="14">
        <v>202</v>
      </c>
      <c r="C208" s="18">
        <v>25</v>
      </c>
      <c r="D208" s="43"/>
      <c r="E208" s="101">
        <f t="shared" ref="E208" si="404">E204</f>
        <v>2</v>
      </c>
      <c r="F208" s="101">
        <f t="shared" ref="F208" si="405">F204+2</f>
        <v>130</v>
      </c>
      <c r="G208" s="104" t="str">
        <f t="shared" si="397"/>
        <v/>
      </c>
      <c r="H208" s="43">
        <v>3000</v>
      </c>
      <c r="I208" s="43">
        <v>3</v>
      </c>
      <c r="J208" s="43">
        <v>4</v>
      </c>
      <c r="K208" s="100" t="str">
        <f t="shared" ref="K208" si="406">K205</f>
        <v>301,302,303,304</v>
      </c>
      <c r="L208" s="32">
        <v>5832</v>
      </c>
      <c r="M208" s="32">
        <v>121</v>
      </c>
      <c r="N208" s="32">
        <v>55</v>
      </c>
      <c r="O208" s="32">
        <v>195</v>
      </c>
      <c r="P208" s="32">
        <v>6.5</v>
      </c>
      <c r="Q208" s="32">
        <v>1000</v>
      </c>
      <c r="R208" s="32">
        <v>50</v>
      </c>
      <c r="S208" s="32">
        <v>350</v>
      </c>
      <c r="T208" s="32">
        <v>3668</v>
      </c>
      <c r="U208" s="32">
        <v>131</v>
      </c>
      <c r="V208" s="32">
        <v>35</v>
      </c>
      <c r="W208" s="32">
        <v>214</v>
      </c>
      <c r="X208" s="32">
        <v>7.15</v>
      </c>
      <c r="Y208" s="32">
        <v>800</v>
      </c>
      <c r="Z208" s="32">
        <v>50</v>
      </c>
      <c r="AA208" s="32">
        <v>350</v>
      </c>
      <c r="AC208" s="18"/>
    </row>
    <row r="209" spans="2:29">
      <c r="B209" s="14">
        <v>203</v>
      </c>
      <c r="C209" s="18">
        <v>25</v>
      </c>
      <c r="D209" s="43">
        <v>5</v>
      </c>
      <c r="E209" s="101">
        <f t="shared" ref="E209" si="407">E205</f>
        <v>3</v>
      </c>
      <c r="F209" s="101">
        <f t="shared" ref="F209" si="408">INT(D209)</f>
        <v>5</v>
      </c>
      <c r="G209" s="104" t="str">
        <f t="shared" si="397"/>
        <v>301,302,303,304</v>
      </c>
      <c r="H209" s="43">
        <v>3000</v>
      </c>
      <c r="I209" s="43">
        <v>1</v>
      </c>
      <c r="J209" s="43">
        <v>6900</v>
      </c>
      <c r="K209" s="101"/>
      <c r="L209" s="32">
        <v>5832</v>
      </c>
      <c r="M209" s="32">
        <v>121</v>
      </c>
      <c r="N209" s="32">
        <v>55</v>
      </c>
      <c r="O209" s="32">
        <v>195</v>
      </c>
      <c r="P209" s="32">
        <v>6.5</v>
      </c>
      <c r="Q209" s="32">
        <v>1000</v>
      </c>
      <c r="R209" s="32">
        <v>50</v>
      </c>
      <c r="S209" s="32">
        <v>350</v>
      </c>
      <c r="T209" s="32">
        <v>3668</v>
      </c>
      <c r="U209" s="32">
        <v>131</v>
      </c>
      <c r="V209" s="32">
        <v>35</v>
      </c>
      <c r="W209" s="32">
        <v>214</v>
      </c>
      <c r="X209" s="32">
        <v>7.15</v>
      </c>
      <c r="Y209" s="32">
        <v>800</v>
      </c>
      <c r="Z209" s="32">
        <v>50</v>
      </c>
      <c r="AA209" s="32">
        <v>350</v>
      </c>
      <c r="AC209" s="18"/>
    </row>
    <row r="210" spans="2:29">
      <c r="B210" s="14">
        <v>204</v>
      </c>
      <c r="C210" s="18">
        <v>25</v>
      </c>
      <c r="D210" s="43"/>
      <c r="E210" s="101">
        <f t="shared" ref="E210:F210" si="409">E206</f>
        <v>4</v>
      </c>
      <c r="F210" s="101">
        <f t="shared" si="409"/>
        <v>1</v>
      </c>
      <c r="G210" s="104" t="str">
        <f t="shared" si="397"/>
        <v>111,110,109,108,107,106,105,104,103,102,101</v>
      </c>
      <c r="H210" s="43">
        <v>3000</v>
      </c>
      <c r="I210" s="43">
        <v>2</v>
      </c>
      <c r="J210" s="43">
        <v>365</v>
      </c>
      <c r="K210" s="101"/>
      <c r="L210" s="32">
        <v>5832</v>
      </c>
      <c r="M210" s="32">
        <v>121</v>
      </c>
      <c r="N210" s="32">
        <v>55</v>
      </c>
      <c r="O210" s="32">
        <v>195</v>
      </c>
      <c r="P210" s="32">
        <v>6.5</v>
      </c>
      <c r="Q210" s="32">
        <v>1000</v>
      </c>
      <c r="R210" s="32">
        <v>50</v>
      </c>
      <c r="S210" s="32">
        <v>350</v>
      </c>
      <c r="T210" s="32">
        <v>3668</v>
      </c>
      <c r="U210" s="32">
        <v>131</v>
      </c>
      <c r="V210" s="32">
        <v>35</v>
      </c>
      <c r="W210" s="32">
        <v>214</v>
      </c>
      <c r="X210" s="32">
        <v>7.15</v>
      </c>
      <c r="Y210" s="32">
        <v>800</v>
      </c>
      <c r="Z210" s="32">
        <v>50</v>
      </c>
      <c r="AA210" s="32">
        <v>350</v>
      </c>
      <c r="AC210" s="18"/>
    </row>
    <row r="211" spans="2:29">
      <c r="B211" s="14">
        <v>205</v>
      </c>
      <c r="C211" s="18">
        <v>25</v>
      </c>
      <c r="D211" s="43"/>
      <c r="E211" s="101">
        <f t="shared" ref="E211" si="410">E207</f>
        <v>1</v>
      </c>
      <c r="F211" s="101">
        <f t="shared" ref="F211" si="411">F207+10</f>
        <v>710</v>
      </c>
      <c r="G211" s="104" t="str">
        <f t="shared" si="397"/>
        <v/>
      </c>
      <c r="H211" s="43">
        <v>3000</v>
      </c>
      <c r="I211" s="43">
        <v>3</v>
      </c>
      <c r="J211" s="43">
        <v>4</v>
      </c>
      <c r="K211" s="100" t="str">
        <f t="shared" ref="K211" si="412">K208</f>
        <v>301,302,303,304</v>
      </c>
      <c r="L211" s="32">
        <v>5832</v>
      </c>
      <c r="M211" s="32">
        <v>121</v>
      </c>
      <c r="N211" s="32">
        <v>55</v>
      </c>
      <c r="O211" s="32">
        <v>195</v>
      </c>
      <c r="P211" s="32">
        <v>6.5</v>
      </c>
      <c r="Q211" s="32">
        <v>1000</v>
      </c>
      <c r="R211" s="32">
        <v>50</v>
      </c>
      <c r="S211" s="32">
        <v>350</v>
      </c>
      <c r="T211" s="32">
        <v>3668</v>
      </c>
      <c r="U211" s="32">
        <v>131</v>
      </c>
      <c r="V211" s="32">
        <v>35</v>
      </c>
      <c r="W211" s="32">
        <v>214</v>
      </c>
      <c r="X211" s="32">
        <v>7.15</v>
      </c>
      <c r="Y211" s="32">
        <v>800</v>
      </c>
      <c r="Z211" s="32">
        <v>50</v>
      </c>
      <c r="AA211" s="32">
        <v>350</v>
      </c>
      <c r="AC211" s="18"/>
    </row>
    <row r="212" spans="2:29">
      <c r="B212" s="14">
        <v>206</v>
      </c>
      <c r="C212" s="18">
        <v>25</v>
      </c>
      <c r="E212" s="101">
        <f t="shared" ref="E212" si="413">E208</f>
        <v>2</v>
      </c>
      <c r="F212" s="101">
        <f t="shared" ref="F212" si="414">F208+2</f>
        <v>132</v>
      </c>
      <c r="G212" s="104" t="str">
        <f t="shared" si="397"/>
        <v/>
      </c>
      <c r="H212" s="43">
        <v>3000</v>
      </c>
      <c r="I212" s="43">
        <v>1</v>
      </c>
      <c r="J212" s="43">
        <v>7000</v>
      </c>
      <c r="K212" s="101"/>
      <c r="L212" s="32">
        <v>5832</v>
      </c>
      <c r="M212" s="32">
        <v>121</v>
      </c>
      <c r="N212" s="32">
        <v>55</v>
      </c>
      <c r="O212" s="32">
        <v>195</v>
      </c>
      <c r="P212" s="32">
        <v>6.5</v>
      </c>
      <c r="Q212" s="32">
        <v>1000</v>
      </c>
      <c r="R212" s="32">
        <v>50</v>
      </c>
      <c r="S212" s="32">
        <v>350</v>
      </c>
      <c r="T212" s="32">
        <v>3668</v>
      </c>
      <c r="U212" s="32">
        <v>131</v>
      </c>
      <c r="V212" s="32">
        <v>35</v>
      </c>
      <c r="W212" s="32">
        <v>214</v>
      </c>
      <c r="X212" s="32">
        <v>7.15</v>
      </c>
      <c r="Y212" s="32">
        <v>800</v>
      </c>
      <c r="Z212" s="32">
        <v>50</v>
      </c>
      <c r="AA212" s="32">
        <v>350</v>
      </c>
      <c r="AC212" s="18"/>
    </row>
    <row r="213" spans="2:29">
      <c r="B213" s="14">
        <v>207</v>
      </c>
      <c r="C213" s="18">
        <v>25</v>
      </c>
      <c r="D213" s="43">
        <v>5.08</v>
      </c>
      <c r="E213" s="101">
        <f t="shared" ref="E213" si="415">E209</f>
        <v>3</v>
      </c>
      <c r="F213" s="101">
        <f t="shared" ref="F213" si="416">INT(D213)</f>
        <v>5</v>
      </c>
      <c r="G213" s="104" t="str">
        <f t="shared" si="397"/>
        <v>301,302,303,304</v>
      </c>
      <c r="H213" s="43">
        <v>3000</v>
      </c>
      <c r="I213" s="43">
        <v>2</v>
      </c>
      <c r="J213" s="43">
        <v>370</v>
      </c>
      <c r="K213" s="101"/>
      <c r="L213" s="32">
        <v>5832</v>
      </c>
      <c r="M213" s="32">
        <v>121</v>
      </c>
      <c r="N213" s="32">
        <v>55</v>
      </c>
      <c r="O213" s="32">
        <v>195</v>
      </c>
      <c r="P213" s="32">
        <v>6.5</v>
      </c>
      <c r="Q213" s="32">
        <v>1000</v>
      </c>
      <c r="R213" s="32">
        <v>50</v>
      </c>
      <c r="S213" s="32">
        <v>350</v>
      </c>
      <c r="T213" s="32">
        <v>3668</v>
      </c>
      <c r="U213" s="32">
        <v>131</v>
      </c>
      <c r="V213" s="32">
        <v>35</v>
      </c>
      <c r="W213" s="32">
        <v>214</v>
      </c>
      <c r="X213" s="32">
        <v>7.15</v>
      </c>
      <c r="Y213" s="32">
        <v>800</v>
      </c>
      <c r="Z213" s="32">
        <v>50</v>
      </c>
      <c r="AA213" s="32">
        <v>350</v>
      </c>
      <c r="AC213" s="18"/>
    </row>
    <row r="214" spans="2:29">
      <c r="B214" s="14">
        <v>208</v>
      </c>
      <c r="C214" s="18">
        <v>25</v>
      </c>
      <c r="D214" s="43"/>
      <c r="E214" s="101">
        <f t="shared" ref="E214:F214" si="417">E210</f>
        <v>4</v>
      </c>
      <c r="F214" s="101">
        <f t="shared" si="417"/>
        <v>1</v>
      </c>
      <c r="G214" s="104" t="str">
        <f t="shared" si="397"/>
        <v>111,110,109,108,107,106,105,104,103,102,101</v>
      </c>
      <c r="H214" s="43">
        <v>3000</v>
      </c>
      <c r="I214" s="43">
        <v>3</v>
      </c>
      <c r="J214" s="43">
        <v>4</v>
      </c>
      <c r="K214" s="100" t="str">
        <f t="shared" ref="K214" si="418">K211</f>
        <v>301,302,303,304</v>
      </c>
      <c r="L214" s="32">
        <v>5832</v>
      </c>
      <c r="M214" s="32">
        <v>121</v>
      </c>
      <c r="N214" s="32">
        <v>55</v>
      </c>
      <c r="O214" s="32">
        <v>195</v>
      </c>
      <c r="P214" s="32">
        <v>6.5</v>
      </c>
      <c r="Q214" s="32">
        <v>1000</v>
      </c>
      <c r="R214" s="32">
        <v>50</v>
      </c>
      <c r="S214" s="32">
        <v>350</v>
      </c>
      <c r="T214" s="32">
        <v>3668</v>
      </c>
      <c r="U214" s="32">
        <v>131</v>
      </c>
      <c r="V214" s="32">
        <v>35</v>
      </c>
      <c r="W214" s="32">
        <v>214</v>
      </c>
      <c r="X214" s="32">
        <v>7.15</v>
      </c>
      <c r="Y214" s="32">
        <v>800</v>
      </c>
      <c r="Z214" s="32">
        <v>50</v>
      </c>
      <c r="AA214" s="32">
        <v>350</v>
      </c>
      <c r="AC214" s="18"/>
    </row>
    <row r="215" spans="2:29">
      <c r="B215" s="14">
        <v>209</v>
      </c>
      <c r="C215" s="18">
        <v>25</v>
      </c>
      <c r="D215" s="43"/>
      <c r="E215" s="101">
        <f t="shared" ref="E215" si="419">E211</f>
        <v>1</v>
      </c>
      <c r="F215" s="101">
        <f t="shared" ref="F215" si="420">F211+10</f>
        <v>720</v>
      </c>
      <c r="G215" s="104" t="str">
        <f t="shared" si="397"/>
        <v/>
      </c>
      <c r="H215" s="43">
        <v>3000</v>
      </c>
      <c r="I215" s="43">
        <v>1</v>
      </c>
      <c r="J215" s="43">
        <v>7100</v>
      </c>
      <c r="K215" s="101"/>
      <c r="L215" s="32">
        <v>5832</v>
      </c>
      <c r="M215" s="32">
        <v>121</v>
      </c>
      <c r="N215" s="32">
        <v>55</v>
      </c>
      <c r="O215" s="32">
        <v>195</v>
      </c>
      <c r="P215" s="32">
        <v>6.5</v>
      </c>
      <c r="Q215" s="32">
        <v>1000</v>
      </c>
      <c r="R215" s="32">
        <v>50</v>
      </c>
      <c r="S215" s="32">
        <v>350</v>
      </c>
      <c r="T215" s="32">
        <v>3668</v>
      </c>
      <c r="U215" s="32">
        <v>131</v>
      </c>
      <c r="V215" s="32">
        <v>35</v>
      </c>
      <c r="W215" s="32">
        <v>214</v>
      </c>
      <c r="X215" s="32">
        <v>7.15</v>
      </c>
      <c r="Y215" s="32">
        <v>800</v>
      </c>
      <c r="Z215" s="32">
        <v>50</v>
      </c>
      <c r="AA215" s="32">
        <v>350</v>
      </c>
      <c r="AC215" s="18"/>
    </row>
    <row r="216" spans="2:29">
      <c r="B216" s="14">
        <v>210</v>
      </c>
      <c r="C216" s="18">
        <v>25</v>
      </c>
      <c r="D216" s="43"/>
      <c r="E216" s="101">
        <f t="shared" ref="E216" si="421">E212</f>
        <v>2</v>
      </c>
      <c r="F216" s="101">
        <f t="shared" ref="F216" si="422">F212+2</f>
        <v>134</v>
      </c>
      <c r="G216" s="104" t="str">
        <f t="shared" si="397"/>
        <v/>
      </c>
      <c r="H216" s="43">
        <v>3000</v>
      </c>
      <c r="I216" s="43">
        <v>2</v>
      </c>
      <c r="J216" s="43">
        <v>375</v>
      </c>
      <c r="K216" s="101"/>
      <c r="L216" s="32">
        <v>5832</v>
      </c>
      <c r="M216" s="32">
        <v>121</v>
      </c>
      <c r="N216" s="32">
        <v>55</v>
      </c>
      <c r="O216" s="32">
        <v>195</v>
      </c>
      <c r="P216" s="32">
        <v>6.5</v>
      </c>
      <c r="Q216" s="32">
        <v>1000</v>
      </c>
      <c r="R216" s="32">
        <v>50</v>
      </c>
      <c r="S216" s="32">
        <v>350</v>
      </c>
      <c r="T216" s="32">
        <v>3668</v>
      </c>
      <c r="U216" s="32">
        <v>131</v>
      </c>
      <c r="V216" s="32">
        <v>35</v>
      </c>
      <c r="W216" s="32">
        <v>214</v>
      </c>
      <c r="X216" s="32">
        <v>7.15</v>
      </c>
      <c r="Y216" s="32">
        <v>800</v>
      </c>
      <c r="Z216" s="32">
        <v>50</v>
      </c>
      <c r="AA216" s="32">
        <v>350</v>
      </c>
      <c r="AC216" s="18"/>
    </row>
    <row r="217" spans="2:29">
      <c r="B217" s="14">
        <v>211</v>
      </c>
      <c r="C217" s="18">
        <v>25</v>
      </c>
      <c r="D217" s="43">
        <v>5.16</v>
      </c>
      <c r="E217" s="101">
        <f t="shared" ref="E217" si="423">E213</f>
        <v>3</v>
      </c>
      <c r="F217" s="101">
        <f t="shared" ref="F217" si="424">INT(D217)</f>
        <v>5</v>
      </c>
      <c r="G217" s="104" t="str">
        <f t="shared" si="397"/>
        <v>301,302,303,304</v>
      </c>
      <c r="H217" s="43">
        <v>3000</v>
      </c>
      <c r="I217" s="43">
        <v>3</v>
      </c>
      <c r="J217" s="43">
        <v>4</v>
      </c>
      <c r="K217" s="100" t="str">
        <f t="shared" ref="K217" si="425">K214</f>
        <v>301,302,303,304</v>
      </c>
      <c r="L217" s="32">
        <v>5832</v>
      </c>
      <c r="M217" s="32">
        <v>121</v>
      </c>
      <c r="N217" s="32">
        <v>55</v>
      </c>
      <c r="O217" s="32">
        <v>195</v>
      </c>
      <c r="P217" s="32">
        <v>6.5</v>
      </c>
      <c r="Q217" s="32">
        <v>1000</v>
      </c>
      <c r="R217" s="32">
        <v>50</v>
      </c>
      <c r="S217" s="32">
        <v>350</v>
      </c>
      <c r="T217" s="32">
        <v>3668</v>
      </c>
      <c r="U217" s="32">
        <v>131</v>
      </c>
      <c r="V217" s="32">
        <v>35</v>
      </c>
      <c r="W217" s="32">
        <v>214</v>
      </c>
      <c r="X217" s="32">
        <v>7.15</v>
      </c>
      <c r="Y217" s="32">
        <v>800</v>
      </c>
      <c r="Z217" s="32">
        <v>50</v>
      </c>
      <c r="AA217" s="32">
        <v>350</v>
      </c>
      <c r="AC217" s="18"/>
    </row>
    <row r="218" spans="2:29">
      <c r="B218" s="14">
        <v>212</v>
      </c>
      <c r="C218" s="18">
        <v>25</v>
      </c>
      <c r="D218" s="43"/>
      <c r="E218" s="101">
        <f t="shared" ref="E218:F218" si="426">E214</f>
        <v>4</v>
      </c>
      <c r="F218" s="101">
        <f t="shared" si="426"/>
        <v>1</v>
      </c>
      <c r="G218" s="104" t="str">
        <f t="shared" si="397"/>
        <v>111,110,109,108,107,106,105,104,103,102,101</v>
      </c>
      <c r="H218" s="43">
        <v>3000</v>
      </c>
      <c r="I218" s="43">
        <v>1</v>
      </c>
      <c r="J218" s="43">
        <v>7200</v>
      </c>
      <c r="K218" s="101"/>
      <c r="L218" s="32">
        <v>5832</v>
      </c>
      <c r="M218" s="32">
        <v>121</v>
      </c>
      <c r="N218" s="32">
        <v>55</v>
      </c>
      <c r="O218" s="32">
        <v>195</v>
      </c>
      <c r="P218" s="32">
        <v>6.5</v>
      </c>
      <c r="Q218" s="32">
        <v>1000</v>
      </c>
      <c r="R218" s="32">
        <v>50</v>
      </c>
      <c r="S218" s="32">
        <v>350</v>
      </c>
      <c r="T218" s="32">
        <v>3668</v>
      </c>
      <c r="U218" s="32">
        <v>131</v>
      </c>
      <c r="V218" s="32">
        <v>35</v>
      </c>
      <c r="W218" s="32">
        <v>214</v>
      </c>
      <c r="X218" s="32">
        <v>7.15</v>
      </c>
      <c r="Y218" s="32">
        <v>800</v>
      </c>
      <c r="Z218" s="32">
        <v>50</v>
      </c>
      <c r="AA218" s="32">
        <v>350</v>
      </c>
      <c r="AC218" s="18"/>
    </row>
    <row r="219" spans="2:29">
      <c r="B219" s="14">
        <v>213</v>
      </c>
      <c r="C219" s="18">
        <v>25</v>
      </c>
      <c r="D219" s="43"/>
      <c r="E219" s="101">
        <f t="shared" ref="E219" si="427">E215</f>
        <v>1</v>
      </c>
      <c r="F219" s="101">
        <f t="shared" ref="F219" si="428">F215+10</f>
        <v>730</v>
      </c>
      <c r="G219" s="104" t="str">
        <f t="shared" si="397"/>
        <v/>
      </c>
      <c r="H219" s="43">
        <v>3000</v>
      </c>
      <c r="I219" s="43">
        <v>2</v>
      </c>
      <c r="J219" s="43">
        <v>380</v>
      </c>
      <c r="K219" s="101"/>
      <c r="L219" s="32">
        <v>5832</v>
      </c>
      <c r="M219" s="32">
        <v>121</v>
      </c>
      <c r="N219" s="32">
        <v>55</v>
      </c>
      <c r="O219" s="32">
        <v>195</v>
      </c>
      <c r="P219" s="32">
        <v>6.5</v>
      </c>
      <c r="Q219" s="32">
        <v>1000</v>
      </c>
      <c r="R219" s="32">
        <v>50</v>
      </c>
      <c r="S219" s="32">
        <v>350</v>
      </c>
      <c r="T219" s="32">
        <v>3668</v>
      </c>
      <c r="U219" s="32">
        <v>131</v>
      </c>
      <c r="V219" s="32">
        <v>35</v>
      </c>
      <c r="W219" s="32">
        <v>214</v>
      </c>
      <c r="X219" s="32">
        <v>7.15</v>
      </c>
      <c r="Y219" s="32">
        <v>800</v>
      </c>
      <c r="Z219" s="32">
        <v>50</v>
      </c>
      <c r="AA219" s="32">
        <v>350</v>
      </c>
      <c r="AC219" s="18"/>
    </row>
    <row r="220" spans="2:29">
      <c r="B220" s="14">
        <v>214</v>
      </c>
      <c r="C220" s="18">
        <v>25</v>
      </c>
      <c r="E220" s="101">
        <f t="shared" ref="E220" si="429">E216</f>
        <v>2</v>
      </c>
      <c r="F220" s="101">
        <f t="shared" ref="F220" si="430">F216+2</f>
        <v>136</v>
      </c>
      <c r="G220" s="104" t="str">
        <f t="shared" si="397"/>
        <v/>
      </c>
      <c r="H220" s="43">
        <v>3000</v>
      </c>
      <c r="I220" s="43">
        <v>3</v>
      </c>
      <c r="J220" s="43">
        <v>4</v>
      </c>
      <c r="K220" s="100" t="str">
        <f t="shared" ref="K220" si="431">K217</f>
        <v>301,302,303,304</v>
      </c>
      <c r="L220" s="32">
        <v>5832</v>
      </c>
      <c r="M220" s="32">
        <v>121</v>
      </c>
      <c r="N220" s="32">
        <v>55</v>
      </c>
      <c r="O220" s="32">
        <v>195</v>
      </c>
      <c r="P220" s="32">
        <v>6.5</v>
      </c>
      <c r="Q220" s="32">
        <v>1000</v>
      </c>
      <c r="R220" s="32">
        <v>50</v>
      </c>
      <c r="S220" s="32">
        <v>350</v>
      </c>
      <c r="T220" s="32">
        <v>3668</v>
      </c>
      <c r="U220" s="32">
        <v>131</v>
      </c>
      <c r="V220" s="32">
        <v>35</v>
      </c>
      <c r="W220" s="32">
        <v>214</v>
      </c>
      <c r="X220" s="32">
        <v>7.15</v>
      </c>
      <c r="Y220" s="32">
        <v>800</v>
      </c>
      <c r="Z220" s="32">
        <v>50</v>
      </c>
      <c r="AA220" s="32">
        <v>350</v>
      </c>
      <c r="AC220" s="18"/>
    </row>
    <row r="221" spans="2:29">
      <c r="B221" s="14">
        <v>215</v>
      </c>
      <c r="C221" s="18">
        <v>25</v>
      </c>
      <c r="D221" s="43">
        <v>5.24</v>
      </c>
      <c r="E221" s="101">
        <f t="shared" ref="E221" si="432">E217</f>
        <v>3</v>
      </c>
      <c r="F221" s="101">
        <f t="shared" ref="F221" si="433">INT(D221)</f>
        <v>5</v>
      </c>
      <c r="G221" s="104" t="str">
        <f t="shared" si="397"/>
        <v>301,302,303,304</v>
      </c>
      <c r="H221" s="43">
        <v>3000</v>
      </c>
      <c r="I221" s="43">
        <v>1</v>
      </c>
      <c r="J221" s="43">
        <v>7300</v>
      </c>
      <c r="K221" s="101"/>
      <c r="L221" s="32">
        <v>5832</v>
      </c>
      <c r="M221" s="32">
        <v>121</v>
      </c>
      <c r="N221" s="32">
        <v>55</v>
      </c>
      <c r="O221" s="32">
        <v>195</v>
      </c>
      <c r="P221" s="32">
        <v>6.5</v>
      </c>
      <c r="Q221" s="32">
        <v>1000</v>
      </c>
      <c r="R221" s="32">
        <v>50</v>
      </c>
      <c r="S221" s="32">
        <v>350</v>
      </c>
      <c r="T221" s="32">
        <v>3668</v>
      </c>
      <c r="U221" s="32">
        <v>131</v>
      </c>
      <c r="V221" s="32">
        <v>35</v>
      </c>
      <c r="W221" s="32">
        <v>214</v>
      </c>
      <c r="X221" s="32">
        <v>7.15</v>
      </c>
      <c r="Y221" s="32">
        <v>800</v>
      </c>
      <c r="Z221" s="32">
        <v>50</v>
      </c>
      <c r="AA221" s="32">
        <v>350</v>
      </c>
      <c r="AC221" s="18"/>
    </row>
    <row r="222" spans="2:29">
      <c r="B222" s="14">
        <v>216</v>
      </c>
      <c r="C222" s="18">
        <v>25</v>
      </c>
      <c r="D222" s="43"/>
      <c r="E222" s="101">
        <f t="shared" ref="E222:F222" si="434">E218</f>
        <v>4</v>
      </c>
      <c r="F222" s="101">
        <f t="shared" si="434"/>
        <v>1</v>
      </c>
      <c r="G222" s="104" t="str">
        <f t="shared" si="397"/>
        <v>111,110,109,108,107,106,105,104,103,102,101</v>
      </c>
      <c r="H222" s="43">
        <v>3000</v>
      </c>
      <c r="I222" s="43">
        <v>2</v>
      </c>
      <c r="J222" s="43">
        <v>385</v>
      </c>
      <c r="K222" s="101"/>
      <c r="L222" s="32">
        <v>5832</v>
      </c>
      <c r="M222" s="32">
        <v>121</v>
      </c>
      <c r="N222" s="32">
        <v>55</v>
      </c>
      <c r="O222" s="32">
        <v>195</v>
      </c>
      <c r="P222" s="32">
        <v>6.5</v>
      </c>
      <c r="Q222" s="32">
        <v>1000</v>
      </c>
      <c r="R222" s="32">
        <v>50</v>
      </c>
      <c r="S222" s="32">
        <v>350</v>
      </c>
      <c r="T222" s="32">
        <v>3668</v>
      </c>
      <c r="U222" s="32">
        <v>131</v>
      </c>
      <c r="V222" s="32">
        <v>35</v>
      </c>
      <c r="W222" s="32">
        <v>214</v>
      </c>
      <c r="X222" s="32">
        <v>7.15</v>
      </c>
      <c r="Y222" s="32">
        <v>800</v>
      </c>
      <c r="Z222" s="32">
        <v>50</v>
      </c>
      <c r="AA222" s="32">
        <v>350</v>
      </c>
      <c r="AC222" s="18"/>
    </row>
    <row r="223" spans="2:29">
      <c r="B223" s="14">
        <v>217</v>
      </c>
      <c r="C223" s="18">
        <v>25</v>
      </c>
      <c r="D223" s="43"/>
      <c r="E223" s="101">
        <f t="shared" ref="E223" si="435">E219</f>
        <v>1</v>
      </c>
      <c r="F223" s="101">
        <f t="shared" ref="F223" si="436">F219+10</f>
        <v>740</v>
      </c>
      <c r="G223" s="104" t="str">
        <f t="shared" si="397"/>
        <v/>
      </c>
      <c r="H223" s="43">
        <v>3000</v>
      </c>
      <c r="I223" s="43">
        <v>3</v>
      </c>
      <c r="J223" s="43">
        <v>4</v>
      </c>
      <c r="K223" s="100" t="str">
        <f t="shared" ref="K223" si="437">K220</f>
        <v>301,302,303,304</v>
      </c>
      <c r="L223" s="32">
        <v>5832</v>
      </c>
      <c r="M223" s="32">
        <v>121</v>
      </c>
      <c r="N223" s="32">
        <v>55</v>
      </c>
      <c r="O223" s="32">
        <v>195</v>
      </c>
      <c r="P223" s="32">
        <v>6.5</v>
      </c>
      <c r="Q223" s="32">
        <v>1000</v>
      </c>
      <c r="R223" s="32">
        <v>50</v>
      </c>
      <c r="S223" s="32">
        <v>350</v>
      </c>
      <c r="T223" s="32">
        <v>3668</v>
      </c>
      <c r="U223" s="32">
        <v>131</v>
      </c>
      <c r="V223" s="32">
        <v>35</v>
      </c>
      <c r="W223" s="32">
        <v>214</v>
      </c>
      <c r="X223" s="32">
        <v>7.15</v>
      </c>
      <c r="Y223" s="32">
        <v>800</v>
      </c>
      <c r="Z223" s="32">
        <v>50</v>
      </c>
      <c r="AA223" s="32">
        <v>350</v>
      </c>
      <c r="AC223" s="18"/>
    </row>
    <row r="224" spans="2:29">
      <c r="B224" s="14">
        <v>218</v>
      </c>
      <c r="C224" s="18">
        <v>25</v>
      </c>
      <c r="D224" s="43"/>
      <c r="E224" s="101">
        <f t="shared" ref="E224" si="438">E220</f>
        <v>2</v>
      </c>
      <c r="F224" s="101">
        <f t="shared" ref="F224" si="439">F220+2</f>
        <v>138</v>
      </c>
      <c r="G224" s="104" t="str">
        <f t="shared" si="397"/>
        <v/>
      </c>
      <c r="H224" s="43">
        <v>3000</v>
      </c>
      <c r="I224" s="43">
        <v>1</v>
      </c>
      <c r="J224" s="43">
        <v>7400</v>
      </c>
      <c r="K224" s="101"/>
      <c r="L224" s="32">
        <v>5832</v>
      </c>
      <c r="M224" s="32">
        <v>121</v>
      </c>
      <c r="N224" s="32">
        <v>55</v>
      </c>
      <c r="O224" s="32">
        <v>195</v>
      </c>
      <c r="P224" s="32">
        <v>6.5</v>
      </c>
      <c r="Q224" s="32">
        <v>1000</v>
      </c>
      <c r="R224" s="32">
        <v>50</v>
      </c>
      <c r="S224" s="32">
        <v>350</v>
      </c>
      <c r="T224" s="32">
        <v>3668</v>
      </c>
      <c r="U224" s="32">
        <v>131</v>
      </c>
      <c r="V224" s="32">
        <v>35</v>
      </c>
      <c r="W224" s="32">
        <v>214</v>
      </c>
      <c r="X224" s="32">
        <v>7.15</v>
      </c>
      <c r="Y224" s="32">
        <v>800</v>
      </c>
      <c r="Z224" s="32">
        <v>50</v>
      </c>
      <c r="AA224" s="32">
        <v>350</v>
      </c>
      <c r="AC224" s="18"/>
    </row>
    <row r="225" spans="2:29">
      <c r="B225" s="14">
        <v>219</v>
      </c>
      <c r="C225" s="18">
        <v>25</v>
      </c>
      <c r="D225" s="43">
        <v>5.32</v>
      </c>
      <c r="E225" s="101">
        <f t="shared" ref="E225" si="440">E221</f>
        <v>3</v>
      </c>
      <c r="F225" s="101">
        <f t="shared" ref="F225" si="441">INT(D225)</f>
        <v>5</v>
      </c>
      <c r="G225" s="104" t="str">
        <f t="shared" si="397"/>
        <v>301,302,303,304</v>
      </c>
      <c r="H225" s="43">
        <v>3000</v>
      </c>
      <c r="I225" s="43">
        <v>2</v>
      </c>
      <c r="J225" s="43">
        <v>390</v>
      </c>
      <c r="K225" s="101"/>
      <c r="L225" s="32">
        <v>5832</v>
      </c>
      <c r="M225" s="32">
        <v>121</v>
      </c>
      <c r="N225" s="32">
        <v>55</v>
      </c>
      <c r="O225" s="32">
        <v>195</v>
      </c>
      <c r="P225" s="32">
        <v>6.5</v>
      </c>
      <c r="Q225" s="32">
        <v>1000</v>
      </c>
      <c r="R225" s="32">
        <v>50</v>
      </c>
      <c r="S225" s="32">
        <v>350</v>
      </c>
      <c r="T225" s="32">
        <v>3668</v>
      </c>
      <c r="U225" s="32">
        <v>131</v>
      </c>
      <c r="V225" s="32">
        <v>35</v>
      </c>
      <c r="W225" s="32">
        <v>214</v>
      </c>
      <c r="X225" s="32">
        <v>7.15</v>
      </c>
      <c r="Y225" s="32">
        <v>800</v>
      </c>
      <c r="Z225" s="32">
        <v>50</v>
      </c>
      <c r="AA225" s="32">
        <v>350</v>
      </c>
      <c r="AC225" s="18"/>
    </row>
    <row r="226" spans="2:29">
      <c r="B226" s="14">
        <v>220</v>
      </c>
      <c r="C226" s="18">
        <v>25</v>
      </c>
      <c r="D226" s="43"/>
      <c r="E226" s="101">
        <f t="shared" ref="E226:F226" si="442">E222</f>
        <v>4</v>
      </c>
      <c r="F226" s="101">
        <f t="shared" si="442"/>
        <v>1</v>
      </c>
      <c r="G226" s="104" t="str">
        <f t="shared" si="397"/>
        <v>111,110,109,108,107,106,105,104,103,102,101</v>
      </c>
      <c r="H226" s="43">
        <v>3000</v>
      </c>
      <c r="I226" s="43">
        <v>3</v>
      </c>
      <c r="J226" s="43">
        <v>4</v>
      </c>
      <c r="K226" s="100" t="str">
        <f t="shared" ref="K226" si="443">K223</f>
        <v>301,302,303,304</v>
      </c>
      <c r="L226" s="32">
        <v>5832</v>
      </c>
      <c r="M226" s="32">
        <v>121</v>
      </c>
      <c r="N226" s="32">
        <v>55</v>
      </c>
      <c r="O226" s="32">
        <v>195</v>
      </c>
      <c r="P226" s="32">
        <v>6.5</v>
      </c>
      <c r="Q226" s="32">
        <v>1000</v>
      </c>
      <c r="R226" s="32">
        <v>50</v>
      </c>
      <c r="S226" s="32">
        <v>350</v>
      </c>
      <c r="T226" s="32">
        <v>3668</v>
      </c>
      <c r="U226" s="32">
        <v>131</v>
      </c>
      <c r="V226" s="32">
        <v>35</v>
      </c>
      <c r="W226" s="32">
        <v>214</v>
      </c>
      <c r="X226" s="32">
        <v>7.15</v>
      </c>
      <c r="Y226" s="32">
        <v>800</v>
      </c>
      <c r="Z226" s="32">
        <v>50</v>
      </c>
      <c r="AA226" s="32">
        <v>350</v>
      </c>
      <c r="AC226" s="18"/>
    </row>
    <row r="227" spans="2:29">
      <c r="B227" s="14">
        <v>221</v>
      </c>
      <c r="C227" s="18">
        <v>25</v>
      </c>
      <c r="D227" s="43"/>
      <c r="E227" s="101">
        <f t="shared" ref="E227" si="444">E223</f>
        <v>1</v>
      </c>
      <c r="F227" s="101">
        <f t="shared" ref="F227" si="445">F223+10</f>
        <v>750</v>
      </c>
      <c r="G227" s="104" t="str">
        <f t="shared" si="397"/>
        <v/>
      </c>
      <c r="H227" s="43">
        <v>3000</v>
      </c>
      <c r="I227" s="43">
        <v>1</v>
      </c>
      <c r="J227" s="43">
        <v>7500</v>
      </c>
      <c r="K227" s="101"/>
      <c r="L227" s="32">
        <v>5832</v>
      </c>
      <c r="M227" s="32">
        <v>121</v>
      </c>
      <c r="N227" s="32">
        <v>55</v>
      </c>
      <c r="O227" s="32">
        <v>195</v>
      </c>
      <c r="P227" s="32">
        <v>6.5</v>
      </c>
      <c r="Q227" s="32">
        <v>1000</v>
      </c>
      <c r="R227" s="32">
        <v>50</v>
      </c>
      <c r="S227" s="32">
        <v>350</v>
      </c>
      <c r="T227" s="32">
        <v>3668</v>
      </c>
      <c r="U227" s="32">
        <v>131</v>
      </c>
      <c r="V227" s="32">
        <v>35</v>
      </c>
      <c r="W227" s="32">
        <v>214</v>
      </c>
      <c r="X227" s="32">
        <v>7.15</v>
      </c>
      <c r="Y227" s="32">
        <v>800</v>
      </c>
      <c r="Z227" s="32">
        <v>50</v>
      </c>
      <c r="AA227" s="32">
        <v>350</v>
      </c>
      <c r="AC227" s="18"/>
    </row>
    <row r="228" spans="2:29">
      <c r="B228" s="14">
        <v>222</v>
      </c>
      <c r="C228" s="18">
        <v>25</v>
      </c>
      <c r="E228" s="101">
        <f t="shared" ref="E228" si="446">E224</f>
        <v>2</v>
      </c>
      <c r="F228" s="101">
        <f t="shared" ref="F228" si="447">F224+2</f>
        <v>140</v>
      </c>
      <c r="G228" s="104" t="str">
        <f t="shared" si="397"/>
        <v/>
      </c>
      <c r="H228" s="43">
        <v>3000</v>
      </c>
      <c r="I228" s="43">
        <v>2</v>
      </c>
      <c r="J228" s="43">
        <v>395</v>
      </c>
      <c r="K228" s="101"/>
      <c r="L228" s="32">
        <v>5832</v>
      </c>
      <c r="M228" s="32">
        <v>121</v>
      </c>
      <c r="N228" s="32">
        <v>55</v>
      </c>
      <c r="O228" s="32">
        <v>195</v>
      </c>
      <c r="P228" s="32">
        <v>6.5</v>
      </c>
      <c r="Q228" s="32">
        <v>1000</v>
      </c>
      <c r="R228" s="32">
        <v>50</v>
      </c>
      <c r="S228" s="32">
        <v>350</v>
      </c>
      <c r="T228" s="32">
        <v>3668</v>
      </c>
      <c r="U228" s="32">
        <v>131</v>
      </c>
      <c r="V228" s="32">
        <v>35</v>
      </c>
      <c r="W228" s="32">
        <v>214</v>
      </c>
      <c r="X228" s="32">
        <v>7.15</v>
      </c>
      <c r="Y228" s="32">
        <v>800</v>
      </c>
      <c r="Z228" s="32">
        <v>50</v>
      </c>
      <c r="AA228" s="32">
        <v>350</v>
      </c>
      <c r="AC228" s="18"/>
    </row>
    <row r="229" spans="2:29">
      <c r="B229" s="14">
        <v>223</v>
      </c>
      <c r="C229" s="18">
        <v>25</v>
      </c>
      <c r="D229" s="43">
        <v>5.4</v>
      </c>
      <c r="E229" s="101">
        <f t="shared" ref="E229" si="448">E225</f>
        <v>3</v>
      </c>
      <c r="F229" s="101">
        <f t="shared" ref="F229" si="449">INT(D229)</f>
        <v>5</v>
      </c>
      <c r="G229" s="104" t="str">
        <f t="shared" si="397"/>
        <v>301,302,303,304</v>
      </c>
      <c r="H229" s="43">
        <v>3000</v>
      </c>
      <c r="I229" s="43">
        <v>3</v>
      </c>
      <c r="J229" s="43">
        <v>4</v>
      </c>
      <c r="K229" s="100" t="str">
        <f t="shared" ref="K229" si="450">K226</f>
        <v>301,302,303,304</v>
      </c>
      <c r="L229" s="32">
        <v>5832</v>
      </c>
      <c r="M229" s="32">
        <v>121</v>
      </c>
      <c r="N229" s="32">
        <v>55</v>
      </c>
      <c r="O229" s="32">
        <v>195</v>
      </c>
      <c r="P229" s="32">
        <v>6.5</v>
      </c>
      <c r="Q229" s="32">
        <v>1000</v>
      </c>
      <c r="R229" s="32">
        <v>50</v>
      </c>
      <c r="S229" s="32">
        <v>350</v>
      </c>
      <c r="T229" s="32">
        <v>3668</v>
      </c>
      <c r="U229" s="32">
        <v>131</v>
      </c>
      <c r="V229" s="32">
        <v>35</v>
      </c>
      <c r="W229" s="32">
        <v>214</v>
      </c>
      <c r="X229" s="32">
        <v>7.15</v>
      </c>
      <c r="Y229" s="32">
        <v>800</v>
      </c>
      <c r="Z229" s="32">
        <v>50</v>
      </c>
      <c r="AA229" s="32">
        <v>350</v>
      </c>
      <c r="AC229" s="18"/>
    </row>
    <row r="230" spans="2:29">
      <c r="B230" s="14">
        <v>224</v>
      </c>
      <c r="C230" s="18">
        <v>25</v>
      </c>
      <c r="D230" s="43"/>
      <c r="E230" s="101">
        <f t="shared" ref="E230:F230" si="451">E226</f>
        <v>4</v>
      </c>
      <c r="F230" s="101">
        <f t="shared" si="451"/>
        <v>1</v>
      </c>
      <c r="G230" s="104" t="str">
        <f t="shared" si="397"/>
        <v>111,110,109,108,107,106,105,104,103,102,101</v>
      </c>
      <c r="H230" s="43">
        <v>3000</v>
      </c>
      <c r="I230" s="43">
        <v>1</v>
      </c>
      <c r="J230" s="43">
        <v>7600</v>
      </c>
      <c r="K230" s="101"/>
      <c r="L230" s="32">
        <v>5832</v>
      </c>
      <c r="M230" s="32">
        <v>121</v>
      </c>
      <c r="N230" s="32">
        <v>55</v>
      </c>
      <c r="O230" s="32">
        <v>195</v>
      </c>
      <c r="P230" s="32">
        <v>6.5</v>
      </c>
      <c r="Q230" s="32">
        <v>1000</v>
      </c>
      <c r="R230" s="32">
        <v>50</v>
      </c>
      <c r="S230" s="32">
        <v>350</v>
      </c>
      <c r="T230" s="32">
        <v>3668</v>
      </c>
      <c r="U230" s="32">
        <v>131</v>
      </c>
      <c r="V230" s="32">
        <v>35</v>
      </c>
      <c r="W230" s="32">
        <v>214</v>
      </c>
      <c r="X230" s="32">
        <v>7.15</v>
      </c>
      <c r="Y230" s="32">
        <v>800</v>
      </c>
      <c r="Z230" s="32">
        <v>50</v>
      </c>
      <c r="AA230" s="32">
        <v>350</v>
      </c>
      <c r="AC230" s="18"/>
    </row>
    <row r="231" spans="2:29">
      <c r="B231" s="14">
        <v>225</v>
      </c>
      <c r="C231" s="18">
        <v>25</v>
      </c>
      <c r="D231" s="43"/>
      <c r="E231" s="101">
        <f t="shared" ref="E231" si="452">E227</f>
        <v>1</v>
      </c>
      <c r="F231" s="101">
        <f t="shared" ref="F231" si="453">F227+10</f>
        <v>760</v>
      </c>
      <c r="G231" s="104" t="str">
        <f t="shared" si="397"/>
        <v/>
      </c>
      <c r="H231" s="43">
        <v>3000</v>
      </c>
      <c r="I231" s="43">
        <v>2</v>
      </c>
      <c r="J231" s="43">
        <v>400</v>
      </c>
      <c r="K231" s="101"/>
      <c r="L231" s="32">
        <v>5832</v>
      </c>
      <c r="M231" s="32">
        <v>121</v>
      </c>
      <c r="N231" s="32">
        <v>55</v>
      </c>
      <c r="O231" s="32">
        <v>195</v>
      </c>
      <c r="P231" s="32">
        <v>6.5</v>
      </c>
      <c r="Q231" s="32">
        <v>1000</v>
      </c>
      <c r="R231" s="32">
        <v>50</v>
      </c>
      <c r="S231" s="32">
        <v>350</v>
      </c>
      <c r="T231" s="32">
        <v>3668</v>
      </c>
      <c r="U231" s="32">
        <v>131</v>
      </c>
      <c r="V231" s="32">
        <v>35</v>
      </c>
      <c r="W231" s="32">
        <v>214</v>
      </c>
      <c r="X231" s="32">
        <v>7.15</v>
      </c>
      <c r="Y231" s="32">
        <v>800</v>
      </c>
      <c r="Z231" s="32">
        <v>50</v>
      </c>
      <c r="AA231" s="32">
        <v>350</v>
      </c>
      <c r="AC231" s="18"/>
    </row>
    <row r="232" spans="2:29">
      <c r="B232" s="14">
        <v>226</v>
      </c>
      <c r="C232" s="18">
        <v>25</v>
      </c>
      <c r="D232" s="43"/>
      <c r="E232" s="101">
        <f t="shared" ref="E232" si="454">E228</f>
        <v>2</v>
      </c>
      <c r="F232" s="101">
        <f t="shared" ref="F232" si="455">F228+2</f>
        <v>142</v>
      </c>
      <c r="G232" s="104" t="str">
        <f t="shared" si="397"/>
        <v/>
      </c>
      <c r="H232" s="43">
        <v>3000</v>
      </c>
      <c r="I232" s="43">
        <v>3</v>
      </c>
      <c r="J232" s="43">
        <v>4</v>
      </c>
      <c r="K232" s="100" t="str">
        <f t="shared" ref="K232" si="456">K229</f>
        <v>301,302,303,304</v>
      </c>
      <c r="L232" s="32">
        <v>5832</v>
      </c>
      <c r="M232" s="32">
        <v>121</v>
      </c>
      <c r="N232" s="32">
        <v>55</v>
      </c>
      <c r="O232" s="32">
        <v>195</v>
      </c>
      <c r="P232" s="32">
        <v>6.5</v>
      </c>
      <c r="Q232" s="32">
        <v>1000</v>
      </c>
      <c r="R232" s="32">
        <v>50</v>
      </c>
      <c r="S232" s="32">
        <v>350</v>
      </c>
      <c r="T232" s="32">
        <v>3668</v>
      </c>
      <c r="U232" s="32">
        <v>131</v>
      </c>
      <c r="V232" s="32">
        <v>35</v>
      </c>
      <c r="W232" s="32">
        <v>214</v>
      </c>
      <c r="X232" s="32">
        <v>7.15</v>
      </c>
      <c r="Y232" s="32">
        <v>800</v>
      </c>
      <c r="Z232" s="32">
        <v>50</v>
      </c>
      <c r="AA232" s="32">
        <v>350</v>
      </c>
      <c r="AC232" s="18"/>
    </row>
    <row r="233" spans="2:29">
      <c r="B233" s="14">
        <v>227</v>
      </c>
      <c r="C233" s="18">
        <v>25</v>
      </c>
      <c r="D233" s="43">
        <v>5.48</v>
      </c>
      <c r="E233" s="101">
        <f t="shared" ref="E233" si="457">E229</f>
        <v>3</v>
      </c>
      <c r="F233" s="101">
        <f t="shared" ref="F233" si="458">INT(D233)</f>
        <v>5</v>
      </c>
      <c r="G233" s="104" t="str">
        <f t="shared" si="397"/>
        <v>301,302,303,304</v>
      </c>
      <c r="H233" s="43">
        <v>3000</v>
      </c>
      <c r="I233" s="43">
        <v>1</v>
      </c>
      <c r="J233" s="43">
        <v>7700</v>
      </c>
      <c r="K233" s="101"/>
      <c r="L233" s="32">
        <v>5832</v>
      </c>
      <c r="M233" s="32">
        <v>121</v>
      </c>
      <c r="N233" s="32">
        <v>55</v>
      </c>
      <c r="O233" s="32">
        <v>195</v>
      </c>
      <c r="P233" s="32">
        <v>6.5</v>
      </c>
      <c r="Q233" s="32">
        <v>1000</v>
      </c>
      <c r="R233" s="32">
        <v>50</v>
      </c>
      <c r="S233" s="32">
        <v>350</v>
      </c>
      <c r="T233" s="32">
        <v>3668</v>
      </c>
      <c r="U233" s="32">
        <v>131</v>
      </c>
      <c r="V233" s="32">
        <v>35</v>
      </c>
      <c r="W233" s="32">
        <v>214</v>
      </c>
      <c r="X233" s="32">
        <v>7.15</v>
      </c>
      <c r="Y233" s="32">
        <v>800</v>
      </c>
      <c r="Z233" s="32">
        <v>50</v>
      </c>
      <c r="AA233" s="32">
        <v>350</v>
      </c>
      <c r="AC233" s="18"/>
    </row>
    <row r="234" spans="2:29">
      <c r="B234" s="14">
        <v>228</v>
      </c>
      <c r="C234" s="18">
        <v>25</v>
      </c>
      <c r="D234" s="43"/>
      <c r="E234" s="101">
        <f t="shared" ref="E234:F234" si="459">E230</f>
        <v>4</v>
      </c>
      <c r="F234" s="101">
        <f t="shared" si="459"/>
        <v>1</v>
      </c>
      <c r="G234" s="104" t="str">
        <f t="shared" si="397"/>
        <v>111,110,109,108,107,106,105,104,103,102,101</v>
      </c>
      <c r="H234" s="43">
        <v>3000</v>
      </c>
      <c r="I234" s="43">
        <v>2</v>
      </c>
      <c r="J234" s="43">
        <v>405</v>
      </c>
      <c r="K234" s="101"/>
      <c r="L234" s="32">
        <v>5832</v>
      </c>
      <c r="M234" s="32">
        <v>121</v>
      </c>
      <c r="N234" s="32">
        <v>55</v>
      </c>
      <c r="O234" s="32">
        <v>195</v>
      </c>
      <c r="P234" s="32">
        <v>6.5</v>
      </c>
      <c r="Q234" s="32">
        <v>1000</v>
      </c>
      <c r="R234" s="32">
        <v>50</v>
      </c>
      <c r="S234" s="32">
        <v>350</v>
      </c>
      <c r="T234" s="32">
        <v>3668</v>
      </c>
      <c r="U234" s="32">
        <v>131</v>
      </c>
      <c r="V234" s="32">
        <v>35</v>
      </c>
      <c r="W234" s="32">
        <v>214</v>
      </c>
      <c r="X234" s="32">
        <v>7.15</v>
      </c>
      <c r="Y234" s="32">
        <v>800</v>
      </c>
      <c r="Z234" s="32">
        <v>50</v>
      </c>
      <c r="AA234" s="32">
        <v>350</v>
      </c>
      <c r="AC234" s="18"/>
    </row>
    <row r="235" spans="2:29">
      <c r="B235" s="14">
        <v>229</v>
      </c>
      <c r="C235" s="18">
        <v>25</v>
      </c>
      <c r="D235" s="43"/>
      <c r="E235" s="101">
        <f t="shared" ref="E235" si="460">E231</f>
        <v>1</v>
      </c>
      <c r="F235" s="101">
        <f t="shared" ref="F235" si="461">F231+10</f>
        <v>770</v>
      </c>
      <c r="G235" s="104" t="str">
        <f t="shared" si="397"/>
        <v/>
      </c>
      <c r="H235" s="43">
        <v>3000</v>
      </c>
      <c r="I235" s="43">
        <v>3</v>
      </c>
      <c r="J235" s="43">
        <v>4</v>
      </c>
      <c r="K235" s="100" t="str">
        <f t="shared" ref="K235" si="462">K232</f>
        <v>301,302,303,304</v>
      </c>
      <c r="L235" s="32">
        <v>5832</v>
      </c>
      <c r="M235" s="32">
        <v>121</v>
      </c>
      <c r="N235" s="32">
        <v>55</v>
      </c>
      <c r="O235" s="32">
        <v>195</v>
      </c>
      <c r="P235" s="32">
        <v>6.5</v>
      </c>
      <c r="Q235" s="32">
        <v>1000</v>
      </c>
      <c r="R235" s="32">
        <v>50</v>
      </c>
      <c r="S235" s="32">
        <v>350</v>
      </c>
      <c r="T235" s="32">
        <v>3668</v>
      </c>
      <c r="U235" s="32">
        <v>131</v>
      </c>
      <c r="V235" s="32">
        <v>35</v>
      </c>
      <c r="W235" s="32">
        <v>214</v>
      </c>
      <c r="X235" s="32">
        <v>7.15</v>
      </c>
      <c r="Y235" s="32">
        <v>800</v>
      </c>
      <c r="Z235" s="32">
        <v>50</v>
      </c>
      <c r="AA235" s="32">
        <v>350</v>
      </c>
      <c r="AC235" s="18"/>
    </row>
    <row r="236" spans="2:29">
      <c r="B236" s="14">
        <v>230</v>
      </c>
      <c r="C236" s="18">
        <v>25</v>
      </c>
      <c r="E236" s="101">
        <f t="shared" ref="E236" si="463">E232</f>
        <v>2</v>
      </c>
      <c r="F236" s="101">
        <f t="shared" ref="F236" si="464">F232+2</f>
        <v>144</v>
      </c>
      <c r="G236" s="104" t="str">
        <f t="shared" si="397"/>
        <v/>
      </c>
      <c r="H236" s="43">
        <v>3000</v>
      </c>
      <c r="I236" s="43">
        <v>1</v>
      </c>
      <c r="J236" s="43">
        <v>7800</v>
      </c>
      <c r="K236" s="101"/>
      <c r="L236" s="32">
        <v>5832</v>
      </c>
      <c r="M236" s="32">
        <v>121</v>
      </c>
      <c r="N236" s="32">
        <v>55</v>
      </c>
      <c r="O236" s="32">
        <v>195</v>
      </c>
      <c r="P236" s="32">
        <v>6.5</v>
      </c>
      <c r="Q236" s="32">
        <v>1000</v>
      </c>
      <c r="R236" s="32">
        <v>50</v>
      </c>
      <c r="S236" s="32">
        <v>350</v>
      </c>
      <c r="T236" s="32">
        <v>3668</v>
      </c>
      <c r="U236" s="32">
        <v>131</v>
      </c>
      <c r="V236" s="32">
        <v>35</v>
      </c>
      <c r="W236" s="32">
        <v>214</v>
      </c>
      <c r="X236" s="32">
        <v>7.15</v>
      </c>
      <c r="Y236" s="32">
        <v>800</v>
      </c>
      <c r="Z236" s="32">
        <v>50</v>
      </c>
      <c r="AA236" s="32">
        <v>350</v>
      </c>
      <c r="AC236" s="18"/>
    </row>
    <row r="237" spans="2:29">
      <c r="B237" s="14">
        <v>231</v>
      </c>
      <c r="C237" s="18">
        <v>25</v>
      </c>
      <c r="D237" s="43">
        <v>5.56</v>
      </c>
      <c r="E237" s="101">
        <f t="shared" ref="E237" si="465">E233</f>
        <v>3</v>
      </c>
      <c r="F237" s="101">
        <f t="shared" ref="F237" si="466">INT(D237)</f>
        <v>5</v>
      </c>
      <c r="G237" s="104" t="str">
        <f t="shared" si="397"/>
        <v>301,302,303,304</v>
      </c>
      <c r="H237" s="43">
        <v>3000</v>
      </c>
      <c r="I237" s="43">
        <v>2</v>
      </c>
      <c r="J237" s="43">
        <v>410</v>
      </c>
      <c r="K237" s="101"/>
      <c r="L237" s="32">
        <v>5832</v>
      </c>
      <c r="M237" s="32">
        <v>121</v>
      </c>
      <c r="N237" s="32">
        <v>55</v>
      </c>
      <c r="O237" s="32">
        <v>195</v>
      </c>
      <c r="P237" s="32">
        <v>6.5</v>
      </c>
      <c r="Q237" s="32">
        <v>1000</v>
      </c>
      <c r="R237" s="32">
        <v>50</v>
      </c>
      <c r="S237" s="32">
        <v>350</v>
      </c>
      <c r="T237" s="32">
        <v>3668</v>
      </c>
      <c r="U237" s="32">
        <v>131</v>
      </c>
      <c r="V237" s="32">
        <v>35</v>
      </c>
      <c r="W237" s="32">
        <v>214</v>
      </c>
      <c r="X237" s="32">
        <v>7.15</v>
      </c>
      <c r="Y237" s="32">
        <v>800</v>
      </c>
      <c r="Z237" s="32">
        <v>50</v>
      </c>
      <c r="AA237" s="32">
        <v>350</v>
      </c>
      <c r="AC237" s="18"/>
    </row>
    <row r="238" spans="2:29">
      <c r="B238" s="14">
        <v>232</v>
      </c>
      <c r="C238" s="18">
        <v>25</v>
      </c>
      <c r="D238" s="43"/>
      <c r="E238" s="101">
        <f t="shared" ref="E238:F238" si="467">E234</f>
        <v>4</v>
      </c>
      <c r="F238" s="101">
        <f t="shared" si="467"/>
        <v>1</v>
      </c>
      <c r="G238" s="104" t="str">
        <f t="shared" si="397"/>
        <v>111,110,109,108,107,106,105,104,103,102,101</v>
      </c>
      <c r="H238" s="43">
        <v>3000</v>
      </c>
      <c r="I238" s="43">
        <v>3</v>
      </c>
      <c r="J238" s="43">
        <v>4</v>
      </c>
      <c r="K238" s="100" t="str">
        <f t="shared" ref="K238" si="468">K235</f>
        <v>301,302,303,304</v>
      </c>
      <c r="L238" s="32">
        <v>5832</v>
      </c>
      <c r="M238" s="32">
        <v>121</v>
      </c>
      <c r="N238" s="32">
        <v>55</v>
      </c>
      <c r="O238" s="32">
        <v>195</v>
      </c>
      <c r="P238" s="32">
        <v>6.5</v>
      </c>
      <c r="Q238" s="32">
        <v>1000</v>
      </c>
      <c r="R238" s="32">
        <v>50</v>
      </c>
      <c r="S238" s="32">
        <v>350</v>
      </c>
      <c r="T238" s="32">
        <v>3668</v>
      </c>
      <c r="U238" s="32">
        <v>131</v>
      </c>
      <c r="V238" s="32">
        <v>35</v>
      </c>
      <c r="W238" s="32">
        <v>214</v>
      </c>
      <c r="X238" s="32">
        <v>7.15</v>
      </c>
      <c r="Y238" s="32">
        <v>800</v>
      </c>
      <c r="Z238" s="32">
        <v>50</v>
      </c>
      <c r="AA238" s="32">
        <v>350</v>
      </c>
      <c r="AC238" s="18"/>
    </row>
    <row r="239" spans="2:29">
      <c r="B239" s="14">
        <v>233</v>
      </c>
      <c r="C239" s="18">
        <v>25</v>
      </c>
      <c r="D239" s="43"/>
      <c r="E239" s="101">
        <f t="shared" ref="E239" si="469">E235</f>
        <v>1</v>
      </c>
      <c r="F239" s="101">
        <f t="shared" ref="F239" si="470">F235+10</f>
        <v>780</v>
      </c>
      <c r="G239" s="104" t="str">
        <f t="shared" si="397"/>
        <v/>
      </c>
      <c r="H239" s="43">
        <v>3000</v>
      </c>
      <c r="I239" s="43">
        <v>1</v>
      </c>
      <c r="J239" s="43">
        <v>7900</v>
      </c>
      <c r="K239" s="101"/>
      <c r="L239" s="32">
        <v>5832</v>
      </c>
      <c r="M239" s="32">
        <v>121</v>
      </c>
      <c r="N239" s="32">
        <v>55</v>
      </c>
      <c r="O239" s="32">
        <v>195</v>
      </c>
      <c r="P239" s="32">
        <v>6.5</v>
      </c>
      <c r="Q239" s="32">
        <v>1000</v>
      </c>
      <c r="R239" s="32">
        <v>50</v>
      </c>
      <c r="S239" s="32">
        <v>350</v>
      </c>
      <c r="T239" s="32">
        <v>3668</v>
      </c>
      <c r="U239" s="32">
        <v>131</v>
      </c>
      <c r="V239" s="32">
        <v>35</v>
      </c>
      <c r="W239" s="32">
        <v>214</v>
      </c>
      <c r="X239" s="32">
        <v>7.15</v>
      </c>
      <c r="Y239" s="32">
        <v>800</v>
      </c>
      <c r="Z239" s="32">
        <v>50</v>
      </c>
      <c r="AA239" s="32">
        <v>350</v>
      </c>
      <c r="AC239" s="18"/>
    </row>
    <row r="240" spans="2:29">
      <c r="B240" s="14">
        <v>234</v>
      </c>
      <c r="C240" s="18">
        <v>25</v>
      </c>
      <c r="D240" s="43"/>
      <c r="E240" s="101">
        <f t="shared" ref="E240" si="471">E236</f>
        <v>2</v>
      </c>
      <c r="F240" s="101">
        <f t="shared" ref="F240" si="472">F236+2</f>
        <v>146</v>
      </c>
      <c r="G240" s="104" t="str">
        <f t="shared" si="397"/>
        <v/>
      </c>
      <c r="H240" s="43">
        <v>3000</v>
      </c>
      <c r="I240" s="43">
        <v>2</v>
      </c>
      <c r="J240" s="43">
        <v>415</v>
      </c>
      <c r="K240" s="101"/>
      <c r="L240" s="32">
        <v>5832</v>
      </c>
      <c r="M240" s="32">
        <v>121</v>
      </c>
      <c r="N240" s="32">
        <v>55</v>
      </c>
      <c r="O240" s="32">
        <v>195</v>
      </c>
      <c r="P240" s="32">
        <v>6.5</v>
      </c>
      <c r="Q240" s="32">
        <v>1000</v>
      </c>
      <c r="R240" s="32">
        <v>50</v>
      </c>
      <c r="S240" s="32">
        <v>350</v>
      </c>
      <c r="T240" s="32">
        <v>3668</v>
      </c>
      <c r="U240" s="32">
        <v>131</v>
      </c>
      <c r="V240" s="32">
        <v>35</v>
      </c>
      <c r="W240" s="32">
        <v>214</v>
      </c>
      <c r="X240" s="32">
        <v>7.15</v>
      </c>
      <c r="Y240" s="32">
        <v>800</v>
      </c>
      <c r="Z240" s="32">
        <v>50</v>
      </c>
      <c r="AA240" s="32">
        <v>350</v>
      </c>
      <c r="AC240" s="18"/>
    </row>
    <row r="241" spans="2:29">
      <c r="B241" s="14">
        <v>235</v>
      </c>
      <c r="C241" s="18">
        <v>25</v>
      </c>
      <c r="D241" s="43">
        <v>5.64</v>
      </c>
      <c r="E241" s="101">
        <f t="shared" ref="E241" si="473">E237</f>
        <v>3</v>
      </c>
      <c r="F241" s="101">
        <f t="shared" ref="F241" si="474">INT(D241)</f>
        <v>5</v>
      </c>
      <c r="G241" s="104" t="str">
        <f t="shared" si="397"/>
        <v>301,302,303,304</v>
      </c>
      <c r="H241" s="43">
        <v>3000</v>
      </c>
      <c r="I241" s="43">
        <v>3</v>
      </c>
      <c r="J241" s="43">
        <v>4</v>
      </c>
      <c r="K241" s="100" t="str">
        <f t="shared" ref="K241" si="475">K238</f>
        <v>301,302,303,304</v>
      </c>
      <c r="L241" s="32">
        <v>5832</v>
      </c>
      <c r="M241" s="32">
        <v>121</v>
      </c>
      <c r="N241" s="32">
        <v>55</v>
      </c>
      <c r="O241" s="32">
        <v>195</v>
      </c>
      <c r="P241" s="32">
        <v>6.5</v>
      </c>
      <c r="Q241" s="32">
        <v>1000</v>
      </c>
      <c r="R241" s="32">
        <v>50</v>
      </c>
      <c r="S241" s="32">
        <v>350</v>
      </c>
      <c r="T241" s="32">
        <v>3668</v>
      </c>
      <c r="U241" s="32">
        <v>131</v>
      </c>
      <c r="V241" s="32">
        <v>35</v>
      </c>
      <c r="W241" s="32">
        <v>214</v>
      </c>
      <c r="X241" s="32">
        <v>7.15</v>
      </c>
      <c r="Y241" s="32">
        <v>800</v>
      </c>
      <c r="Z241" s="32">
        <v>50</v>
      </c>
      <c r="AA241" s="32">
        <v>350</v>
      </c>
      <c r="AC241" s="18"/>
    </row>
    <row r="242" spans="2:29">
      <c r="B242" s="14">
        <v>236</v>
      </c>
      <c r="C242" s="18">
        <v>25</v>
      </c>
      <c r="D242" s="43"/>
      <c r="E242" s="101">
        <f t="shared" ref="E242:F242" si="476">E238</f>
        <v>4</v>
      </c>
      <c r="F242" s="101">
        <f t="shared" si="476"/>
        <v>1</v>
      </c>
      <c r="G242" s="104" t="str">
        <f t="shared" si="397"/>
        <v>111,110,109,108,107,106,105,104,103,102,101</v>
      </c>
      <c r="H242" s="43">
        <v>3000</v>
      </c>
      <c r="I242" s="43">
        <v>1</v>
      </c>
      <c r="J242" s="43">
        <v>8000</v>
      </c>
      <c r="K242" s="101"/>
      <c r="L242" s="32">
        <v>5832</v>
      </c>
      <c r="M242" s="32">
        <v>121</v>
      </c>
      <c r="N242" s="32">
        <v>55</v>
      </c>
      <c r="O242" s="32">
        <v>195</v>
      </c>
      <c r="P242" s="32">
        <v>6.5</v>
      </c>
      <c r="Q242" s="32">
        <v>1000</v>
      </c>
      <c r="R242" s="32">
        <v>50</v>
      </c>
      <c r="S242" s="32">
        <v>350</v>
      </c>
      <c r="T242" s="32">
        <v>3668</v>
      </c>
      <c r="U242" s="32">
        <v>131</v>
      </c>
      <c r="V242" s="32">
        <v>35</v>
      </c>
      <c r="W242" s="32">
        <v>214</v>
      </c>
      <c r="X242" s="32">
        <v>7.15</v>
      </c>
      <c r="Y242" s="32">
        <v>800</v>
      </c>
      <c r="Z242" s="32">
        <v>50</v>
      </c>
      <c r="AA242" s="32">
        <v>350</v>
      </c>
      <c r="AC242" s="18"/>
    </row>
    <row r="243" spans="2:29">
      <c r="B243" s="14">
        <v>237</v>
      </c>
      <c r="C243" s="18">
        <v>25</v>
      </c>
      <c r="D243" s="43"/>
      <c r="E243" s="101">
        <f t="shared" ref="E243" si="477">E239</f>
        <v>1</v>
      </c>
      <c r="F243" s="101">
        <f t="shared" ref="F243" si="478">F239+10</f>
        <v>790</v>
      </c>
      <c r="G243" s="104" t="str">
        <f t="shared" si="397"/>
        <v/>
      </c>
      <c r="H243" s="43">
        <v>3000</v>
      </c>
      <c r="I243" s="43">
        <v>2</v>
      </c>
      <c r="J243" s="43">
        <v>420</v>
      </c>
      <c r="K243" s="101"/>
      <c r="L243" s="32">
        <v>5832</v>
      </c>
      <c r="M243" s="32">
        <v>121</v>
      </c>
      <c r="N243" s="32">
        <v>55</v>
      </c>
      <c r="O243" s="32">
        <v>195</v>
      </c>
      <c r="P243" s="32">
        <v>6.5</v>
      </c>
      <c r="Q243" s="32">
        <v>1000</v>
      </c>
      <c r="R243" s="32">
        <v>50</v>
      </c>
      <c r="S243" s="32">
        <v>350</v>
      </c>
      <c r="T243" s="32">
        <v>3668</v>
      </c>
      <c r="U243" s="32">
        <v>131</v>
      </c>
      <c r="V243" s="32">
        <v>35</v>
      </c>
      <c r="W243" s="32">
        <v>214</v>
      </c>
      <c r="X243" s="32">
        <v>7.15</v>
      </c>
      <c r="Y243" s="32">
        <v>800</v>
      </c>
      <c r="Z243" s="32">
        <v>50</v>
      </c>
      <c r="AA243" s="32">
        <v>350</v>
      </c>
      <c r="AC243" s="18"/>
    </row>
    <row r="244" spans="2:29">
      <c r="B244" s="14">
        <v>238</v>
      </c>
      <c r="C244" s="18">
        <v>25</v>
      </c>
      <c r="E244" s="101">
        <f t="shared" ref="E244" si="479">E240</f>
        <v>2</v>
      </c>
      <c r="F244" s="101">
        <f t="shared" ref="F244" si="480">F240+2</f>
        <v>148</v>
      </c>
      <c r="G244" s="104" t="str">
        <f t="shared" si="397"/>
        <v/>
      </c>
      <c r="H244" s="43">
        <v>3000</v>
      </c>
      <c r="I244" s="43">
        <v>3</v>
      </c>
      <c r="J244" s="43">
        <v>4</v>
      </c>
      <c r="K244" s="100" t="str">
        <f t="shared" ref="K244" si="481">K241</f>
        <v>301,302,303,304</v>
      </c>
      <c r="L244" s="32">
        <v>5832</v>
      </c>
      <c r="M244" s="32">
        <v>121</v>
      </c>
      <c r="N244" s="32">
        <v>55</v>
      </c>
      <c r="O244" s="32">
        <v>195</v>
      </c>
      <c r="P244" s="32">
        <v>6.5</v>
      </c>
      <c r="Q244" s="32">
        <v>1000</v>
      </c>
      <c r="R244" s="32">
        <v>50</v>
      </c>
      <c r="S244" s="32">
        <v>350</v>
      </c>
      <c r="T244" s="32">
        <v>3668</v>
      </c>
      <c r="U244" s="32">
        <v>131</v>
      </c>
      <c r="V244" s="32">
        <v>35</v>
      </c>
      <c r="W244" s="32">
        <v>214</v>
      </c>
      <c r="X244" s="32">
        <v>7.15</v>
      </c>
      <c r="Y244" s="32">
        <v>800</v>
      </c>
      <c r="Z244" s="32">
        <v>50</v>
      </c>
      <c r="AA244" s="32">
        <v>350</v>
      </c>
      <c r="AC244" s="18"/>
    </row>
    <row r="245" spans="2:29">
      <c r="B245" s="14">
        <v>239</v>
      </c>
      <c r="C245" s="18">
        <v>25</v>
      </c>
      <c r="D245" s="43">
        <v>5.72</v>
      </c>
      <c r="E245" s="101">
        <f t="shared" ref="E245" si="482">E241</f>
        <v>3</v>
      </c>
      <c r="F245" s="101">
        <f t="shared" ref="F245" si="483">INT(D245)</f>
        <v>5</v>
      </c>
      <c r="G245" s="104" t="str">
        <f t="shared" si="397"/>
        <v>301,302,303,304</v>
      </c>
      <c r="H245" s="43">
        <v>3000</v>
      </c>
      <c r="I245" s="43">
        <v>1</v>
      </c>
      <c r="J245" s="43">
        <v>8100</v>
      </c>
      <c r="K245" s="101"/>
      <c r="L245" s="32">
        <v>5832</v>
      </c>
      <c r="M245" s="32">
        <v>121</v>
      </c>
      <c r="N245" s="32">
        <v>55</v>
      </c>
      <c r="O245" s="32">
        <v>195</v>
      </c>
      <c r="P245" s="32">
        <v>6.5</v>
      </c>
      <c r="Q245" s="32">
        <v>1000</v>
      </c>
      <c r="R245" s="32">
        <v>50</v>
      </c>
      <c r="S245" s="32">
        <v>350</v>
      </c>
      <c r="T245" s="32">
        <v>3668</v>
      </c>
      <c r="U245" s="32">
        <v>131</v>
      </c>
      <c r="V245" s="32">
        <v>35</v>
      </c>
      <c r="W245" s="32">
        <v>214</v>
      </c>
      <c r="X245" s="32">
        <v>7.15</v>
      </c>
      <c r="Y245" s="32">
        <v>800</v>
      </c>
      <c r="Z245" s="32">
        <v>50</v>
      </c>
      <c r="AA245" s="32">
        <v>350</v>
      </c>
      <c r="AC245" s="18"/>
    </row>
    <row r="246" spans="2:29">
      <c r="B246" s="14">
        <v>240</v>
      </c>
      <c r="C246" s="18">
        <v>25</v>
      </c>
      <c r="D246" s="43"/>
      <c r="E246" s="101">
        <f t="shared" ref="E246:F246" si="484">E242</f>
        <v>4</v>
      </c>
      <c r="F246" s="101">
        <f t="shared" si="484"/>
        <v>1</v>
      </c>
      <c r="G246" s="104" t="str">
        <f t="shared" si="397"/>
        <v>111,110,109,108,107,106,105,104,103,102,101</v>
      </c>
      <c r="H246" s="43">
        <v>3000</v>
      </c>
      <c r="I246" s="43">
        <v>2</v>
      </c>
      <c r="J246" s="43">
        <v>425</v>
      </c>
      <c r="K246" s="101"/>
      <c r="L246" s="32">
        <v>5832</v>
      </c>
      <c r="M246" s="32">
        <v>121</v>
      </c>
      <c r="N246" s="32">
        <v>55</v>
      </c>
      <c r="O246" s="32">
        <v>195</v>
      </c>
      <c r="P246" s="32">
        <v>6.5</v>
      </c>
      <c r="Q246" s="32">
        <v>1000</v>
      </c>
      <c r="R246" s="32">
        <v>50</v>
      </c>
      <c r="S246" s="32">
        <v>350</v>
      </c>
      <c r="T246" s="32">
        <v>3668</v>
      </c>
      <c r="U246" s="32">
        <v>131</v>
      </c>
      <c r="V246" s="32">
        <v>35</v>
      </c>
      <c r="W246" s="32">
        <v>214</v>
      </c>
      <c r="X246" s="32">
        <v>7.15</v>
      </c>
      <c r="Y246" s="32">
        <v>800</v>
      </c>
      <c r="Z246" s="32">
        <v>50</v>
      </c>
      <c r="AA246" s="32">
        <v>350</v>
      </c>
      <c r="AC246" s="18"/>
    </row>
    <row r="247" spans="2:29">
      <c r="B247" s="14">
        <v>241</v>
      </c>
      <c r="C247" s="18">
        <v>25</v>
      </c>
      <c r="D247" s="43"/>
      <c r="E247" s="101">
        <f t="shared" ref="E247" si="485">E243</f>
        <v>1</v>
      </c>
      <c r="F247" s="101">
        <f t="shared" ref="F247" si="486">F243+10</f>
        <v>800</v>
      </c>
      <c r="G247" s="104" t="str">
        <f t="shared" si="397"/>
        <v/>
      </c>
      <c r="H247" s="43">
        <v>3000</v>
      </c>
      <c r="I247" s="43">
        <v>3</v>
      </c>
      <c r="J247" s="43">
        <v>4</v>
      </c>
      <c r="K247" s="100" t="str">
        <f t="shared" ref="K247" si="487">K244</f>
        <v>301,302,303,304</v>
      </c>
      <c r="L247" s="32">
        <v>5832</v>
      </c>
      <c r="M247" s="32">
        <v>121</v>
      </c>
      <c r="N247" s="32">
        <v>55</v>
      </c>
      <c r="O247" s="32">
        <v>195</v>
      </c>
      <c r="P247" s="32">
        <v>6.5</v>
      </c>
      <c r="Q247" s="32">
        <v>1000</v>
      </c>
      <c r="R247" s="32">
        <v>50</v>
      </c>
      <c r="S247" s="32">
        <v>350</v>
      </c>
      <c r="T247" s="32">
        <v>3668</v>
      </c>
      <c r="U247" s="32">
        <v>131</v>
      </c>
      <c r="V247" s="32">
        <v>35</v>
      </c>
      <c r="W247" s="32">
        <v>214</v>
      </c>
      <c r="X247" s="32">
        <v>7.15</v>
      </c>
      <c r="Y247" s="32">
        <v>800</v>
      </c>
      <c r="Z247" s="32">
        <v>50</v>
      </c>
      <c r="AA247" s="32">
        <v>350</v>
      </c>
      <c r="AC247" s="18"/>
    </row>
    <row r="248" spans="2:29">
      <c r="B248" s="14">
        <v>242</v>
      </c>
      <c r="C248" s="18">
        <v>25</v>
      </c>
      <c r="D248" s="43"/>
      <c r="E248" s="101">
        <f t="shared" ref="E248" si="488">E244</f>
        <v>2</v>
      </c>
      <c r="F248" s="101">
        <f t="shared" ref="F248" si="489">F244+2</f>
        <v>150</v>
      </c>
      <c r="G248" s="104" t="str">
        <f t="shared" si="397"/>
        <v/>
      </c>
      <c r="H248" s="43">
        <v>3000</v>
      </c>
      <c r="I248" s="43">
        <v>1</v>
      </c>
      <c r="J248" s="43">
        <v>8200</v>
      </c>
      <c r="K248" s="101"/>
      <c r="L248" s="32">
        <v>5832</v>
      </c>
      <c r="M248" s="32">
        <v>121</v>
      </c>
      <c r="N248" s="32">
        <v>55</v>
      </c>
      <c r="O248" s="32">
        <v>195</v>
      </c>
      <c r="P248" s="32">
        <v>6.5</v>
      </c>
      <c r="Q248" s="32">
        <v>1000</v>
      </c>
      <c r="R248" s="32">
        <v>50</v>
      </c>
      <c r="S248" s="32">
        <v>350</v>
      </c>
      <c r="T248" s="32">
        <v>3668</v>
      </c>
      <c r="U248" s="32">
        <v>131</v>
      </c>
      <c r="V248" s="32">
        <v>35</v>
      </c>
      <c r="W248" s="32">
        <v>214</v>
      </c>
      <c r="X248" s="32">
        <v>7.15</v>
      </c>
      <c r="Y248" s="32">
        <v>800</v>
      </c>
      <c r="Z248" s="32">
        <v>50</v>
      </c>
      <c r="AA248" s="32">
        <v>350</v>
      </c>
      <c r="AC248" s="18"/>
    </row>
    <row r="249" spans="2:29">
      <c r="B249" s="14">
        <v>243</v>
      </c>
      <c r="C249" s="18">
        <v>25</v>
      </c>
      <c r="D249" s="43">
        <v>5.8</v>
      </c>
      <c r="E249" s="101">
        <f t="shared" ref="E249" si="490">E245</f>
        <v>3</v>
      </c>
      <c r="F249" s="101">
        <f t="shared" ref="F249" si="491">INT(D249)</f>
        <v>5</v>
      </c>
      <c r="G249" s="104" t="str">
        <f t="shared" si="397"/>
        <v>301,302,303,304</v>
      </c>
      <c r="H249" s="43">
        <v>3000</v>
      </c>
      <c r="I249" s="43">
        <v>2</v>
      </c>
      <c r="J249" s="43">
        <v>430</v>
      </c>
      <c r="K249" s="101"/>
      <c r="L249" s="32">
        <v>5832</v>
      </c>
      <c r="M249" s="32">
        <v>121</v>
      </c>
      <c r="N249" s="32">
        <v>55</v>
      </c>
      <c r="O249" s="32">
        <v>195</v>
      </c>
      <c r="P249" s="32">
        <v>6.5</v>
      </c>
      <c r="Q249" s="32">
        <v>1000</v>
      </c>
      <c r="R249" s="32">
        <v>50</v>
      </c>
      <c r="S249" s="32">
        <v>350</v>
      </c>
      <c r="T249" s="32">
        <v>3668</v>
      </c>
      <c r="U249" s="32">
        <v>131</v>
      </c>
      <c r="V249" s="32">
        <v>35</v>
      </c>
      <c r="W249" s="32">
        <v>214</v>
      </c>
      <c r="X249" s="32">
        <v>7.15</v>
      </c>
      <c r="Y249" s="32">
        <v>800</v>
      </c>
      <c r="Z249" s="32">
        <v>50</v>
      </c>
      <c r="AA249" s="32">
        <v>350</v>
      </c>
      <c r="AC249" s="18"/>
    </row>
    <row r="250" spans="2:29">
      <c r="B250" s="14">
        <v>244</v>
      </c>
      <c r="C250" s="18">
        <v>25</v>
      </c>
      <c r="D250" s="43"/>
      <c r="E250" s="101">
        <f t="shared" ref="E250:F250" si="492">E246</f>
        <v>4</v>
      </c>
      <c r="F250" s="101">
        <f t="shared" si="492"/>
        <v>1</v>
      </c>
      <c r="G250" s="104" t="str">
        <f t="shared" si="397"/>
        <v>111,110,109,108,107,106,105,104,103,102,101</v>
      </c>
      <c r="H250" s="43">
        <v>3000</v>
      </c>
      <c r="I250" s="43">
        <v>3</v>
      </c>
      <c r="J250" s="43">
        <v>5</v>
      </c>
      <c r="K250" s="100" t="str">
        <f t="shared" ref="K250" si="493">K247</f>
        <v>301,302,303,304</v>
      </c>
      <c r="L250" s="32">
        <v>5832</v>
      </c>
      <c r="M250" s="32">
        <v>121</v>
      </c>
      <c r="N250" s="32">
        <v>55</v>
      </c>
      <c r="O250" s="32">
        <v>195</v>
      </c>
      <c r="P250" s="32">
        <v>6.5</v>
      </c>
      <c r="Q250" s="32">
        <v>1000</v>
      </c>
      <c r="R250" s="32">
        <v>50</v>
      </c>
      <c r="S250" s="32">
        <v>350</v>
      </c>
      <c r="T250" s="32">
        <v>3668</v>
      </c>
      <c r="U250" s="32">
        <v>131</v>
      </c>
      <c r="V250" s="32">
        <v>35</v>
      </c>
      <c r="W250" s="32">
        <v>214</v>
      </c>
      <c r="X250" s="32">
        <v>7.15</v>
      </c>
      <c r="Y250" s="32">
        <v>800</v>
      </c>
      <c r="Z250" s="32">
        <v>50</v>
      </c>
      <c r="AA250" s="32">
        <v>350</v>
      </c>
      <c r="AC250" s="18"/>
    </row>
    <row r="251" spans="2:29">
      <c r="B251" s="14">
        <v>245</v>
      </c>
      <c r="C251" s="18">
        <v>25</v>
      </c>
      <c r="D251" s="43"/>
      <c r="E251" s="101">
        <f t="shared" ref="E251" si="494">E247</f>
        <v>1</v>
      </c>
      <c r="F251" s="101">
        <f t="shared" ref="F251" si="495">F247+10</f>
        <v>810</v>
      </c>
      <c r="G251" s="104" t="str">
        <f t="shared" si="397"/>
        <v/>
      </c>
      <c r="H251" s="43">
        <v>3000</v>
      </c>
      <c r="I251" s="43">
        <v>1</v>
      </c>
      <c r="J251" s="43">
        <v>8300</v>
      </c>
      <c r="K251" s="101"/>
      <c r="L251" s="32">
        <v>5832</v>
      </c>
      <c r="M251" s="32">
        <v>121</v>
      </c>
      <c r="N251" s="32">
        <v>55</v>
      </c>
      <c r="O251" s="32">
        <v>195</v>
      </c>
      <c r="P251" s="32">
        <v>6.5</v>
      </c>
      <c r="Q251" s="32">
        <v>1000</v>
      </c>
      <c r="R251" s="32">
        <v>50</v>
      </c>
      <c r="S251" s="32">
        <v>350</v>
      </c>
      <c r="T251" s="32">
        <v>3668</v>
      </c>
      <c r="U251" s="32">
        <v>131</v>
      </c>
      <c r="V251" s="32">
        <v>35</v>
      </c>
      <c r="W251" s="32">
        <v>214</v>
      </c>
      <c r="X251" s="32">
        <v>7.15</v>
      </c>
      <c r="Y251" s="32">
        <v>800</v>
      </c>
      <c r="Z251" s="32">
        <v>50</v>
      </c>
      <c r="AA251" s="32">
        <v>350</v>
      </c>
      <c r="AC251" s="18"/>
    </row>
    <row r="252" spans="2:29">
      <c r="B252" s="14">
        <v>246</v>
      </c>
      <c r="C252" s="18">
        <v>25</v>
      </c>
      <c r="E252" s="101">
        <f t="shared" ref="E252" si="496">E248</f>
        <v>2</v>
      </c>
      <c r="F252" s="101">
        <f t="shared" ref="F252" si="497">F248+2</f>
        <v>152</v>
      </c>
      <c r="G252" s="104" t="str">
        <f t="shared" si="397"/>
        <v/>
      </c>
      <c r="H252" s="43">
        <v>3000</v>
      </c>
      <c r="I252" s="43">
        <v>2</v>
      </c>
      <c r="J252" s="43">
        <v>435</v>
      </c>
      <c r="K252" s="101"/>
      <c r="L252" s="32">
        <v>5832</v>
      </c>
      <c r="M252" s="32">
        <v>121</v>
      </c>
      <c r="N252" s="32">
        <v>55</v>
      </c>
      <c r="O252" s="32">
        <v>195</v>
      </c>
      <c r="P252" s="32">
        <v>6.5</v>
      </c>
      <c r="Q252" s="32">
        <v>1000</v>
      </c>
      <c r="R252" s="32">
        <v>50</v>
      </c>
      <c r="S252" s="32">
        <v>350</v>
      </c>
      <c r="T252" s="32">
        <v>3668</v>
      </c>
      <c r="U252" s="32">
        <v>131</v>
      </c>
      <c r="V252" s="32">
        <v>35</v>
      </c>
      <c r="W252" s="32">
        <v>214</v>
      </c>
      <c r="X252" s="32">
        <v>7.15</v>
      </c>
      <c r="Y252" s="32">
        <v>800</v>
      </c>
      <c r="Z252" s="32">
        <v>50</v>
      </c>
      <c r="AA252" s="32">
        <v>350</v>
      </c>
      <c r="AC252" s="18"/>
    </row>
    <row r="253" spans="2:29">
      <c r="B253" s="14">
        <v>247</v>
      </c>
      <c r="C253" s="18">
        <v>25</v>
      </c>
      <c r="D253" s="43">
        <v>5.88</v>
      </c>
      <c r="E253" s="101">
        <f t="shared" ref="E253" si="498">E249</f>
        <v>3</v>
      </c>
      <c r="F253" s="101">
        <f t="shared" ref="F253" si="499">INT(D253)</f>
        <v>5</v>
      </c>
      <c r="G253" s="104" t="str">
        <f t="shared" si="397"/>
        <v>301,302,303,304</v>
      </c>
      <c r="H253" s="43">
        <v>3000</v>
      </c>
      <c r="I253" s="43">
        <v>3</v>
      </c>
      <c r="J253" s="43">
        <v>5</v>
      </c>
      <c r="K253" s="100" t="str">
        <f t="shared" ref="K253" si="500">K250</f>
        <v>301,302,303,304</v>
      </c>
      <c r="L253" s="32">
        <v>5832</v>
      </c>
      <c r="M253" s="32">
        <v>121</v>
      </c>
      <c r="N253" s="32">
        <v>55</v>
      </c>
      <c r="O253" s="32">
        <v>195</v>
      </c>
      <c r="P253" s="32">
        <v>6.5</v>
      </c>
      <c r="Q253" s="32">
        <v>1000</v>
      </c>
      <c r="R253" s="32">
        <v>50</v>
      </c>
      <c r="S253" s="32">
        <v>350</v>
      </c>
      <c r="T253" s="32">
        <v>3668</v>
      </c>
      <c r="U253" s="32">
        <v>131</v>
      </c>
      <c r="V253" s="32">
        <v>35</v>
      </c>
      <c r="W253" s="32">
        <v>214</v>
      </c>
      <c r="X253" s="32">
        <v>7.15</v>
      </c>
      <c r="Y253" s="32">
        <v>800</v>
      </c>
      <c r="Z253" s="32">
        <v>50</v>
      </c>
      <c r="AA253" s="32">
        <v>350</v>
      </c>
      <c r="AC253" s="18"/>
    </row>
    <row r="254" spans="2:29">
      <c r="B254" s="14">
        <v>248</v>
      </c>
      <c r="C254" s="18">
        <v>25</v>
      </c>
      <c r="D254" s="43"/>
      <c r="E254" s="101">
        <f t="shared" ref="E254:F254" si="501">E250</f>
        <v>4</v>
      </c>
      <c r="F254" s="101">
        <f t="shared" si="501"/>
        <v>1</v>
      </c>
      <c r="G254" s="104" t="str">
        <f t="shared" si="397"/>
        <v>111,110,109,108,107,106,105,104,103,102,101</v>
      </c>
      <c r="H254" s="43">
        <v>3000</v>
      </c>
      <c r="I254" s="43">
        <v>1</v>
      </c>
      <c r="J254" s="43">
        <v>8400</v>
      </c>
      <c r="K254" s="101"/>
      <c r="L254" s="32">
        <v>5832</v>
      </c>
      <c r="M254" s="32">
        <v>121</v>
      </c>
      <c r="N254" s="32">
        <v>55</v>
      </c>
      <c r="O254" s="32">
        <v>195</v>
      </c>
      <c r="P254" s="32">
        <v>6.5</v>
      </c>
      <c r="Q254" s="32">
        <v>1000</v>
      </c>
      <c r="R254" s="32">
        <v>50</v>
      </c>
      <c r="S254" s="32">
        <v>350</v>
      </c>
      <c r="T254" s="32">
        <v>3668</v>
      </c>
      <c r="U254" s="32">
        <v>131</v>
      </c>
      <c r="V254" s="32">
        <v>35</v>
      </c>
      <c r="W254" s="32">
        <v>214</v>
      </c>
      <c r="X254" s="32">
        <v>7.15</v>
      </c>
      <c r="Y254" s="32">
        <v>800</v>
      </c>
      <c r="Z254" s="32">
        <v>50</v>
      </c>
      <c r="AA254" s="32">
        <v>350</v>
      </c>
      <c r="AC254" s="18"/>
    </row>
    <row r="255" spans="2:29">
      <c r="B255" s="14">
        <v>249</v>
      </c>
      <c r="C255" s="18">
        <v>25</v>
      </c>
      <c r="D255" s="43"/>
      <c r="E255" s="101">
        <f t="shared" ref="E255" si="502">E251</f>
        <v>1</v>
      </c>
      <c r="F255" s="101">
        <f t="shared" ref="F255" si="503">F251+10</f>
        <v>820</v>
      </c>
      <c r="G255" s="104" t="str">
        <f t="shared" si="397"/>
        <v/>
      </c>
      <c r="H255" s="43">
        <v>3000</v>
      </c>
      <c r="I255" s="43">
        <v>2</v>
      </c>
      <c r="J255" s="43">
        <v>440</v>
      </c>
      <c r="K255" s="101"/>
      <c r="L255" s="32">
        <v>5832</v>
      </c>
      <c r="M255" s="32">
        <v>121</v>
      </c>
      <c r="N255" s="32">
        <v>55</v>
      </c>
      <c r="O255" s="32">
        <v>195</v>
      </c>
      <c r="P255" s="32">
        <v>6.5</v>
      </c>
      <c r="Q255" s="32">
        <v>1000</v>
      </c>
      <c r="R255" s="32">
        <v>50</v>
      </c>
      <c r="S255" s="32">
        <v>350</v>
      </c>
      <c r="T255" s="32">
        <v>3668</v>
      </c>
      <c r="U255" s="32">
        <v>131</v>
      </c>
      <c r="V255" s="32">
        <v>35</v>
      </c>
      <c r="W255" s="32">
        <v>214</v>
      </c>
      <c r="X255" s="32">
        <v>7.15</v>
      </c>
      <c r="Y255" s="32">
        <v>800</v>
      </c>
      <c r="Z255" s="32">
        <v>50</v>
      </c>
      <c r="AA255" s="32">
        <v>350</v>
      </c>
      <c r="AC255" s="18"/>
    </row>
    <row r="256" spans="2:29">
      <c r="B256" s="14">
        <v>250</v>
      </c>
      <c r="C256" s="18">
        <v>25</v>
      </c>
      <c r="D256" s="43"/>
      <c r="E256" s="101">
        <f t="shared" ref="E256" si="504">E252</f>
        <v>2</v>
      </c>
      <c r="F256" s="101">
        <f t="shared" ref="F256" si="505">F252+2</f>
        <v>154</v>
      </c>
      <c r="G256" s="104" t="str">
        <f t="shared" si="397"/>
        <v/>
      </c>
      <c r="H256" s="43">
        <v>3000</v>
      </c>
      <c r="I256" s="43">
        <v>3</v>
      </c>
      <c r="J256" s="43">
        <v>5</v>
      </c>
      <c r="K256" s="100" t="str">
        <f t="shared" ref="K256" si="506">K253</f>
        <v>301,302,303,304</v>
      </c>
      <c r="L256" s="32">
        <v>5832</v>
      </c>
      <c r="M256" s="32">
        <v>121</v>
      </c>
      <c r="N256" s="32">
        <v>55</v>
      </c>
      <c r="O256" s="32">
        <v>195</v>
      </c>
      <c r="P256" s="32">
        <v>6.5</v>
      </c>
      <c r="Q256" s="32">
        <v>1000</v>
      </c>
      <c r="R256" s="32">
        <v>50</v>
      </c>
      <c r="S256" s="32">
        <v>350</v>
      </c>
      <c r="T256" s="32">
        <v>3668</v>
      </c>
      <c r="U256" s="32">
        <v>131</v>
      </c>
      <c r="V256" s="32">
        <v>35</v>
      </c>
      <c r="W256" s="32">
        <v>214</v>
      </c>
      <c r="X256" s="32">
        <v>7.15</v>
      </c>
      <c r="Y256" s="32">
        <v>800</v>
      </c>
      <c r="Z256" s="32">
        <v>50</v>
      </c>
      <c r="AA256" s="32">
        <v>350</v>
      </c>
      <c r="AC256" s="18"/>
    </row>
    <row r="257" spans="2:29">
      <c r="B257" s="14">
        <v>251</v>
      </c>
      <c r="C257" s="18">
        <v>25</v>
      </c>
      <c r="D257" s="43">
        <v>5.96</v>
      </c>
      <c r="E257" s="101">
        <f t="shared" ref="E257" si="507">E253</f>
        <v>3</v>
      </c>
      <c r="F257" s="101">
        <f t="shared" ref="F257" si="508">INT(D257)</f>
        <v>5</v>
      </c>
      <c r="G257" s="104" t="str">
        <f t="shared" si="397"/>
        <v>301,302,303,304</v>
      </c>
      <c r="H257" s="43">
        <v>3000</v>
      </c>
      <c r="I257" s="43">
        <v>1</v>
      </c>
      <c r="J257" s="43">
        <v>8500</v>
      </c>
      <c r="K257" s="101"/>
      <c r="L257" s="32">
        <v>5832</v>
      </c>
      <c r="M257" s="32">
        <v>121</v>
      </c>
      <c r="N257" s="32">
        <v>55</v>
      </c>
      <c r="O257" s="32">
        <v>195</v>
      </c>
      <c r="P257" s="32">
        <v>6.5</v>
      </c>
      <c r="Q257" s="32">
        <v>1000</v>
      </c>
      <c r="R257" s="32">
        <v>50</v>
      </c>
      <c r="S257" s="32">
        <v>350</v>
      </c>
      <c r="T257" s="32">
        <v>3668</v>
      </c>
      <c r="U257" s="32">
        <v>131</v>
      </c>
      <c r="V257" s="32">
        <v>35</v>
      </c>
      <c r="W257" s="32">
        <v>214</v>
      </c>
      <c r="X257" s="32">
        <v>7.15</v>
      </c>
      <c r="Y257" s="32">
        <v>800</v>
      </c>
      <c r="Z257" s="32">
        <v>50</v>
      </c>
      <c r="AA257" s="32">
        <v>350</v>
      </c>
      <c r="AC257" s="18"/>
    </row>
    <row r="258" spans="2:29">
      <c r="B258" s="14">
        <v>252</v>
      </c>
      <c r="C258" s="18">
        <v>25</v>
      </c>
      <c r="D258" s="43"/>
      <c r="E258" s="101">
        <f t="shared" ref="E258:F258" si="509">E254</f>
        <v>4</v>
      </c>
      <c r="F258" s="101">
        <f t="shared" si="509"/>
        <v>1</v>
      </c>
      <c r="G258" s="104" t="str">
        <f t="shared" si="397"/>
        <v>111,110,109,108,107,106,105,104,103,102,101</v>
      </c>
      <c r="H258" s="43">
        <v>3000</v>
      </c>
      <c r="I258" s="43">
        <v>2</v>
      </c>
      <c r="J258" s="43">
        <v>445</v>
      </c>
      <c r="K258" s="101"/>
      <c r="L258" s="32">
        <v>5832</v>
      </c>
      <c r="M258" s="32">
        <v>121</v>
      </c>
      <c r="N258" s="32">
        <v>55</v>
      </c>
      <c r="O258" s="32">
        <v>195</v>
      </c>
      <c r="P258" s="32">
        <v>6.5</v>
      </c>
      <c r="Q258" s="32">
        <v>1000</v>
      </c>
      <c r="R258" s="32">
        <v>50</v>
      </c>
      <c r="S258" s="32">
        <v>350</v>
      </c>
      <c r="T258" s="32">
        <v>3668</v>
      </c>
      <c r="U258" s="32">
        <v>131</v>
      </c>
      <c r="V258" s="32">
        <v>35</v>
      </c>
      <c r="W258" s="32">
        <v>214</v>
      </c>
      <c r="X258" s="32">
        <v>7.15</v>
      </c>
      <c r="Y258" s="32">
        <v>800</v>
      </c>
      <c r="Z258" s="32">
        <v>50</v>
      </c>
      <c r="AA258" s="32">
        <v>350</v>
      </c>
      <c r="AC258" s="18"/>
    </row>
    <row r="259" spans="2:29">
      <c r="B259" s="14">
        <v>253</v>
      </c>
      <c r="C259" s="18">
        <v>25</v>
      </c>
      <c r="D259" s="43"/>
      <c r="E259" s="101">
        <f t="shared" ref="E259" si="510">E255</f>
        <v>1</v>
      </c>
      <c r="F259" s="101">
        <f t="shared" ref="F259" si="511">F255+10</f>
        <v>830</v>
      </c>
      <c r="G259" s="104" t="str">
        <f t="shared" si="397"/>
        <v/>
      </c>
      <c r="H259" s="43">
        <v>3000</v>
      </c>
      <c r="I259" s="43">
        <v>3</v>
      </c>
      <c r="J259" s="43">
        <v>5</v>
      </c>
      <c r="K259" s="100" t="str">
        <f t="shared" ref="K259" si="512">K256</f>
        <v>301,302,303,304</v>
      </c>
      <c r="L259" s="32">
        <v>5832</v>
      </c>
      <c r="M259" s="32">
        <v>121</v>
      </c>
      <c r="N259" s="32">
        <v>55</v>
      </c>
      <c r="O259" s="32">
        <v>195</v>
      </c>
      <c r="P259" s="32">
        <v>6.5</v>
      </c>
      <c r="Q259" s="32">
        <v>1000</v>
      </c>
      <c r="R259" s="32">
        <v>50</v>
      </c>
      <c r="S259" s="32">
        <v>350</v>
      </c>
      <c r="T259" s="32">
        <v>3668</v>
      </c>
      <c r="U259" s="32">
        <v>131</v>
      </c>
      <c r="V259" s="32">
        <v>35</v>
      </c>
      <c r="W259" s="32">
        <v>214</v>
      </c>
      <c r="X259" s="32">
        <v>7.15</v>
      </c>
      <c r="Y259" s="32">
        <v>800</v>
      </c>
      <c r="Z259" s="32">
        <v>50</v>
      </c>
      <c r="AA259" s="32">
        <v>350</v>
      </c>
      <c r="AC259" s="18"/>
    </row>
    <row r="260" spans="2:29">
      <c r="B260" s="14">
        <v>254</v>
      </c>
      <c r="C260" s="18">
        <v>25</v>
      </c>
      <c r="E260" s="101">
        <f t="shared" ref="E260" si="513">E256</f>
        <v>2</v>
      </c>
      <c r="F260" s="101">
        <f t="shared" ref="F260" si="514">F256+2</f>
        <v>156</v>
      </c>
      <c r="G260" s="104" t="str">
        <f t="shared" si="397"/>
        <v/>
      </c>
      <c r="H260" s="43">
        <v>3000</v>
      </c>
      <c r="I260" s="43">
        <v>1</v>
      </c>
      <c r="J260" s="43">
        <v>8600</v>
      </c>
      <c r="K260" s="101"/>
      <c r="L260" s="32">
        <v>5832</v>
      </c>
      <c r="M260" s="32">
        <v>121</v>
      </c>
      <c r="N260" s="32">
        <v>55</v>
      </c>
      <c r="O260" s="32">
        <v>195</v>
      </c>
      <c r="P260" s="32">
        <v>6.5</v>
      </c>
      <c r="Q260" s="32">
        <v>1000</v>
      </c>
      <c r="R260" s="32">
        <v>50</v>
      </c>
      <c r="S260" s="32">
        <v>350</v>
      </c>
      <c r="T260" s="32">
        <v>3668</v>
      </c>
      <c r="U260" s="32">
        <v>131</v>
      </c>
      <c r="V260" s="32">
        <v>35</v>
      </c>
      <c r="W260" s="32">
        <v>214</v>
      </c>
      <c r="X260" s="32">
        <v>7.15</v>
      </c>
      <c r="Y260" s="32">
        <v>800</v>
      </c>
      <c r="Z260" s="32">
        <v>50</v>
      </c>
      <c r="AA260" s="32">
        <v>350</v>
      </c>
      <c r="AC260" s="18"/>
    </row>
    <row r="261" spans="2:29">
      <c r="B261" s="14">
        <v>255</v>
      </c>
      <c r="C261" s="18">
        <v>25</v>
      </c>
      <c r="D261" s="43">
        <v>6.04</v>
      </c>
      <c r="E261" s="101">
        <f t="shared" ref="E261" si="515">E257</f>
        <v>3</v>
      </c>
      <c r="F261" s="101">
        <f t="shared" ref="F261" si="516">INT(D261)</f>
        <v>6</v>
      </c>
      <c r="G261" s="104" t="str">
        <f t="shared" si="397"/>
        <v>301,302,303,304</v>
      </c>
      <c r="H261" s="43">
        <v>3000</v>
      </c>
      <c r="I261" s="43">
        <v>2</v>
      </c>
      <c r="J261" s="43">
        <v>450</v>
      </c>
      <c r="K261" s="101"/>
      <c r="L261" s="32">
        <v>5832</v>
      </c>
      <c r="M261" s="32">
        <v>121</v>
      </c>
      <c r="N261" s="32">
        <v>55</v>
      </c>
      <c r="O261" s="32">
        <v>195</v>
      </c>
      <c r="P261" s="32">
        <v>6.5</v>
      </c>
      <c r="Q261" s="32">
        <v>1000</v>
      </c>
      <c r="R261" s="32">
        <v>50</v>
      </c>
      <c r="S261" s="32">
        <v>350</v>
      </c>
      <c r="T261" s="32">
        <v>3668</v>
      </c>
      <c r="U261" s="32">
        <v>131</v>
      </c>
      <c r="V261" s="32">
        <v>35</v>
      </c>
      <c r="W261" s="32">
        <v>214</v>
      </c>
      <c r="X261" s="32">
        <v>7.15</v>
      </c>
      <c r="Y261" s="32">
        <v>800</v>
      </c>
      <c r="Z261" s="32">
        <v>50</v>
      </c>
      <c r="AA261" s="32">
        <v>350</v>
      </c>
      <c r="AC261" s="18"/>
    </row>
    <row r="262" spans="2:29">
      <c r="B262" s="14">
        <v>256</v>
      </c>
      <c r="C262" s="18">
        <v>25</v>
      </c>
      <c r="D262" s="43"/>
      <c r="E262" s="101">
        <f t="shared" ref="E262:F262" si="517">E258</f>
        <v>4</v>
      </c>
      <c r="F262" s="101">
        <f t="shared" si="517"/>
        <v>1</v>
      </c>
      <c r="G262" s="104" t="str">
        <f t="shared" si="397"/>
        <v>111,110,109,108,107,106,105,104,103,102,101</v>
      </c>
      <c r="H262" s="43">
        <v>3000</v>
      </c>
      <c r="I262" s="43">
        <v>3</v>
      </c>
      <c r="J262" s="43">
        <v>5</v>
      </c>
      <c r="K262" s="100" t="str">
        <f t="shared" ref="K262" si="518">K259</f>
        <v>301,302,303,304</v>
      </c>
      <c r="L262" s="32">
        <v>5832</v>
      </c>
      <c r="M262" s="32">
        <v>121</v>
      </c>
      <c r="N262" s="32">
        <v>55</v>
      </c>
      <c r="O262" s="32">
        <v>195</v>
      </c>
      <c r="P262" s="32">
        <v>6.5</v>
      </c>
      <c r="Q262" s="32">
        <v>1000</v>
      </c>
      <c r="R262" s="32">
        <v>50</v>
      </c>
      <c r="S262" s="32">
        <v>350</v>
      </c>
      <c r="T262" s="32">
        <v>3668</v>
      </c>
      <c r="U262" s="32">
        <v>131</v>
      </c>
      <c r="V262" s="32">
        <v>35</v>
      </c>
      <c r="W262" s="32">
        <v>214</v>
      </c>
      <c r="X262" s="32">
        <v>7.15</v>
      </c>
      <c r="Y262" s="32">
        <v>800</v>
      </c>
      <c r="Z262" s="32">
        <v>50</v>
      </c>
      <c r="AA262" s="32">
        <v>350</v>
      </c>
      <c r="AC262" s="18"/>
    </row>
    <row r="263" spans="2:29">
      <c r="B263" s="14">
        <v>257</v>
      </c>
      <c r="C263" s="18">
        <v>25</v>
      </c>
      <c r="D263" s="43"/>
      <c r="E263" s="101">
        <f t="shared" ref="E263" si="519">E259</f>
        <v>1</v>
      </c>
      <c r="F263" s="101">
        <f t="shared" ref="F263" si="520">F259+10</f>
        <v>840</v>
      </c>
      <c r="G263" s="104" t="str">
        <f t="shared" si="397"/>
        <v/>
      </c>
      <c r="H263" s="43">
        <v>3000</v>
      </c>
      <c r="I263" s="43">
        <v>1</v>
      </c>
      <c r="J263" s="43">
        <v>8700</v>
      </c>
      <c r="K263" s="101"/>
      <c r="L263" s="32">
        <v>5832</v>
      </c>
      <c r="M263" s="32">
        <v>121</v>
      </c>
      <c r="N263" s="32">
        <v>55</v>
      </c>
      <c r="O263" s="32">
        <v>195</v>
      </c>
      <c r="P263" s="32">
        <v>6.5</v>
      </c>
      <c r="Q263" s="32">
        <v>1000</v>
      </c>
      <c r="R263" s="32">
        <v>50</v>
      </c>
      <c r="S263" s="32">
        <v>350</v>
      </c>
      <c r="T263" s="32">
        <v>3668</v>
      </c>
      <c r="U263" s="32">
        <v>131</v>
      </c>
      <c r="V263" s="32">
        <v>35</v>
      </c>
      <c r="W263" s="32">
        <v>214</v>
      </c>
      <c r="X263" s="32">
        <v>7.15</v>
      </c>
      <c r="Y263" s="32">
        <v>800</v>
      </c>
      <c r="Z263" s="32">
        <v>50</v>
      </c>
      <c r="AA263" s="32">
        <v>350</v>
      </c>
      <c r="AC263" s="18"/>
    </row>
    <row r="264" spans="2:29">
      <c r="B264" s="14">
        <v>258</v>
      </c>
      <c r="C264" s="18">
        <v>25</v>
      </c>
      <c r="D264" s="43"/>
      <c r="E264" s="101">
        <f t="shared" ref="E264" si="521">E260</f>
        <v>2</v>
      </c>
      <c r="F264" s="101">
        <f t="shared" ref="F264" si="522">F260+2</f>
        <v>158</v>
      </c>
      <c r="G264" s="104" t="str">
        <f t="shared" si="397"/>
        <v/>
      </c>
      <c r="H264" s="43">
        <v>3000</v>
      </c>
      <c r="I264" s="43">
        <v>2</v>
      </c>
      <c r="J264" s="43">
        <v>455</v>
      </c>
      <c r="K264" s="101"/>
      <c r="L264" s="32">
        <v>5832</v>
      </c>
      <c r="M264" s="32">
        <v>121</v>
      </c>
      <c r="N264" s="32">
        <v>55</v>
      </c>
      <c r="O264" s="32">
        <v>195</v>
      </c>
      <c r="P264" s="32">
        <v>6.5</v>
      </c>
      <c r="Q264" s="32">
        <v>1000</v>
      </c>
      <c r="R264" s="32">
        <v>50</v>
      </c>
      <c r="S264" s="32">
        <v>350</v>
      </c>
      <c r="T264" s="32">
        <v>3668</v>
      </c>
      <c r="U264" s="32">
        <v>131</v>
      </c>
      <c r="V264" s="32">
        <v>35</v>
      </c>
      <c r="W264" s="32">
        <v>214</v>
      </c>
      <c r="X264" s="32">
        <v>7.15</v>
      </c>
      <c r="Y264" s="32">
        <v>800</v>
      </c>
      <c r="Z264" s="32">
        <v>50</v>
      </c>
      <c r="AA264" s="32">
        <v>350</v>
      </c>
      <c r="AC264" s="18"/>
    </row>
    <row r="265" spans="2:29">
      <c r="B265" s="14">
        <v>259</v>
      </c>
      <c r="C265" s="18">
        <v>25</v>
      </c>
      <c r="D265" s="43">
        <v>6.12</v>
      </c>
      <c r="E265" s="101">
        <f t="shared" ref="E265" si="523">E261</f>
        <v>3</v>
      </c>
      <c r="F265" s="101">
        <f t="shared" ref="F265" si="524">INT(D265)</f>
        <v>6</v>
      </c>
      <c r="G265" s="104" t="str">
        <f t="shared" si="397"/>
        <v>301,302,303,304</v>
      </c>
      <c r="H265" s="43">
        <v>3000</v>
      </c>
      <c r="I265" s="43">
        <v>3</v>
      </c>
      <c r="J265" s="43">
        <v>5</v>
      </c>
      <c r="K265" s="100" t="str">
        <f t="shared" ref="K265" si="525">K262</f>
        <v>301,302,303,304</v>
      </c>
      <c r="L265" s="32">
        <v>5832</v>
      </c>
      <c r="M265" s="32">
        <v>121</v>
      </c>
      <c r="N265" s="32">
        <v>55</v>
      </c>
      <c r="O265" s="32">
        <v>195</v>
      </c>
      <c r="P265" s="32">
        <v>6.5</v>
      </c>
      <c r="Q265" s="32">
        <v>1000</v>
      </c>
      <c r="R265" s="32">
        <v>50</v>
      </c>
      <c r="S265" s="32">
        <v>350</v>
      </c>
      <c r="T265" s="32">
        <v>3668</v>
      </c>
      <c r="U265" s="32">
        <v>131</v>
      </c>
      <c r="V265" s="32">
        <v>35</v>
      </c>
      <c r="W265" s="32">
        <v>214</v>
      </c>
      <c r="X265" s="32">
        <v>7.15</v>
      </c>
      <c r="Y265" s="32">
        <v>800</v>
      </c>
      <c r="Z265" s="32">
        <v>50</v>
      </c>
      <c r="AA265" s="32">
        <v>350</v>
      </c>
      <c r="AC265" s="18"/>
    </row>
    <row r="266" spans="2:29">
      <c r="B266" s="14">
        <v>260</v>
      </c>
      <c r="C266" s="18">
        <v>25</v>
      </c>
      <c r="D266" s="43"/>
      <c r="E266" s="101">
        <f t="shared" ref="E266:F266" si="526">E262</f>
        <v>4</v>
      </c>
      <c r="F266" s="101">
        <f t="shared" si="526"/>
        <v>1</v>
      </c>
      <c r="G266" s="104" t="str">
        <f t="shared" si="397"/>
        <v>111,110,109,108,107,106,105,104,103,102,101</v>
      </c>
      <c r="H266" s="43">
        <v>3000</v>
      </c>
      <c r="I266" s="43">
        <v>1</v>
      </c>
      <c r="J266" s="43">
        <v>8800</v>
      </c>
      <c r="K266" s="101"/>
      <c r="L266" s="32">
        <v>5832</v>
      </c>
      <c r="M266" s="32">
        <v>121</v>
      </c>
      <c r="N266" s="32">
        <v>55</v>
      </c>
      <c r="O266" s="32">
        <v>195</v>
      </c>
      <c r="P266" s="32">
        <v>6.5</v>
      </c>
      <c r="Q266" s="32">
        <v>1000</v>
      </c>
      <c r="R266" s="32">
        <v>50</v>
      </c>
      <c r="S266" s="32">
        <v>350</v>
      </c>
      <c r="T266" s="32">
        <v>3668</v>
      </c>
      <c r="U266" s="32">
        <v>131</v>
      </c>
      <c r="V266" s="32">
        <v>35</v>
      </c>
      <c r="W266" s="32">
        <v>214</v>
      </c>
      <c r="X266" s="32">
        <v>7.15</v>
      </c>
      <c r="Y266" s="32">
        <v>800</v>
      </c>
      <c r="Z266" s="32">
        <v>50</v>
      </c>
      <c r="AA266" s="32">
        <v>350</v>
      </c>
      <c r="AC266" s="18"/>
    </row>
    <row r="267" spans="2:29">
      <c r="B267" s="14">
        <v>261</v>
      </c>
      <c r="C267" s="18">
        <v>25</v>
      </c>
      <c r="D267" s="43"/>
      <c r="E267" s="101">
        <f t="shared" ref="E267" si="527">E263</f>
        <v>1</v>
      </c>
      <c r="F267" s="101">
        <f t="shared" ref="F267" si="528">F263+10</f>
        <v>850</v>
      </c>
      <c r="G267" s="104" t="str">
        <f t="shared" si="397"/>
        <v/>
      </c>
      <c r="H267" s="43">
        <v>3000</v>
      </c>
      <c r="I267" s="43">
        <v>2</v>
      </c>
      <c r="J267" s="43">
        <v>460</v>
      </c>
      <c r="K267" s="101"/>
      <c r="L267" s="32">
        <v>5832</v>
      </c>
      <c r="M267" s="32">
        <v>121</v>
      </c>
      <c r="N267" s="32">
        <v>55</v>
      </c>
      <c r="O267" s="32">
        <v>195</v>
      </c>
      <c r="P267" s="32">
        <v>6.5</v>
      </c>
      <c r="Q267" s="32">
        <v>1000</v>
      </c>
      <c r="R267" s="32">
        <v>50</v>
      </c>
      <c r="S267" s="32">
        <v>350</v>
      </c>
      <c r="T267" s="32">
        <v>3668</v>
      </c>
      <c r="U267" s="32">
        <v>131</v>
      </c>
      <c r="V267" s="32">
        <v>35</v>
      </c>
      <c r="W267" s="32">
        <v>214</v>
      </c>
      <c r="X267" s="32">
        <v>7.15</v>
      </c>
      <c r="Y267" s="32">
        <v>800</v>
      </c>
      <c r="Z267" s="32">
        <v>50</v>
      </c>
      <c r="AA267" s="32">
        <v>350</v>
      </c>
      <c r="AC267" s="18"/>
    </row>
    <row r="268" spans="2:29">
      <c r="B268" s="14">
        <v>262</v>
      </c>
      <c r="C268" s="18">
        <v>25</v>
      </c>
      <c r="E268" s="101">
        <f t="shared" ref="E268" si="529">E264</f>
        <v>2</v>
      </c>
      <c r="F268" s="101">
        <f t="shared" ref="F268" si="530">F264+2</f>
        <v>160</v>
      </c>
      <c r="G268" s="104" t="str">
        <f t="shared" ref="G268:G306" si="531">G264</f>
        <v/>
      </c>
      <c r="H268" s="43">
        <v>3000</v>
      </c>
      <c r="I268" s="43">
        <v>3</v>
      </c>
      <c r="J268" s="43">
        <v>5</v>
      </c>
      <c r="K268" s="100" t="str">
        <f t="shared" ref="K268" si="532">K265</f>
        <v>301,302,303,304</v>
      </c>
      <c r="L268" s="32">
        <v>5832</v>
      </c>
      <c r="M268" s="32">
        <v>121</v>
      </c>
      <c r="N268" s="32">
        <v>55</v>
      </c>
      <c r="O268" s="32">
        <v>195</v>
      </c>
      <c r="P268" s="32">
        <v>6.5</v>
      </c>
      <c r="Q268" s="32">
        <v>1000</v>
      </c>
      <c r="R268" s="32">
        <v>50</v>
      </c>
      <c r="S268" s="32">
        <v>350</v>
      </c>
      <c r="T268" s="32">
        <v>3668</v>
      </c>
      <c r="U268" s="32">
        <v>131</v>
      </c>
      <c r="V268" s="32">
        <v>35</v>
      </c>
      <c r="W268" s="32">
        <v>214</v>
      </c>
      <c r="X268" s="32">
        <v>7.15</v>
      </c>
      <c r="Y268" s="32">
        <v>800</v>
      </c>
      <c r="Z268" s="32">
        <v>50</v>
      </c>
      <c r="AA268" s="32">
        <v>350</v>
      </c>
      <c r="AC268" s="18"/>
    </row>
    <row r="269" spans="2:29">
      <c r="B269" s="14">
        <v>263</v>
      </c>
      <c r="C269" s="18">
        <v>25</v>
      </c>
      <c r="D269" s="43">
        <v>6.2</v>
      </c>
      <c r="E269" s="101">
        <f t="shared" ref="E269" si="533">E265</f>
        <v>3</v>
      </c>
      <c r="F269" s="101">
        <f t="shared" ref="F269" si="534">INT(D269)</f>
        <v>6</v>
      </c>
      <c r="G269" s="104" t="str">
        <f t="shared" si="531"/>
        <v>301,302,303,304</v>
      </c>
      <c r="H269" s="43">
        <v>3000</v>
      </c>
      <c r="I269" s="43">
        <v>1</v>
      </c>
      <c r="J269" s="43">
        <v>8900</v>
      </c>
      <c r="K269" s="101"/>
      <c r="L269" s="32">
        <v>5832</v>
      </c>
      <c r="M269" s="32">
        <v>121</v>
      </c>
      <c r="N269" s="32">
        <v>55</v>
      </c>
      <c r="O269" s="32">
        <v>195</v>
      </c>
      <c r="P269" s="32">
        <v>6.5</v>
      </c>
      <c r="Q269" s="32">
        <v>1000</v>
      </c>
      <c r="R269" s="32">
        <v>50</v>
      </c>
      <c r="S269" s="32">
        <v>350</v>
      </c>
      <c r="T269" s="32">
        <v>3668</v>
      </c>
      <c r="U269" s="32">
        <v>131</v>
      </c>
      <c r="V269" s="32">
        <v>35</v>
      </c>
      <c r="W269" s="32">
        <v>214</v>
      </c>
      <c r="X269" s="32">
        <v>7.15</v>
      </c>
      <c r="Y269" s="32">
        <v>800</v>
      </c>
      <c r="Z269" s="32">
        <v>50</v>
      </c>
      <c r="AA269" s="32">
        <v>350</v>
      </c>
      <c r="AC269" s="18"/>
    </row>
    <row r="270" spans="2:29">
      <c r="B270" s="14">
        <v>264</v>
      </c>
      <c r="C270" s="18">
        <v>25</v>
      </c>
      <c r="D270" s="43"/>
      <c r="E270" s="101">
        <f t="shared" ref="E270:F270" si="535">E266</f>
        <v>4</v>
      </c>
      <c r="F270" s="101">
        <f t="shared" si="535"/>
        <v>1</v>
      </c>
      <c r="G270" s="104" t="str">
        <f t="shared" si="531"/>
        <v>111,110,109,108,107,106,105,104,103,102,101</v>
      </c>
      <c r="H270" s="43">
        <v>3000</v>
      </c>
      <c r="I270" s="43">
        <v>2</v>
      </c>
      <c r="J270" s="43">
        <v>465</v>
      </c>
      <c r="K270" s="101"/>
      <c r="L270" s="32">
        <v>5832</v>
      </c>
      <c r="M270" s="32">
        <v>121</v>
      </c>
      <c r="N270" s="32">
        <v>55</v>
      </c>
      <c r="O270" s="32">
        <v>195</v>
      </c>
      <c r="P270" s="32">
        <v>6.5</v>
      </c>
      <c r="Q270" s="32">
        <v>1000</v>
      </c>
      <c r="R270" s="32">
        <v>50</v>
      </c>
      <c r="S270" s="32">
        <v>350</v>
      </c>
      <c r="T270" s="32">
        <v>3668</v>
      </c>
      <c r="U270" s="32">
        <v>131</v>
      </c>
      <c r="V270" s="32">
        <v>35</v>
      </c>
      <c r="W270" s="32">
        <v>214</v>
      </c>
      <c r="X270" s="32">
        <v>7.15</v>
      </c>
      <c r="Y270" s="32">
        <v>800</v>
      </c>
      <c r="Z270" s="32">
        <v>50</v>
      </c>
      <c r="AA270" s="32">
        <v>350</v>
      </c>
      <c r="AC270" s="18"/>
    </row>
    <row r="271" spans="2:29">
      <c r="B271" s="14">
        <v>265</v>
      </c>
      <c r="C271" s="18">
        <v>25</v>
      </c>
      <c r="D271" s="43"/>
      <c r="E271" s="101">
        <f t="shared" ref="E271" si="536">E267</f>
        <v>1</v>
      </c>
      <c r="F271" s="101">
        <f t="shared" ref="F271" si="537">F267+10</f>
        <v>860</v>
      </c>
      <c r="G271" s="104" t="str">
        <f t="shared" si="531"/>
        <v/>
      </c>
      <c r="H271" s="43">
        <v>3000</v>
      </c>
      <c r="I271" s="43">
        <v>3</v>
      </c>
      <c r="J271" s="43">
        <v>5</v>
      </c>
      <c r="K271" s="100" t="str">
        <f t="shared" ref="K271" si="538">K268</f>
        <v>301,302,303,304</v>
      </c>
      <c r="L271" s="32">
        <v>5832</v>
      </c>
      <c r="M271" s="32">
        <v>121</v>
      </c>
      <c r="N271" s="32">
        <v>55</v>
      </c>
      <c r="O271" s="32">
        <v>195</v>
      </c>
      <c r="P271" s="32">
        <v>6.5</v>
      </c>
      <c r="Q271" s="32">
        <v>1000</v>
      </c>
      <c r="R271" s="32">
        <v>50</v>
      </c>
      <c r="S271" s="32">
        <v>350</v>
      </c>
      <c r="T271" s="32">
        <v>3668</v>
      </c>
      <c r="U271" s="32">
        <v>131</v>
      </c>
      <c r="V271" s="32">
        <v>35</v>
      </c>
      <c r="W271" s="32">
        <v>214</v>
      </c>
      <c r="X271" s="32">
        <v>7.15</v>
      </c>
      <c r="Y271" s="32">
        <v>800</v>
      </c>
      <c r="Z271" s="32">
        <v>50</v>
      </c>
      <c r="AA271" s="32">
        <v>350</v>
      </c>
      <c r="AC271" s="18"/>
    </row>
    <row r="272" spans="2:29">
      <c r="B272" s="14">
        <v>266</v>
      </c>
      <c r="C272" s="18">
        <v>25</v>
      </c>
      <c r="D272" s="43"/>
      <c r="E272" s="101">
        <f t="shared" ref="E272" si="539">E268</f>
        <v>2</v>
      </c>
      <c r="F272" s="101">
        <f t="shared" ref="F272" si="540">F268+2</f>
        <v>162</v>
      </c>
      <c r="G272" s="104" t="str">
        <f t="shared" si="531"/>
        <v/>
      </c>
      <c r="H272" s="43">
        <v>3000</v>
      </c>
      <c r="I272" s="43">
        <v>1</v>
      </c>
      <c r="J272" s="43">
        <v>9000</v>
      </c>
      <c r="K272" s="101"/>
      <c r="L272" s="32">
        <v>5832</v>
      </c>
      <c r="M272" s="32">
        <v>121</v>
      </c>
      <c r="N272" s="32">
        <v>55</v>
      </c>
      <c r="O272" s="32">
        <v>195</v>
      </c>
      <c r="P272" s="32">
        <v>6.5</v>
      </c>
      <c r="Q272" s="32">
        <v>1000</v>
      </c>
      <c r="R272" s="32">
        <v>50</v>
      </c>
      <c r="S272" s="32">
        <v>350</v>
      </c>
      <c r="T272" s="32">
        <v>3668</v>
      </c>
      <c r="U272" s="32">
        <v>131</v>
      </c>
      <c r="V272" s="32">
        <v>35</v>
      </c>
      <c r="W272" s="32">
        <v>214</v>
      </c>
      <c r="X272" s="32">
        <v>7.15</v>
      </c>
      <c r="Y272" s="32">
        <v>800</v>
      </c>
      <c r="Z272" s="32">
        <v>50</v>
      </c>
      <c r="AA272" s="32">
        <v>350</v>
      </c>
      <c r="AC272" s="18"/>
    </row>
    <row r="273" spans="2:29">
      <c r="B273" s="14">
        <v>267</v>
      </c>
      <c r="C273" s="18">
        <v>25</v>
      </c>
      <c r="D273" s="43">
        <v>6.28</v>
      </c>
      <c r="E273" s="101">
        <f t="shared" ref="E273" si="541">E269</f>
        <v>3</v>
      </c>
      <c r="F273" s="101">
        <f t="shared" ref="F273" si="542">INT(D273)</f>
        <v>6</v>
      </c>
      <c r="G273" s="104" t="str">
        <f t="shared" si="531"/>
        <v>301,302,303,304</v>
      </c>
      <c r="H273" s="43">
        <v>3000</v>
      </c>
      <c r="I273" s="43">
        <v>2</v>
      </c>
      <c r="J273" s="43">
        <v>470</v>
      </c>
      <c r="K273" s="101"/>
      <c r="L273" s="32">
        <v>5832</v>
      </c>
      <c r="M273" s="32">
        <v>121</v>
      </c>
      <c r="N273" s="32">
        <v>55</v>
      </c>
      <c r="O273" s="32">
        <v>195</v>
      </c>
      <c r="P273" s="32">
        <v>6.5</v>
      </c>
      <c r="Q273" s="32">
        <v>1000</v>
      </c>
      <c r="R273" s="32">
        <v>50</v>
      </c>
      <c r="S273" s="32">
        <v>350</v>
      </c>
      <c r="T273" s="32">
        <v>3668</v>
      </c>
      <c r="U273" s="32">
        <v>131</v>
      </c>
      <c r="V273" s="32">
        <v>35</v>
      </c>
      <c r="W273" s="32">
        <v>214</v>
      </c>
      <c r="X273" s="32">
        <v>7.15</v>
      </c>
      <c r="Y273" s="32">
        <v>800</v>
      </c>
      <c r="Z273" s="32">
        <v>50</v>
      </c>
      <c r="AA273" s="32">
        <v>350</v>
      </c>
      <c r="AC273" s="18"/>
    </row>
    <row r="274" spans="2:29">
      <c r="B274" s="14">
        <v>268</v>
      </c>
      <c r="C274" s="18">
        <v>25</v>
      </c>
      <c r="D274" s="43"/>
      <c r="E274" s="101">
        <f t="shared" ref="E274:F274" si="543">E270</f>
        <v>4</v>
      </c>
      <c r="F274" s="101">
        <f t="shared" si="543"/>
        <v>1</v>
      </c>
      <c r="G274" s="104" t="str">
        <f t="shared" si="531"/>
        <v>111,110,109,108,107,106,105,104,103,102,101</v>
      </c>
      <c r="H274" s="43">
        <v>3000</v>
      </c>
      <c r="I274" s="43">
        <v>3</v>
      </c>
      <c r="J274" s="43">
        <v>5</v>
      </c>
      <c r="K274" s="100" t="str">
        <f t="shared" ref="K274" si="544">K271</f>
        <v>301,302,303,304</v>
      </c>
      <c r="L274" s="32">
        <v>5832</v>
      </c>
      <c r="M274" s="32">
        <v>121</v>
      </c>
      <c r="N274" s="32">
        <v>55</v>
      </c>
      <c r="O274" s="32">
        <v>195</v>
      </c>
      <c r="P274" s="32">
        <v>6.5</v>
      </c>
      <c r="Q274" s="32">
        <v>1000</v>
      </c>
      <c r="R274" s="32">
        <v>50</v>
      </c>
      <c r="S274" s="32">
        <v>350</v>
      </c>
      <c r="T274" s="32">
        <v>3668</v>
      </c>
      <c r="U274" s="32">
        <v>131</v>
      </c>
      <c r="V274" s="32">
        <v>35</v>
      </c>
      <c r="W274" s="32">
        <v>214</v>
      </c>
      <c r="X274" s="32">
        <v>7.15</v>
      </c>
      <c r="Y274" s="32">
        <v>800</v>
      </c>
      <c r="Z274" s="32">
        <v>50</v>
      </c>
      <c r="AA274" s="32">
        <v>350</v>
      </c>
      <c r="AC274" s="18"/>
    </row>
    <row r="275" spans="2:29">
      <c r="B275" s="14">
        <v>269</v>
      </c>
      <c r="C275" s="18">
        <v>25</v>
      </c>
      <c r="D275" s="43"/>
      <c r="E275" s="101">
        <f t="shared" ref="E275" si="545">E271</f>
        <v>1</v>
      </c>
      <c r="F275" s="101">
        <f t="shared" ref="F275" si="546">F271+10</f>
        <v>870</v>
      </c>
      <c r="G275" s="104" t="str">
        <f t="shared" si="531"/>
        <v/>
      </c>
      <c r="H275" s="43">
        <v>3000</v>
      </c>
      <c r="I275" s="43">
        <v>1</v>
      </c>
      <c r="J275" s="43">
        <v>9100</v>
      </c>
      <c r="K275" s="101"/>
      <c r="L275" s="32">
        <v>5832</v>
      </c>
      <c r="M275" s="32">
        <v>121</v>
      </c>
      <c r="N275" s="32">
        <v>55</v>
      </c>
      <c r="O275" s="32">
        <v>195</v>
      </c>
      <c r="P275" s="32">
        <v>6.5</v>
      </c>
      <c r="Q275" s="32">
        <v>1000</v>
      </c>
      <c r="R275" s="32">
        <v>50</v>
      </c>
      <c r="S275" s="32">
        <v>350</v>
      </c>
      <c r="T275" s="32">
        <v>3668</v>
      </c>
      <c r="U275" s="32">
        <v>131</v>
      </c>
      <c r="V275" s="32">
        <v>35</v>
      </c>
      <c r="W275" s="32">
        <v>214</v>
      </c>
      <c r="X275" s="32">
        <v>7.15</v>
      </c>
      <c r="Y275" s="32">
        <v>800</v>
      </c>
      <c r="Z275" s="32">
        <v>50</v>
      </c>
      <c r="AA275" s="32">
        <v>350</v>
      </c>
      <c r="AC275" s="18"/>
    </row>
    <row r="276" spans="2:29">
      <c r="B276" s="14">
        <v>270</v>
      </c>
      <c r="C276" s="18">
        <v>25</v>
      </c>
      <c r="E276" s="101">
        <f t="shared" ref="E276" si="547">E272</f>
        <v>2</v>
      </c>
      <c r="F276" s="101">
        <f t="shared" ref="F276" si="548">F272+2</f>
        <v>164</v>
      </c>
      <c r="G276" s="104" t="str">
        <f t="shared" si="531"/>
        <v/>
      </c>
      <c r="H276" s="43">
        <v>3000</v>
      </c>
      <c r="I276" s="43">
        <v>2</v>
      </c>
      <c r="J276" s="43">
        <v>475</v>
      </c>
      <c r="K276" s="101"/>
      <c r="L276" s="32">
        <v>5832</v>
      </c>
      <c r="M276" s="32">
        <v>121</v>
      </c>
      <c r="N276" s="32">
        <v>55</v>
      </c>
      <c r="O276" s="32">
        <v>195</v>
      </c>
      <c r="P276" s="32">
        <v>6.5</v>
      </c>
      <c r="Q276" s="32">
        <v>1000</v>
      </c>
      <c r="R276" s="32">
        <v>50</v>
      </c>
      <c r="S276" s="32">
        <v>350</v>
      </c>
      <c r="T276" s="32">
        <v>3668</v>
      </c>
      <c r="U276" s="32">
        <v>131</v>
      </c>
      <c r="V276" s="32">
        <v>35</v>
      </c>
      <c r="W276" s="32">
        <v>214</v>
      </c>
      <c r="X276" s="32">
        <v>7.15</v>
      </c>
      <c r="Y276" s="32">
        <v>800</v>
      </c>
      <c r="Z276" s="32">
        <v>50</v>
      </c>
      <c r="AA276" s="32">
        <v>350</v>
      </c>
      <c r="AC276" s="18"/>
    </row>
    <row r="277" spans="2:29">
      <c r="B277" s="14">
        <v>271</v>
      </c>
      <c r="C277" s="18">
        <v>25</v>
      </c>
      <c r="D277" s="43">
        <v>6.36</v>
      </c>
      <c r="E277" s="101">
        <f t="shared" ref="E277" si="549">E273</f>
        <v>3</v>
      </c>
      <c r="F277" s="101">
        <f t="shared" ref="F277" si="550">INT(D277)</f>
        <v>6</v>
      </c>
      <c r="G277" s="104" t="str">
        <f t="shared" si="531"/>
        <v>301,302,303,304</v>
      </c>
      <c r="H277" s="43">
        <v>3000</v>
      </c>
      <c r="I277" s="43">
        <v>3</v>
      </c>
      <c r="J277" s="43">
        <v>5</v>
      </c>
      <c r="K277" s="100" t="str">
        <f t="shared" ref="K277" si="551">K274</f>
        <v>301,302,303,304</v>
      </c>
      <c r="L277" s="32">
        <v>5832</v>
      </c>
      <c r="M277" s="32">
        <v>121</v>
      </c>
      <c r="N277" s="32">
        <v>55</v>
      </c>
      <c r="O277" s="32">
        <v>195</v>
      </c>
      <c r="P277" s="32">
        <v>6.5</v>
      </c>
      <c r="Q277" s="32">
        <v>1000</v>
      </c>
      <c r="R277" s="32">
        <v>50</v>
      </c>
      <c r="S277" s="32">
        <v>350</v>
      </c>
      <c r="T277" s="32">
        <v>3668</v>
      </c>
      <c r="U277" s="32">
        <v>131</v>
      </c>
      <c r="V277" s="32">
        <v>35</v>
      </c>
      <c r="W277" s="32">
        <v>214</v>
      </c>
      <c r="X277" s="32">
        <v>7.15</v>
      </c>
      <c r="Y277" s="32">
        <v>800</v>
      </c>
      <c r="Z277" s="32">
        <v>50</v>
      </c>
      <c r="AA277" s="32">
        <v>350</v>
      </c>
      <c r="AC277" s="18"/>
    </row>
    <row r="278" spans="2:29">
      <c r="B278" s="14">
        <v>272</v>
      </c>
      <c r="C278" s="18">
        <v>25</v>
      </c>
      <c r="D278" s="43"/>
      <c r="E278" s="101">
        <f t="shared" ref="E278:F278" si="552">E274</f>
        <v>4</v>
      </c>
      <c r="F278" s="101">
        <f t="shared" si="552"/>
        <v>1</v>
      </c>
      <c r="G278" s="104" t="str">
        <f t="shared" si="531"/>
        <v>111,110,109,108,107,106,105,104,103,102,101</v>
      </c>
      <c r="H278" s="43">
        <v>3000</v>
      </c>
      <c r="I278" s="43">
        <v>1</v>
      </c>
      <c r="J278" s="43">
        <v>9200</v>
      </c>
      <c r="K278" s="101"/>
      <c r="L278" s="32">
        <v>5832</v>
      </c>
      <c r="M278" s="32">
        <v>121</v>
      </c>
      <c r="N278" s="32">
        <v>55</v>
      </c>
      <c r="O278" s="32">
        <v>195</v>
      </c>
      <c r="P278" s="32">
        <v>6.5</v>
      </c>
      <c r="Q278" s="32">
        <v>1000</v>
      </c>
      <c r="R278" s="32">
        <v>50</v>
      </c>
      <c r="S278" s="32">
        <v>350</v>
      </c>
      <c r="T278" s="32">
        <v>3668</v>
      </c>
      <c r="U278" s="32">
        <v>131</v>
      </c>
      <c r="V278" s="32">
        <v>35</v>
      </c>
      <c r="W278" s="32">
        <v>214</v>
      </c>
      <c r="X278" s="32">
        <v>7.15</v>
      </c>
      <c r="Y278" s="32">
        <v>800</v>
      </c>
      <c r="Z278" s="32">
        <v>50</v>
      </c>
      <c r="AA278" s="32">
        <v>350</v>
      </c>
      <c r="AC278" s="18"/>
    </row>
    <row r="279" spans="2:29">
      <c r="B279" s="14">
        <v>273</v>
      </c>
      <c r="C279" s="18">
        <v>25</v>
      </c>
      <c r="D279" s="43"/>
      <c r="E279" s="101">
        <f t="shared" ref="E279" si="553">E275</f>
        <v>1</v>
      </c>
      <c r="F279" s="101">
        <f t="shared" ref="F279" si="554">F275+10</f>
        <v>880</v>
      </c>
      <c r="G279" s="104" t="str">
        <f t="shared" si="531"/>
        <v/>
      </c>
      <c r="H279" s="43">
        <v>3000</v>
      </c>
      <c r="I279" s="43">
        <v>2</v>
      </c>
      <c r="J279" s="43">
        <v>480</v>
      </c>
      <c r="K279" s="101"/>
      <c r="L279" s="32">
        <v>5832</v>
      </c>
      <c r="M279" s="32">
        <v>121</v>
      </c>
      <c r="N279" s="32">
        <v>55</v>
      </c>
      <c r="O279" s="32">
        <v>195</v>
      </c>
      <c r="P279" s="32">
        <v>6.5</v>
      </c>
      <c r="Q279" s="32">
        <v>1000</v>
      </c>
      <c r="R279" s="32">
        <v>50</v>
      </c>
      <c r="S279" s="32">
        <v>350</v>
      </c>
      <c r="T279" s="32">
        <v>3668</v>
      </c>
      <c r="U279" s="32">
        <v>131</v>
      </c>
      <c r="V279" s="32">
        <v>35</v>
      </c>
      <c r="W279" s="32">
        <v>214</v>
      </c>
      <c r="X279" s="32">
        <v>7.15</v>
      </c>
      <c r="Y279" s="32">
        <v>800</v>
      </c>
      <c r="Z279" s="32">
        <v>50</v>
      </c>
      <c r="AA279" s="32">
        <v>350</v>
      </c>
      <c r="AC279" s="18"/>
    </row>
    <row r="280" spans="2:29">
      <c r="B280" s="14">
        <v>274</v>
      </c>
      <c r="C280" s="18">
        <v>25</v>
      </c>
      <c r="D280" s="43"/>
      <c r="E280" s="101">
        <f t="shared" ref="E280" si="555">E276</f>
        <v>2</v>
      </c>
      <c r="F280" s="101">
        <f t="shared" ref="F280" si="556">F276+2</f>
        <v>166</v>
      </c>
      <c r="G280" s="104" t="str">
        <f t="shared" si="531"/>
        <v/>
      </c>
      <c r="H280" s="43">
        <v>3000</v>
      </c>
      <c r="I280" s="43">
        <v>3</v>
      </c>
      <c r="J280" s="43">
        <v>5</v>
      </c>
      <c r="K280" s="100" t="str">
        <f t="shared" ref="K280" si="557">K277</f>
        <v>301,302,303,304</v>
      </c>
      <c r="L280" s="32">
        <v>5832</v>
      </c>
      <c r="M280" s="32">
        <v>121</v>
      </c>
      <c r="N280" s="32">
        <v>55</v>
      </c>
      <c r="O280" s="32">
        <v>195</v>
      </c>
      <c r="P280" s="32">
        <v>6.5</v>
      </c>
      <c r="Q280" s="32">
        <v>1000</v>
      </c>
      <c r="R280" s="32">
        <v>50</v>
      </c>
      <c r="S280" s="32">
        <v>350</v>
      </c>
      <c r="T280" s="32">
        <v>3668</v>
      </c>
      <c r="U280" s="32">
        <v>131</v>
      </c>
      <c r="V280" s="32">
        <v>35</v>
      </c>
      <c r="W280" s="32">
        <v>214</v>
      </c>
      <c r="X280" s="32">
        <v>7.15</v>
      </c>
      <c r="Y280" s="32">
        <v>800</v>
      </c>
      <c r="Z280" s="32">
        <v>50</v>
      </c>
      <c r="AA280" s="32">
        <v>350</v>
      </c>
      <c r="AC280" s="18"/>
    </row>
    <row r="281" spans="2:29">
      <c r="B281" s="14">
        <v>275</v>
      </c>
      <c r="C281" s="18">
        <v>25</v>
      </c>
      <c r="D281" s="43">
        <v>6.44</v>
      </c>
      <c r="E281" s="101">
        <f t="shared" ref="E281" si="558">E277</f>
        <v>3</v>
      </c>
      <c r="F281" s="101">
        <f t="shared" ref="F281" si="559">INT(D281)</f>
        <v>6</v>
      </c>
      <c r="G281" s="104" t="str">
        <f t="shared" si="531"/>
        <v>301,302,303,304</v>
      </c>
      <c r="H281" s="43">
        <v>3000</v>
      </c>
      <c r="I281" s="43">
        <v>1</v>
      </c>
      <c r="J281" s="43">
        <v>9300</v>
      </c>
      <c r="K281" s="101"/>
      <c r="L281" s="32">
        <v>5832</v>
      </c>
      <c r="M281" s="32">
        <v>121</v>
      </c>
      <c r="N281" s="32">
        <v>55</v>
      </c>
      <c r="O281" s="32">
        <v>195</v>
      </c>
      <c r="P281" s="32">
        <v>6.5</v>
      </c>
      <c r="Q281" s="32">
        <v>1000</v>
      </c>
      <c r="R281" s="32">
        <v>50</v>
      </c>
      <c r="S281" s="32">
        <v>350</v>
      </c>
      <c r="T281" s="32">
        <v>3668</v>
      </c>
      <c r="U281" s="32">
        <v>131</v>
      </c>
      <c r="V281" s="32">
        <v>35</v>
      </c>
      <c r="W281" s="32">
        <v>214</v>
      </c>
      <c r="X281" s="32">
        <v>7.15</v>
      </c>
      <c r="Y281" s="32">
        <v>800</v>
      </c>
      <c r="Z281" s="32">
        <v>50</v>
      </c>
      <c r="AA281" s="32">
        <v>350</v>
      </c>
      <c r="AC281" s="18"/>
    </row>
    <row r="282" spans="2:29">
      <c r="B282" s="14">
        <v>276</v>
      </c>
      <c r="C282" s="18">
        <v>25</v>
      </c>
      <c r="D282" s="43"/>
      <c r="E282" s="101">
        <f t="shared" ref="E282:F282" si="560">E278</f>
        <v>4</v>
      </c>
      <c r="F282" s="101">
        <f t="shared" si="560"/>
        <v>1</v>
      </c>
      <c r="G282" s="104" t="str">
        <f t="shared" si="531"/>
        <v>111,110,109,108,107,106,105,104,103,102,101</v>
      </c>
      <c r="H282" s="43">
        <v>3000</v>
      </c>
      <c r="I282" s="43">
        <v>2</v>
      </c>
      <c r="J282" s="43">
        <v>485</v>
      </c>
      <c r="K282" s="101"/>
      <c r="L282" s="32">
        <v>5832</v>
      </c>
      <c r="M282" s="32">
        <v>121</v>
      </c>
      <c r="N282" s="32">
        <v>55</v>
      </c>
      <c r="O282" s="32">
        <v>195</v>
      </c>
      <c r="P282" s="32">
        <v>6.5</v>
      </c>
      <c r="Q282" s="32">
        <v>1000</v>
      </c>
      <c r="R282" s="32">
        <v>50</v>
      </c>
      <c r="S282" s="32">
        <v>350</v>
      </c>
      <c r="T282" s="32">
        <v>3668</v>
      </c>
      <c r="U282" s="32">
        <v>131</v>
      </c>
      <c r="V282" s="32">
        <v>35</v>
      </c>
      <c r="W282" s="32">
        <v>214</v>
      </c>
      <c r="X282" s="32">
        <v>7.15</v>
      </c>
      <c r="Y282" s="32">
        <v>800</v>
      </c>
      <c r="Z282" s="32">
        <v>50</v>
      </c>
      <c r="AA282" s="32">
        <v>350</v>
      </c>
      <c r="AC282" s="18"/>
    </row>
    <row r="283" spans="2:29">
      <c r="B283" s="14">
        <v>277</v>
      </c>
      <c r="C283" s="18">
        <v>25</v>
      </c>
      <c r="D283" s="43"/>
      <c r="E283" s="101">
        <f t="shared" ref="E283" si="561">E279</f>
        <v>1</v>
      </c>
      <c r="F283" s="101">
        <f t="shared" ref="F283" si="562">F279+10</f>
        <v>890</v>
      </c>
      <c r="G283" s="104" t="str">
        <f t="shared" si="531"/>
        <v/>
      </c>
      <c r="H283" s="43">
        <v>3000</v>
      </c>
      <c r="I283" s="43">
        <v>3</v>
      </c>
      <c r="J283" s="43">
        <v>5</v>
      </c>
      <c r="K283" s="100" t="str">
        <f t="shared" ref="K283" si="563">K280</f>
        <v>301,302,303,304</v>
      </c>
      <c r="L283" s="32">
        <v>5832</v>
      </c>
      <c r="M283" s="32">
        <v>121</v>
      </c>
      <c r="N283" s="32">
        <v>55</v>
      </c>
      <c r="O283" s="32">
        <v>195</v>
      </c>
      <c r="P283" s="32">
        <v>6.5</v>
      </c>
      <c r="Q283" s="32">
        <v>1000</v>
      </c>
      <c r="R283" s="32">
        <v>50</v>
      </c>
      <c r="S283" s="32">
        <v>350</v>
      </c>
      <c r="T283" s="32">
        <v>3668</v>
      </c>
      <c r="U283" s="32">
        <v>131</v>
      </c>
      <c r="V283" s="32">
        <v>35</v>
      </c>
      <c r="W283" s="32">
        <v>214</v>
      </c>
      <c r="X283" s="32">
        <v>7.15</v>
      </c>
      <c r="Y283" s="32">
        <v>800</v>
      </c>
      <c r="Z283" s="32">
        <v>50</v>
      </c>
      <c r="AA283" s="32">
        <v>350</v>
      </c>
      <c r="AC283" s="18"/>
    </row>
    <row r="284" spans="2:29">
      <c r="B284" s="14">
        <v>278</v>
      </c>
      <c r="C284" s="18">
        <v>25</v>
      </c>
      <c r="E284" s="101">
        <f t="shared" ref="E284" si="564">E280</f>
        <v>2</v>
      </c>
      <c r="F284" s="101">
        <f t="shared" ref="F284" si="565">F280+2</f>
        <v>168</v>
      </c>
      <c r="G284" s="104" t="str">
        <f t="shared" si="531"/>
        <v/>
      </c>
      <c r="H284" s="43">
        <v>3000</v>
      </c>
      <c r="I284" s="43">
        <v>1</v>
      </c>
      <c r="J284" s="43">
        <v>9400</v>
      </c>
      <c r="K284" s="101"/>
      <c r="L284" s="32">
        <v>5832</v>
      </c>
      <c r="M284" s="32">
        <v>121</v>
      </c>
      <c r="N284" s="32">
        <v>55</v>
      </c>
      <c r="O284" s="32">
        <v>195</v>
      </c>
      <c r="P284" s="32">
        <v>6.5</v>
      </c>
      <c r="Q284" s="32">
        <v>1000</v>
      </c>
      <c r="R284" s="32">
        <v>50</v>
      </c>
      <c r="S284" s="32">
        <v>350</v>
      </c>
      <c r="T284" s="32">
        <v>3668</v>
      </c>
      <c r="U284" s="32">
        <v>131</v>
      </c>
      <c r="V284" s="32">
        <v>35</v>
      </c>
      <c r="W284" s="32">
        <v>214</v>
      </c>
      <c r="X284" s="32">
        <v>7.15</v>
      </c>
      <c r="Y284" s="32">
        <v>800</v>
      </c>
      <c r="Z284" s="32">
        <v>50</v>
      </c>
      <c r="AA284" s="32">
        <v>350</v>
      </c>
      <c r="AC284" s="18"/>
    </row>
    <row r="285" spans="2:29">
      <c r="B285" s="14">
        <v>279</v>
      </c>
      <c r="C285" s="18">
        <v>25</v>
      </c>
      <c r="D285" s="43">
        <v>6.52</v>
      </c>
      <c r="E285" s="101">
        <f t="shared" ref="E285" si="566">E281</f>
        <v>3</v>
      </c>
      <c r="F285" s="101">
        <f t="shared" ref="F285" si="567">INT(D285)</f>
        <v>6</v>
      </c>
      <c r="G285" s="104" t="str">
        <f t="shared" si="531"/>
        <v>301,302,303,304</v>
      </c>
      <c r="H285" s="43">
        <v>3000</v>
      </c>
      <c r="I285" s="43">
        <v>2</v>
      </c>
      <c r="J285" s="43">
        <v>490</v>
      </c>
      <c r="K285" s="101"/>
      <c r="L285" s="32">
        <v>5832</v>
      </c>
      <c r="M285" s="32">
        <v>121</v>
      </c>
      <c r="N285" s="32">
        <v>55</v>
      </c>
      <c r="O285" s="32">
        <v>195</v>
      </c>
      <c r="P285" s="32">
        <v>6.5</v>
      </c>
      <c r="Q285" s="32">
        <v>1000</v>
      </c>
      <c r="R285" s="32">
        <v>50</v>
      </c>
      <c r="S285" s="32">
        <v>350</v>
      </c>
      <c r="T285" s="32">
        <v>3668</v>
      </c>
      <c r="U285" s="32">
        <v>131</v>
      </c>
      <c r="V285" s="32">
        <v>35</v>
      </c>
      <c r="W285" s="32">
        <v>214</v>
      </c>
      <c r="X285" s="32">
        <v>7.15</v>
      </c>
      <c r="Y285" s="32">
        <v>800</v>
      </c>
      <c r="Z285" s="32">
        <v>50</v>
      </c>
      <c r="AA285" s="32">
        <v>350</v>
      </c>
      <c r="AC285" s="18"/>
    </row>
    <row r="286" spans="2:29">
      <c r="B286" s="14">
        <v>280</v>
      </c>
      <c r="C286" s="18">
        <v>25</v>
      </c>
      <c r="D286" s="43"/>
      <c r="E286" s="101">
        <f t="shared" ref="E286:F286" si="568">E282</f>
        <v>4</v>
      </c>
      <c r="F286" s="101">
        <f t="shared" si="568"/>
        <v>1</v>
      </c>
      <c r="G286" s="104" t="str">
        <f t="shared" si="531"/>
        <v>111,110,109,108,107,106,105,104,103,102,101</v>
      </c>
      <c r="H286" s="43">
        <v>3000</v>
      </c>
      <c r="I286" s="43">
        <v>3</v>
      </c>
      <c r="J286" s="43">
        <v>5</v>
      </c>
      <c r="K286" s="100" t="str">
        <f t="shared" ref="K286" si="569">K283</f>
        <v>301,302,303,304</v>
      </c>
      <c r="L286" s="32">
        <v>5832</v>
      </c>
      <c r="M286" s="32">
        <v>121</v>
      </c>
      <c r="N286" s="32">
        <v>55</v>
      </c>
      <c r="O286" s="32">
        <v>195</v>
      </c>
      <c r="P286" s="32">
        <v>6.5</v>
      </c>
      <c r="Q286" s="32">
        <v>1000</v>
      </c>
      <c r="R286" s="32">
        <v>50</v>
      </c>
      <c r="S286" s="32">
        <v>350</v>
      </c>
      <c r="T286" s="32">
        <v>3668</v>
      </c>
      <c r="U286" s="32">
        <v>131</v>
      </c>
      <c r="V286" s="32">
        <v>35</v>
      </c>
      <c r="W286" s="32">
        <v>214</v>
      </c>
      <c r="X286" s="32">
        <v>7.15</v>
      </c>
      <c r="Y286" s="32">
        <v>800</v>
      </c>
      <c r="Z286" s="32">
        <v>50</v>
      </c>
      <c r="AA286" s="32">
        <v>350</v>
      </c>
      <c r="AC286" s="18"/>
    </row>
    <row r="287" spans="2:29">
      <c r="B287" s="14">
        <v>281</v>
      </c>
      <c r="C287" s="18">
        <v>25</v>
      </c>
      <c r="D287" s="43"/>
      <c r="E287" s="101">
        <f t="shared" ref="E287" si="570">E283</f>
        <v>1</v>
      </c>
      <c r="F287" s="101">
        <f t="shared" ref="F287" si="571">F283+10</f>
        <v>900</v>
      </c>
      <c r="G287" s="104" t="str">
        <f t="shared" si="531"/>
        <v/>
      </c>
      <c r="H287" s="43">
        <v>3000</v>
      </c>
      <c r="I287" s="43">
        <v>1</v>
      </c>
      <c r="J287" s="43">
        <v>9500</v>
      </c>
      <c r="K287" s="101"/>
      <c r="L287" s="32">
        <v>5832</v>
      </c>
      <c r="M287" s="32">
        <v>121</v>
      </c>
      <c r="N287" s="32">
        <v>55</v>
      </c>
      <c r="O287" s="32">
        <v>195</v>
      </c>
      <c r="P287" s="32">
        <v>6.5</v>
      </c>
      <c r="Q287" s="32">
        <v>1000</v>
      </c>
      <c r="R287" s="32">
        <v>50</v>
      </c>
      <c r="S287" s="32">
        <v>350</v>
      </c>
      <c r="T287" s="32">
        <v>3668</v>
      </c>
      <c r="U287" s="32">
        <v>131</v>
      </c>
      <c r="V287" s="32">
        <v>35</v>
      </c>
      <c r="W287" s="32">
        <v>214</v>
      </c>
      <c r="X287" s="32">
        <v>7.15</v>
      </c>
      <c r="Y287" s="32">
        <v>800</v>
      </c>
      <c r="Z287" s="32">
        <v>50</v>
      </c>
      <c r="AA287" s="32">
        <v>350</v>
      </c>
      <c r="AC287" s="18"/>
    </row>
    <row r="288" spans="2:29">
      <c r="B288" s="14">
        <v>282</v>
      </c>
      <c r="C288" s="18">
        <v>25</v>
      </c>
      <c r="D288" s="43"/>
      <c r="E288" s="101">
        <f t="shared" ref="E288" si="572">E284</f>
        <v>2</v>
      </c>
      <c r="F288" s="101">
        <f t="shared" ref="F288" si="573">F284+2</f>
        <v>170</v>
      </c>
      <c r="G288" s="104" t="str">
        <f t="shared" si="531"/>
        <v/>
      </c>
      <c r="H288" s="43">
        <v>3000</v>
      </c>
      <c r="I288" s="43">
        <v>2</v>
      </c>
      <c r="J288" s="43">
        <v>495</v>
      </c>
      <c r="K288" s="101"/>
      <c r="L288" s="32">
        <v>5832</v>
      </c>
      <c r="M288" s="32">
        <v>121</v>
      </c>
      <c r="N288" s="32">
        <v>55</v>
      </c>
      <c r="O288" s="32">
        <v>195</v>
      </c>
      <c r="P288" s="32">
        <v>6.5</v>
      </c>
      <c r="Q288" s="32">
        <v>1000</v>
      </c>
      <c r="R288" s="32">
        <v>50</v>
      </c>
      <c r="S288" s="32">
        <v>350</v>
      </c>
      <c r="T288" s="32">
        <v>3668</v>
      </c>
      <c r="U288" s="32">
        <v>131</v>
      </c>
      <c r="V288" s="32">
        <v>35</v>
      </c>
      <c r="W288" s="32">
        <v>214</v>
      </c>
      <c r="X288" s="32">
        <v>7.15</v>
      </c>
      <c r="Y288" s="32">
        <v>800</v>
      </c>
      <c r="Z288" s="32">
        <v>50</v>
      </c>
      <c r="AA288" s="32">
        <v>350</v>
      </c>
      <c r="AC288" s="18"/>
    </row>
    <row r="289" spans="2:29">
      <c r="B289" s="14">
        <v>283</v>
      </c>
      <c r="C289" s="18">
        <v>25</v>
      </c>
      <c r="D289" s="43">
        <v>6.6</v>
      </c>
      <c r="E289" s="101">
        <f t="shared" ref="E289" si="574">E285</f>
        <v>3</v>
      </c>
      <c r="F289" s="101">
        <f t="shared" ref="F289" si="575">INT(D289)</f>
        <v>6</v>
      </c>
      <c r="G289" s="104" t="str">
        <f t="shared" si="531"/>
        <v>301,302,303,304</v>
      </c>
      <c r="H289" s="43">
        <v>3000</v>
      </c>
      <c r="I289" s="43">
        <v>3</v>
      </c>
      <c r="J289" s="43">
        <v>5</v>
      </c>
      <c r="K289" s="100" t="str">
        <f t="shared" ref="K289" si="576">K286</f>
        <v>301,302,303,304</v>
      </c>
      <c r="L289" s="32">
        <v>5832</v>
      </c>
      <c r="M289" s="32">
        <v>121</v>
      </c>
      <c r="N289" s="32">
        <v>55</v>
      </c>
      <c r="O289" s="32">
        <v>195</v>
      </c>
      <c r="P289" s="32">
        <v>6.5</v>
      </c>
      <c r="Q289" s="32">
        <v>1000</v>
      </c>
      <c r="R289" s="32">
        <v>50</v>
      </c>
      <c r="S289" s="32">
        <v>350</v>
      </c>
      <c r="T289" s="32">
        <v>3668</v>
      </c>
      <c r="U289" s="32">
        <v>131</v>
      </c>
      <c r="V289" s="32">
        <v>35</v>
      </c>
      <c r="W289" s="32">
        <v>214</v>
      </c>
      <c r="X289" s="32">
        <v>7.15</v>
      </c>
      <c r="Y289" s="32">
        <v>800</v>
      </c>
      <c r="Z289" s="32">
        <v>50</v>
      </c>
      <c r="AA289" s="32">
        <v>350</v>
      </c>
      <c r="AC289" s="18"/>
    </row>
    <row r="290" spans="2:29">
      <c r="B290" s="14">
        <v>284</v>
      </c>
      <c r="C290" s="18">
        <v>25</v>
      </c>
      <c r="D290" s="43"/>
      <c r="E290" s="101">
        <f t="shared" ref="E290:F290" si="577">E286</f>
        <v>4</v>
      </c>
      <c r="F290" s="101">
        <f t="shared" si="577"/>
        <v>1</v>
      </c>
      <c r="G290" s="104" t="str">
        <f t="shared" si="531"/>
        <v>111,110,109,108,107,106,105,104,103,102,101</v>
      </c>
      <c r="H290" s="43">
        <v>3000</v>
      </c>
      <c r="I290" s="43">
        <v>1</v>
      </c>
      <c r="J290" s="43">
        <v>9600</v>
      </c>
      <c r="K290" s="101"/>
      <c r="L290" s="32">
        <v>5832</v>
      </c>
      <c r="M290" s="32">
        <v>121</v>
      </c>
      <c r="N290" s="32">
        <v>55</v>
      </c>
      <c r="O290" s="32">
        <v>195</v>
      </c>
      <c r="P290" s="32">
        <v>6.5</v>
      </c>
      <c r="Q290" s="32">
        <v>1000</v>
      </c>
      <c r="R290" s="32">
        <v>50</v>
      </c>
      <c r="S290" s="32">
        <v>350</v>
      </c>
      <c r="T290" s="32">
        <v>3668</v>
      </c>
      <c r="U290" s="32">
        <v>131</v>
      </c>
      <c r="V290" s="32">
        <v>35</v>
      </c>
      <c r="W290" s="32">
        <v>214</v>
      </c>
      <c r="X290" s="32">
        <v>7.15</v>
      </c>
      <c r="Y290" s="32">
        <v>800</v>
      </c>
      <c r="Z290" s="32">
        <v>50</v>
      </c>
      <c r="AA290" s="32">
        <v>350</v>
      </c>
      <c r="AC290" s="18"/>
    </row>
    <row r="291" spans="2:29">
      <c r="B291" s="14">
        <v>285</v>
      </c>
      <c r="C291" s="18">
        <v>25</v>
      </c>
      <c r="D291" s="43"/>
      <c r="E291" s="101">
        <f t="shared" ref="E291" si="578">E287</f>
        <v>1</v>
      </c>
      <c r="F291" s="101">
        <f t="shared" ref="F291" si="579">F287+10</f>
        <v>910</v>
      </c>
      <c r="G291" s="104" t="str">
        <f t="shared" si="531"/>
        <v/>
      </c>
      <c r="H291" s="43">
        <v>3000</v>
      </c>
      <c r="I291" s="43">
        <v>2</v>
      </c>
      <c r="J291" s="43">
        <v>500</v>
      </c>
      <c r="K291" s="101"/>
      <c r="L291" s="32">
        <v>5832</v>
      </c>
      <c r="M291" s="32">
        <v>121</v>
      </c>
      <c r="N291" s="32">
        <v>55</v>
      </c>
      <c r="O291" s="32">
        <v>195</v>
      </c>
      <c r="P291" s="32">
        <v>6.5</v>
      </c>
      <c r="Q291" s="32">
        <v>1000</v>
      </c>
      <c r="R291" s="32">
        <v>50</v>
      </c>
      <c r="S291" s="32">
        <v>350</v>
      </c>
      <c r="T291" s="32">
        <v>3668</v>
      </c>
      <c r="U291" s="32">
        <v>131</v>
      </c>
      <c r="V291" s="32">
        <v>35</v>
      </c>
      <c r="W291" s="32">
        <v>214</v>
      </c>
      <c r="X291" s="32">
        <v>7.15</v>
      </c>
      <c r="Y291" s="32">
        <v>800</v>
      </c>
      <c r="Z291" s="32">
        <v>50</v>
      </c>
      <c r="AA291" s="32">
        <v>350</v>
      </c>
      <c r="AC291" s="18"/>
    </row>
    <row r="292" spans="2:29">
      <c r="B292" s="14">
        <v>286</v>
      </c>
      <c r="C292" s="18">
        <v>25</v>
      </c>
      <c r="E292" s="101">
        <f t="shared" ref="E292" si="580">E288</f>
        <v>2</v>
      </c>
      <c r="F292" s="101">
        <f t="shared" ref="F292" si="581">F288+2</f>
        <v>172</v>
      </c>
      <c r="G292" s="104" t="str">
        <f t="shared" si="531"/>
        <v/>
      </c>
      <c r="H292" s="43">
        <v>3000</v>
      </c>
      <c r="I292" s="43">
        <v>3</v>
      </c>
      <c r="J292" s="43">
        <v>5</v>
      </c>
      <c r="K292" s="100" t="str">
        <f t="shared" ref="K292" si="582">K289</f>
        <v>301,302,303,304</v>
      </c>
      <c r="L292" s="32">
        <v>5832</v>
      </c>
      <c r="M292" s="32">
        <v>121</v>
      </c>
      <c r="N292" s="32">
        <v>55</v>
      </c>
      <c r="O292" s="32">
        <v>195</v>
      </c>
      <c r="P292" s="32">
        <v>6.5</v>
      </c>
      <c r="Q292" s="32">
        <v>1000</v>
      </c>
      <c r="R292" s="32">
        <v>50</v>
      </c>
      <c r="S292" s="32">
        <v>350</v>
      </c>
      <c r="T292" s="32">
        <v>3668</v>
      </c>
      <c r="U292" s="32">
        <v>131</v>
      </c>
      <c r="V292" s="32">
        <v>35</v>
      </c>
      <c r="W292" s="32">
        <v>214</v>
      </c>
      <c r="X292" s="32">
        <v>7.15</v>
      </c>
      <c r="Y292" s="32">
        <v>800</v>
      </c>
      <c r="Z292" s="32">
        <v>50</v>
      </c>
      <c r="AA292" s="32">
        <v>350</v>
      </c>
      <c r="AC292" s="18"/>
    </row>
    <row r="293" spans="2:29">
      <c r="B293" s="14">
        <v>287</v>
      </c>
      <c r="C293" s="18">
        <v>25</v>
      </c>
      <c r="D293" s="43">
        <v>6.6800000000000104</v>
      </c>
      <c r="E293" s="101">
        <f t="shared" ref="E293" si="583">E289</f>
        <v>3</v>
      </c>
      <c r="F293" s="101">
        <f t="shared" ref="F293" si="584">INT(D293)</f>
        <v>6</v>
      </c>
      <c r="G293" s="104" t="str">
        <f t="shared" si="531"/>
        <v>301,302,303,304</v>
      </c>
      <c r="H293" s="43">
        <v>3000</v>
      </c>
      <c r="I293" s="43">
        <v>1</v>
      </c>
      <c r="J293" s="43">
        <v>9700</v>
      </c>
      <c r="K293" s="101"/>
      <c r="L293" s="32">
        <v>5832</v>
      </c>
      <c r="M293" s="32">
        <v>121</v>
      </c>
      <c r="N293" s="32">
        <v>55</v>
      </c>
      <c r="O293" s="32">
        <v>195</v>
      </c>
      <c r="P293" s="32">
        <v>6.5</v>
      </c>
      <c r="Q293" s="32">
        <v>1000</v>
      </c>
      <c r="R293" s="32">
        <v>50</v>
      </c>
      <c r="S293" s="32">
        <v>350</v>
      </c>
      <c r="T293" s="32">
        <v>3668</v>
      </c>
      <c r="U293" s="32">
        <v>131</v>
      </c>
      <c r="V293" s="32">
        <v>35</v>
      </c>
      <c r="W293" s="32">
        <v>214</v>
      </c>
      <c r="X293" s="32">
        <v>7.15</v>
      </c>
      <c r="Y293" s="32">
        <v>800</v>
      </c>
      <c r="Z293" s="32">
        <v>50</v>
      </c>
      <c r="AA293" s="32">
        <v>350</v>
      </c>
      <c r="AC293" s="18"/>
    </row>
    <row r="294" spans="2:29">
      <c r="B294" s="14">
        <v>288</v>
      </c>
      <c r="C294" s="18">
        <v>25</v>
      </c>
      <c r="D294" s="43"/>
      <c r="E294" s="101">
        <f t="shared" ref="E294:F294" si="585">E290</f>
        <v>4</v>
      </c>
      <c r="F294" s="101">
        <f t="shared" si="585"/>
        <v>1</v>
      </c>
      <c r="G294" s="104" t="str">
        <f t="shared" si="531"/>
        <v>111,110,109,108,107,106,105,104,103,102,101</v>
      </c>
      <c r="H294" s="43">
        <v>3000</v>
      </c>
      <c r="I294" s="43">
        <v>2</v>
      </c>
      <c r="J294" s="43">
        <v>505</v>
      </c>
      <c r="K294" s="101"/>
      <c r="L294" s="32">
        <v>5832</v>
      </c>
      <c r="M294" s="32">
        <v>121</v>
      </c>
      <c r="N294" s="32">
        <v>55</v>
      </c>
      <c r="O294" s="32">
        <v>195</v>
      </c>
      <c r="P294" s="32">
        <v>6.5</v>
      </c>
      <c r="Q294" s="32">
        <v>1000</v>
      </c>
      <c r="R294" s="32">
        <v>50</v>
      </c>
      <c r="S294" s="32">
        <v>350</v>
      </c>
      <c r="T294" s="32">
        <v>3668</v>
      </c>
      <c r="U294" s="32">
        <v>131</v>
      </c>
      <c r="V294" s="32">
        <v>35</v>
      </c>
      <c r="W294" s="32">
        <v>214</v>
      </c>
      <c r="X294" s="32">
        <v>7.15</v>
      </c>
      <c r="Y294" s="32">
        <v>800</v>
      </c>
      <c r="Z294" s="32">
        <v>50</v>
      </c>
      <c r="AA294" s="32">
        <v>350</v>
      </c>
      <c r="AC294" s="18"/>
    </row>
    <row r="295" spans="2:29">
      <c r="B295" s="14">
        <v>289</v>
      </c>
      <c r="C295" s="18">
        <v>25</v>
      </c>
      <c r="D295" s="43"/>
      <c r="E295" s="101">
        <f t="shared" ref="E295" si="586">E291</f>
        <v>1</v>
      </c>
      <c r="F295" s="101">
        <f t="shared" ref="F295" si="587">F291+10</f>
        <v>920</v>
      </c>
      <c r="G295" s="104" t="str">
        <f t="shared" si="531"/>
        <v/>
      </c>
      <c r="H295" s="43">
        <v>3000</v>
      </c>
      <c r="I295" s="43">
        <v>3</v>
      </c>
      <c r="J295" s="43">
        <v>5</v>
      </c>
      <c r="K295" s="100" t="str">
        <f t="shared" ref="K295" si="588">K292</f>
        <v>301,302,303,304</v>
      </c>
      <c r="L295" s="32">
        <v>5832</v>
      </c>
      <c r="M295" s="32">
        <v>121</v>
      </c>
      <c r="N295" s="32">
        <v>55</v>
      </c>
      <c r="O295" s="32">
        <v>195</v>
      </c>
      <c r="P295" s="32">
        <v>6.5</v>
      </c>
      <c r="Q295" s="32">
        <v>1000</v>
      </c>
      <c r="R295" s="32">
        <v>50</v>
      </c>
      <c r="S295" s="32">
        <v>350</v>
      </c>
      <c r="T295" s="32">
        <v>3668</v>
      </c>
      <c r="U295" s="32">
        <v>131</v>
      </c>
      <c r="V295" s="32">
        <v>35</v>
      </c>
      <c r="W295" s="32">
        <v>214</v>
      </c>
      <c r="X295" s="32">
        <v>7.15</v>
      </c>
      <c r="Y295" s="32">
        <v>800</v>
      </c>
      <c r="Z295" s="32">
        <v>50</v>
      </c>
      <c r="AA295" s="32">
        <v>350</v>
      </c>
      <c r="AC295" s="18"/>
    </row>
    <row r="296" spans="2:29">
      <c r="B296" s="14">
        <v>290</v>
      </c>
      <c r="C296" s="18">
        <v>25</v>
      </c>
      <c r="D296" s="43"/>
      <c r="E296" s="101">
        <f t="shared" ref="E296" si="589">E292</f>
        <v>2</v>
      </c>
      <c r="F296" s="101">
        <f t="shared" ref="F296" si="590">F292+2</f>
        <v>174</v>
      </c>
      <c r="G296" s="104" t="str">
        <f t="shared" si="531"/>
        <v/>
      </c>
      <c r="H296" s="43">
        <v>3000</v>
      </c>
      <c r="I296" s="43">
        <v>1</v>
      </c>
      <c r="J296" s="43">
        <v>9800</v>
      </c>
      <c r="K296" s="101"/>
      <c r="L296" s="32">
        <v>5832</v>
      </c>
      <c r="M296" s="32">
        <v>121</v>
      </c>
      <c r="N296" s="32">
        <v>55</v>
      </c>
      <c r="O296" s="32">
        <v>195</v>
      </c>
      <c r="P296" s="32">
        <v>6.5</v>
      </c>
      <c r="Q296" s="32">
        <v>1000</v>
      </c>
      <c r="R296" s="32">
        <v>50</v>
      </c>
      <c r="S296" s="32">
        <v>350</v>
      </c>
      <c r="T296" s="32">
        <v>3668</v>
      </c>
      <c r="U296" s="32">
        <v>131</v>
      </c>
      <c r="V296" s="32">
        <v>35</v>
      </c>
      <c r="W296" s="32">
        <v>214</v>
      </c>
      <c r="X296" s="32">
        <v>7.15</v>
      </c>
      <c r="Y296" s="32">
        <v>800</v>
      </c>
      <c r="Z296" s="32">
        <v>50</v>
      </c>
      <c r="AA296" s="32">
        <v>350</v>
      </c>
      <c r="AC296" s="18"/>
    </row>
    <row r="297" spans="2:29">
      <c r="B297" s="14">
        <v>291</v>
      </c>
      <c r="C297" s="18">
        <v>25</v>
      </c>
      <c r="D297" s="43">
        <v>6.7600000000000096</v>
      </c>
      <c r="E297" s="101">
        <f t="shared" ref="E297" si="591">E293</f>
        <v>3</v>
      </c>
      <c r="F297" s="101">
        <f t="shared" ref="F297" si="592">INT(D297)</f>
        <v>6</v>
      </c>
      <c r="G297" s="104" t="str">
        <f t="shared" si="531"/>
        <v>301,302,303,304</v>
      </c>
      <c r="H297" s="43">
        <v>3000</v>
      </c>
      <c r="I297" s="43">
        <v>2</v>
      </c>
      <c r="J297" s="43">
        <v>510</v>
      </c>
      <c r="K297" s="101"/>
      <c r="L297" s="32">
        <v>5832</v>
      </c>
      <c r="M297" s="32">
        <v>121</v>
      </c>
      <c r="N297" s="32">
        <v>55</v>
      </c>
      <c r="O297" s="32">
        <v>195</v>
      </c>
      <c r="P297" s="32">
        <v>6.5</v>
      </c>
      <c r="Q297" s="32">
        <v>1000</v>
      </c>
      <c r="R297" s="32">
        <v>50</v>
      </c>
      <c r="S297" s="32">
        <v>350</v>
      </c>
      <c r="T297" s="32">
        <v>3668</v>
      </c>
      <c r="U297" s="32">
        <v>131</v>
      </c>
      <c r="V297" s="32">
        <v>35</v>
      </c>
      <c r="W297" s="32">
        <v>214</v>
      </c>
      <c r="X297" s="32">
        <v>7.15</v>
      </c>
      <c r="Y297" s="32">
        <v>800</v>
      </c>
      <c r="Z297" s="32">
        <v>50</v>
      </c>
      <c r="AA297" s="32">
        <v>350</v>
      </c>
      <c r="AC297" s="18"/>
    </row>
    <row r="298" spans="2:29">
      <c r="B298" s="14">
        <v>292</v>
      </c>
      <c r="C298" s="18">
        <v>25</v>
      </c>
      <c r="D298" s="43"/>
      <c r="E298" s="101">
        <f t="shared" ref="E298:F298" si="593">E294</f>
        <v>4</v>
      </c>
      <c r="F298" s="101">
        <f t="shared" si="593"/>
        <v>1</v>
      </c>
      <c r="G298" s="104" t="str">
        <f t="shared" si="531"/>
        <v>111,110,109,108,107,106,105,104,103,102,101</v>
      </c>
      <c r="H298" s="43">
        <v>3000</v>
      </c>
      <c r="I298" s="43">
        <v>3</v>
      </c>
      <c r="J298" s="43">
        <v>5</v>
      </c>
      <c r="K298" s="100" t="str">
        <f t="shared" ref="K298" si="594">K295</f>
        <v>301,302,303,304</v>
      </c>
      <c r="L298" s="32">
        <v>5832</v>
      </c>
      <c r="M298" s="32">
        <v>121</v>
      </c>
      <c r="N298" s="32">
        <v>55</v>
      </c>
      <c r="O298" s="32">
        <v>195</v>
      </c>
      <c r="P298" s="32">
        <v>6.5</v>
      </c>
      <c r="Q298" s="32">
        <v>1000</v>
      </c>
      <c r="R298" s="32">
        <v>50</v>
      </c>
      <c r="S298" s="32">
        <v>350</v>
      </c>
      <c r="T298" s="32">
        <v>3668</v>
      </c>
      <c r="U298" s="32">
        <v>131</v>
      </c>
      <c r="V298" s="32">
        <v>35</v>
      </c>
      <c r="W298" s="32">
        <v>214</v>
      </c>
      <c r="X298" s="32">
        <v>7.15</v>
      </c>
      <c r="Y298" s="32">
        <v>800</v>
      </c>
      <c r="Z298" s="32">
        <v>50</v>
      </c>
      <c r="AA298" s="32">
        <v>350</v>
      </c>
      <c r="AC298" s="18"/>
    </row>
    <row r="299" spans="2:29">
      <c r="B299" s="14">
        <v>293</v>
      </c>
      <c r="C299" s="18">
        <v>25</v>
      </c>
      <c r="D299" s="43"/>
      <c r="E299" s="101">
        <f t="shared" ref="E299" si="595">E295</f>
        <v>1</v>
      </c>
      <c r="F299" s="101">
        <f t="shared" ref="F299" si="596">F295+10</f>
        <v>930</v>
      </c>
      <c r="G299" s="104" t="str">
        <f t="shared" si="531"/>
        <v/>
      </c>
      <c r="H299" s="43">
        <v>3000</v>
      </c>
      <c r="I299" s="43">
        <v>1</v>
      </c>
      <c r="J299" s="43">
        <v>9900</v>
      </c>
      <c r="K299" s="101"/>
      <c r="L299" s="32">
        <v>5832</v>
      </c>
      <c r="M299" s="32">
        <v>121</v>
      </c>
      <c r="N299" s="32">
        <v>55</v>
      </c>
      <c r="O299" s="32">
        <v>195</v>
      </c>
      <c r="P299" s="32">
        <v>6.5</v>
      </c>
      <c r="Q299" s="32">
        <v>1000</v>
      </c>
      <c r="R299" s="32">
        <v>50</v>
      </c>
      <c r="S299" s="32">
        <v>350</v>
      </c>
      <c r="T299" s="32">
        <v>3668</v>
      </c>
      <c r="U299" s="32">
        <v>131</v>
      </c>
      <c r="V299" s="32">
        <v>35</v>
      </c>
      <c r="W299" s="32">
        <v>214</v>
      </c>
      <c r="X299" s="32">
        <v>7.15</v>
      </c>
      <c r="Y299" s="32">
        <v>800</v>
      </c>
      <c r="Z299" s="32">
        <v>50</v>
      </c>
      <c r="AA299" s="32">
        <v>350</v>
      </c>
      <c r="AC299" s="18"/>
    </row>
    <row r="300" spans="2:29">
      <c r="B300" s="14">
        <v>294</v>
      </c>
      <c r="C300" s="18">
        <v>25</v>
      </c>
      <c r="E300" s="101">
        <f t="shared" ref="E300" si="597">E296</f>
        <v>2</v>
      </c>
      <c r="F300" s="101">
        <f t="shared" ref="F300" si="598">F296+2</f>
        <v>176</v>
      </c>
      <c r="G300" s="104" t="str">
        <f t="shared" si="531"/>
        <v/>
      </c>
      <c r="H300" s="43">
        <v>3000</v>
      </c>
      <c r="I300" s="43">
        <v>2</v>
      </c>
      <c r="J300" s="43">
        <v>515</v>
      </c>
      <c r="K300" s="101"/>
      <c r="L300" s="32">
        <v>5832</v>
      </c>
      <c r="M300" s="32">
        <v>121</v>
      </c>
      <c r="N300" s="32">
        <v>55</v>
      </c>
      <c r="O300" s="32">
        <v>195</v>
      </c>
      <c r="P300" s="32">
        <v>6.5</v>
      </c>
      <c r="Q300" s="32">
        <v>1000</v>
      </c>
      <c r="R300" s="32">
        <v>50</v>
      </c>
      <c r="S300" s="32">
        <v>350</v>
      </c>
      <c r="T300" s="32">
        <v>3668</v>
      </c>
      <c r="U300" s="32">
        <v>131</v>
      </c>
      <c r="V300" s="32">
        <v>35</v>
      </c>
      <c r="W300" s="32">
        <v>214</v>
      </c>
      <c r="X300" s="32">
        <v>7.15</v>
      </c>
      <c r="Y300" s="32">
        <v>800</v>
      </c>
      <c r="Z300" s="32">
        <v>50</v>
      </c>
      <c r="AA300" s="32">
        <v>350</v>
      </c>
      <c r="AC300" s="18"/>
    </row>
    <row r="301" spans="2:29">
      <c r="B301" s="14">
        <v>295</v>
      </c>
      <c r="C301" s="18">
        <v>25</v>
      </c>
      <c r="D301" s="43">
        <v>6.8400000000000096</v>
      </c>
      <c r="E301" s="101">
        <f t="shared" ref="E301" si="599">E297</f>
        <v>3</v>
      </c>
      <c r="F301" s="101">
        <f t="shared" ref="F301" si="600">INT(D301)</f>
        <v>6</v>
      </c>
      <c r="G301" s="104" t="str">
        <f t="shared" si="531"/>
        <v>301,302,303,304</v>
      </c>
      <c r="H301" s="43">
        <v>3000</v>
      </c>
      <c r="I301" s="43">
        <v>3</v>
      </c>
      <c r="J301" s="43">
        <v>5</v>
      </c>
      <c r="K301" s="100" t="str">
        <f t="shared" ref="K301" si="601">K298</f>
        <v>301,302,303,304</v>
      </c>
      <c r="L301" s="32">
        <v>5832</v>
      </c>
      <c r="M301" s="32">
        <v>121</v>
      </c>
      <c r="N301" s="32">
        <v>55</v>
      </c>
      <c r="O301" s="32">
        <v>195</v>
      </c>
      <c r="P301" s="32">
        <v>6.5</v>
      </c>
      <c r="Q301" s="32">
        <v>1000</v>
      </c>
      <c r="R301" s="32">
        <v>50</v>
      </c>
      <c r="S301" s="32">
        <v>350</v>
      </c>
      <c r="T301" s="32">
        <v>3668</v>
      </c>
      <c r="U301" s="32">
        <v>131</v>
      </c>
      <c r="V301" s="32">
        <v>35</v>
      </c>
      <c r="W301" s="32">
        <v>214</v>
      </c>
      <c r="X301" s="32">
        <v>7.15</v>
      </c>
      <c r="Y301" s="32">
        <v>800</v>
      </c>
      <c r="Z301" s="32">
        <v>50</v>
      </c>
      <c r="AA301" s="32">
        <v>350</v>
      </c>
      <c r="AC301" s="18"/>
    </row>
    <row r="302" spans="2:29">
      <c r="B302" s="14">
        <v>296</v>
      </c>
      <c r="C302" s="18">
        <v>25</v>
      </c>
      <c r="D302" s="43"/>
      <c r="E302" s="101">
        <f t="shared" ref="E302:F302" si="602">E298</f>
        <v>4</v>
      </c>
      <c r="F302" s="101">
        <f t="shared" si="602"/>
        <v>1</v>
      </c>
      <c r="G302" s="104" t="str">
        <f t="shared" si="531"/>
        <v>111,110,109,108,107,106,105,104,103,102,101</v>
      </c>
      <c r="H302" s="43">
        <v>3000</v>
      </c>
      <c r="I302" s="43">
        <v>1</v>
      </c>
      <c r="J302" s="43">
        <v>10000</v>
      </c>
      <c r="K302" s="101"/>
      <c r="L302" s="32">
        <v>5832</v>
      </c>
      <c r="M302" s="32">
        <v>121</v>
      </c>
      <c r="N302" s="32">
        <v>55</v>
      </c>
      <c r="O302" s="32">
        <v>195</v>
      </c>
      <c r="P302" s="32">
        <v>6.5</v>
      </c>
      <c r="Q302" s="32">
        <v>1000</v>
      </c>
      <c r="R302" s="32">
        <v>50</v>
      </c>
      <c r="S302" s="32">
        <v>350</v>
      </c>
      <c r="T302" s="32">
        <v>3668</v>
      </c>
      <c r="U302" s="32">
        <v>131</v>
      </c>
      <c r="V302" s="32">
        <v>35</v>
      </c>
      <c r="W302" s="32">
        <v>214</v>
      </c>
      <c r="X302" s="32">
        <v>7.15</v>
      </c>
      <c r="Y302" s="32">
        <v>800</v>
      </c>
      <c r="Z302" s="32">
        <v>50</v>
      </c>
      <c r="AA302" s="32">
        <v>350</v>
      </c>
      <c r="AC302" s="18"/>
    </row>
    <row r="303" spans="2:29">
      <c r="B303" s="14">
        <v>297</v>
      </c>
      <c r="C303" s="18">
        <v>25</v>
      </c>
      <c r="D303" s="43"/>
      <c r="E303" s="101">
        <f t="shared" ref="E303" si="603">E299</f>
        <v>1</v>
      </c>
      <c r="F303" s="101">
        <f t="shared" ref="F303" si="604">F299+10</f>
        <v>940</v>
      </c>
      <c r="G303" s="104" t="str">
        <f t="shared" si="531"/>
        <v/>
      </c>
      <c r="H303" s="43">
        <v>3000</v>
      </c>
      <c r="I303" s="43">
        <v>2</v>
      </c>
      <c r="J303" s="43">
        <v>520</v>
      </c>
      <c r="K303" s="101"/>
      <c r="L303" s="32">
        <v>5832</v>
      </c>
      <c r="M303" s="32">
        <v>121</v>
      </c>
      <c r="N303" s="32">
        <v>55</v>
      </c>
      <c r="O303" s="32">
        <v>195</v>
      </c>
      <c r="P303" s="32">
        <v>6.5</v>
      </c>
      <c r="Q303" s="32">
        <v>1000</v>
      </c>
      <c r="R303" s="32">
        <v>50</v>
      </c>
      <c r="S303" s="32">
        <v>350</v>
      </c>
      <c r="T303" s="32">
        <v>3668</v>
      </c>
      <c r="U303" s="32">
        <v>131</v>
      </c>
      <c r="V303" s="32">
        <v>35</v>
      </c>
      <c r="W303" s="32">
        <v>214</v>
      </c>
      <c r="X303" s="32">
        <v>7.15</v>
      </c>
      <c r="Y303" s="32">
        <v>800</v>
      </c>
      <c r="Z303" s="32">
        <v>50</v>
      </c>
      <c r="AA303" s="32">
        <v>350</v>
      </c>
      <c r="AC303" s="18"/>
    </row>
    <row r="304" spans="2:29">
      <c r="B304" s="14">
        <v>298</v>
      </c>
      <c r="C304" s="18">
        <v>25</v>
      </c>
      <c r="D304" s="43"/>
      <c r="E304" s="101">
        <f t="shared" ref="E304" si="605">E300</f>
        <v>2</v>
      </c>
      <c r="F304" s="101">
        <f t="shared" ref="F304" si="606">F300+2</f>
        <v>178</v>
      </c>
      <c r="G304" s="104" t="str">
        <f t="shared" si="531"/>
        <v/>
      </c>
      <c r="H304" s="43">
        <v>3000</v>
      </c>
      <c r="I304" s="43">
        <v>3</v>
      </c>
      <c r="J304" s="43">
        <v>5</v>
      </c>
      <c r="K304" s="100" t="str">
        <f t="shared" ref="K304" si="607">K301</f>
        <v>301,302,303,304</v>
      </c>
      <c r="L304" s="32">
        <v>5832</v>
      </c>
      <c r="M304" s="32">
        <v>121</v>
      </c>
      <c r="N304" s="32">
        <v>55</v>
      </c>
      <c r="O304" s="32">
        <v>195</v>
      </c>
      <c r="P304" s="32">
        <v>6.5</v>
      </c>
      <c r="Q304" s="32">
        <v>1000</v>
      </c>
      <c r="R304" s="32">
        <v>50</v>
      </c>
      <c r="S304" s="32">
        <v>350</v>
      </c>
      <c r="T304" s="32">
        <v>3668</v>
      </c>
      <c r="U304" s="32">
        <v>131</v>
      </c>
      <c r="V304" s="32">
        <v>35</v>
      </c>
      <c r="W304" s="32">
        <v>214</v>
      </c>
      <c r="X304" s="32">
        <v>7.15</v>
      </c>
      <c r="Y304" s="32">
        <v>800</v>
      </c>
      <c r="Z304" s="32">
        <v>50</v>
      </c>
      <c r="AA304" s="32">
        <v>350</v>
      </c>
      <c r="AC304" s="18"/>
    </row>
    <row r="305" spans="1:29">
      <c r="B305" s="14">
        <v>299</v>
      </c>
      <c r="C305" s="18">
        <v>25</v>
      </c>
      <c r="D305" s="43">
        <v>6.9200000000000097</v>
      </c>
      <c r="E305" s="101">
        <f t="shared" ref="E305" si="608">E301</f>
        <v>3</v>
      </c>
      <c r="F305" s="101">
        <f t="shared" ref="F305" si="609">INT(D305)</f>
        <v>6</v>
      </c>
      <c r="G305" s="104" t="str">
        <f t="shared" si="531"/>
        <v>301,302,303,304</v>
      </c>
      <c r="H305" s="43">
        <v>3000</v>
      </c>
      <c r="I305" s="43">
        <v>1</v>
      </c>
      <c r="J305" s="43">
        <v>10100</v>
      </c>
      <c r="K305" s="101"/>
      <c r="L305" s="32">
        <v>5832</v>
      </c>
      <c r="M305" s="32">
        <v>121</v>
      </c>
      <c r="N305" s="32">
        <v>55</v>
      </c>
      <c r="O305" s="32">
        <v>195</v>
      </c>
      <c r="P305" s="32">
        <v>6.5</v>
      </c>
      <c r="Q305" s="32">
        <v>1000</v>
      </c>
      <c r="R305" s="32">
        <v>50</v>
      </c>
      <c r="S305" s="32">
        <v>350</v>
      </c>
      <c r="T305" s="32">
        <v>3668</v>
      </c>
      <c r="U305" s="32">
        <v>131</v>
      </c>
      <c r="V305" s="32">
        <v>35</v>
      </c>
      <c r="W305" s="32">
        <v>214</v>
      </c>
      <c r="X305" s="32">
        <v>7.15</v>
      </c>
      <c r="Y305" s="32">
        <v>800</v>
      </c>
      <c r="Z305" s="32">
        <v>50</v>
      </c>
      <c r="AA305" s="32">
        <v>350</v>
      </c>
      <c r="AC305" s="18"/>
    </row>
    <row r="306" spans="1:29">
      <c r="A306" s="27" t="s">
        <v>20</v>
      </c>
      <c r="B306" s="14">
        <v>300</v>
      </c>
      <c r="C306" s="18">
        <v>25</v>
      </c>
      <c r="D306" s="43"/>
      <c r="E306" s="101">
        <f t="shared" ref="E306:F306" si="610">E302</f>
        <v>4</v>
      </c>
      <c r="F306" s="101">
        <f t="shared" si="610"/>
        <v>1</v>
      </c>
      <c r="G306" s="104" t="str">
        <f t="shared" si="531"/>
        <v>111,110,109,108,107,106,105,104,103,102,101</v>
      </c>
      <c r="H306" s="43">
        <v>3000</v>
      </c>
      <c r="I306" s="43">
        <v>2</v>
      </c>
      <c r="J306" s="43">
        <v>525</v>
      </c>
      <c r="K306" s="101"/>
      <c r="L306" s="32">
        <v>5832</v>
      </c>
      <c r="M306" s="32">
        <v>121</v>
      </c>
      <c r="N306" s="32">
        <v>55</v>
      </c>
      <c r="O306" s="32">
        <v>195</v>
      </c>
      <c r="P306" s="32">
        <v>6.5</v>
      </c>
      <c r="Q306" s="32">
        <v>1000</v>
      </c>
      <c r="R306" s="32">
        <v>50</v>
      </c>
      <c r="S306" s="32">
        <v>350</v>
      </c>
      <c r="T306" s="32">
        <v>3668</v>
      </c>
      <c r="U306" s="32">
        <v>131</v>
      </c>
      <c r="V306" s="32">
        <v>35</v>
      </c>
      <c r="W306" s="32">
        <v>214</v>
      </c>
      <c r="X306" s="32">
        <v>7.15</v>
      </c>
      <c r="Y306" s="32">
        <v>800</v>
      </c>
      <c r="Z306" s="32">
        <v>50</v>
      </c>
      <c r="AA306" s="32">
        <v>350</v>
      </c>
      <c r="AC306" s="18"/>
    </row>
    <row r="307" spans="1:29">
      <c r="I307" s="43">
        <v>3</v>
      </c>
      <c r="J307" s="43">
        <v>5</v>
      </c>
      <c r="K307" s="100" t="str">
        <f t="shared" ref="K307" si="611">K304</f>
        <v>301,302,303,304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export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1266825</xdr:colOff>
                    <xdr:row>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:F236"/>
  <sheetViews>
    <sheetView topLeftCell="A19" workbookViewId="0">
      <selection activeCell="G49" sqref="G49"/>
    </sheetView>
  </sheetViews>
  <sheetFormatPr defaultRowHeight="13.5"/>
  <sheetData>
    <row r="1" spans="1:6">
      <c r="C1" t="s">
        <v>0</v>
      </c>
      <c r="F1" t="s">
        <v>1</v>
      </c>
    </row>
    <row r="2" spans="1:6">
      <c r="C2" t="s">
        <v>673</v>
      </c>
      <c r="F2" t="s">
        <v>976</v>
      </c>
    </row>
    <row r="3" spans="1:6">
      <c r="C3" t="s">
        <v>17</v>
      </c>
      <c r="F3" t="s">
        <v>17</v>
      </c>
    </row>
    <row r="4" spans="1:6">
      <c r="C4" t="s">
        <v>5</v>
      </c>
      <c r="F4" t="s">
        <v>5</v>
      </c>
    </row>
    <row r="6" spans="1:6">
      <c r="C6" t="s">
        <v>674</v>
      </c>
      <c r="D6" t="s">
        <v>820</v>
      </c>
      <c r="E6" t="s">
        <v>973</v>
      </c>
      <c r="F6" t="s">
        <v>977</v>
      </c>
    </row>
    <row r="7" spans="1:6">
      <c r="A7" t="s">
        <v>10</v>
      </c>
      <c r="B7" t="s">
        <v>654</v>
      </c>
      <c r="C7" t="s">
        <v>675</v>
      </c>
      <c r="D7" t="s">
        <v>821</v>
      </c>
      <c r="E7" t="s">
        <v>974</v>
      </c>
      <c r="F7" t="s">
        <v>978</v>
      </c>
    </row>
    <row r="8" spans="1:6">
      <c r="C8" t="s">
        <v>676</v>
      </c>
      <c r="D8" t="s">
        <v>822</v>
      </c>
      <c r="E8" t="s">
        <v>974</v>
      </c>
      <c r="F8" t="s">
        <v>979</v>
      </c>
    </row>
    <row r="9" spans="1:6">
      <c r="C9" t="s">
        <v>677</v>
      </c>
      <c r="D9" t="s">
        <v>823</v>
      </c>
      <c r="E9" t="s">
        <v>135</v>
      </c>
      <c r="F9">
        <v>1</v>
      </c>
    </row>
    <row r="10" spans="1:6">
      <c r="C10" t="s">
        <v>678</v>
      </c>
      <c r="D10" t="s">
        <v>824</v>
      </c>
      <c r="E10" t="s">
        <v>135</v>
      </c>
      <c r="F10">
        <v>1</v>
      </c>
    </row>
    <row r="11" spans="1:6">
      <c r="C11" t="s">
        <v>679</v>
      </c>
      <c r="D11" t="s">
        <v>825</v>
      </c>
      <c r="E11" t="s">
        <v>135</v>
      </c>
      <c r="F11">
        <v>1</v>
      </c>
    </row>
    <row r="12" spans="1:6">
      <c r="C12" t="s">
        <v>680</v>
      </c>
      <c r="D12" t="s">
        <v>826</v>
      </c>
      <c r="E12" t="s">
        <v>975</v>
      </c>
      <c r="F12">
        <v>5</v>
      </c>
    </row>
    <row r="13" spans="1:6">
      <c r="B13" t="s">
        <v>655</v>
      </c>
      <c r="C13" t="s">
        <v>681</v>
      </c>
      <c r="D13" t="s">
        <v>827</v>
      </c>
      <c r="E13" t="s">
        <v>135</v>
      </c>
      <c r="F13">
        <v>100</v>
      </c>
    </row>
    <row r="14" spans="1:6">
      <c r="C14" t="s">
        <v>682</v>
      </c>
      <c r="D14" t="s">
        <v>828</v>
      </c>
      <c r="E14" t="s">
        <v>135</v>
      </c>
      <c r="F14">
        <v>100</v>
      </c>
    </row>
    <row r="15" spans="1:6">
      <c r="B15" t="s">
        <v>656</v>
      </c>
      <c r="C15" t="s">
        <v>683</v>
      </c>
      <c r="D15" t="s">
        <v>829</v>
      </c>
      <c r="E15" t="s">
        <v>17</v>
      </c>
      <c r="F15">
        <v>123</v>
      </c>
    </row>
    <row r="16" spans="1:6">
      <c r="C16" t="s">
        <v>684</v>
      </c>
      <c r="D16" t="s">
        <v>830</v>
      </c>
      <c r="E16" t="s">
        <v>17</v>
      </c>
      <c r="F16">
        <v>456</v>
      </c>
    </row>
    <row r="17" spans="2:6">
      <c r="B17" t="s">
        <v>657</v>
      </c>
      <c r="C17" t="s">
        <v>685</v>
      </c>
      <c r="D17" t="s">
        <v>831</v>
      </c>
      <c r="E17" t="s">
        <v>135</v>
      </c>
      <c r="F17">
        <v>0</v>
      </c>
    </row>
    <row r="18" spans="2:6">
      <c r="B18" t="s">
        <v>658</v>
      </c>
      <c r="C18" t="s">
        <v>608</v>
      </c>
      <c r="D18" t="s">
        <v>609</v>
      </c>
      <c r="E18" t="s">
        <v>135</v>
      </c>
      <c r="F18">
        <v>20</v>
      </c>
    </row>
    <row r="19" spans="2:6">
      <c r="C19" t="s">
        <v>686</v>
      </c>
      <c r="D19" t="s">
        <v>832</v>
      </c>
      <c r="E19" t="s">
        <v>586</v>
      </c>
      <c r="F19" t="s">
        <v>1105</v>
      </c>
    </row>
    <row r="20" spans="2:6">
      <c r="B20" t="s">
        <v>659</v>
      </c>
      <c r="C20" t="s">
        <v>687</v>
      </c>
      <c r="D20" t="s">
        <v>833</v>
      </c>
      <c r="E20" t="s">
        <v>586</v>
      </c>
      <c r="F20" t="s">
        <v>1150</v>
      </c>
    </row>
    <row r="21" spans="2:6">
      <c r="C21" t="s">
        <v>688</v>
      </c>
      <c r="D21" t="s">
        <v>834</v>
      </c>
      <c r="E21" t="s">
        <v>586</v>
      </c>
      <c r="F21" t="s">
        <v>980</v>
      </c>
    </row>
    <row r="22" spans="2:6">
      <c r="C22" t="s">
        <v>689</v>
      </c>
      <c r="D22" t="s">
        <v>835</v>
      </c>
      <c r="E22" t="s">
        <v>135</v>
      </c>
      <c r="F22">
        <v>100</v>
      </c>
    </row>
    <row r="23" spans="2:6">
      <c r="C23" t="s">
        <v>690</v>
      </c>
      <c r="D23" t="s">
        <v>836</v>
      </c>
      <c r="E23" t="s">
        <v>135</v>
      </c>
      <c r="F23">
        <v>10</v>
      </c>
    </row>
    <row r="24" spans="2:6">
      <c r="C24" t="s">
        <v>691</v>
      </c>
      <c r="D24" t="s">
        <v>837</v>
      </c>
      <c r="E24" t="s">
        <v>135</v>
      </c>
      <c r="F24">
        <v>1</v>
      </c>
    </row>
    <row r="25" spans="2:6">
      <c r="C25" t="s">
        <v>692</v>
      </c>
      <c r="D25" t="s">
        <v>838</v>
      </c>
      <c r="E25" t="s">
        <v>135</v>
      </c>
      <c r="F25">
        <v>1</v>
      </c>
    </row>
    <row r="26" spans="2:6">
      <c r="C26" t="s">
        <v>693</v>
      </c>
      <c r="D26" t="s">
        <v>839</v>
      </c>
      <c r="E26" t="s">
        <v>135</v>
      </c>
      <c r="F26">
        <v>5</v>
      </c>
    </row>
    <row r="27" spans="2:6">
      <c r="C27" t="s">
        <v>694</v>
      </c>
      <c r="D27" t="s">
        <v>840</v>
      </c>
      <c r="E27" t="s">
        <v>135</v>
      </c>
      <c r="F27">
        <v>50</v>
      </c>
    </row>
    <row r="28" spans="2:6">
      <c r="C28" t="s">
        <v>695</v>
      </c>
      <c r="D28" t="s">
        <v>841</v>
      </c>
      <c r="E28" t="s">
        <v>135</v>
      </c>
      <c r="F28">
        <v>2000</v>
      </c>
    </row>
    <row r="29" spans="2:6">
      <c r="C29" t="s">
        <v>696</v>
      </c>
      <c r="D29" t="s">
        <v>842</v>
      </c>
      <c r="E29" t="s">
        <v>135</v>
      </c>
      <c r="F29">
        <v>40000</v>
      </c>
    </row>
    <row r="30" spans="2:6">
      <c r="B30" t="s">
        <v>660</v>
      </c>
      <c r="C30" t="s">
        <v>697</v>
      </c>
      <c r="D30" t="s">
        <v>843</v>
      </c>
      <c r="E30" t="s">
        <v>586</v>
      </c>
      <c r="F30" t="s">
        <v>981</v>
      </c>
    </row>
    <row r="31" spans="2:6">
      <c r="C31" t="s">
        <v>698</v>
      </c>
      <c r="D31" t="s">
        <v>844</v>
      </c>
      <c r="E31" t="s">
        <v>135</v>
      </c>
      <c r="F31">
        <v>15</v>
      </c>
    </row>
    <row r="32" spans="2:6">
      <c r="C32" t="s">
        <v>699</v>
      </c>
      <c r="D32" t="s">
        <v>845</v>
      </c>
      <c r="E32" t="s">
        <v>135</v>
      </c>
      <c r="F32">
        <v>2</v>
      </c>
    </row>
    <row r="33" spans="2:6">
      <c r="C33" t="s">
        <v>700</v>
      </c>
      <c r="D33" t="s">
        <v>846</v>
      </c>
      <c r="E33" t="s">
        <v>135</v>
      </c>
      <c r="F33">
        <v>14400</v>
      </c>
    </row>
    <row r="34" spans="2:6">
      <c r="C34" t="s">
        <v>701</v>
      </c>
      <c r="D34" t="s">
        <v>847</v>
      </c>
      <c r="E34" t="s">
        <v>586</v>
      </c>
      <c r="F34" t="s">
        <v>982</v>
      </c>
    </row>
    <row r="35" spans="2:6">
      <c r="C35" t="s">
        <v>702</v>
      </c>
      <c r="D35" t="s">
        <v>848</v>
      </c>
      <c r="E35" t="s">
        <v>135</v>
      </c>
      <c r="F35">
        <v>14</v>
      </c>
    </row>
    <row r="36" spans="2:6">
      <c r="C36" t="s">
        <v>703</v>
      </c>
      <c r="D36" t="s">
        <v>849</v>
      </c>
      <c r="E36" t="s">
        <v>135</v>
      </c>
      <c r="F36">
        <v>82800</v>
      </c>
    </row>
    <row r="37" spans="2:6">
      <c r="C37" t="s">
        <v>704</v>
      </c>
      <c r="D37" t="s">
        <v>850</v>
      </c>
      <c r="E37" t="s">
        <v>135</v>
      </c>
      <c r="F37">
        <v>10</v>
      </c>
    </row>
    <row r="38" spans="2:6">
      <c r="C38" t="s">
        <v>705</v>
      </c>
      <c r="D38" t="s">
        <v>851</v>
      </c>
      <c r="E38" t="s">
        <v>586</v>
      </c>
      <c r="F38" t="s">
        <v>983</v>
      </c>
    </row>
    <row r="39" spans="2:6">
      <c r="C39" t="s">
        <v>706</v>
      </c>
      <c r="D39" t="s">
        <v>852</v>
      </c>
      <c r="E39" t="s">
        <v>135</v>
      </c>
      <c r="F39">
        <v>13</v>
      </c>
    </row>
    <row r="40" spans="2:6">
      <c r="C40" t="s">
        <v>707</v>
      </c>
      <c r="D40" t="s">
        <v>853</v>
      </c>
      <c r="E40" t="s">
        <v>135</v>
      </c>
      <c r="F40">
        <v>100</v>
      </c>
    </row>
    <row r="41" spans="2:6">
      <c r="C41" t="s">
        <v>708</v>
      </c>
      <c r="D41" t="s">
        <v>854</v>
      </c>
      <c r="E41" t="s">
        <v>586</v>
      </c>
      <c r="F41" t="s">
        <v>984</v>
      </c>
    </row>
    <row r="42" spans="2:6">
      <c r="C42" t="s">
        <v>709</v>
      </c>
      <c r="D42" t="s">
        <v>855</v>
      </c>
      <c r="E42" t="s">
        <v>29</v>
      </c>
      <c r="F42">
        <v>0.1</v>
      </c>
    </row>
    <row r="43" spans="2:6">
      <c r="B43" t="s">
        <v>661</v>
      </c>
      <c r="C43" t="s">
        <v>710</v>
      </c>
      <c r="D43" t="s">
        <v>856</v>
      </c>
      <c r="E43" t="s">
        <v>586</v>
      </c>
      <c r="F43" t="s">
        <v>985</v>
      </c>
    </row>
    <row r="44" spans="2:6">
      <c r="C44" t="s">
        <v>711</v>
      </c>
      <c r="D44" t="s">
        <v>857</v>
      </c>
      <c r="E44" t="s">
        <v>586</v>
      </c>
      <c r="F44" t="s">
        <v>986</v>
      </c>
    </row>
    <row r="45" spans="2:6">
      <c r="C45" t="s">
        <v>712</v>
      </c>
      <c r="D45" t="s">
        <v>858</v>
      </c>
      <c r="E45" t="s">
        <v>586</v>
      </c>
      <c r="F45" t="s">
        <v>987</v>
      </c>
    </row>
    <row r="46" spans="2:6">
      <c r="C46" t="s">
        <v>713</v>
      </c>
      <c r="D46" t="s">
        <v>859</v>
      </c>
      <c r="E46" t="s">
        <v>586</v>
      </c>
      <c r="F46" t="s">
        <v>988</v>
      </c>
    </row>
    <row r="47" spans="2:6">
      <c r="C47" t="s">
        <v>355</v>
      </c>
      <c r="D47" t="s">
        <v>356</v>
      </c>
      <c r="E47" t="s">
        <v>17</v>
      </c>
      <c r="F47" t="s">
        <v>989</v>
      </c>
    </row>
    <row r="48" spans="2:6">
      <c r="C48" t="s">
        <v>353</v>
      </c>
      <c r="D48" t="s">
        <v>354</v>
      </c>
      <c r="E48" t="s">
        <v>17</v>
      </c>
      <c r="F48" t="s">
        <v>989</v>
      </c>
    </row>
    <row r="49" spans="3:6">
      <c r="C49" t="s">
        <v>351</v>
      </c>
      <c r="D49" t="s">
        <v>352</v>
      </c>
      <c r="E49" t="s">
        <v>17</v>
      </c>
      <c r="F49" t="s">
        <v>989</v>
      </c>
    </row>
    <row r="50" spans="3:6">
      <c r="C50" t="s">
        <v>349</v>
      </c>
      <c r="D50" t="s">
        <v>350</v>
      </c>
      <c r="E50" t="s">
        <v>17</v>
      </c>
      <c r="F50" t="s">
        <v>989</v>
      </c>
    </row>
    <row r="51" spans="3:6">
      <c r="C51" t="s">
        <v>357</v>
      </c>
      <c r="D51" t="s">
        <v>358</v>
      </c>
      <c r="E51" t="s">
        <v>17</v>
      </c>
      <c r="F51" t="s">
        <v>989</v>
      </c>
    </row>
    <row r="52" spans="3:6">
      <c r="C52" t="s">
        <v>359</v>
      </c>
      <c r="D52" t="s">
        <v>360</v>
      </c>
      <c r="E52" t="s">
        <v>17</v>
      </c>
      <c r="F52" t="s">
        <v>989</v>
      </c>
    </row>
    <row r="53" spans="3:6">
      <c r="C53" t="s">
        <v>214</v>
      </c>
      <c r="D53" t="s">
        <v>215</v>
      </c>
      <c r="E53" t="s">
        <v>17</v>
      </c>
      <c r="F53" t="s">
        <v>990</v>
      </c>
    </row>
    <row r="54" spans="3:6">
      <c r="C54" t="s">
        <v>714</v>
      </c>
      <c r="D54" t="s">
        <v>860</v>
      </c>
      <c r="E54" t="s">
        <v>135</v>
      </c>
      <c r="F54">
        <v>11</v>
      </c>
    </row>
    <row r="55" spans="3:6">
      <c r="C55" t="s">
        <v>715</v>
      </c>
      <c r="D55" t="s">
        <v>314</v>
      </c>
      <c r="E55" t="s">
        <v>135</v>
      </c>
      <c r="F55">
        <v>12</v>
      </c>
    </row>
    <row r="56" spans="3:6">
      <c r="C56" t="s">
        <v>716</v>
      </c>
      <c r="D56" t="s">
        <v>315</v>
      </c>
      <c r="E56" t="s">
        <v>135</v>
      </c>
      <c r="F56">
        <v>13</v>
      </c>
    </row>
    <row r="57" spans="3:6">
      <c r="C57" t="s">
        <v>717</v>
      </c>
      <c r="D57" t="s">
        <v>861</v>
      </c>
      <c r="E57" t="s">
        <v>974</v>
      </c>
      <c r="F57" t="s">
        <v>991</v>
      </c>
    </row>
    <row r="58" spans="3:6">
      <c r="C58" t="s">
        <v>718</v>
      </c>
      <c r="D58" t="s">
        <v>862</v>
      </c>
      <c r="E58" t="s">
        <v>586</v>
      </c>
      <c r="F58" t="s">
        <v>992</v>
      </c>
    </row>
    <row r="59" spans="3:6">
      <c r="C59" t="s">
        <v>719</v>
      </c>
      <c r="D59" t="s">
        <v>863</v>
      </c>
      <c r="E59" t="s">
        <v>586</v>
      </c>
      <c r="F59" t="s">
        <v>993</v>
      </c>
    </row>
    <row r="60" spans="3:6">
      <c r="C60" t="s">
        <v>720</v>
      </c>
      <c r="D60" t="s">
        <v>864</v>
      </c>
      <c r="E60" t="s">
        <v>974</v>
      </c>
      <c r="F60" t="s">
        <v>994</v>
      </c>
    </row>
    <row r="61" spans="3:6">
      <c r="C61" t="s">
        <v>721</v>
      </c>
      <c r="D61" t="s">
        <v>865</v>
      </c>
      <c r="E61" t="s">
        <v>17</v>
      </c>
      <c r="F61" t="s">
        <v>995</v>
      </c>
    </row>
    <row r="62" spans="3:6">
      <c r="C62" t="s">
        <v>722</v>
      </c>
      <c r="D62" t="s">
        <v>866</v>
      </c>
      <c r="E62" t="s">
        <v>974</v>
      </c>
      <c r="F62" t="s">
        <v>996</v>
      </c>
    </row>
    <row r="63" spans="3:6">
      <c r="C63" t="s">
        <v>723</v>
      </c>
      <c r="D63" t="s">
        <v>867</v>
      </c>
      <c r="E63" t="s">
        <v>586</v>
      </c>
      <c r="F63" t="s">
        <v>997</v>
      </c>
    </row>
    <row r="64" spans="3:6">
      <c r="C64" t="s">
        <v>724</v>
      </c>
      <c r="D64" t="s">
        <v>868</v>
      </c>
      <c r="E64" t="s">
        <v>586</v>
      </c>
      <c r="F64" t="s">
        <v>998</v>
      </c>
    </row>
    <row r="65" spans="2:6">
      <c r="C65" t="s">
        <v>725</v>
      </c>
      <c r="D65" t="s">
        <v>869</v>
      </c>
      <c r="E65" t="s">
        <v>974</v>
      </c>
      <c r="F65" t="s">
        <v>998</v>
      </c>
    </row>
    <row r="66" spans="2:6">
      <c r="C66" t="s">
        <v>592</v>
      </c>
      <c r="D66" t="s">
        <v>593</v>
      </c>
      <c r="E66" t="s">
        <v>135</v>
      </c>
      <c r="F66">
        <v>2000</v>
      </c>
    </row>
    <row r="67" spans="2:6">
      <c r="C67" t="s">
        <v>594</v>
      </c>
      <c r="D67" t="s">
        <v>595</v>
      </c>
      <c r="E67" t="s">
        <v>135</v>
      </c>
      <c r="F67">
        <v>2000</v>
      </c>
    </row>
    <row r="68" spans="2:6">
      <c r="C68" t="s">
        <v>596</v>
      </c>
      <c r="D68" t="s">
        <v>597</v>
      </c>
      <c r="E68" t="s">
        <v>586</v>
      </c>
      <c r="F68" t="s">
        <v>999</v>
      </c>
    </row>
    <row r="69" spans="2:6">
      <c r="C69" t="s">
        <v>598</v>
      </c>
      <c r="D69" t="s">
        <v>599</v>
      </c>
      <c r="E69" t="s">
        <v>135</v>
      </c>
      <c r="F69">
        <v>5000</v>
      </c>
    </row>
    <row r="70" spans="2:6">
      <c r="C70" t="s">
        <v>600</v>
      </c>
      <c r="D70" t="s">
        <v>601</v>
      </c>
      <c r="E70" t="s">
        <v>135</v>
      </c>
      <c r="F70">
        <v>5000</v>
      </c>
    </row>
    <row r="71" spans="2:6">
      <c r="C71" t="s">
        <v>602</v>
      </c>
      <c r="D71" t="s">
        <v>603</v>
      </c>
      <c r="E71" t="s">
        <v>586</v>
      </c>
      <c r="F71" t="s">
        <v>1000</v>
      </c>
    </row>
    <row r="72" spans="2:6">
      <c r="B72" t="s">
        <v>662</v>
      </c>
      <c r="C72" t="s">
        <v>726</v>
      </c>
      <c r="D72" t="s">
        <v>870</v>
      </c>
      <c r="E72" t="s">
        <v>135</v>
      </c>
      <c r="F72" t="s">
        <v>1001</v>
      </c>
    </row>
    <row r="73" spans="2:6">
      <c r="C73" t="s">
        <v>727</v>
      </c>
      <c r="D73" t="s">
        <v>871</v>
      </c>
      <c r="E73" t="s">
        <v>135</v>
      </c>
      <c r="F73" t="s">
        <v>1001</v>
      </c>
    </row>
    <row r="74" spans="2:6">
      <c r="C74" t="s">
        <v>728</v>
      </c>
      <c r="D74" t="s">
        <v>872</v>
      </c>
      <c r="E74" t="s">
        <v>135</v>
      </c>
      <c r="F74" t="s">
        <v>1001</v>
      </c>
    </row>
    <row r="75" spans="2:6">
      <c r="C75" t="s">
        <v>729</v>
      </c>
      <c r="D75" t="s">
        <v>873</v>
      </c>
      <c r="E75" t="s">
        <v>135</v>
      </c>
      <c r="F75">
        <v>2</v>
      </c>
    </row>
    <row r="76" spans="2:6">
      <c r="C76" t="s">
        <v>730</v>
      </c>
      <c r="D76" t="s">
        <v>874</v>
      </c>
      <c r="E76" t="s">
        <v>135</v>
      </c>
      <c r="F76">
        <v>2</v>
      </c>
    </row>
    <row r="77" spans="2:6">
      <c r="B77" t="s">
        <v>663</v>
      </c>
      <c r="C77" t="s">
        <v>731</v>
      </c>
      <c r="D77" t="s">
        <v>875</v>
      </c>
      <c r="E77" t="s">
        <v>135</v>
      </c>
      <c r="F77">
        <v>1000</v>
      </c>
    </row>
    <row r="78" spans="2:6">
      <c r="C78" t="s">
        <v>732</v>
      </c>
      <c r="D78" t="s">
        <v>876</v>
      </c>
      <c r="E78" t="s">
        <v>586</v>
      </c>
      <c r="F78" t="s">
        <v>1002</v>
      </c>
    </row>
    <row r="79" spans="2:6">
      <c r="C79" t="s">
        <v>733</v>
      </c>
      <c r="D79" t="s">
        <v>877</v>
      </c>
      <c r="E79" t="s">
        <v>586</v>
      </c>
      <c r="F79" t="s">
        <v>1003</v>
      </c>
    </row>
    <row r="80" spans="2:6">
      <c r="C80" t="s">
        <v>734</v>
      </c>
      <c r="D80" t="s">
        <v>878</v>
      </c>
      <c r="E80" t="s">
        <v>135</v>
      </c>
      <c r="F80">
        <v>50</v>
      </c>
    </row>
    <row r="81" spans="2:6">
      <c r="C81" t="s">
        <v>735</v>
      </c>
      <c r="D81" t="s">
        <v>879</v>
      </c>
      <c r="E81" t="s">
        <v>135</v>
      </c>
      <c r="F81">
        <v>43200</v>
      </c>
    </row>
    <row r="82" spans="2:6">
      <c r="C82" t="s">
        <v>736</v>
      </c>
      <c r="D82" t="s">
        <v>880</v>
      </c>
      <c r="E82" t="s">
        <v>135</v>
      </c>
      <c r="F82">
        <v>40</v>
      </c>
    </row>
    <row r="83" spans="2:6">
      <c r="C83" t="s">
        <v>737</v>
      </c>
      <c r="D83" t="s">
        <v>881</v>
      </c>
      <c r="E83" t="s">
        <v>135</v>
      </c>
      <c r="F83">
        <v>1</v>
      </c>
    </row>
    <row r="84" spans="2:6">
      <c r="C84" t="s">
        <v>738</v>
      </c>
      <c r="D84" t="s">
        <v>882</v>
      </c>
      <c r="E84" t="s">
        <v>135</v>
      </c>
      <c r="F84">
        <v>5</v>
      </c>
    </row>
    <row r="85" spans="2:6">
      <c r="C85" t="s">
        <v>739</v>
      </c>
      <c r="D85" t="s">
        <v>883</v>
      </c>
      <c r="E85" t="s">
        <v>135</v>
      </c>
      <c r="F85">
        <v>1</v>
      </c>
    </row>
    <row r="86" spans="2:6">
      <c r="C86" t="s">
        <v>740</v>
      </c>
      <c r="D86" t="s">
        <v>884</v>
      </c>
      <c r="E86" t="s">
        <v>135</v>
      </c>
      <c r="F86">
        <v>10</v>
      </c>
    </row>
    <row r="87" spans="2:6">
      <c r="C87" t="s">
        <v>741</v>
      </c>
      <c r="D87" t="s">
        <v>885</v>
      </c>
      <c r="E87" t="s">
        <v>135</v>
      </c>
      <c r="F87">
        <v>50</v>
      </c>
    </row>
    <row r="88" spans="2:6">
      <c r="C88" t="s">
        <v>742</v>
      </c>
      <c r="D88" t="s">
        <v>886</v>
      </c>
      <c r="E88" t="s">
        <v>135</v>
      </c>
      <c r="F88">
        <v>10</v>
      </c>
    </row>
    <row r="89" spans="2:6">
      <c r="C89" t="s">
        <v>743</v>
      </c>
      <c r="D89" t="s">
        <v>887</v>
      </c>
      <c r="E89" t="s">
        <v>135</v>
      </c>
      <c r="F89">
        <v>0</v>
      </c>
    </row>
    <row r="90" spans="2:6">
      <c r="C90" t="s">
        <v>744</v>
      </c>
      <c r="D90" t="s">
        <v>888</v>
      </c>
      <c r="E90" t="s">
        <v>135</v>
      </c>
      <c r="F90">
        <v>28800</v>
      </c>
    </row>
    <row r="91" spans="2:6">
      <c r="C91" t="s">
        <v>745</v>
      </c>
      <c r="D91" t="s">
        <v>889</v>
      </c>
      <c r="E91" t="s">
        <v>135</v>
      </c>
      <c r="F91">
        <v>30</v>
      </c>
    </row>
    <row r="92" spans="2:6">
      <c r="C92" t="s">
        <v>746</v>
      </c>
      <c r="D92" t="s">
        <v>890</v>
      </c>
      <c r="E92" t="s">
        <v>135</v>
      </c>
      <c r="F92">
        <v>10800</v>
      </c>
    </row>
    <row r="93" spans="2:6">
      <c r="C93" t="s">
        <v>747</v>
      </c>
      <c r="D93" t="s">
        <v>891</v>
      </c>
      <c r="E93" t="s">
        <v>135</v>
      </c>
      <c r="F93">
        <v>30</v>
      </c>
    </row>
    <row r="94" spans="2:6">
      <c r="C94" t="s">
        <v>1079</v>
      </c>
      <c r="D94" t="s">
        <v>1081</v>
      </c>
      <c r="E94" t="s">
        <v>974</v>
      </c>
      <c r="F94" t="s">
        <v>1116</v>
      </c>
    </row>
    <row r="95" spans="2:6">
      <c r="B95" t="s">
        <v>664</v>
      </c>
      <c r="C95" t="s">
        <v>748</v>
      </c>
      <c r="D95" t="s">
        <v>892</v>
      </c>
      <c r="E95" t="s">
        <v>135</v>
      </c>
      <c r="F95">
        <v>0</v>
      </c>
    </row>
    <row r="96" spans="2:6">
      <c r="C96" t="s">
        <v>749</v>
      </c>
      <c r="D96" t="s">
        <v>893</v>
      </c>
      <c r="E96" t="s">
        <v>135</v>
      </c>
      <c r="F96">
        <v>0</v>
      </c>
    </row>
    <row r="97" spans="2:6">
      <c r="B97" t="s">
        <v>665</v>
      </c>
      <c r="C97" t="s">
        <v>750</v>
      </c>
      <c r="D97" t="s">
        <v>894</v>
      </c>
      <c r="E97" t="s">
        <v>135</v>
      </c>
      <c r="F97">
        <v>7</v>
      </c>
    </row>
    <row r="98" spans="2:6">
      <c r="C98" t="s">
        <v>751</v>
      </c>
      <c r="D98" t="s">
        <v>895</v>
      </c>
      <c r="E98" t="s">
        <v>135</v>
      </c>
      <c r="F98">
        <v>4</v>
      </c>
    </row>
    <row r="99" spans="2:6">
      <c r="B99" t="s">
        <v>1152</v>
      </c>
      <c r="C99" t="s">
        <v>1154</v>
      </c>
      <c r="D99" t="s">
        <v>1172</v>
      </c>
      <c r="E99" t="s">
        <v>29</v>
      </c>
      <c r="F99">
        <v>10</v>
      </c>
    </row>
    <row r="100" spans="2:6">
      <c r="C100" t="s">
        <v>1156</v>
      </c>
      <c r="D100" t="s">
        <v>1174</v>
      </c>
      <c r="E100" t="s">
        <v>29</v>
      </c>
      <c r="F100">
        <v>5</v>
      </c>
    </row>
    <row r="101" spans="2:6">
      <c r="C101" t="s">
        <v>1158</v>
      </c>
      <c r="D101" t="s">
        <v>1176</v>
      </c>
      <c r="E101" t="s">
        <v>29</v>
      </c>
      <c r="F101">
        <v>0.36</v>
      </c>
    </row>
    <row r="102" spans="2:6">
      <c r="C102" t="s">
        <v>1160</v>
      </c>
      <c r="D102" t="s">
        <v>1178</v>
      </c>
      <c r="E102" t="s">
        <v>29</v>
      </c>
      <c r="F102">
        <v>0.72</v>
      </c>
    </row>
    <row r="103" spans="2:6">
      <c r="C103" t="s">
        <v>1162</v>
      </c>
      <c r="D103" t="s">
        <v>1180</v>
      </c>
      <c r="E103" t="s">
        <v>135</v>
      </c>
      <c r="F103">
        <v>120</v>
      </c>
    </row>
    <row r="104" spans="2:6">
      <c r="C104" t="s">
        <v>1164</v>
      </c>
      <c r="D104" t="s">
        <v>1182</v>
      </c>
      <c r="E104" t="s">
        <v>135</v>
      </c>
      <c r="F104">
        <v>180</v>
      </c>
    </row>
    <row r="105" spans="2:6">
      <c r="C105" t="s">
        <v>1166</v>
      </c>
      <c r="D105" t="s">
        <v>1184</v>
      </c>
      <c r="E105" t="s">
        <v>135</v>
      </c>
      <c r="F105">
        <v>60</v>
      </c>
    </row>
    <row r="106" spans="2:6">
      <c r="C106" t="s">
        <v>1168</v>
      </c>
      <c r="D106" t="s">
        <v>1186</v>
      </c>
      <c r="E106" t="s">
        <v>135</v>
      </c>
      <c r="F106">
        <v>5</v>
      </c>
    </row>
    <row r="107" spans="2:6">
      <c r="C107" t="s">
        <v>1170</v>
      </c>
      <c r="D107" t="s">
        <v>1188</v>
      </c>
      <c r="E107" t="s">
        <v>135</v>
      </c>
      <c r="F107">
        <v>5</v>
      </c>
    </row>
    <row r="108" spans="2:6">
      <c r="B108" t="s">
        <v>666</v>
      </c>
      <c r="C108" t="s">
        <v>752</v>
      </c>
      <c r="D108" t="s">
        <v>896</v>
      </c>
      <c r="E108" t="s">
        <v>29</v>
      </c>
      <c r="F108">
        <v>10</v>
      </c>
    </row>
    <row r="109" spans="2:6">
      <c r="C109" t="s">
        <v>753</v>
      </c>
      <c r="D109" t="s">
        <v>897</v>
      </c>
      <c r="E109" t="s">
        <v>29</v>
      </c>
      <c r="F109">
        <v>5</v>
      </c>
    </row>
    <row r="110" spans="2:6">
      <c r="C110" t="s">
        <v>754</v>
      </c>
      <c r="D110" t="s">
        <v>898</v>
      </c>
      <c r="E110" t="s">
        <v>29</v>
      </c>
      <c r="F110">
        <v>0.36</v>
      </c>
    </row>
    <row r="111" spans="2:6">
      <c r="C111" t="s">
        <v>755</v>
      </c>
      <c r="D111" t="s">
        <v>899</v>
      </c>
      <c r="E111" t="s">
        <v>29</v>
      </c>
      <c r="F111">
        <v>0.72</v>
      </c>
    </row>
    <row r="112" spans="2:6">
      <c r="C112" t="s">
        <v>756</v>
      </c>
      <c r="D112" t="s">
        <v>900</v>
      </c>
      <c r="E112" t="s">
        <v>135</v>
      </c>
      <c r="F112">
        <v>120</v>
      </c>
    </row>
    <row r="113" spans="2:6">
      <c r="C113" t="s">
        <v>757</v>
      </c>
      <c r="D113" t="s">
        <v>901</v>
      </c>
      <c r="E113" t="s">
        <v>135</v>
      </c>
      <c r="F113">
        <v>180</v>
      </c>
    </row>
    <row r="114" spans="2:6">
      <c r="C114" t="s">
        <v>758</v>
      </c>
      <c r="D114" t="s">
        <v>902</v>
      </c>
      <c r="E114" t="s">
        <v>135</v>
      </c>
      <c r="F114">
        <v>60</v>
      </c>
    </row>
    <row r="115" spans="2:6">
      <c r="C115" t="s">
        <v>645</v>
      </c>
      <c r="D115" t="s">
        <v>649</v>
      </c>
      <c r="E115" t="s">
        <v>135</v>
      </c>
      <c r="F115">
        <v>5</v>
      </c>
    </row>
    <row r="116" spans="2:6">
      <c r="C116" t="s">
        <v>647</v>
      </c>
      <c r="D116" t="s">
        <v>651</v>
      </c>
      <c r="E116" t="s">
        <v>135</v>
      </c>
      <c r="F116">
        <v>5</v>
      </c>
    </row>
    <row r="117" spans="2:6">
      <c r="C117" t="s">
        <v>759</v>
      </c>
      <c r="D117" t="s">
        <v>903</v>
      </c>
      <c r="E117" t="s">
        <v>974</v>
      </c>
      <c r="F117" t="s">
        <v>1097</v>
      </c>
    </row>
    <row r="118" spans="2:6">
      <c r="C118" t="s">
        <v>760</v>
      </c>
      <c r="D118" t="s">
        <v>1099</v>
      </c>
      <c r="E118" t="s">
        <v>135</v>
      </c>
      <c r="F118">
        <v>1296000</v>
      </c>
    </row>
    <row r="119" spans="2:6">
      <c r="C119" t="s">
        <v>761</v>
      </c>
      <c r="D119" t="s">
        <v>904</v>
      </c>
      <c r="E119" t="s">
        <v>135</v>
      </c>
      <c r="F119">
        <v>3000</v>
      </c>
    </row>
    <row r="120" spans="2:6">
      <c r="C120" t="s">
        <v>762</v>
      </c>
      <c r="D120" t="s">
        <v>905</v>
      </c>
      <c r="E120" t="s">
        <v>135</v>
      </c>
      <c r="F120">
        <v>20</v>
      </c>
    </row>
    <row r="121" spans="2:6">
      <c r="C121" t="s">
        <v>763</v>
      </c>
      <c r="D121" t="s">
        <v>906</v>
      </c>
      <c r="E121" t="s">
        <v>135</v>
      </c>
      <c r="F121">
        <v>7</v>
      </c>
    </row>
    <row r="122" spans="2:6">
      <c r="C122" t="s">
        <v>1107</v>
      </c>
      <c r="D122" t="s">
        <v>1108</v>
      </c>
      <c r="E122" t="s">
        <v>135</v>
      </c>
      <c r="F122">
        <v>40</v>
      </c>
    </row>
    <row r="123" spans="2:6">
      <c r="C123" t="s">
        <v>1109</v>
      </c>
      <c r="D123" t="s">
        <v>1110</v>
      </c>
      <c r="E123" t="s">
        <v>135</v>
      </c>
      <c r="F123">
        <v>30</v>
      </c>
    </row>
    <row r="124" spans="2:6">
      <c r="C124" t="s">
        <v>1111</v>
      </c>
      <c r="D124" t="s">
        <v>1112</v>
      </c>
      <c r="E124" t="s">
        <v>135</v>
      </c>
      <c r="F124">
        <v>30</v>
      </c>
    </row>
    <row r="125" spans="2:6">
      <c r="C125" t="s">
        <v>1113</v>
      </c>
      <c r="D125" t="s">
        <v>1114</v>
      </c>
      <c r="E125" t="s">
        <v>135</v>
      </c>
      <c r="F125">
        <v>10</v>
      </c>
    </row>
    <row r="126" spans="2:6">
      <c r="B126" t="s">
        <v>667</v>
      </c>
      <c r="C126" t="s">
        <v>653</v>
      </c>
      <c r="D126" t="s">
        <v>907</v>
      </c>
      <c r="E126" t="s">
        <v>135</v>
      </c>
      <c r="F126">
        <v>5</v>
      </c>
    </row>
    <row r="127" spans="2:6">
      <c r="C127" t="s">
        <v>764</v>
      </c>
      <c r="D127" t="s">
        <v>908</v>
      </c>
      <c r="E127" t="s">
        <v>135</v>
      </c>
      <c r="F127">
        <v>2</v>
      </c>
    </row>
    <row r="128" spans="2:6">
      <c r="C128" t="s">
        <v>765</v>
      </c>
      <c r="D128" t="s">
        <v>909</v>
      </c>
      <c r="E128" t="s">
        <v>135</v>
      </c>
      <c r="F128">
        <v>3</v>
      </c>
    </row>
    <row r="129" spans="2:6">
      <c r="C129" t="s">
        <v>766</v>
      </c>
      <c r="D129" t="s">
        <v>910</v>
      </c>
      <c r="E129" t="s">
        <v>135</v>
      </c>
      <c r="F129">
        <v>-250</v>
      </c>
    </row>
    <row r="130" spans="2:6">
      <c r="C130" t="s">
        <v>767</v>
      </c>
      <c r="D130" t="s">
        <v>911</v>
      </c>
      <c r="E130" t="s">
        <v>135</v>
      </c>
      <c r="F130">
        <v>250</v>
      </c>
    </row>
    <row r="131" spans="2:6">
      <c r="C131" t="s">
        <v>380</v>
      </c>
      <c r="D131" t="s">
        <v>912</v>
      </c>
      <c r="E131" t="s">
        <v>135</v>
      </c>
      <c r="F131">
        <v>-250</v>
      </c>
    </row>
    <row r="132" spans="2:6">
      <c r="C132" t="s">
        <v>381</v>
      </c>
      <c r="D132" t="s">
        <v>913</v>
      </c>
      <c r="E132" t="s">
        <v>135</v>
      </c>
      <c r="F132">
        <v>250</v>
      </c>
    </row>
    <row r="133" spans="2:6">
      <c r="C133" t="s">
        <v>382</v>
      </c>
      <c r="D133" t="s">
        <v>914</v>
      </c>
      <c r="E133" t="s">
        <v>135</v>
      </c>
      <c r="F133">
        <v>-250</v>
      </c>
    </row>
    <row r="134" spans="2:6">
      <c r="C134" t="s">
        <v>383</v>
      </c>
      <c r="D134" t="s">
        <v>915</v>
      </c>
      <c r="E134" t="s">
        <v>135</v>
      </c>
      <c r="F134">
        <v>250</v>
      </c>
    </row>
    <row r="135" spans="2:6">
      <c r="C135" t="s">
        <v>768</v>
      </c>
      <c r="D135" t="s">
        <v>916</v>
      </c>
      <c r="E135" t="s">
        <v>586</v>
      </c>
      <c r="F135" t="s">
        <v>1138</v>
      </c>
    </row>
    <row r="136" spans="2:6">
      <c r="C136" t="s">
        <v>396</v>
      </c>
      <c r="D136" t="s">
        <v>917</v>
      </c>
      <c r="E136" t="s">
        <v>586</v>
      </c>
      <c r="F136" t="s">
        <v>1139</v>
      </c>
    </row>
    <row r="137" spans="2:6">
      <c r="C137" t="s">
        <v>397</v>
      </c>
      <c r="D137" t="s">
        <v>918</v>
      </c>
      <c r="E137" t="s">
        <v>586</v>
      </c>
      <c r="F137" t="s">
        <v>1140</v>
      </c>
    </row>
    <row r="138" spans="2:6">
      <c r="C138" t="s">
        <v>769</v>
      </c>
      <c r="D138" t="s">
        <v>919</v>
      </c>
      <c r="E138" t="s">
        <v>135</v>
      </c>
      <c r="F138">
        <v>32</v>
      </c>
    </row>
    <row r="139" spans="2:6">
      <c r="C139" t="s">
        <v>770</v>
      </c>
      <c r="D139" t="s">
        <v>920</v>
      </c>
      <c r="E139" t="s">
        <v>135</v>
      </c>
      <c r="F139">
        <v>12</v>
      </c>
    </row>
    <row r="140" spans="2:6">
      <c r="B140" t="s">
        <v>668</v>
      </c>
      <c r="C140" t="s">
        <v>771</v>
      </c>
      <c r="D140" t="s">
        <v>921</v>
      </c>
      <c r="E140" t="s">
        <v>135</v>
      </c>
      <c r="F140">
        <v>90</v>
      </c>
    </row>
    <row r="141" spans="2:6">
      <c r="C141" t="s">
        <v>772</v>
      </c>
      <c r="D141" t="s">
        <v>922</v>
      </c>
      <c r="E141" t="s">
        <v>135</v>
      </c>
      <c r="F141">
        <v>1</v>
      </c>
    </row>
    <row r="142" spans="2:6">
      <c r="C142" t="s">
        <v>773</v>
      </c>
      <c r="D142" t="s">
        <v>923</v>
      </c>
      <c r="E142" t="s">
        <v>135</v>
      </c>
      <c r="F142">
        <v>50</v>
      </c>
    </row>
    <row r="143" spans="2:6">
      <c r="C143" t="s">
        <v>774</v>
      </c>
      <c r="D143" t="s">
        <v>924</v>
      </c>
      <c r="E143" t="s">
        <v>135</v>
      </c>
      <c r="F143">
        <v>1</v>
      </c>
    </row>
    <row r="144" spans="2:6">
      <c r="C144" t="s">
        <v>775</v>
      </c>
      <c r="D144" t="s">
        <v>925</v>
      </c>
      <c r="E144" t="s">
        <v>135</v>
      </c>
      <c r="F144">
        <v>30</v>
      </c>
    </row>
    <row r="145" spans="2:6">
      <c r="C145" t="s">
        <v>776</v>
      </c>
      <c r="D145" t="s">
        <v>926</v>
      </c>
      <c r="E145" t="s">
        <v>29</v>
      </c>
      <c r="F145">
        <v>8.5000000000000006E-2</v>
      </c>
    </row>
    <row r="146" spans="2:6">
      <c r="B146" t="s">
        <v>669</v>
      </c>
      <c r="C146" t="s">
        <v>777</v>
      </c>
      <c r="D146" t="s">
        <v>927</v>
      </c>
      <c r="E146" t="s">
        <v>135</v>
      </c>
      <c r="F146">
        <v>100</v>
      </c>
    </row>
    <row r="147" spans="2:6">
      <c r="C147" t="s">
        <v>778</v>
      </c>
      <c r="D147" t="s">
        <v>927</v>
      </c>
      <c r="E147" t="s">
        <v>135</v>
      </c>
      <c r="F147">
        <v>70</v>
      </c>
    </row>
    <row r="148" spans="2:6">
      <c r="C148" t="s">
        <v>288</v>
      </c>
      <c r="D148" t="s">
        <v>927</v>
      </c>
      <c r="E148" t="s">
        <v>135</v>
      </c>
      <c r="F148">
        <v>60</v>
      </c>
    </row>
    <row r="149" spans="2:6">
      <c r="C149" t="s">
        <v>289</v>
      </c>
      <c r="D149" t="s">
        <v>927</v>
      </c>
      <c r="E149" t="s">
        <v>135</v>
      </c>
      <c r="F149">
        <v>55</v>
      </c>
    </row>
    <row r="150" spans="2:6">
      <c r="C150" t="s">
        <v>779</v>
      </c>
      <c r="D150" t="s">
        <v>927</v>
      </c>
      <c r="E150" t="s">
        <v>135</v>
      </c>
      <c r="F150">
        <v>50</v>
      </c>
    </row>
    <row r="151" spans="2:6">
      <c r="C151" t="s">
        <v>290</v>
      </c>
      <c r="D151" t="s">
        <v>927</v>
      </c>
      <c r="E151" t="s">
        <v>135</v>
      </c>
      <c r="F151">
        <v>45</v>
      </c>
    </row>
    <row r="152" spans="2:6">
      <c r="C152" t="s">
        <v>291</v>
      </c>
      <c r="D152" t="s">
        <v>927</v>
      </c>
      <c r="E152" t="s">
        <v>135</v>
      </c>
      <c r="F152">
        <v>40</v>
      </c>
    </row>
    <row r="153" spans="2:6">
      <c r="C153" t="s">
        <v>780</v>
      </c>
      <c r="D153" t="s">
        <v>927</v>
      </c>
      <c r="E153" t="s">
        <v>135</v>
      </c>
      <c r="F153">
        <v>35</v>
      </c>
    </row>
    <row r="154" spans="2:6">
      <c r="C154" t="s">
        <v>293</v>
      </c>
      <c r="D154" t="s">
        <v>927</v>
      </c>
      <c r="E154" t="s">
        <v>135</v>
      </c>
      <c r="F154">
        <v>30</v>
      </c>
    </row>
    <row r="155" spans="2:6">
      <c r="C155" t="s">
        <v>781</v>
      </c>
      <c r="D155" t="s">
        <v>928</v>
      </c>
      <c r="E155" t="s">
        <v>135</v>
      </c>
      <c r="F155">
        <v>80</v>
      </c>
    </row>
    <row r="156" spans="2:6">
      <c r="C156" t="s">
        <v>782</v>
      </c>
      <c r="D156" t="s">
        <v>929</v>
      </c>
      <c r="E156" t="s">
        <v>135</v>
      </c>
      <c r="F156">
        <v>90</v>
      </c>
    </row>
    <row r="157" spans="2:6">
      <c r="C157" t="s">
        <v>1117</v>
      </c>
      <c r="D157" t="s">
        <v>1136</v>
      </c>
      <c r="E157" t="s">
        <v>135</v>
      </c>
      <c r="F157">
        <v>1000</v>
      </c>
    </row>
    <row r="158" spans="2:6">
      <c r="C158" t="s">
        <v>1119</v>
      </c>
      <c r="D158" t="s">
        <v>1134</v>
      </c>
      <c r="E158" t="s">
        <v>135</v>
      </c>
      <c r="F158">
        <v>35000</v>
      </c>
    </row>
    <row r="159" spans="2:6">
      <c r="C159" t="s">
        <v>1121</v>
      </c>
      <c r="D159" t="s">
        <v>1134</v>
      </c>
      <c r="E159" t="s">
        <v>135</v>
      </c>
      <c r="F159">
        <v>50000</v>
      </c>
    </row>
    <row r="160" spans="2:6">
      <c r="C160" t="s">
        <v>1122</v>
      </c>
      <c r="D160" t="s">
        <v>1134</v>
      </c>
      <c r="E160" t="s">
        <v>135</v>
      </c>
      <c r="F160">
        <v>30000</v>
      </c>
    </row>
    <row r="161" spans="2:6">
      <c r="C161" t="s">
        <v>1123</v>
      </c>
      <c r="D161" t="s">
        <v>1134</v>
      </c>
      <c r="E161" t="s">
        <v>135</v>
      </c>
      <c r="F161">
        <v>10000</v>
      </c>
    </row>
    <row r="162" spans="2:6">
      <c r="C162" t="s">
        <v>1124</v>
      </c>
      <c r="D162" t="s">
        <v>1130</v>
      </c>
      <c r="E162" t="s">
        <v>135</v>
      </c>
      <c r="F162">
        <v>1000</v>
      </c>
    </row>
    <row r="163" spans="2:6">
      <c r="C163" t="s">
        <v>1125</v>
      </c>
      <c r="D163" t="s">
        <v>1132</v>
      </c>
      <c r="E163" t="s">
        <v>135</v>
      </c>
      <c r="F163">
        <v>6</v>
      </c>
    </row>
    <row r="164" spans="2:6">
      <c r="B164" t="s">
        <v>670</v>
      </c>
      <c r="C164" t="s">
        <v>783</v>
      </c>
      <c r="D164" t="s">
        <v>930</v>
      </c>
      <c r="E164" t="s">
        <v>135</v>
      </c>
      <c r="F164">
        <v>2</v>
      </c>
    </row>
    <row r="165" spans="2:6">
      <c r="C165" t="s">
        <v>784</v>
      </c>
      <c r="D165" t="s">
        <v>931</v>
      </c>
      <c r="E165" t="s">
        <v>135</v>
      </c>
      <c r="F165">
        <v>5</v>
      </c>
    </row>
    <row r="166" spans="2:6">
      <c r="C166" t="s">
        <v>453</v>
      </c>
      <c r="D166" t="s">
        <v>932</v>
      </c>
      <c r="E166" t="s">
        <v>135</v>
      </c>
      <c r="F166">
        <v>100</v>
      </c>
    </row>
    <row r="167" spans="2:6">
      <c r="C167" t="s">
        <v>448</v>
      </c>
      <c r="D167" t="s">
        <v>451</v>
      </c>
      <c r="E167" t="s">
        <v>135</v>
      </c>
      <c r="F167">
        <v>5</v>
      </c>
    </row>
    <row r="168" spans="2:6">
      <c r="C168" t="s">
        <v>454</v>
      </c>
      <c r="D168" t="s">
        <v>457</v>
      </c>
      <c r="E168" t="s">
        <v>135</v>
      </c>
      <c r="F168">
        <v>500</v>
      </c>
    </row>
    <row r="169" spans="2:6">
      <c r="C169" t="s">
        <v>449</v>
      </c>
      <c r="D169" t="s">
        <v>452</v>
      </c>
      <c r="E169" t="s">
        <v>135</v>
      </c>
      <c r="F169">
        <v>4</v>
      </c>
    </row>
    <row r="170" spans="2:6">
      <c r="C170" t="s">
        <v>455</v>
      </c>
      <c r="D170" t="s">
        <v>458</v>
      </c>
      <c r="E170" t="s">
        <v>135</v>
      </c>
      <c r="F170">
        <v>40</v>
      </c>
    </row>
    <row r="171" spans="2:6">
      <c r="C171" t="s">
        <v>459</v>
      </c>
      <c r="D171" t="s">
        <v>933</v>
      </c>
      <c r="E171" t="s">
        <v>135</v>
      </c>
      <c r="F171">
        <v>4000</v>
      </c>
    </row>
    <row r="172" spans="2:6">
      <c r="C172" t="s">
        <v>460</v>
      </c>
      <c r="D172" t="s">
        <v>934</v>
      </c>
      <c r="E172" t="s">
        <v>135</v>
      </c>
      <c r="F172">
        <v>500</v>
      </c>
    </row>
    <row r="173" spans="2:6">
      <c r="C173" t="s">
        <v>464</v>
      </c>
      <c r="D173" t="s">
        <v>935</v>
      </c>
      <c r="E173" t="s">
        <v>135</v>
      </c>
      <c r="F173">
        <v>9</v>
      </c>
    </row>
    <row r="174" spans="2:6">
      <c r="C174" t="s">
        <v>476</v>
      </c>
      <c r="D174" t="s">
        <v>936</v>
      </c>
      <c r="E174" t="s">
        <v>135</v>
      </c>
      <c r="F174">
        <v>9</v>
      </c>
    </row>
    <row r="175" spans="2:6">
      <c r="C175" t="s">
        <v>477</v>
      </c>
      <c r="D175" t="s">
        <v>473</v>
      </c>
      <c r="E175" t="s">
        <v>135</v>
      </c>
      <c r="F175">
        <v>7</v>
      </c>
    </row>
    <row r="176" spans="2:6">
      <c r="C176" t="s">
        <v>478</v>
      </c>
      <c r="D176" t="s">
        <v>474</v>
      </c>
      <c r="E176" t="s">
        <v>135</v>
      </c>
      <c r="F176">
        <v>4</v>
      </c>
    </row>
    <row r="177" spans="3:6">
      <c r="C177" t="s">
        <v>479</v>
      </c>
      <c r="D177" t="s">
        <v>475</v>
      </c>
      <c r="E177" t="s">
        <v>135</v>
      </c>
      <c r="F177">
        <v>1</v>
      </c>
    </row>
    <row r="178" spans="3:6">
      <c r="C178" t="s">
        <v>469</v>
      </c>
      <c r="D178" t="s">
        <v>937</v>
      </c>
      <c r="E178" t="s">
        <v>135</v>
      </c>
      <c r="F178">
        <v>180</v>
      </c>
    </row>
    <row r="179" spans="3:6">
      <c r="C179" t="s">
        <v>785</v>
      </c>
      <c r="D179" t="s">
        <v>938</v>
      </c>
      <c r="E179" t="s">
        <v>135</v>
      </c>
      <c r="F179">
        <v>20</v>
      </c>
    </row>
    <row r="180" spans="3:6">
      <c r="C180" t="s">
        <v>786</v>
      </c>
      <c r="D180" t="s">
        <v>939</v>
      </c>
      <c r="E180" t="s">
        <v>135</v>
      </c>
      <c r="F180">
        <v>10</v>
      </c>
    </row>
    <row r="181" spans="3:6">
      <c r="C181" t="s">
        <v>480</v>
      </c>
      <c r="D181" t="s">
        <v>940</v>
      </c>
      <c r="E181" t="s">
        <v>135</v>
      </c>
      <c r="F181">
        <v>180</v>
      </c>
    </row>
    <row r="182" spans="3:6">
      <c r="C182" t="s">
        <v>491</v>
      </c>
      <c r="D182" t="s">
        <v>941</v>
      </c>
      <c r="E182" t="s">
        <v>135</v>
      </c>
      <c r="F182">
        <v>360</v>
      </c>
    </row>
    <row r="183" spans="3:6">
      <c r="C183" t="s">
        <v>481</v>
      </c>
      <c r="D183" t="s">
        <v>942</v>
      </c>
      <c r="E183" t="s">
        <v>135</v>
      </c>
      <c r="F183">
        <v>3</v>
      </c>
    </row>
    <row r="184" spans="3:6">
      <c r="C184" t="s">
        <v>482</v>
      </c>
      <c r="D184" t="s">
        <v>943</v>
      </c>
      <c r="E184" t="s">
        <v>135</v>
      </c>
      <c r="F184">
        <v>120</v>
      </c>
    </row>
    <row r="185" spans="3:6">
      <c r="C185" t="s">
        <v>787</v>
      </c>
      <c r="D185" t="s">
        <v>944</v>
      </c>
      <c r="E185" t="s">
        <v>135</v>
      </c>
      <c r="F185">
        <v>5</v>
      </c>
    </row>
    <row r="186" spans="3:6">
      <c r="C186" t="s">
        <v>788</v>
      </c>
      <c r="D186" t="s">
        <v>489</v>
      </c>
      <c r="E186" t="s">
        <v>135</v>
      </c>
      <c r="F186">
        <v>10</v>
      </c>
    </row>
    <row r="187" spans="3:6">
      <c r="C187" t="s">
        <v>789</v>
      </c>
      <c r="D187" t="s">
        <v>945</v>
      </c>
      <c r="E187" t="s">
        <v>135</v>
      </c>
      <c r="F187">
        <v>5</v>
      </c>
    </row>
    <row r="188" spans="3:6">
      <c r="C188" t="s">
        <v>790</v>
      </c>
      <c r="D188" t="s">
        <v>946</v>
      </c>
      <c r="E188" t="s">
        <v>135</v>
      </c>
      <c r="F188">
        <v>800000</v>
      </c>
    </row>
    <row r="189" spans="3:6">
      <c r="C189" t="s">
        <v>791</v>
      </c>
      <c r="D189" t="s">
        <v>947</v>
      </c>
      <c r="E189" t="s">
        <v>586</v>
      </c>
      <c r="F189" t="s">
        <v>1004</v>
      </c>
    </row>
    <row r="190" spans="3:6">
      <c r="C190" t="s">
        <v>792</v>
      </c>
      <c r="D190" t="s">
        <v>948</v>
      </c>
      <c r="E190" t="s">
        <v>586</v>
      </c>
      <c r="F190" t="s">
        <v>1005</v>
      </c>
    </row>
    <row r="191" spans="3:6">
      <c r="C191" t="s">
        <v>793</v>
      </c>
      <c r="D191" t="s">
        <v>949</v>
      </c>
      <c r="E191" t="s">
        <v>135</v>
      </c>
      <c r="F191">
        <v>22</v>
      </c>
    </row>
    <row r="192" spans="3:6">
      <c r="C192" t="s">
        <v>794</v>
      </c>
      <c r="D192" t="s">
        <v>950</v>
      </c>
      <c r="E192" t="s">
        <v>586</v>
      </c>
      <c r="F192" t="s">
        <v>1006</v>
      </c>
    </row>
    <row r="193" spans="2:6">
      <c r="C193" t="s">
        <v>795</v>
      </c>
      <c r="D193" t="s">
        <v>951</v>
      </c>
      <c r="E193" t="s">
        <v>586</v>
      </c>
      <c r="F193" t="s">
        <v>1007</v>
      </c>
    </row>
    <row r="194" spans="2:6">
      <c r="C194" t="s">
        <v>796</v>
      </c>
      <c r="D194" t="s">
        <v>952</v>
      </c>
      <c r="E194" t="s">
        <v>586</v>
      </c>
      <c r="F194" t="s">
        <v>1008</v>
      </c>
    </row>
    <row r="195" spans="2:6">
      <c r="C195" t="s">
        <v>797</v>
      </c>
      <c r="D195" t="s">
        <v>953</v>
      </c>
      <c r="E195" t="s">
        <v>586</v>
      </c>
      <c r="F195" t="s">
        <v>1009</v>
      </c>
    </row>
    <row r="196" spans="2:6">
      <c r="C196" t="s">
        <v>798</v>
      </c>
      <c r="D196" t="s">
        <v>954</v>
      </c>
      <c r="E196" t="s">
        <v>586</v>
      </c>
      <c r="F196" t="s">
        <v>1010</v>
      </c>
    </row>
    <row r="197" spans="2:6">
      <c r="C197" t="s">
        <v>799</v>
      </c>
      <c r="D197" t="s">
        <v>955</v>
      </c>
      <c r="E197" t="s">
        <v>586</v>
      </c>
      <c r="F197" t="s">
        <v>1011</v>
      </c>
    </row>
    <row r="198" spans="2:6">
      <c r="C198" t="s">
        <v>800</v>
      </c>
      <c r="D198" t="s">
        <v>956</v>
      </c>
      <c r="E198" t="s">
        <v>135</v>
      </c>
      <c r="F198">
        <v>600</v>
      </c>
    </row>
    <row r="199" spans="2:6">
      <c r="C199" t="s">
        <v>801</v>
      </c>
      <c r="D199" t="s">
        <v>957</v>
      </c>
      <c r="E199" t="s">
        <v>29</v>
      </c>
      <c r="F199">
        <v>1.2</v>
      </c>
    </row>
    <row r="200" spans="2:6">
      <c r="C200" t="s">
        <v>802</v>
      </c>
      <c r="D200" t="s">
        <v>958</v>
      </c>
      <c r="E200" t="s">
        <v>135</v>
      </c>
      <c r="F200">
        <v>198</v>
      </c>
    </row>
    <row r="201" spans="2:6">
      <c r="C201" t="s">
        <v>803</v>
      </c>
      <c r="D201" t="s">
        <v>959</v>
      </c>
      <c r="E201" t="s">
        <v>135</v>
      </c>
      <c r="F201">
        <v>3</v>
      </c>
    </row>
    <row r="202" spans="2:6">
      <c r="C202" t="s">
        <v>804</v>
      </c>
      <c r="D202" t="s">
        <v>960</v>
      </c>
      <c r="E202" t="s">
        <v>135</v>
      </c>
      <c r="F202">
        <v>500</v>
      </c>
    </row>
    <row r="203" spans="2:6">
      <c r="C203" t="s">
        <v>805</v>
      </c>
      <c r="D203" t="s">
        <v>961</v>
      </c>
      <c r="E203" t="s">
        <v>135</v>
      </c>
      <c r="F203">
        <v>80</v>
      </c>
    </row>
    <row r="204" spans="2:6">
      <c r="C204" t="s">
        <v>1103</v>
      </c>
      <c r="D204" t="s">
        <v>1101</v>
      </c>
      <c r="E204" t="s">
        <v>974</v>
      </c>
      <c r="F204" t="s">
        <v>1147</v>
      </c>
    </row>
    <row r="205" spans="2:6">
      <c r="B205" t="s">
        <v>671</v>
      </c>
      <c r="C205" t="s">
        <v>806</v>
      </c>
      <c r="D205" t="s">
        <v>962</v>
      </c>
      <c r="E205" t="s">
        <v>974</v>
      </c>
      <c r="F205" t="s">
        <v>1012</v>
      </c>
    </row>
    <row r="206" spans="2:6">
      <c r="C206" t="s">
        <v>807</v>
      </c>
      <c r="D206" t="s">
        <v>963</v>
      </c>
      <c r="E206" t="s">
        <v>586</v>
      </c>
      <c r="F206" t="s">
        <v>1012</v>
      </c>
    </row>
    <row r="207" spans="2:6">
      <c r="C207" t="s">
        <v>808</v>
      </c>
      <c r="D207" t="s">
        <v>964</v>
      </c>
      <c r="E207" t="s">
        <v>586</v>
      </c>
      <c r="F207" t="s">
        <v>1141</v>
      </c>
    </row>
    <row r="208" spans="2:6">
      <c r="B208" t="s">
        <v>672</v>
      </c>
      <c r="C208" t="s">
        <v>809</v>
      </c>
      <c r="D208" t="s">
        <v>965</v>
      </c>
      <c r="E208" t="s">
        <v>135</v>
      </c>
      <c r="F208">
        <v>6</v>
      </c>
    </row>
    <row r="209" spans="3:6">
      <c r="C209" t="s">
        <v>810</v>
      </c>
      <c r="D209" t="s">
        <v>1077</v>
      </c>
      <c r="E209" t="s">
        <v>135</v>
      </c>
      <c r="F209">
        <v>8000</v>
      </c>
    </row>
    <row r="210" spans="3:6">
      <c r="C210" t="s">
        <v>811</v>
      </c>
      <c r="D210" t="s">
        <v>966</v>
      </c>
      <c r="E210" t="s">
        <v>135</v>
      </c>
      <c r="F210">
        <v>5</v>
      </c>
    </row>
    <row r="211" spans="3:6">
      <c r="C211" t="s">
        <v>812</v>
      </c>
      <c r="D211" t="s">
        <v>967</v>
      </c>
      <c r="E211" t="s">
        <v>135</v>
      </c>
      <c r="F211">
        <v>30</v>
      </c>
    </row>
    <row r="212" spans="3:6">
      <c r="C212" t="s">
        <v>634</v>
      </c>
      <c r="D212" t="s">
        <v>637</v>
      </c>
      <c r="E212" t="s">
        <v>135</v>
      </c>
      <c r="F212">
        <v>29</v>
      </c>
    </row>
    <row r="213" spans="3:6">
      <c r="C213" t="s">
        <v>635</v>
      </c>
      <c r="D213" t="s">
        <v>638</v>
      </c>
      <c r="E213" t="s">
        <v>135</v>
      </c>
      <c r="F213">
        <v>28</v>
      </c>
    </row>
    <row r="214" spans="3:6">
      <c r="C214" t="s">
        <v>813</v>
      </c>
      <c r="D214" t="s">
        <v>639</v>
      </c>
      <c r="E214" t="s">
        <v>135</v>
      </c>
      <c r="F214">
        <v>27</v>
      </c>
    </row>
    <row r="215" spans="3:6">
      <c r="C215" t="s">
        <v>814</v>
      </c>
      <c r="D215" t="s">
        <v>968</v>
      </c>
      <c r="E215" t="s">
        <v>135</v>
      </c>
      <c r="F215">
        <v>90</v>
      </c>
    </row>
    <row r="216" spans="3:6">
      <c r="C216" t="s">
        <v>815</v>
      </c>
      <c r="D216" t="s">
        <v>969</v>
      </c>
      <c r="E216" t="s">
        <v>135</v>
      </c>
      <c r="F216">
        <v>8</v>
      </c>
    </row>
    <row r="217" spans="3:6">
      <c r="C217" t="s">
        <v>816</v>
      </c>
      <c r="D217" t="s">
        <v>970</v>
      </c>
      <c r="E217" t="s">
        <v>135</v>
      </c>
      <c r="F217">
        <v>24</v>
      </c>
    </row>
    <row r="218" spans="3:6">
      <c r="C218" t="s">
        <v>817</v>
      </c>
      <c r="D218" t="s">
        <v>971</v>
      </c>
      <c r="E218" t="s">
        <v>586</v>
      </c>
      <c r="F218" t="s">
        <v>1095</v>
      </c>
    </row>
    <row r="219" spans="3:6">
      <c r="C219" t="s">
        <v>818</v>
      </c>
      <c r="D219" t="s">
        <v>972</v>
      </c>
      <c r="E219" t="s">
        <v>586</v>
      </c>
      <c r="F219" t="s">
        <v>1096</v>
      </c>
    </row>
    <row r="220" spans="3:6">
      <c r="C220" t="s">
        <v>1013</v>
      </c>
      <c r="D220" t="s">
        <v>1019</v>
      </c>
      <c r="E220" t="s">
        <v>135</v>
      </c>
      <c r="F220">
        <v>4000</v>
      </c>
    </row>
    <row r="221" spans="3:6">
      <c r="C221" t="s">
        <v>1014</v>
      </c>
      <c r="D221" t="s">
        <v>1027</v>
      </c>
      <c r="E221" t="s">
        <v>135</v>
      </c>
      <c r="F221">
        <v>5000</v>
      </c>
    </row>
    <row r="222" spans="3:6">
      <c r="C222" t="s">
        <v>1015</v>
      </c>
      <c r="D222" t="s">
        <v>1021</v>
      </c>
      <c r="E222" t="s">
        <v>135</v>
      </c>
      <c r="F222">
        <v>4000</v>
      </c>
    </row>
    <row r="223" spans="3:6">
      <c r="C223" t="s">
        <v>1016</v>
      </c>
      <c r="D223" t="s">
        <v>1025</v>
      </c>
      <c r="E223" t="s">
        <v>135</v>
      </c>
      <c r="F223">
        <v>9000</v>
      </c>
    </row>
    <row r="224" spans="3:6">
      <c r="C224" t="s">
        <v>1018</v>
      </c>
      <c r="D224" t="s">
        <v>1023</v>
      </c>
      <c r="E224" t="s">
        <v>135</v>
      </c>
      <c r="F224">
        <v>2000</v>
      </c>
    </row>
    <row r="225" spans="1:6">
      <c r="C225" t="s">
        <v>1029</v>
      </c>
      <c r="D225" t="s">
        <v>1031</v>
      </c>
      <c r="E225" t="s">
        <v>586</v>
      </c>
      <c r="F225" t="s">
        <v>1069</v>
      </c>
    </row>
    <row r="226" spans="1:6">
      <c r="C226" t="s">
        <v>1033</v>
      </c>
      <c r="D226" t="s">
        <v>1045</v>
      </c>
      <c r="E226" t="s">
        <v>29</v>
      </c>
      <c r="F226">
        <v>2.2999999999999998</v>
      </c>
    </row>
    <row r="227" spans="1:6">
      <c r="C227" t="s">
        <v>1049</v>
      </c>
      <c r="D227" t="s">
        <v>1047</v>
      </c>
      <c r="E227" t="s">
        <v>29</v>
      </c>
      <c r="F227">
        <v>2</v>
      </c>
    </row>
    <row r="228" spans="1:6">
      <c r="C228" t="s">
        <v>1053</v>
      </c>
      <c r="D228" t="s">
        <v>1051</v>
      </c>
      <c r="E228" t="s">
        <v>29</v>
      </c>
      <c r="F228">
        <v>2.6</v>
      </c>
    </row>
    <row r="229" spans="1:6">
      <c r="C229" t="s">
        <v>1057</v>
      </c>
      <c r="D229" t="s">
        <v>1055</v>
      </c>
      <c r="E229" t="s">
        <v>29</v>
      </c>
      <c r="F229">
        <v>3</v>
      </c>
    </row>
    <row r="230" spans="1:6">
      <c r="C230" t="s">
        <v>1071</v>
      </c>
      <c r="D230" t="s">
        <v>1073</v>
      </c>
      <c r="E230" t="s">
        <v>29</v>
      </c>
      <c r="F230">
        <v>1.5</v>
      </c>
    </row>
    <row r="231" spans="1:6">
      <c r="C231" t="s">
        <v>1065</v>
      </c>
      <c r="D231" t="s">
        <v>1067</v>
      </c>
      <c r="E231" t="s">
        <v>29</v>
      </c>
      <c r="F231">
        <v>0.85</v>
      </c>
    </row>
    <row r="232" spans="1:6">
      <c r="C232" t="s">
        <v>1037</v>
      </c>
      <c r="D232" t="s">
        <v>1059</v>
      </c>
      <c r="E232" t="s">
        <v>29</v>
      </c>
      <c r="F232">
        <v>0.4</v>
      </c>
    </row>
    <row r="233" spans="1:6">
      <c r="C233" t="s">
        <v>1040</v>
      </c>
      <c r="D233" t="s">
        <v>1061</v>
      </c>
      <c r="E233" t="s">
        <v>29</v>
      </c>
      <c r="F233">
        <v>0.4</v>
      </c>
    </row>
    <row r="234" spans="1:6">
      <c r="C234" t="s">
        <v>1043</v>
      </c>
      <c r="D234" t="s">
        <v>1063</v>
      </c>
      <c r="E234" t="s">
        <v>29</v>
      </c>
      <c r="F234">
        <v>0.4</v>
      </c>
    </row>
    <row r="235" spans="1:6">
      <c r="B235" t="s">
        <v>1083</v>
      </c>
      <c r="C235" t="s">
        <v>1085</v>
      </c>
      <c r="D235" t="s">
        <v>1087</v>
      </c>
      <c r="E235" t="s">
        <v>17</v>
      </c>
      <c r="F235" t="s">
        <v>1089</v>
      </c>
    </row>
    <row r="236" spans="1:6">
      <c r="A236" t="s">
        <v>133</v>
      </c>
      <c r="C236" t="s">
        <v>819</v>
      </c>
      <c r="D236" t="s">
        <v>1075</v>
      </c>
      <c r="E236" t="s">
        <v>135</v>
      </c>
      <c r="F236">
        <v>123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85"/>
  <sheetViews>
    <sheetView topLeftCell="F1" workbookViewId="0">
      <selection activeCell="AE35" sqref="AE35"/>
    </sheetView>
  </sheetViews>
  <sheetFormatPr defaultRowHeight="13.5"/>
  <cols>
    <col min="1" max="1" width="7.5" customWidth="1"/>
    <col min="2" max="2" width="8.125" style="32" customWidth="1"/>
    <col min="3" max="3" width="7.5" customWidth="1"/>
    <col min="4" max="4" width="13.375" customWidth="1"/>
    <col min="5" max="5" width="7.5" customWidth="1"/>
    <col min="6" max="6" width="8.125" style="32" customWidth="1"/>
    <col min="7" max="9" width="7.5" customWidth="1"/>
    <col min="10" max="10" width="8.125" style="32" customWidth="1"/>
    <col min="11" max="13" width="7.5" customWidth="1"/>
    <col min="14" max="14" width="8.125" style="32" customWidth="1"/>
    <col min="15" max="17" width="7.5" customWidth="1"/>
    <col min="18" max="18" width="8.125" style="32" customWidth="1"/>
    <col min="19" max="21" width="7.5" customWidth="1"/>
    <col min="22" max="22" width="8.125" style="32" customWidth="1"/>
    <col min="23" max="24" width="7.5" customWidth="1"/>
  </cols>
  <sheetData>
    <row r="1" spans="1:30">
      <c r="A1" s="17" t="s">
        <v>244</v>
      </c>
      <c r="B1" s="17" t="s">
        <v>245</v>
      </c>
      <c r="C1" s="17" t="s">
        <v>246</v>
      </c>
      <c r="D1" s="17"/>
      <c r="E1" s="17" t="s">
        <v>244</v>
      </c>
      <c r="F1" s="17" t="s">
        <v>245</v>
      </c>
      <c r="G1" s="17" t="s">
        <v>246</v>
      </c>
      <c r="H1" s="17"/>
      <c r="I1" s="17" t="s">
        <v>244</v>
      </c>
      <c r="J1" s="17" t="s">
        <v>245</v>
      </c>
      <c r="K1" s="17" t="s">
        <v>246</v>
      </c>
      <c r="L1" s="17"/>
      <c r="M1" s="17" t="s">
        <v>244</v>
      </c>
      <c r="N1" s="17" t="s">
        <v>245</v>
      </c>
      <c r="O1" s="17" t="s">
        <v>246</v>
      </c>
      <c r="P1" s="17"/>
      <c r="Q1" s="17" t="s">
        <v>244</v>
      </c>
      <c r="R1" s="17" t="s">
        <v>245</v>
      </c>
      <c r="S1" s="17" t="s">
        <v>246</v>
      </c>
      <c r="T1" s="17"/>
      <c r="U1" s="17" t="s">
        <v>244</v>
      </c>
      <c r="V1" s="17" t="s">
        <v>245</v>
      </c>
      <c r="W1" s="17" t="s">
        <v>246</v>
      </c>
    </row>
    <row r="2" spans="1:30">
      <c r="A2" s="17">
        <v>1</v>
      </c>
      <c r="B2" s="44" t="s">
        <v>247</v>
      </c>
      <c r="C2" s="43">
        <v>8</v>
      </c>
      <c r="D2" s="51">
        <f>C2</f>
        <v>8</v>
      </c>
      <c r="E2" s="17">
        <v>41</v>
      </c>
      <c r="F2" s="44" t="s">
        <v>247</v>
      </c>
      <c r="G2" s="43">
        <v>8</v>
      </c>
      <c r="H2" s="52" t="str">
        <f>D41&amp;","&amp;G2</f>
        <v>8,8,8,9,8,8,9,8,8,8,8,10,8,8,9,8,8,8,9,8,8,8,8,9,8,9,8,8,8,8,9,8,8,8,8,9,8,8,9,8,8</v>
      </c>
      <c r="I2" s="17">
        <v>81</v>
      </c>
      <c r="J2" s="44" t="s">
        <v>247</v>
      </c>
      <c r="K2" s="43">
        <v>8</v>
      </c>
      <c r="L2" s="52" t="str">
        <f>H41&amp;","&amp;K2</f>
        <v>8,8,8,9,8,8,9,8,8,8,8,10,8,8,9,8,8,8,9,8,8,8,8,9,8,9,8,8,8,8,9,8,8,8,8,9,8,8,9,8,8,8,8,9,8,8,9,8,8,8,8,11,8,8,9,8,8,8,9,8,8,8,8,9,8,9,8,8,8,8,9,8,8,8,8,9,8,8,9,8,8</v>
      </c>
      <c r="M2" s="17">
        <v>121</v>
      </c>
      <c r="N2" s="44" t="s">
        <v>247</v>
      </c>
      <c r="O2" s="43">
        <v>8</v>
      </c>
      <c r="P2" s="52" t="str">
        <f>L41&amp;","&amp;O2</f>
        <v>8,8,8,9,8,8,9,8,8,8,8,10,8,8,9,8,8,8,9,8,8,8,8,9,8,9,8,8,8,8,9,8,8,8,8,9,8,8,9,8,8,8,8,9,8,8,9,8,8,8,8,11,8,8,9,8,8,8,9,8,8,8,8,9,8,9,8,8,8,8,9,8,8,8,8,9,8,8,9,8,8,8,8,9,8,8,9,8,8,8,8,9,8,8,9,8,8,8,9,8,8,8,8,9,8,9,8,8,8,8,9,8,8,8,8,9,8,8,9,8,8</v>
      </c>
      <c r="Q2" s="17">
        <v>161</v>
      </c>
      <c r="R2" s="44" t="s">
        <v>247</v>
      </c>
      <c r="S2" s="43">
        <v>8</v>
      </c>
      <c r="T2" s="52" t="str">
        <f>P41&amp;","&amp;S2</f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</v>
      </c>
      <c r="U2" s="17">
        <v>201</v>
      </c>
      <c r="V2" s="44" t="s">
        <v>247</v>
      </c>
      <c r="W2" s="43">
        <v>8</v>
      </c>
      <c r="X2" s="52" t="str">
        <f>T41&amp;","&amp;W2</f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</v>
      </c>
      <c r="Y2" t="s">
        <v>251</v>
      </c>
    </row>
    <row r="3" spans="1:30">
      <c r="A3" s="17">
        <v>2</v>
      </c>
      <c r="B3" s="44" t="s">
        <v>247</v>
      </c>
      <c r="C3" s="43">
        <v>8</v>
      </c>
      <c r="D3" s="52" t="str">
        <f>D2&amp;","&amp;C3</f>
        <v>8,8</v>
      </c>
      <c r="E3" s="17">
        <v>42</v>
      </c>
      <c r="F3" s="44" t="s">
        <v>247</v>
      </c>
      <c r="G3" s="43">
        <v>8</v>
      </c>
      <c r="H3" s="52" t="str">
        <f>H2&amp;","&amp;G3</f>
        <v>8,8,8,9,8,8,9,8,8,8,8,10,8,8,9,8,8,8,9,8,8,8,8,9,8,9,8,8,8,8,9,8,8,8,8,9,8,8,9,8,8,8</v>
      </c>
      <c r="I3" s="17">
        <v>82</v>
      </c>
      <c r="J3" s="44" t="s">
        <v>247</v>
      </c>
      <c r="K3" s="43">
        <v>8</v>
      </c>
      <c r="L3" s="52" t="str">
        <f>L2&amp;","&amp;K3</f>
        <v>8,8,8,9,8,8,9,8,8,8,8,10,8,8,9,8,8,8,9,8,8,8,8,9,8,9,8,8,8,8,9,8,8,8,8,9,8,8,9,8,8,8,8,9,8,8,9,8,8,8,8,11,8,8,9,8,8,8,9,8,8,8,8,9,8,9,8,8,8,8,9,8,8,8,8,9,8,8,9,8,8,8</v>
      </c>
      <c r="M3" s="17">
        <v>122</v>
      </c>
      <c r="N3" s="44" t="s">
        <v>247</v>
      </c>
      <c r="O3" s="43">
        <v>8</v>
      </c>
      <c r="P3" s="52" t="str">
        <f>P2&amp;","&amp;O3</f>
        <v>8,8,8,9,8,8,9,8,8,8,8,10,8,8,9,8,8,8,9,8,8,8,8,9,8,9,8,8,8,8,9,8,8,8,8,9,8,8,9,8,8,8,8,9,8,8,9,8,8,8,8,11,8,8,9,8,8,8,9,8,8,8,8,9,8,9,8,8,8,8,9,8,8,8,8,9,8,8,9,8,8,8,8,9,8,8,9,8,8,8,8,9,8,8,9,8,8,8,9,8,8,8,8,9,8,9,8,8,8,8,9,8,8,8,8,9,8,8,9,8,8,8</v>
      </c>
      <c r="Q3" s="17">
        <v>162</v>
      </c>
      <c r="R3" s="44" t="s">
        <v>247</v>
      </c>
      <c r="S3" s="43">
        <v>8</v>
      </c>
      <c r="T3" s="52" t="str">
        <f>T2&amp;","&amp;S3</f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</v>
      </c>
      <c r="U3" s="17">
        <v>202</v>
      </c>
      <c r="V3" s="44" t="s">
        <v>247</v>
      </c>
      <c r="W3" s="43">
        <v>8</v>
      </c>
      <c r="X3" s="52" t="str">
        <f>X2&amp;","&amp;W3</f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</v>
      </c>
      <c r="Y3" t="s">
        <v>251</v>
      </c>
    </row>
    <row r="4" spans="1:30">
      <c r="A4" s="17">
        <v>3</v>
      </c>
      <c r="B4" s="44" t="s">
        <v>247</v>
      </c>
      <c r="C4" s="43">
        <v>8</v>
      </c>
      <c r="D4" s="52" t="str">
        <f t="shared" ref="D4:D41" si="0">D3&amp;","&amp;C4</f>
        <v>8,8,8</v>
      </c>
      <c r="E4" s="17">
        <v>43</v>
      </c>
      <c r="F4" s="44" t="s">
        <v>247</v>
      </c>
      <c r="G4" s="43">
        <v>8</v>
      </c>
      <c r="H4" s="52" t="str">
        <f t="shared" ref="H4:H41" si="1">H3&amp;","&amp;G4</f>
        <v>8,8,8,9,8,8,9,8,8,8,8,10,8,8,9,8,8,8,9,8,8,8,8,9,8,9,8,8,8,8,9,8,8,8,8,9,8,8,9,8,8,8,8</v>
      </c>
      <c r="I4" s="17">
        <v>83</v>
      </c>
      <c r="J4" s="44" t="s">
        <v>247</v>
      </c>
      <c r="K4" s="43">
        <v>8</v>
      </c>
      <c r="L4" s="52" t="str">
        <f t="shared" ref="L4:L41" si="2">L3&amp;","&amp;K4</f>
        <v>8,8,8,9,8,8,9,8,8,8,8,10,8,8,9,8,8,8,9,8,8,8,8,9,8,9,8,8,8,8,9,8,8,8,8,9,8,8,9,8,8,8,8,9,8,8,9,8,8,8,8,11,8,8,9,8,8,8,9,8,8,8,8,9,8,9,8,8,8,8,9,8,8,8,8,9,8,8,9,8,8,8,8</v>
      </c>
      <c r="M4" s="17">
        <v>123</v>
      </c>
      <c r="N4" s="44" t="s">
        <v>247</v>
      </c>
      <c r="O4" s="43">
        <v>8</v>
      </c>
      <c r="P4" s="52" t="str">
        <f t="shared" ref="P4:P41" si="3">P3&amp;","&amp;O4</f>
        <v>8,8,8,9,8,8,9,8,8,8,8,10,8,8,9,8,8,8,9,8,8,8,8,9,8,9,8,8,8,8,9,8,8,8,8,9,8,8,9,8,8,8,8,9,8,8,9,8,8,8,8,11,8,8,9,8,8,8,9,8,8,8,8,9,8,9,8,8,8,8,9,8,8,8,8,9,8,8,9,8,8,8,8,9,8,8,9,8,8,8,8,9,8,8,9,8,8,8,9,8,8,8,8,9,8,9,8,8,8,8,9,8,8,8,8,9,8,8,9,8,8,8,8</v>
      </c>
      <c r="Q4" s="17">
        <v>163</v>
      </c>
      <c r="R4" s="44" t="s">
        <v>247</v>
      </c>
      <c r="S4" s="43">
        <v>8</v>
      </c>
      <c r="T4" s="52" t="str">
        <f t="shared" ref="T4:T41" si="4">T3&amp;","&amp;S4</f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</v>
      </c>
      <c r="U4" s="17">
        <v>203</v>
      </c>
      <c r="V4" s="44" t="s">
        <v>247</v>
      </c>
      <c r="W4" s="43">
        <v>8</v>
      </c>
      <c r="X4" s="52" t="str">
        <f t="shared" ref="X4:X41" si="5">X3&amp;","&amp;W4</f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</v>
      </c>
      <c r="Y4" t="s">
        <v>251</v>
      </c>
    </row>
    <row r="5" spans="1:30">
      <c r="A5" s="17">
        <v>4</v>
      </c>
      <c r="B5" s="45" t="s">
        <v>248</v>
      </c>
      <c r="C5" s="46">
        <v>9</v>
      </c>
      <c r="D5" s="52" t="str">
        <f t="shared" si="0"/>
        <v>8,8,8,9</v>
      </c>
      <c r="E5" s="17">
        <v>44</v>
      </c>
      <c r="F5" s="45" t="s">
        <v>248</v>
      </c>
      <c r="G5" s="46">
        <v>9</v>
      </c>
      <c r="H5" s="52" t="str">
        <f t="shared" si="1"/>
        <v>8,8,8,9,8,8,9,8,8,8,8,10,8,8,9,8,8,8,9,8,8,8,8,9,8,9,8,8,8,8,9,8,8,8,8,9,8,8,9,8,8,8,8,9</v>
      </c>
      <c r="I5" s="17">
        <v>84</v>
      </c>
      <c r="J5" s="45" t="s">
        <v>248</v>
      </c>
      <c r="K5" s="46">
        <v>9</v>
      </c>
      <c r="L5" s="52" t="str">
        <f t="shared" si="2"/>
        <v>8,8,8,9,8,8,9,8,8,8,8,10,8,8,9,8,8,8,9,8,8,8,8,9,8,9,8,8,8,8,9,8,8,8,8,9,8,8,9,8,8,8,8,9,8,8,9,8,8,8,8,11,8,8,9,8,8,8,9,8,8,8,8,9,8,9,8,8,8,8,9,8,8,8,8,9,8,8,9,8,8,8,8,9</v>
      </c>
      <c r="M5" s="17">
        <v>124</v>
      </c>
      <c r="N5" s="45" t="s">
        <v>248</v>
      </c>
      <c r="O5" s="46">
        <v>9</v>
      </c>
      <c r="P5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</v>
      </c>
      <c r="Q5" s="17">
        <v>164</v>
      </c>
      <c r="R5" s="45" t="s">
        <v>248</v>
      </c>
      <c r="S5" s="46">
        <v>9</v>
      </c>
      <c r="T5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</v>
      </c>
      <c r="U5" s="17">
        <v>204</v>
      </c>
      <c r="V5" s="47" t="s">
        <v>249</v>
      </c>
      <c r="W5" s="48">
        <v>10</v>
      </c>
      <c r="X5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</v>
      </c>
      <c r="Y5" t="s">
        <v>251</v>
      </c>
    </row>
    <row r="6" spans="1:30">
      <c r="A6" s="17">
        <v>5</v>
      </c>
      <c r="B6" s="44" t="s">
        <v>247</v>
      </c>
      <c r="C6" s="43">
        <v>8</v>
      </c>
      <c r="D6" s="52" t="str">
        <f t="shared" si="0"/>
        <v>8,8,8,9,8</v>
      </c>
      <c r="E6" s="17">
        <v>45</v>
      </c>
      <c r="F6" s="44" t="s">
        <v>247</v>
      </c>
      <c r="G6" s="43">
        <v>8</v>
      </c>
      <c r="H6" s="52" t="str">
        <f t="shared" si="1"/>
        <v>8,8,8,9,8,8,9,8,8,8,8,10,8,8,9,8,8,8,9,8,8,8,8,9,8,9,8,8,8,8,9,8,8,8,8,9,8,8,9,8,8,8,8,9,8</v>
      </c>
      <c r="I6" s="17">
        <v>85</v>
      </c>
      <c r="J6" s="44" t="s">
        <v>247</v>
      </c>
      <c r="K6" s="43">
        <v>8</v>
      </c>
      <c r="L6" s="52" t="str">
        <f t="shared" si="2"/>
        <v>8,8,8,9,8,8,9,8,8,8,8,10,8,8,9,8,8,8,9,8,8,8,8,9,8,9,8,8,8,8,9,8,8,8,8,9,8,8,9,8,8,8,8,9,8,8,9,8,8,8,8,11,8,8,9,8,8,8,9,8,8,8,8,9,8,9,8,8,8,8,9,8,8,8,8,9,8,8,9,8,8,8,8,9,8</v>
      </c>
      <c r="M6" s="17">
        <v>125</v>
      </c>
      <c r="N6" s="44" t="s">
        <v>247</v>
      </c>
      <c r="O6" s="43">
        <v>8</v>
      </c>
      <c r="P6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</v>
      </c>
      <c r="Q6" s="17">
        <v>165</v>
      </c>
      <c r="R6" s="44" t="s">
        <v>247</v>
      </c>
      <c r="S6" s="43">
        <v>8</v>
      </c>
      <c r="T6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</v>
      </c>
      <c r="U6" s="17">
        <v>205</v>
      </c>
      <c r="V6" s="44" t="s">
        <v>247</v>
      </c>
      <c r="W6" s="43">
        <v>8</v>
      </c>
      <c r="X6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</v>
      </c>
      <c r="Y6" t="s">
        <v>251</v>
      </c>
    </row>
    <row r="7" spans="1:30">
      <c r="A7" s="17">
        <v>6</v>
      </c>
      <c r="B7" s="44" t="s">
        <v>247</v>
      </c>
      <c r="C7" s="43">
        <v>8</v>
      </c>
      <c r="D7" s="52" t="str">
        <f t="shared" si="0"/>
        <v>8,8,8,9,8,8</v>
      </c>
      <c r="E7" s="17">
        <v>46</v>
      </c>
      <c r="F7" s="44" t="s">
        <v>247</v>
      </c>
      <c r="G7" s="43">
        <v>8</v>
      </c>
      <c r="H7" s="52" t="str">
        <f t="shared" si="1"/>
        <v>8,8,8,9,8,8,9,8,8,8,8,10,8,8,9,8,8,8,9,8,8,8,8,9,8,9,8,8,8,8,9,8,8,8,8,9,8,8,9,8,8,8,8,9,8,8</v>
      </c>
      <c r="I7" s="17">
        <v>86</v>
      </c>
      <c r="J7" s="44" t="s">
        <v>247</v>
      </c>
      <c r="K7" s="43">
        <v>8</v>
      </c>
      <c r="L7" s="52" t="str">
        <f t="shared" si="2"/>
        <v>8,8,8,9,8,8,9,8,8,8,8,10,8,8,9,8,8,8,9,8,8,8,8,9,8,9,8,8,8,8,9,8,8,8,8,9,8,8,9,8,8,8,8,9,8,8,9,8,8,8,8,11,8,8,9,8,8,8,9,8,8,8,8,9,8,9,8,8,8,8,9,8,8,8,8,9,8,8,9,8,8,8,8,9,8,8</v>
      </c>
      <c r="M7" s="17">
        <v>126</v>
      </c>
      <c r="N7" s="44" t="s">
        <v>247</v>
      </c>
      <c r="O7" s="43">
        <v>8</v>
      </c>
      <c r="P7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</v>
      </c>
      <c r="Q7" s="17">
        <v>166</v>
      </c>
      <c r="R7" s="44" t="s">
        <v>247</v>
      </c>
      <c r="S7" s="43">
        <v>8</v>
      </c>
      <c r="T7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</v>
      </c>
      <c r="U7" s="17">
        <v>206</v>
      </c>
      <c r="V7" s="44" t="s">
        <v>247</v>
      </c>
      <c r="W7" s="43">
        <v>8</v>
      </c>
      <c r="X7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</v>
      </c>
      <c r="Y7" t="s">
        <v>251</v>
      </c>
    </row>
    <row r="8" spans="1:30">
      <c r="A8" s="17">
        <v>7</v>
      </c>
      <c r="B8" s="45" t="s">
        <v>248</v>
      </c>
      <c r="C8" s="46">
        <v>9</v>
      </c>
      <c r="D8" s="52" t="str">
        <f t="shared" si="0"/>
        <v>8,8,8,9,8,8,9</v>
      </c>
      <c r="E8" s="17">
        <v>47</v>
      </c>
      <c r="F8" s="45" t="s">
        <v>248</v>
      </c>
      <c r="G8" s="46">
        <v>9</v>
      </c>
      <c r="H8" s="52" t="str">
        <f t="shared" si="1"/>
        <v>8,8,8,9,8,8,9,8,8,8,8,10,8,8,9,8,8,8,9,8,8,8,8,9,8,9,8,8,8,8,9,8,8,8,8,9,8,8,9,8,8,8,8,9,8,8,9</v>
      </c>
      <c r="I8" s="17">
        <v>87</v>
      </c>
      <c r="J8" s="45" t="s">
        <v>248</v>
      </c>
      <c r="K8" s="46">
        <v>9</v>
      </c>
      <c r="L8" s="52" t="str">
        <f t="shared" si="2"/>
        <v>8,8,8,9,8,8,9,8,8,8,8,10,8,8,9,8,8,8,9,8,8,8,8,9,8,9,8,8,8,8,9,8,8,8,8,9,8,8,9,8,8,8,8,9,8,8,9,8,8,8,8,11,8,8,9,8,8,8,9,8,8,8,8,9,8,9,8,8,8,8,9,8,8,8,8,9,8,8,9,8,8,8,8,9,8,8,9</v>
      </c>
      <c r="M8" s="17">
        <v>127</v>
      </c>
      <c r="N8" s="45" t="s">
        <v>248</v>
      </c>
      <c r="O8" s="46">
        <v>9</v>
      </c>
      <c r="P8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</v>
      </c>
      <c r="Q8" s="17">
        <v>167</v>
      </c>
      <c r="R8" s="45" t="s">
        <v>248</v>
      </c>
      <c r="S8" s="46">
        <v>9</v>
      </c>
      <c r="T8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</v>
      </c>
      <c r="U8" s="17">
        <v>207</v>
      </c>
      <c r="V8" s="45" t="s">
        <v>248</v>
      </c>
      <c r="W8" s="46">
        <v>9</v>
      </c>
      <c r="X8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</v>
      </c>
      <c r="Y8" t="s">
        <v>251</v>
      </c>
    </row>
    <row r="9" spans="1:30">
      <c r="A9" s="17">
        <v>8</v>
      </c>
      <c r="B9" s="44" t="s">
        <v>247</v>
      </c>
      <c r="C9" s="43">
        <v>8</v>
      </c>
      <c r="D9" s="52" t="str">
        <f t="shared" si="0"/>
        <v>8,8,8,9,8,8,9,8</v>
      </c>
      <c r="E9" s="17">
        <v>48</v>
      </c>
      <c r="F9" s="44" t="s">
        <v>247</v>
      </c>
      <c r="G9" s="43">
        <v>8</v>
      </c>
      <c r="H9" s="52" t="str">
        <f t="shared" si="1"/>
        <v>8,8,8,9,8,8,9,8,8,8,8,10,8,8,9,8,8,8,9,8,8,8,8,9,8,9,8,8,8,8,9,8,8,8,8,9,8,8,9,8,8,8,8,9,8,8,9,8</v>
      </c>
      <c r="I9" s="17">
        <v>88</v>
      </c>
      <c r="J9" s="44" t="s">
        <v>247</v>
      </c>
      <c r="K9" s="43">
        <v>8</v>
      </c>
      <c r="L9" s="52" t="str">
        <f t="shared" si="2"/>
        <v>8,8,8,9,8,8,9,8,8,8,8,10,8,8,9,8,8,8,9,8,8,8,8,9,8,9,8,8,8,8,9,8,8,8,8,9,8,8,9,8,8,8,8,9,8,8,9,8,8,8,8,11,8,8,9,8,8,8,9,8,8,8,8,9,8,9,8,8,8,8,9,8,8,8,8,9,8,8,9,8,8,8,8,9,8,8,9,8</v>
      </c>
      <c r="M9" s="17">
        <v>128</v>
      </c>
      <c r="N9" s="44" t="s">
        <v>247</v>
      </c>
      <c r="O9" s="43">
        <v>8</v>
      </c>
      <c r="P9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</v>
      </c>
      <c r="Q9" s="17">
        <v>168</v>
      </c>
      <c r="R9" s="44" t="s">
        <v>247</v>
      </c>
      <c r="S9" s="43">
        <v>8</v>
      </c>
      <c r="T9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</v>
      </c>
      <c r="U9" s="17">
        <v>208</v>
      </c>
      <c r="V9" s="44" t="s">
        <v>247</v>
      </c>
      <c r="W9" s="43">
        <v>8</v>
      </c>
      <c r="X9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</v>
      </c>
      <c r="Y9" t="s">
        <v>251</v>
      </c>
    </row>
    <row r="10" spans="1:30">
      <c r="A10" s="17">
        <v>9</v>
      </c>
      <c r="B10" s="44" t="s">
        <v>247</v>
      </c>
      <c r="C10" s="43">
        <v>8</v>
      </c>
      <c r="D10" s="52" t="str">
        <f t="shared" si="0"/>
        <v>8,8,8,9,8,8,9,8,8</v>
      </c>
      <c r="E10" s="17">
        <v>49</v>
      </c>
      <c r="F10" s="44" t="s">
        <v>247</v>
      </c>
      <c r="G10" s="43">
        <v>8</v>
      </c>
      <c r="H10" s="52" t="str">
        <f t="shared" si="1"/>
        <v>8,8,8,9,8,8,9,8,8,8,8,10,8,8,9,8,8,8,9,8,8,8,8,9,8,9,8,8,8,8,9,8,8,8,8,9,8,8,9,8,8,8,8,9,8,8,9,8,8</v>
      </c>
      <c r="I10" s="17">
        <v>89</v>
      </c>
      <c r="J10" s="44" t="s">
        <v>247</v>
      </c>
      <c r="K10" s="43">
        <v>8</v>
      </c>
      <c r="L10" s="52" t="str">
        <f t="shared" si="2"/>
        <v>8,8,8,9,8,8,9,8,8,8,8,10,8,8,9,8,8,8,9,8,8,8,8,9,8,9,8,8,8,8,9,8,8,8,8,9,8,8,9,8,8,8,8,9,8,8,9,8,8,8,8,11,8,8,9,8,8,8,9,8,8,8,8,9,8,9,8,8,8,8,9,8,8,8,8,9,8,8,9,8,8,8,8,9,8,8,9,8,8</v>
      </c>
      <c r="M10" s="17">
        <v>129</v>
      </c>
      <c r="N10" s="44" t="s">
        <v>247</v>
      </c>
      <c r="O10" s="43">
        <v>8</v>
      </c>
      <c r="P10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</v>
      </c>
      <c r="Q10" s="17">
        <v>169</v>
      </c>
      <c r="R10" s="44" t="s">
        <v>247</v>
      </c>
      <c r="S10" s="43">
        <v>8</v>
      </c>
      <c r="T10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</v>
      </c>
      <c r="U10" s="17">
        <v>209</v>
      </c>
      <c r="V10" s="44" t="s">
        <v>247</v>
      </c>
      <c r="W10" s="43">
        <v>8</v>
      </c>
      <c r="X10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</v>
      </c>
      <c r="Y10" t="s">
        <v>251</v>
      </c>
    </row>
    <row r="11" spans="1:30">
      <c r="A11" s="17">
        <v>10</v>
      </c>
      <c r="B11" s="44" t="s">
        <v>247</v>
      </c>
      <c r="C11" s="43">
        <v>8</v>
      </c>
      <c r="D11" s="52" t="str">
        <f t="shared" si="0"/>
        <v>8,8,8,9,8,8,9,8,8,8</v>
      </c>
      <c r="E11" s="17">
        <v>50</v>
      </c>
      <c r="F11" s="44" t="s">
        <v>247</v>
      </c>
      <c r="G11" s="43">
        <v>8</v>
      </c>
      <c r="H11" s="52" t="str">
        <f t="shared" si="1"/>
        <v>8,8,8,9,8,8,9,8,8,8,8,10,8,8,9,8,8,8,9,8,8,8,8,9,8,9,8,8,8,8,9,8,8,8,8,9,8,8,9,8,8,8,8,9,8,8,9,8,8,8</v>
      </c>
      <c r="I11" s="17">
        <v>90</v>
      </c>
      <c r="J11" s="44" t="s">
        <v>247</v>
      </c>
      <c r="K11" s="43">
        <v>8</v>
      </c>
      <c r="L11" s="52" t="str">
        <f t="shared" si="2"/>
        <v>8,8,8,9,8,8,9,8,8,8,8,10,8,8,9,8,8,8,9,8,8,8,8,9,8,9,8,8,8,8,9,8,8,8,8,9,8,8,9,8,8,8,8,9,8,8,9,8,8,8,8,11,8,8,9,8,8,8,9,8,8,8,8,9,8,9,8,8,8,8,9,8,8,8,8,9,8,8,9,8,8,8,8,9,8,8,9,8,8,8</v>
      </c>
      <c r="M11" s="17">
        <v>130</v>
      </c>
      <c r="N11" s="44" t="s">
        <v>247</v>
      </c>
      <c r="O11" s="43">
        <v>8</v>
      </c>
      <c r="P11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</v>
      </c>
      <c r="Q11" s="17">
        <v>170</v>
      </c>
      <c r="R11" s="44" t="s">
        <v>247</v>
      </c>
      <c r="S11" s="43">
        <v>8</v>
      </c>
      <c r="T11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</v>
      </c>
      <c r="U11" s="17">
        <v>210</v>
      </c>
      <c r="V11" s="44" t="s">
        <v>247</v>
      </c>
      <c r="W11" s="43">
        <v>8</v>
      </c>
      <c r="X11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</v>
      </c>
      <c r="Y11" t="s">
        <v>251</v>
      </c>
      <c r="AA11" s="17" t="s">
        <v>1143</v>
      </c>
      <c r="AB11" s="17" t="s">
        <v>1146</v>
      </c>
      <c r="AC11" s="17" t="s">
        <v>1144</v>
      </c>
      <c r="AD11" s="17" t="s">
        <v>1145</v>
      </c>
    </row>
    <row r="12" spans="1:30">
      <c r="A12" s="17">
        <v>11</v>
      </c>
      <c r="B12" s="44" t="s">
        <v>247</v>
      </c>
      <c r="C12" s="43">
        <v>8</v>
      </c>
      <c r="D12" s="52" t="str">
        <f t="shared" si="0"/>
        <v>8,8,8,9,8,8,9,8,8,8,8</v>
      </c>
      <c r="E12" s="17">
        <v>51</v>
      </c>
      <c r="F12" s="44" t="s">
        <v>247</v>
      </c>
      <c r="G12" s="43">
        <v>8</v>
      </c>
      <c r="H12" s="52" t="str">
        <f t="shared" si="1"/>
        <v>8,8,8,9,8,8,9,8,8,8,8,10,8,8,9,8,8,8,9,8,8,8,8,9,8,9,8,8,8,8,9,8,8,8,8,9,8,8,9,8,8,8,8,9,8,8,9,8,8,8,8</v>
      </c>
      <c r="I12" s="17">
        <v>91</v>
      </c>
      <c r="J12" s="44" t="s">
        <v>247</v>
      </c>
      <c r="K12" s="43">
        <v>8</v>
      </c>
      <c r="L12" s="52" t="str">
        <f t="shared" si="2"/>
        <v>8,8,8,9,8,8,9,8,8,8,8,10,8,8,9,8,8,8,9,8,8,8,8,9,8,9,8,8,8,8,9,8,8,8,8,9,8,8,9,8,8,8,8,9,8,8,9,8,8,8,8,11,8,8,9,8,8,8,9,8,8,8,8,9,8,9,8,8,8,8,9,8,8,8,8,9,8,8,9,8,8,8,8,9,8,8,9,8,8,8,8</v>
      </c>
      <c r="M12" s="17">
        <v>131</v>
      </c>
      <c r="N12" s="44" t="s">
        <v>247</v>
      </c>
      <c r="O12" s="43">
        <v>8</v>
      </c>
      <c r="P12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</v>
      </c>
      <c r="Q12" s="17">
        <v>171</v>
      </c>
      <c r="R12" s="44" t="s">
        <v>247</v>
      </c>
      <c r="S12" s="43">
        <v>8</v>
      </c>
      <c r="T12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</v>
      </c>
      <c r="U12" s="17">
        <v>211</v>
      </c>
      <c r="V12" s="44" t="s">
        <v>247</v>
      </c>
      <c r="W12" s="43">
        <v>8</v>
      </c>
      <c r="X12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</v>
      </c>
      <c r="Y12" t="s">
        <v>251</v>
      </c>
      <c r="Z12" s="44" t="s">
        <v>247</v>
      </c>
      <c r="AA12">
        <f>COUNTIF($A$1:$W$41,Z12)</f>
        <v>180</v>
      </c>
      <c r="AB12">
        <v>3</v>
      </c>
      <c r="AC12">
        <f>AA12*AB12</f>
        <v>540</v>
      </c>
      <c r="AD12" s="108">
        <f>AA12/$AC$16*24</f>
        <v>4.1379310344827589</v>
      </c>
    </row>
    <row r="13" spans="1:30">
      <c r="A13" s="17">
        <v>12</v>
      </c>
      <c r="B13" s="47" t="s">
        <v>249</v>
      </c>
      <c r="C13" s="48">
        <v>10</v>
      </c>
      <c r="D13" s="52" t="str">
        <f t="shared" si="0"/>
        <v>8,8,8,9,8,8,9,8,8,8,8,10</v>
      </c>
      <c r="E13" s="17">
        <v>52</v>
      </c>
      <c r="F13" s="49" t="s">
        <v>250</v>
      </c>
      <c r="G13" s="50">
        <v>11</v>
      </c>
      <c r="H13" s="52" t="str">
        <f t="shared" si="1"/>
        <v>8,8,8,9,8,8,9,8,8,8,8,10,8,8,9,8,8,8,9,8,8,8,8,9,8,9,8,8,8,8,9,8,8,8,8,9,8,8,9,8,8,8,8,9,8,8,9,8,8,8,8,11</v>
      </c>
      <c r="I13" s="17">
        <v>92</v>
      </c>
      <c r="J13" s="45" t="s">
        <v>248</v>
      </c>
      <c r="K13" s="46">
        <v>9</v>
      </c>
      <c r="L13" s="52" t="str">
        <f t="shared" si="2"/>
        <v>8,8,8,9,8,8,9,8,8,8,8,10,8,8,9,8,8,8,9,8,8,8,8,9,8,9,8,8,8,8,9,8,8,8,8,9,8,8,9,8,8,8,8,9,8,8,9,8,8,8,8,11,8,8,9,8,8,8,9,8,8,8,8,9,8,9,8,8,8,8,9,8,8,8,8,9,8,8,9,8,8,8,8,9,8,8,9,8,8,8,8,9</v>
      </c>
      <c r="M13" s="17">
        <v>132</v>
      </c>
      <c r="N13" s="47" t="s">
        <v>249</v>
      </c>
      <c r="O13" s="48">
        <v>10</v>
      </c>
      <c r="P13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</v>
      </c>
      <c r="Q13" s="17">
        <v>172</v>
      </c>
      <c r="R13" s="45" t="s">
        <v>248</v>
      </c>
      <c r="S13" s="46">
        <v>9</v>
      </c>
      <c r="T13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</v>
      </c>
      <c r="U13" s="17">
        <v>212</v>
      </c>
      <c r="V13" s="45" t="s">
        <v>248</v>
      </c>
      <c r="W13" s="46">
        <v>9</v>
      </c>
      <c r="X13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</v>
      </c>
      <c r="Y13" t="s">
        <v>251</v>
      </c>
      <c r="Z13" s="45" t="s">
        <v>248</v>
      </c>
      <c r="AA13" s="32">
        <f>COUNTIF($A$1:$W$41,Z13)</f>
        <v>54</v>
      </c>
      <c r="AB13">
        <v>8</v>
      </c>
      <c r="AC13" s="32">
        <f t="shared" ref="AC13:AC15" si="6">AA13*AB13</f>
        <v>432</v>
      </c>
      <c r="AD13" s="108">
        <f>AA13/$AC$16*24</f>
        <v>1.2413793103448276</v>
      </c>
    </row>
    <row r="14" spans="1:30">
      <c r="A14" s="17">
        <v>13</v>
      </c>
      <c r="B14" s="44" t="s">
        <v>247</v>
      </c>
      <c r="C14" s="43">
        <v>8</v>
      </c>
      <c r="D14" s="52" t="str">
        <f t="shared" si="0"/>
        <v>8,8,8,9,8,8,9,8,8,8,8,10,8</v>
      </c>
      <c r="E14" s="17">
        <v>53</v>
      </c>
      <c r="F14" s="44" t="s">
        <v>247</v>
      </c>
      <c r="G14" s="43">
        <v>8</v>
      </c>
      <c r="H14" s="52" t="str">
        <f t="shared" si="1"/>
        <v>8,8,8,9,8,8,9,8,8,8,8,10,8,8,9,8,8,8,9,8,8,8,8,9,8,9,8,8,8,8,9,8,8,8,8,9,8,8,9,8,8,8,8,9,8,8,9,8,8,8,8,11,8</v>
      </c>
      <c r="I14" s="17">
        <v>93</v>
      </c>
      <c r="J14" s="44" t="s">
        <v>247</v>
      </c>
      <c r="K14" s="43">
        <v>8</v>
      </c>
      <c r="L14" s="52" t="str">
        <f t="shared" si="2"/>
        <v>8,8,8,9,8,8,9,8,8,8,8,10,8,8,9,8,8,8,9,8,8,8,8,9,8,9,8,8,8,8,9,8,8,8,8,9,8,8,9,8,8,8,8,9,8,8,9,8,8,8,8,11,8,8,9,8,8,8,9,8,8,8,8,9,8,9,8,8,8,8,9,8,8,8,8,9,8,8,9,8,8,8,8,9,8,8,9,8,8,8,8,9,8</v>
      </c>
      <c r="M14" s="17">
        <v>133</v>
      </c>
      <c r="N14" s="44" t="s">
        <v>247</v>
      </c>
      <c r="O14" s="43">
        <v>8</v>
      </c>
      <c r="P14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</v>
      </c>
      <c r="Q14" s="17">
        <v>173</v>
      </c>
      <c r="R14" s="44" t="s">
        <v>247</v>
      </c>
      <c r="S14" s="43">
        <v>8</v>
      </c>
      <c r="T14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</v>
      </c>
      <c r="U14" s="17">
        <v>213</v>
      </c>
      <c r="V14" s="44" t="s">
        <v>247</v>
      </c>
      <c r="W14" s="43">
        <v>8</v>
      </c>
      <c r="X14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</v>
      </c>
      <c r="Y14" t="s">
        <v>251</v>
      </c>
      <c r="Z14" s="47" t="s">
        <v>249</v>
      </c>
      <c r="AA14" s="32">
        <f>COUNTIF($A$1:$W$41,Z14)</f>
        <v>3</v>
      </c>
      <c r="AB14">
        <v>12</v>
      </c>
      <c r="AC14" s="32">
        <f t="shared" si="6"/>
        <v>36</v>
      </c>
      <c r="AD14" s="107">
        <f>AA14/$AC$16*24</f>
        <v>6.8965517241379309E-2</v>
      </c>
    </row>
    <row r="15" spans="1:30">
      <c r="A15" s="17">
        <v>14</v>
      </c>
      <c r="B15" s="44" t="s">
        <v>247</v>
      </c>
      <c r="C15" s="43">
        <v>8</v>
      </c>
      <c r="D15" s="52" t="str">
        <f t="shared" si="0"/>
        <v>8,8,8,9,8,8,9,8,8,8,8,10,8,8</v>
      </c>
      <c r="E15" s="17">
        <v>54</v>
      </c>
      <c r="F15" s="44" t="s">
        <v>247</v>
      </c>
      <c r="G15" s="43">
        <v>8</v>
      </c>
      <c r="H15" s="52" t="str">
        <f t="shared" si="1"/>
        <v>8,8,8,9,8,8,9,8,8,8,8,10,8,8,9,8,8,8,9,8,8,8,8,9,8,9,8,8,8,8,9,8,8,8,8,9,8,8,9,8,8,8,8,9,8,8,9,8,8,8,8,11,8,8</v>
      </c>
      <c r="I15" s="17">
        <v>94</v>
      </c>
      <c r="J15" s="44" t="s">
        <v>247</v>
      </c>
      <c r="K15" s="43">
        <v>8</v>
      </c>
      <c r="L15" s="52" t="str">
        <f t="shared" si="2"/>
        <v>8,8,8,9,8,8,9,8,8,8,8,10,8,8,9,8,8,8,9,8,8,8,8,9,8,9,8,8,8,8,9,8,8,8,8,9,8,8,9,8,8,8,8,9,8,8,9,8,8,8,8,11,8,8,9,8,8,8,9,8,8,8,8,9,8,9,8,8,8,8,9,8,8,8,8,9,8,8,9,8,8,8,8,9,8,8,9,8,8,8,8,9,8,8</v>
      </c>
      <c r="M15" s="17">
        <v>134</v>
      </c>
      <c r="N15" s="44" t="s">
        <v>247</v>
      </c>
      <c r="O15" s="43">
        <v>8</v>
      </c>
      <c r="P15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</v>
      </c>
      <c r="Q15" s="17">
        <v>174</v>
      </c>
      <c r="R15" s="44" t="s">
        <v>247</v>
      </c>
      <c r="S15" s="43">
        <v>8</v>
      </c>
      <c r="T15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</v>
      </c>
      <c r="U15" s="17">
        <v>214</v>
      </c>
      <c r="V15" s="44" t="s">
        <v>247</v>
      </c>
      <c r="W15" s="43">
        <v>8</v>
      </c>
      <c r="X15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</v>
      </c>
      <c r="Y15" t="s">
        <v>251</v>
      </c>
      <c r="Z15" s="49" t="s">
        <v>250</v>
      </c>
      <c r="AA15" s="32">
        <f>COUNTIF($A$1:$W$41,Z15)</f>
        <v>3</v>
      </c>
      <c r="AB15">
        <v>12</v>
      </c>
      <c r="AC15" s="32">
        <f t="shared" si="6"/>
        <v>36</v>
      </c>
      <c r="AD15" s="107">
        <f>AA15/$AC$16*24</f>
        <v>6.8965517241379309E-2</v>
      </c>
    </row>
    <row r="16" spans="1:30">
      <c r="A16" s="17">
        <v>15</v>
      </c>
      <c r="B16" s="45" t="s">
        <v>248</v>
      </c>
      <c r="C16" s="46">
        <v>9</v>
      </c>
      <c r="D16" s="52" t="str">
        <f t="shared" si="0"/>
        <v>8,8,8,9,8,8,9,8,8,8,8,10,8,8,9</v>
      </c>
      <c r="E16" s="17">
        <v>55</v>
      </c>
      <c r="F16" s="45" t="s">
        <v>248</v>
      </c>
      <c r="G16" s="46">
        <v>9</v>
      </c>
      <c r="H16" s="52" t="str">
        <f t="shared" si="1"/>
        <v>8,8,8,9,8,8,9,8,8,8,8,10,8,8,9,8,8,8,9,8,8,8,8,9,8,9,8,8,8,8,9,8,8,8,8,9,8,8,9,8,8,8,8,9,8,8,9,8,8,8,8,11,8,8,9</v>
      </c>
      <c r="I16" s="17">
        <v>95</v>
      </c>
      <c r="J16" s="45" t="s">
        <v>248</v>
      </c>
      <c r="K16" s="46">
        <v>9</v>
      </c>
      <c r="L16" s="52" t="str">
        <f t="shared" si="2"/>
        <v>8,8,8,9,8,8,9,8,8,8,8,10,8,8,9,8,8,8,9,8,8,8,8,9,8,9,8,8,8,8,9,8,8,8,8,9,8,8,9,8,8,8,8,9,8,8,9,8,8,8,8,11,8,8,9,8,8,8,9,8,8,8,8,9,8,9,8,8,8,8,9,8,8,8,8,9,8,8,9,8,8,8,8,9,8,8,9,8,8,8,8,9,8,8,9</v>
      </c>
      <c r="M16" s="17">
        <v>135</v>
      </c>
      <c r="N16" s="45" t="s">
        <v>248</v>
      </c>
      <c r="O16" s="46">
        <v>9</v>
      </c>
      <c r="P16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</v>
      </c>
      <c r="Q16" s="17">
        <v>175</v>
      </c>
      <c r="R16" s="45" t="s">
        <v>248</v>
      </c>
      <c r="S16" s="46">
        <v>9</v>
      </c>
      <c r="T16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</v>
      </c>
      <c r="U16" s="17">
        <v>215</v>
      </c>
      <c r="V16" s="45" t="s">
        <v>248</v>
      </c>
      <c r="W16" s="46">
        <v>9</v>
      </c>
      <c r="X16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</v>
      </c>
      <c r="Y16" t="s">
        <v>251</v>
      </c>
      <c r="AC16" s="33">
        <f>SUM(AC12:AC15)</f>
        <v>1044</v>
      </c>
    </row>
    <row r="17" spans="1:25">
      <c r="A17" s="17">
        <v>16</v>
      </c>
      <c r="B17" s="44" t="s">
        <v>247</v>
      </c>
      <c r="C17" s="43">
        <v>8</v>
      </c>
      <c r="D17" s="52" t="str">
        <f t="shared" si="0"/>
        <v>8,8,8,9,8,8,9,8,8,8,8,10,8,8,9,8</v>
      </c>
      <c r="E17" s="17">
        <v>56</v>
      </c>
      <c r="F17" s="44" t="s">
        <v>247</v>
      </c>
      <c r="G17" s="43">
        <v>8</v>
      </c>
      <c r="H17" s="52" t="str">
        <f t="shared" si="1"/>
        <v>8,8,8,9,8,8,9,8,8,8,8,10,8,8,9,8,8,8,9,8,8,8,8,9,8,9,8,8,8,8,9,8,8,8,8,9,8,8,9,8,8,8,8,9,8,8,9,8,8,8,8,11,8,8,9,8</v>
      </c>
      <c r="I17" s="17">
        <v>96</v>
      </c>
      <c r="J17" s="44" t="s">
        <v>247</v>
      </c>
      <c r="K17" s="43">
        <v>8</v>
      </c>
      <c r="L17" s="52" t="str">
        <f t="shared" si="2"/>
        <v>8,8,8,9,8,8,9,8,8,8,8,10,8,8,9,8,8,8,9,8,8,8,8,9,8,9,8,8,8,8,9,8,8,8,8,9,8,8,9,8,8,8,8,9,8,8,9,8,8,8,8,11,8,8,9,8,8,8,9,8,8,8,8,9,8,9,8,8,8,8,9,8,8,8,8,9,8,8,9,8,8,8,8,9,8,8,9,8,8,8,8,9,8,8,9,8</v>
      </c>
      <c r="M17" s="17">
        <v>136</v>
      </c>
      <c r="N17" s="44" t="s">
        <v>247</v>
      </c>
      <c r="O17" s="43">
        <v>8</v>
      </c>
      <c r="P17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</v>
      </c>
      <c r="Q17" s="17">
        <v>176</v>
      </c>
      <c r="R17" s="44" t="s">
        <v>247</v>
      </c>
      <c r="S17" s="43">
        <v>8</v>
      </c>
      <c r="T17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</v>
      </c>
      <c r="U17" s="17">
        <v>216</v>
      </c>
      <c r="V17" s="44" t="s">
        <v>247</v>
      </c>
      <c r="W17" s="43">
        <v>8</v>
      </c>
      <c r="X17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</v>
      </c>
      <c r="Y17" t="s">
        <v>251</v>
      </c>
    </row>
    <row r="18" spans="1:25">
      <c r="A18" s="17">
        <v>17</v>
      </c>
      <c r="B18" s="44" t="s">
        <v>247</v>
      </c>
      <c r="C18" s="43">
        <v>8</v>
      </c>
      <c r="D18" s="52" t="str">
        <f t="shared" si="0"/>
        <v>8,8,8,9,8,8,9,8,8,8,8,10,8,8,9,8,8</v>
      </c>
      <c r="E18" s="17">
        <v>57</v>
      </c>
      <c r="F18" s="44" t="s">
        <v>247</v>
      </c>
      <c r="G18" s="43">
        <v>8</v>
      </c>
      <c r="H18" s="52" t="str">
        <f t="shared" si="1"/>
        <v>8,8,8,9,8,8,9,8,8,8,8,10,8,8,9,8,8,8,9,8,8,8,8,9,8,9,8,8,8,8,9,8,8,8,8,9,8,8,9,8,8,8,8,9,8,8,9,8,8,8,8,11,8,8,9,8,8</v>
      </c>
      <c r="I18" s="17">
        <v>97</v>
      </c>
      <c r="J18" s="44" t="s">
        <v>247</v>
      </c>
      <c r="K18" s="43">
        <v>8</v>
      </c>
      <c r="L18" s="52" t="str">
        <f t="shared" si="2"/>
        <v>8,8,8,9,8,8,9,8,8,8,8,10,8,8,9,8,8,8,9,8,8,8,8,9,8,9,8,8,8,8,9,8,8,8,8,9,8,8,9,8,8,8,8,9,8,8,9,8,8,8,8,11,8,8,9,8,8,8,9,8,8,8,8,9,8,9,8,8,8,8,9,8,8,8,8,9,8,8,9,8,8,8,8,9,8,8,9,8,8,8,8,9,8,8,9,8,8</v>
      </c>
      <c r="M18" s="17">
        <v>137</v>
      </c>
      <c r="N18" s="44" t="s">
        <v>247</v>
      </c>
      <c r="O18" s="43">
        <v>8</v>
      </c>
      <c r="P18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</v>
      </c>
      <c r="Q18" s="17">
        <v>177</v>
      </c>
      <c r="R18" s="44" t="s">
        <v>247</v>
      </c>
      <c r="S18" s="43">
        <v>8</v>
      </c>
      <c r="T18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</v>
      </c>
      <c r="U18" s="17">
        <v>217</v>
      </c>
      <c r="V18" s="44" t="s">
        <v>247</v>
      </c>
      <c r="W18" s="43">
        <v>8</v>
      </c>
      <c r="X18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</v>
      </c>
      <c r="Y18" t="s">
        <v>251</v>
      </c>
    </row>
    <row r="19" spans="1:25">
      <c r="A19" s="17">
        <v>18</v>
      </c>
      <c r="B19" s="44" t="s">
        <v>247</v>
      </c>
      <c r="C19" s="43">
        <v>8</v>
      </c>
      <c r="D19" s="52" t="str">
        <f t="shared" si="0"/>
        <v>8,8,8,9,8,8,9,8,8,8,8,10,8,8,9,8,8,8</v>
      </c>
      <c r="E19" s="17">
        <v>58</v>
      </c>
      <c r="F19" s="44" t="s">
        <v>247</v>
      </c>
      <c r="G19" s="43">
        <v>8</v>
      </c>
      <c r="H19" s="52" t="str">
        <f t="shared" si="1"/>
        <v>8,8,8,9,8,8,9,8,8,8,8,10,8,8,9,8,8,8,9,8,8,8,8,9,8,9,8,8,8,8,9,8,8,8,8,9,8,8,9,8,8,8,8,9,8,8,9,8,8,8,8,11,8,8,9,8,8,8</v>
      </c>
      <c r="I19" s="17">
        <v>98</v>
      </c>
      <c r="J19" s="44" t="s">
        <v>247</v>
      </c>
      <c r="K19" s="43">
        <v>8</v>
      </c>
      <c r="L19" s="52" t="str">
        <f t="shared" si="2"/>
        <v>8,8,8,9,8,8,9,8,8,8,8,10,8,8,9,8,8,8,9,8,8,8,8,9,8,9,8,8,8,8,9,8,8,8,8,9,8,8,9,8,8,8,8,9,8,8,9,8,8,8,8,11,8,8,9,8,8,8,9,8,8,8,8,9,8,9,8,8,8,8,9,8,8,8,8,9,8,8,9,8,8,8,8,9,8,8,9,8,8,8,8,9,8,8,9,8,8,8</v>
      </c>
      <c r="M19" s="17">
        <v>138</v>
      </c>
      <c r="N19" s="44" t="s">
        <v>247</v>
      </c>
      <c r="O19" s="43">
        <v>8</v>
      </c>
      <c r="P19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</v>
      </c>
      <c r="Q19" s="17">
        <v>178</v>
      </c>
      <c r="R19" s="44" t="s">
        <v>247</v>
      </c>
      <c r="S19" s="43">
        <v>8</v>
      </c>
      <c r="T19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</v>
      </c>
      <c r="U19" s="17">
        <v>218</v>
      </c>
      <c r="V19" s="44" t="s">
        <v>247</v>
      </c>
      <c r="W19" s="43">
        <v>8</v>
      </c>
      <c r="X19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</v>
      </c>
      <c r="Y19" t="s">
        <v>251</v>
      </c>
    </row>
    <row r="20" spans="1:25">
      <c r="A20" s="17">
        <v>19</v>
      </c>
      <c r="B20" s="45" t="s">
        <v>248</v>
      </c>
      <c r="C20" s="46">
        <v>9</v>
      </c>
      <c r="D20" s="52" t="str">
        <f t="shared" si="0"/>
        <v>8,8,8,9,8,8,9,8,8,8,8,10,8,8,9,8,8,8,9</v>
      </c>
      <c r="E20" s="17">
        <v>59</v>
      </c>
      <c r="F20" s="45" t="s">
        <v>248</v>
      </c>
      <c r="G20" s="46">
        <v>9</v>
      </c>
      <c r="H20" s="52" t="str">
        <f t="shared" si="1"/>
        <v>8,8,8,9,8,8,9,8,8,8,8,10,8,8,9,8,8,8,9,8,8,8,8,9,8,9,8,8,8,8,9,8,8,8,8,9,8,8,9,8,8,8,8,9,8,8,9,8,8,8,8,11,8,8,9,8,8,8,9</v>
      </c>
      <c r="I20" s="17">
        <v>99</v>
      </c>
      <c r="J20" s="45" t="s">
        <v>248</v>
      </c>
      <c r="K20" s="46">
        <v>9</v>
      </c>
      <c r="L20" s="52" t="str">
        <f t="shared" si="2"/>
        <v>8,8,8,9,8,8,9,8,8,8,8,10,8,8,9,8,8,8,9,8,8,8,8,9,8,9,8,8,8,8,9,8,8,8,8,9,8,8,9,8,8,8,8,9,8,8,9,8,8,8,8,11,8,8,9,8,8,8,9,8,8,8,8,9,8,9,8,8,8,8,9,8,8,8,8,9,8,8,9,8,8,8,8,9,8,8,9,8,8,8,8,9,8,8,9,8,8,8,9</v>
      </c>
      <c r="M20" s="17">
        <v>139</v>
      </c>
      <c r="N20" s="45" t="s">
        <v>248</v>
      </c>
      <c r="O20" s="46">
        <v>9</v>
      </c>
      <c r="P20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</v>
      </c>
      <c r="Q20" s="17">
        <v>179</v>
      </c>
      <c r="R20" s="45" t="s">
        <v>248</v>
      </c>
      <c r="S20" s="46">
        <v>9</v>
      </c>
      <c r="T20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</v>
      </c>
      <c r="U20" s="17">
        <v>219</v>
      </c>
      <c r="V20" s="45" t="s">
        <v>248</v>
      </c>
      <c r="W20" s="46">
        <v>9</v>
      </c>
      <c r="X20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</v>
      </c>
      <c r="Y20" t="s">
        <v>251</v>
      </c>
    </row>
    <row r="21" spans="1:25">
      <c r="A21" s="17">
        <v>20</v>
      </c>
      <c r="B21" s="44" t="s">
        <v>247</v>
      </c>
      <c r="C21" s="43">
        <v>8</v>
      </c>
      <c r="D21" s="52" t="str">
        <f t="shared" si="0"/>
        <v>8,8,8,9,8,8,9,8,8,8,8,10,8,8,9,8,8,8,9,8</v>
      </c>
      <c r="E21" s="17">
        <v>60</v>
      </c>
      <c r="F21" s="44" t="s">
        <v>247</v>
      </c>
      <c r="G21" s="43">
        <v>8</v>
      </c>
      <c r="H21" s="52" t="str">
        <f t="shared" si="1"/>
        <v>8,8,8,9,8,8,9,8,8,8,8,10,8,8,9,8,8,8,9,8,8,8,8,9,8,9,8,8,8,8,9,8,8,8,8,9,8,8,9,8,8,8,8,9,8,8,9,8,8,8,8,11,8,8,9,8,8,8,9,8</v>
      </c>
      <c r="I21" s="17">
        <v>100</v>
      </c>
      <c r="J21" s="44" t="s">
        <v>247</v>
      </c>
      <c r="K21" s="43">
        <v>8</v>
      </c>
      <c r="L21" s="52" t="str">
        <f t="shared" si="2"/>
        <v>8,8,8,9,8,8,9,8,8,8,8,10,8,8,9,8,8,8,9,8,8,8,8,9,8,9,8,8,8,8,9,8,8,8,8,9,8,8,9,8,8,8,8,9,8,8,9,8,8,8,8,11,8,8,9,8,8,8,9,8,8,8,8,9,8,9,8,8,8,8,9,8,8,8,8,9,8,8,9,8,8,8,8,9,8,8,9,8,8,8,8,9,8,8,9,8,8,8,9,8</v>
      </c>
      <c r="M21" s="17">
        <v>140</v>
      </c>
      <c r="N21" s="44" t="s">
        <v>247</v>
      </c>
      <c r="O21" s="43">
        <v>8</v>
      </c>
      <c r="P21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</v>
      </c>
      <c r="Q21" s="17">
        <v>180</v>
      </c>
      <c r="R21" s="44" t="s">
        <v>247</v>
      </c>
      <c r="S21" s="43">
        <v>8</v>
      </c>
      <c r="T21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</v>
      </c>
      <c r="U21" s="17">
        <v>220</v>
      </c>
      <c r="V21" s="44" t="s">
        <v>247</v>
      </c>
      <c r="W21" s="43">
        <v>8</v>
      </c>
      <c r="X21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</v>
      </c>
      <c r="Y21" t="s">
        <v>251</v>
      </c>
    </row>
    <row r="22" spans="1:25">
      <c r="A22" s="17">
        <v>21</v>
      </c>
      <c r="B22" s="44" t="s">
        <v>247</v>
      </c>
      <c r="C22" s="43">
        <v>8</v>
      </c>
      <c r="D22" s="52" t="str">
        <f t="shared" si="0"/>
        <v>8,8,8,9,8,8,9,8,8,8,8,10,8,8,9,8,8,8,9,8,8</v>
      </c>
      <c r="E22" s="17">
        <v>61</v>
      </c>
      <c r="F22" s="44" t="s">
        <v>247</v>
      </c>
      <c r="G22" s="43">
        <v>8</v>
      </c>
      <c r="H22" s="52" t="str">
        <f t="shared" si="1"/>
        <v>8,8,8,9,8,8,9,8,8,8,8,10,8,8,9,8,8,8,9,8,8,8,8,9,8,9,8,8,8,8,9,8,8,8,8,9,8,8,9,8,8,8,8,9,8,8,9,8,8,8,8,11,8,8,9,8,8,8,9,8,8</v>
      </c>
      <c r="I22" s="17">
        <v>101</v>
      </c>
      <c r="J22" s="44" t="s">
        <v>247</v>
      </c>
      <c r="K22" s="43">
        <v>8</v>
      </c>
      <c r="L22" s="52" t="str">
        <f t="shared" si="2"/>
        <v>8,8,8,9,8,8,9,8,8,8,8,10,8,8,9,8,8,8,9,8,8,8,8,9,8,9,8,8,8,8,9,8,8,8,8,9,8,8,9,8,8,8,8,9,8,8,9,8,8,8,8,11,8,8,9,8,8,8,9,8,8,8,8,9,8,9,8,8,8,8,9,8,8,8,8,9,8,8,9,8,8,8,8,9,8,8,9,8,8,8,8,9,8,8,9,8,8,8,9,8,8</v>
      </c>
      <c r="M22" s="17">
        <v>141</v>
      </c>
      <c r="N22" s="44" t="s">
        <v>247</v>
      </c>
      <c r="O22" s="43">
        <v>8</v>
      </c>
      <c r="P22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</v>
      </c>
      <c r="Q22" s="17">
        <v>181</v>
      </c>
      <c r="R22" s="44" t="s">
        <v>247</v>
      </c>
      <c r="S22" s="43">
        <v>8</v>
      </c>
      <c r="T22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</v>
      </c>
      <c r="U22" s="17">
        <v>221</v>
      </c>
      <c r="V22" s="44" t="s">
        <v>247</v>
      </c>
      <c r="W22" s="43">
        <v>8</v>
      </c>
      <c r="X22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</v>
      </c>
      <c r="Y22" t="s">
        <v>251</v>
      </c>
    </row>
    <row r="23" spans="1:25">
      <c r="A23" s="17">
        <v>22</v>
      </c>
      <c r="B23" s="44" t="s">
        <v>247</v>
      </c>
      <c r="C23" s="43">
        <v>8</v>
      </c>
      <c r="D23" s="52" t="str">
        <f t="shared" si="0"/>
        <v>8,8,8,9,8,8,9,8,8,8,8,10,8,8,9,8,8,8,9,8,8,8</v>
      </c>
      <c r="E23" s="17">
        <v>62</v>
      </c>
      <c r="F23" s="44" t="s">
        <v>247</v>
      </c>
      <c r="G23" s="43">
        <v>8</v>
      </c>
      <c r="H23" s="52" t="str">
        <f t="shared" si="1"/>
        <v>8,8,8,9,8,8,9,8,8,8,8,10,8,8,9,8,8,8,9,8,8,8,8,9,8,9,8,8,8,8,9,8,8,8,8,9,8,8,9,8,8,8,8,9,8,8,9,8,8,8,8,11,8,8,9,8,8,8,9,8,8,8</v>
      </c>
      <c r="I23" s="17">
        <v>102</v>
      </c>
      <c r="J23" s="44" t="s">
        <v>247</v>
      </c>
      <c r="K23" s="43">
        <v>8</v>
      </c>
      <c r="L23" s="52" t="str">
        <f t="shared" si="2"/>
        <v>8,8,8,9,8,8,9,8,8,8,8,10,8,8,9,8,8,8,9,8,8,8,8,9,8,9,8,8,8,8,9,8,8,8,8,9,8,8,9,8,8,8,8,9,8,8,9,8,8,8,8,11,8,8,9,8,8,8,9,8,8,8,8,9,8,9,8,8,8,8,9,8,8,8,8,9,8,8,9,8,8,8,8,9,8,8,9,8,8,8,8,9,8,8,9,8,8,8,9,8,8,8</v>
      </c>
      <c r="M23" s="17">
        <v>142</v>
      </c>
      <c r="N23" s="44" t="s">
        <v>247</v>
      </c>
      <c r="O23" s="43">
        <v>8</v>
      </c>
      <c r="P23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</v>
      </c>
      <c r="Q23" s="17">
        <v>182</v>
      </c>
      <c r="R23" s="44" t="s">
        <v>247</v>
      </c>
      <c r="S23" s="43">
        <v>8</v>
      </c>
      <c r="T23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</v>
      </c>
      <c r="U23" s="17">
        <v>222</v>
      </c>
      <c r="V23" s="44" t="s">
        <v>247</v>
      </c>
      <c r="W23" s="43">
        <v>8</v>
      </c>
      <c r="X23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</v>
      </c>
      <c r="Y23" t="s">
        <v>251</v>
      </c>
    </row>
    <row r="24" spans="1:25">
      <c r="A24" s="17">
        <v>23</v>
      </c>
      <c r="B24" s="44" t="s">
        <v>247</v>
      </c>
      <c r="C24" s="43">
        <v>8</v>
      </c>
      <c r="D24" s="52" t="str">
        <f t="shared" si="0"/>
        <v>8,8,8,9,8,8,9,8,8,8,8,10,8,8,9,8,8,8,9,8,8,8,8</v>
      </c>
      <c r="E24" s="17">
        <v>63</v>
      </c>
      <c r="F24" s="44" t="s">
        <v>247</v>
      </c>
      <c r="G24" s="43">
        <v>8</v>
      </c>
      <c r="H24" s="52" t="str">
        <f t="shared" si="1"/>
        <v>8,8,8,9,8,8,9,8,8,8,8,10,8,8,9,8,8,8,9,8,8,8,8,9,8,9,8,8,8,8,9,8,8,8,8,9,8,8,9,8,8,8,8,9,8,8,9,8,8,8,8,11,8,8,9,8,8,8,9,8,8,8,8</v>
      </c>
      <c r="I24" s="17">
        <v>103</v>
      </c>
      <c r="J24" s="44" t="s">
        <v>247</v>
      </c>
      <c r="K24" s="43">
        <v>8</v>
      </c>
      <c r="L24" s="52" t="str">
        <f t="shared" si="2"/>
        <v>8,8,8,9,8,8,9,8,8,8,8,10,8,8,9,8,8,8,9,8,8,8,8,9,8,9,8,8,8,8,9,8,8,8,8,9,8,8,9,8,8,8,8,9,8,8,9,8,8,8,8,11,8,8,9,8,8,8,9,8,8,8,8,9,8,9,8,8,8,8,9,8,8,8,8,9,8,8,9,8,8,8,8,9,8,8,9,8,8,8,8,9,8,8,9,8,8,8,9,8,8,8,8</v>
      </c>
      <c r="M24" s="17">
        <v>143</v>
      </c>
      <c r="N24" s="44" t="s">
        <v>247</v>
      </c>
      <c r="O24" s="43">
        <v>8</v>
      </c>
      <c r="P24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</v>
      </c>
      <c r="Q24" s="17">
        <v>183</v>
      </c>
      <c r="R24" s="44" t="s">
        <v>247</v>
      </c>
      <c r="S24" s="43">
        <v>8</v>
      </c>
      <c r="T24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</v>
      </c>
      <c r="U24" s="17">
        <v>223</v>
      </c>
      <c r="V24" s="44" t="s">
        <v>247</v>
      </c>
      <c r="W24" s="43">
        <v>8</v>
      </c>
      <c r="X24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</v>
      </c>
      <c r="Y24" t="s">
        <v>251</v>
      </c>
    </row>
    <row r="25" spans="1:25">
      <c r="A25" s="17">
        <v>24</v>
      </c>
      <c r="B25" s="45" t="s">
        <v>248</v>
      </c>
      <c r="C25" s="46">
        <v>9</v>
      </c>
      <c r="D25" s="52" t="str">
        <f t="shared" si="0"/>
        <v>8,8,8,9,8,8,9,8,8,8,8,10,8,8,9,8,8,8,9,8,8,8,8,9</v>
      </c>
      <c r="E25" s="17">
        <v>64</v>
      </c>
      <c r="F25" s="45" t="s">
        <v>248</v>
      </c>
      <c r="G25" s="46">
        <v>9</v>
      </c>
      <c r="H25" s="52" t="str">
        <f t="shared" si="1"/>
        <v>8,8,8,9,8,8,9,8,8,8,8,10,8,8,9,8,8,8,9,8,8,8,8,9,8,9,8,8,8,8,9,8,8,8,8,9,8,8,9,8,8,8,8,9,8,8,9,8,8,8,8,11,8,8,9,8,8,8,9,8,8,8,8,9</v>
      </c>
      <c r="I25" s="17">
        <v>104</v>
      </c>
      <c r="J25" s="45" t="s">
        <v>248</v>
      </c>
      <c r="K25" s="46">
        <v>9</v>
      </c>
      <c r="L25" s="52" t="str">
        <f t="shared" si="2"/>
        <v>8,8,8,9,8,8,9,8,8,8,8,10,8,8,9,8,8,8,9,8,8,8,8,9,8,9,8,8,8,8,9,8,8,8,8,9,8,8,9,8,8,8,8,9,8,8,9,8,8,8,8,11,8,8,9,8,8,8,9,8,8,8,8,9,8,9,8,8,8,8,9,8,8,8,8,9,8,8,9,8,8,8,8,9,8,8,9,8,8,8,8,9,8,8,9,8,8,8,9,8,8,8,8,9</v>
      </c>
      <c r="M25" s="17">
        <v>144</v>
      </c>
      <c r="N25" s="45" t="s">
        <v>248</v>
      </c>
      <c r="O25" s="46">
        <v>9</v>
      </c>
      <c r="P25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</v>
      </c>
      <c r="Q25" s="17">
        <v>184</v>
      </c>
      <c r="R25" s="45" t="s">
        <v>248</v>
      </c>
      <c r="S25" s="46">
        <v>9</v>
      </c>
      <c r="T25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</v>
      </c>
      <c r="U25" s="17">
        <v>224</v>
      </c>
      <c r="V25" s="45" t="s">
        <v>248</v>
      </c>
      <c r="W25" s="46">
        <v>9</v>
      </c>
      <c r="X25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</v>
      </c>
      <c r="Y25" t="s">
        <v>251</v>
      </c>
    </row>
    <row r="26" spans="1:25">
      <c r="A26" s="17">
        <v>25</v>
      </c>
      <c r="B26" s="44" t="s">
        <v>247</v>
      </c>
      <c r="C26" s="43">
        <v>8</v>
      </c>
      <c r="D26" s="52" t="str">
        <f t="shared" si="0"/>
        <v>8,8,8,9,8,8,9,8,8,8,8,10,8,8,9,8,8,8,9,8,8,8,8,9,8</v>
      </c>
      <c r="E26" s="17">
        <v>65</v>
      </c>
      <c r="F26" s="44" t="s">
        <v>247</v>
      </c>
      <c r="G26" s="43">
        <v>8</v>
      </c>
      <c r="H26" s="52" t="str">
        <f t="shared" si="1"/>
        <v>8,8,8,9,8,8,9,8,8,8,8,10,8,8,9,8,8,8,9,8,8,8,8,9,8,9,8,8,8,8,9,8,8,8,8,9,8,8,9,8,8,8,8,9,8,8,9,8,8,8,8,11,8,8,9,8,8,8,9,8,8,8,8,9,8</v>
      </c>
      <c r="I26" s="17">
        <v>105</v>
      </c>
      <c r="J26" s="44" t="s">
        <v>247</v>
      </c>
      <c r="K26" s="43">
        <v>8</v>
      </c>
      <c r="L26" s="52" t="str">
        <f t="shared" si="2"/>
        <v>8,8,8,9,8,8,9,8,8,8,8,10,8,8,9,8,8,8,9,8,8,8,8,9,8,9,8,8,8,8,9,8,8,8,8,9,8,8,9,8,8,8,8,9,8,8,9,8,8,8,8,11,8,8,9,8,8,8,9,8,8,8,8,9,8,9,8,8,8,8,9,8,8,8,8,9,8,8,9,8,8,8,8,9,8,8,9,8,8,8,8,9,8,8,9,8,8,8,9,8,8,8,8,9,8</v>
      </c>
      <c r="M26" s="17">
        <v>145</v>
      </c>
      <c r="N26" s="44" t="s">
        <v>247</v>
      </c>
      <c r="O26" s="43">
        <v>8</v>
      </c>
      <c r="P26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</v>
      </c>
      <c r="Q26" s="17">
        <v>185</v>
      </c>
      <c r="R26" s="44" t="s">
        <v>247</v>
      </c>
      <c r="S26" s="43">
        <v>8</v>
      </c>
      <c r="T26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</v>
      </c>
      <c r="U26" s="17">
        <v>225</v>
      </c>
      <c r="V26" s="44" t="s">
        <v>247</v>
      </c>
      <c r="W26" s="43">
        <v>8</v>
      </c>
      <c r="X26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</v>
      </c>
      <c r="Y26" t="s">
        <v>251</v>
      </c>
    </row>
    <row r="27" spans="1:25">
      <c r="A27" s="17">
        <v>26</v>
      </c>
      <c r="B27" s="45" t="s">
        <v>248</v>
      </c>
      <c r="C27" s="46">
        <v>9</v>
      </c>
      <c r="D27" s="52" t="str">
        <f t="shared" si="0"/>
        <v>8,8,8,9,8,8,9,8,8,8,8,10,8,8,9,8,8,8,9,8,8,8,8,9,8,9</v>
      </c>
      <c r="E27" s="17">
        <v>66</v>
      </c>
      <c r="F27" s="45" t="s">
        <v>248</v>
      </c>
      <c r="G27" s="46">
        <v>9</v>
      </c>
      <c r="H27" s="52" t="str">
        <f t="shared" si="1"/>
        <v>8,8,8,9,8,8,9,8,8,8,8,10,8,8,9,8,8,8,9,8,8,8,8,9,8,9,8,8,8,8,9,8,8,8,8,9,8,8,9,8,8,8,8,9,8,8,9,8,8,8,8,11,8,8,9,8,8,8,9,8,8,8,8,9,8,9</v>
      </c>
      <c r="I27" s="17">
        <v>106</v>
      </c>
      <c r="J27" s="45" t="s">
        <v>248</v>
      </c>
      <c r="K27" s="46">
        <v>9</v>
      </c>
      <c r="L27" s="52" t="str">
        <f t="shared" si="2"/>
        <v>8,8,8,9,8,8,9,8,8,8,8,10,8,8,9,8,8,8,9,8,8,8,8,9,8,9,8,8,8,8,9,8,8,8,8,9,8,8,9,8,8,8,8,9,8,8,9,8,8,8,8,11,8,8,9,8,8,8,9,8,8,8,8,9,8,9,8,8,8,8,9,8,8,8,8,9,8,8,9,8,8,8,8,9,8,8,9,8,8,8,8,9,8,8,9,8,8,8,9,8,8,8,8,9,8,9</v>
      </c>
      <c r="M27" s="17">
        <v>146</v>
      </c>
      <c r="N27" s="45" t="s">
        <v>248</v>
      </c>
      <c r="O27" s="46">
        <v>9</v>
      </c>
      <c r="P27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</v>
      </c>
      <c r="Q27" s="17">
        <v>186</v>
      </c>
      <c r="R27" s="45" t="s">
        <v>248</v>
      </c>
      <c r="S27" s="46">
        <v>9</v>
      </c>
      <c r="T27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</v>
      </c>
      <c r="U27" s="17">
        <v>226</v>
      </c>
      <c r="V27" s="45" t="s">
        <v>248</v>
      </c>
      <c r="W27" s="46">
        <v>9</v>
      </c>
      <c r="X27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</v>
      </c>
      <c r="Y27" t="s">
        <v>251</v>
      </c>
    </row>
    <row r="28" spans="1:25">
      <c r="A28" s="17">
        <v>27</v>
      </c>
      <c r="B28" s="44" t="s">
        <v>247</v>
      </c>
      <c r="C28" s="43">
        <v>8</v>
      </c>
      <c r="D28" s="52" t="str">
        <f t="shared" si="0"/>
        <v>8,8,8,9,8,8,9,8,8,8,8,10,8,8,9,8,8,8,9,8,8,8,8,9,8,9,8</v>
      </c>
      <c r="E28" s="17">
        <v>67</v>
      </c>
      <c r="F28" s="44" t="s">
        <v>247</v>
      </c>
      <c r="G28" s="43">
        <v>8</v>
      </c>
      <c r="H28" s="52" t="str">
        <f t="shared" si="1"/>
        <v>8,8,8,9,8,8,9,8,8,8,8,10,8,8,9,8,8,8,9,8,8,8,8,9,8,9,8,8,8,8,9,8,8,8,8,9,8,8,9,8,8,8,8,9,8,8,9,8,8,8,8,11,8,8,9,8,8,8,9,8,8,8,8,9,8,9,8</v>
      </c>
      <c r="I28" s="17">
        <v>107</v>
      </c>
      <c r="J28" s="44" t="s">
        <v>247</v>
      </c>
      <c r="K28" s="43">
        <v>8</v>
      </c>
      <c r="L28" s="52" t="str">
        <f t="shared" si="2"/>
        <v>8,8,8,9,8,8,9,8,8,8,8,10,8,8,9,8,8,8,9,8,8,8,8,9,8,9,8,8,8,8,9,8,8,8,8,9,8,8,9,8,8,8,8,9,8,8,9,8,8,8,8,11,8,8,9,8,8,8,9,8,8,8,8,9,8,9,8,8,8,8,9,8,8,8,8,9,8,8,9,8,8,8,8,9,8,8,9,8,8,8,8,9,8,8,9,8,8,8,9,8,8,8,8,9,8,9,8</v>
      </c>
      <c r="M28" s="17">
        <v>147</v>
      </c>
      <c r="N28" s="44" t="s">
        <v>247</v>
      </c>
      <c r="O28" s="43">
        <v>8</v>
      </c>
      <c r="P28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</v>
      </c>
      <c r="Q28" s="17">
        <v>187</v>
      </c>
      <c r="R28" s="44" t="s">
        <v>247</v>
      </c>
      <c r="S28" s="43">
        <v>8</v>
      </c>
      <c r="T28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</v>
      </c>
      <c r="U28" s="17">
        <v>227</v>
      </c>
      <c r="V28" s="44" t="s">
        <v>247</v>
      </c>
      <c r="W28" s="43">
        <v>8</v>
      </c>
      <c r="X28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</v>
      </c>
      <c r="Y28" t="s">
        <v>251</v>
      </c>
    </row>
    <row r="29" spans="1:25">
      <c r="A29" s="17">
        <v>28</v>
      </c>
      <c r="B29" s="44" t="s">
        <v>247</v>
      </c>
      <c r="C29" s="43">
        <v>8</v>
      </c>
      <c r="D29" s="52" t="str">
        <f t="shared" si="0"/>
        <v>8,8,8,9,8,8,9,8,8,8,8,10,8,8,9,8,8,8,9,8,8,8,8,9,8,9,8,8</v>
      </c>
      <c r="E29" s="17">
        <v>68</v>
      </c>
      <c r="F29" s="44" t="s">
        <v>247</v>
      </c>
      <c r="G29" s="43">
        <v>8</v>
      </c>
      <c r="H29" s="52" t="str">
        <f t="shared" si="1"/>
        <v>8,8,8,9,8,8,9,8,8,8,8,10,8,8,9,8,8,8,9,8,8,8,8,9,8,9,8,8,8,8,9,8,8,8,8,9,8,8,9,8,8,8,8,9,8,8,9,8,8,8,8,11,8,8,9,8,8,8,9,8,8,8,8,9,8,9,8,8</v>
      </c>
      <c r="I29" s="17">
        <v>108</v>
      </c>
      <c r="J29" s="44" t="s">
        <v>247</v>
      </c>
      <c r="K29" s="43">
        <v>8</v>
      </c>
      <c r="L29" s="52" t="str">
        <f t="shared" si="2"/>
        <v>8,8,8,9,8,8,9,8,8,8,8,10,8,8,9,8,8,8,9,8,8,8,8,9,8,9,8,8,8,8,9,8,8,8,8,9,8,8,9,8,8,8,8,9,8,8,9,8,8,8,8,11,8,8,9,8,8,8,9,8,8,8,8,9,8,9,8,8,8,8,9,8,8,8,8,9,8,8,9,8,8,8,8,9,8,8,9,8,8,8,8,9,8,8,9,8,8,8,9,8,8,8,8,9,8,9,8,8</v>
      </c>
      <c r="M29" s="17">
        <v>148</v>
      </c>
      <c r="N29" s="44" t="s">
        <v>247</v>
      </c>
      <c r="O29" s="43">
        <v>8</v>
      </c>
      <c r="P29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</v>
      </c>
      <c r="Q29" s="17">
        <v>188</v>
      </c>
      <c r="R29" s="44" t="s">
        <v>247</v>
      </c>
      <c r="S29" s="43">
        <v>8</v>
      </c>
      <c r="T29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</v>
      </c>
      <c r="U29" s="17">
        <v>228</v>
      </c>
      <c r="V29" s="44" t="s">
        <v>247</v>
      </c>
      <c r="W29" s="43">
        <v>8</v>
      </c>
      <c r="X29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</v>
      </c>
      <c r="Y29" t="s">
        <v>251</v>
      </c>
    </row>
    <row r="30" spans="1:25">
      <c r="A30" s="17">
        <v>29</v>
      </c>
      <c r="B30" s="44" t="s">
        <v>247</v>
      </c>
      <c r="C30" s="43">
        <v>8</v>
      </c>
      <c r="D30" s="52" t="str">
        <f t="shared" si="0"/>
        <v>8,8,8,9,8,8,9,8,8,8,8,10,8,8,9,8,8,8,9,8,8,8,8,9,8,9,8,8,8</v>
      </c>
      <c r="E30" s="17">
        <v>69</v>
      </c>
      <c r="F30" s="44" t="s">
        <v>247</v>
      </c>
      <c r="G30" s="43">
        <v>8</v>
      </c>
      <c r="H30" s="52" t="str">
        <f t="shared" si="1"/>
        <v>8,8,8,9,8,8,9,8,8,8,8,10,8,8,9,8,8,8,9,8,8,8,8,9,8,9,8,8,8,8,9,8,8,8,8,9,8,8,9,8,8,8,8,9,8,8,9,8,8,8,8,11,8,8,9,8,8,8,9,8,8,8,8,9,8,9,8,8,8</v>
      </c>
      <c r="I30" s="17">
        <v>109</v>
      </c>
      <c r="J30" s="44" t="s">
        <v>247</v>
      </c>
      <c r="K30" s="43">
        <v>8</v>
      </c>
      <c r="L30" s="52" t="str">
        <f t="shared" si="2"/>
        <v>8,8,8,9,8,8,9,8,8,8,8,10,8,8,9,8,8,8,9,8,8,8,8,9,8,9,8,8,8,8,9,8,8,8,8,9,8,8,9,8,8,8,8,9,8,8,9,8,8,8,8,11,8,8,9,8,8,8,9,8,8,8,8,9,8,9,8,8,8,8,9,8,8,8,8,9,8,8,9,8,8,8,8,9,8,8,9,8,8,8,8,9,8,8,9,8,8,8,9,8,8,8,8,9,8,9,8,8,8</v>
      </c>
      <c r="M30" s="17">
        <v>149</v>
      </c>
      <c r="N30" s="44" t="s">
        <v>247</v>
      </c>
      <c r="O30" s="43">
        <v>8</v>
      </c>
      <c r="P30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</v>
      </c>
      <c r="Q30" s="17">
        <v>189</v>
      </c>
      <c r="R30" s="44" t="s">
        <v>247</v>
      </c>
      <c r="S30" s="43">
        <v>8</v>
      </c>
      <c r="T30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</v>
      </c>
      <c r="U30" s="17">
        <v>229</v>
      </c>
      <c r="V30" s="44" t="s">
        <v>247</v>
      </c>
      <c r="W30" s="43">
        <v>8</v>
      </c>
      <c r="X30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</v>
      </c>
      <c r="Y30" t="s">
        <v>251</v>
      </c>
    </row>
    <row r="31" spans="1:25">
      <c r="A31" s="17">
        <v>30</v>
      </c>
      <c r="B31" s="44" t="s">
        <v>247</v>
      </c>
      <c r="C31" s="43">
        <v>8</v>
      </c>
      <c r="D31" s="52" t="str">
        <f t="shared" si="0"/>
        <v>8,8,8,9,8,8,9,8,8,8,8,10,8,8,9,8,8,8,9,8,8,8,8,9,8,9,8,8,8,8</v>
      </c>
      <c r="E31" s="17">
        <v>70</v>
      </c>
      <c r="F31" s="44" t="s">
        <v>247</v>
      </c>
      <c r="G31" s="43">
        <v>8</v>
      </c>
      <c r="H31" s="52" t="str">
        <f t="shared" si="1"/>
        <v>8,8,8,9,8,8,9,8,8,8,8,10,8,8,9,8,8,8,9,8,8,8,8,9,8,9,8,8,8,8,9,8,8,8,8,9,8,8,9,8,8,8,8,9,8,8,9,8,8,8,8,11,8,8,9,8,8,8,9,8,8,8,8,9,8,9,8,8,8,8</v>
      </c>
      <c r="I31" s="17">
        <v>110</v>
      </c>
      <c r="J31" s="44" t="s">
        <v>247</v>
      </c>
      <c r="K31" s="43">
        <v>8</v>
      </c>
      <c r="L31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</v>
      </c>
      <c r="M31" s="17">
        <v>150</v>
      </c>
      <c r="N31" s="44" t="s">
        <v>247</v>
      </c>
      <c r="O31" s="43">
        <v>8</v>
      </c>
      <c r="P31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</v>
      </c>
      <c r="Q31" s="17">
        <v>190</v>
      </c>
      <c r="R31" s="44" t="s">
        <v>247</v>
      </c>
      <c r="S31" s="43">
        <v>8</v>
      </c>
      <c r="T31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</v>
      </c>
      <c r="U31" s="17">
        <v>230</v>
      </c>
      <c r="V31" s="44" t="s">
        <v>247</v>
      </c>
      <c r="W31" s="43">
        <v>8</v>
      </c>
      <c r="X31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</v>
      </c>
      <c r="Y31" t="s">
        <v>251</v>
      </c>
    </row>
    <row r="32" spans="1:25">
      <c r="A32" s="17">
        <v>31</v>
      </c>
      <c r="B32" s="45" t="s">
        <v>248</v>
      </c>
      <c r="C32" s="46">
        <v>9</v>
      </c>
      <c r="D32" s="52" t="str">
        <f t="shared" si="0"/>
        <v>8,8,8,9,8,8,9,8,8,8,8,10,8,8,9,8,8,8,9,8,8,8,8,9,8,9,8,8,8,8,9</v>
      </c>
      <c r="E32" s="17">
        <v>71</v>
      </c>
      <c r="F32" s="45" t="s">
        <v>248</v>
      </c>
      <c r="G32" s="46">
        <v>9</v>
      </c>
      <c r="H32" s="52" t="str">
        <f t="shared" si="1"/>
        <v>8,8,8,9,8,8,9,8,8,8,8,10,8,8,9,8,8,8,9,8,8,8,8,9,8,9,8,8,8,8,9,8,8,8,8,9,8,8,9,8,8,8,8,9,8,8,9,8,8,8,8,11,8,8,9,8,8,8,9,8,8,8,8,9,8,9,8,8,8,8,9</v>
      </c>
      <c r="I32" s="17">
        <v>111</v>
      </c>
      <c r="J32" s="45" t="s">
        <v>248</v>
      </c>
      <c r="K32" s="46">
        <v>9</v>
      </c>
      <c r="L32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8,8,8,9,8,8,9,8,8,8,8,10,8,8,9,8,8,8,9,8,8,8,8,9,8,9,8,8,8,8,9,8,8,8,8,9,8,8,9,8,8,8,8,9,8,8,9,8,8,8,8,11,8,8,9,8,8,8,9,8,8,8,8,9,8,9,8,8,8,8,9,8,8,8,8,9,8,8,9,8,8,8,8,9,8,8,9,8,8,8,8,9,8,8,9,8,8,8,9,8,8,8,8,9,8,9,8,8,8,8,9</v>
      </c>
      <c r="M32" s="17">
        <v>151</v>
      </c>
      <c r="N32" s="45" t="s">
        <v>248</v>
      </c>
      <c r="O32" s="46">
        <v>9</v>
      </c>
      <c r="P32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</v>
      </c>
      <c r="Q32" s="17">
        <v>191</v>
      </c>
      <c r="R32" s="49" t="s">
        <v>250</v>
      </c>
      <c r="S32" s="50">
        <v>11</v>
      </c>
      <c r="T32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</v>
      </c>
      <c r="U32" s="17">
        <v>231</v>
      </c>
      <c r="V32" s="45" t="s">
        <v>248</v>
      </c>
      <c r="W32" s="46">
        <v>9</v>
      </c>
      <c r="X32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</v>
      </c>
      <c r="Y32" t="s">
        <v>251</v>
      </c>
    </row>
    <row r="33" spans="1:25">
      <c r="A33" s="17">
        <v>32</v>
      </c>
      <c r="B33" s="44" t="s">
        <v>247</v>
      </c>
      <c r="C33" s="43">
        <v>8</v>
      </c>
      <c r="D33" s="52" t="str">
        <f t="shared" si="0"/>
        <v>8,8,8,9,8,8,9,8,8,8,8,10,8,8,9,8,8,8,9,8,8,8,8,9,8,9,8,8,8,8,9,8</v>
      </c>
      <c r="E33" s="17">
        <v>72</v>
      </c>
      <c r="F33" s="44" t="s">
        <v>247</v>
      </c>
      <c r="G33" s="43">
        <v>8</v>
      </c>
      <c r="H33" s="52" t="str">
        <f t="shared" si="1"/>
        <v>8,8,8,9,8,8,9,8,8,8,8,10,8,8,9,8,8,8,9,8,8,8,8,9,8,9,8,8,8,8,9,8,8,8,8,9,8,8,9,8,8,8,8,9,8,8,9,8,8,8,8,11,8,8,9,8,8,8,9,8,8,8,8,9,8,9,8,8,8,8,9,8</v>
      </c>
      <c r="I33" s="17">
        <v>112</v>
      </c>
      <c r="J33" s="44" t="s">
        <v>247</v>
      </c>
      <c r="K33" s="43">
        <v>8</v>
      </c>
      <c r="L33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8,8,8,9,8,8,9,8,8,8,8,10,8,8,9,8,8,8,9,8,8,8,8,9,8,9,8,8,8,8,9,8,8,8,8,9,8,8,9,8,8,8,8,9,8,8,9,8,8,8,8,11,8,8,9,8,8,8,9,8,8,8,8,9,8,9,8,8,8,8,9,8,8,8,8,9,8,8,9,8,8,8,8,9,8,8,9,8,8,8,8,9,8,8,9,8,8,8,9,8,8,8,8,9,8,9,8,8,8,8,9,8</v>
      </c>
      <c r="M33" s="17">
        <v>152</v>
      </c>
      <c r="N33" s="44" t="s">
        <v>247</v>
      </c>
      <c r="O33" s="43">
        <v>8</v>
      </c>
      <c r="P33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</v>
      </c>
      <c r="Q33" s="17">
        <v>192</v>
      </c>
      <c r="R33" s="44" t="s">
        <v>247</v>
      </c>
      <c r="S33" s="43">
        <v>8</v>
      </c>
      <c r="T33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</v>
      </c>
      <c r="U33" s="17">
        <v>232</v>
      </c>
      <c r="V33" s="44" t="s">
        <v>247</v>
      </c>
      <c r="W33" s="43">
        <v>8</v>
      </c>
      <c r="X33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,8</v>
      </c>
      <c r="Y33" t="s">
        <v>251</v>
      </c>
    </row>
    <row r="34" spans="1:25">
      <c r="A34" s="17">
        <v>33</v>
      </c>
      <c r="B34" s="44" t="s">
        <v>247</v>
      </c>
      <c r="C34" s="43">
        <v>8</v>
      </c>
      <c r="D34" s="52" t="str">
        <f t="shared" si="0"/>
        <v>8,8,8,9,8,8,9,8,8,8,8,10,8,8,9,8,8,8,9,8,8,8,8,9,8,9,8,8,8,8,9,8,8</v>
      </c>
      <c r="E34" s="17">
        <v>73</v>
      </c>
      <c r="F34" s="44" t="s">
        <v>247</v>
      </c>
      <c r="G34" s="43">
        <v>8</v>
      </c>
      <c r="H34" s="52" t="str">
        <f t="shared" si="1"/>
        <v>8,8,8,9,8,8,9,8,8,8,8,10,8,8,9,8,8,8,9,8,8,8,8,9,8,9,8,8,8,8,9,8,8,8,8,9,8,8,9,8,8,8,8,9,8,8,9,8,8,8,8,11,8,8,9,8,8,8,9,8,8,8,8,9,8,9,8,8,8,8,9,8,8</v>
      </c>
      <c r="I34" s="17">
        <v>113</v>
      </c>
      <c r="J34" s="44" t="s">
        <v>247</v>
      </c>
      <c r="K34" s="43">
        <v>8</v>
      </c>
      <c r="L34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8,8,8,9,8,8,9,8,8,8,8,10,8,8,9,8,8,8,9,8,8,8,8,9,8,9,8,8,8,8,9,8,8,8,8,9,8,8,9,8,8,8,8,9,8,8,9,8,8,8,8,11,8,8,9,8,8,8,9,8,8,8,8,9,8,9,8,8,8,8,9,8,8,8,8,9,8,8,9,8,8,8,8,9,8,8,9,8,8,8,8,9,8,8,9,8,8,8,9,8,8,8,8,9,8,9,8,8,8,8,9,8,8</v>
      </c>
      <c r="M34" s="17">
        <v>153</v>
      </c>
      <c r="N34" s="44" t="s">
        <v>247</v>
      </c>
      <c r="O34" s="43">
        <v>8</v>
      </c>
      <c r="P34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</v>
      </c>
      <c r="Q34" s="17">
        <v>193</v>
      </c>
      <c r="R34" s="44" t="s">
        <v>247</v>
      </c>
      <c r="S34" s="43">
        <v>8</v>
      </c>
      <c r="T34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</v>
      </c>
      <c r="U34" s="17">
        <v>233</v>
      </c>
      <c r="V34" s="44" t="s">
        <v>247</v>
      </c>
      <c r="W34" s="43">
        <v>8</v>
      </c>
      <c r="X34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,8,8</v>
      </c>
      <c r="Y34" t="s">
        <v>251</v>
      </c>
    </row>
    <row r="35" spans="1:25">
      <c r="A35" s="17">
        <v>34</v>
      </c>
      <c r="B35" s="44" t="s">
        <v>247</v>
      </c>
      <c r="C35" s="43">
        <v>8</v>
      </c>
      <c r="D35" s="52" t="str">
        <f t="shared" si="0"/>
        <v>8,8,8,9,8,8,9,8,8,8,8,10,8,8,9,8,8,8,9,8,8,8,8,9,8,9,8,8,8,8,9,8,8,8</v>
      </c>
      <c r="E35" s="17">
        <v>74</v>
      </c>
      <c r="F35" s="44" t="s">
        <v>247</v>
      </c>
      <c r="G35" s="43">
        <v>8</v>
      </c>
      <c r="H35" s="52" t="str">
        <f t="shared" si="1"/>
        <v>8,8,8,9,8,8,9,8,8,8,8,10,8,8,9,8,8,8,9,8,8,8,8,9,8,9,8,8,8,8,9,8,8,8,8,9,8,8,9,8,8,8,8,9,8,8,9,8,8,8,8,11,8,8,9,8,8,8,9,8,8,8,8,9,8,9,8,8,8,8,9,8,8,8</v>
      </c>
      <c r="I35" s="17">
        <v>114</v>
      </c>
      <c r="J35" s="44" t="s">
        <v>247</v>
      </c>
      <c r="K35" s="43">
        <v>8</v>
      </c>
      <c r="L35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8,8,8,9,8,8,9,8,8,8,8,10,8,8,9,8,8,8,9,8,8,8,8,9,8,9,8,8,8,8,9,8,8,8,8,9,8,8,9,8,8,8,8,9,8,8,9,8,8,8,8,11,8,8,9,8,8,8,9,8,8,8,8,9,8,9,8,8,8,8,9,8,8,8,8,9,8,8,9,8,8,8,8,9,8,8,9,8,8,8,8,9,8,8,9,8,8,8,9,8,8,8,8,9,8,9,8,8,8,8,9,8,8,8</v>
      </c>
      <c r="M35" s="17">
        <v>154</v>
      </c>
      <c r="N35" s="44" t="s">
        <v>247</v>
      </c>
      <c r="O35" s="43">
        <v>8</v>
      </c>
      <c r="P35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</v>
      </c>
      <c r="Q35" s="17">
        <v>194</v>
      </c>
      <c r="R35" s="44" t="s">
        <v>247</v>
      </c>
      <c r="S35" s="43">
        <v>8</v>
      </c>
      <c r="T35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</v>
      </c>
      <c r="U35" s="17">
        <v>234</v>
      </c>
      <c r="V35" s="44" t="s">
        <v>247</v>
      </c>
      <c r="W35" s="43">
        <v>8</v>
      </c>
      <c r="X35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,8,8,8</v>
      </c>
      <c r="Y35" t="s">
        <v>251</v>
      </c>
    </row>
    <row r="36" spans="1:25">
      <c r="A36" s="17">
        <v>35</v>
      </c>
      <c r="B36" s="44" t="s">
        <v>247</v>
      </c>
      <c r="C36" s="43">
        <v>8</v>
      </c>
      <c r="D36" s="52" t="str">
        <f t="shared" si="0"/>
        <v>8,8,8,9,8,8,9,8,8,8,8,10,8,8,9,8,8,8,9,8,8,8,8,9,8,9,8,8,8,8,9,8,8,8,8</v>
      </c>
      <c r="E36" s="17">
        <v>75</v>
      </c>
      <c r="F36" s="44" t="s">
        <v>247</v>
      </c>
      <c r="G36" s="43">
        <v>8</v>
      </c>
      <c r="H36" s="52" t="str">
        <f t="shared" si="1"/>
        <v>8,8,8,9,8,8,9,8,8,8,8,10,8,8,9,8,8,8,9,8,8,8,8,9,8,9,8,8,8,8,9,8,8,8,8,9,8,8,9,8,8,8,8,9,8,8,9,8,8,8,8,11,8,8,9,8,8,8,9,8,8,8,8,9,8,9,8,8,8,8,9,8,8,8,8</v>
      </c>
      <c r="I36" s="17">
        <v>115</v>
      </c>
      <c r="J36" s="44" t="s">
        <v>247</v>
      </c>
      <c r="K36" s="43">
        <v>8</v>
      </c>
      <c r="L36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8,8,8,9,8,8,9,8,8,8,8,10,8,8,9,8,8,8,9,8,8,8,8,9,8,9,8,8,8,8,9,8,8,8,8,9,8,8,9,8,8,8,8,9,8,8,9,8,8,8,8,11,8,8,9,8,8,8,9,8,8,8,8,9,8,9,8,8,8,8,9,8,8,8,8,9,8,8,9,8,8,8,8,9,8,8,9,8,8,8,8,9,8,8,9,8,8,8,9,8,8,8,8,9,8,9,8,8,8,8,9,8,8,8,8</v>
      </c>
      <c r="M36" s="17">
        <v>155</v>
      </c>
      <c r="N36" s="44" t="s">
        <v>247</v>
      </c>
      <c r="O36" s="43">
        <v>8</v>
      </c>
      <c r="P36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</v>
      </c>
      <c r="Q36" s="17">
        <v>195</v>
      </c>
      <c r="R36" s="44" t="s">
        <v>247</v>
      </c>
      <c r="S36" s="43">
        <v>8</v>
      </c>
      <c r="T36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</v>
      </c>
      <c r="U36" s="17">
        <v>235</v>
      </c>
      <c r="V36" s="44" t="s">
        <v>247</v>
      </c>
      <c r="W36" s="43">
        <v>8</v>
      </c>
      <c r="X36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,8,8,8,8</v>
      </c>
      <c r="Y36" t="s">
        <v>251</v>
      </c>
    </row>
    <row r="37" spans="1:25">
      <c r="A37" s="17">
        <v>36</v>
      </c>
      <c r="B37" s="45" t="s">
        <v>248</v>
      </c>
      <c r="C37" s="46">
        <v>9</v>
      </c>
      <c r="D37" s="52" t="str">
        <f t="shared" si="0"/>
        <v>8,8,8,9,8,8,9,8,8,8,8,10,8,8,9,8,8,8,9,8,8,8,8,9,8,9,8,8,8,8,9,8,8,8,8,9</v>
      </c>
      <c r="E37" s="17">
        <v>76</v>
      </c>
      <c r="F37" s="45" t="s">
        <v>248</v>
      </c>
      <c r="G37" s="46">
        <v>9</v>
      </c>
      <c r="H37" s="52" t="str">
        <f t="shared" si="1"/>
        <v>8,8,8,9,8,8,9,8,8,8,8,10,8,8,9,8,8,8,9,8,8,8,8,9,8,9,8,8,8,8,9,8,8,8,8,9,8,8,9,8,8,8,8,9,8,8,9,8,8,8,8,11,8,8,9,8,8,8,9,8,8,8,8,9,8,9,8,8,8,8,9,8,8,8,8,9</v>
      </c>
      <c r="I37" s="17">
        <v>116</v>
      </c>
      <c r="J37" s="45" t="s">
        <v>248</v>
      </c>
      <c r="K37" s="46">
        <v>9</v>
      </c>
      <c r="L37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8,8,8,9,8,8,9,8,8,8,8,10,8,8,9,8,8,8,9,8,8,8,8,9,8,9,8,8,8,8,9,8,8,8,8,9,8,8,9,8,8,8,8,9,8,8,9,8,8,8,8,11,8,8,9,8,8,8,9,8,8,8,8,9,8,9,8,8,8,8,9,8,8,8,8,9,8,8,9,8,8,8,8,9,8,8,9,8,8,8,8,9,8,8,9,8,8,8,9,8,8,8,8,9,8,9,8,8,8,8,9,8,8,8,8,9</v>
      </c>
      <c r="M37" s="17">
        <v>156</v>
      </c>
      <c r="N37" s="45" t="s">
        <v>248</v>
      </c>
      <c r="O37" s="46">
        <v>9</v>
      </c>
      <c r="P37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</v>
      </c>
      <c r="Q37" s="17">
        <v>196</v>
      </c>
      <c r="R37" s="45" t="s">
        <v>248</v>
      </c>
      <c r="S37" s="46">
        <v>9</v>
      </c>
      <c r="T37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</v>
      </c>
      <c r="U37" s="17">
        <v>236</v>
      </c>
      <c r="V37" s="45" t="s">
        <v>248</v>
      </c>
      <c r="W37" s="46">
        <v>9</v>
      </c>
      <c r="X37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,8,8,8,8,9</v>
      </c>
      <c r="Y37" t="s">
        <v>251</v>
      </c>
    </row>
    <row r="38" spans="1:25">
      <c r="A38" s="17">
        <v>37</v>
      </c>
      <c r="B38" s="44" t="s">
        <v>247</v>
      </c>
      <c r="C38" s="43">
        <v>8</v>
      </c>
      <c r="D38" s="52" t="str">
        <f t="shared" si="0"/>
        <v>8,8,8,9,8,8,9,8,8,8,8,10,8,8,9,8,8,8,9,8,8,8,8,9,8,9,8,8,8,8,9,8,8,8,8,9,8</v>
      </c>
      <c r="E38" s="17">
        <v>77</v>
      </c>
      <c r="F38" s="44" t="s">
        <v>247</v>
      </c>
      <c r="G38" s="43">
        <v>8</v>
      </c>
      <c r="H38" s="52" t="str">
        <f t="shared" si="1"/>
        <v>8,8,8,9,8,8,9,8,8,8,8,10,8,8,9,8,8,8,9,8,8,8,8,9,8,9,8,8,8,8,9,8,8,8,8,9,8,8,9,8,8,8,8,9,8,8,9,8,8,8,8,11,8,8,9,8,8,8,9,8,8,8,8,9,8,9,8,8,8,8,9,8,8,8,8,9,8</v>
      </c>
      <c r="I38" s="17">
        <v>117</v>
      </c>
      <c r="J38" s="44" t="s">
        <v>247</v>
      </c>
      <c r="K38" s="43">
        <v>8</v>
      </c>
      <c r="L38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8,8,8,9,8,8,9,8,8,8,8,10,8,8,9,8,8,8,9,8,8,8,8,9,8,9,8,8,8,8,9,8,8,8,8,9,8,8,9,8,8,8,8,9,8,8,9,8,8,8,8,11,8,8,9,8,8,8,9,8,8,8,8,9,8,9,8,8,8,8,9,8,8,8,8,9,8,8,9,8,8,8,8,9,8,8,9,8,8,8,8,9,8,8,9,8,8,8,9,8,8,8,8,9,8,9,8,8,8,8,9,8,8,8,8,9,8</v>
      </c>
      <c r="M38" s="17">
        <v>157</v>
      </c>
      <c r="N38" s="44" t="s">
        <v>247</v>
      </c>
      <c r="O38" s="43">
        <v>8</v>
      </c>
      <c r="P38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</v>
      </c>
      <c r="Q38" s="17">
        <v>197</v>
      </c>
      <c r="R38" s="44" t="s">
        <v>247</v>
      </c>
      <c r="S38" s="43">
        <v>8</v>
      </c>
      <c r="T38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</v>
      </c>
      <c r="U38" s="17">
        <v>237</v>
      </c>
      <c r="V38" s="44" t="s">
        <v>247</v>
      </c>
      <c r="W38" s="43">
        <v>8</v>
      </c>
      <c r="X38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,8,8,8,8,9,8</v>
      </c>
      <c r="Y38" t="s">
        <v>251</v>
      </c>
    </row>
    <row r="39" spans="1:25">
      <c r="A39" s="17">
        <v>38</v>
      </c>
      <c r="B39" s="44" t="s">
        <v>247</v>
      </c>
      <c r="C39" s="43">
        <v>8</v>
      </c>
      <c r="D39" s="52" t="str">
        <f t="shared" si="0"/>
        <v>8,8,8,9,8,8,9,8,8,8,8,10,8,8,9,8,8,8,9,8,8,8,8,9,8,9,8,8,8,8,9,8,8,8,8,9,8,8</v>
      </c>
      <c r="E39" s="17">
        <v>78</v>
      </c>
      <c r="F39" s="44" t="s">
        <v>247</v>
      </c>
      <c r="G39" s="43">
        <v>8</v>
      </c>
      <c r="H39" s="52" t="str">
        <f t="shared" si="1"/>
        <v>8,8,8,9,8,8,9,8,8,8,8,10,8,8,9,8,8,8,9,8,8,8,8,9,8,9,8,8,8,8,9,8,8,8,8,9,8,8,9,8,8,8,8,9,8,8,9,8,8,8,8,11,8,8,9,8,8,8,9,8,8,8,8,9,8,9,8,8,8,8,9,8,8,8,8,9,8,8</v>
      </c>
      <c r="I39" s="17">
        <v>118</v>
      </c>
      <c r="J39" s="44" t="s">
        <v>247</v>
      </c>
      <c r="K39" s="43">
        <v>8</v>
      </c>
      <c r="L39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8,8,8,9,8,8,9,8,8,8,8,10,8,8,9,8,8,8,9,8,8,8,8,9,8,9,8,8,8,8,9,8,8,8,8,9,8,8,9,8,8,8,8,9,8,8,9,8,8,8,8,11,8,8,9,8,8,8,9,8,8,8,8,9,8,9,8,8,8,8,9,8,8,8,8,9,8,8,9,8,8,8,8,9,8,8,9,8,8,8,8,9,8,8,9,8,8,8,9,8,8,8,8,9,8,9,8,8,8,8,9,8,8,8,8,9,8,8</v>
      </c>
      <c r="M39" s="17">
        <v>158</v>
      </c>
      <c r="N39" s="44" t="s">
        <v>247</v>
      </c>
      <c r="O39" s="43">
        <v>8</v>
      </c>
      <c r="P39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</v>
      </c>
      <c r="Q39" s="17">
        <v>198</v>
      </c>
      <c r="R39" s="44" t="s">
        <v>247</v>
      </c>
      <c r="S39" s="43">
        <v>8</v>
      </c>
      <c r="T39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</v>
      </c>
      <c r="U39" s="17">
        <v>238</v>
      </c>
      <c r="V39" s="44" t="s">
        <v>247</v>
      </c>
      <c r="W39" s="43">
        <v>8</v>
      </c>
      <c r="X39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,8,8,8,8,9,8,8</v>
      </c>
      <c r="Y39" t="s">
        <v>251</v>
      </c>
    </row>
    <row r="40" spans="1:25">
      <c r="A40" s="17">
        <v>39</v>
      </c>
      <c r="B40" s="45" t="s">
        <v>248</v>
      </c>
      <c r="C40" s="46">
        <v>9</v>
      </c>
      <c r="D40" s="52" t="str">
        <f t="shared" si="0"/>
        <v>8,8,8,9,8,8,9,8,8,8,8,10,8,8,9,8,8,8,9,8,8,8,8,9,8,9,8,8,8,8,9,8,8,8,8,9,8,8,9</v>
      </c>
      <c r="E40" s="17">
        <v>79</v>
      </c>
      <c r="F40" s="45" t="s">
        <v>248</v>
      </c>
      <c r="G40" s="46">
        <v>9</v>
      </c>
      <c r="H40" s="52" t="str">
        <f t="shared" si="1"/>
        <v>8,8,8,9,8,8,9,8,8,8,8,10,8,8,9,8,8,8,9,8,8,8,8,9,8,9,8,8,8,8,9,8,8,8,8,9,8,8,9,8,8,8,8,9,8,8,9,8,8,8,8,11,8,8,9,8,8,8,9,8,8,8,8,9,8,9,8,8,8,8,9,8,8,8,8,9,8,8,9</v>
      </c>
      <c r="I40" s="17">
        <v>119</v>
      </c>
      <c r="J40" s="45" t="s">
        <v>248</v>
      </c>
      <c r="K40" s="46">
        <v>9</v>
      </c>
      <c r="L40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8,8,8,9,8,8,9,8,8,8,8,10,8,8,9,8,8,8,9,8,8,8,8,9,8,9,8,8,8,8,9,8,8,8,8,9,8,8,9,8,8,8,8,9,8,8,9,8,8,8,8,11,8,8,9,8,8,8,9,8,8,8,8,9,8,9,8,8,8,8,9,8,8,8,8,9,8,8,9,8,8,8,8,9,8,8,9,8,8,8,8,9,8,8,9,8,8,8,9,8,8,8,8,9,8,9,8,8,8,8,9,8,8,8,8,9,8,8,9</v>
      </c>
      <c r="M40" s="17">
        <v>159</v>
      </c>
      <c r="N40" s="49" t="s">
        <v>250</v>
      </c>
      <c r="O40" s="50">
        <v>11</v>
      </c>
      <c r="P40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</v>
      </c>
      <c r="Q40" s="17">
        <v>199</v>
      </c>
      <c r="R40" s="45" t="s">
        <v>248</v>
      </c>
      <c r="S40" s="46">
        <v>9</v>
      </c>
      <c r="T40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</v>
      </c>
      <c r="U40" s="17">
        <v>239</v>
      </c>
      <c r="V40" s="45" t="s">
        <v>248</v>
      </c>
      <c r="W40" s="46">
        <v>9</v>
      </c>
      <c r="X40" s="52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,8,8,8,8,9,8,8,9</v>
      </c>
      <c r="Y40" t="s">
        <v>251</v>
      </c>
    </row>
    <row r="41" spans="1:25">
      <c r="A41" s="17">
        <v>40</v>
      </c>
      <c r="B41" s="44" t="s">
        <v>247</v>
      </c>
      <c r="C41" s="43">
        <v>8</v>
      </c>
      <c r="D41" s="52" t="str">
        <f t="shared" si="0"/>
        <v>8,8,8,9,8,8,9,8,8,8,8,10,8,8,9,8,8,8,9,8,8,8,8,9,8,9,8,8,8,8,9,8,8,8,8,9,8,8,9,8</v>
      </c>
      <c r="E41" s="17">
        <v>80</v>
      </c>
      <c r="F41" s="44" t="s">
        <v>247</v>
      </c>
      <c r="G41" s="43">
        <v>8</v>
      </c>
      <c r="H41" s="52" t="str">
        <f t="shared" si="1"/>
        <v>8,8,8,9,8,8,9,8,8,8,8,10,8,8,9,8,8,8,9,8,8,8,8,9,8,9,8,8,8,8,9,8,8,8,8,9,8,8,9,8,8,8,8,9,8,8,9,8,8,8,8,11,8,8,9,8,8,8,9,8,8,8,8,9,8,9,8,8,8,8,9,8,8,8,8,9,8,8,9,8</v>
      </c>
      <c r="I41" s="17">
        <v>120</v>
      </c>
      <c r="J41" s="44" t="s">
        <v>247</v>
      </c>
      <c r="K41" s="43">
        <v>8</v>
      </c>
      <c r="L41" s="52" t="str">
        <f t="shared" si="2"/>
        <v>8,8,8,9,8,8,9,8,8,8,8,10,8,8,9,8,8,8,9,8,8,8,8,9,8,9,8,8,8,8,9,8,8,8,8,9,8,8,9,8,8,8,8,9,8,8,9,8,8,8,8,11,8,8,9,8,8,8,9,8,8,8,8,9,8,9,8,8,8,8,9,8,8,8,8,9,8,8,9,8,8,8,8,9,8,8,9,8,8,8,8,9,8,8,9,8,8,8,9,8,8,8,8,9,8,9,8,8,8,8,9,8,8,8,8,9,8,8,9,8</v>
      </c>
      <c r="M41" s="17">
        <v>160</v>
      </c>
      <c r="N41" s="44" t="s">
        <v>247</v>
      </c>
      <c r="O41" s="43">
        <v>8</v>
      </c>
      <c r="P41" s="52" t="str">
        <f t="shared" si="3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</v>
      </c>
      <c r="Q41" s="17">
        <v>200</v>
      </c>
      <c r="R41" s="44" t="s">
        <v>247</v>
      </c>
      <c r="S41" s="43">
        <v>8</v>
      </c>
      <c r="T41" s="52" t="str">
        <f t="shared" si="4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</v>
      </c>
      <c r="U41" s="17">
        <v>240</v>
      </c>
      <c r="V41" s="44" t="s">
        <v>247</v>
      </c>
      <c r="W41" s="43">
        <v>8</v>
      </c>
      <c r="X41" s="53" t="str">
        <f t="shared" si="5"/>
        <v>8,8,8,9,8,8,9,8,8,8,8,10,8,8,9,8,8,8,9,8,8,8,8,9,8,9,8,8,8,8,9,8,8,8,8,9,8,8,9,8,8,8,8,9,8,8,9,8,8,8,8,11,8,8,9,8,8,8,9,8,8,8,8,9,8,9,8,8,8,8,9,8,8,8,8,9,8,8,9,8,8,8,8,9,8,8,9,8,8,8,8,9,8,8,9,8,8,8,9,8,8,8,8,9,8,9,8,8,8,8,9,8,8,8,8,9,8,8,9,8,8,8,8,9,8,8,9,8,8,8,8,10,8,8,9,8,8,8,9,8,8,8,8,9,8,9,8,8,8,8,9,8,8,8,8,9,8,8,11,8,8,8,8,9,8,8,9,8,8,8,8,9,8,8,9,8,8,8,9,8,8,8,8,9,8,9,8,8,8,8,11,8,8,8,8,9,8,8,9,8,8,8,8,10,8,8,9,8,8,8,8,9,8,8,9,8,8,8,9,8,8,8,8,9,8,9,8,8,8,8,9,8,8,8,8,9,8,8,9,8</v>
      </c>
    </row>
    <row r="44" spans="1:25">
      <c r="N44"/>
    </row>
    <row r="45" spans="1:25">
      <c r="A45" s="17" t="s">
        <v>244</v>
      </c>
      <c r="B45" s="17" t="s">
        <v>245</v>
      </c>
      <c r="C45" s="17" t="s">
        <v>246</v>
      </c>
      <c r="D45" s="17"/>
      <c r="E45" s="17" t="s">
        <v>244</v>
      </c>
      <c r="F45" s="17" t="s">
        <v>245</v>
      </c>
      <c r="G45" s="17" t="s">
        <v>246</v>
      </c>
      <c r="H45" s="17"/>
      <c r="I45" s="17" t="s">
        <v>244</v>
      </c>
      <c r="J45" s="17" t="s">
        <v>245</v>
      </c>
      <c r="K45" s="17" t="s">
        <v>246</v>
      </c>
      <c r="L45" s="17"/>
      <c r="M45" s="17" t="s">
        <v>244</v>
      </c>
      <c r="N45" s="17" t="s">
        <v>245</v>
      </c>
      <c r="O45" s="17" t="s">
        <v>246</v>
      </c>
      <c r="P45" s="17"/>
      <c r="Q45" s="17" t="s">
        <v>244</v>
      </c>
      <c r="R45" s="17" t="s">
        <v>245</v>
      </c>
      <c r="S45" s="17" t="s">
        <v>246</v>
      </c>
      <c r="T45" s="17"/>
      <c r="U45" s="17" t="s">
        <v>244</v>
      </c>
      <c r="V45" s="17" t="s">
        <v>245</v>
      </c>
      <c r="W45" s="17" t="s">
        <v>246</v>
      </c>
      <c r="X45" s="32"/>
    </row>
    <row r="46" spans="1:25">
      <c r="A46" s="17">
        <v>1</v>
      </c>
      <c r="B46" s="44" t="s">
        <v>247</v>
      </c>
      <c r="C46" s="43">
        <v>8</v>
      </c>
      <c r="D46" s="51">
        <f>C46</f>
        <v>8</v>
      </c>
      <c r="E46" s="17">
        <v>41</v>
      </c>
      <c r="F46" s="44" t="s">
        <v>247</v>
      </c>
      <c r="G46" s="43">
        <v>8</v>
      </c>
      <c r="H46" s="52" t="str">
        <f>D85&amp;","&amp;G46</f>
        <v>8,9,10,11,8,9,10,11,8,9,10,11,8,9,10,11,8,9,10,11,8,9,10,11,8,9,10,11,8,9,10,11,8,9,10,11,8,9,10,11,8</v>
      </c>
      <c r="I46" s="17">
        <v>81</v>
      </c>
      <c r="J46" s="44" t="s">
        <v>247</v>
      </c>
      <c r="K46" s="43">
        <v>8</v>
      </c>
      <c r="L46" s="52" t="str">
        <f>H85&amp;","&amp;K46</f>
        <v>8,9,10,11,8,9,10,11,8,9,10,11,8,9,10,11,8,9,10,11,8,9,10,11,8,9,10,11,8,9,10,11,8,9,10,11,8,9,10,11,8,9,10,11,8,9,10,11,8,9,10,11,8,9,10,11,8,9,10,11,8,9,10,11,8,9,10,11,8,9,10,11,8,9,10,11,8,9,10,11,8</v>
      </c>
      <c r="M46" s="17">
        <v>121</v>
      </c>
      <c r="N46" s="44" t="s">
        <v>247</v>
      </c>
      <c r="O46" s="43">
        <v>8</v>
      </c>
      <c r="P46" s="52" t="str">
        <f>L85&amp;","&amp;O46</f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Q46" s="17">
        <v>161</v>
      </c>
      <c r="R46" s="44" t="s">
        <v>247</v>
      </c>
      <c r="S46" s="43">
        <v>8</v>
      </c>
      <c r="T46" s="52" t="str">
        <f>P85&amp;","&amp;S46</f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U46" s="17">
        <v>201</v>
      </c>
      <c r="V46" s="44" t="s">
        <v>247</v>
      </c>
      <c r="W46" s="43">
        <v>8</v>
      </c>
      <c r="X46" s="52" t="str">
        <f>T85&amp;","&amp;W46</f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</row>
    <row r="47" spans="1:25">
      <c r="A47" s="17">
        <v>2</v>
      </c>
      <c r="B47" s="45" t="s">
        <v>248</v>
      </c>
      <c r="C47" s="46">
        <v>9</v>
      </c>
      <c r="D47" s="52" t="str">
        <f>D46&amp;","&amp;C47</f>
        <v>8,9</v>
      </c>
      <c r="E47" s="17">
        <v>42</v>
      </c>
      <c r="F47" s="45" t="s">
        <v>248</v>
      </c>
      <c r="G47" s="46">
        <v>9</v>
      </c>
      <c r="H47" s="52" t="str">
        <f>H46&amp;","&amp;G47</f>
        <v>8,9,10,11,8,9,10,11,8,9,10,11,8,9,10,11,8,9,10,11,8,9,10,11,8,9,10,11,8,9,10,11,8,9,10,11,8,9,10,11,8,9</v>
      </c>
      <c r="I47" s="17">
        <v>82</v>
      </c>
      <c r="J47" s="45" t="s">
        <v>248</v>
      </c>
      <c r="K47" s="46">
        <v>9</v>
      </c>
      <c r="L47" s="52" t="str">
        <f>L46&amp;","&amp;K47</f>
        <v>8,9,10,11,8,9,10,11,8,9,10,11,8,9,10,11,8,9,10,11,8,9,10,11,8,9,10,11,8,9,10,11,8,9,10,11,8,9,10,11,8,9,10,11,8,9,10,11,8,9,10,11,8,9,10,11,8,9,10,11,8,9,10,11,8,9,10,11,8,9,10,11,8,9,10,11,8,9,10,11,8,9</v>
      </c>
      <c r="M47" s="17">
        <v>122</v>
      </c>
      <c r="N47" s="45" t="s">
        <v>248</v>
      </c>
      <c r="O47" s="46">
        <v>9</v>
      </c>
      <c r="P47" s="52" t="str">
        <f>P46&amp;","&amp;O47</f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Q47" s="17">
        <v>162</v>
      </c>
      <c r="R47" s="45" t="s">
        <v>248</v>
      </c>
      <c r="S47" s="46">
        <v>9</v>
      </c>
      <c r="T47" s="52" t="str">
        <f>T46&amp;","&amp;S47</f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U47" s="17">
        <v>202</v>
      </c>
      <c r="V47" s="45" t="s">
        <v>248</v>
      </c>
      <c r="W47" s="46">
        <v>9</v>
      </c>
      <c r="X47" s="52" t="str">
        <f>X46&amp;","&amp;W47</f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</row>
    <row r="48" spans="1:25">
      <c r="A48" s="17">
        <v>3</v>
      </c>
      <c r="B48" s="47" t="s">
        <v>249</v>
      </c>
      <c r="C48" s="48">
        <v>10</v>
      </c>
      <c r="D48" s="52" t="str">
        <f t="shared" ref="D48:D85" si="7">D47&amp;","&amp;C48</f>
        <v>8,9,10</v>
      </c>
      <c r="E48" s="17">
        <v>43</v>
      </c>
      <c r="F48" s="47" t="s">
        <v>249</v>
      </c>
      <c r="G48" s="48">
        <v>10</v>
      </c>
      <c r="H48" s="52" t="str">
        <f t="shared" ref="H48:H85" si="8">H47&amp;","&amp;G48</f>
        <v>8,9,10,11,8,9,10,11,8,9,10,11,8,9,10,11,8,9,10,11,8,9,10,11,8,9,10,11,8,9,10,11,8,9,10,11,8,9,10,11,8,9,10</v>
      </c>
      <c r="I48" s="17">
        <v>83</v>
      </c>
      <c r="J48" s="47" t="s">
        <v>249</v>
      </c>
      <c r="K48" s="48">
        <v>10</v>
      </c>
      <c r="L48" s="52" t="str">
        <f t="shared" ref="L48:L85" si="9">L47&amp;","&amp;K48</f>
        <v>8,9,10,11,8,9,10,11,8,9,10,11,8,9,10,11,8,9,10,11,8,9,10,11,8,9,10,11,8,9,10,11,8,9,10,11,8,9,10,11,8,9,10,11,8,9,10,11,8,9,10,11,8,9,10,11,8,9,10,11,8,9,10,11,8,9,10,11,8,9,10,11,8,9,10,11,8,9,10,11,8,9,10</v>
      </c>
      <c r="M48" s="17">
        <v>123</v>
      </c>
      <c r="N48" s="47" t="s">
        <v>249</v>
      </c>
      <c r="O48" s="48">
        <v>10</v>
      </c>
      <c r="P48" s="52" t="str">
        <f t="shared" ref="P48:P85" si="10">P47&amp;","&amp;O48</f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Q48" s="17">
        <v>163</v>
      </c>
      <c r="R48" s="47" t="s">
        <v>249</v>
      </c>
      <c r="S48" s="48">
        <v>10</v>
      </c>
      <c r="T48" s="52" t="str">
        <f t="shared" ref="T48:T85" si="11">T47&amp;","&amp;S48</f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U48" s="17">
        <v>203</v>
      </c>
      <c r="V48" s="47" t="s">
        <v>249</v>
      </c>
      <c r="W48" s="48">
        <v>10</v>
      </c>
      <c r="X48" s="52" t="str">
        <f t="shared" ref="X48:X85" si="12">X47&amp;","&amp;W48</f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</row>
    <row r="49" spans="1:24">
      <c r="A49" s="17">
        <v>4</v>
      </c>
      <c r="B49" s="49" t="s">
        <v>250</v>
      </c>
      <c r="C49" s="50">
        <v>11</v>
      </c>
      <c r="D49" s="52" t="str">
        <f t="shared" si="7"/>
        <v>8,9,10,11</v>
      </c>
      <c r="E49" s="17">
        <v>44</v>
      </c>
      <c r="F49" s="49" t="s">
        <v>250</v>
      </c>
      <c r="G49" s="50">
        <v>11</v>
      </c>
      <c r="H49" s="52" t="str">
        <f t="shared" si="8"/>
        <v>8,9,10,11,8,9,10,11,8,9,10,11,8,9,10,11,8,9,10,11,8,9,10,11,8,9,10,11,8,9,10,11,8,9,10,11,8,9,10,11,8,9,10,11</v>
      </c>
      <c r="I49" s="17">
        <v>84</v>
      </c>
      <c r="J49" s="49" t="s">
        <v>250</v>
      </c>
      <c r="K49" s="50">
        <v>11</v>
      </c>
      <c r="L49" s="52" t="str">
        <f t="shared" si="9"/>
        <v>8,9,10,11,8,9,10,11,8,9,10,11,8,9,10,11,8,9,10,11,8,9,10,11,8,9,10,11,8,9,10,11,8,9,10,11,8,9,10,11,8,9,10,11,8,9,10,11,8,9,10,11,8,9,10,11,8,9,10,11,8,9,10,11,8,9,10,11,8,9,10,11,8,9,10,11,8,9,10,11,8,9,10,11</v>
      </c>
      <c r="M49" s="17">
        <v>124</v>
      </c>
      <c r="N49" s="49" t="s">
        <v>250</v>
      </c>
      <c r="O49" s="50">
        <v>11</v>
      </c>
      <c r="P49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Q49" s="17">
        <v>164</v>
      </c>
      <c r="R49" s="49" t="s">
        <v>250</v>
      </c>
      <c r="S49" s="50">
        <v>11</v>
      </c>
      <c r="T49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U49" s="17">
        <v>204</v>
      </c>
      <c r="V49" s="49" t="s">
        <v>250</v>
      </c>
      <c r="W49" s="50">
        <v>11</v>
      </c>
      <c r="X49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</row>
    <row r="50" spans="1:24">
      <c r="A50" s="17">
        <v>5</v>
      </c>
      <c r="B50" s="44" t="s">
        <v>247</v>
      </c>
      <c r="C50" s="43">
        <v>8</v>
      </c>
      <c r="D50" s="52" t="str">
        <f t="shared" si="7"/>
        <v>8,9,10,11,8</v>
      </c>
      <c r="E50" s="17">
        <v>45</v>
      </c>
      <c r="F50" s="44" t="s">
        <v>247</v>
      </c>
      <c r="G50" s="43">
        <v>8</v>
      </c>
      <c r="H50" s="52" t="str">
        <f t="shared" si="8"/>
        <v>8,9,10,11,8,9,10,11,8,9,10,11,8,9,10,11,8,9,10,11,8,9,10,11,8,9,10,11,8,9,10,11,8,9,10,11,8,9,10,11,8,9,10,11,8</v>
      </c>
      <c r="I50" s="17">
        <v>85</v>
      </c>
      <c r="J50" s="44" t="s">
        <v>247</v>
      </c>
      <c r="K50" s="43">
        <v>8</v>
      </c>
      <c r="L50" s="52" t="str">
        <f t="shared" si="9"/>
        <v>8,9,10,11,8,9,10,11,8,9,10,11,8,9,10,11,8,9,10,11,8,9,10,11,8,9,10,11,8,9,10,11,8,9,10,11,8,9,10,11,8,9,10,11,8,9,10,11,8,9,10,11,8,9,10,11,8,9,10,11,8,9,10,11,8,9,10,11,8,9,10,11,8,9,10,11,8,9,10,11,8,9,10,11,8</v>
      </c>
      <c r="M50" s="17">
        <v>125</v>
      </c>
      <c r="N50" s="44" t="s">
        <v>247</v>
      </c>
      <c r="O50" s="43">
        <v>8</v>
      </c>
      <c r="P50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Q50" s="17">
        <v>165</v>
      </c>
      <c r="R50" s="44" t="s">
        <v>247</v>
      </c>
      <c r="S50" s="43">
        <v>8</v>
      </c>
      <c r="T50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U50" s="17">
        <v>205</v>
      </c>
      <c r="V50" s="44" t="s">
        <v>247</v>
      </c>
      <c r="W50" s="43">
        <v>8</v>
      </c>
      <c r="X50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</row>
    <row r="51" spans="1:24">
      <c r="A51" s="17">
        <v>6</v>
      </c>
      <c r="B51" s="45" t="s">
        <v>248</v>
      </c>
      <c r="C51" s="46">
        <v>9</v>
      </c>
      <c r="D51" s="52" t="str">
        <f t="shared" si="7"/>
        <v>8,9,10,11,8,9</v>
      </c>
      <c r="E51" s="17">
        <v>46</v>
      </c>
      <c r="F51" s="45" t="s">
        <v>248</v>
      </c>
      <c r="G51" s="46">
        <v>9</v>
      </c>
      <c r="H51" s="52" t="str">
        <f t="shared" si="8"/>
        <v>8,9,10,11,8,9,10,11,8,9,10,11,8,9,10,11,8,9,10,11,8,9,10,11,8,9,10,11,8,9,10,11,8,9,10,11,8,9,10,11,8,9,10,11,8,9</v>
      </c>
      <c r="I51" s="17">
        <v>86</v>
      </c>
      <c r="J51" s="45" t="s">
        <v>248</v>
      </c>
      <c r="K51" s="46">
        <v>9</v>
      </c>
      <c r="L51" s="52" t="str">
        <f t="shared" si="9"/>
        <v>8,9,10,11,8,9,10,11,8,9,10,11,8,9,10,11,8,9,10,11,8,9,10,11,8,9,10,11,8,9,10,11,8,9,10,11,8,9,10,11,8,9,10,11,8,9,10,11,8,9,10,11,8,9,10,11,8,9,10,11,8,9,10,11,8,9,10,11,8,9,10,11,8,9,10,11,8,9,10,11,8,9,10,11,8,9</v>
      </c>
      <c r="M51" s="17">
        <v>126</v>
      </c>
      <c r="N51" s="45" t="s">
        <v>248</v>
      </c>
      <c r="O51" s="46">
        <v>9</v>
      </c>
      <c r="P51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Q51" s="17">
        <v>166</v>
      </c>
      <c r="R51" s="45" t="s">
        <v>248</v>
      </c>
      <c r="S51" s="46">
        <v>9</v>
      </c>
      <c r="T51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U51" s="17">
        <v>206</v>
      </c>
      <c r="V51" s="45" t="s">
        <v>248</v>
      </c>
      <c r="W51" s="46">
        <v>9</v>
      </c>
      <c r="X51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</row>
    <row r="52" spans="1:24">
      <c r="A52" s="17">
        <v>7</v>
      </c>
      <c r="B52" s="47" t="s">
        <v>249</v>
      </c>
      <c r="C52" s="48">
        <v>10</v>
      </c>
      <c r="D52" s="52" t="str">
        <f t="shared" si="7"/>
        <v>8,9,10,11,8,9,10</v>
      </c>
      <c r="E52" s="17">
        <v>47</v>
      </c>
      <c r="F52" s="47" t="s">
        <v>249</v>
      </c>
      <c r="G52" s="48">
        <v>10</v>
      </c>
      <c r="H52" s="52" t="str">
        <f t="shared" si="8"/>
        <v>8,9,10,11,8,9,10,11,8,9,10,11,8,9,10,11,8,9,10,11,8,9,10,11,8,9,10,11,8,9,10,11,8,9,10,11,8,9,10,11,8,9,10,11,8,9,10</v>
      </c>
      <c r="I52" s="17">
        <v>87</v>
      </c>
      <c r="J52" s="47" t="s">
        <v>249</v>
      </c>
      <c r="K52" s="48">
        <v>10</v>
      </c>
      <c r="L52" s="52" t="str">
        <f t="shared" si="9"/>
        <v>8,9,10,11,8,9,10,11,8,9,10,11,8,9,10,11,8,9,10,11,8,9,10,11,8,9,10,11,8,9,10,11,8,9,10,11,8,9,10,11,8,9,10,11,8,9,10,11,8,9,10,11,8,9,10,11,8,9,10,11,8,9,10,11,8,9,10,11,8,9,10,11,8,9,10,11,8,9,10,11,8,9,10,11,8,9,10</v>
      </c>
      <c r="M52" s="17">
        <v>127</v>
      </c>
      <c r="N52" s="47" t="s">
        <v>249</v>
      </c>
      <c r="O52" s="48">
        <v>10</v>
      </c>
      <c r="P52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Q52" s="17">
        <v>167</v>
      </c>
      <c r="R52" s="47" t="s">
        <v>249</v>
      </c>
      <c r="S52" s="48">
        <v>10</v>
      </c>
      <c r="T52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U52" s="17">
        <v>207</v>
      </c>
      <c r="V52" s="47" t="s">
        <v>249</v>
      </c>
      <c r="W52" s="48">
        <v>10</v>
      </c>
      <c r="X52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</row>
    <row r="53" spans="1:24">
      <c r="A53" s="17">
        <v>8</v>
      </c>
      <c r="B53" s="49" t="s">
        <v>250</v>
      </c>
      <c r="C53" s="50">
        <v>11</v>
      </c>
      <c r="D53" s="52" t="str">
        <f t="shared" si="7"/>
        <v>8,9,10,11,8,9,10,11</v>
      </c>
      <c r="E53" s="17">
        <v>48</v>
      </c>
      <c r="F53" s="49" t="s">
        <v>250</v>
      </c>
      <c r="G53" s="50">
        <v>11</v>
      </c>
      <c r="H53" s="52" t="str">
        <f t="shared" si="8"/>
        <v>8,9,10,11,8,9,10,11,8,9,10,11,8,9,10,11,8,9,10,11,8,9,10,11,8,9,10,11,8,9,10,11,8,9,10,11,8,9,10,11,8,9,10,11,8,9,10,11</v>
      </c>
      <c r="I53" s="17">
        <v>88</v>
      </c>
      <c r="J53" s="49" t="s">
        <v>250</v>
      </c>
      <c r="K53" s="50">
        <v>11</v>
      </c>
      <c r="L53" s="52" t="str">
        <f t="shared" si="9"/>
        <v>8,9,10,11,8,9,10,11,8,9,10,11,8,9,10,11,8,9,10,11,8,9,10,11,8,9,10,11,8,9,10,11,8,9,10,11,8,9,10,11,8,9,10,11,8,9,10,11,8,9,10,11,8,9,10,11,8,9,10,11,8,9,10,11,8,9,10,11,8,9,10,11,8,9,10,11,8,9,10,11,8,9,10,11,8,9,10,11</v>
      </c>
      <c r="M53" s="17">
        <v>128</v>
      </c>
      <c r="N53" s="49" t="s">
        <v>250</v>
      </c>
      <c r="O53" s="50">
        <v>11</v>
      </c>
      <c r="P53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Q53" s="17">
        <v>168</v>
      </c>
      <c r="R53" s="49" t="s">
        <v>250</v>
      </c>
      <c r="S53" s="50">
        <v>11</v>
      </c>
      <c r="T53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U53" s="17">
        <v>208</v>
      </c>
      <c r="V53" s="49" t="s">
        <v>250</v>
      </c>
      <c r="W53" s="50">
        <v>11</v>
      </c>
      <c r="X53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</row>
    <row r="54" spans="1:24">
      <c r="A54" s="17">
        <v>9</v>
      </c>
      <c r="B54" s="44" t="s">
        <v>247</v>
      </c>
      <c r="C54" s="43">
        <v>8</v>
      </c>
      <c r="D54" s="52" t="str">
        <f t="shared" si="7"/>
        <v>8,9,10,11,8,9,10,11,8</v>
      </c>
      <c r="E54" s="17">
        <v>49</v>
      </c>
      <c r="F54" s="44" t="s">
        <v>247</v>
      </c>
      <c r="G54" s="43">
        <v>8</v>
      </c>
      <c r="H54" s="52" t="str">
        <f t="shared" si="8"/>
        <v>8,9,10,11,8,9,10,11,8,9,10,11,8,9,10,11,8,9,10,11,8,9,10,11,8,9,10,11,8,9,10,11,8,9,10,11,8,9,10,11,8,9,10,11,8,9,10,11,8</v>
      </c>
      <c r="I54" s="17">
        <v>89</v>
      </c>
      <c r="J54" s="44" t="s">
        <v>247</v>
      </c>
      <c r="K54" s="43">
        <v>8</v>
      </c>
      <c r="L54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</v>
      </c>
      <c r="M54" s="17">
        <v>129</v>
      </c>
      <c r="N54" s="44" t="s">
        <v>247</v>
      </c>
      <c r="O54" s="43">
        <v>8</v>
      </c>
      <c r="P54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Q54" s="17">
        <v>169</v>
      </c>
      <c r="R54" s="44" t="s">
        <v>247</v>
      </c>
      <c r="S54" s="43">
        <v>8</v>
      </c>
      <c r="T54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U54" s="17">
        <v>209</v>
      </c>
      <c r="V54" s="44" t="s">
        <v>247</v>
      </c>
      <c r="W54" s="43">
        <v>8</v>
      </c>
      <c r="X54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</row>
    <row r="55" spans="1:24">
      <c r="A55" s="17">
        <v>10</v>
      </c>
      <c r="B55" s="45" t="s">
        <v>248</v>
      </c>
      <c r="C55" s="46">
        <v>9</v>
      </c>
      <c r="D55" s="52" t="str">
        <f t="shared" si="7"/>
        <v>8,9,10,11,8,9,10,11,8,9</v>
      </c>
      <c r="E55" s="17">
        <v>50</v>
      </c>
      <c r="F55" s="45" t="s">
        <v>248</v>
      </c>
      <c r="G55" s="46">
        <v>9</v>
      </c>
      <c r="H55" s="52" t="str">
        <f t="shared" si="8"/>
        <v>8,9,10,11,8,9,10,11,8,9,10,11,8,9,10,11,8,9,10,11,8,9,10,11,8,9,10,11,8,9,10,11,8,9,10,11,8,9,10,11,8,9,10,11,8,9,10,11,8,9</v>
      </c>
      <c r="I55" s="17">
        <v>90</v>
      </c>
      <c r="J55" s="45" t="s">
        <v>248</v>
      </c>
      <c r="K55" s="46">
        <v>9</v>
      </c>
      <c r="L55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</v>
      </c>
      <c r="M55" s="17">
        <v>130</v>
      </c>
      <c r="N55" s="45" t="s">
        <v>248</v>
      </c>
      <c r="O55" s="46">
        <v>9</v>
      </c>
      <c r="P55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Q55" s="17">
        <v>170</v>
      </c>
      <c r="R55" s="45" t="s">
        <v>248</v>
      </c>
      <c r="S55" s="46">
        <v>9</v>
      </c>
      <c r="T55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U55" s="17">
        <v>210</v>
      </c>
      <c r="V55" s="45" t="s">
        <v>248</v>
      </c>
      <c r="W55" s="46">
        <v>9</v>
      </c>
      <c r="X55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</row>
    <row r="56" spans="1:24">
      <c r="A56" s="17">
        <v>11</v>
      </c>
      <c r="B56" s="47" t="s">
        <v>249</v>
      </c>
      <c r="C56" s="48">
        <v>10</v>
      </c>
      <c r="D56" s="52" t="str">
        <f t="shared" si="7"/>
        <v>8,9,10,11,8,9,10,11,8,9,10</v>
      </c>
      <c r="E56" s="17">
        <v>51</v>
      </c>
      <c r="F56" s="47" t="s">
        <v>249</v>
      </c>
      <c r="G56" s="48">
        <v>10</v>
      </c>
      <c r="H56" s="52" t="str">
        <f t="shared" si="8"/>
        <v>8,9,10,11,8,9,10,11,8,9,10,11,8,9,10,11,8,9,10,11,8,9,10,11,8,9,10,11,8,9,10,11,8,9,10,11,8,9,10,11,8,9,10,11,8,9,10,11,8,9,10</v>
      </c>
      <c r="I56" s="17">
        <v>91</v>
      </c>
      <c r="J56" s="47" t="s">
        <v>249</v>
      </c>
      <c r="K56" s="48">
        <v>10</v>
      </c>
      <c r="L56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</v>
      </c>
      <c r="M56" s="17">
        <v>131</v>
      </c>
      <c r="N56" s="47" t="s">
        <v>249</v>
      </c>
      <c r="O56" s="48">
        <v>10</v>
      </c>
      <c r="P56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Q56" s="17">
        <v>171</v>
      </c>
      <c r="R56" s="47" t="s">
        <v>249</v>
      </c>
      <c r="S56" s="48">
        <v>10</v>
      </c>
      <c r="T56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U56" s="17">
        <v>211</v>
      </c>
      <c r="V56" s="47" t="s">
        <v>249</v>
      </c>
      <c r="W56" s="48">
        <v>10</v>
      </c>
      <c r="X56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</row>
    <row r="57" spans="1:24">
      <c r="A57" s="17">
        <v>12</v>
      </c>
      <c r="B57" s="49" t="s">
        <v>250</v>
      </c>
      <c r="C57" s="50">
        <v>11</v>
      </c>
      <c r="D57" s="52" t="str">
        <f t="shared" si="7"/>
        <v>8,9,10,11,8,9,10,11,8,9,10,11</v>
      </c>
      <c r="E57" s="17">
        <v>52</v>
      </c>
      <c r="F57" s="49" t="s">
        <v>250</v>
      </c>
      <c r="G57" s="50">
        <v>11</v>
      </c>
      <c r="H57" s="52" t="str">
        <f t="shared" si="8"/>
        <v>8,9,10,11,8,9,10,11,8,9,10,11,8,9,10,11,8,9,10,11,8,9,10,11,8,9,10,11,8,9,10,11,8,9,10,11,8,9,10,11,8,9,10,11,8,9,10,11,8,9,10,11</v>
      </c>
      <c r="I57" s="17">
        <v>92</v>
      </c>
      <c r="J57" s="49" t="s">
        <v>250</v>
      </c>
      <c r="K57" s="50">
        <v>11</v>
      </c>
      <c r="L57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</v>
      </c>
      <c r="M57" s="17">
        <v>132</v>
      </c>
      <c r="N57" s="49" t="s">
        <v>250</v>
      </c>
      <c r="O57" s="50">
        <v>11</v>
      </c>
      <c r="P57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Q57" s="17">
        <v>172</v>
      </c>
      <c r="R57" s="49" t="s">
        <v>250</v>
      </c>
      <c r="S57" s="50">
        <v>11</v>
      </c>
      <c r="T57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U57" s="17">
        <v>212</v>
      </c>
      <c r="V57" s="49" t="s">
        <v>250</v>
      </c>
      <c r="W57" s="50">
        <v>11</v>
      </c>
      <c r="X57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</row>
    <row r="58" spans="1:24">
      <c r="A58" s="17">
        <v>13</v>
      </c>
      <c r="B58" s="44" t="s">
        <v>247</v>
      </c>
      <c r="C58" s="43">
        <v>8</v>
      </c>
      <c r="D58" s="52" t="str">
        <f t="shared" si="7"/>
        <v>8,9,10,11,8,9,10,11,8,9,10,11,8</v>
      </c>
      <c r="E58" s="17">
        <v>53</v>
      </c>
      <c r="F58" s="44" t="s">
        <v>247</v>
      </c>
      <c r="G58" s="43">
        <v>8</v>
      </c>
      <c r="H58" s="52" t="str">
        <f t="shared" si="8"/>
        <v>8,9,10,11,8,9,10,11,8,9,10,11,8,9,10,11,8,9,10,11,8,9,10,11,8,9,10,11,8,9,10,11,8,9,10,11,8,9,10,11,8,9,10,11,8,9,10,11,8,9,10,11,8</v>
      </c>
      <c r="I58" s="17">
        <v>93</v>
      </c>
      <c r="J58" s="44" t="s">
        <v>247</v>
      </c>
      <c r="K58" s="43">
        <v>8</v>
      </c>
      <c r="L58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</v>
      </c>
      <c r="M58" s="17">
        <v>133</v>
      </c>
      <c r="N58" s="44" t="s">
        <v>247</v>
      </c>
      <c r="O58" s="43">
        <v>8</v>
      </c>
      <c r="P58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Q58" s="17">
        <v>173</v>
      </c>
      <c r="R58" s="44" t="s">
        <v>247</v>
      </c>
      <c r="S58" s="43">
        <v>8</v>
      </c>
      <c r="T58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U58" s="17">
        <v>213</v>
      </c>
      <c r="V58" s="44" t="s">
        <v>247</v>
      </c>
      <c r="W58" s="43">
        <v>8</v>
      </c>
      <c r="X58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</row>
    <row r="59" spans="1:24">
      <c r="A59" s="17">
        <v>14</v>
      </c>
      <c r="B59" s="45" t="s">
        <v>248</v>
      </c>
      <c r="C59" s="46">
        <v>9</v>
      </c>
      <c r="D59" s="52" t="str">
        <f t="shared" si="7"/>
        <v>8,9,10,11,8,9,10,11,8,9,10,11,8,9</v>
      </c>
      <c r="E59" s="17">
        <v>54</v>
      </c>
      <c r="F59" s="45" t="s">
        <v>248</v>
      </c>
      <c r="G59" s="46">
        <v>9</v>
      </c>
      <c r="H59" s="52" t="str">
        <f t="shared" si="8"/>
        <v>8,9,10,11,8,9,10,11,8,9,10,11,8,9,10,11,8,9,10,11,8,9,10,11,8,9,10,11,8,9,10,11,8,9,10,11,8,9,10,11,8,9,10,11,8,9,10,11,8,9,10,11,8,9</v>
      </c>
      <c r="I59" s="17">
        <v>94</v>
      </c>
      <c r="J59" s="45" t="s">
        <v>248</v>
      </c>
      <c r="K59" s="46">
        <v>9</v>
      </c>
      <c r="L59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</v>
      </c>
      <c r="M59" s="17">
        <v>134</v>
      </c>
      <c r="N59" s="45" t="s">
        <v>248</v>
      </c>
      <c r="O59" s="46">
        <v>9</v>
      </c>
      <c r="P59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Q59" s="17">
        <v>174</v>
      </c>
      <c r="R59" s="45" t="s">
        <v>248</v>
      </c>
      <c r="S59" s="46">
        <v>9</v>
      </c>
      <c r="T59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U59" s="17">
        <v>214</v>
      </c>
      <c r="V59" s="45" t="s">
        <v>248</v>
      </c>
      <c r="W59" s="46">
        <v>9</v>
      </c>
      <c r="X59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</row>
    <row r="60" spans="1:24">
      <c r="A60" s="17">
        <v>15</v>
      </c>
      <c r="B60" s="47" t="s">
        <v>249</v>
      </c>
      <c r="C60" s="48">
        <v>10</v>
      </c>
      <c r="D60" s="52" t="str">
        <f t="shared" si="7"/>
        <v>8,9,10,11,8,9,10,11,8,9,10,11,8,9,10</v>
      </c>
      <c r="E60" s="17">
        <v>55</v>
      </c>
      <c r="F60" s="47" t="s">
        <v>249</v>
      </c>
      <c r="G60" s="48">
        <v>10</v>
      </c>
      <c r="H60" s="52" t="str">
        <f t="shared" si="8"/>
        <v>8,9,10,11,8,9,10,11,8,9,10,11,8,9,10,11,8,9,10,11,8,9,10,11,8,9,10,11,8,9,10,11,8,9,10,11,8,9,10,11,8,9,10,11,8,9,10,11,8,9,10,11,8,9,10</v>
      </c>
      <c r="I60" s="17">
        <v>95</v>
      </c>
      <c r="J60" s="47" t="s">
        <v>249</v>
      </c>
      <c r="K60" s="48">
        <v>10</v>
      </c>
      <c r="L60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</v>
      </c>
      <c r="M60" s="17">
        <v>135</v>
      </c>
      <c r="N60" s="47" t="s">
        <v>249</v>
      </c>
      <c r="O60" s="48">
        <v>10</v>
      </c>
      <c r="P60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Q60" s="17">
        <v>175</v>
      </c>
      <c r="R60" s="47" t="s">
        <v>249</v>
      </c>
      <c r="S60" s="48">
        <v>10</v>
      </c>
      <c r="T60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U60" s="17">
        <v>215</v>
      </c>
      <c r="V60" s="47" t="s">
        <v>249</v>
      </c>
      <c r="W60" s="48">
        <v>10</v>
      </c>
      <c r="X60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</row>
    <row r="61" spans="1:24">
      <c r="A61" s="17">
        <v>16</v>
      </c>
      <c r="B61" s="49" t="s">
        <v>250</v>
      </c>
      <c r="C61" s="50">
        <v>11</v>
      </c>
      <c r="D61" s="52" t="str">
        <f t="shared" si="7"/>
        <v>8,9,10,11,8,9,10,11,8,9,10,11,8,9,10,11</v>
      </c>
      <c r="E61" s="17">
        <v>56</v>
      </c>
      <c r="F61" s="49" t="s">
        <v>250</v>
      </c>
      <c r="G61" s="50">
        <v>11</v>
      </c>
      <c r="H61" s="52" t="str">
        <f t="shared" si="8"/>
        <v>8,9,10,11,8,9,10,11,8,9,10,11,8,9,10,11,8,9,10,11,8,9,10,11,8,9,10,11,8,9,10,11,8,9,10,11,8,9,10,11,8,9,10,11,8,9,10,11,8,9,10,11,8,9,10,11</v>
      </c>
      <c r="I61" s="17">
        <v>96</v>
      </c>
      <c r="J61" s="49" t="s">
        <v>250</v>
      </c>
      <c r="K61" s="50">
        <v>11</v>
      </c>
      <c r="L61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</v>
      </c>
      <c r="M61" s="17">
        <v>136</v>
      </c>
      <c r="N61" s="49" t="s">
        <v>250</v>
      </c>
      <c r="O61" s="50">
        <v>11</v>
      </c>
      <c r="P61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Q61" s="17">
        <v>176</v>
      </c>
      <c r="R61" s="49" t="s">
        <v>250</v>
      </c>
      <c r="S61" s="50">
        <v>11</v>
      </c>
      <c r="T61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U61" s="17">
        <v>216</v>
      </c>
      <c r="V61" s="49" t="s">
        <v>250</v>
      </c>
      <c r="W61" s="50">
        <v>11</v>
      </c>
      <c r="X61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</row>
    <row r="62" spans="1:24">
      <c r="A62" s="17">
        <v>17</v>
      </c>
      <c r="B62" s="44" t="s">
        <v>247</v>
      </c>
      <c r="C62" s="43">
        <v>8</v>
      </c>
      <c r="D62" s="52" t="str">
        <f t="shared" si="7"/>
        <v>8,9,10,11,8,9,10,11,8,9,10,11,8,9,10,11,8</v>
      </c>
      <c r="E62" s="17">
        <v>57</v>
      </c>
      <c r="F62" s="44" t="s">
        <v>247</v>
      </c>
      <c r="G62" s="43">
        <v>8</v>
      </c>
      <c r="H62" s="52" t="str">
        <f t="shared" si="8"/>
        <v>8,9,10,11,8,9,10,11,8,9,10,11,8,9,10,11,8,9,10,11,8,9,10,11,8,9,10,11,8,9,10,11,8,9,10,11,8,9,10,11,8,9,10,11,8,9,10,11,8,9,10,11,8,9,10,11,8</v>
      </c>
      <c r="I62" s="17">
        <v>97</v>
      </c>
      <c r="J62" s="44" t="s">
        <v>247</v>
      </c>
      <c r="K62" s="43">
        <v>8</v>
      </c>
      <c r="L62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</v>
      </c>
      <c r="M62" s="17">
        <v>137</v>
      </c>
      <c r="N62" s="44" t="s">
        <v>247</v>
      </c>
      <c r="O62" s="43">
        <v>8</v>
      </c>
      <c r="P62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Q62" s="17">
        <v>177</v>
      </c>
      <c r="R62" s="44" t="s">
        <v>247</v>
      </c>
      <c r="S62" s="43">
        <v>8</v>
      </c>
      <c r="T62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U62" s="17">
        <v>217</v>
      </c>
      <c r="V62" s="44" t="s">
        <v>247</v>
      </c>
      <c r="W62" s="43">
        <v>8</v>
      </c>
      <c r="X62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</row>
    <row r="63" spans="1:24">
      <c r="A63" s="17">
        <v>18</v>
      </c>
      <c r="B63" s="45" t="s">
        <v>248</v>
      </c>
      <c r="C63" s="46">
        <v>9</v>
      </c>
      <c r="D63" s="52" t="str">
        <f t="shared" si="7"/>
        <v>8,9,10,11,8,9,10,11,8,9,10,11,8,9,10,11,8,9</v>
      </c>
      <c r="E63" s="17">
        <v>58</v>
      </c>
      <c r="F63" s="45" t="s">
        <v>248</v>
      </c>
      <c r="G63" s="46">
        <v>9</v>
      </c>
      <c r="H63" s="52" t="str">
        <f t="shared" si="8"/>
        <v>8,9,10,11,8,9,10,11,8,9,10,11,8,9,10,11,8,9,10,11,8,9,10,11,8,9,10,11,8,9,10,11,8,9,10,11,8,9,10,11,8,9,10,11,8,9,10,11,8,9,10,11,8,9,10,11,8,9</v>
      </c>
      <c r="I63" s="17">
        <v>98</v>
      </c>
      <c r="J63" s="45" t="s">
        <v>248</v>
      </c>
      <c r="K63" s="46">
        <v>9</v>
      </c>
      <c r="L63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</v>
      </c>
      <c r="M63" s="17">
        <v>138</v>
      </c>
      <c r="N63" s="45" t="s">
        <v>248</v>
      </c>
      <c r="O63" s="46">
        <v>9</v>
      </c>
      <c r="P63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Q63" s="17">
        <v>178</v>
      </c>
      <c r="R63" s="45" t="s">
        <v>248</v>
      </c>
      <c r="S63" s="46">
        <v>9</v>
      </c>
      <c r="T63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U63" s="17">
        <v>218</v>
      </c>
      <c r="V63" s="45" t="s">
        <v>248</v>
      </c>
      <c r="W63" s="46">
        <v>9</v>
      </c>
      <c r="X63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</row>
    <row r="64" spans="1:24">
      <c r="A64" s="17">
        <v>19</v>
      </c>
      <c r="B64" s="47" t="s">
        <v>249</v>
      </c>
      <c r="C64" s="48">
        <v>10</v>
      </c>
      <c r="D64" s="52" t="str">
        <f t="shared" si="7"/>
        <v>8,9,10,11,8,9,10,11,8,9,10,11,8,9,10,11,8,9,10</v>
      </c>
      <c r="E64" s="17">
        <v>59</v>
      </c>
      <c r="F64" s="47" t="s">
        <v>249</v>
      </c>
      <c r="G64" s="48">
        <v>10</v>
      </c>
      <c r="H64" s="52" t="str">
        <f t="shared" si="8"/>
        <v>8,9,10,11,8,9,10,11,8,9,10,11,8,9,10,11,8,9,10,11,8,9,10,11,8,9,10,11,8,9,10,11,8,9,10,11,8,9,10,11,8,9,10,11,8,9,10,11,8,9,10,11,8,9,10,11,8,9,10</v>
      </c>
      <c r="I64" s="17">
        <v>99</v>
      </c>
      <c r="J64" s="47" t="s">
        <v>249</v>
      </c>
      <c r="K64" s="48">
        <v>10</v>
      </c>
      <c r="L64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</v>
      </c>
      <c r="M64" s="17">
        <v>139</v>
      </c>
      <c r="N64" s="47" t="s">
        <v>249</v>
      </c>
      <c r="O64" s="48">
        <v>10</v>
      </c>
      <c r="P64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Q64" s="17">
        <v>179</v>
      </c>
      <c r="R64" s="47" t="s">
        <v>249</v>
      </c>
      <c r="S64" s="48">
        <v>10</v>
      </c>
      <c r="T64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U64" s="17">
        <v>219</v>
      </c>
      <c r="V64" s="47" t="s">
        <v>249</v>
      </c>
      <c r="W64" s="48">
        <v>10</v>
      </c>
      <c r="X64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</row>
    <row r="65" spans="1:24">
      <c r="A65" s="17">
        <v>20</v>
      </c>
      <c r="B65" s="49" t="s">
        <v>250</v>
      </c>
      <c r="C65" s="50">
        <v>11</v>
      </c>
      <c r="D65" s="52" t="str">
        <f t="shared" si="7"/>
        <v>8,9,10,11,8,9,10,11,8,9,10,11,8,9,10,11,8,9,10,11</v>
      </c>
      <c r="E65" s="17">
        <v>60</v>
      </c>
      <c r="F65" s="49" t="s">
        <v>250</v>
      </c>
      <c r="G65" s="50">
        <v>11</v>
      </c>
      <c r="H65" s="52" t="str">
        <f t="shared" si="8"/>
        <v>8,9,10,11,8,9,10,11,8,9,10,11,8,9,10,11,8,9,10,11,8,9,10,11,8,9,10,11,8,9,10,11,8,9,10,11,8,9,10,11,8,9,10,11,8,9,10,11,8,9,10,11,8,9,10,11,8,9,10,11</v>
      </c>
      <c r="I65" s="17">
        <v>100</v>
      </c>
      <c r="J65" s="49" t="s">
        <v>250</v>
      </c>
      <c r="K65" s="50">
        <v>11</v>
      </c>
      <c r="L65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</v>
      </c>
      <c r="M65" s="17">
        <v>140</v>
      </c>
      <c r="N65" s="49" t="s">
        <v>250</v>
      </c>
      <c r="O65" s="50">
        <v>11</v>
      </c>
      <c r="P65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Q65" s="17">
        <v>180</v>
      </c>
      <c r="R65" s="49" t="s">
        <v>250</v>
      </c>
      <c r="S65" s="50">
        <v>11</v>
      </c>
      <c r="T65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U65" s="17">
        <v>220</v>
      </c>
      <c r="V65" s="49" t="s">
        <v>250</v>
      </c>
      <c r="W65" s="50">
        <v>11</v>
      </c>
      <c r="X65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</row>
    <row r="66" spans="1:24">
      <c r="A66" s="17">
        <v>21</v>
      </c>
      <c r="B66" s="44" t="s">
        <v>247</v>
      </c>
      <c r="C66" s="43">
        <v>8</v>
      </c>
      <c r="D66" s="52" t="str">
        <f t="shared" si="7"/>
        <v>8,9,10,11,8,9,10,11,8,9,10,11,8,9,10,11,8,9,10,11,8</v>
      </c>
      <c r="E66" s="17">
        <v>61</v>
      </c>
      <c r="F66" s="44" t="s">
        <v>247</v>
      </c>
      <c r="G66" s="43">
        <v>8</v>
      </c>
      <c r="H66" s="52" t="str">
        <f t="shared" si="8"/>
        <v>8,9,10,11,8,9,10,11,8,9,10,11,8,9,10,11,8,9,10,11,8,9,10,11,8,9,10,11,8,9,10,11,8,9,10,11,8,9,10,11,8,9,10,11,8,9,10,11,8,9,10,11,8,9,10,11,8,9,10,11,8</v>
      </c>
      <c r="I66" s="17">
        <v>101</v>
      </c>
      <c r="J66" s="44" t="s">
        <v>247</v>
      </c>
      <c r="K66" s="43">
        <v>8</v>
      </c>
      <c r="L66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</v>
      </c>
      <c r="M66" s="17">
        <v>141</v>
      </c>
      <c r="N66" s="44" t="s">
        <v>247</v>
      </c>
      <c r="O66" s="43">
        <v>8</v>
      </c>
      <c r="P66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Q66" s="17">
        <v>181</v>
      </c>
      <c r="R66" s="44" t="s">
        <v>247</v>
      </c>
      <c r="S66" s="43">
        <v>8</v>
      </c>
      <c r="T66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U66" s="17">
        <v>221</v>
      </c>
      <c r="V66" s="44" t="s">
        <v>247</v>
      </c>
      <c r="W66" s="43">
        <v>8</v>
      </c>
      <c r="X66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</row>
    <row r="67" spans="1:24">
      <c r="A67" s="17">
        <v>22</v>
      </c>
      <c r="B67" s="45" t="s">
        <v>248</v>
      </c>
      <c r="C67" s="46">
        <v>9</v>
      </c>
      <c r="D67" s="52" t="str">
        <f t="shared" si="7"/>
        <v>8,9,10,11,8,9,10,11,8,9,10,11,8,9,10,11,8,9,10,11,8,9</v>
      </c>
      <c r="E67" s="17">
        <v>62</v>
      </c>
      <c r="F67" s="45" t="s">
        <v>248</v>
      </c>
      <c r="G67" s="46">
        <v>9</v>
      </c>
      <c r="H67" s="52" t="str">
        <f t="shared" si="8"/>
        <v>8,9,10,11,8,9,10,11,8,9,10,11,8,9,10,11,8,9,10,11,8,9,10,11,8,9,10,11,8,9,10,11,8,9,10,11,8,9,10,11,8,9,10,11,8,9,10,11,8,9,10,11,8,9,10,11,8,9,10,11,8,9</v>
      </c>
      <c r="I67" s="17">
        <v>102</v>
      </c>
      <c r="J67" s="45" t="s">
        <v>248</v>
      </c>
      <c r="K67" s="46">
        <v>9</v>
      </c>
      <c r="L67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M67" s="17">
        <v>142</v>
      </c>
      <c r="N67" s="45" t="s">
        <v>248</v>
      </c>
      <c r="O67" s="46">
        <v>9</v>
      </c>
      <c r="P67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Q67" s="17">
        <v>182</v>
      </c>
      <c r="R67" s="45" t="s">
        <v>248</v>
      </c>
      <c r="S67" s="46">
        <v>9</v>
      </c>
      <c r="T67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U67" s="17">
        <v>222</v>
      </c>
      <c r="V67" s="45" t="s">
        <v>248</v>
      </c>
      <c r="W67" s="46">
        <v>9</v>
      </c>
      <c r="X67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</row>
    <row r="68" spans="1:24">
      <c r="A68" s="17">
        <v>23</v>
      </c>
      <c r="B68" s="47" t="s">
        <v>249</v>
      </c>
      <c r="C68" s="48">
        <v>10</v>
      </c>
      <c r="D68" s="52" t="str">
        <f t="shared" si="7"/>
        <v>8,9,10,11,8,9,10,11,8,9,10,11,8,9,10,11,8,9,10,11,8,9,10</v>
      </c>
      <c r="E68" s="17">
        <v>63</v>
      </c>
      <c r="F68" s="47" t="s">
        <v>249</v>
      </c>
      <c r="G68" s="48">
        <v>10</v>
      </c>
      <c r="H68" s="52" t="str">
        <f t="shared" si="8"/>
        <v>8,9,10,11,8,9,10,11,8,9,10,11,8,9,10,11,8,9,10,11,8,9,10,11,8,9,10,11,8,9,10,11,8,9,10,11,8,9,10,11,8,9,10,11,8,9,10,11,8,9,10,11,8,9,10,11,8,9,10,11,8,9,10</v>
      </c>
      <c r="I68" s="17">
        <v>103</v>
      </c>
      <c r="J68" s="47" t="s">
        <v>249</v>
      </c>
      <c r="K68" s="48">
        <v>10</v>
      </c>
      <c r="L68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M68" s="17">
        <v>143</v>
      </c>
      <c r="N68" s="47" t="s">
        <v>249</v>
      </c>
      <c r="O68" s="48">
        <v>10</v>
      </c>
      <c r="P68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Q68" s="17">
        <v>183</v>
      </c>
      <c r="R68" s="47" t="s">
        <v>249</v>
      </c>
      <c r="S68" s="48">
        <v>10</v>
      </c>
      <c r="T68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U68" s="17">
        <v>223</v>
      </c>
      <c r="V68" s="47" t="s">
        <v>249</v>
      </c>
      <c r="W68" s="48">
        <v>10</v>
      </c>
      <c r="X68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</row>
    <row r="69" spans="1:24">
      <c r="A69" s="17">
        <v>24</v>
      </c>
      <c r="B69" s="49" t="s">
        <v>250</v>
      </c>
      <c r="C69" s="50">
        <v>11</v>
      </c>
      <c r="D69" s="52" t="str">
        <f t="shared" si="7"/>
        <v>8,9,10,11,8,9,10,11,8,9,10,11,8,9,10,11,8,9,10,11,8,9,10,11</v>
      </c>
      <c r="E69" s="17">
        <v>64</v>
      </c>
      <c r="F69" s="49" t="s">
        <v>250</v>
      </c>
      <c r="G69" s="50">
        <v>11</v>
      </c>
      <c r="H69" s="52" t="str">
        <f t="shared" si="8"/>
        <v>8,9,10,11,8,9,10,11,8,9,10,11,8,9,10,11,8,9,10,11,8,9,10,11,8,9,10,11,8,9,10,11,8,9,10,11,8,9,10,11,8,9,10,11,8,9,10,11,8,9,10,11,8,9,10,11,8,9,10,11,8,9,10,11</v>
      </c>
      <c r="I69" s="17">
        <v>104</v>
      </c>
      <c r="J69" s="49" t="s">
        <v>250</v>
      </c>
      <c r="K69" s="50">
        <v>11</v>
      </c>
      <c r="L69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M69" s="17">
        <v>144</v>
      </c>
      <c r="N69" s="49" t="s">
        <v>250</v>
      </c>
      <c r="O69" s="50">
        <v>11</v>
      </c>
      <c r="P69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Q69" s="17">
        <v>184</v>
      </c>
      <c r="R69" s="49" t="s">
        <v>250</v>
      </c>
      <c r="S69" s="50">
        <v>11</v>
      </c>
      <c r="T69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U69" s="17">
        <v>224</v>
      </c>
      <c r="V69" s="49" t="s">
        <v>250</v>
      </c>
      <c r="W69" s="50">
        <v>11</v>
      </c>
      <c r="X69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</row>
    <row r="70" spans="1:24">
      <c r="A70" s="17">
        <v>25</v>
      </c>
      <c r="B70" s="44" t="s">
        <v>247</v>
      </c>
      <c r="C70" s="43">
        <v>8</v>
      </c>
      <c r="D70" s="52" t="str">
        <f t="shared" si="7"/>
        <v>8,9,10,11,8,9,10,11,8,9,10,11,8,9,10,11,8,9,10,11,8,9,10,11,8</v>
      </c>
      <c r="E70" s="17">
        <v>65</v>
      </c>
      <c r="F70" s="44" t="s">
        <v>247</v>
      </c>
      <c r="G70" s="43">
        <v>8</v>
      </c>
      <c r="H70" s="52" t="str">
        <f t="shared" si="8"/>
        <v>8,9,10,11,8,9,10,11,8,9,10,11,8,9,10,11,8,9,10,11,8,9,10,11,8,9,10,11,8,9,10,11,8,9,10,11,8,9,10,11,8,9,10,11,8,9,10,11,8,9,10,11,8,9,10,11,8,9,10,11,8,9,10,11,8</v>
      </c>
      <c r="I70" s="17">
        <v>105</v>
      </c>
      <c r="J70" s="44" t="s">
        <v>247</v>
      </c>
      <c r="K70" s="43">
        <v>8</v>
      </c>
      <c r="L70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M70" s="17">
        <v>145</v>
      </c>
      <c r="N70" s="44" t="s">
        <v>247</v>
      </c>
      <c r="O70" s="43">
        <v>8</v>
      </c>
      <c r="P70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Q70" s="17">
        <v>185</v>
      </c>
      <c r="R70" s="44" t="s">
        <v>247</v>
      </c>
      <c r="S70" s="43">
        <v>8</v>
      </c>
      <c r="T70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U70" s="17">
        <v>225</v>
      </c>
      <c r="V70" s="44" t="s">
        <v>247</v>
      </c>
      <c r="W70" s="43">
        <v>8</v>
      </c>
      <c r="X70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</row>
    <row r="71" spans="1:24">
      <c r="A71" s="17">
        <v>26</v>
      </c>
      <c r="B71" s="45" t="s">
        <v>248</v>
      </c>
      <c r="C71" s="46">
        <v>9</v>
      </c>
      <c r="D71" s="52" t="str">
        <f t="shared" si="7"/>
        <v>8,9,10,11,8,9,10,11,8,9,10,11,8,9,10,11,8,9,10,11,8,9,10,11,8,9</v>
      </c>
      <c r="E71" s="17">
        <v>66</v>
      </c>
      <c r="F71" s="45" t="s">
        <v>248</v>
      </c>
      <c r="G71" s="46">
        <v>9</v>
      </c>
      <c r="H71" s="52" t="str">
        <f t="shared" si="8"/>
        <v>8,9,10,11,8,9,10,11,8,9,10,11,8,9,10,11,8,9,10,11,8,9,10,11,8,9,10,11,8,9,10,11,8,9,10,11,8,9,10,11,8,9,10,11,8,9,10,11,8,9,10,11,8,9,10,11,8,9,10,11,8,9,10,11,8,9</v>
      </c>
      <c r="I71" s="17">
        <v>106</v>
      </c>
      <c r="J71" s="45" t="s">
        <v>248</v>
      </c>
      <c r="K71" s="46">
        <v>9</v>
      </c>
      <c r="L71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M71" s="17">
        <v>146</v>
      </c>
      <c r="N71" s="45" t="s">
        <v>248</v>
      </c>
      <c r="O71" s="46">
        <v>9</v>
      </c>
      <c r="P71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Q71" s="17">
        <v>186</v>
      </c>
      <c r="R71" s="45" t="s">
        <v>248</v>
      </c>
      <c r="S71" s="46">
        <v>9</v>
      </c>
      <c r="T71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U71" s="17">
        <v>226</v>
      </c>
      <c r="V71" s="45" t="s">
        <v>248</v>
      </c>
      <c r="W71" s="46">
        <v>9</v>
      </c>
      <c r="X71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</row>
    <row r="72" spans="1:24">
      <c r="A72" s="17">
        <v>27</v>
      </c>
      <c r="B72" s="47" t="s">
        <v>249</v>
      </c>
      <c r="C72" s="48">
        <v>10</v>
      </c>
      <c r="D72" s="52" t="str">
        <f t="shared" si="7"/>
        <v>8,9,10,11,8,9,10,11,8,9,10,11,8,9,10,11,8,9,10,11,8,9,10,11,8,9,10</v>
      </c>
      <c r="E72" s="17">
        <v>67</v>
      </c>
      <c r="F72" s="47" t="s">
        <v>249</v>
      </c>
      <c r="G72" s="48">
        <v>10</v>
      </c>
      <c r="H72" s="52" t="str">
        <f t="shared" si="8"/>
        <v>8,9,10,11,8,9,10,11,8,9,10,11,8,9,10,11,8,9,10,11,8,9,10,11,8,9,10,11,8,9,10,11,8,9,10,11,8,9,10,11,8,9,10,11,8,9,10,11,8,9,10,11,8,9,10,11,8,9,10,11,8,9,10,11,8,9,10</v>
      </c>
      <c r="I72" s="17">
        <v>107</v>
      </c>
      <c r="J72" s="47" t="s">
        <v>249</v>
      </c>
      <c r="K72" s="48">
        <v>10</v>
      </c>
      <c r="L72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M72" s="17">
        <v>147</v>
      </c>
      <c r="N72" s="47" t="s">
        <v>249</v>
      </c>
      <c r="O72" s="48">
        <v>10</v>
      </c>
      <c r="P72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Q72" s="17">
        <v>187</v>
      </c>
      <c r="R72" s="47" t="s">
        <v>249</v>
      </c>
      <c r="S72" s="48">
        <v>10</v>
      </c>
      <c r="T72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U72" s="17">
        <v>227</v>
      </c>
      <c r="V72" s="47" t="s">
        <v>249</v>
      </c>
      <c r="W72" s="48">
        <v>10</v>
      </c>
      <c r="X72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</row>
    <row r="73" spans="1:24">
      <c r="A73" s="17">
        <v>28</v>
      </c>
      <c r="B73" s="49" t="s">
        <v>250</v>
      </c>
      <c r="C73" s="50">
        <v>11</v>
      </c>
      <c r="D73" s="52" t="str">
        <f t="shared" si="7"/>
        <v>8,9,10,11,8,9,10,11,8,9,10,11,8,9,10,11,8,9,10,11,8,9,10,11,8,9,10,11</v>
      </c>
      <c r="E73" s="17">
        <v>68</v>
      </c>
      <c r="F73" s="49" t="s">
        <v>250</v>
      </c>
      <c r="G73" s="50">
        <v>11</v>
      </c>
      <c r="H73" s="52" t="str">
        <f t="shared" si="8"/>
        <v>8,9,10,11,8,9,10,11,8,9,10,11,8,9,10,11,8,9,10,11,8,9,10,11,8,9,10,11,8,9,10,11,8,9,10,11,8,9,10,11,8,9,10,11,8,9,10,11,8,9,10,11,8,9,10,11,8,9,10,11,8,9,10,11,8,9,10,11</v>
      </c>
      <c r="I73" s="17">
        <v>108</v>
      </c>
      <c r="J73" s="49" t="s">
        <v>250</v>
      </c>
      <c r="K73" s="50">
        <v>11</v>
      </c>
      <c r="L73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M73" s="17">
        <v>148</v>
      </c>
      <c r="N73" s="49" t="s">
        <v>250</v>
      </c>
      <c r="O73" s="50">
        <v>11</v>
      </c>
      <c r="P73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Q73" s="17">
        <v>188</v>
      </c>
      <c r="R73" s="49" t="s">
        <v>250</v>
      </c>
      <c r="S73" s="50">
        <v>11</v>
      </c>
      <c r="T73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U73" s="17">
        <v>228</v>
      </c>
      <c r="V73" s="49" t="s">
        <v>250</v>
      </c>
      <c r="W73" s="50">
        <v>11</v>
      </c>
      <c r="X73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</row>
    <row r="74" spans="1:24">
      <c r="A74" s="17">
        <v>29</v>
      </c>
      <c r="B74" s="44" t="s">
        <v>247</v>
      </c>
      <c r="C74" s="43">
        <v>8</v>
      </c>
      <c r="D74" s="52" t="str">
        <f t="shared" si="7"/>
        <v>8,9,10,11,8,9,10,11,8,9,10,11,8,9,10,11,8,9,10,11,8,9,10,11,8,9,10,11,8</v>
      </c>
      <c r="E74" s="17">
        <v>69</v>
      </c>
      <c r="F74" s="44" t="s">
        <v>247</v>
      </c>
      <c r="G74" s="43">
        <v>8</v>
      </c>
      <c r="H74" s="52" t="str">
        <f t="shared" si="8"/>
        <v>8,9,10,11,8,9,10,11,8,9,10,11,8,9,10,11,8,9,10,11,8,9,10,11,8,9,10,11,8,9,10,11,8,9,10,11,8,9,10,11,8,9,10,11,8,9,10,11,8,9,10,11,8,9,10,11,8,9,10,11,8,9,10,11,8,9,10,11,8</v>
      </c>
      <c r="I74" s="17">
        <v>109</v>
      </c>
      <c r="J74" s="44" t="s">
        <v>247</v>
      </c>
      <c r="K74" s="43">
        <v>8</v>
      </c>
      <c r="L74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M74" s="17">
        <v>149</v>
      </c>
      <c r="N74" s="44" t="s">
        <v>247</v>
      </c>
      <c r="O74" s="43">
        <v>8</v>
      </c>
      <c r="P74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Q74" s="17">
        <v>189</v>
      </c>
      <c r="R74" s="44" t="s">
        <v>247</v>
      </c>
      <c r="S74" s="43">
        <v>8</v>
      </c>
      <c r="T74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U74" s="17">
        <v>229</v>
      </c>
      <c r="V74" s="44" t="s">
        <v>247</v>
      </c>
      <c r="W74" s="43">
        <v>8</v>
      </c>
      <c r="X74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</row>
    <row r="75" spans="1:24">
      <c r="A75" s="17">
        <v>30</v>
      </c>
      <c r="B75" s="45" t="s">
        <v>248</v>
      </c>
      <c r="C75" s="46">
        <v>9</v>
      </c>
      <c r="D75" s="52" t="str">
        <f t="shared" si="7"/>
        <v>8,9,10,11,8,9,10,11,8,9,10,11,8,9,10,11,8,9,10,11,8,9,10,11,8,9,10,11,8,9</v>
      </c>
      <c r="E75" s="17">
        <v>70</v>
      </c>
      <c r="F75" s="45" t="s">
        <v>248</v>
      </c>
      <c r="G75" s="46">
        <v>9</v>
      </c>
      <c r="H75" s="52" t="str">
        <f t="shared" si="8"/>
        <v>8,9,10,11,8,9,10,11,8,9,10,11,8,9,10,11,8,9,10,11,8,9,10,11,8,9,10,11,8,9,10,11,8,9,10,11,8,9,10,11,8,9,10,11,8,9,10,11,8,9,10,11,8,9,10,11,8,9,10,11,8,9,10,11,8,9,10,11,8,9</v>
      </c>
      <c r="I75" s="17">
        <v>110</v>
      </c>
      <c r="J75" s="45" t="s">
        <v>248</v>
      </c>
      <c r="K75" s="46">
        <v>9</v>
      </c>
      <c r="L75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M75" s="17">
        <v>150</v>
      </c>
      <c r="N75" s="45" t="s">
        <v>248</v>
      </c>
      <c r="O75" s="46">
        <v>9</v>
      </c>
      <c r="P75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Q75" s="17">
        <v>190</v>
      </c>
      <c r="R75" s="45" t="s">
        <v>248</v>
      </c>
      <c r="S75" s="46">
        <v>9</v>
      </c>
      <c r="T75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U75" s="17">
        <v>230</v>
      </c>
      <c r="V75" s="45" t="s">
        <v>248</v>
      </c>
      <c r="W75" s="46">
        <v>9</v>
      </c>
      <c r="X75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</row>
    <row r="76" spans="1:24">
      <c r="A76" s="17">
        <v>31</v>
      </c>
      <c r="B76" s="47" t="s">
        <v>249</v>
      </c>
      <c r="C76" s="48">
        <v>10</v>
      </c>
      <c r="D76" s="52" t="str">
        <f t="shared" si="7"/>
        <v>8,9,10,11,8,9,10,11,8,9,10,11,8,9,10,11,8,9,10,11,8,9,10,11,8,9,10,11,8,9,10</v>
      </c>
      <c r="E76" s="17">
        <v>71</v>
      </c>
      <c r="F76" s="47" t="s">
        <v>249</v>
      </c>
      <c r="G76" s="48">
        <v>10</v>
      </c>
      <c r="H76" s="52" t="str">
        <f t="shared" si="8"/>
        <v>8,9,10,11,8,9,10,11,8,9,10,11,8,9,10,11,8,9,10,11,8,9,10,11,8,9,10,11,8,9,10,11,8,9,10,11,8,9,10,11,8,9,10,11,8,9,10,11,8,9,10,11,8,9,10,11,8,9,10,11,8,9,10,11,8,9,10,11,8,9,10</v>
      </c>
      <c r="I76" s="17">
        <v>111</v>
      </c>
      <c r="J76" s="47" t="s">
        <v>249</v>
      </c>
      <c r="K76" s="48">
        <v>10</v>
      </c>
      <c r="L76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M76" s="17">
        <v>151</v>
      </c>
      <c r="N76" s="47" t="s">
        <v>249</v>
      </c>
      <c r="O76" s="48">
        <v>10</v>
      </c>
      <c r="P76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Q76" s="17">
        <v>191</v>
      </c>
      <c r="R76" s="47" t="s">
        <v>249</v>
      </c>
      <c r="S76" s="48">
        <v>10</v>
      </c>
      <c r="T76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U76" s="17">
        <v>231</v>
      </c>
      <c r="V76" s="47" t="s">
        <v>249</v>
      </c>
      <c r="W76" s="48">
        <v>10</v>
      </c>
      <c r="X76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</row>
    <row r="77" spans="1:24">
      <c r="A77" s="17">
        <v>32</v>
      </c>
      <c r="B77" s="49" t="s">
        <v>250</v>
      </c>
      <c r="C77" s="50">
        <v>11</v>
      </c>
      <c r="D77" s="52" t="str">
        <f t="shared" si="7"/>
        <v>8,9,10,11,8,9,10,11,8,9,10,11,8,9,10,11,8,9,10,11,8,9,10,11,8,9,10,11,8,9,10,11</v>
      </c>
      <c r="E77" s="17">
        <v>72</v>
      </c>
      <c r="F77" s="49" t="s">
        <v>250</v>
      </c>
      <c r="G77" s="50">
        <v>11</v>
      </c>
      <c r="H77" s="52" t="str">
        <f t="shared" si="8"/>
        <v>8,9,10,11,8,9,10,11,8,9,10,11,8,9,10,11,8,9,10,11,8,9,10,11,8,9,10,11,8,9,10,11,8,9,10,11,8,9,10,11,8,9,10,11,8,9,10,11,8,9,10,11,8,9,10,11,8,9,10,11,8,9,10,11,8,9,10,11,8,9,10,11</v>
      </c>
      <c r="I77" s="17">
        <v>112</v>
      </c>
      <c r="J77" s="49" t="s">
        <v>250</v>
      </c>
      <c r="K77" s="50">
        <v>11</v>
      </c>
      <c r="L77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M77" s="17">
        <v>152</v>
      </c>
      <c r="N77" s="49" t="s">
        <v>250</v>
      </c>
      <c r="O77" s="50">
        <v>11</v>
      </c>
      <c r="P77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Q77" s="17">
        <v>192</v>
      </c>
      <c r="R77" s="49" t="s">
        <v>250</v>
      </c>
      <c r="S77" s="50">
        <v>11</v>
      </c>
      <c r="T77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U77" s="17">
        <v>232</v>
      </c>
      <c r="V77" s="49" t="s">
        <v>250</v>
      </c>
      <c r="W77" s="50">
        <v>11</v>
      </c>
      <c r="X77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</row>
    <row r="78" spans="1:24">
      <c r="A78" s="17">
        <v>33</v>
      </c>
      <c r="B78" s="44" t="s">
        <v>247</v>
      </c>
      <c r="C78" s="43">
        <v>8</v>
      </c>
      <c r="D78" s="52" t="str">
        <f t="shared" si="7"/>
        <v>8,9,10,11,8,9,10,11,8,9,10,11,8,9,10,11,8,9,10,11,8,9,10,11,8,9,10,11,8,9,10,11,8</v>
      </c>
      <c r="E78" s="17">
        <v>73</v>
      </c>
      <c r="F78" s="44" t="s">
        <v>247</v>
      </c>
      <c r="G78" s="43">
        <v>8</v>
      </c>
      <c r="H78" s="52" t="str">
        <f t="shared" si="8"/>
        <v>8,9,10,11,8,9,10,11,8,9,10,11,8,9,10,11,8,9,10,11,8,9,10,11,8,9,10,11,8,9,10,11,8,9,10,11,8,9,10,11,8,9,10,11,8,9,10,11,8,9,10,11,8,9,10,11,8,9,10,11,8,9,10,11,8,9,10,11,8,9,10,11,8</v>
      </c>
      <c r="I78" s="17">
        <v>113</v>
      </c>
      <c r="J78" s="44" t="s">
        <v>247</v>
      </c>
      <c r="K78" s="43">
        <v>8</v>
      </c>
      <c r="L78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M78" s="17">
        <v>153</v>
      </c>
      <c r="N78" s="44" t="s">
        <v>247</v>
      </c>
      <c r="O78" s="43">
        <v>8</v>
      </c>
      <c r="P78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Q78" s="17">
        <v>193</v>
      </c>
      <c r="R78" s="44" t="s">
        <v>247</v>
      </c>
      <c r="S78" s="43">
        <v>8</v>
      </c>
      <c r="T78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U78" s="17">
        <v>233</v>
      </c>
      <c r="V78" s="44" t="s">
        <v>247</v>
      </c>
      <c r="W78" s="43">
        <v>8</v>
      </c>
      <c r="X78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</row>
    <row r="79" spans="1:24">
      <c r="A79" s="17">
        <v>34</v>
      </c>
      <c r="B79" s="45" t="s">
        <v>248</v>
      </c>
      <c r="C79" s="46">
        <v>9</v>
      </c>
      <c r="D79" s="52" t="str">
        <f t="shared" si="7"/>
        <v>8,9,10,11,8,9,10,11,8,9,10,11,8,9,10,11,8,9,10,11,8,9,10,11,8,9,10,11,8,9,10,11,8,9</v>
      </c>
      <c r="E79" s="17">
        <v>74</v>
      </c>
      <c r="F79" s="45" t="s">
        <v>248</v>
      </c>
      <c r="G79" s="46">
        <v>9</v>
      </c>
      <c r="H79" s="52" t="str">
        <f t="shared" si="8"/>
        <v>8,9,10,11,8,9,10,11,8,9,10,11,8,9,10,11,8,9,10,11,8,9,10,11,8,9,10,11,8,9,10,11,8,9,10,11,8,9,10,11,8,9,10,11,8,9,10,11,8,9,10,11,8,9,10,11,8,9,10,11,8,9,10,11,8,9,10,11,8,9,10,11,8,9</v>
      </c>
      <c r="I79" s="17">
        <v>114</v>
      </c>
      <c r="J79" s="45" t="s">
        <v>248</v>
      </c>
      <c r="K79" s="46">
        <v>9</v>
      </c>
      <c r="L79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M79" s="17">
        <v>154</v>
      </c>
      <c r="N79" s="45" t="s">
        <v>248</v>
      </c>
      <c r="O79" s="46">
        <v>9</v>
      </c>
      <c r="P79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Q79" s="17">
        <v>194</v>
      </c>
      <c r="R79" s="45" t="s">
        <v>248</v>
      </c>
      <c r="S79" s="46">
        <v>9</v>
      </c>
      <c r="T79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U79" s="17">
        <v>234</v>
      </c>
      <c r="V79" s="45" t="s">
        <v>248</v>
      </c>
      <c r="W79" s="46">
        <v>9</v>
      </c>
      <c r="X79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</row>
    <row r="80" spans="1:24">
      <c r="A80" s="17">
        <v>35</v>
      </c>
      <c r="B80" s="47" t="s">
        <v>249</v>
      </c>
      <c r="C80" s="48">
        <v>10</v>
      </c>
      <c r="D80" s="52" t="str">
        <f t="shared" si="7"/>
        <v>8,9,10,11,8,9,10,11,8,9,10,11,8,9,10,11,8,9,10,11,8,9,10,11,8,9,10,11,8,9,10,11,8,9,10</v>
      </c>
      <c r="E80" s="17">
        <v>75</v>
      </c>
      <c r="F80" s="47" t="s">
        <v>249</v>
      </c>
      <c r="G80" s="48">
        <v>10</v>
      </c>
      <c r="H80" s="52" t="str">
        <f t="shared" si="8"/>
        <v>8,9,10,11,8,9,10,11,8,9,10,11,8,9,10,11,8,9,10,11,8,9,10,11,8,9,10,11,8,9,10,11,8,9,10,11,8,9,10,11,8,9,10,11,8,9,10,11,8,9,10,11,8,9,10,11,8,9,10,11,8,9,10,11,8,9,10,11,8,9,10,11,8,9,10</v>
      </c>
      <c r="I80" s="17">
        <v>115</v>
      </c>
      <c r="J80" s="47" t="s">
        <v>249</v>
      </c>
      <c r="K80" s="48">
        <v>10</v>
      </c>
      <c r="L80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M80" s="17">
        <v>155</v>
      </c>
      <c r="N80" s="47" t="s">
        <v>249</v>
      </c>
      <c r="O80" s="48">
        <v>10</v>
      </c>
      <c r="P80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Q80" s="17">
        <v>195</v>
      </c>
      <c r="R80" s="47" t="s">
        <v>249</v>
      </c>
      <c r="S80" s="48">
        <v>10</v>
      </c>
      <c r="T80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U80" s="17">
        <v>235</v>
      </c>
      <c r="V80" s="47" t="s">
        <v>249</v>
      </c>
      <c r="W80" s="48">
        <v>10</v>
      </c>
      <c r="X80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</row>
    <row r="81" spans="1:24">
      <c r="A81" s="17">
        <v>36</v>
      </c>
      <c r="B81" s="49" t="s">
        <v>250</v>
      </c>
      <c r="C81" s="50">
        <v>11</v>
      </c>
      <c r="D81" s="52" t="str">
        <f t="shared" si="7"/>
        <v>8,9,10,11,8,9,10,11,8,9,10,11,8,9,10,11,8,9,10,11,8,9,10,11,8,9,10,11,8,9,10,11,8,9,10,11</v>
      </c>
      <c r="E81" s="17">
        <v>76</v>
      </c>
      <c r="F81" s="49" t="s">
        <v>250</v>
      </c>
      <c r="G81" s="50">
        <v>11</v>
      </c>
      <c r="H81" s="52" t="str">
        <f t="shared" si="8"/>
        <v>8,9,10,11,8,9,10,11,8,9,10,11,8,9,10,11,8,9,10,11,8,9,10,11,8,9,10,11,8,9,10,11,8,9,10,11,8,9,10,11,8,9,10,11,8,9,10,11,8,9,10,11,8,9,10,11,8,9,10,11,8,9,10,11,8,9,10,11,8,9,10,11,8,9,10,11</v>
      </c>
      <c r="I81" s="17">
        <v>116</v>
      </c>
      <c r="J81" s="49" t="s">
        <v>250</v>
      </c>
      <c r="K81" s="50">
        <v>11</v>
      </c>
      <c r="L81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M81" s="17">
        <v>156</v>
      </c>
      <c r="N81" s="49" t="s">
        <v>250</v>
      </c>
      <c r="O81" s="50">
        <v>11</v>
      </c>
      <c r="P81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Q81" s="17">
        <v>196</v>
      </c>
      <c r="R81" s="49" t="s">
        <v>250</v>
      </c>
      <c r="S81" s="50">
        <v>11</v>
      </c>
      <c r="T81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U81" s="17">
        <v>236</v>
      </c>
      <c r="V81" s="49" t="s">
        <v>250</v>
      </c>
      <c r="W81" s="50">
        <v>11</v>
      </c>
      <c r="X81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</row>
    <row r="82" spans="1:24">
      <c r="A82" s="17">
        <v>37</v>
      </c>
      <c r="B82" s="44" t="s">
        <v>247</v>
      </c>
      <c r="C82" s="43">
        <v>8</v>
      </c>
      <c r="D82" s="52" t="str">
        <f t="shared" si="7"/>
        <v>8,9,10,11,8,9,10,11,8,9,10,11,8,9,10,11,8,9,10,11,8,9,10,11,8,9,10,11,8,9,10,11,8,9,10,11,8</v>
      </c>
      <c r="E82" s="17">
        <v>77</v>
      </c>
      <c r="F82" s="44" t="s">
        <v>247</v>
      </c>
      <c r="G82" s="43">
        <v>8</v>
      </c>
      <c r="H82" s="52" t="str">
        <f t="shared" si="8"/>
        <v>8,9,10,11,8,9,10,11,8,9,10,11,8,9,10,11,8,9,10,11,8,9,10,11,8,9,10,11,8,9,10,11,8,9,10,11,8,9,10,11,8,9,10,11,8,9,10,11,8,9,10,11,8,9,10,11,8,9,10,11,8,9,10,11,8,9,10,11,8,9,10,11,8,9,10,11,8</v>
      </c>
      <c r="I82" s="17">
        <v>117</v>
      </c>
      <c r="J82" s="44" t="s">
        <v>247</v>
      </c>
      <c r="K82" s="43">
        <v>8</v>
      </c>
      <c r="L82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M82" s="17">
        <v>157</v>
      </c>
      <c r="N82" s="44" t="s">
        <v>247</v>
      </c>
      <c r="O82" s="43">
        <v>8</v>
      </c>
      <c r="P82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Q82" s="17">
        <v>197</v>
      </c>
      <c r="R82" s="44" t="s">
        <v>247</v>
      </c>
      <c r="S82" s="43">
        <v>8</v>
      </c>
      <c r="T82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  <c r="U82" s="17">
        <v>237</v>
      </c>
      <c r="V82" s="44" t="s">
        <v>247</v>
      </c>
      <c r="W82" s="43">
        <v>8</v>
      </c>
      <c r="X82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</v>
      </c>
    </row>
    <row r="83" spans="1:24">
      <c r="A83" s="17">
        <v>38</v>
      </c>
      <c r="B83" s="45" t="s">
        <v>248</v>
      </c>
      <c r="C83" s="46">
        <v>9</v>
      </c>
      <c r="D83" s="52" t="str">
        <f t="shared" si="7"/>
        <v>8,9,10,11,8,9,10,11,8,9,10,11,8,9,10,11,8,9,10,11,8,9,10,11,8,9,10,11,8,9,10,11,8,9,10,11,8,9</v>
      </c>
      <c r="E83" s="17">
        <v>78</v>
      </c>
      <c r="F83" s="45" t="s">
        <v>248</v>
      </c>
      <c r="G83" s="46">
        <v>9</v>
      </c>
      <c r="H83" s="52" t="str">
        <f t="shared" si="8"/>
        <v>8,9,10,11,8,9,10,11,8,9,10,11,8,9,10,11,8,9,10,11,8,9,10,11,8,9,10,11,8,9,10,11,8,9,10,11,8,9,10,11,8,9,10,11,8,9,10,11,8,9,10,11,8,9,10,11,8,9,10,11,8,9,10,11,8,9,10,11,8,9,10,11,8,9,10,11,8,9</v>
      </c>
      <c r="I83" s="17">
        <v>118</v>
      </c>
      <c r="J83" s="45" t="s">
        <v>248</v>
      </c>
      <c r="K83" s="46">
        <v>9</v>
      </c>
      <c r="L83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M83" s="17">
        <v>158</v>
      </c>
      <c r="N83" s="45" t="s">
        <v>248</v>
      </c>
      <c r="O83" s="46">
        <v>9</v>
      </c>
      <c r="P83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Q83" s="17">
        <v>198</v>
      </c>
      <c r="R83" s="45" t="s">
        <v>248</v>
      </c>
      <c r="S83" s="46">
        <v>9</v>
      </c>
      <c r="T83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  <c r="U83" s="17">
        <v>238</v>
      </c>
      <c r="V83" s="45" t="s">
        <v>248</v>
      </c>
      <c r="W83" s="46">
        <v>9</v>
      </c>
      <c r="X83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</v>
      </c>
    </row>
    <row r="84" spans="1:24">
      <c r="A84" s="17">
        <v>39</v>
      </c>
      <c r="B84" s="47" t="s">
        <v>249</v>
      </c>
      <c r="C84" s="48">
        <v>10</v>
      </c>
      <c r="D84" s="52" t="str">
        <f t="shared" si="7"/>
        <v>8,9,10,11,8,9,10,11,8,9,10,11,8,9,10,11,8,9,10,11,8,9,10,11,8,9,10,11,8,9,10,11,8,9,10,11,8,9,10</v>
      </c>
      <c r="E84" s="17">
        <v>79</v>
      </c>
      <c r="F84" s="47" t="s">
        <v>249</v>
      </c>
      <c r="G84" s="48">
        <v>10</v>
      </c>
      <c r="H84" s="52" t="str">
        <f t="shared" si="8"/>
        <v>8,9,10,11,8,9,10,11,8,9,10,11,8,9,10,11,8,9,10,11,8,9,10,11,8,9,10,11,8,9,10,11,8,9,10,11,8,9,10,11,8,9,10,11,8,9,10,11,8,9,10,11,8,9,10,11,8,9,10,11,8,9,10,11,8,9,10,11,8,9,10,11,8,9,10,11,8,9,10</v>
      </c>
      <c r="I84" s="17">
        <v>119</v>
      </c>
      <c r="J84" s="47" t="s">
        <v>249</v>
      </c>
      <c r="K84" s="48">
        <v>10</v>
      </c>
      <c r="L84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M84" s="17">
        <v>159</v>
      </c>
      <c r="N84" s="47" t="s">
        <v>249</v>
      </c>
      <c r="O84" s="48">
        <v>10</v>
      </c>
      <c r="P84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Q84" s="17">
        <v>199</v>
      </c>
      <c r="R84" s="47" t="s">
        <v>249</v>
      </c>
      <c r="S84" s="48">
        <v>10</v>
      </c>
      <c r="T84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  <c r="U84" s="17">
        <v>239</v>
      </c>
      <c r="V84" s="47" t="s">
        <v>249</v>
      </c>
      <c r="W84" s="48">
        <v>10</v>
      </c>
      <c r="X84" s="52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</v>
      </c>
    </row>
    <row r="85" spans="1:24">
      <c r="A85" s="17">
        <v>40</v>
      </c>
      <c r="B85" s="49" t="s">
        <v>250</v>
      </c>
      <c r="C85" s="50">
        <v>11</v>
      </c>
      <c r="D85" s="52" t="str">
        <f t="shared" si="7"/>
        <v>8,9,10,11,8,9,10,11,8,9,10,11,8,9,10,11,8,9,10,11,8,9,10,11,8,9,10,11,8,9,10,11,8,9,10,11,8,9,10,11</v>
      </c>
      <c r="E85" s="17">
        <v>80</v>
      </c>
      <c r="F85" s="49" t="s">
        <v>250</v>
      </c>
      <c r="G85" s="50">
        <v>11</v>
      </c>
      <c r="H85" s="52" t="str">
        <f t="shared" si="8"/>
        <v>8,9,10,11,8,9,10,11,8,9,10,11,8,9,10,11,8,9,10,11,8,9,10,11,8,9,10,11,8,9,10,11,8,9,10,11,8,9,10,11,8,9,10,11,8,9,10,11,8,9,10,11,8,9,10,11,8,9,10,11,8,9,10,11,8,9,10,11,8,9,10,11,8,9,10,11,8,9,10,11</v>
      </c>
      <c r="I85" s="17">
        <v>120</v>
      </c>
      <c r="J85" s="49" t="s">
        <v>250</v>
      </c>
      <c r="K85" s="50">
        <v>11</v>
      </c>
      <c r="L85" s="52" t="str">
        <f t="shared" si="9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M85" s="17">
        <v>160</v>
      </c>
      <c r="N85" s="49" t="s">
        <v>250</v>
      </c>
      <c r="O85" s="50">
        <v>11</v>
      </c>
      <c r="P85" s="52" t="str">
        <f t="shared" si="10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Q85" s="17">
        <v>200</v>
      </c>
      <c r="R85" s="49" t="s">
        <v>250</v>
      </c>
      <c r="S85" s="50">
        <v>11</v>
      </c>
      <c r="T85" s="52" t="str">
        <f t="shared" si="11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  <c r="U85" s="17">
        <v>240</v>
      </c>
      <c r="V85" s="49" t="s">
        <v>250</v>
      </c>
      <c r="W85" s="50">
        <v>11</v>
      </c>
      <c r="X85" s="53" t="str">
        <f t="shared" si="12"/>
        <v>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,8,9,10,11</v>
      </c>
    </row>
  </sheetData>
  <sortState ref="M44:N62">
    <sortCondition ref="M44"/>
  </sortState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8:AE59"/>
  <sheetViews>
    <sheetView topLeftCell="D1" workbookViewId="0">
      <selection activeCell="K10" sqref="K10"/>
    </sheetView>
  </sheetViews>
  <sheetFormatPr defaultRowHeight="13.5"/>
  <cols>
    <col min="9" max="9" width="9" style="32"/>
    <col min="13" max="15" width="0" style="32" hidden="1" customWidth="1"/>
    <col min="16" max="24" width="9" style="32"/>
  </cols>
  <sheetData>
    <row r="8" spans="5:31">
      <c r="E8" s="65" t="s">
        <v>328</v>
      </c>
      <c r="F8" s="65"/>
      <c r="G8" s="65"/>
      <c r="I8" s="65" t="s">
        <v>327</v>
      </c>
      <c r="J8" s="65"/>
      <c r="K8" s="65"/>
      <c r="L8" s="65"/>
      <c r="M8" s="65"/>
      <c r="N8" s="65"/>
      <c r="O8" s="65"/>
      <c r="P8" s="72" t="s">
        <v>345</v>
      </c>
      <c r="Q8" s="65"/>
      <c r="R8" s="65"/>
      <c r="S8" s="72" t="s">
        <v>346</v>
      </c>
      <c r="T8" s="65"/>
      <c r="U8" s="65"/>
      <c r="V8" s="72" t="s">
        <v>347</v>
      </c>
      <c r="W8" s="65"/>
      <c r="X8" s="65"/>
      <c r="Y8" s="65"/>
      <c r="Z8" s="65" t="s">
        <v>329</v>
      </c>
      <c r="AA8" s="65"/>
      <c r="AB8" s="65"/>
      <c r="AD8" s="65" t="s">
        <v>337</v>
      </c>
      <c r="AE8" s="65"/>
    </row>
    <row r="9" spans="5:31">
      <c r="E9" s="33" t="s">
        <v>322</v>
      </c>
      <c r="F9" s="33" t="s">
        <v>323</v>
      </c>
      <c r="G9" s="17" t="s">
        <v>331</v>
      </c>
      <c r="I9" s="32" t="s">
        <v>341</v>
      </c>
      <c r="J9" s="17" t="s">
        <v>324</v>
      </c>
      <c r="K9" s="17" t="s">
        <v>325</v>
      </c>
      <c r="L9" s="17" t="s">
        <v>326</v>
      </c>
      <c r="M9" s="17" t="s">
        <v>342</v>
      </c>
      <c r="N9" s="17" t="s">
        <v>343</v>
      </c>
      <c r="O9" s="17" t="s">
        <v>344</v>
      </c>
      <c r="P9" s="17" t="s">
        <v>338</v>
      </c>
      <c r="Q9" s="17" t="s">
        <v>339</v>
      </c>
      <c r="R9" s="17" t="s">
        <v>340</v>
      </c>
      <c r="S9" s="17" t="s">
        <v>338</v>
      </c>
      <c r="T9" s="71" t="s">
        <v>339</v>
      </c>
      <c r="U9" s="17" t="s">
        <v>340</v>
      </c>
      <c r="V9" s="17" t="s">
        <v>338</v>
      </c>
      <c r="W9" s="71" t="s">
        <v>339</v>
      </c>
      <c r="X9" s="17" t="s">
        <v>340</v>
      </c>
      <c r="Z9" s="17" t="s">
        <v>330</v>
      </c>
      <c r="AA9" s="17" t="s">
        <v>322</v>
      </c>
      <c r="AB9" s="17" t="s">
        <v>332</v>
      </c>
      <c r="AD9" s="17" t="s">
        <v>333</v>
      </c>
      <c r="AE9" s="17" t="s">
        <v>336</v>
      </c>
    </row>
    <row r="10" spans="5:31">
      <c r="E10" s="64">
        <v>80</v>
      </c>
      <c r="F10" s="64">
        <v>6</v>
      </c>
      <c r="G10" s="66">
        <f t="shared" ref="G10:G14" si="0">E10/F10</f>
        <v>13.333333333333334</v>
      </c>
      <c r="I10" s="14">
        <v>1</v>
      </c>
      <c r="J10" s="44">
        <v>3</v>
      </c>
      <c r="K10" s="44">
        <v>40</v>
      </c>
      <c r="L10" s="44">
        <v>2000</v>
      </c>
      <c r="M10" s="44">
        <f>J10</f>
        <v>3</v>
      </c>
      <c r="N10" s="44">
        <f t="shared" ref="N10:O10" si="1">K10</f>
        <v>40</v>
      </c>
      <c r="O10" s="44">
        <f t="shared" si="1"/>
        <v>2000</v>
      </c>
      <c r="P10" s="69">
        <f t="shared" ref="P10:Q10" si="2">M10/$AE$10</f>
        <v>1.3499999999999998E-2</v>
      </c>
      <c r="Q10" s="69">
        <f t="shared" si="2"/>
        <v>0.17999999999999997</v>
      </c>
      <c r="R10" s="70">
        <f t="shared" ref="R10:R19" si="3">O10/$AE$10</f>
        <v>8.9999999999999982</v>
      </c>
      <c r="S10" s="69">
        <f>M10/$AE$11</f>
        <v>6.2485714285714289E-3</v>
      </c>
      <c r="T10" s="69">
        <f t="shared" ref="T10:U10" si="4">N10/$AE$11</f>
        <v>8.3314285714285716E-2</v>
      </c>
      <c r="U10" s="70">
        <f t="shared" si="4"/>
        <v>4.1657142857142864</v>
      </c>
      <c r="V10" s="68">
        <f>S10/$I10</f>
        <v>6.2485714285714289E-3</v>
      </c>
      <c r="W10" s="69">
        <f t="shared" ref="W10:X10" si="5">T10/$I10</f>
        <v>8.3314285714285716E-2</v>
      </c>
      <c r="X10" s="69">
        <f t="shared" si="5"/>
        <v>4.1657142857142864</v>
      </c>
      <c r="Z10" s="64">
        <v>1000</v>
      </c>
      <c r="AA10" s="64">
        <v>60</v>
      </c>
      <c r="AB10" s="66">
        <f t="shared" ref="AB10:AB12" si="6">Z10/AA10</f>
        <v>16.666666666666668</v>
      </c>
      <c r="AD10" s="44" t="s">
        <v>334</v>
      </c>
      <c r="AE10" s="67">
        <f>G10*AB10</f>
        <v>222.22222222222226</v>
      </c>
    </row>
    <row r="11" spans="5:31">
      <c r="E11" s="44">
        <v>500</v>
      </c>
      <c r="F11" s="44">
        <v>30</v>
      </c>
      <c r="G11" s="66">
        <f t="shared" si="0"/>
        <v>16.666666666666668</v>
      </c>
      <c r="I11" s="14">
        <v>2</v>
      </c>
      <c r="J11" s="44">
        <v>4</v>
      </c>
      <c r="K11" s="44">
        <v>56</v>
      </c>
      <c r="L11" s="44">
        <v>3600</v>
      </c>
      <c r="M11" s="44">
        <f>J11+M10</f>
        <v>7</v>
      </c>
      <c r="N11" s="44">
        <f t="shared" ref="N11:O11" si="7">K11+N10</f>
        <v>96</v>
      </c>
      <c r="O11" s="44">
        <f t="shared" si="7"/>
        <v>5600</v>
      </c>
      <c r="P11" s="69">
        <f t="shared" ref="P11:P59" si="8">M11/$AE$10</f>
        <v>3.1499999999999993E-2</v>
      </c>
      <c r="Q11" s="69">
        <f t="shared" ref="Q11:Q29" si="9">N11/$AE$10</f>
        <v>0.43199999999999994</v>
      </c>
      <c r="R11" s="70">
        <f t="shared" si="3"/>
        <v>25.199999999999996</v>
      </c>
      <c r="S11" s="69">
        <f t="shared" ref="S11:S59" si="10">M11/$AE$11</f>
        <v>1.4580000000000001E-2</v>
      </c>
      <c r="T11" s="69">
        <f t="shared" ref="T11:T19" si="11">N11/$AE$11</f>
        <v>0.19995428571428572</v>
      </c>
      <c r="U11" s="70">
        <f t="shared" ref="U11:U19" si="12">O11/$AE$11</f>
        <v>11.664000000000001</v>
      </c>
      <c r="V11" s="68">
        <f t="shared" ref="V11:V59" si="13">S11/$I11</f>
        <v>7.2900000000000005E-3</v>
      </c>
      <c r="W11" s="69">
        <f t="shared" ref="W11:W29" si="14">T11/$I11</f>
        <v>9.9977142857142862E-2</v>
      </c>
      <c r="X11" s="69">
        <f t="shared" ref="X11:X19" si="15">U11/$I11</f>
        <v>5.8320000000000007</v>
      </c>
      <c r="Z11" s="14">
        <v>10000</v>
      </c>
      <c r="AA11" s="14">
        <v>500</v>
      </c>
      <c r="AB11" s="66">
        <f t="shared" si="6"/>
        <v>20</v>
      </c>
      <c r="AD11" s="44" t="s">
        <v>335</v>
      </c>
      <c r="AE11" s="67">
        <f>G15*AB12</f>
        <v>480.10973936899859</v>
      </c>
    </row>
    <row r="12" spans="5:31">
      <c r="E12" s="44">
        <v>1200</v>
      </c>
      <c r="F12" s="44">
        <v>68</v>
      </c>
      <c r="G12" s="66">
        <f t="shared" si="0"/>
        <v>17.647058823529413</v>
      </c>
      <c r="I12" s="14">
        <v>3</v>
      </c>
      <c r="J12" s="14">
        <v>5</v>
      </c>
      <c r="K12" s="14">
        <v>78</v>
      </c>
      <c r="L12" s="14">
        <v>6480</v>
      </c>
      <c r="M12" s="44">
        <f t="shared" ref="M12:M59" si="16">J12+M11</f>
        <v>12</v>
      </c>
      <c r="N12" s="44">
        <f t="shared" ref="N12:N29" si="17">K12+N11</f>
        <v>174</v>
      </c>
      <c r="O12" s="44">
        <f t="shared" ref="O12:O19" si="18">L12+O11</f>
        <v>12080</v>
      </c>
      <c r="P12" s="69">
        <f t="shared" si="8"/>
        <v>5.3999999999999992E-2</v>
      </c>
      <c r="Q12" s="70">
        <f t="shared" si="9"/>
        <v>0.78299999999999992</v>
      </c>
      <c r="R12" s="70">
        <f t="shared" si="3"/>
        <v>54.359999999999992</v>
      </c>
      <c r="S12" s="69">
        <f t="shared" si="10"/>
        <v>2.4994285714285715E-2</v>
      </c>
      <c r="T12" s="69">
        <f t="shared" si="11"/>
        <v>0.36241714285714288</v>
      </c>
      <c r="U12" s="70">
        <f t="shared" si="12"/>
        <v>25.160914285714288</v>
      </c>
      <c r="V12" s="68">
        <f t="shared" si="13"/>
        <v>8.3314285714285712E-3</v>
      </c>
      <c r="W12" s="69">
        <f t="shared" si="14"/>
        <v>0.12080571428571429</v>
      </c>
      <c r="X12" s="69">
        <f t="shared" si="15"/>
        <v>8.3869714285714299</v>
      </c>
      <c r="Z12" s="14">
        <v>100000</v>
      </c>
      <c r="AA12" s="14">
        <v>4500</v>
      </c>
      <c r="AB12" s="66">
        <f t="shared" si="6"/>
        <v>22.222222222222221</v>
      </c>
    </row>
    <row r="13" spans="5:31">
      <c r="E13" s="44">
        <v>2500</v>
      </c>
      <c r="F13" s="44">
        <v>128</v>
      </c>
      <c r="G13" s="66">
        <f t="shared" si="0"/>
        <v>19.53125</v>
      </c>
      <c r="I13" s="14">
        <v>4</v>
      </c>
      <c r="J13" s="14">
        <v>6</v>
      </c>
      <c r="K13" s="14">
        <v>109</v>
      </c>
      <c r="L13" s="14">
        <v>11664</v>
      </c>
      <c r="M13" s="44">
        <f t="shared" si="16"/>
        <v>18</v>
      </c>
      <c r="N13" s="44">
        <f t="shared" si="17"/>
        <v>283</v>
      </c>
      <c r="O13" s="44">
        <f t="shared" si="18"/>
        <v>23744</v>
      </c>
      <c r="P13" s="69">
        <f t="shared" si="8"/>
        <v>8.0999999999999989E-2</v>
      </c>
      <c r="Q13" s="70">
        <f t="shared" si="9"/>
        <v>1.2734999999999999</v>
      </c>
      <c r="R13" s="70">
        <f t="shared" si="3"/>
        <v>106.84799999999998</v>
      </c>
      <c r="S13" s="69">
        <f t="shared" si="10"/>
        <v>3.7491428571428571E-2</v>
      </c>
      <c r="T13" s="70">
        <f t="shared" si="11"/>
        <v>0.58944857142857143</v>
      </c>
      <c r="U13" s="70">
        <f t="shared" si="12"/>
        <v>49.455360000000006</v>
      </c>
      <c r="V13" s="68">
        <f t="shared" si="13"/>
        <v>9.3728571428571428E-3</v>
      </c>
      <c r="W13" s="69">
        <f t="shared" si="14"/>
        <v>0.14736214285714286</v>
      </c>
      <c r="X13" s="69">
        <f t="shared" si="15"/>
        <v>12.363840000000001</v>
      </c>
      <c r="Z13" s="14"/>
      <c r="AA13" s="14"/>
      <c r="AC13" s="32"/>
      <c r="AD13" s="32"/>
    </row>
    <row r="14" spans="5:31">
      <c r="E14" s="44">
        <v>6500</v>
      </c>
      <c r="F14" s="44">
        <v>328</v>
      </c>
      <c r="G14" s="66">
        <f t="shared" si="0"/>
        <v>19.817073170731707</v>
      </c>
      <c r="I14" s="14">
        <v>5</v>
      </c>
      <c r="J14" s="14">
        <v>7</v>
      </c>
      <c r="K14" s="14">
        <v>153</v>
      </c>
      <c r="L14" s="14">
        <v>20995</v>
      </c>
      <c r="M14" s="44">
        <f t="shared" si="16"/>
        <v>25</v>
      </c>
      <c r="N14" s="44">
        <f t="shared" si="17"/>
        <v>436</v>
      </c>
      <c r="O14" s="44">
        <f t="shared" si="18"/>
        <v>44739</v>
      </c>
      <c r="P14" s="69">
        <f t="shared" si="8"/>
        <v>0.11249999999999999</v>
      </c>
      <c r="Q14" s="70">
        <f t="shared" si="9"/>
        <v>1.9619999999999997</v>
      </c>
      <c r="R14" s="70">
        <f t="shared" si="3"/>
        <v>201.32549999999998</v>
      </c>
      <c r="S14" s="69">
        <f t="shared" si="10"/>
        <v>5.2071428571428574E-2</v>
      </c>
      <c r="T14" s="70">
        <f t="shared" si="11"/>
        <v>0.90812571428571431</v>
      </c>
      <c r="U14" s="70">
        <f t="shared" si="12"/>
        <v>93.184945714285718</v>
      </c>
      <c r="V14" s="68">
        <f t="shared" si="13"/>
        <v>1.0414285714285714E-2</v>
      </c>
      <c r="W14" s="69">
        <f t="shared" si="14"/>
        <v>0.18162514285714287</v>
      </c>
      <c r="X14" s="69">
        <f t="shared" si="15"/>
        <v>18.636989142857143</v>
      </c>
      <c r="Z14" s="14"/>
      <c r="AA14" s="14"/>
    </row>
    <row r="15" spans="5:31">
      <c r="E15" s="44">
        <v>14000</v>
      </c>
      <c r="F15" s="44">
        <v>648</v>
      </c>
      <c r="G15" s="66">
        <f>E15/F15</f>
        <v>21.604938271604937</v>
      </c>
      <c r="I15" s="14">
        <v>6</v>
      </c>
      <c r="J15" s="14">
        <v>8</v>
      </c>
      <c r="K15" s="14">
        <v>214</v>
      </c>
      <c r="L15" s="14">
        <v>37791</v>
      </c>
      <c r="M15" s="44">
        <f t="shared" si="16"/>
        <v>33</v>
      </c>
      <c r="N15" s="44">
        <f t="shared" si="17"/>
        <v>650</v>
      </c>
      <c r="O15" s="44">
        <f t="shared" si="18"/>
        <v>82530</v>
      </c>
      <c r="P15" s="69">
        <f t="shared" si="8"/>
        <v>0.14849999999999997</v>
      </c>
      <c r="Q15" s="70">
        <f t="shared" si="9"/>
        <v>2.9249999999999994</v>
      </c>
      <c r="R15" s="70">
        <f t="shared" si="3"/>
        <v>371.38499999999993</v>
      </c>
      <c r="S15" s="69">
        <f t="shared" si="10"/>
        <v>6.873428571428572E-2</v>
      </c>
      <c r="T15" s="70">
        <f t="shared" si="11"/>
        <v>1.3538571428571429</v>
      </c>
      <c r="U15" s="70">
        <f t="shared" si="12"/>
        <v>171.8982</v>
      </c>
      <c r="V15" s="68">
        <f t="shared" si="13"/>
        <v>1.1455714285714286E-2</v>
      </c>
      <c r="W15" s="69">
        <f t="shared" si="14"/>
        <v>0.22564285714285715</v>
      </c>
      <c r="X15" s="69">
        <f t="shared" si="15"/>
        <v>28.649699999999999</v>
      </c>
      <c r="Z15" s="14"/>
      <c r="AA15" s="14"/>
    </row>
    <row r="16" spans="5:31">
      <c r="I16" s="14">
        <v>7</v>
      </c>
      <c r="J16" s="14">
        <v>10</v>
      </c>
      <c r="K16" s="14">
        <v>300</v>
      </c>
      <c r="L16" s="14">
        <v>68024</v>
      </c>
      <c r="M16" s="44">
        <f t="shared" si="16"/>
        <v>43</v>
      </c>
      <c r="N16" s="44">
        <f t="shared" si="17"/>
        <v>950</v>
      </c>
      <c r="O16" s="44">
        <f t="shared" si="18"/>
        <v>150554</v>
      </c>
      <c r="P16" s="69">
        <f t="shared" si="8"/>
        <v>0.19349999999999998</v>
      </c>
      <c r="Q16" s="70">
        <f t="shared" si="9"/>
        <v>4.2749999999999995</v>
      </c>
      <c r="R16" s="70">
        <f t="shared" si="3"/>
        <v>677.49299999999994</v>
      </c>
      <c r="S16" s="69">
        <f t="shared" si="10"/>
        <v>8.9562857142857152E-2</v>
      </c>
      <c r="T16" s="70">
        <f t="shared" si="11"/>
        <v>1.9787142857142859</v>
      </c>
      <c r="U16" s="70">
        <f t="shared" si="12"/>
        <v>313.58247428571428</v>
      </c>
      <c r="V16" s="68">
        <f t="shared" si="13"/>
        <v>1.2794693877551023E-2</v>
      </c>
      <c r="W16" s="69">
        <f t="shared" si="14"/>
        <v>0.28267346938775512</v>
      </c>
      <c r="X16" s="69">
        <f t="shared" si="15"/>
        <v>44.797496326530613</v>
      </c>
    </row>
    <row r="17" spans="9:24">
      <c r="I17" s="14">
        <v>8</v>
      </c>
      <c r="J17" s="14">
        <v>12</v>
      </c>
      <c r="K17" s="14">
        <v>420</v>
      </c>
      <c r="L17" s="14">
        <v>122443</v>
      </c>
      <c r="M17" s="44">
        <f t="shared" si="16"/>
        <v>55</v>
      </c>
      <c r="N17" s="44">
        <f t="shared" si="17"/>
        <v>1370</v>
      </c>
      <c r="O17" s="44">
        <f t="shared" si="18"/>
        <v>272997</v>
      </c>
      <c r="P17" s="69">
        <f t="shared" si="8"/>
        <v>0.24749999999999997</v>
      </c>
      <c r="Q17" s="70">
        <f t="shared" si="9"/>
        <v>6.1649999999999991</v>
      </c>
      <c r="R17" s="70">
        <f t="shared" si="3"/>
        <v>1228.4864999999998</v>
      </c>
      <c r="S17" s="69">
        <f t="shared" si="10"/>
        <v>0.11455714285714287</v>
      </c>
      <c r="T17" s="70">
        <f t="shared" si="11"/>
        <v>2.8535142857142861</v>
      </c>
      <c r="U17" s="70">
        <f t="shared" si="12"/>
        <v>568.6137514285715</v>
      </c>
      <c r="V17" s="68">
        <f t="shared" si="13"/>
        <v>1.4319642857142859E-2</v>
      </c>
      <c r="W17" s="69">
        <f t="shared" si="14"/>
        <v>0.35668928571428576</v>
      </c>
      <c r="X17" s="69">
        <f t="shared" si="15"/>
        <v>71.076718928571438</v>
      </c>
    </row>
    <row r="18" spans="9:24">
      <c r="I18" s="14">
        <v>9</v>
      </c>
      <c r="J18" s="14">
        <v>14</v>
      </c>
      <c r="K18" s="14">
        <v>588</v>
      </c>
      <c r="L18" s="14">
        <v>220397</v>
      </c>
      <c r="M18" s="44">
        <f t="shared" si="16"/>
        <v>69</v>
      </c>
      <c r="N18" s="44">
        <f t="shared" si="17"/>
        <v>1958</v>
      </c>
      <c r="O18" s="44">
        <f t="shared" si="18"/>
        <v>493394</v>
      </c>
      <c r="P18" s="69">
        <f t="shared" si="8"/>
        <v>0.31049999999999994</v>
      </c>
      <c r="Q18" s="70">
        <f t="shared" si="9"/>
        <v>8.8109999999999982</v>
      </c>
      <c r="R18" s="70">
        <f t="shared" si="3"/>
        <v>2220.2729999999997</v>
      </c>
      <c r="S18" s="69">
        <f t="shared" si="10"/>
        <v>0.14371714285714288</v>
      </c>
      <c r="T18" s="70">
        <f t="shared" si="11"/>
        <v>4.0782342857142861</v>
      </c>
      <c r="U18" s="70">
        <f t="shared" si="12"/>
        <v>1027.6692171428572</v>
      </c>
      <c r="V18" s="68">
        <f t="shared" si="13"/>
        <v>1.5968571428571429E-2</v>
      </c>
      <c r="W18" s="69">
        <f t="shared" si="14"/>
        <v>0.4531371428571429</v>
      </c>
      <c r="X18" s="69">
        <f t="shared" si="15"/>
        <v>114.18546857142857</v>
      </c>
    </row>
    <row r="19" spans="9:24">
      <c r="I19" s="14">
        <v>10</v>
      </c>
      <c r="J19" s="14">
        <v>17</v>
      </c>
      <c r="K19" s="14">
        <v>823</v>
      </c>
      <c r="L19" s="14">
        <v>396715</v>
      </c>
      <c r="M19" s="44">
        <f t="shared" si="16"/>
        <v>86</v>
      </c>
      <c r="N19" s="44">
        <f t="shared" si="17"/>
        <v>2781</v>
      </c>
      <c r="O19" s="44">
        <f t="shared" si="18"/>
        <v>890109</v>
      </c>
      <c r="P19" s="69">
        <f t="shared" si="8"/>
        <v>0.38699999999999996</v>
      </c>
      <c r="Q19" s="70">
        <f t="shared" si="9"/>
        <v>12.514499999999998</v>
      </c>
      <c r="R19" s="70">
        <f t="shared" si="3"/>
        <v>4005.4904999999994</v>
      </c>
      <c r="S19" s="69">
        <f t="shared" si="10"/>
        <v>0.1791257142857143</v>
      </c>
      <c r="T19" s="70">
        <f t="shared" si="11"/>
        <v>5.7924257142857147</v>
      </c>
      <c r="U19" s="70">
        <f t="shared" si="12"/>
        <v>1853.9698885714288</v>
      </c>
      <c r="V19" s="68">
        <f t="shared" si="13"/>
        <v>1.791257142857143E-2</v>
      </c>
      <c r="W19" s="69">
        <f t="shared" si="14"/>
        <v>0.5792425714285715</v>
      </c>
      <c r="X19" s="69">
        <f t="shared" si="15"/>
        <v>185.39698885714287</v>
      </c>
    </row>
    <row r="20" spans="9:24">
      <c r="I20" s="14">
        <v>11</v>
      </c>
      <c r="J20" s="14">
        <v>20</v>
      </c>
      <c r="K20" s="14">
        <v>1152</v>
      </c>
      <c r="L20" s="14"/>
      <c r="M20" s="44">
        <f t="shared" si="16"/>
        <v>106</v>
      </c>
      <c r="N20" s="44">
        <f t="shared" si="17"/>
        <v>3933</v>
      </c>
      <c r="O20" s="44"/>
      <c r="P20" s="69">
        <f t="shared" si="8"/>
        <v>0.47699999999999992</v>
      </c>
      <c r="Q20" s="70">
        <f t="shared" si="9"/>
        <v>17.698499999999996</v>
      </c>
      <c r="R20" s="70"/>
      <c r="S20" s="69">
        <f t="shared" si="10"/>
        <v>0.22078285714285717</v>
      </c>
      <c r="T20" s="70">
        <f t="shared" ref="T20:T29" si="19">N20/$AE$11</f>
        <v>8.1918771428571429</v>
      </c>
      <c r="U20" s="70"/>
      <c r="V20" s="68">
        <f t="shared" si="13"/>
        <v>2.0071168831168832E-2</v>
      </c>
      <c r="W20" s="69">
        <f t="shared" si="14"/>
        <v>0.74471610389610388</v>
      </c>
      <c r="X20" s="69"/>
    </row>
    <row r="21" spans="9:24">
      <c r="I21" s="14">
        <v>12</v>
      </c>
      <c r="J21" s="14">
        <v>24</v>
      </c>
      <c r="K21" s="14">
        <v>1613</v>
      </c>
      <c r="L21" s="14"/>
      <c r="M21" s="44">
        <f t="shared" si="16"/>
        <v>130</v>
      </c>
      <c r="N21" s="44">
        <f t="shared" si="17"/>
        <v>5546</v>
      </c>
      <c r="O21" s="44"/>
      <c r="P21" s="70">
        <f t="shared" si="8"/>
        <v>0.58499999999999985</v>
      </c>
      <c r="Q21" s="70">
        <f t="shared" si="9"/>
        <v>24.956999999999997</v>
      </c>
      <c r="R21" s="70"/>
      <c r="S21" s="69">
        <f t="shared" si="10"/>
        <v>0.27077142857142861</v>
      </c>
      <c r="T21" s="70">
        <f t="shared" si="19"/>
        <v>11.551525714285715</v>
      </c>
      <c r="U21" s="70"/>
      <c r="V21" s="68">
        <f t="shared" si="13"/>
        <v>2.2564285714285717E-2</v>
      </c>
      <c r="W21" s="69">
        <f t="shared" si="14"/>
        <v>0.9626271428571429</v>
      </c>
      <c r="X21" s="69"/>
    </row>
    <row r="22" spans="9:24">
      <c r="I22" s="14">
        <v>13</v>
      </c>
      <c r="J22" s="14">
        <v>29</v>
      </c>
      <c r="K22" s="14">
        <v>2258</v>
      </c>
      <c r="L22" s="14"/>
      <c r="M22" s="44">
        <f t="shared" si="16"/>
        <v>159</v>
      </c>
      <c r="N22" s="44">
        <f t="shared" si="17"/>
        <v>7804</v>
      </c>
      <c r="O22" s="44"/>
      <c r="P22" s="70">
        <f t="shared" si="8"/>
        <v>0.71549999999999991</v>
      </c>
      <c r="Q22" s="70">
        <f t="shared" si="9"/>
        <v>35.117999999999995</v>
      </c>
      <c r="R22" s="70"/>
      <c r="S22" s="69">
        <f t="shared" si="10"/>
        <v>0.33117428571428575</v>
      </c>
      <c r="T22" s="70">
        <f t="shared" si="19"/>
        <v>16.254617142857143</v>
      </c>
      <c r="U22" s="70"/>
      <c r="V22" s="68">
        <f t="shared" si="13"/>
        <v>2.5474945054945058E-2</v>
      </c>
      <c r="W22" s="69">
        <f t="shared" si="14"/>
        <v>1.2503551648351647</v>
      </c>
      <c r="X22" s="69"/>
    </row>
    <row r="23" spans="9:24">
      <c r="I23" s="14">
        <v>14</v>
      </c>
      <c r="J23" s="14">
        <v>35</v>
      </c>
      <c r="K23" s="14">
        <v>3161</v>
      </c>
      <c r="L23" s="14"/>
      <c r="M23" s="44">
        <f t="shared" si="16"/>
        <v>194</v>
      </c>
      <c r="N23" s="44">
        <f t="shared" si="17"/>
        <v>10965</v>
      </c>
      <c r="O23" s="44"/>
      <c r="P23" s="70">
        <f t="shared" si="8"/>
        <v>0.87299999999999989</v>
      </c>
      <c r="Q23" s="70">
        <f t="shared" si="9"/>
        <v>49.342499999999994</v>
      </c>
      <c r="R23" s="70"/>
      <c r="S23" s="69">
        <f t="shared" si="10"/>
        <v>0.40407428571428577</v>
      </c>
      <c r="T23" s="70">
        <f t="shared" si="19"/>
        <v>22.838528571428572</v>
      </c>
      <c r="U23" s="70"/>
      <c r="V23" s="68">
        <f t="shared" si="13"/>
        <v>2.8862448979591841E-2</v>
      </c>
      <c r="W23" s="69">
        <f t="shared" si="14"/>
        <v>1.6313234693877552</v>
      </c>
      <c r="X23" s="69"/>
    </row>
    <row r="24" spans="9:24">
      <c r="I24" s="14">
        <v>15</v>
      </c>
      <c r="J24" s="14">
        <v>42</v>
      </c>
      <c r="K24" s="14">
        <v>4425</v>
      </c>
      <c r="L24" s="14"/>
      <c r="M24" s="44">
        <f t="shared" si="16"/>
        <v>236</v>
      </c>
      <c r="N24" s="44">
        <f t="shared" si="17"/>
        <v>15390</v>
      </c>
      <c r="O24" s="44"/>
      <c r="P24" s="70">
        <f t="shared" si="8"/>
        <v>1.0619999999999998</v>
      </c>
      <c r="Q24" s="70">
        <f t="shared" si="9"/>
        <v>69.254999999999995</v>
      </c>
      <c r="R24" s="70"/>
      <c r="S24" s="69">
        <f t="shared" si="10"/>
        <v>0.49155428571428578</v>
      </c>
      <c r="T24" s="70">
        <f t="shared" si="19"/>
        <v>32.055171428571434</v>
      </c>
      <c r="U24" s="70"/>
      <c r="V24" s="68">
        <f t="shared" si="13"/>
        <v>3.2770285714285717E-2</v>
      </c>
      <c r="W24" s="69">
        <f t="shared" si="14"/>
        <v>2.1370114285714288</v>
      </c>
      <c r="X24" s="69"/>
    </row>
    <row r="25" spans="9:24">
      <c r="I25" s="14">
        <v>16</v>
      </c>
      <c r="J25" s="14">
        <v>50</v>
      </c>
      <c r="K25" s="14">
        <v>6195</v>
      </c>
      <c r="L25" s="14"/>
      <c r="M25" s="44">
        <f t="shared" si="16"/>
        <v>286</v>
      </c>
      <c r="N25" s="44">
        <f t="shared" si="17"/>
        <v>21585</v>
      </c>
      <c r="O25" s="44"/>
      <c r="P25" s="70">
        <f t="shared" si="8"/>
        <v>1.2869999999999997</v>
      </c>
      <c r="Q25" s="70">
        <f t="shared" si="9"/>
        <v>97.132499999999979</v>
      </c>
      <c r="R25" s="70"/>
      <c r="S25" s="70">
        <f t="shared" si="10"/>
        <v>0.59569714285714293</v>
      </c>
      <c r="T25" s="70">
        <f t="shared" si="19"/>
        <v>44.958471428571436</v>
      </c>
      <c r="U25" s="70"/>
      <c r="V25" s="68">
        <f t="shared" si="13"/>
        <v>3.7231071428571433E-2</v>
      </c>
      <c r="W25" s="69">
        <f t="shared" si="14"/>
        <v>2.8099044642857147</v>
      </c>
      <c r="X25" s="69"/>
    </row>
    <row r="26" spans="9:24">
      <c r="I26" s="14">
        <v>17</v>
      </c>
      <c r="J26" s="14">
        <v>60</v>
      </c>
      <c r="K26" s="14">
        <v>8673</v>
      </c>
      <c r="L26" s="14"/>
      <c r="M26" s="44">
        <f t="shared" si="16"/>
        <v>346</v>
      </c>
      <c r="N26" s="44">
        <f t="shared" si="17"/>
        <v>30258</v>
      </c>
      <c r="O26" s="44"/>
      <c r="P26" s="70">
        <f t="shared" si="8"/>
        <v>1.5569999999999997</v>
      </c>
      <c r="Q26" s="70">
        <f t="shared" si="9"/>
        <v>136.16099999999997</v>
      </c>
      <c r="R26" s="70"/>
      <c r="S26" s="70">
        <f t="shared" si="10"/>
        <v>0.72066857142857144</v>
      </c>
      <c r="T26" s="70">
        <f t="shared" si="19"/>
        <v>63.023091428571433</v>
      </c>
      <c r="U26" s="70"/>
      <c r="V26" s="68">
        <f t="shared" si="13"/>
        <v>4.2392268907563029E-2</v>
      </c>
      <c r="W26" s="69">
        <f t="shared" si="14"/>
        <v>3.7072406722689077</v>
      </c>
      <c r="X26" s="69"/>
    </row>
    <row r="27" spans="9:24">
      <c r="I27" s="14">
        <v>18</v>
      </c>
      <c r="J27" s="14">
        <v>72</v>
      </c>
      <c r="K27" s="14">
        <v>12142</v>
      </c>
      <c r="L27" s="14"/>
      <c r="M27" s="44">
        <f t="shared" si="16"/>
        <v>418</v>
      </c>
      <c r="N27" s="44">
        <f t="shared" si="17"/>
        <v>42400</v>
      </c>
      <c r="O27" s="44"/>
      <c r="P27" s="70">
        <f t="shared" si="8"/>
        <v>1.8809999999999998</v>
      </c>
      <c r="Q27" s="70">
        <f t="shared" si="9"/>
        <v>190.79999999999998</v>
      </c>
      <c r="R27" s="70"/>
      <c r="S27" s="70">
        <f t="shared" si="10"/>
        <v>0.8706342857142858</v>
      </c>
      <c r="T27" s="70">
        <f t="shared" si="19"/>
        <v>88.313142857142864</v>
      </c>
      <c r="U27" s="70"/>
      <c r="V27" s="68">
        <f t="shared" si="13"/>
        <v>4.8368571428571434E-2</v>
      </c>
      <c r="W27" s="69">
        <f t="shared" si="14"/>
        <v>4.9062857142857146</v>
      </c>
      <c r="X27" s="69"/>
    </row>
    <row r="28" spans="9:24">
      <c r="I28" s="14">
        <v>19</v>
      </c>
      <c r="J28" s="14">
        <v>86</v>
      </c>
      <c r="K28" s="14">
        <v>16999</v>
      </c>
      <c r="L28" s="14"/>
      <c r="M28" s="44">
        <f t="shared" si="16"/>
        <v>504</v>
      </c>
      <c r="N28" s="44">
        <f t="shared" si="17"/>
        <v>59399</v>
      </c>
      <c r="O28" s="44"/>
      <c r="P28" s="70">
        <f t="shared" si="8"/>
        <v>2.2679999999999998</v>
      </c>
      <c r="Q28" s="70">
        <f t="shared" si="9"/>
        <v>267.29549999999995</v>
      </c>
      <c r="R28" s="70"/>
      <c r="S28" s="70">
        <f t="shared" si="10"/>
        <v>1.04976</v>
      </c>
      <c r="T28" s="70">
        <f t="shared" si="19"/>
        <v>123.71963142857143</v>
      </c>
      <c r="U28" s="70"/>
      <c r="V28" s="69">
        <f t="shared" si="13"/>
        <v>5.5250526315789472E-2</v>
      </c>
      <c r="W28" s="69">
        <f t="shared" si="14"/>
        <v>6.5115595488721807</v>
      </c>
      <c r="X28" s="69"/>
    </row>
    <row r="29" spans="9:24">
      <c r="I29" s="14">
        <v>20</v>
      </c>
      <c r="J29" s="14">
        <v>103</v>
      </c>
      <c r="K29" s="14">
        <v>23799</v>
      </c>
      <c r="L29" s="14"/>
      <c r="M29" s="44">
        <f t="shared" si="16"/>
        <v>607</v>
      </c>
      <c r="N29" s="44">
        <f t="shared" si="17"/>
        <v>83198</v>
      </c>
      <c r="O29" s="44"/>
      <c r="P29" s="70">
        <f t="shared" si="8"/>
        <v>2.7314999999999996</v>
      </c>
      <c r="Q29" s="70">
        <f t="shared" si="9"/>
        <v>374.39099999999996</v>
      </c>
      <c r="R29" s="70"/>
      <c r="S29" s="70">
        <f t="shared" si="10"/>
        <v>1.2642942857142858</v>
      </c>
      <c r="T29" s="70">
        <f t="shared" si="19"/>
        <v>173.28954857142858</v>
      </c>
      <c r="U29" s="70"/>
      <c r="V29" s="69">
        <f t="shared" si="13"/>
        <v>6.3214714285714291E-2</v>
      </c>
      <c r="W29" s="69">
        <f t="shared" si="14"/>
        <v>8.6644774285714288</v>
      </c>
      <c r="X29" s="69"/>
    </row>
    <row r="30" spans="9:24">
      <c r="I30" s="14">
        <v>21</v>
      </c>
      <c r="J30" s="14">
        <v>124</v>
      </c>
      <c r="K30" s="14"/>
      <c r="L30" s="14"/>
      <c r="M30" s="44">
        <f t="shared" si="16"/>
        <v>731</v>
      </c>
      <c r="N30" s="44"/>
      <c r="O30" s="44"/>
      <c r="P30" s="70">
        <f t="shared" si="8"/>
        <v>3.2894999999999994</v>
      </c>
      <c r="Q30" s="70"/>
      <c r="R30" s="70"/>
      <c r="S30" s="70">
        <f t="shared" si="10"/>
        <v>1.5225685714285715</v>
      </c>
      <c r="T30" s="70"/>
      <c r="U30" s="70"/>
      <c r="V30" s="69">
        <f t="shared" si="13"/>
        <v>7.2503265306122458E-2</v>
      </c>
      <c r="W30" s="69"/>
      <c r="X30" s="69"/>
    </row>
    <row r="31" spans="9:24">
      <c r="I31" s="14">
        <v>22</v>
      </c>
      <c r="J31" s="14">
        <v>149</v>
      </c>
      <c r="K31" s="14"/>
      <c r="L31" s="14"/>
      <c r="M31" s="44">
        <f t="shared" si="16"/>
        <v>880</v>
      </c>
      <c r="N31" s="44"/>
      <c r="O31" s="44"/>
      <c r="P31" s="70">
        <f t="shared" si="8"/>
        <v>3.9599999999999995</v>
      </c>
      <c r="Q31" s="70"/>
      <c r="R31" s="70"/>
      <c r="S31" s="70">
        <f t="shared" si="10"/>
        <v>1.8329142857142859</v>
      </c>
      <c r="T31" s="70"/>
      <c r="U31" s="70"/>
      <c r="V31" s="69">
        <f t="shared" si="13"/>
        <v>8.331428571428573E-2</v>
      </c>
      <c r="W31" s="69"/>
      <c r="X31" s="69"/>
    </row>
    <row r="32" spans="9:24">
      <c r="I32" s="14">
        <v>23</v>
      </c>
      <c r="J32" s="14">
        <v>179</v>
      </c>
      <c r="K32" s="14"/>
      <c r="L32" s="14"/>
      <c r="M32" s="44">
        <f t="shared" si="16"/>
        <v>1059</v>
      </c>
      <c r="N32" s="44"/>
      <c r="O32" s="44"/>
      <c r="P32" s="70">
        <f t="shared" si="8"/>
        <v>4.7654999999999994</v>
      </c>
      <c r="Q32" s="70"/>
      <c r="R32" s="70"/>
      <c r="S32" s="70">
        <f t="shared" si="10"/>
        <v>2.2057457142857144</v>
      </c>
      <c r="T32" s="70"/>
      <c r="U32" s="70"/>
      <c r="V32" s="69">
        <f t="shared" si="13"/>
        <v>9.5901987577639763E-2</v>
      </c>
      <c r="W32" s="69"/>
      <c r="X32" s="69"/>
    </row>
    <row r="33" spans="9:24">
      <c r="I33" s="14">
        <v>24</v>
      </c>
      <c r="J33" s="14">
        <v>215</v>
      </c>
      <c r="K33" s="14"/>
      <c r="L33" s="14"/>
      <c r="M33" s="44">
        <f t="shared" si="16"/>
        <v>1274</v>
      </c>
      <c r="N33" s="44"/>
      <c r="O33" s="44"/>
      <c r="P33" s="70">
        <f t="shared" si="8"/>
        <v>5.7329999999999988</v>
      </c>
      <c r="Q33" s="70"/>
      <c r="R33" s="70"/>
      <c r="S33" s="70">
        <f t="shared" si="10"/>
        <v>2.6535600000000001</v>
      </c>
      <c r="T33" s="70"/>
      <c r="U33" s="70"/>
      <c r="V33" s="69">
        <f t="shared" si="13"/>
        <v>0.11056500000000001</v>
      </c>
      <c r="W33" s="69"/>
      <c r="X33" s="69"/>
    </row>
    <row r="34" spans="9:24">
      <c r="I34" s="14">
        <v>25</v>
      </c>
      <c r="J34" s="14">
        <v>258</v>
      </c>
      <c r="K34" s="14"/>
      <c r="L34" s="14"/>
      <c r="M34" s="44">
        <f t="shared" si="16"/>
        <v>1532</v>
      </c>
      <c r="N34" s="44"/>
      <c r="O34" s="44"/>
      <c r="P34" s="70">
        <f t="shared" si="8"/>
        <v>6.8939999999999992</v>
      </c>
      <c r="Q34" s="70"/>
      <c r="R34" s="70"/>
      <c r="S34" s="70">
        <f t="shared" si="10"/>
        <v>3.1909371428571429</v>
      </c>
      <c r="T34" s="70"/>
      <c r="U34" s="70"/>
      <c r="V34" s="69">
        <f t="shared" si="13"/>
        <v>0.12763748571428571</v>
      </c>
      <c r="W34" s="69"/>
      <c r="X34" s="69"/>
    </row>
    <row r="35" spans="9:24">
      <c r="I35" s="14">
        <v>26</v>
      </c>
      <c r="J35" s="14">
        <v>310</v>
      </c>
      <c r="K35" s="14"/>
      <c r="L35" s="14"/>
      <c r="M35" s="44">
        <f t="shared" si="16"/>
        <v>1842</v>
      </c>
      <c r="N35" s="44"/>
      <c r="O35" s="44"/>
      <c r="P35" s="70">
        <f t="shared" si="8"/>
        <v>8.2889999999999979</v>
      </c>
      <c r="Q35" s="70"/>
      <c r="R35" s="70"/>
      <c r="S35" s="70">
        <f t="shared" si="10"/>
        <v>3.8366228571428573</v>
      </c>
      <c r="T35" s="70"/>
      <c r="U35" s="70"/>
      <c r="V35" s="69">
        <f t="shared" si="13"/>
        <v>0.14756241758241759</v>
      </c>
      <c r="W35" s="69"/>
      <c r="X35" s="69"/>
    </row>
    <row r="36" spans="9:24">
      <c r="I36" s="14">
        <v>27</v>
      </c>
      <c r="J36" s="14">
        <v>372</v>
      </c>
      <c r="K36" s="14"/>
      <c r="L36" s="14"/>
      <c r="M36" s="44">
        <f t="shared" si="16"/>
        <v>2214</v>
      </c>
      <c r="N36" s="44"/>
      <c r="O36" s="44"/>
      <c r="P36" s="70">
        <f t="shared" si="8"/>
        <v>9.9629999999999992</v>
      </c>
      <c r="Q36" s="70"/>
      <c r="R36" s="70"/>
      <c r="S36" s="70">
        <f t="shared" si="10"/>
        <v>4.6114457142857148</v>
      </c>
      <c r="T36" s="70"/>
      <c r="U36" s="70"/>
      <c r="V36" s="69">
        <f t="shared" si="13"/>
        <v>0.17079428571428573</v>
      </c>
      <c r="W36" s="69"/>
      <c r="X36" s="69"/>
    </row>
    <row r="37" spans="9:24">
      <c r="I37" s="14">
        <v>28</v>
      </c>
      <c r="J37" s="14">
        <v>446</v>
      </c>
      <c r="K37" s="14"/>
      <c r="L37" s="14"/>
      <c r="M37" s="44">
        <f t="shared" si="16"/>
        <v>2660</v>
      </c>
      <c r="N37" s="44"/>
      <c r="O37" s="44"/>
      <c r="P37" s="70">
        <f t="shared" si="8"/>
        <v>11.969999999999999</v>
      </c>
      <c r="Q37" s="70"/>
      <c r="R37" s="70"/>
      <c r="S37" s="70">
        <f t="shared" si="10"/>
        <v>5.5404000000000009</v>
      </c>
      <c r="T37" s="70"/>
      <c r="U37" s="70"/>
      <c r="V37" s="69">
        <f t="shared" si="13"/>
        <v>0.19787142857142861</v>
      </c>
      <c r="W37" s="69"/>
      <c r="X37" s="69"/>
    </row>
    <row r="38" spans="9:24">
      <c r="I38" s="14">
        <v>29</v>
      </c>
      <c r="J38" s="14">
        <v>535</v>
      </c>
      <c r="K38" s="14"/>
      <c r="L38" s="14"/>
      <c r="M38" s="44">
        <f t="shared" si="16"/>
        <v>3195</v>
      </c>
      <c r="N38" s="44"/>
      <c r="O38" s="44"/>
      <c r="P38" s="70">
        <f t="shared" si="8"/>
        <v>14.377499999999998</v>
      </c>
      <c r="Q38" s="70"/>
      <c r="R38" s="70"/>
      <c r="S38" s="70">
        <f t="shared" si="10"/>
        <v>6.6547285714285715</v>
      </c>
      <c r="T38" s="70"/>
      <c r="U38" s="70"/>
      <c r="V38" s="69">
        <f t="shared" si="13"/>
        <v>0.22947339901477834</v>
      </c>
      <c r="W38" s="69"/>
      <c r="X38" s="69"/>
    </row>
    <row r="39" spans="9:24">
      <c r="I39" s="14">
        <v>30</v>
      </c>
      <c r="J39" s="14">
        <v>642</v>
      </c>
      <c r="K39" s="14"/>
      <c r="L39" s="14"/>
      <c r="M39" s="44">
        <f t="shared" si="16"/>
        <v>3837</v>
      </c>
      <c r="N39" s="44"/>
      <c r="O39" s="44"/>
      <c r="P39" s="70">
        <f t="shared" si="8"/>
        <v>17.266499999999997</v>
      </c>
      <c r="Q39" s="70"/>
      <c r="R39" s="70"/>
      <c r="S39" s="70">
        <f t="shared" si="10"/>
        <v>7.9919228571428578</v>
      </c>
      <c r="T39" s="70"/>
      <c r="U39" s="70"/>
      <c r="V39" s="69">
        <f t="shared" si="13"/>
        <v>0.26639742857142862</v>
      </c>
      <c r="W39" s="69"/>
      <c r="X39" s="69"/>
    </row>
    <row r="40" spans="9:24">
      <c r="I40" s="14">
        <v>31</v>
      </c>
      <c r="J40" s="14">
        <v>770</v>
      </c>
      <c r="K40" s="14"/>
      <c r="L40" s="14"/>
      <c r="M40" s="44">
        <f t="shared" si="16"/>
        <v>4607</v>
      </c>
      <c r="N40" s="44"/>
      <c r="O40" s="44"/>
      <c r="P40" s="70">
        <f t="shared" si="8"/>
        <v>20.731499999999997</v>
      </c>
      <c r="Q40" s="70"/>
      <c r="R40" s="70"/>
      <c r="S40" s="70">
        <f t="shared" si="10"/>
        <v>9.5957228571428583</v>
      </c>
      <c r="T40" s="70"/>
      <c r="U40" s="70"/>
      <c r="V40" s="69">
        <f t="shared" si="13"/>
        <v>0.30953944700460834</v>
      </c>
      <c r="W40" s="69"/>
      <c r="X40" s="69"/>
    </row>
    <row r="41" spans="9:24">
      <c r="I41" s="14">
        <v>32</v>
      </c>
      <c r="J41" s="14">
        <v>924</v>
      </c>
      <c r="K41" s="14"/>
      <c r="L41" s="14"/>
      <c r="M41" s="44">
        <f t="shared" si="16"/>
        <v>5531</v>
      </c>
      <c r="N41" s="44"/>
      <c r="O41" s="44"/>
      <c r="P41" s="70">
        <f t="shared" si="8"/>
        <v>24.889499999999995</v>
      </c>
      <c r="Q41" s="70"/>
      <c r="R41" s="70"/>
      <c r="S41" s="70">
        <f t="shared" si="10"/>
        <v>11.520282857142858</v>
      </c>
      <c r="T41" s="70"/>
      <c r="U41" s="70"/>
      <c r="V41" s="69">
        <f t="shared" si="13"/>
        <v>0.36000883928571431</v>
      </c>
      <c r="W41" s="69"/>
      <c r="X41" s="69"/>
    </row>
    <row r="42" spans="9:24">
      <c r="I42" s="14">
        <v>33</v>
      </c>
      <c r="J42" s="14">
        <v>1109</v>
      </c>
      <c r="K42" s="14"/>
      <c r="L42" s="14"/>
      <c r="M42" s="44">
        <f t="shared" si="16"/>
        <v>6640</v>
      </c>
      <c r="N42" s="44"/>
      <c r="O42" s="44"/>
      <c r="P42" s="70">
        <f t="shared" si="8"/>
        <v>29.879999999999995</v>
      </c>
      <c r="Q42" s="70"/>
      <c r="R42" s="70"/>
      <c r="S42" s="70">
        <f t="shared" si="10"/>
        <v>13.830171428571429</v>
      </c>
      <c r="T42" s="70"/>
      <c r="U42" s="70"/>
      <c r="V42" s="69">
        <f t="shared" si="13"/>
        <v>0.41909610389610391</v>
      </c>
      <c r="W42" s="69"/>
      <c r="X42" s="69"/>
    </row>
    <row r="43" spans="9:24">
      <c r="I43" s="14">
        <v>34</v>
      </c>
      <c r="J43" s="14">
        <v>1331</v>
      </c>
      <c r="K43" s="14"/>
      <c r="L43" s="14"/>
      <c r="M43" s="44">
        <f t="shared" si="16"/>
        <v>7971</v>
      </c>
      <c r="N43" s="44"/>
      <c r="O43" s="44"/>
      <c r="P43" s="70">
        <f t="shared" si="8"/>
        <v>35.869499999999995</v>
      </c>
      <c r="Q43" s="70"/>
      <c r="R43" s="70"/>
      <c r="S43" s="70">
        <f t="shared" si="10"/>
        <v>16.602454285714288</v>
      </c>
      <c r="T43" s="70"/>
      <c r="U43" s="70"/>
      <c r="V43" s="69">
        <f t="shared" si="13"/>
        <v>0.48830747899159671</v>
      </c>
      <c r="W43" s="69"/>
      <c r="X43" s="69"/>
    </row>
    <row r="44" spans="9:24">
      <c r="I44" s="14">
        <v>35</v>
      </c>
      <c r="J44" s="14">
        <v>1597</v>
      </c>
      <c r="K44" s="14"/>
      <c r="L44" s="14"/>
      <c r="M44" s="44">
        <f t="shared" si="16"/>
        <v>9568</v>
      </c>
      <c r="N44" s="44"/>
      <c r="O44" s="44"/>
      <c r="P44" s="70">
        <f t="shared" si="8"/>
        <v>43.05599999999999</v>
      </c>
      <c r="Q44" s="70"/>
      <c r="R44" s="70"/>
      <c r="S44" s="70">
        <f t="shared" si="10"/>
        <v>19.928777142857143</v>
      </c>
      <c r="T44" s="70"/>
      <c r="U44" s="70"/>
      <c r="V44" s="69">
        <f t="shared" si="13"/>
        <v>0.5693936326530612</v>
      </c>
      <c r="W44" s="69"/>
      <c r="X44" s="69"/>
    </row>
    <row r="45" spans="9:24">
      <c r="I45" s="14">
        <v>36</v>
      </c>
      <c r="J45" s="14">
        <v>1916</v>
      </c>
      <c r="K45" s="14"/>
      <c r="L45" s="14"/>
      <c r="M45" s="44">
        <f t="shared" si="16"/>
        <v>11484</v>
      </c>
      <c r="N45" s="44"/>
      <c r="O45" s="44"/>
      <c r="P45" s="70">
        <f t="shared" si="8"/>
        <v>51.67799999999999</v>
      </c>
      <c r="Q45" s="70"/>
      <c r="R45" s="70"/>
      <c r="S45" s="70">
        <f t="shared" si="10"/>
        <v>23.919531428571432</v>
      </c>
      <c r="T45" s="70"/>
      <c r="U45" s="70"/>
      <c r="V45" s="69">
        <f t="shared" si="13"/>
        <v>0.66443142857142867</v>
      </c>
      <c r="W45" s="69"/>
      <c r="X45" s="69"/>
    </row>
    <row r="46" spans="9:24">
      <c r="I46" s="14">
        <v>37</v>
      </c>
      <c r="J46" s="14">
        <v>2299</v>
      </c>
      <c r="K46" s="14"/>
      <c r="L46" s="14"/>
      <c r="M46" s="44">
        <f t="shared" si="16"/>
        <v>13783</v>
      </c>
      <c r="N46" s="44"/>
      <c r="O46" s="44"/>
      <c r="P46" s="70">
        <f t="shared" si="8"/>
        <v>62.023499999999991</v>
      </c>
      <c r="Q46" s="70"/>
      <c r="R46" s="70"/>
      <c r="S46" s="70">
        <f t="shared" si="10"/>
        <v>28.708020000000001</v>
      </c>
      <c r="T46" s="70"/>
      <c r="U46" s="70"/>
      <c r="V46" s="69">
        <f t="shared" si="13"/>
        <v>0.77589243243243244</v>
      </c>
      <c r="W46" s="69"/>
      <c r="X46" s="69"/>
    </row>
    <row r="47" spans="9:24">
      <c r="I47" s="14">
        <v>38</v>
      </c>
      <c r="J47" s="14">
        <v>2759</v>
      </c>
      <c r="K47" s="14"/>
      <c r="L47" s="14"/>
      <c r="M47" s="44">
        <f t="shared" si="16"/>
        <v>16542</v>
      </c>
      <c r="N47" s="44"/>
      <c r="O47" s="44"/>
      <c r="P47" s="70">
        <f t="shared" si="8"/>
        <v>74.438999999999993</v>
      </c>
      <c r="Q47" s="70"/>
      <c r="R47" s="70"/>
      <c r="S47" s="70">
        <f t="shared" si="10"/>
        <v>34.454622857142859</v>
      </c>
      <c r="T47" s="70"/>
      <c r="U47" s="70"/>
      <c r="V47" s="69">
        <f t="shared" si="13"/>
        <v>0.90670060150375942</v>
      </c>
      <c r="W47" s="69"/>
      <c r="X47" s="69"/>
    </row>
    <row r="48" spans="9:24">
      <c r="I48" s="14">
        <v>39</v>
      </c>
      <c r="J48" s="14">
        <v>3311</v>
      </c>
      <c r="K48" s="14"/>
      <c r="L48" s="14"/>
      <c r="M48" s="44">
        <f t="shared" si="16"/>
        <v>19853</v>
      </c>
      <c r="N48" s="44"/>
      <c r="O48" s="44"/>
      <c r="P48" s="70">
        <f t="shared" si="8"/>
        <v>89.338499999999982</v>
      </c>
      <c r="Q48" s="70"/>
      <c r="R48" s="70"/>
      <c r="S48" s="70">
        <f t="shared" si="10"/>
        <v>41.350962857142861</v>
      </c>
      <c r="T48" s="70"/>
      <c r="U48" s="70"/>
      <c r="V48" s="69">
        <f t="shared" si="13"/>
        <v>1.0602810989010989</v>
      </c>
      <c r="W48" s="69"/>
      <c r="X48" s="69"/>
    </row>
    <row r="49" spans="9:24">
      <c r="I49" s="14">
        <v>40</v>
      </c>
      <c r="J49" s="14">
        <v>3973</v>
      </c>
      <c r="K49" s="14"/>
      <c r="L49" s="14"/>
      <c r="M49" s="44">
        <f t="shared" si="16"/>
        <v>23826</v>
      </c>
      <c r="N49" s="44"/>
      <c r="O49" s="44"/>
      <c r="P49" s="70">
        <f t="shared" si="8"/>
        <v>107.21699999999998</v>
      </c>
      <c r="Q49" s="70"/>
      <c r="R49" s="70"/>
      <c r="S49" s="70">
        <f t="shared" si="10"/>
        <v>49.626154285714293</v>
      </c>
      <c r="T49" s="70"/>
      <c r="U49" s="70"/>
      <c r="V49" s="69">
        <f t="shared" si="13"/>
        <v>1.2406538571428574</v>
      </c>
      <c r="W49" s="69"/>
      <c r="X49" s="69"/>
    </row>
    <row r="50" spans="9:24">
      <c r="I50" s="14">
        <v>41</v>
      </c>
      <c r="J50" s="14">
        <v>4768</v>
      </c>
      <c r="K50" s="14"/>
      <c r="L50" s="14"/>
      <c r="M50" s="44">
        <f t="shared" si="16"/>
        <v>28594</v>
      </c>
      <c r="N50" s="44"/>
      <c r="O50" s="44"/>
      <c r="P50" s="70">
        <f t="shared" si="8"/>
        <v>128.67299999999997</v>
      </c>
      <c r="Q50" s="70"/>
      <c r="R50" s="70"/>
      <c r="S50" s="70">
        <f t="shared" si="10"/>
        <v>59.557217142857148</v>
      </c>
      <c r="T50" s="70"/>
      <c r="U50" s="70"/>
      <c r="V50" s="69">
        <f t="shared" si="13"/>
        <v>1.4526150522648085</v>
      </c>
      <c r="W50" s="69"/>
      <c r="X50" s="69"/>
    </row>
    <row r="51" spans="9:24">
      <c r="I51" s="14">
        <v>42</v>
      </c>
      <c r="J51" s="14">
        <v>5722</v>
      </c>
      <c r="K51" s="14"/>
      <c r="L51" s="14"/>
      <c r="M51" s="44">
        <f t="shared" si="16"/>
        <v>34316</v>
      </c>
      <c r="N51" s="44"/>
      <c r="O51" s="44"/>
      <c r="P51" s="70">
        <f t="shared" si="8"/>
        <v>154.42199999999997</v>
      </c>
      <c r="Q51" s="70"/>
      <c r="R51" s="70"/>
      <c r="S51" s="70">
        <f t="shared" si="10"/>
        <v>71.475325714285717</v>
      </c>
      <c r="T51" s="70"/>
      <c r="U51" s="70"/>
      <c r="V51" s="69">
        <f t="shared" si="13"/>
        <v>1.7017934693877552</v>
      </c>
      <c r="W51" s="69"/>
      <c r="X51" s="69"/>
    </row>
    <row r="52" spans="9:24">
      <c r="I52" s="14">
        <v>43</v>
      </c>
      <c r="J52" s="14">
        <v>6866</v>
      </c>
      <c r="K52" s="14"/>
      <c r="L52" s="14"/>
      <c r="M52" s="44">
        <f t="shared" si="16"/>
        <v>41182</v>
      </c>
      <c r="N52" s="44"/>
      <c r="O52" s="44"/>
      <c r="P52" s="70">
        <f t="shared" si="8"/>
        <v>185.31899999999996</v>
      </c>
      <c r="Q52" s="70"/>
      <c r="R52" s="70"/>
      <c r="S52" s="70">
        <f t="shared" si="10"/>
        <v>85.776222857142869</v>
      </c>
      <c r="T52" s="70"/>
      <c r="U52" s="70"/>
      <c r="V52" s="69">
        <f t="shared" si="13"/>
        <v>1.9947958803986714</v>
      </c>
      <c r="W52" s="69"/>
      <c r="X52" s="69"/>
    </row>
    <row r="53" spans="9:24">
      <c r="I53" s="14">
        <v>44</v>
      </c>
      <c r="J53" s="14">
        <v>8239</v>
      </c>
      <c r="K53" s="14"/>
      <c r="L53" s="14"/>
      <c r="M53" s="44">
        <f t="shared" si="16"/>
        <v>49421</v>
      </c>
      <c r="N53" s="44"/>
      <c r="O53" s="44"/>
      <c r="P53" s="70">
        <f t="shared" si="8"/>
        <v>222.39449999999997</v>
      </c>
      <c r="Q53" s="70"/>
      <c r="R53" s="70"/>
      <c r="S53" s="70">
        <f t="shared" si="10"/>
        <v>102.93688285714286</v>
      </c>
      <c r="T53" s="70"/>
      <c r="U53" s="70"/>
      <c r="V53" s="69">
        <f t="shared" si="13"/>
        <v>2.3394746103896105</v>
      </c>
      <c r="W53" s="69"/>
      <c r="X53" s="69"/>
    </row>
    <row r="54" spans="9:24">
      <c r="I54" s="14">
        <v>45</v>
      </c>
      <c r="J54" s="14">
        <v>9887</v>
      </c>
      <c r="K54" s="14"/>
      <c r="L54" s="14"/>
      <c r="M54" s="44">
        <f t="shared" si="16"/>
        <v>59308</v>
      </c>
      <c r="N54" s="44"/>
      <c r="O54" s="44"/>
      <c r="P54" s="70">
        <f t="shared" si="8"/>
        <v>266.88599999999997</v>
      </c>
      <c r="Q54" s="70"/>
      <c r="R54" s="70"/>
      <c r="S54" s="70">
        <f t="shared" si="10"/>
        <v>123.53009142857144</v>
      </c>
      <c r="T54" s="70"/>
      <c r="U54" s="70"/>
      <c r="V54" s="69">
        <f t="shared" si="13"/>
        <v>2.7451131428571429</v>
      </c>
      <c r="W54" s="69"/>
      <c r="X54" s="69"/>
    </row>
    <row r="55" spans="9:24">
      <c r="I55" s="14">
        <v>46</v>
      </c>
      <c r="J55" s="14">
        <v>11864</v>
      </c>
      <c r="K55" s="14"/>
      <c r="L55" s="14"/>
      <c r="M55" s="44">
        <f t="shared" si="16"/>
        <v>71172</v>
      </c>
      <c r="N55" s="44"/>
      <c r="O55" s="44"/>
      <c r="P55" s="70">
        <f t="shared" si="8"/>
        <v>320.27399999999994</v>
      </c>
      <c r="Q55" s="70"/>
      <c r="R55" s="70"/>
      <c r="S55" s="70">
        <f t="shared" si="10"/>
        <v>148.24110857142858</v>
      </c>
      <c r="T55" s="70"/>
      <c r="U55" s="70"/>
      <c r="V55" s="69">
        <f t="shared" si="13"/>
        <v>3.222632795031056</v>
      </c>
      <c r="W55" s="69"/>
      <c r="X55" s="69"/>
    </row>
    <row r="56" spans="9:24">
      <c r="I56" s="14">
        <v>47</v>
      </c>
      <c r="J56" s="14">
        <v>14237</v>
      </c>
      <c r="K56" s="14"/>
      <c r="L56" s="14"/>
      <c r="M56" s="44">
        <f t="shared" si="16"/>
        <v>85409</v>
      </c>
      <c r="N56" s="44"/>
      <c r="O56" s="44"/>
      <c r="P56" s="70">
        <f t="shared" si="8"/>
        <v>384.34049999999996</v>
      </c>
      <c r="Q56" s="70"/>
      <c r="R56" s="70"/>
      <c r="S56" s="70">
        <f t="shared" si="10"/>
        <v>177.89474571428573</v>
      </c>
      <c r="T56" s="70"/>
      <c r="U56" s="70"/>
      <c r="V56" s="69">
        <f t="shared" si="13"/>
        <v>3.7849945896656538</v>
      </c>
      <c r="W56" s="69"/>
      <c r="X56" s="69"/>
    </row>
    <row r="57" spans="9:24">
      <c r="I57" s="14">
        <v>48</v>
      </c>
      <c r="J57" s="14">
        <v>17084</v>
      </c>
      <c r="K57" s="14"/>
      <c r="L57" s="14"/>
      <c r="M57" s="44">
        <f t="shared" si="16"/>
        <v>102493</v>
      </c>
      <c r="N57" s="44"/>
      <c r="O57" s="44"/>
      <c r="P57" s="70">
        <f t="shared" si="8"/>
        <v>461.21849999999995</v>
      </c>
      <c r="Q57" s="70"/>
      <c r="R57" s="70"/>
      <c r="S57" s="70">
        <f t="shared" si="10"/>
        <v>213.47827714285717</v>
      </c>
      <c r="T57" s="70"/>
      <c r="U57" s="70"/>
      <c r="V57" s="69">
        <f t="shared" si="13"/>
        <v>4.4474641071428573</v>
      </c>
      <c r="W57" s="69"/>
      <c r="X57" s="69"/>
    </row>
    <row r="58" spans="9:24">
      <c r="I58" s="14">
        <v>49</v>
      </c>
      <c r="J58" s="14">
        <v>20501</v>
      </c>
      <c r="K58" s="14"/>
      <c r="L58" s="14"/>
      <c r="M58" s="44">
        <f t="shared" si="16"/>
        <v>122994</v>
      </c>
      <c r="N58" s="44"/>
      <c r="O58" s="44"/>
      <c r="P58" s="70">
        <f t="shared" si="8"/>
        <v>553.47299999999996</v>
      </c>
      <c r="Q58" s="70"/>
      <c r="R58" s="70"/>
      <c r="S58" s="70">
        <f t="shared" si="10"/>
        <v>256.17893142857145</v>
      </c>
      <c r="T58" s="70"/>
      <c r="U58" s="70"/>
      <c r="V58" s="69">
        <f t="shared" si="13"/>
        <v>5.2281414577259477</v>
      </c>
      <c r="W58" s="69"/>
      <c r="X58" s="69"/>
    </row>
    <row r="59" spans="9:24">
      <c r="I59" s="14">
        <v>50</v>
      </c>
      <c r="J59" s="14">
        <v>24601</v>
      </c>
      <c r="K59" s="14"/>
      <c r="L59" s="14"/>
      <c r="M59" s="44">
        <f t="shared" si="16"/>
        <v>147595</v>
      </c>
      <c r="N59" s="44"/>
      <c r="O59" s="44"/>
      <c r="P59" s="70">
        <f t="shared" si="8"/>
        <v>664.1774999999999</v>
      </c>
      <c r="Q59" s="70"/>
      <c r="R59" s="70"/>
      <c r="S59" s="70">
        <f t="shared" si="10"/>
        <v>307.41930000000002</v>
      </c>
      <c r="T59" s="70"/>
      <c r="U59" s="70"/>
      <c r="V59" s="69">
        <f t="shared" si="13"/>
        <v>6.1483860000000004</v>
      </c>
      <c r="W59" s="69"/>
      <c r="X59" s="69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34"/>
  <sheetViews>
    <sheetView workbookViewId="0">
      <selection activeCell="D15" sqref="D15"/>
    </sheetView>
  </sheetViews>
  <sheetFormatPr defaultRowHeight="13.5"/>
  <sheetData>
    <row r="2" spans="2:11">
      <c r="D2" s="17" t="s">
        <v>1091</v>
      </c>
      <c r="E2" s="17" t="s">
        <v>1092</v>
      </c>
      <c r="F2" s="33" t="str">
        <f>F33</f>
        <v>icon_badge_none,1001,1002,1003,1004,1005,1006,1007,1008,1009,1010,1011,1012,1013,1020,1021,1022,1023,1024,1025,1026,1027,1028,1029,1030,1031,1032,1033,1034,1035,1036</v>
      </c>
      <c r="K2" t="s">
        <v>1115</v>
      </c>
    </row>
    <row r="3" spans="2:11">
      <c r="D3" s="17">
        <v>0</v>
      </c>
      <c r="E3" s="14" t="s">
        <v>1093</v>
      </c>
      <c r="F3" t="str">
        <f>E3</f>
        <v>icon_badge_none</v>
      </c>
      <c r="K3" t="s">
        <v>1115</v>
      </c>
    </row>
    <row r="4" spans="2:11">
      <c r="D4" s="17">
        <v>1</v>
      </c>
      <c r="E4" s="14">
        <v>1001</v>
      </c>
      <c r="F4" t="str">
        <f>F3&amp;","&amp;E4</f>
        <v>icon_badge_none,1001</v>
      </c>
      <c r="K4" t="s">
        <v>1115</v>
      </c>
    </row>
    <row r="5" spans="2:11">
      <c r="D5" s="17">
        <v>2</v>
      </c>
      <c r="E5" s="14">
        <v>1002</v>
      </c>
      <c r="F5" s="32" t="str">
        <f t="shared" ref="F5:F6" si="0">F4&amp;","&amp;E5</f>
        <v>icon_badge_none,1001,1002</v>
      </c>
      <c r="K5" t="s">
        <v>1115</v>
      </c>
    </row>
    <row r="6" spans="2:11">
      <c r="D6" s="17">
        <v>3</v>
      </c>
      <c r="E6" s="14">
        <v>1003</v>
      </c>
      <c r="F6" s="32" t="str">
        <f t="shared" si="0"/>
        <v>icon_badge_none,1001,1002,1003</v>
      </c>
      <c r="K6" t="s">
        <v>1115</v>
      </c>
    </row>
    <row r="7" spans="2:11">
      <c r="D7" s="17">
        <v>4</v>
      </c>
      <c r="E7" s="14">
        <v>1004</v>
      </c>
      <c r="F7" s="32" t="str">
        <f t="shared" ref="F7:F33" si="1">F6&amp;","&amp;E7</f>
        <v>icon_badge_none,1001,1002,1003,1004</v>
      </c>
      <c r="K7" t="s">
        <v>1115</v>
      </c>
    </row>
    <row r="8" spans="2:11">
      <c r="D8" s="17">
        <v>5</v>
      </c>
      <c r="E8" s="14">
        <v>1005</v>
      </c>
      <c r="F8" s="32" t="str">
        <f t="shared" si="1"/>
        <v>icon_badge_none,1001,1002,1003,1004,1005</v>
      </c>
      <c r="K8" t="s">
        <v>1115</v>
      </c>
    </row>
    <row r="9" spans="2:11">
      <c r="D9" s="17">
        <v>6</v>
      </c>
      <c r="E9" s="14">
        <v>1006</v>
      </c>
      <c r="F9" s="32" t="str">
        <f t="shared" si="1"/>
        <v>icon_badge_none,1001,1002,1003,1004,1005,1006</v>
      </c>
      <c r="K9" t="s">
        <v>1115</v>
      </c>
    </row>
    <row r="10" spans="2:11">
      <c r="D10" s="17">
        <v>7</v>
      </c>
      <c r="E10" s="14">
        <v>1007</v>
      </c>
      <c r="F10" s="32" t="str">
        <f t="shared" si="1"/>
        <v>icon_badge_none,1001,1002,1003,1004,1005,1006,1007</v>
      </c>
      <c r="K10" t="s">
        <v>1115</v>
      </c>
    </row>
    <row r="11" spans="2:11">
      <c r="B11" s="14"/>
      <c r="D11" s="17">
        <v>8</v>
      </c>
      <c r="E11" s="14">
        <v>1008</v>
      </c>
      <c r="F11" s="32" t="str">
        <f t="shared" si="1"/>
        <v>icon_badge_none,1001,1002,1003,1004,1005,1006,1007,1008</v>
      </c>
      <c r="K11" t="s">
        <v>1115</v>
      </c>
    </row>
    <row r="12" spans="2:11">
      <c r="B12" s="14"/>
      <c r="D12" s="17">
        <v>9</v>
      </c>
      <c r="E12" s="14">
        <v>1009</v>
      </c>
      <c r="F12" s="32" t="str">
        <f t="shared" si="1"/>
        <v>icon_badge_none,1001,1002,1003,1004,1005,1006,1007,1008,1009</v>
      </c>
      <c r="K12" t="s">
        <v>1115</v>
      </c>
    </row>
    <row r="13" spans="2:11">
      <c r="B13" s="14"/>
      <c r="D13" s="17">
        <v>10</v>
      </c>
      <c r="E13" s="14">
        <v>1010</v>
      </c>
      <c r="F13" s="32" t="str">
        <f t="shared" si="1"/>
        <v>icon_badge_none,1001,1002,1003,1004,1005,1006,1007,1008,1009,1010</v>
      </c>
      <c r="K13" t="s">
        <v>1115</v>
      </c>
    </row>
    <row r="14" spans="2:11">
      <c r="B14" s="14"/>
      <c r="D14" s="17">
        <v>11</v>
      </c>
      <c r="E14" s="14">
        <v>1011</v>
      </c>
      <c r="F14" s="32" t="str">
        <f t="shared" si="1"/>
        <v>icon_badge_none,1001,1002,1003,1004,1005,1006,1007,1008,1009,1010,1011</v>
      </c>
      <c r="K14" t="s">
        <v>1115</v>
      </c>
    </row>
    <row r="15" spans="2:11">
      <c r="B15" s="14"/>
      <c r="D15" s="17">
        <v>12</v>
      </c>
      <c r="E15" s="14">
        <v>1012</v>
      </c>
      <c r="F15" s="32" t="str">
        <f t="shared" si="1"/>
        <v>icon_badge_none,1001,1002,1003,1004,1005,1006,1007,1008,1009,1010,1011,1012</v>
      </c>
      <c r="K15" t="s">
        <v>1115</v>
      </c>
    </row>
    <row r="16" spans="2:11">
      <c r="B16" s="14"/>
      <c r="D16" s="17">
        <v>13</v>
      </c>
      <c r="E16" s="14">
        <v>1013</v>
      </c>
      <c r="F16" s="32" t="str">
        <f t="shared" si="1"/>
        <v>icon_badge_none,1001,1002,1003,1004,1005,1006,1007,1008,1009,1010,1011,1012,1013</v>
      </c>
      <c r="K16" t="s">
        <v>1115</v>
      </c>
    </row>
    <row r="17" spans="4:11">
      <c r="D17" s="17">
        <v>20</v>
      </c>
      <c r="E17" s="14">
        <v>1020</v>
      </c>
      <c r="F17" s="32" t="str">
        <f t="shared" si="1"/>
        <v>icon_badge_none,1001,1002,1003,1004,1005,1006,1007,1008,1009,1010,1011,1012,1013,1020</v>
      </c>
      <c r="K17" t="s">
        <v>1115</v>
      </c>
    </row>
    <row r="18" spans="4:11">
      <c r="D18" s="17">
        <v>21</v>
      </c>
      <c r="E18" s="14">
        <v>1021</v>
      </c>
      <c r="F18" s="32" t="str">
        <f t="shared" si="1"/>
        <v>icon_badge_none,1001,1002,1003,1004,1005,1006,1007,1008,1009,1010,1011,1012,1013,1020,1021</v>
      </c>
      <c r="K18" t="s">
        <v>1115</v>
      </c>
    </row>
    <row r="19" spans="4:11">
      <c r="D19" s="17">
        <v>22</v>
      </c>
      <c r="E19" s="14">
        <v>1022</v>
      </c>
      <c r="F19" s="32" t="str">
        <f t="shared" si="1"/>
        <v>icon_badge_none,1001,1002,1003,1004,1005,1006,1007,1008,1009,1010,1011,1012,1013,1020,1021,1022</v>
      </c>
      <c r="K19" t="s">
        <v>1115</v>
      </c>
    </row>
    <row r="20" spans="4:11">
      <c r="D20" s="17">
        <v>23</v>
      </c>
      <c r="E20" s="14">
        <v>1023</v>
      </c>
      <c r="F20" s="32" t="str">
        <f t="shared" si="1"/>
        <v>icon_badge_none,1001,1002,1003,1004,1005,1006,1007,1008,1009,1010,1011,1012,1013,1020,1021,1022,1023</v>
      </c>
      <c r="K20" t="s">
        <v>1115</v>
      </c>
    </row>
    <row r="21" spans="4:11">
      <c r="D21" s="17">
        <v>24</v>
      </c>
      <c r="E21" s="14">
        <v>1024</v>
      </c>
      <c r="F21" s="32" t="str">
        <f t="shared" si="1"/>
        <v>icon_badge_none,1001,1002,1003,1004,1005,1006,1007,1008,1009,1010,1011,1012,1013,1020,1021,1022,1023,1024</v>
      </c>
      <c r="K21" t="s">
        <v>1115</v>
      </c>
    </row>
    <row r="22" spans="4:11">
      <c r="D22" s="17">
        <v>25</v>
      </c>
      <c r="E22" s="14">
        <v>1025</v>
      </c>
      <c r="F22" s="32" t="str">
        <f t="shared" si="1"/>
        <v>icon_badge_none,1001,1002,1003,1004,1005,1006,1007,1008,1009,1010,1011,1012,1013,1020,1021,1022,1023,1024,1025</v>
      </c>
      <c r="K22" t="s">
        <v>1115</v>
      </c>
    </row>
    <row r="23" spans="4:11">
      <c r="D23" s="17">
        <v>26</v>
      </c>
      <c r="E23" s="14">
        <v>1026</v>
      </c>
      <c r="F23" s="32" t="str">
        <f t="shared" si="1"/>
        <v>icon_badge_none,1001,1002,1003,1004,1005,1006,1007,1008,1009,1010,1011,1012,1013,1020,1021,1022,1023,1024,1025,1026</v>
      </c>
      <c r="K23" t="s">
        <v>1115</v>
      </c>
    </row>
    <row r="24" spans="4:11">
      <c r="D24" s="17">
        <v>27</v>
      </c>
      <c r="E24" s="14">
        <v>1027</v>
      </c>
      <c r="F24" s="32" t="str">
        <f t="shared" si="1"/>
        <v>icon_badge_none,1001,1002,1003,1004,1005,1006,1007,1008,1009,1010,1011,1012,1013,1020,1021,1022,1023,1024,1025,1026,1027</v>
      </c>
      <c r="K24" t="s">
        <v>1115</v>
      </c>
    </row>
    <row r="25" spans="4:11">
      <c r="D25" s="17">
        <v>28</v>
      </c>
      <c r="E25" s="14">
        <v>1028</v>
      </c>
      <c r="F25" s="32" t="str">
        <f t="shared" si="1"/>
        <v>icon_badge_none,1001,1002,1003,1004,1005,1006,1007,1008,1009,1010,1011,1012,1013,1020,1021,1022,1023,1024,1025,1026,1027,1028</v>
      </c>
      <c r="K25" t="s">
        <v>1115</v>
      </c>
    </row>
    <row r="26" spans="4:11">
      <c r="D26" s="17">
        <v>29</v>
      </c>
      <c r="E26" s="14">
        <v>1029</v>
      </c>
      <c r="F26" s="32" t="str">
        <f t="shared" si="1"/>
        <v>icon_badge_none,1001,1002,1003,1004,1005,1006,1007,1008,1009,1010,1011,1012,1013,1020,1021,1022,1023,1024,1025,1026,1027,1028,1029</v>
      </c>
      <c r="K26" t="s">
        <v>1115</v>
      </c>
    </row>
    <row r="27" spans="4:11">
      <c r="D27" s="17">
        <v>30</v>
      </c>
      <c r="E27" s="14">
        <v>1030</v>
      </c>
      <c r="F27" s="32" t="str">
        <f t="shared" si="1"/>
        <v>icon_badge_none,1001,1002,1003,1004,1005,1006,1007,1008,1009,1010,1011,1012,1013,1020,1021,1022,1023,1024,1025,1026,1027,1028,1029,1030</v>
      </c>
      <c r="K27" t="s">
        <v>1115</v>
      </c>
    </row>
    <row r="28" spans="4:11">
      <c r="D28" s="17">
        <v>31</v>
      </c>
      <c r="E28" s="14">
        <v>1031</v>
      </c>
      <c r="F28" s="32" t="str">
        <f t="shared" si="1"/>
        <v>icon_badge_none,1001,1002,1003,1004,1005,1006,1007,1008,1009,1010,1011,1012,1013,1020,1021,1022,1023,1024,1025,1026,1027,1028,1029,1030,1031</v>
      </c>
      <c r="K28" t="s">
        <v>1115</v>
      </c>
    </row>
    <row r="29" spans="4:11">
      <c r="D29" s="17">
        <v>32</v>
      </c>
      <c r="E29" s="14">
        <v>1032</v>
      </c>
      <c r="F29" s="32" t="str">
        <f t="shared" si="1"/>
        <v>icon_badge_none,1001,1002,1003,1004,1005,1006,1007,1008,1009,1010,1011,1012,1013,1020,1021,1022,1023,1024,1025,1026,1027,1028,1029,1030,1031,1032</v>
      </c>
      <c r="K29" t="s">
        <v>1115</v>
      </c>
    </row>
    <row r="30" spans="4:11">
      <c r="D30" s="17">
        <v>33</v>
      </c>
      <c r="E30" s="14">
        <v>1033</v>
      </c>
      <c r="F30" s="32" t="str">
        <f t="shared" si="1"/>
        <v>icon_badge_none,1001,1002,1003,1004,1005,1006,1007,1008,1009,1010,1011,1012,1013,1020,1021,1022,1023,1024,1025,1026,1027,1028,1029,1030,1031,1032,1033</v>
      </c>
      <c r="K30" t="s">
        <v>1115</v>
      </c>
    </row>
    <row r="31" spans="4:11">
      <c r="D31" s="17">
        <v>34</v>
      </c>
      <c r="E31" s="14">
        <v>1034</v>
      </c>
      <c r="F31" s="32" t="str">
        <f t="shared" si="1"/>
        <v>icon_badge_none,1001,1002,1003,1004,1005,1006,1007,1008,1009,1010,1011,1012,1013,1020,1021,1022,1023,1024,1025,1026,1027,1028,1029,1030,1031,1032,1033,1034</v>
      </c>
      <c r="K31" t="s">
        <v>1115</v>
      </c>
    </row>
    <row r="32" spans="4:11">
      <c r="D32" s="17">
        <v>35</v>
      </c>
      <c r="E32" s="14">
        <v>1035</v>
      </c>
      <c r="F32" s="32" t="str">
        <f t="shared" si="1"/>
        <v>icon_badge_none,1001,1002,1003,1004,1005,1006,1007,1008,1009,1010,1011,1012,1013,1020,1021,1022,1023,1024,1025,1026,1027,1028,1029,1030,1031,1032,1033,1034,1035</v>
      </c>
      <c r="K32" t="s">
        <v>1115</v>
      </c>
    </row>
    <row r="33" spans="4:11">
      <c r="D33" s="17">
        <v>36</v>
      </c>
      <c r="E33" s="14">
        <v>1036</v>
      </c>
      <c r="F33" s="32" t="str">
        <f t="shared" si="1"/>
        <v>icon_badge_none,1001,1002,1003,1004,1005,1006,1007,1008,1009,1010,1011,1012,1013,1020,1021,1022,1023,1024,1025,1026,1027,1028,1029,1030,1031,1032,1033,1034,1035,1036</v>
      </c>
      <c r="K33" t="s">
        <v>1115</v>
      </c>
    </row>
    <row r="34" spans="4:11">
      <c r="K34" t="s">
        <v>1115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8:G38"/>
  <sheetViews>
    <sheetView workbookViewId="0">
      <selection activeCell="G25" sqref="G25"/>
    </sheetView>
  </sheetViews>
  <sheetFormatPr defaultRowHeight="13.5"/>
  <sheetData>
    <row r="8" spans="3:7">
      <c r="D8" s="29" t="s">
        <v>631</v>
      </c>
    </row>
    <row r="9" spans="3:7">
      <c r="D9" s="29" t="s">
        <v>632</v>
      </c>
    </row>
    <row r="10" spans="3:7">
      <c r="C10" t="s">
        <v>1094</v>
      </c>
    </row>
    <row r="11" spans="3:7">
      <c r="C11" s="14">
        <v>0</v>
      </c>
      <c r="D11" s="14">
        <v>1</v>
      </c>
      <c r="E11" s="14">
        <v>5</v>
      </c>
      <c r="F11">
        <f>D11</f>
        <v>1</v>
      </c>
      <c r="G11" s="32">
        <f>E11</f>
        <v>5</v>
      </c>
    </row>
    <row r="12" spans="3:7">
      <c r="C12" s="14">
        <v>1</v>
      </c>
      <c r="D12" s="14">
        <v>1</v>
      </c>
      <c r="E12" s="14">
        <v>5</v>
      </c>
      <c r="F12" t="str">
        <f>F11&amp;","&amp;D12</f>
        <v>1,1</v>
      </c>
      <c r="G12" s="32" t="str">
        <f>G11&amp;","&amp;E12</f>
        <v>5,5</v>
      </c>
    </row>
    <row r="13" spans="3:7">
      <c r="C13" s="14">
        <v>2</v>
      </c>
      <c r="D13" s="14">
        <v>1</v>
      </c>
      <c r="E13" s="14">
        <v>5</v>
      </c>
      <c r="F13" s="32" t="str">
        <f t="shared" ref="F13:G34" si="0">F12&amp;","&amp;D13</f>
        <v>1,1,1</v>
      </c>
      <c r="G13" s="32" t="str">
        <f t="shared" si="0"/>
        <v>5,5,5</v>
      </c>
    </row>
    <row r="14" spans="3:7">
      <c r="C14" s="14">
        <v>3</v>
      </c>
      <c r="D14" s="14">
        <v>1</v>
      </c>
      <c r="E14" s="14">
        <v>5</v>
      </c>
      <c r="F14" s="32" t="str">
        <f t="shared" si="0"/>
        <v>1,1,1,1</v>
      </c>
      <c r="G14" s="32" t="str">
        <f t="shared" si="0"/>
        <v>5,5,5,5</v>
      </c>
    </row>
    <row r="15" spans="3:7">
      <c r="C15" s="14">
        <v>4</v>
      </c>
      <c r="D15" s="14">
        <v>1</v>
      </c>
      <c r="E15" s="14">
        <v>5</v>
      </c>
      <c r="F15" s="32" t="str">
        <f t="shared" si="0"/>
        <v>1,1,1,1,1</v>
      </c>
      <c r="G15" s="32" t="str">
        <f t="shared" si="0"/>
        <v>5,5,5,5,5</v>
      </c>
    </row>
    <row r="16" spans="3:7">
      <c r="C16" s="14">
        <v>5</v>
      </c>
      <c r="D16" s="14">
        <v>1</v>
      </c>
      <c r="E16" s="14">
        <v>5</v>
      </c>
      <c r="F16" s="32" t="str">
        <f t="shared" si="0"/>
        <v>1,1,1,1,1,1</v>
      </c>
      <c r="G16" s="32" t="str">
        <f t="shared" si="0"/>
        <v>5,5,5,5,5,5</v>
      </c>
    </row>
    <row r="17" spans="3:7">
      <c r="C17" s="14">
        <v>6</v>
      </c>
      <c r="D17" s="14">
        <v>1</v>
      </c>
      <c r="E17" s="14">
        <v>5</v>
      </c>
      <c r="F17" s="32" t="str">
        <f t="shared" si="0"/>
        <v>1,1,1,1,1,1,1</v>
      </c>
      <c r="G17" s="32" t="str">
        <f t="shared" si="0"/>
        <v>5,5,5,5,5,5,5</v>
      </c>
    </row>
    <row r="18" spans="3:7">
      <c r="C18" s="14">
        <v>7</v>
      </c>
      <c r="D18" s="14">
        <v>1</v>
      </c>
      <c r="E18" s="14">
        <v>5</v>
      </c>
      <c r="F18" s="32" t="str">
        <f t="shared" si="0"/>
        <v>1,1,1,1,1,1,1,1</v>
      </c>
      <c r="G18" s="32" t="str">
        <f t="shared" si="0"/>
        <v>5,5,5,5,5,5,5,5</v>
      </c>
    </row>
    <row r="19" spans="3:7">
      <c r="C19" s="14">
        <v>8</v>
      </c>
      <c r="D19" s="14">
        <v>1</v>
      </c>
      <c r="E19" s="14">
        <v>5</v>
      </c>
      <c r="F19" s="32" t="str">
        <f t="shared" si="0"/>
        <v>1,1,1,1,1,1,1,1,1</v>
      </c>
      <c r="G19" s="32" t="str">
        <f t="shared" si="0"/>
        <v>5,5,5,5,5,5,5,5,5</v>
      </c>
    </row>
    <row r="20" spans="3:7">
      <c r="C20" s="14">
        <v>9</v>
      </c>
      <c r="D20" s="14">
        <v>1</v>
      </c>
      <c r="E20" s="14">
        <v>5</v>
      </c>
      <c r="F20" s="32" t="str">
        <f t="shared" si="0"/>
        <v>1,1,1,1,1,1,1,1,1,1</v>
      </c>
      <c r="G20" s="32" t="str">
        <f t="shared" si="0"/>
        <v>5,5,5,5,5,5,5,5,5,5</v>
      </c>
    </row>
    <row r="21" spans="3:7">
      <c r="C21" s="14">
        <v>10</v>
      </c>
      <c r="D21" s="14">
        <v>1</v>
      </c>
      <c r="E21" s="14">
        <v>5</v>
      </c>
      <c r="F21" s="32" t="str">
        <f t="shared" si="0"/>
        <v>1,1,1,1,1,1,1,1,1,1,1</v>
      </c>
      <c r="G21" s="32" t="str">
        <f t="shared" si="0"/>
        <v>5,5,5,5,5,5,5,5,5,5,5</v>
      </c>
    </row>
    <row r="22" spans="3:7">
      <c r="C22" s="14">
        <v>11</v>
      </c>
      <c r="D22" s="14">
        <v>1</v>
      </c>
      <c r="E22" s="14">
        <v>5</v>
      </c>
      <c r="F22" s="32" t="str">
        <f t="shared" si="0"/>
        <v>1,1,1,1,1,1,1,1,1,1,1,1</v>
      </c>
      <c r="G22" s="32" t="str">
        <f t="shared" si="0"/>
        <v>5,5,5,5,5,5,5,5,5,5,5,5</v>
      </c>
    </row>
    <row r="23" spans="3:7">
      <c r="C23" s="14">
        <v>12</v>
      </c>
      <c r="D23" s="14">
        <v>1</v>
      </c>
      <c r="E23" s="14">
        <v>5</v>
      </c>
      <c r="F23" s="32" t="str">
        <f t="shared" si="0"/>
        <v>1,1,1,1,1,1,1,1,1,1,1,1,1</v>
      </c>
      <c r="G23" s="32" t="str">
        <f t="shared" si="0"/>
        <v>5,5,5,5,5,5,5,5,5,5,5,5,5</v>
      </c>
    </row>
    <row r="24" spans="3:7">
      <c r="C24" s="14">
        <v>13</v>
      </c>
      <c r="D24" s="14">
        <v>1</v>
      </c>
      <c r="E24" s="14">
        <v>5</v>
      </c>
      <c r="F24" s="32" t="str">
        <f t="shared" si="0"/>
        <v>1,1,1,1,1,1,1,1,1,1,1,1,1,1</v>
      </c>
      <c r="G24" s="32" t="str">
        <f t="shared" si="0"/>
        <v>5,5,5,5,5,5,5,5,5,5,5,5,5,5</v>
      </c>
    </row>
    <row r="25" spans="3:7">
      <c r="C25" s="14">
        <v>14</v>
      </c>
      <c r="D25" s="14">
        <v>1</v>
      </c>
      <c r="E25" s="14">
        <v>5</v>
      </c>
      <c r="F25" s="32" t="str">
        <f t="shared" si="0"/>
        <v>1,1,1,1,1,1,1,1,1,1,1,1,1,1,1</v>
      </c>
      <c r="G25" s="32" t="str">
        <f t="shared" si="0"/>
        <v>5,5,5,5,5,5,5,5,5,5,5,5,5,5,5</v>
      </c>
    </row>
    <row r="26" spans="3:7">
      <c r="C26" s="14">
        <v>15</v>
      </c>
      <c r="D26" s="14">
        <v>1</v>
      </c>
      <c r="E26" s="14">
        <v>5</v>
      </c>
      <c r="F26" s="32" t="str">
        <f t="shared" si="0"/>
        <v>1,1,1,1,1,1,1,1,1,1,1,1,1,1,1,1</v>
      </c>
      <c r="G26" s="32" t="str">
        <f t="shared" si="0"/>
        <v>5,5,5,5,5,5,5,5,5,5,5,5,5,5,5,5</v>
      </c>
    </row>
    <row r="27" spans="3:7">
      <c r="C27" s="14">
        <v>16</v>
      </c>
      <c r="D27" s="14">
        <v>1</v>
      </c>
      <c r="E27" s="14">
        <v>5</v>
      </c>
      <c r="F27" s="32" t="str">
        <f t="shared" si="0"/>
        <v>1,1,1,1,1,1,1,1,1,1,1,1,1,1,1,1,1</v>
      </c>
      <c r="G27" s="32" t="str">
        <f t="shared" si="0"/>
        <v>5,5,5,5,5,5,5,5,5,5,5,5,5,5,5,5,5</v>
      </c>
    </row>
    <row r="28" spans="3:7">
      <c r="C28" s="14">
        <v>17</v>
      </c>
      <c r="D28" s="14">
        <v>1</v>
      </c>
      <c r="E28" s="14">
        <v>5</v>
      </c>
      <c r="F28" s="32" t="str">
        <f t="shared" si="0"/>
        <v>1,1,1,1,1,1,1,1,1,1,1,1,1,1,1,1,1,1</v>
      </c>
      <c r="G28" s="32" t="str">
        <f t="shared" si="0"/>
        <v>5,5,5,5,5,5,5,5,5,5,5,5,5,5,5,5,5,5</v>
      </c>
    </row>
    <row r="29" spans="3:7">
      <c r="C29" s="14">
        <v>18</v>
      </c>
      <c r="D29" s="14">
        <v>1</v>
      </c>
      <c r="E29" s="14">
        <v>5</v>
      </c>
      <c r="F29" s="32" t="str">
        <f t="shared" si="0"/>
        <v>1,1,1,1,1,1,1,1,1,1,1,1,1,1,1,1,1,1,1</v>
      </c>
      <c r="G29" s="32" t="str">
        <f t="shared" si="0"/>
        <v>5,5,5,5,5,5,5,5,5,5,5,5,5,5,5,5,5,5,5</v>
      </c>
    </row>
    <row r="30" spans="3:7">
      <c r="C30" s="14">
        <v>19</v>
      </c>
      <c r="D30" s="14">
        <v>1</v>
      </c>
      <c r="E30" s="14">
        <v>5</v>
      </c>
      <c r="F30" s="32" t="str">
        <f t="shared" si="0"/>
        <v>1,1,1,1,1,1,1,1,1,1,1,1,1,1,1,1,1,1,1,1</v>
      </c>
      <c r="G30" s="32" t="str">
        <f t="shared" si="0"/>
        <v>5,5,5,5,5,5,5,5,5,5,5,5,5,5,5,5,5,5,5,5</v>
      </c>
    </row>
    <row r="31" spans="3:7">
      <c r="C31" s="14">
        <v>20</v>
      </c>
      <c r="D31" s="14">
        <v>1</v>
      </c>
      <c r="E31" s="14">
        <v>5</v>
      </c>
      <c r="F31" s="32" t="str">
        <f t="shared" si="0"/>
        <v>1,1,1,1,1,1,1,1,1,1,1,1,1,1,1,1,1,1,1,1,1</v>
      </c>
      <c r="G31" s="32" t="str">
        <f t="shared" si="0"/>
        <v>5,5,5,5,5,5,5,5,5,5,5,5,5,5,5,5,5,5,5,5,5</v>
      </c>
    </row>
    <row r="32" spans="3:7">
      <c r="C32" s="14">
        <v>21</v>
      </c>
      <c r="D32" s="14">
        <v>1</v>
      </c>
      <c r="E32" s="14">
        <v>5</v>
      </c>
      <c r="F32" s="32" t="str">
        <f t="shared" si="0"/>
        <v>1,1,1,1,1,1,1,1,1,1,1,1,1,1,1,1,1,1,1,1,1,1</v>
      </c>
      <c r="G32" s="32" t="str">
        <f t="shared" si="0"/>
        <v>5,5,5,5,5,5,5,5,5,5,5,5,5,5,5,5,5,5,5,5,5,5</v>
      </c>
    </row>
    <row r="33" spans="3:7">
      <c r="C33" s="14">
        <v>22</v>
      </c>
      <c r="D33" s="14">
        <v>1</v>
      </c>
      <c r="E33" s="14">
        <v>5</v>
      </c>
      <c r="F33" s="32" t="str">
        <f t="shared" si="0"/>
        <v>1,1,1,1,1,1,1,1,1,1,1,1,1,1,1,1,1,1,1,1,1,1,1</v>
      </c>
      <c r="G33" s="32" t="str">
        <f t="shared" si="0"/>
        <v>5,5,5,5,5,5,5,5,5,5,5,5,5,5,5,5,5,5,5,5,5,5,5</v>
      </c>
    </row>
    <row r="34" spans="3:7">
      <c r="C34" s="14">
        <v>23</v>
      </c>
      <c r="D34" s="14">
        <v>1</v>
      </c>
      <c r="E34" s="14">
        <v>5</v>
      </c>
      <c r="F34" s="32" t="str">
        <f t="shared" si="0"/>
        <v>1,1,1,1,1,1,1,1,1,1,1,1,1,1,1,1,1,1,1,1,1,1,1,1</v>
      </c>
      <c r="G34" s="32" t="str">
        <f t="shared" si="0"/>
        <v>5,5,5,5,5,5,5,5,5,5,5,5,5,5,5,5,5,5,5,5,5,5,5,5</v>
      </c>
    </row>
    <row r="35" spans="3:7">
      <c r="C35" s="14"/>
    </row>
    <row r="36" spans="3:7">
      <c r="C36" s="14"/>
    </row>
    <row r="37" spans="3:7">
      <c r="C37" s="14"/>
    </row>
    <row r="38" spans="3:7">
      <c r="C38" s="14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4</vt:i4>
      </vt:variant>
    </vt:vector>
  </HeadingPairs>
  <TitlesOfParts>
    <vt:vector size="13" baseType="lpstr">
      <vt:lpstr>更新</vt:lpstr>
      <vt:lpstr>备注</vt:lpstr>
      <vt:lpstr>GolbalData</vt:lpstr>
      <vt:lpstr>PlayerLevel</vt:lpstr>
      <vt:lpstr>导出CSV</vt:lpstr>
      <vt:lpstr>宝箱循环</vt:lpstr>
      <vt:lpstr>价格</vt:lpstr>
      <vt:lpstr>联盟图标</vt:lpstr>
      <vt:lpstr>相扑</vt:lpstr>
      <vt:lpstr>每天卡包1</vt:lpstr>
      <vt:lpstr>每天卡包2</vt:lpstr>
      <vt:lpstr>每天卡包3</vt:lpstr>
      <vt:lpstr>每天卡包4</vt:lpstr>
    </vt:vector>
  </TitlesOfParts>
  <Company>110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XG</dc:creator>
  <cp:lastModifiedBy>ZL</cp:lastModifiedBy>
  <dcterms:created xsi:type="dcterms:W3CDTF">2014-10-10T14:02:48Z</dcterms:created>
  <dcterms:modified xsi:type="dcterms:W3CDTF">2016-11-08T12:41:30Z</dcterms:modified>
</cp:coreProperties>
</file>