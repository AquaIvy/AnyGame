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ishluv_svn_repository\Aztec\trunk\public\app_data\xls\"/>
    </mc:Choice>
  </mc:AlternateContent>
  <bookViews>
    <workbookView xWindow="240" yWindow="105" windowWidth="14805" windowHeight="8010" tabRatio="740" activeTab="6"/>
  </bookViews>
  <sheets>
    <sheet name="更新" sheetId="4" r:id="rId1"/>
    <sheet name="卡牌显示属性" sheetId="13" r:id="rId2"/>
    <sheet name="备注" sheetId="5" r:id="rId3"/>
    <sheet name="CardLevel" sheetId="6" r:id="rId4"/>
    <sheet name="Troop" sheetId="7" r:id="rId5"/>
    <sheet name="Spell" sheetId="8" r:id="rId6"/>
    <sheet name="Building" sheetId="9" r:id="rId7"/>
    <sheet name="Tower" sheetId="19" r:id="rId8"/>
    <sheet name="GM卡牌" sheetId="17" r:id="rId9"/>
    <sheet name="一级属性" sheetId="11" r:id="rId10"/>
    <sheet name="攻击帧数" sheetId="15" r:id="rId11"/>
    <sheet name="卡牌顺序" sheetId="12" state="hidden" r:id="rId12"/>
    <sheet name="导出CSV" sheetId="10" r:id="rId13"/>
    <sheet name="角色比例" sheetId="16" r:id="rId14"/>
    <sheet name="wiki" sheetId="18" r:id="rId15"/>
  </sheets>
  <functionGroups builtInGroupCount="18"/>
  <definedNames>
    <definedName name="腰围">攻击帧数!$K$3:$L$9</definedName>
    <definedName name="一级属性">一级属性!$A$1:$AE$68</definedName>
  </definedNames>
  <calcPr calcId="152511"/>
</workbook>
</file>

<file path=xl/calcChain.xml><?xml version="1.0" encoding="utf-8"?>
<calcChain xmlns="http://schemas.openxmlformats.org/spreadsheetml/2006/main">
  <c r="AD100" i="8" l="1"/>
  <c r="AB101" i="8"/>
  <c r="AB102" i="8"/>
  <c r="AB103" i="8"/>
  <c r="AB104" i="8"/>
  <c r="AB105" i="8"/>
  <c r="AB106" i="8"/>
  <c r="AB107" i="8"/>
  <c r="AB108" i="8"/>
  <c r="AB109" i="8"/>
  <c r="AB110" i="8"/>
  <c r="AB100" i="8"/>
  <c r="AD111" i="8"/>
  <c r="O1" i="8"/>
  <c r="O111" i="8"/>
  <c r="L1" i="8"/>
  <c r="L111" i="8"/>
  <c r="K1" i="8"/>
  <c r="K111" i="8"/>
  <c r="J1" i="8"/>
  <c r="J111" i="8"/>
  <c r="I1" i="8"/>
  <c r="I111" i="8"/>
  <c r="H1" i="8"/>
  <c r="H111" i="8"/>
  <c r="G1" i="8"/>
  <c r="G111" i="8"/>
  <c r="F1" i="8"/>
  <c r="F111" i="8"/>
  <c r="D1" i="8"/>
  <c r="D111" i="8"/>
  <c r="C1" i="8"/>
  <c r="C111" i="8"/>
  <c r="AB104" i="11"/>
  <c r="AB94" i="11"/>
  <c r="Y55" i="11"/>
  <c r="Y39" i="11"/>
  <c r="O1" i="7"/>
  <c r="O317" i="7"/>
  <c r="O70" i="11"/>
  <c r="P70" i="11"/>
  <c r="S70" i="11"/>
  <c r="O71" i="11"/>
  <c r="P71" i="11"/>
  <c r="S71" i="11"/>
  <c r="O72" i="11"/>
  <c r="P72" i="11"/>
  <c r="S72" i="11"/>
  <c r="O69" i="11"/>
  <c r="P69" i="11"/>
  <c r="S69" i="11"/>
  <c r="O74" i="11"/>
  <c r="P74" i="11"/>
  <c r="Q69" i="11"/>
  <c r="Q70" i="11"/>
  <c r="Q71" i="11"/>
  <c r="Q72" i="11"/>
  <c r="Q74" i="11"/>
  <c r="N69" i="11"/>
  <c r="N70" i="11"/>
  <c r="N71" i="11"/>
  <c r="N72" i="11"/>
  <c r="N74" i="11"/>
  <c r="AC1" i="7"/>
  <c r="AC317" i="7"/>
  <c r="U30" i="11"/>
  <c r="R10" i="11"/>
  <c r="T29" i="11"/>
  <c r="X29" i="11"/>
  <c r="S29" i="11"/>
  <c r="R29" i="11"/>
  <c r="O29" i="11"/>
  <c r="C1" i="7"/>
  <c r="C317" i="7"/>
  <c r="AX1" i="7"/>
  <c r="AX317" i="7"/>
  <c r="AP1" i="7"/>
  <c r="AP317" i="7"/>
  <c r="AM1" i="7"/>
  <c r="AM317" i="7"/>
  <c r="AJ1" i="7"/>
  <c r="AJ317" i="7"/>
  <c r="AI1" i="7"/>
  <c r="AI317" i="7"/>
  <c r="AH1" i="7"/>
  <c r="S30" i="11"/>
  <c r="AH317" i="7"/>
  <c r="AG1" i="7"/>
  <c r="T51" i="11"/>
  <c r="X51" i="11"/>
  <c r="AG317" i="7"/>
  <c r="AD1" i="7"/>
  <c r="AD317" i="7"/>
  <c r="AB1" i="7"/>
  <c r="R51" i="11"/>
  <c r="R30" i="11"/>
  <c r="AB317" i="7"/>
  <c r="AA1" i="7"/>
  <c r="AA317" i="7"/>
  <c r="Y1" i="7"/>
  <c r="O51" i="11"/>
  <c r="O30" i="11"/>
  <c r="Y317" i="7"/>
  <c r="X1" i="7"/>
  <c r="X317" i="7"/>
  <c r="W1" i="7"/>
  <c r="W317" i="7"/>
  <c r="L1" i="7"/>
  <c r="L317" i="7"/>
  <c r="K1" i="7"/>
  <c r="K317" i="7"/>
  <c r="J1" i="7"/>
  <c r="J317" i="7"/>
  <c r="I1" i="7"/>
  <c r="I317" i="7"/>
  <c r="H1" i="7"/>
  <c r="H317" i="7"/>
  <c r="G1" i="7"/>
  <c r="G317" i="7"/>
  <c r="F1" i="7"/>
  <c r="F317" i="7"/>
  <c r="D1" i="7"/>
  <c r="D317" i="7"/>
  <c r="T28" i="11"/>
  <c r="X28" i="11"/>
  <c r="U61" i="11"/>
  <c r="T61" i="11"/>
  <c r="X61" i="11"/>
  <c r="T60" i="11"/>
  <c r="X60" i="11"/>
  <c r="U59" i="11"/>
  <c r="T59" i="11"/>
  <c r="X59" i="11"/>
  <c r="T58" i="11"/>
  <c r="X58" i="11"/>
  <c r="T27" i="11"/>
  <c r="X27" i="11"/>
  <c r="U26" i="11"/>
  <c r="T26" i="11"/>
  <c r="X26" i="11"/>
  <c r="T25" i="11"/>
  <c r="X25" i="11"/>
  <c r="U24" i="11"/>
  <c r="T24" i="11"/>
  <c r="X24" i="11"/>
  <c r="T23" i="11"/>
  <c r="X23" i="11"/>
  <c r="T22" i="11"/>
  <c r="X22" i="11"/>
  <c r="T21" i="11"/>
  <c r="X21" i="11"/>
  <c r="U20" i="11"/>
  <c r="T20" i="11"/>
  <c r="X20" i="11"/>
  <c r="U5" i="11"/>
  <c r="T5" i="11"/>
  <c r="X5" i="11"/>
  <c r="T4" i="11"/>
  <c r="X4" i="11"/>
  <c r="U8" i="11"/>
  <c r="T8" i="11"/>
  <c r="X8" i="11"/>
  <c r="U7" i="11"/>
  <c r="T7" i="11"/>
  <c r="X7" i="11"/>
  <c r="U6" i="11"/>
  <c r="T6" i="11"/>
  <c r="X6" i="11"/>
  <c r="T19" i="11"/>
  <c r="X19" i="11"/>
  <c r="T18" i="11"/>
  <c r="X18" i="11"/>
  <c r="T17" i="11"/>
  <c r="X17" i="11"/>
  <c r="U16" i="11"/>
  <c r="T16" i="11"/>
  <c r="X16" i="11"/>
  <c r="U15" i="11"/>
  <c r="T15" i="11"/>
  <c r="X15" i="11"/>
  <c r="U13" i="11"/>
  <c r="T13" i="11"/>
  <c r="X13" i="11"/>
  <c r="T12" i="11"/>
  <c r="X12" i="11"/>
  <c r="T11" i="11"/>
  <c r="X11" i="11"/>
  <c r="R55" i="11"/>
  <c r="R54" i="11"/>
  <c r="R53" i="11"/>
  <c r="R52" i="11"/>
  <c r="R28" i="11"/>
  <c r="R40" i="11"/>
  <c r="R39" i="11"/>
  <c r="R38" i="11"/>
  <c r="R37" i="11"/>
  <c r="R36" i="11"/>
  <c r="R35" i="11"/>
  <c r="R26" i="11"/>
  <c r="R61" i="11"/>
  <c r="R60" i="11"/>
  <c r="R25" i="11"/>
  <c r="R59" i="11"/>
  <c r="R24" i="11"/>
  <c r="R23" i="11"/>
  <c r="R22" i="11"/>
  <c r="R21" i="11"/>
  <c r="R20" i="11"/>
  <c r="R58" i="11"/>
  <c r="R27" i="11"/>
  <c r="R34" i="11"/>
  <c r="R19" i="11"/>
  <c r="R18" i="11"/>
  <c r="R17" i="11"/>
  <c r="R16" i="11"/>
  <c r="R15" i="11"/>
  <c r="R13" i="11"/>
  <c r="R12" i="11"/>
  <c r="R11" i="11"/>
  <c r="R33" i="11"/>
  <c r="R8" i="11"/>
  <c r="R7" i="11"/>
  <c r="R6" i="11"/>
  <c r="R32" i="11"/>
  <c r="R5" i="11"/>
  <c r="R4" i="11"/>
  <c r="R31" i="11"/>
  <c r="R2" i="11"/>
  <c r="Q14" i="11"/>
  <c r="Q9" i="11"/>
  <c r="Q3" i="11"/>
  <c r="U52" i="11"/>
  <c r="U53" i="11"/>
  <c r="U55" i="11"/>
  <c r="X1" i="19"/>
  <c r="X20" i="19"/>
  <c r="AJ22" i="19"/>
  <c r="X46" i="19"/>
  <c r="AK50" i="19"/>
  <c r="U46" i="19"/>
  <c r="X33" i="19"/>
  <c r="AK37" i="19" s="1"/>
  <c r="U33" i="19"/>
  <c r="T47" i="19"/>
  <c r="U47" i="19"/>
  <c r="T48" i="19"/>
  <c r="U48" i="19"/>
  <c r="T49" i="19"/>
  <c r="U49" i="19"/>
  <c r="T50" i="19"/>
  <c r="U50" i="19"/>
  <c r="T51" i="19"/>
  <c r="U51" i="19"/>
  <c r="T52" i="19"/>
  <c r="U52" i="19"/>
  <c r="T53" i="19"/>
  <c r="U53" i="19"/>
  <c r="T54" i="19"/>
  <c r="U54" i="19"/>
  <c r="T55" i="19"/>
  <c r="U55" i="19"/>
  <c r="T56" i="19"/>
  <c r="U56" i="19"/>
  <c r="T57" i="19"/>
  <c r="U57" i="19"/>
  <c r="T58" i="19"/>
  <c r="U58" i="19"/>
  <c r="T34" i="19"/>
  <c r="U34" i="19"/>
  <c r="T35" i="19"/>
  <c r="U35" i="19"/>
  <c r="T36" i="19"/>
  <c r="U36" i="19"/>
  <c r="T37" i="19"/>
  <c r="U37" i="19"/>
  <c r="T38" i="19"/>
  <c r="U38" i="19"/>
  <c r="T39" i="19"/>
  <c r="U39" i="19"/>
  <c r="T40" i="19"/>
  <c r="U40" i="19"/>
  <c r="T41" i="19"/>
  <c r="U41" i="19"/>
  <c r="T42" i="19"/>
  <c r="U42" i="19"/>
  <c r="T43" i="19"/>
  <c r="U43" i="19"/>
  <c r="T44" i="19"/>
  <c r="U44" i="19"/>
  <c r="T45" i="19"/>
  <c r="U45" i="19"/>
  <c r="T46" i="19"/>
  <c r="T33" i="19"/>
  <c r="J1" i="19"/>
  <c r="J46" i="19"/>
  <c r="J33" i="19"/>
  <c r="J20" i="19"/>
  <c r="J7" i="19"/>
  <c r="AP20" i="7"/>
  <c r="AJ203" i="7"/>
  <c r="AH265" i="7"/>
  <c r="AD219" i="7"/>
  <c r="AB246" i="7"/>
  <c r="O15" i="11"/>
  <c r="Y152" i="7"/>
  <c r="W304" i="7"/>
  <c r="L176" i="7"/>
  <c r="J106" i="7"/>
  <c r="H168" i="7"/>
  <c r="F265" i="7"/>
  <c r="C33" i="7"/>
  <c r="AE1" i="19"/>
  <c r="AE46" i="19"/>
  <c r="AD1" i="19"/>
  <c r="AD46" i="19"/>
  <c r="AC1" i="19"/>
  <c r="S55" i="11"/>
  <c r="AC46" i="19"/>
  <c r="Z1" i="19"/>
  <c r="Z46" i="19"/>
  <c r="Y1" i="19"/>
  <c r="Y46" i="19"/>
  <c r="W1" i="19"/>
  <c r="V1" i="19"/>
  <c r="V46" i="19"/>
  <c r="V33" i="19"/>
  <c r="V20" i="19"/>
  <c r="V7" i="19"/>
  <c r="N1" i="19"/>
  <c r="N46" i="19"/>
  <c r="M1" i="19"/>
  <c r="M46" i="19"/>
  <c r="L1" i="19"/>
  <c r="L46" i="19"/>
  <c r="K1" i="19"/>
  <c r="K46" i="19"/>
  <c r="I1" i="19"/>
  <c r="I46" i="19"/>
  <c r="H1" i="19"/>
  <c r="H46" i="19"/>
  <c r="G1" i="19"/>
  <c r="G46" i="19"/>
  <c r="D1" i="19"/>
  <c r="D46" i="19"/>
  <c r="C1" i="19"/>
  <c r="C46" i="19"/>
  <c r="AE33" i="19"/>
  <c r="AD33" i="19"/>
  <c r="AC33" i="19"/>
  <c r="Z33" i="19"/>
  <c r="Y33" i="19"/>
  <c r="W33" i="19"/>
  <c r="N33" i="19"/>
  <c r="M33" i="19"/>
  <c r="L33" i="19"/>
  <c r="K33" i="19"/>
  <c r="I33" i="19"/>
  <c r="H33" i="19"/>
  <c r="G33" i="19"/>
  <c r="D33" i="19"/>
  <c r="C33" i="19"/>
  <c r="AE20" i="19"/>
  <c r="AD20" i="19"/>
  <c r="AC20" i="19"/>
  <c r="AE7" i="19"/>
  <c r="AD7" i="19"/>
  <c r="AC7" i="19"/>
  <c r="Z20" i="19"/>
  <c r="Y20" i="19"/>
  <c r="Z7" i="19"/>
  <c r="Y7" i="19"/>
  <c r="X7" i="19"/>
  <c r="N20" i="19"/>
  <c r="M20" i="19"/>
  <c r="L20" i="19"/>
  <c r="K20" i="19"/>
  <c r="I20" i="19"/>
  <c r="H20" i="19"/>
  <c r="G20" i="19"/>
  <c r="D20" i="19"/>
  <c r="C20" i="19"/>
  <c r="T52" i="11"/>
  <c r="W7" i="19"/>
  <c r="N7" i="19"/>
  <c r="M7" i="19"/>
  <c r="L7" i="19"/>
  <c r="K7" i="19"/>
  <c r="I7" i="19"/>
  <c r="H7" i="19"/>
  <c r="G7" i="19"/>
  <c r="D7" i="19"/>
  <c r="C7" i="19"/>
  <c r="T53" i="11"/>
  <c r="W20" i="19"/>
  <c r="T55" i="11"/>
  <c r="W46" i="19"/>
  <c r="S61" i="11"/>
  <c r="S28" i="11"/>
  <c r="U204" i="7"/>
  <c r="V204" i="7"/>
  <c r="U205" i="7"/>
  <c r="V205" i="7"/>
  <c r="U206" i="7"/>
  <c r="V206" i="7"/>
  <c r="U207" i="7"/>
  <c r="V207" i="7"/>
  <c r="U203" i="7"/>
  <c r="V203" i="7"/>
  <c r="W265" i="7"/>
  <c r="A50" i="17"/>
  <c r="B50" i="17"/>
  <c r="C50" i="17"/>
  <c r="A51" i="17"/>
  <c r="B51" i="17"/>
  <c r="C51" i="17"/>
  <c r="A52" i="17"/>
  <c r="B52" i="17"/>
  <c r="C52" i="17"/>
  <c r="A53" i="17"/>
  <c r="B53" i="17"/>
  <c r="C53" i="17"/>
  <c r="A3" i="17"/>
  <c r="B3" i="17"/>
  <c r="C3" i="17"/>
  <c r="A4" i="17"/>
  <c r="B4" i="17"/>
  <c r="C4" i="17"/>
  <c r="A5" i="17"/>
  <c r="B5" i="17"/>
  <c r="C5" i="17"/>
  <c r="A6" i="17"/>
  <c r="B6" i="17"/>
  <c r="C6" i="17"/>
  <c r="A7" i="17"/>
  <c r="B7" i="17"/>
  <c r="C7" i="17"/>
  <c r="A8" i="17"/>
  <c r="B8" i="17"/>
  <c r="C8" i="17"/>
  <c r="A9" i="17"/>
  <c r="B9" i="17"/>
  <c r="C9" i="17"/>
  <c r="A10" i="17"/>
  <c r="B10" i="17"/>
  <c r="C10" i="17"/>
  <c r="A11" i="17"/>
  <c r="B11" i="17"/>
  <c r="C11" i="17"/>
  <c r="A12" i="17"/>
  <c r="B12" i="17"/>
  <c r="C12" i="17"/>
  <c r="A13" i="17"/>
  <c r="B13" i="17"/>
  <c r="C13" i="17"/>
  <c r="A14" i="17"/>
  <c r="B14" i="17"/>
  <c r="C14" i="17"/>
  <c r="A15" i="17"/>
  <c r="B15" i="17"/>
  <c r="C15" i="17"/>
  <c r="A16" i="17"/>
  <c r="B16" i="17"/>
  <c r="C16" i="17"/>
  <c r="A17" i="17"/>
  <c r="B17" i="17"/>
  <c r="C17" i="17"/>
  <c r="A18" i="17"/>
  <c r="B18" i="17"/>
  <c r="C18" i="17"/>
  <c r="A19" i="17"/>
  <c r="B19" i="17"/>
  <c r="C19" i="17"/>
  <c r="A20" i="17"/>
  <c r="B20" i="17"/>
  <c r="C20" i="17"/>
  <c r="A21" i="17"/>
  <c r="B21" i="17"/>
  <c r="C21" i="17"/>
  <c r="A22" i="17"/>
  <c r="B22" i="17"/>
  <c r="C22" i="17"/>
  <c r="A23" i="17"/>
  <c r="B23" i="17"/>
  <c r="C23" i="17"/>
  <c r="A24" i="17"/>
  <c r="B24" i="17"/>
  <c r="C24" i="17"/>
  <c r="A25" i="17"/>
  <c r="B25" i="17"/>
  <c r="C25" i="17"/>
  <c r="A26" i="17"/>
  <c r="B26" i="17"/>
  <c r="C26" i="17"/>
  <c r="A27" i="17"/>
  <c r="B27" i="17"/>
  <c r="C27" i="17"/>
  <c r="A28" i="17"/>
  <c r="B28" i="17"/>
  <c r="C28" i="17"/>
  <c r="A29" i="17"/>
  <c r="B29" i="17"/>
  <c r="C29" i="17"/>
  <c r="A30" i="17"/>
  <c r="B30" i="17"/>
  <c r="C30" i="17"/>
  <c r="A31" i="17"/>
  <c r="B31" i="17"/>
  <c r="C31" i="17"/>
  <c r="A32" i="17"/>
  <c r="B32" i="17"/>
  <c r="C32" i="17"/>
  <c r="A33" i="17"/>
  <c r="B33" i="17"/>
  <c r="C33" i="17"/>
  <c r="A34" i="17"/>
  <c r="B34" i="17"/>
  <c r="C34" i="17"/>
  <c r="A35" i="17"/>
  <c r="B35" i="17"/>
  <c r="C35" i="17"/>
  <c r="A36" i="17"/>
  <c r="B36" i="17"/>
  <c r="C36" i="17"/>
  <c r="A37" i="17"/>
  <c r="B37" i="17"/>
  <c r="C37" i="17"/>
  <c r="A38" i="17"/>
  <c r="B38" i="17"/>
  <c r="C38" i="17"/>
  <c r="A39" i="17"/>
  <c r="B39" i="17"/>
  <c r="C39" i="17"/>
  <c r="A40" i="17"/>
  <c r="B40" i="17"/>
  <c r="C40" i="17"/>
  <c r="A41" i="17"/>
  <c r="B41" i="17"/>
  <c r="C41" i="17"/>
  <c r="A42" i="17"/>
  <c r="B42" i="17"/>
  <c r="C42" i="17"/>
  <c r="A43" i="17"/>
  <c r="B43" i="17"/>
  <c r="C43" i="17"/>
  <c r="A44" i="17"/>
  <c r="B44" i="17"/>
  <c r="C44" i="17"/>
  <c r="A45" i="17"/>
  <c r="B45" i="17"/>
  <c r="C45" i="17"/>
  <c r="A46" i="17"/>
  <c r="B46" i="17"/>
  <c r="C46" i="17"/>
  <c r="A47" i="17"/>
  <c r="B47" i="17"/>
  <c r="C47" i="17"/>
  <c r="A48" i="17"/>
  <c r="B48" i="17"/>
  <c r="C48" i="17"/>
  <c r="A49" i="17"/>
  <c r="B49" i="17"/>
  <c r="C49" i="17" s="1"/>
  <c r="AD84" i="8"/>
  <c r="O41" i="8"/>
  <c r="L84" i="8"/>
  <c r="K100" i="8"/>
  <c r="J84" i="8"/>
  <c r="I100" i="8"/>
  <c r="H84" i="8"/>
  <c r="G89" i="8"/>
  <c r="F84" i="8"/>
  <c r="D20" i="8"/>
  <c r="C84" i="8"/>
  <c r="AX265" i="7"/>
  <c r="AI265" i="7"/>
  <c r="AC265" i="7"/>
  <c r="X265" i="7"/>
  <c r="O265" i="7"/>
  <c r="K265" i="7"/>
  <c r="G265" i="7"/>
  <c r="AX304" i="7"/>
  <c r="AI304" i="7"/>
  <c r="AC304" i="7"/>
  <c r="X304" i="7"/>
  <c r="K304" i="7"/>
  <c r="G304" i="7"/>
  <c r="O28" i="11"/>
  <c r="H42" i="15"/>
  <c r="G42" i="15"/>
  <c r="Y26" i="11"/>
  <c r="H41" i="15"/>
  <c r="G41" i="15"/>
  <c r="AD39" i="11"/>
  <c r="AD26" i="11"/>
  <c r="O26" i="11"/>
  <c r="H40" i="15"/>
  <c r="G40" i="15"/>
  <c r="U40" i="11"/>
  <c r="U39" i="11"/>
  <c r="U37" i="11"/>
  <c r="U36" i="11"/>
  <c r="U35" i="11"/>
  <c r="U34" i="11"/>
  <c r="H39" i="15"/>
  <c r="AD40" i="11"/>
  <c r="H38" i="15"/>
  <c r="AD37" i="11"/>
  <c r="H37" i="15"/>
  <c r="AD36" i="11"/>
  <c r="G37" i="15"/>
  <c r="G38" i="15"/>
  <c r="G39" i="15"/>
  <c r="S20" i="11"/>
  <c r="H36" i="15"/>
  <c r="G36" i="15"/>
  <c r="H35" i="15"/>
  <c r="G35" i="15"/>
  <c r="B2" i="17"/>
  <c r="A2" i="17"/>
  <c r="C2" i="17"/>
  <c r="I34" i="15"/>
  <c r="H34" i="15"/>
  <c r="I33" i="15"/>
  <c r="H33" i="15"/>
  <c r="G34" i="15"/>
  <c r="G33" i="15"/>
  <c r="Y14" i="11"/>
  <c r="Y3" i="11"/>
  <c r="Y9" i="11"/>
  <c r="G30" i="15"/>
  <c r="H30" i="15"/>
  <c r="G29" i="15"/>
  <c r="T10" i="11"/>
  <c r="X10" i="11"/>
  <c r="T2" i="11"/>
  <c r="T3" i="11"/>
  <c r="AC160" i="7"/>
  <c r="U3" i="11"/>
  <c r="T39" i="11"/>
  <c r="T37" i="11"/>
  <c r="T36" i="11"/>
  <c r="T35" i="11"/>
  <c r="T34" i="11"/>
  <c r="T40" i="11"/>
  <c r="K14" i="11"/>
  <c r="L14" i="11"/>
  <c r="M14" i="11"/>
  <c r="S39" i="11"/>
  <c r="S36" i="11"/>
  <c r="S16" i="11"/>
  <c r="AA23" i="11"/>
  <c r="AA19" i="11"/>
  <c r="AA18" i="11"/>
  <c r="AA21" i="11"/>
  <c r="S21" i="11"/>
  <c r="S15" i="11"/>
  <c r="S60" i="11"/>
  <c r="S24" i="11"/>
  <c r="S7" i="11"/>
  <c r="W14" i="11"/>
  <c r="W3" i="11"/>
  <c r="W9" i="11"/>
  <c r="AC3" i="11"/>
  <c r="Z3" i="11"/>
  <c r="V3" i="11"/>
  <c r="R3" i="11"/>
  <c r="P3" i="11"/>
  <c r="N3" i="11"/>
  <c r="AC9" i="11"/>
  <c r="Z9" i="11"/>
  <c r="AC14" i="11"/>
  <c r="V14" i="11"/>
  <c r="R14" i="11"/>
  <c r="P14" i="11"/>
  <c r="N14" i="11"/>
  <c r="V9" i="11"/>
  <c r="P9" i="11"/>
  <c r="N9" i="11"/>
  <c r="G11" i="15"/>
  <c r="O2" i="11"/>
  <c r="O3" i="11"/>
  <c r="G10" i="15"/>
  <c r="O11" i="11"/>
  <c r="O8" i="11"/>
  <c r="O9" i="11"/>
  <c r="G12" i="15"/>
  <c r="O4" i="11"/>
  <c r="G9" i="15"/>
  <c r="O12" i="11"/>
  <c r="O61" i="11"/>
  <c r="O19" i="11"/>
  <c r="O16" i="11"/>
  <c r="O20" i="11"/>
  <c r="O58" i="11"/>
  <c r="O27" i="11"/>
  <c r="O5" i="11"/>
  <c r="O60" i="11"/>
  <c r="O18" i="11"/>
  <c r="O22" i="11"/>
  <c r="O13" i="11"/>
  <c r="O14" i="11"/>
  <c r="O25" i="11"/>
  <c r="O7" i="11"/>
  <c r="O59" i="11"/>
  <c r="O17" i="11"/>
  <c r="O21" i="11"/>
  <c r="O10" i="11"/>
  <c r="O6" i="11"/>
  <c r="O24" i="11"/>
  <c r="O23" i="11"/>
  <c r="U1" i="9"/>
  <c r="U96" i="9"/>
  <c r="H31" i="15"/>
  <c r="G31" i="15"/>
  <c r="AC1" i="9"/>
  <c r="AC31" i="9"/>
  <c r="I19" i="15"/>
  <c r="I21" i="15"/>
  <c r="I26" i="15"/>
  <c r="I27" i="15"/>
  <c r="T1" i="9"/>
  <c r="T72" i="9"/>
  <c r="G18" i="15"/>
  <c r="G19" i="15"/>
  <c r="G20" i="15"/>
  <c r="G21" i="15"/>
  <c r="G22" i="15"/>
  <c r="G23" i="15"/>
  <c r="G24" i="15"/>
  <c r="G25" i="15"/>
  <c r="G26" i="15"/>
  <c r="G27" i="15"/>
  <c r="G28" i="15"/>
  <c r="G17" i="15"/>
  <c r="AD34" i="11"/>
  <c r="H18" i="15"/>
  <c r="AD13" i="11"/>
  <c r="AD14" i="11"/>
  <c r="H19" i="15"/>
  <c r="H20" i="15"/>
  <c r="H21" i="15"/>
  <c r="H22" i="15"/>
  <c r="AD8" i="11"/>
  <c r="AD9" i="11"/>
  <c r="H23" i="15"/>
  <c r="H24" i="15"/>
  <c r="H25" i="15"/>
  <c r="AD5" i="11"/>
  <c r="H26" i="15"/>
  <c r="AD2" i="11"/>
  <c r="AD3" i="11"/>
  <c r="H27" i="15"/>
  <c r="AD18" i="11"/>
  <c r="H28" i="15"/>
  <c r="AD24" i="11"/>
  <c r="H17" i="15"/>
  <c r="AD59" i="11"/>
  <c r="AD16" i="11"/>
  <c r="AD12" i="11"/>
  <c r="AD6" i="11"/>
  <c r="AD11" i="11"/>
  <c r="AD10" i="11"/>
  <c r="AD4" i="11"/>
  <c r="AD19" i="11"/>
  <c r="AD58" i="11"/>
  <c r="AD17" i="11"/>
  <c r="AD61" i="11"/>
  <c r="AD7" i="11"/>
  <c r="AD20" i="11"/>
  <c r="AD60" i="11"/>
  <c r="V1" i="9"/>
  <c r="V53" i="9"/>
  <c r="AA1" i="9"/>
  <c r="AA96" i="9"/>
  <c r="AE1" i="9"/>
  <c r="AE7" i="9"/>
  <c r="AB1" i="9"/>
  <c r="AB61" i="9"/>
  <c r="Z1" i="9"/>
  <c r="Z53" i="9"/>
  <c r="Z109" i="9"/>
  <c r="W1" i="9"/>
  <c r="W72" i="9"/>
  <c r="AD72" i="9"/>
  <c r="AD65" i="8"/>
  <c r="AD57" i="8"/>
  <c r="AD49" i="8"/>
  <c r="AD41" i="8"/>
  <c r="AD33" i="8"/>
  <c r="AD89" i="8"/>
  <c r="AD73" i="8"/>
  <c r="AD20" i="8"/>
  <c r="AD7" i="8"/>
  <c r="S9" i="11"/>
  <c r="S3" i="11"/>
  <c r="R9" i="11"/>
  <c r="E67" i="11"/>
  <c r="E66" i="11"/>
  <c r="E77" i="11"/>
  <c r="E78" i="11"/>
  <c r="E68" i="11"/>
  <c r="E79" i="11"/>
  <c r="F67" i="11"/>
  <c r="G67" i="11"/>
  <c r="H67" i="11"/>
  <c r="F68" i="11"/>
  <c r="G68" i="11"/>
  <c r="H68" i="11"/>
  <c r="E69" i="11"/>
  <c r="E80" i="11"/>
  <c r="F69" i="11"/>
  <c r="G69" i="11"/>
  <c r="H69" i="11"/>
  <c r="E70" i="11"/>
  <c r="E81" i="11"/>
  <c r="F70" i="11"/>
  <c r="G70" i="11"/>
  <c r="H70" i="11"/>
  <c r="E71" i="11"/>
  <c r="E82" i="11"/>
  <c r="E72" i="11"/>
  <c r="E83" i="11"/>
  <c r="F71" i="11"/>
  <c r="G71" i="11"/>
  <c r="H71" i="11"/>
  <c r="F72" i="11"/>
  <c r="G72" i="11"/>
  <c r="H72" i="11"/>
  <c r="E73" i="11"/>
  <c r="E84" i="11"/>
  <c r="F73" i="11"/>
  <c r="G73" i="11"/>
  <c r="H73" i="11"/>
  <c r="F66" i="11"/>
  <c r="F77" i="11"/>
  <c r="F78" i="11"/>
  <c r="F79" i="11"/>
  <c r="F80" i="11"/>
  <c r="F81" i="11"/>
  <c r="F82" i="11"/>
  <c r="F83" i="11"/>
  <c r="F84" i="11"/>
  <c r="G66" i="11"/>
  <c r="G77" i="11"/>
  <c r="G78" i="11"/>
  <c r="G79" i="11"/>
  <c r="G80" i="11"/>
  <c r="G81" i="11"/>
  <c r="G82" i="11"/>
  <c r="G83" i="11"/>
  <c r="G84" i="11"/>
  <c r="H66" i="11"/>
  <c r="H77" i="11"/>
  <c r="H78" i="11"/>
  <c r="H79" i="11"/>
  <c r="H80" i="11"/>
  <c r="H81" i="11"/>
  <c r="H82" i="11"/>
  <c r="H83" i="11"/>
  <c r="H84" i="11"/>
  <c r="L1" i="9"/>
  <c r="L109" i="9"/>
  <c r="K1" i="9"/>
  <c r="K7" i="9"/>
  <c r="L100" i="8"/>
  <c r="K57" i="8"/>
  <c r="AM1" i="9"/>
  <c r="AM96" i="9"/>
  <c r="AM61" i="9"/>
  <c r="O1" i="9"/>
  <c r="O42" i="9"/>
  <c r="J1" i="9"/>
  <c r="J20" i="9"/>
  <c r="I1" i="9"/>
  <c r="I53" i="9"/>
  <c r="H1" i="9"/>
  <c r="H20" i="9"/>
  <c r="G1" i="9"/>
  <c r="G53" i="9"/>
  <c r="F1" i="9"/>
  <c r="F20" i="9"/>
  <c r="F109" i="9"/>
  <c r="D1" i="9"/>
  <c r="D31" i="9"/>
  <c r="C1" i="9"/>
  <c r="C20" i="9"/>
  <c r="AC1" i="8"/>
  <c r="AC49" i="8"/>
  <c r="J65" i="8"/>
  <c r="H41" i="8"/>
  <c r="H7" i="8"/>
  <c r="G65" i="8"/>
  <c r="F7" i="8"/>
  <c r="C41" i="8"/>
  <c r="F130" i="7"/>
  <c r="H89" i="8"/>
  <c r="T85" i="9"/>
  <c r="AM20" i="9"/>
  <c r="H65" i="8"/>
  <c r="H57" i="8"/>
  <c r="L20" i="8"/>
  <c r="H73" i="8"/>
  <c r="AC65" i="8"/>
  <c r="L57" i="8"/>
  <c r="AM42" i="9"/>
  <c r="F96" i="9"/>
  <c r="F42" i="9"/>
  <c r="J49" i="8"/>
  <c r="J100" i="8"/>
  <c r="I41" i="8"/>
  <c r="AM31" i="9"/>
  <c r="AX238" i="7"/>
  <c r="J73" i="8"/>
  <c r="J33" i="8"/>
  <c r="J89" i="8"/>
  <c r="J41" i="8"/>
  <c r="J57" i="8"/>
  <c r="AC57" i="8"/>
  <c r="J20" i="8"/>
  <c r="AC20" i="8"/>
  <c r="J7" i="8"/>
  <c r="K96" i="9"/>
  <c r="U85" i="9"/>
  <c r="U9" i="11"/>
  <c r="W53" i="9"/>
  <c r="W85" i="9"/>
  <c r="W61" i="9"/>
  <c r="L65" i="8"/>
  <c r="L41" i="8"/>
  <c r="L49" i="8"/>
  <c r="L73" i="8"/>
  <c r="L89" i="8"/>
  <c r="K85" i="9"/>
  <c r="K42" i="9"/>
  <c r="K72" i="9"/>
  <c r="K20" i="9"/>
  <c r="H20" i="8"/>
  <c r="H49" i="8"/>
  <c r="H33" i="8"/>
  <c r="L33" i="8"/>
  <c r="W42" i="9"/>
  <c r="AB42" i="9"/>
  <c r="AB72" i="9"/>
  <c r="X130" i="7"/>
  <c r="L7" i="8"/>
  <c r="K109" i="9"/>
  <c r="W7" i="9"/>
  <c r="AC96" i="9"/>
  <c r="AB96" i="9"/>
  <c r="U14" i="11"/>
  <c r="T14" i="11"/>
  <c r="AX354" i="7"/>
  <c r="AA160" i="7"/>
  <c r="T9" i="11"/>
  <c r="O61" i="9"/>
  <c r="T53" i="9"/>
  <c r="T7" i="9"/>
  <c r="T42" i="9"/>
  <c r="W109" i="9"/>
  <c r="W20" i="9"/>
  <c r="AA61" i="9"/>
  <c r="AC7" i="9"/>
  <c r="W96" i="9"/>
  <c r="AB31" i="9"/>
  <c r="J85" i="9"/>
  <c r="O20" i="9"/>
  <c r="H100" i="8"/>
  <c r="F31" i="9"/>
  <c r="C65" i="8"/>
  <c r="AM208" i="7"/>
  <c r="F7" i="9"/>
  <c r="C7" i="8"/>
  <c r="AC7" i="8"/>
  <c r="AC33" i="8"/>
  <c r="AX346" i="7"/>
  <c r="AA270" i="7"/>
  <c r="K53" i="9"/>
  <c r="J53" i="9"/>
  <c r="F85" i="9"/>
  <c r="F61" i="9"/>
  <c r="AB85" i="9"/>
  <c r="I49" i="8"/>
  <c r="O89" i="8"/>
  <c r="G20" i="8"/>
  <c r="AC41" i="8"/>
  <c r="O100" i="8"/>
  <c r="K73" i="8"/>
  <c r="G57" i="8"/>
  <c r="AH333" i="7"/>
  <c r="AP230" i="7"/>
  <c r="AP346" i="7"/>
  <c r="X14" i="11"/>
  <c r="AH278" i="7"/>
  <c r="X9" i="11"/>
  <c r="AC20" i="9"/>
  <c r="F33" i="8"/>
  <c r="F41" i="8"/>
  <c r="AC42" i="9"/>
  <c r="C49" i="8"/>
  <c r="C100" i="8"/>
  <c r="AC61" i="9"/>
  <c r="C33" i="8"/>
  <c r="AC72" i="9"/>
  <c r="AH152" i="7"/>
  <c r="C20" i="8"/>
  <c r="AC53" i="9"/>
  <c r="F73" i="8"/>
  <c r="AC85" i="9"/>
  <c r="AE72" i="9"/>
  <c r="D160" i="7"/>
  <c r="D46" i="7"/>
  <c r="AC109" i="9"/>
  <c r="AA20" i="9"/>
  <c r="AM168" i="7"/>
  <c r="AX176" i="7"/>
  <c r="I80" i="7"/>
  <c r="D141" i="7"/>
  <c r="AI246" i="7"/>
  <c r="AC176" i="7"/>
  <c r="AI72" i="7"/>
  <c r="AI322" i="7"/>
  <c r="AI160" i="7"/>
  <c r="F119" i="7"/>
  <c r="G168" i="7"/>
  <c r="G291" i="7"/>
  <c r="AM59" i="7"/>
  <c r="K203" i="7"/>
  <c r="K291" i="7"/>
  <c r="AH59" i="7"/>
  <c r="AP203" i="7"/>
  <c r="X203" i="7"/>
  <c r="X291" i="7"/>
  <c r="W33" i="7"/>
  <c r="J93" i="7"/>
  <c r="AC346" i="7"/>
  <c r="AC291" i="7"/>
  <c r="AG291" i="7"/>
  <c r="H130" i="7"/>
  <c r="AA246" i="7"/>
  <c r="AI80" i="7"/>
  <c r="AI291" i="7"/>
  <c r="AX46" i="7"/>
  <c r="AX291" i="7"/>
  <c r="AG130" i="7"/>
  <c r="AC80" i="7"/>
  <c r="AC208" i="7"/>
  <c r="O7" i="7"/>
  <c r="AC333" i="7"/>
  <c r="AC20" i="7"/>
  <c r="AC59" i="7"/>
  <c r="AC238" i="7"/>
  <c r="AM246" i="7"/>
  <c r="AC354" i="7"/>
  <c r="AC33" i="7"/>
  <c r="AC130" i="7"/>
  <c r="AC46" i="7"/>
  <c r="AM130" i="7"/>
  <c r="K93" i="7"/>
  <c r="K130" i="7"/>
  <c r="AC72" i="7"/>
  <c r="AM230" i="7"/>
  <c r="AM119" i="7"/>
  <c r="AC203" i="7"/>
  <c r="AC322" i="7"/>
  <c r="G322" i="7"/>
  <c r="G93" i="7"/>
  <c r="G354" i="7"/>
  <c r="G230" i="7"/>
  <c r="AC93" i="7"/>
  <c r="AC278" i="7"/>
  <c r="AC270" i="7"/>
  <c r="AM141" i="7"/>
  <c r="AC184" i="7"/>
  <c r="AM152" i="7"/>
  <c r="K152" i="7"/>
  <c r="K219" i="7"/>
  <c r="K119" i="7"/>
  <c r="AG59" i="7"/>
  <c r="AC168" i="7"/>
  <c r="G59" i="7"/>
  <c r="G141" i="7"/>
  <c r="G176" i="7"/>
  <c r="G33" i="7"/>
  <c r="G333" i="7"/>
  <c r="K176" i="7"/>
  <c r="W119" i="7"/>
  <c r="G208" i="7"/>
  <c r="G72" i="7"/>
  <c r="AC141" i="7"/>
  <c r="G203" i="7"/>
  <c r="AM192" i="7"/>
  <c r="AC230" i="7"/>
  <c r="AC152" i="7"/>
  <c r="AC106" i="7"/>
  <c r="AC192" i="7"/>
  <c r="AC246" i="7"/>
  <c r="AC119" i="7"/>
  <c r="AM176" i="7"/>
  <c r="AM238" i="7"/>
  <c r="G80" i="7"/>
  <c r="G238" i="7"/>
  <c r="G346" i="7"/>
  <c r="G270" i="7"/>
  <c r="AE61" i="9"/>
  <c r="G109" i="9"/>
  <c r="G61" i="9"/>
  <c r="O109" i="9"/>
  <c r="AA85" i="9"/>
  <c r="AE109" i="9"/>
  <c r="AA72" i="9"/>
  <c r="O85" i="9"/>
  <c r="O7" i="9"/>
  <c r="T31" i="9"/>
  <c r="D20" i="9"/>
  <c r="AB53" i="9"/>
  <c r="AE20" i="9"/>
  <c r="O72" i="9"/>
  <c r="T61" i="9"/>
  <c r="T96" i="9"/>
  <c r="AB7" i="9"/>
  <c r="H96" i="9"/>
  <c r="AM72" i="9"/>
  <c r="AE96" i="9"/>
  <c r="AA7" i="9"/>
  <c r="U61" i="9"/>
  <c r="U109" i="9"/>
  <c r="H61" i="9"/>
  <c r="H53" i="9"/>
  <c r="C42" i="9"/>
  <c r="D109" i="9"/>
  <c r="AA53" i="9"/>
  <c r="G7" i="9"/>
  <c r="AM109" i="9"/>
  <c r="G96" i="9"/>
  <c r="O53" i="9"/>
  <c r="U7" i="9"/>
  <c r="AB109" i="9"/>
  <c r="U31" i="9"/>
  <c r="W31" i="9"/>
  <c r="T109" i="9"/>
  <c r="T20" i="9"/>
  <c r="O96" i="9"/>
  <c r="AE53" i="9"/>
  <c r="H85" i="9"/>
  <c r="AB20" i="9"/>
  <c r="K31" i="9"/>
  <c r="D7" i="9"/>
  <c r="Z42" i="9"/>
  <c r="K61" i="9"/>
  <c r="O31" i="9"/>
  <c r="I85" i="9"/>
  <c r="I109" i="9"/>
  <c r="D96" i="9"/>
  <c r="D61" i="9"/>
  <c r="D53" i="9"/>
  <c r="U42" i="9"/>
  <c r="D72" i="9"/>
  <c r="L53" i="9"/>
  <c r="I61" i="9"/>
  <c r="V96" i="9"/>
  <c r="C53" i="9"/>
  <c r="I96" i="9"/>
  <c r="I7" i="9"/>
  <c r="J31" i="9"/>
  <c r="H72" i="9"/>
  <c r="J61" i="9"/>
  <c r="U72" i="9"/>
  <c r="G85" i="9"/>
  <c r="L61" i="9"/>
  <c r="V31" i="9"/>
  <c r="C85" i="9"/>
  <c r="I31" i="9"/>
  <c r="I42" i="9"/>
  <c r="G72" i="9"/>
  <c r="G20" i="9"/>
  <c r="J96" i="9"/>
  <c r="J72" i="9"/>
  <c r="U20" i="9"/>
  <c r="V61" i="9"/>
  <c r="D42" i="9"/>
  <c r="D85" i="9"/>
  <c r="Z61" i="9"/>
  <c r="V72" i="9"/>
  <c r="H31" i="9"/>
  <c r="I72" i="9"/>
  <c r="I20" i="9"/>
  <c r="Z85" i="9"/>
  <c r="G42" i="9"/>
  <c r="G31" i="9"/>
  <c r="C109" i="9"/>
  <c r="F20" i="8"/>
  <c r="F49" i="8"/>
  <c r="F65" i="8"/>
  <c r="F100" i="8"/>
  <c r="C73" i="8"/>
  <c r="K20" i="8"/>
  <c r="C57" i="8"/>
  <c r="F89" i="8"/>
  <c r="C89" i="8"/>
  <c r="K49" i="8"/>
  <c r="F57" i="8"/>
  <c r="F176" i="7"/>
  <c r="F354" i="7"/>
  <c r="J238" i="7"/>
  <c r="F72" i="7"/>
  <c r="AI346" i="7"/>
  <c r="F7" i="7"/>
  <c r="G130" i="7"/>
  <c r="W270" i="7"/>
  <c r="G184" i="7"/>
  <c r="G46" i="7"/>
  <c r="G7" i="7"/>
  <c r="G160" i="7"/>
  <c r="AI141" i="7"/>
  <c r="J346" i="7"/>
  <c r="AX208" i="7"/>
  <c r="AX278" i="7"/>
  <c r="J184" i="7"/>
  <c r="AX230" i="7"/>
  <c r="J152" i="7"/>
  <c r="J192" i="7"/>
  <c r="F203" i="7"/>
  <c r="J208" i="7"/>
  <c r="F59" i="7"/>
  <c r="AI278" i="7"/>
  <c r="F238" i="7"/>
  <c r="G192" i="7"/>
  <c r="G246" i="7"/>
  <c r="G106" i="7"/>
  <c r="G219" i="7"/>
  <c r="G278" i="7"/>
  <c r="G152" i="7"/>
  <c r="F246" i="7"/>
  <c r="AI270" i="7"/>
  <c r="AX192" i="7"/>
  <c r="G119" i="7"/>
  <c r="G20" i="7"/>
  <c r="J119" i="7"/>
  <c r="F192" i="7"/>
  <c r="D322" i="7"/>
  <c r="K322" i="7"/>
  <c r="K333" i="7"/>
  <c r="I219" i="7"/>
  <c r="K346" i="7"/>
  <c r="K46" i="7"/>
  <c r="K7" i="7"/>
  <c r="K80" i="7"/>
  <c r="AP168" i="7"/>
  <c r="AP160" i="7"/>
  <c r="AP238" i="7"/>
  <c r="AA278" i="7"/>
  <c r="K354" i="7"/>
  <c r="X20" i="7"/>
  <c r="K160" i="7"/>
  <c r="I130" i="7"/>
  <c r="I7" i="7"/>
  <c r="I278" i="7"/>
  <c r="K184" i="7"/>
  <c r="K168" i="7"/>
  <c r="I20" i="7"/>
  <c r="K59" i="7"/>
  <c r="K278" i="7"/>
  <c r="K106" i="7"/>
  <c r="I238" i="7"/>
  <c r="AP219" i="7"/>
  <c r="AP72" i="7"/>
  <c r="AA176" i="7"/>
  <c r="AP333" i="7"/>
  <c r="X176" i="7"/>
  <c r="K230" i="7"/>
  <c r="AA346" i="7"/>
  <c r="K208" i="7"/>
  <c r="X59" i="7"/>
  <c r="X72" i="7"/>
  <c r="I59" i="7"/>
  <c r="AH130" i="7"/>
  <c r="I46" i="7"/>
  <c r="K238" i="7"/>
  <c r="K72" i="7"/>
  <c r="AH176" i="7"/>
  <c r="AH246" i="7"/>
  <c r="K270" i="7"/>
  <c r="AH238" i="7"/>
  <c r="K192" i="7"/>
  <c r="K33" i="7"/>
  <c r="I160" i="7"/>
  <c r="I333" i="7"/>
  <c r="AH93" i="7"/>
  <c r="AP354" i="7"/>
  <c r="AP192" i="7"/>
  <c r="AA59" i="7"/>
  <c r="K246" i="7"/>
  <c r="K20" i="7"/>
  <c r="X322" i="7"/>
  <c r="X160" i="7"/>
  <c r="K141" i="7"/>
  <c r="AG203" i="7"/>
  <c r="AD141" i="7"/>
  <c r="O119" i="7"/>
  <c r="W72" i="7"/>
  <c r="W230" i="7"/>
  <c r="AG93" i="7"/>
  <c r="W141" i="7"/>
  <c r="AG176" i="7"/>
  <c r="W168" i="7"/>
  <c r="AD203" i="7"/>
  <c r="AG106" i="7"/>
  <c r="AG192" i="7"/>
  <c r="AG246" i="7"/>
  <c r="AG152" i="7"/>
  <c r="AG333" i="7"/>
  <c r="H20" i="7"/>
  <c r="O322" i="7"/>
  <c r="W80" i="7"/>
  <c r="AI354" i="7"/>
  <c r="AI119" i="7"/>
  <c r="AI219" i="7"/>
  <c r="AI176" i="7"/>
  <c r="AI33" i="7"/>
  <c r="AI46" i="7"/>
  <c r="D59" i="7"/>
  <c r="D219" i="7"/>
  <c r="D119" i="7"/>
  <c r="O333" i="7"/>
  <c r="O141" i="7"/>
  <c r="O176" i="7"/>
  <c r="AB72" i="7"/>
  <c r="AB93" i="7"/>
  <c r="AI168" i="7"/>
  <c r="AX246" i="7"/>
  <c r="AX80" i="7"/>
  <c r="AX168" i="7"/>
  <c r="X46" i="7"/>
  <c r="X106" i="7"/>
  <c r="AX333" i="7"/>
  <c r="AX59" i="7"/>
  <c r="AX270" i="7"/>
  <c r="X119" i="7"/>
  <c r="X152" i="7"/>
  <c r="X230" i="7"/>
  <c r="X354" i="7"/>
  <c r="O219" i="7"/>
  <c r="AB219" i="7"/>
  <c r="X246" i="7"/>
  <c r="X208" i="7"/>
  <c r="AI184" i="7"/>
  <c r="AI333" i="7"/>
  <c r="AI230" i="7"/>
  <c r="AI192" i="7"/>
  <c r="AI208" i="7"/>
  <c r="AI203" i="7"/>
  <c r="D168" i="7"/>
  <c r="D80" i="7"/>
  <c r="D208" i="7"/>
  <c r="D203" i="7"/>
  <c r="D7" i="7"/>
  <c r="O152" i="7"/>
  <c r="O184" i="7"/>
  <c r="O208" i="7"/>
  <c r="AB141" i="7"/>
  <c r="AI20" i="7"/>
  <c r="X333" i="7"/>
  <c r="AB7" i="7"/>
  <c r="AI7" i="7"/>
  <c r="AB59" i="7"/>
  <c r="AX33" i="7"/>
  <c r="AX160" i="7"/>
  <c r="AX20" i="7"/>
  <c r="AX322" i="7"/>
  <c r="D184" i="7"/>
  <c r="X168" i="7"/>
  <c r="AX219" i="7"/>
  <c r="AI106" i="7"/>
  <c r="AX93" i="7"/>
  <c r="X346" i="7"/>
  <c r="O46" i="7"/>
  <c r="X238" i="7"/>
  <c r="X278" i="7"/>
  <c r="X192" i="7"/>
  <c r="X270" i="7"/>
  <c r="X141" i="7"/>
  <c r="AI130" i="7"/>
  <c r="AI238" i="7"/>
  <c r="AI59" i="7"/>
  <c r="AI152" i="7"/>
  <c r="AI93" i="7"/>
  <c r="D230" i="7"/>
  <c r="D270" i="7"/>
  <c r="AX203" i="7"/>
  <c r="D130" i="7"/>
  <c r="O278" i="7"/>
  <c r="D152" i="7"/>
  <c r="O230" i="7"/>
  <c r="O59" i="7"/>
  <c r="O238" i="7"/>
  <c r="O168" i="7"/>
  <c r="AX141" i="7"/>
  <c r="AB168" i="7"/>
  <c r="AB119" i="7"/>
  <c r="AX130" i="7"/>
  <c r="AX119" i="7"/>
  <c r="AX152" i="7"/>
  <c r="AX184" i="7"/>
  <c r="X80" i="7"/>
  <c r="AX106" i="7"/>
  <c r="AX72" i="7"/>
  <c r="AX7" i="7"/>
  <c r="X7" i="7"/>
  <c r="X219" i="7"/>
  <c r="X93" i="7"/>
  <c r="X184" i="7"/>
  <c r="X33" i="7"/>
  <c r="AG270" i="7"/>
  <c r="AG238" i="7"/>
  <c r="W354" i="7"/>
  <c r="W192" i="7"/>
  <c r="AG278" i="7"/>
  <c r="AG72" i="7"/>
  <c r="AG80" i="7"/>
  <c r="AG219" i="7"/>
  <c r="W219" i="7"/>
  <c r="W160" i="7"/>
  <c r="AG20" i="7"/>
  <c r="AA42" i="9"/>
  <c r="J42" i="9"/>
  <c r="F72" i="9"/>
  <c r="L72" i="9"/>
  <c r="L20" i="9"/>
  <c r="V7" i="9"/>
  <c r="Z20" i="9"/>
  <c r="Z72" i="9"/>
  <c r="H7" i="9"/>
  <c r="V20" i="9"/>
  <c r="L7" i="9"/>
  <c r="Z96" i="9"/>
  <c r="Z31" i="9"/>
  <c r="V109" i="9"/>
  <c r="V85" i="9"/>
  <c r="V42" i="9"/>
  <c r="C7" i="9"/>
  <c r="C72" i="9"/>
  <c r="C96" i="9"/>
  <c r="H42" i="9"/>
  <c r="AM7" i="9"/>
  <c r="AM53" i="9"/>
  <c r="L42" i="9"/>
  <c r="AE42" i="9"/>
  <c r="AA109" i="9"/>
  <c r="AA31" i="9"/>
  <c r="AE31" i="9"/>
  <c r="F53" i="9"/>
  <c r="J7" i="9"/>
  <c r="L31" i="9"/>
  <c r="L96" i="9"/>
  <c r="J109" i="9"/>
  <c r="L85" i="9"/>
  <c r="Z7" i="9"/>
  <c r="AE85" i="9"/>
  <c r="H109" i="9"/>
  <c r="C31" i="9"/>
  <c r="C61" i="9"/>
  <c r="AM85" i="9"/>
  <c r="U53" i="9"/>
  <c r="AC219" i="7"/>
  <c r="X2" i="11"/>
  <c r="AC7" i="7"/>
  <c r="X3" i="11"/>
  <c r="AG160" i="7"/>
  <c r="AG7" i="7"/>
  <c r="W7" i="7"/>
  <c r="W130" i="7"/>
  <c r="W346" i="7"/>
  <c r="W176" i="7"/>
  <c r="AB46" i="7"/>
  <c r="AB333" i="7"/>
  <c r="AB354" i="7"/>
  <c r="W322" i="7"/>
  <c r="AB346" i="7"/>
  <c r="AB160" i="7"/>
  <c r="AP106" i="7"/>
  <c r="AB152" i="7"/>
  <c r="AB192" i="7"/>
  <c r="W203" i="7"/>
  <c r="C176" i="7"/>
  <c r="W246" i="7"/>
  <c r="W20" i="7"/>
  <c r="AP7" i="7"/>
  <c r="AH270" i="7"/>
  <c r="AP176" i="7"/>
  <c r="AH184" i="7"/>
  <c r="J168" i="7"/>
  <c r="F322" i="7"/>
  <c r="F208" i="7"/>
  <c r="F270" i="7"/>
  <c r="F346" i="7"/>
  <c r="AB278" i="7"/>
  <c r="J219" i="7"/>
  <c r="J130" i="7"/>
  <c r="J141" i="7"/>
  <c r="J291" i="7"/>
  <c r="AH291" i="7"/>
  <c r="AB291" i="7"/>
  <c r="AP208" i="7"/>
  <c r="J304" i="7"/>
  <c r="AB304" i="7"/>
  <c r="AP265" i="7"/>
  <c r="AB20" i="7"/>
  <c r="AB208" i="7"/>
  <c r="AB270" i="7"/>
  <c r="AB322" i="7"/>
  <c r="W208" i="7"/>
  <c r="AJ93" i="7"/>
  <c r="AP93" i="7"/>
  <c r="AH168" i="7"/>
  <c r="AH322" i="7"/>
  <c r="AP80" i="7"/>
  <c r="AH72" i="7"/>
  <c r="AP33" i="7"/>
  <c r="AH46" i="7"/>
  <c r="AH219" i="7"/>
  <c r="J278" i="7"/>
  <c r="W278" i="7"/>
  <c r="J322" i="7"/>
  <c r="J246" i="7"/>
  <c r="AB33" i="7"/>
  <c r="F141" i="7"/>
  <c r="F184" i="7"/>
  <c r="J354" i="7"/>
  <c r="F80" i="7"/>
  <c r="F304" i="7"/>
  <c r="L219" i="7"/>
  <c r="C130" i="7"/>
  <c r="AJ20" i="7"/>
  <c r="H203" i="7"/>
  <c r="L203" i="7"/>
  <c r="L59" i="7"/>
  <c r="C354" i="7"/>
  <c r="AD130" i="7"/>
  <c r="AD33" i="7"/>
  <c r="AJ106" i="7"/>
  <c r="AD168" i="7"/>
  <c r="L130" i="7"/>
  <c r="L93" i="7"/>
  <c r="AJ333" i="7"/>
  <c r="AD333" i="7"/>
  <c r="AJ246" i="7"/>
  <c r="C168" i="7"/>
  <c r="AJ176" i="7"/>
  <c r="AJ141" i="7"/>
  <c r="D33" i="8"/>
  <c r="D41" i="8"/>
  <c r="D49" i="8"/>
  <c r="D73" i="8"/>
  <c r="D89" i="8"/>
  <c r="I7" i="8"/>
  <c r="K33" i="8"/>
  <c r="I57" i="8"/>
  <c r="I73" i="8"/>
  <c r="K65" i="8"/>
  <c r="K41" i="8"/>
  <c r="G33" i="8"/>
  <c r="D57" i="8"/>
  <c r="D65" i="8"/>
  <c r="D7" i="8"/>
  <c r="G49" i="8"/>
  <c r="O33" i="8"/>
  <c r="K89" i="8"/>
  <c r="I20" i="8"/>
  <c r="O57" i="8"/>
  <c r="G7" i="8"/>
  <c r="O73" i="8"/>
  <c r="K7" i="8"/>
  <c r="O49" i="8"/>
  <c r="G73" i="8"/>
  <c r="I33" i="8"/>
  <c r="I65" i="8"/>
  <c r="D84" i="8"/>
  <c r="G84" i="8"/>
  <c r="I84" i="8"/>
  <c r="K84" i="8"/>
  <c r="O84" i="8"/>
  <c r="D100" i="8"/>
  <c r="G41" i="8"/>
  <c r="I89" i="8"/>
  <c r="G100" i="8"/>
  <c r="O65" i="8"/>
  <c r="O20" i="8"/>
  <c r="O7" i="8"/>
  <c r="C291" i="7"/>
  <c r="C192" i="7"/>
  <c r="C93" i="7"/>
  <c r="C46" i="7"/>
  <c r="C80" i="7"/>
  <c r="C246" i="7"/>
  <c r="C322" i="7"/>
  <c r="C106" i="7"/>
  <c r="C141" i="7"/>
  <c r="C265" i="7"/>
  <c r="C203" i="7"/>
  <c r="C184" i="7"/>
  <c r="C152" i="7"/>
  <c r="H184" i="7"/>
  <c r="H59" i="7"/>
  <c r="H304" i="7"/>
  <c r="H93" i="7"/>
  <c r="H230" i="7"/>
  <c r="H72" i="7"/>
  <c r="H322" i="7"/>
  <c r="H246" i="7"/>
  <c r="H106" i="7"/>
  <c r="H333" i="7"/>
  <c r="H208" i="7"/>
  <c r="H46" i="7"/>
  <c r="H152" i="7"/>
  <c r="Y184" i="7"/>
  <c r="Y291" i="7"/>
  <c r="Y59" i="7"/>
  <c r="Y93" i="7"/>
  <c r="Y219" i="7"/>
  <c r="Y270" i="7"/>
  <c r="Y333" i="7"/>
  <c r="Y354" i="7"/>
  <c r="Y176" i="7"/>
  <c r="Y230" i="7"/>
  <c r="Y246" i="7"/>
  <c r="Y106" i="7"/>
  <c r="Y20" i="7"/>
  <c r="Y7" i="7"/>
  <c r="Y168" i="7"/>
  <c r="Y141" i="7"/>
  <c r="Y238" i="7"/>
  <c r="Y130" i="7"/>
  <c r="Y265" i="7"/>
  <c r="Y46" i="7"/>
  <c r="Y208" i="7"/>
  <c r="Y278" i="7"/>
  <c r="Y322" i="7"/>
  <c r="Y203" i="7"/>
  <c r="Y346" i="7"/>
  <c r="H7" i="7"/>
  <c r="AJ192" i="7"/>
  <c r="AJ346" i="7"/>
  <c r="L20" i="7"/>
  <c r="C59" i="7"/>
  <c r="Y33" i="7"/>
  <c r="Y119" i="7"/>
  <c r="Y192" i="7"/>
  <c r="Y80" i="7"/>
  <c r="H291" i="7"/>
  <c r="C304" i="7"/>
  <c r="H265" i="7"/>
  <c r="D265" i="7"/>
  <c r="D304" i="7"/>
  <c r="D246" i="7"/>
  <c r="D291" i="7"/>
  <c r="D106" i="7"/>
  <c r="D278" i="7"/>
  <c r="D192" i="7"/>
  <c r="D333" i="7"/>
  <c r="D33" i="7"/>
  <c r="D72" i="7"/>
  <c r="D176" i="7"/>
  <c r="D354" i="7"/>
  <c r="I304" i="7"/>
  <c r="I72" i="7"/>
  <c r="I208" i="7"/>
  <c r="I168" i="7"/>
  <c r="I184" i="7"/>
  <c r="I322" i="7"/>
  <c r="I119" i="7"/>
  <c r="I176" i="7"/>
  <c r="I270" i="7"/>
  <c r="I141" i="7"/>
  <c r="I192" i="7"/>
  <c r="I291" i="7"/>
  <c r="I152" i="7"/>
  <c r="I354" i="7"/>
  <c r="I246" i="7"/>
  <c r="I33" i="7"/>
  <c r="I203" i="7"/>
  <c r="O304" i="7"/>
  <c r="O291" i="7"/>
  <c r="O270" i="7"/>
  <c r="O192" i="7"/>
  <c r="O160" i="7"/>
  <c r="O93" i="7"/>
  <c r="O20" i="7"/>
  <c r="O72" i="7"/>
  <c r="O346" i="7"/>
  <c r="O80" i="7"/>
  <c r="O246" i="7"/>
  <c r="O106" i="7"/>
  <c r="AA141" i="7"/>
  <c r="AA208" i="7"/>
  <c r="AA291" i="7"/>
  <c r="AA192" i="7"/>
  <c r="AA304" i="7"/>
  <c r="AA119" i="7"/>
  <c r="AA203" i="7"/>
  <c r="AA168" i="7"/>
  <c r="AA354" i="7"/>
  <c r="AA230" i="7"/>
  <c r="AA130" i="7"/>
  <c r="AA46" i="7"/>
  <c r="AA33" i="7"/>
  <c r="AA93" i="7"/>
  <c r="AA20" i="7"/>
  <c r="AA7" i="7"/>
  <c r="AA106" i="7"/>
  <c r="AA238" i="7"/>
  <c r="AA219" i="7"/>
  <c r="AG265" i="7"/>
  <c r="AG346" i="7"/>
  <c r="AG168" i="7"/>
  <c r="AG208" i="7"/>
  <c r="AG230" i="7"/>
  <c r="AG304" i="7"/>
  <c r="AG119" i="7"/>
  <c r="AG33" i="7"/>
  <c r="AM265" i="7"/>
  <c r="AM270" i="7"/>
  <c r="AM160" i="7"/>
  <c r="AM46" i="7"/>
  <c r="AM322" i="7"/>
  <c r="AM219" i="7"/>
  <c r="AM346" i="7"/>
  <c r="AM203" i="7"/>
  <c r="AM354" i="7"/>
  <c r="AM304" i="7"/>
  <c r="AM291" i="7"/>
  <c r="AM20" i="7"/>
  <c r="AM278" i="7"/>
  <c r="AM7" i="7"/>
  <c r="AM184" i="7"/>
  <c r="AM106" i="7"/>
  <c r="AM80" i="7"/>
  <c r="AM72" i="7"/>
  <c r="AM333" i="7"/>
  <c r="AM33" i="7"/>
  <c r="AD304" i="7"/>
  <c r="AD119" i="7"/>
  <c r="AD59" i="7"/>
  <c r="AD152" i="7"/>
  <c r="AD80" i="7"/>
  <c r="AD238" i="7"/>
  <c r="AD106" i="7"/>
  <c r="AD184" i="7"/>
  <c r="AD265" i="7"/>
  <c r="AD322" i="7"/>
  <c r="AD20" i="7"/>
  <c r="AD208" i="7"/>
  <c r="AD246" i="7"/>
  <c r="L46" i="7"/>
  <c r="C160" i="7"/>
  <c r="AD176" i="7"/>
  <c r="C219" i="7"/>
  <c r="H176" i="7"/>
  <c r="C7" i="7"/>
  <c r="AJ7" i="7"/>
  <c r="AD278" i="7"/>
  <c r="AJ238" i="7"/>
  <c r="C270" i="7"/>
  <c r="AJ152" i="7"/>
  <c r="H80" i="7"/>
  <c r="AD192" i="7"/>
  <c r="AJ270" i="7"/>
  <c r="AD354" i="7"/>
  <c r="C333" i="7"/>
  <c r="H354" i="7"/>
  <c r="Y72" i="7"/>
  <c r="AD270" i="7"/>
  <c r="H141" i="7"/>
  <c r="H192" i="7"/>
  <c r="AD291" i="7"/>
  <c r="I265" i="7"/>
  <c r="L246" i="7"/>
  <c r="L152" i="7"/>
  <c r="L7" i="7"/>
  <c r="L265" i="7"/>
  <c r="L333" i="7"/>
  <c r="L119" i="7"/>
  <c r="L141" i="7"/>
  <c r="L192" i="7"/>
  <c r="L106" i="7"/>
  <c r="L72" i="7"/>
  <c r="L168" i="7"/>
  <c r="L184" i="7"/>
  <c r="L304" i="7"/>
  <c r="L291" i="7"/>
  <c r="L80" i="7"/>
  <c r="AJ291" i="7"/>
  <c r="AJ46" i="7"/>
  <c r="AJ265" i="7"/>
  <c r="AJ322" i="7"/>
  <c r="AJ33" i="7"/>
  <c r="AJ59" i="7"/>
  <c r="AJ168" i="7"/>
  <c r="AJ278" i="7"/>
  <c r="AJ304" i="7"/>
  <c r="AJ230" i="7"/>
  <c r="AJ160" i="7"/>
  <c r="AJ119" i="7"/>
  <c r="AJ72" i="7"/>
  <c r="L230" i="7"/>
  <c r="L33" i="7"/>
  <c r="L208" i="7"/>
  <c r="AD72" i="7"/>
  <c r="H346" i="7"/>
  <c r="H219" i="7"/>
  <c r="C278" i="7"/>
  <c r="L238" i="7"/>
  <c r="L322" i="7"/>
  <c r="C346" i="7"/>
  <c r="AJ208" i="7"/>
  <c r="H278" i="7"/>
  <c r="AJ184" i="7"/>
  <c r="C208" i="7"/>
  <c r="AJ80" i="7"/>
  <c r="H33" i="7"/>
  <c r="AJ130" i="7"/>
  <c r="L270" i="7"/>
  <c r="L346" i="7"/>
  <c r="D238" i="7"/>
  <c r="D20" i="7"/>
  <c r="O33" i="7"/>
  <c r="L160" i="7"/>
  <c r="O130" i="7"/>
  <c r="D346" i="7"/>
  <c r="L278" i="7"/>
  <c r="AD46" i="7"/>
  <c r="H270" i="7"/>
  <c r="C230" i="7"/>
  <c r="AG354" i="7"/>
  <c r="AJ219" i="7"/>
  <c r="H238" i="7"/>
  <c r="H160" i="7"/>
  <c r="AD346" i="7"/>
  <c r="C72" i="7"/>
  <c r="AG46" i="7"/>
  <c r="C119" i="7"/>
  <c r="AD7" i="7"/>
  <c r="AJ354" i="7"/>
  <c r="AG141" i="7"/>
  <c r="C20" i="7"/>
  <c r="H119" i="7"/>
  <c r="O354" i="7"/>
  <c r="AD160" i="7"/>
  <c r="AD93" i="7"/>
  <c r="AA152" i="7"/>
  <c r="AA80" i="7"/>
  <c r="AA333" i="7"/>
  <c r="AA72" i="7"/>
  <c r="I346" i="7"/>
  <c r="AA184" i="7"/>
  <c r="AA322" i="7"/>
  <c r="I106" i="7"/>
  <c r="L354" i="7"/>
  <c r="AM93" i="7"/>
  <c r="AG184" i="7"/>
  <c r="C238" i="7"/>
  <c r="Y160" i="7"/>
  <c r="D93" i="7"/>
  <c r="AG322" i="7"/>
  <c r="O203" i="7"/>
  <c r="AD230" i="7"/>
  <c r="I230" i="7"/>
  <c r="I93" i="7"/>
  <c r="Y304" i="7"/>
  <c r="AA265" i="7"/>
  <c r="F278" i="7"/>
  <c r="F219" i="7"/>
  <c r="F333" i="7"/>
  <c r="F93" i="7"/>
  <c r="F106" i="7"/>
  <c r="F152" i="7"/>
  <c r="F230" i="7"/>
  <c r="J265" i="7"/>
  <c r="J80" i="7"/>
  <c r="J7" i="7"/>
  <c r="J33" i="7"/>
  <c r="J72" i="7"/>
  <c r="J270" i="7"/>
  <c r="J333" i="7"/>
  <c r="J160" i="7"/>
  <c r="J59" i="7"/>
  <c r="J46" i="7"/>
  <c r="AB265" i="7"/>
  <c r="AB203" i="7"/>
  <c r="AB176" i="7"/>
  <c r="AB238" i="7"/>
  <c r="AB106" i="7"/>
  <c r="AH304" i="7"/>
  <c r="AH20" i="7"/>
  <c r="AH80" i="7"/>
  <c r="AH106" i="7"/>
  <c r="AH160" i="7"/>
  <c r="AH141" i="7"/>
  <c r="AP304" i="7"/>
  <c r="AP278" i="7"/>
  <c r="AP46" i="7"/>
  <c r="AP291" i="7"/>
  <c r="AP119" i="7"/>
  <c r="AP141" i="7"/>
  <c r="AP270" i="7"/>
  <c r="W46" i="7"/>
  <c r="W106" i="7"/>
  <c r="AP184" i="7"/>
  <c r="AB184" i="7"/>
  <c r="AB230" i="7"/>
  <c r="W238" i="7"/>
  <c r="W152" i="7"/>
  <c r="W59" i="7"/>
  <c r="W93" i="7"/>
  <c r="W333" i="7"/>
  <c r="AP130" i="7"/>
  <c r="AH354" i="7"/>
  <c r="AH208" i="7"/>
  <c r="AP246" i="7"/>
  <c r="AP322" i="7"/>
  <c r="AP152" i="7"/>
  <c r="AH230" i="7"/>
  <c r="AH192" i="7"/>
  <c r="AH203" i="7"/>
  <c r="AH119" i="7"/>
  <c r="AH346" i="7"/>
  <c r="F160" i="7"/>
  <c r="F20" i="7"/>
  <c r="W184" i="7"/>
  <c r="F33" i="7"/>
  <c r="J230" i="7"/>
  <c r="F168" i="7"/>
  <c r="J176" i="7"/>
  <c r="AB80" i="7"/>
  <c r="F46" i="7"/>
  <c r="W291" i="7"/>
  <c r="J203" i="7"/>
  <c r="AB130" i="7"/>
  <c r="F291" i="7"/>
  <c r="AH33" i="7"/>
  <c r="AP59" i="7"/>
  <c r="AH7" i="7"/>
  <c r="J20" i="7"/>
  <c r="AK24" i="19"/>
  <c r="AJ48" i="19"/>
  <c r="AJ35" i="19" l="1"/>
</calcChain>
</file>

<file path=xl/comments1.xml><?xml version="1.0" encoding="utf-8"?>
<comments xmlns="http://schemas.openxmlformats.org/spreadsheetml/2006/main">
  <authors>
    <author>ZL</author>
  </authors>
  <commentLis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0普通  1打塔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0只对地  
1只对空  
2通吃</t>
        </r>
      </text>
    </comment>
    <comment ref="R2" authorId="0" shapeId="0">
      <text>
        <r>
          <rPr>
            <b/>
            <sz val="9"/>
            <color indexed="81"/>
            <rFont val="宋体"/>
            <family val="3"/>
            <charset val="134"/>
          </rPr>
          <t>0近战 
1远程单体
2子弹
3原地转圈
4弹射
5冰法（减速）
6火精灵
7冰精灵</t>
        </r>
      </text>
    </comment>
    <comment ref="AA2" authorId="0" shapeId="0">
      <text>
        <r>
          <rPr>
            <b/>
            <sz val="9"/>
            <color indexed="81"/>
            <rFont val="宋体"/>
            <family val="3"/>
            <charset val="134"/>
          </rPr>
          <t>2格子 
（小骷髅是1）</t>
        </r>
      </text>
    </comment>
    <comment ref="AB2" authorId="0" shapeId="0">
      <text>
        <r>
          <rPr>
            <b/>
            <sz val="9"/>
            <color indexed="81"/>
            <rFont val="宋体"/>
            <family val="3"/>
            <charset val="134"/>
          </rPr>
          <t>视觉腰围</t>
        </r>
      </text>
    </comment>
    <comment ref="AC2" authorId="0" shapeId="0">
      <text>
        <r>
          <rPr>
            <b/>
            <sz val="9"/>
            <color indexed="81"/>
            <rFont val="宋体"/>
            <family val="3"/>
            <charset val="134"/>
          </rPr>
          <t>15是1格</t>
        </r>
      </text>
    </comment>
    <comment ref="AD2" authorId="0" shapeId="0">
      <text>
        <r>
          <rPr>
            <b/>
            <sz val="9"/>
            <color indexed="81"/>
            <rFont val="宋体"/>
            <family val="3"/>
            <charset val="134"/>
          </rPr>
          <t>15是1格</t>
        </r>
      </text>
    </comment>
    <comment ref="AH2" authorId="0" shapeId="0">
      <text>
        <r>
          <rPr>
            <b/>
            <sz val="9"/>
            <color indexed="81"/>
            <rFont val="宋体"/>
            <family val="3"/>
            <charset val="134"/>
          </rPr>
          <t>0  
只有damagetype=2时有效</t>
        </r>
      </text>
    </comment>
    <comment ref="AI2" authorId="0" shapeId="0">
      <text>
        <r>
          <rPr>
            <b/>
            <sz val="9"/>
            <color indexed="81"/>
            <rFont val="宋体"/>
            <family val="3"/>
            <charset val="134"/>
          </rPr>
          <t>抛射速度
15像素是1格，每秒</t>
        </r>
      </text>
    </comment>
    <comment ref="AJ2" authorId="0" shapeId="0">
      <text>
        <r>
          <rPr>
            <b/>
            <sz val="9"/>
            <color indexed="81"/>
            <rFont val="宋体"/>
            <family val="3"/>
            <charset val="134"/>
          </rPr>
          <t>多个兵种间隔长度
number＞1时生效</t>
        </r>
      </text>
    </comment>
    <comment ref="AL2" authorId="0" shapeId="0">
      <text>
        <r>
          <rPr>
            <b/>
            <sz val="9"/>
            <color indexed="81"/>
            <rFont val="宋体"/>
            <family val="3"/>
            <charset val="134"/>
          </rPr>
          <t>0-无技能
1-冲锋
5-跳河
6-精神控制</t>
        </r>
      </text>
    </comment>
    <comment ref="AO2" authorId="0" shapeId="0">
      <text>
        <r>
          <rPr>
            <b/>
            <sz val="9"/>
            <color indexed="81"/>
            <rFont val="宋体"/>
            <family val="3"/>
            <charset val="134"/>
          </rPr>
          <t>0只有地面   
1天空
2天空和地面</t>
        </r>
      </text>
    </comment>
    <comment ref="BA2" authorId="0" shapeId="0">
      <text>
        <r>
          <rPr>
            <b/>
            <sz val="9"/>
            <color indexed="81"/>
            <rFont val="宋体"/>
            <family val="3"/>
            <charset val="134"/>
          </rPr>
          <t>0 地面 1飞行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0 不显示问号
1 显示问号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军队是模型ID
建筑是模型ID
技能是特效ID</t>
        </r>
      </text>
    </comment>
    <comment ref="AY6" authorId="0" shapeId="0">
      <text>
        <r>
          <rPr>
            <b/>
            <sz val="9"/>
            <color indexed="81"/>
            <rFont val="宋体"/>
            <family val="3"/>
            <charset val="134"/>
          </rPr>
          <t>6技能 控制攻击半径</t>
        </r>
      </text>
    </comment>
  </commentList>
</comments>
</file>

<file path=xl/comments2.xml><?xml version="1.0" encoding="utf-8"?>
<comments xmlns="http://schemas.openxmlformats.org/spreadsheetml/2006/main">
  <authors>
    <author>ZL</author>
  </authors>
  <commentLis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0 不显示问号
1 显示问号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军队是模型ID
建筑是模型ID
技能是特效ID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998：上次使用卡牌的消耗+1，最大不超过10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106 冻结
108 狂暴药水
110 毒药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108 狂暴药水</t>
        </r>
      </text>
    </comment>
    <comment ref="T6" authorId="0" shapeId="0">
      <text>
        <r>
          <rPr>
            <b/>
            <sz val="9"/>
            <color indexed="81"/>
            <rFont val="宋体"/>
            <family val="3"/>
            <charset val="134"/>
          </rPr>
          <t>105 哥布林桶</t>
        </r>
      </text>
    </comment>
    <comment ref="AA6" authorId="0" shapeId="0">
      <text>
        <r>
          <rPr>
            <b/>
            <sz val="9"/>
            <color indexed="81"/>
            <rFont val="宋体"/>
            <family val="3"/>
            <charset val="134"/>
          </rPr>
          <t>102 震击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ZL</author>
  </authors>
  <commentList>
    <comment ref="V2" authorId="0" shapeId="0">
      <text>
        <r>
          <rPr>
            <b/>
            <sz val="9"/>
            <color indexed="81"/>
            <rFont val="宋体"/>
            <family val="3"/>
            <charset val="134"/>
          </rPr>
          <t>2格子 
（小骷髅是1）</t>
        </r>
      </text>
    </comment>
    <comment ref="W2" authorId="0" shapeId="0">
      <text>
        <r>
          <rPr>
            <b/>
            <sz val="9"/>
            <color indexed="81"/>
            <rFont val="宋体"/>
            <family val="3"/>
            <charset val="134"/>
          </rPr>
          <t>视觉腰围</t>
        </r>
      </text>
    </comment>
    <comment ref="X2" authorId="0" shapeId="0">
      <text>
        <r>
          <rPr>
            <b/>
            <sz val="9"/>
            <color indexed="81"/>
            <rFont val="宋体"/>
            <family val="3"/>
            <charset val="134"/>
          </rPr>
          <t>0只对地  
1只对空  
2通吃</t>
        </r>
      </text>
    </comment>
    <comment ref="Y2" authorId="0" shapeId="0">
      <text>
        <r>
          <rPr>
            <b/>
            <sz val="9"/>
            <color indexed="81"/>
            <rFont val="宋体"/>
            <family val="3"/>
            <charset val="134"/>
          </rPr>
          <t>0近战 
1远程单体
2子弹
3原地转圈</t>
        </r>
      </text>
    </comment>
    <comment ref="Z2" authorId="0" shapeId="0">
      <text>
        <r>
          <rPr>
            <b/>
            <sz val="9"/>
            <color indexed="81"/>
            <rFont val="宋体"/>
            <family val="3"/>
            <charset val="134"/>
          </rPr>
          <t>0  
只有damagetype=2时有效</t>
        </r>
      </text>
    </comment>
    <comment ref="AB2" authorId="0" shapeId="0">
      <text>
        <r>
          <rPr>
            <b/>
            <sz val="9"/>
            <color indexed="81"/>
            <rFont val="宋体"/>
            <family val="3"/>
            <charset val="134"/>
          </rPr>
          <t>15是1格</t>
        </r>
      </text>
    </comment>
    <comment ref="AC2" authorId="0" shapeId="0">
      <text>
        <r>
          <rPr>
            <b/>
            <sz val="9"/>
            <color indexed="81"/>
            <rFont val="宋体"/>
            <family val="3"/>
            <charset val="134"/>
          </rPr>
          <t>抛射速度
15像素是1格，每秒</t>
        </r>
      </text>
    </comment>
    <comment ref="AE2" authorId="0" shapeId="0">
      <text>
        <r>
          <rPr>
            <b/>
            <sz val="9"/>
            <color indexed="81"/>
            <rFont val="宋体"/>
            <family val="3"/>
            <charset val="134"/>
          </rPr>
          <t>15是1格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0 不显示问号
1 显示问号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军队是模型ID
建筑是模型ID
技能是特效ID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206 能量收集器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地狱之塔，攻击同一目标时伤害持续增加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J6" authorId="0" shapeId="0">
      <text>
        <r>
          <rPr>
            <b/>
            <sz val="9"/>
            <color indexed="81"/>
            <rFont val="宋体"/>
            <family val="3"/>
            <charset val="134"/>
          </rPr>
          <t>204 墓地</t>
        </r>
        <r>
          <rPr>
            <sz val="9"/>
            <color indexed="81"/>
            <rFont val="宋体"/>
            <family val="3"/>
            <charset val="134"/>
          </rPr>
          <t xml:space="preserve"> 被摧毁分类出骷髅兵
</t>
        </r>
      </text>
    </comment>
  </commentList>
</comments>
</file>

<file path=xl/comments4.xml><?xml version="1.0" encoding="utf-8"?>
<comments xmlns="http://schemas.openxmlformats.org/spreadsheetml/2006/main">
  <authors>
    <author>ZL</author>
  </authors>
  <commentList>
    <comment ref="V2" authorId="0" shapeId="0">
      <text>
        <r>
          <rPr>
            <b/>
            <sz val="9"/>
            <color indexed="81"/>
            <rFont val="宋体"/>
            <family val="3"/>
            <charset val="134"/>
          </rPr>
          <t>视觉腰围</t>
        </r>
      </text>
    </comment>
    <comment ref="W2" authorId="0" shapeId="0">
      <text>
        <r>
          <rPr>
            <b/>
            <sz val="9"/>
            <color indexed="81"/>
            <rFont val="宋体"/>
            <family val="3"/>
            <charset val="134"/>
          </rPr>
          <t>15是1格</t>
        </r>
      </text>
    </comment>
    <comment ref="Z2" authorId="0" shapeId="0">
      <text>
        <r>
          <rPr>
            <b/>
            <sz val="9"/>
            <color indexed="81"/>
            <rFont val="宋体"/>
            <family val="3"/>
            <charset val="134"/>
          </rPr>
          <t>抛射速度
15像素是1格，每秒</t>
        </r>
      </text>
    </comment>
    <comment ref="AA2" authorId="0" shapeId="0">
      <text>
        <r>
          <rPr>
            <b/>
            <sz val="9"/>
            <color indexed="81"/>
            <rFont val="宋体"/>
            <family val="3"/>
            <charset val="134"/>
          </rPr>
          <t>0只对地  
1只对空  
2通吃</t>
        </r>
      </text>
    </comment>
    <comment ref="AB2" authorId="0" shapeId="0">
      <text>
        <r>
          <rPr>
            <b/>
            <sz val="9"/>
            <color indexed="81"/>
            <rFont val="宋体"/>
            <family val="3"/>
            <charset val="134"/>
          </rPr>
          <t>0近战 
1远程单体
2子弹
3原地转圈</t>
        </r>
      </text>
    </comment>
    <comment ref="AC2" authorId="0" shapeId="0">
      <text>
        <r>
          <rPr>
            <b/>
            <sz val="9"/>
            <color indexed="81"/>
            <rFont val="宋体"/>
            <family val="3"/>
            <charset val="134"/>
          </rPr>
          <t>0  
只有damagetype=2时有效</t>
        </r>
      </text>
    </comment>
    <comment ref="AE2" authorId="0" shapeId="0">
      <text>
        <r>
          <rPr>
            <b/>
            <sz val="9"/>
            <color indexed="81"/>
            <rFont val="宋体"/>
            <family val="3"/>
            <charset val="134"/>
          </rPr>
          <t>15是1格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0 主塔
1 次塔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0 不显示问号
1 显示问号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军队是模型ID
建筑是模型ID
技能是特效ID</t>
        </r>
      </text>
    </comment>
  </commentList>
</comments>
</file>

<file path=xl/comments5.xml><?xml version="1.0" encoding="utf-8"?>
<comments xmlns="http://schemas.openxmlformats.org/spreadsheetml/2006/main">
  <authors>
    <author>ZL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确定后就不改了。其他表都以此列引用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0 不显示问号
1 显示问号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军队是模型ID
建筑是模型ID
技能是特效ID</t>
        </r>
      </text>
    </comment>
    <comment ref="N1" authorId="0" shapeId="0">
      <text>
        <r>
          <rPr>
            <b/>
            <sz val="9"/>
            <color indexed="81"/>
            <rFont val="宋体"/>
            <family val="3"/>
            <charset val="134"/>
          </rPr>
          <t>极快60   快45
中等30   慢22</t>
        </r>
      </text>
    </comment>
    <comment ref="B50" authorId="0" shapeId="0">
      <text>
        <r>
          <rPr>
            <b/>
            <sz val="9"/>
            <color indexed="81"/>
            <rFont val="宋体"/>
            <family val="3"/>
            <charset val="134"/>
          </rPr>
          <t>ZL:</t>
        </r>
        <r>
          <rPr>
            <sz val="9"/>
            <color indexed="81"/>
            <rFont val="宋体"/>
            <family val="3"/>
            <charset val="134"/>
          </rPr>
          <t xml:space="preserve">
老的ID是111</t>
        </r>
      </text>
    </comment>
    <comment ref="B51" authorId="0" shapeId="0">
      <text>
        <r>
          <rPr>
            <b/>
            <sz val="9"/>
            <color indexed="81"/>
            <rFont val="宋体"/>
            <family val="3"/>
            <charset val="134"/>
          </rPr>
          <t>老的ID是33</t>
        </r>
      </text>
    </comment>
  </commentList>
</comments>
</file>

<file path=xl/comments6.xml><?xml version="1.0" encoding="utf-8"?>
<comments xmlns="http://schemas.openxmlformats.org/spreadsheetml/2006/main">
  <authors>
    <author>ZL</author>
  </authors>
  <commentLis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1秒30帧</t>
        </r>
      </text>
    </comment>
  </commentList>
</comments>
</file>

<file path=xl/comments7.xml><?xml version="1.0" encoding="utf-8"?>
<comments xmlns="http://schemas.openxmlformats.org/spreadsheetml/2006/main">
  <authors>
    <author>ZL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配置字段-网页字段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值的种类：
1,122
7.5 sec
20-400
</t>
        </r>
      </text>
    </comment>
  </commentList>
</comments>
</file>

<file path=xl/sharedStrings.xml><?xml version="1.0" encoding="utf-8"?>
<sst xmlns="http://schemas.openxmlformats.org/spreadsheetml/2006/main" count="2275" uniqueCount="853">
  <si>
    <t>《Troop》 新增字段：竞技场解锁等级arenaLev、未解锁时显示问号unlockUnknown</t>
    <phoneticPr fontId="3" type="noConversion"/>
  </si>
  <si>
    <t>通用字段</t>
    <phoneticPr fontId="3" type="noConversion"/>
  </si>
  <si>
    <t>isCard</t>
  </si>
  <si>
    <t>只是军队用到的，不显示在卡牌界面</t>
    <phoneticPr fontId="3" type="noConversion"/>
  </si>
  <si>
    <t>是卡牌</t>
  </si>
  <si>
    <t>卡牌（需要在卡牌界面中显示，需要记录玩家拥有卡牌的等级和数量）</t>
    <phoneticPr fontId="3" type="noConversion"/>
  </si>
  <si>
    <t>Rarity</t>
    <phoneticPr fontId="1" type="noConversion"/>
  </si>
  <si>
    <t>Common</t>
    <phoneticPr fontId="1" type="noConversion"/>
  </si>
  <si>
    <t>品质</t>
    <phoneticPr fontId="7" type="noConversion"/>
  </si>
  <si>
    <t>Rare</t>
    <phoneticPr fontId="1" type="noConversion"/>
  </si>
  <si>
    <t>Epic</t>
    <phoneticPr fontId="1" type="noConversion"/>
  </si>
  <si>
    <t>底色为黄色的格子，数据和原版不同</t>
    <phoneticPr fontId="3" type="noConversion"/>
  </si>
  <si>
    <t>begin</t>
  </si>
  <si>
    <t>end</t>
  </si>
  <si>
    <t>uint16</t>
  </si>
  <si>
    <t>notNull</t>
  </si>
  <si>
    <t>prevToNext</t>
  </si>
  <si>
    <t>品质</t>
    <phoneticPr fontId="3" type="noConversion"/>
  </si>
  <si>
    <t>等级</t>
    <phoneticPr fontId="3" type="noConversion"/>
  </si>
  <si>
    <t>升级需要卡牌数量</t>
    <phoneticPr fontId="3" type="noConversion"/>
  </si>
  <si>
    <t>升级需要金币</t>
    <phoneticPr fontId="3" type="noConversion"/>
  </si>
  <si>
    <t>升级获得经验</t>
    <phoneticPr fontId="3" type="noConversion"/>
  </si>
  <si>
    <t>B</t>
  </si>
  <si>
    <r>
      <t>（稀有卡牌可升级到1</t>
    </r>
    <r>
      <rPr>
        <sz val="11"/>
        <color indexed="8"/>
        <rFont val="宋体"/>
        <family val="3"/>
        <charset val="134"/>
      </rPr>
      <t>0级）</t>
    </r>
    <phoneticPr fontId="3" type="noConversion"/>
  </si>
  <si>
    <t>E</t>
  </si>
  <si>
    <t>name</t>
  </si>
  <si>
    <t>cost</t>
  </si>
  <si>
    <t>hp</t>
  </si>
  <si>
    <t>damage</t>
  </si>
  <si>
    <t>speed</t>
  </si>
  <si>
    <t>cells</t>
  </si>
  <si>
    <t>number</t>
  </si>
  <si>
    <t>int32</t>
  </si>
  <si>
    <t>血量</t>
  </si>
  <si>
    <t>攻击</t>
  </si>
  <si>
    <t>攻击间隔</t>
  </si>
  <si>
    <t>移动速度</t>
  </si>
  <si>
    <t>占用格子</t>
  </si>
  <si>
    <t>视觉腰围</t>
  </si>
  <si>
    <t>射程</t>
  </si>
  <si>
    <t>子弹飞行速度</t>
  </si>
  <si>
    <t>投放多人间隔距离</t>
  </si>
  <si>
    <t>投放人数</t>
  </si>
  <si>
    <t>亡灵部落</t>
  </si>
  <si>
    <t>法师</t>
  </si>
  <si>
    <t>2,4</t>
  </si>
  <si>
    <t>小石头人</t>
  </si>
  <si>
    <t>未解锁时显示问号</t>
    <phoneticPr fontId="3" type="noConversion"/>
  </si>
  <si>
    <r>
      <t>i</t>
    </r>
    <r>
      <rPr>
        <sz val="11"/>
        <color indexed="8"/>
        <rFont val="宋体"/>
        <family val="3"/>
        <charset val="134"/>
      </rPr>
      <t>d</t>
    </r>
    <phoneticPr fontId="3" type="noConversion"/>
  </si>
  <si>
    <t>是卡牌</t>
    <phoneticPr fontId="3" type="noConversion"/>
  </si>
  <si>
    <t>竞技场解锁等级</t>
    <phoneticPr fontId="3" type="noConversion"/>
  </si>
  <si>
    <t>排序序号</t>
    <phoneticPr fontId="3" type="noConversion"/>
  </si>
  <si>
    <t>花费能量</t>
    <phoneticPr fontId="3" type="noConversion"/>
  </si>
  <si>
    <t>AI类型</t>
    <phoneticPr fontId="3" type="noConversion"/>
  </si>
  <si>
    <t>目标类型</t>
    <phoneticPr fontId="3" type="noConversion"/>
  </si>
  <si>
    <t>空军</t>
    <phoneticPr fontId="3" type="noConversion"/>
  </si>
  <si>
    <t>攻击类型</t>
    <phoneticPr fontId="3" type="noConversion"/>
  </si>
  <si>
    <t xml:space="preserve">技能数组 </t>
    <phoneticPr fontId="3" type="noConversion"/>
  </si>
  <si>
    <t>2自爆
半径</t>
    <phoneticPr fontId="3" type="noConversion"/>
  </si>
  <si>
    <t>自爆
伤害</t>
    <phoneticPr fontId="3" type="noConversion"/>
  </si>
  <si>
    <t>自爆延时</t>
    <phoneticPr fontId="3" type="noConversion"/>
  </si>
  <si>
    <t>3召唤
间隔</t>
    <phoneticPr fontId="3" type="noConversion"/>
  </si>
  <si>
    <t>召唤数量</t>
    <phoneticPr fontId="3" type="noConversion"/>
  </si>
  <si>
    <t>召唤兵种</t>
    <phoneticPr fontId="3" type="noConversion"/>
  </si>
  <si>
    <t>召唤兵种等级</t>
    <phoneticPr fontId="3" type="noConversion"/>
  </si>
  <si>
    <t>4死亡分裂
数量</t>
    <phoneticPr fontId="3" type="noConversion"/>
  </si>
  <si>
    <t>分裂兵种</t>
    <phoneticPr fontId="3" type="noConversion"/>
  </si>
  <si>
    <t>分裂兵种等级</t>
    <phoneticPr fontId="3" type="noConversion"/>
  </si>
  <si>
    <t>id</t>
    <phoneticPr fontId="3" type="noConversion"/>
  </si>
  <si>
    <t>isCard</t>
    <phoneticPr fontId="3" type="noConversion"/>
  </si>
  <si>
    <t>unlockUnknown</t>
    <phoneticPr fontId="3" type="noConversion"/>
  </si>
  <si>
    <t>index</t>
    <phoneticPr fontId="3" type="noConversion"/>
  </si>
  <si>
    <t>id</t>
    <phoneticPr fontId="3" type="noConversion"/>
  </si>
  <si>
    <t>isCard</t>
    <phoneticPr fontId="3" type="noConversion"/>
  </si>
  <si>
    <t>unlockUnknown</t>
    <phoneticPr fontId="3" type="noConversion"/>
  </si>
  <si>
    <t>index</t>
    <phoneticPr fontId="3" type="noConversion"/>
  </si>
  <si>
    <t>uint16</t>
    <phoneticPr fontId="3" type="noConversion"/>
  </si>
  <si>
    <r>
      <t>int</t>
    </r>
    <r>
      <rPr>
        <sz val="11"/>
        <color indexed="8"/>
        <rFont val="宋体"/>
        <family val="3"/>
        <charset val="134"/>
      </rPr>
      <t>32</t>
    </r>
    <phoneticPr fontId="3" type="noConversion"/>
  </si>
  <si>
    <t>是卡牌</t>
    <phoneticPr fontId="3" type="noConversion"/>
  </si>
  <si>
    <t>竞技场解锁等级</t>
    <phoneticPr fontId="3" type="noConversion"/>
  </si>
  <si>
    <t>未解锁时显示问号</t>
    <phoneticPr fontId="3" type="noConversion"/>
  </si>
  <si>
    <t>排序序号</t>
    <phoneticPr fontId="3" type="noConversion"/>
  </si>
  <si>
    <t>品质</t>
    <phoneticPr fontId="3" type="noConversion"/>
  </si>
  <si>
    <t>等级</t>
    <phoneticPr fontId="3" type="noConversion"/>
  </si>
  <si>
    <t>花费能量</t>
    <phoneticPr fontId="3" type="noConversion"/>
  </si>
  <si>
    <t>B</t>
    <phoneticPr fontId="3" type="noConversion"/>
  </si>
  <si>
    <t>uint16</t>
    <phoneticPr fontId="3" type="noConversion"/>
  </si>
  <si>
    <t>B</t>
    <phoneticPr fontId="3" type="noConversion"/>
  </si>
  <si>
    <t>哥布林小屋</t>
  </si>
  <si>
    <t>quality</t>
    <phoneticPr fontId="3" type="noConversion"/>
  </si>
  <si>
    <t>level</t>
    <phoneticPr fontId="3" type="noConversion"/>
  </si>
  <si>
    <t>int32</t>
    <phoneticPr fontId="1" type="noConversion"/>
  </si>
  <si>
    <t>notNull</t>
    <phoneticPr fontId="1" type="noConversion"/>
  </si>
  <si>
    <t>float</t>
    <phoneticPr fontId="1" type="noConversion"/>
  </si>
  <si>
    <t>arenaLevel</t>
    <phoneticPr fontId="3" type="noConversion"/>
  </si>
  <si>
    <t>uint32</t>
    <phoneticPr fontId="1" type="noConversion"/>
  </si>
  <si>
    <t>int32</t>
    <phoneticPr fontId="1" type="noConversion"/>
  </si>
  <si>
    <t>8W</t>
    <phoneticPr fontId="1" type="noConversion"/>
  </si>
  <si>
    <t>targetType</t>
    <phoneticPr fontId="1" type="noConversion"/>
  </si>
  <si>
    <t>aiType</t>
    <phoneticPr fontId="1" type="noConversion"/>
  </si>
  <si>
    <t>unitType</t>
    <phoneticPr fontId="1" type="noConversion"/>
  </si>
  <si>
    <t>8W</t>
    <phoneticPr fontId="3" type="noConversion"/>
  </si>
  <si>
    <t>uint32</t>
    <phoneticPr fontId="1" type="noConversion"/>
  </si>
  <si>
    <t>uint16</t>
    <phoneticPr fontId="1" type="noConversion"/>
  </si>
  <si>
    <t>uint32</t>
    <phoneticPr fontId="3" type="noConversion"/>
  </si>
  <si>
    <t>int32</t>
    <phoneticPr fontId="3" type="noConversion"/>
  </si>
  <si>
    <t>quality</t>
    <phoneticPr fontId="1" type="noConversion"/>
  </si>
  <si>
    <t>level</t>
    <phoneticPr fontId="1" type="noConversion"/>
  </si>
  <si>
    <t>desc</t>
    <phoneticPr fontId="7" type="noConversion"/>
  </si>
  <si>
    <t>descKey</t>
    <phoneticPr fontId="7" type="noConversion"/>
  </si>
  <si>
    <t>string</t>
    <phoneticPr fontId="7" type="noConversion"/>
  </si>
  <si>
    <t>uint32</t>
    <phoneticPr fontId="7" type="noConversion"/>
  </si>
  <si>
    <t>描述</t>
    <phoneticPr fontId="1" type="noConversion"/>
  </si>
  <si>
    <t>名称</t>
    <phoneticPr fontId="1" type="noConversion"/>
  </si>
  <si>
    <t>描述Key</t>
    <phoneticPr fontId="1" type="noConversion"/>
  </si>
  <si>
    <t>int32[]</t>
    <phoneticPr fontId="1" type="noConversion"/>
  </si>
  <si>
    <t>attackCoolDown</t>
    <phoneticPr fontId="1" type="noConversion"/>
  </si>
  <si>
    <t>halfWeight</t>
    <phoneticPr fontId="1" type="noConversion"/>
  </si>
  <si>
    <t>shootRange</t>
    <phoneticPr fontId="1" type="noConversion"/>
  </si>
  <si>
    <t>tokenFlySpeed</t>
    <phoneticPr fontId="1" type="noConversion"/>
  </si>
  <si>
    <t>troopOffset</t>
    <phoneticPr fontId="1" type="noConversion"/>
  </si>
  <si>
    <t>specialAbility</t>
    <phoneticPr fontId="1" type="noConversion"/>
  </si>
  <si>
    <t>spRadius</t>
    <phoneticPr fontId="1" type="noConversion"/>
  </si>
  <si>
    <t>spDamage</t>
    <phoneticPr fontId="1" type="noConversion"/>
  </si>
  <si>
    <t>spTimer</t>
    <phoneticPr fontId="1" type="noConversion"/>
  </si>
  <si>
    <t>spawnSpeed</t>
    <phoneticPr fontId="1" type="noConversion"/>
  </si>
  <si>
    <t>spawnNumber</t>
    <phoneticPr fontId="1" type="noConversion"/>
  </si>
  <si>
    <t>troopLevel</t>
    <phoneticPr fontId="3" type="noConversion"/>
  </si>
  <si>
    <t>splitNumber</t>
    <phoneticPr fontId="1" type="noConversion"/>
  </si>
  <si>
    <t>splitTroop</t>
    <phoneticPr fontId="1" type="noConversion"/>
  </si>
  <si>
    <t>splitTroopLevel</t>
    <phoneticPr fontId="3" type="noConversion"/>
  </si>
  <si>
    <t>requireCardNum</t>
  </si>
  <si>
    <t>requireGold</t>
  </si>
  <si>
    <t>rewardExp</t>
  </si>
  <si>
    <t>特殊：镜像的花费能量=上一张卡牌的消耗+1</t>
    <phoneticPr fontId="1" type="noConversion"/>
  </si>
  <si>
    <t>名称</t>
  </si>
  <si>
    <t>骑士</t>
    <phoneticPr fontId="1" type="noConversion"/>
  </si>
  <si>
    <t>炸弹人</t>
    <phoneticPr fontId="1" type="noConversion"/>
  </si>
  <si>
    <t>火球</t>
    <phoneticPr fontId="1" type="noConversion"/>
  </si>
  <si>
    <t>箭雨</t>
    <phoneticPr fontId="1" type="noConversion"/>
  </si>
  <si>
    <t>巨人</t>
    <phoneticPr fontId="1" type="noConversion"/>
  </si>
  <si>
    <t>火枪手</t>
    <phoneticPr fontId="1" type="noConversion"/>
  </si>
  <si>
    <t>哥布林</t>
    <phoneticPr fontId="1" type="noConversion"/>
  </si>
  <si>
    <t>弓箭手</t>
    <phoneticPr fontId="1" type="noConversion"/>
  </si>
  <si>
    <t>女巫</t>
    <phoneticPr fontId="1" type="noConversion"/>
  </si>
  <si>
    <t>女武神</t>
    <phoneticPr fontId="1" type="noConversion"/>
  </si>
  <si>
    <t>骷髅海</t>
    <phoneticPr fontId="1" type="noConversion"/>
  </si>
  <si>
    <t>幼龙</t>
    <phoneticPr fontId="1" type="noConversion"/>
  </si>
  <si>
    <t>王子</t>
    <phoneticPr fontId="1" type="noConversion"/>
  </si>
  <si>
    <t>闪电</t>
    <phoneticPr fontId="1" type="noConversion"/>
  </si>
  <si>
    <t>小皮卡</t>
    <phoneticPr fontId="1" type="noConversion"/>
  </si>
  <si>
    <t>投枪哥布林</t>
    <phoneticPr fontId="1" type="noConversion"/>
  </si>
  <si>
    <t>哥布林桶</t>
    <phoneticPr fontId="1" type="noConversion"/>
  </si>
  <si>
    <t>亡灵</t>
    <phoneticPr fontId="1" type="noConversion"/>
  </si>
  <si>
    <t>骷髅兵</t>
    <phoneticPr fontId="1" type="noConversion"/>
  </si>
  <si>
    <t>炸弹塔</t>
    <phoneticPr fontId="1" type="noConversion"/>
  </si>
  <si>
    <t>墓地</t>
    <phoneticPr fontId="1" type="noConversion"/>
  </si>
  <si>
    <t>气球炸弹</t>
    <phoneticPr fontId="1" type="noConversion"/>
  </si>
  <si>
    <t>骷髅巨人</t>
    <phoneticPr fontId="1" type="noConversion"/>
  </si>
  <si>
    <t>野蛮人</t>
    <phoneticPr fontId="1" type="noConversion"/>
  </si>
  <si>
    <t>加农炮</t>
    <phoneticPr fontId="1" type="noConversion"/>
  </si>
  <si>
    <t>野蛮人之家</t>
    <phoneticPr fontId="1" type="noConversion"/>
  </si>
  <si>
    <t>火箭</t>
    <phoneticPr fontId="1" type="noConversion"/>
  </si>
  <si>
    <t>X弩</t>
    <phoneticPr fontId="1" type="noConversion"/>
  </si>
  <si>
    <t>狂暴药水</t>
    <phoneticPr fontId="1" type="noConversion"/>
  </si>
  <si>
    <t>特斯拉线圈</t>
    <phoneticPr fontId="1" type="noConversion"/>
  </si>
  <si>
    <t>野猪骑士</t>
    <phoneticPr fontId="1" type="noConversion"/>
  </si>
  <si>
    <t>地狱之塔</t>
    <phoneticPr fontId="1" type="noConversion"/>
  </si>
  <si>
    <t>大皮卡</t>
    <phoneticPr fontId="1" type="noConversion"/>
  </si>
  <si>
    <t>冻结</t>
    <phoneticPr fontId="1" type="noConversion"/>
  </si>
  <si>
    <t>震击</t>
    <phoneticPr fontId="1" type="noConversion"/>
  </si>
  <si>
    <t>镜像</t>
    <phoneticPr fontId="1" type="noConversion"/>
  </si>
  <si>
    <t>迫击炮</t>
    <phoneticPr fontId="1" type="noConversion"/>
  </si>
  <si>
    <t>能量收集器</t>
    <phoneticPr fontId="1" type="noConversion"/>
  </si>
  <si>
    <t>石头人</t>
    <phoneticPr fontId="1" type="noConversion"/>
  </si>
  <si>
    <t>顺序1</t>
    <phoneticPr fontId="1" type="noConversion"/>
  </si>
  <si>
    <t>顺序2</t>
    <phoneticPr fontId="1" type="noConversion"/>
  </si>
  <si>
    <t>总</t>
    <phoneticPr fontId="1" type="noConversion"/>
  </si>
  <si>
    <t>结论：他原来的规则没搞明白，暂时用这个。</t>
    <phoneticPr fontId="1" type="noConversion"/>
  </si>
  <si>
    <t>名称</t>
    <phoneticPr fontId="1" type="noConversion"/>
  </si>
  <si>
    <t>在任何地方召唤三名哥布林。这将是场令人兴奋的旅行, 小伙子们!</t>
  </si>
  <si>
    <t>然后… 火球术。  把一小片区域烧成灰烬, 造成高额伤害。 但对皇家塔楼造成的伤害较低。</t>
  </si>
  <si>
    <t>对一小片区域造成范围伤害。看起来它将做的很棒。 对皇家塔楼造成少量伤害。</t>
  </si>
  <si>
    <t>竞技场里有很多蝴蝶自由飞翔的区域。  但对 P.E.K.K.A来说毫无吸引力, 只有毁灭。</t>
    <phoneticPr fontId="1" type="noConversion"/>
  </si>
  <si>
    <t>持续时间-毫秒</t>
    <phoneticPr fontId="1" type="noConversion"/>
  </si>
  <si>
    <t>对塔伤害</t>
  </si>
  <si>
    <t>半径</t>
    <phoneticPr fontId="1" type="noConversion"/>
  </si>
  <si>
    <t>镜像普卡等级</t>
    <phoneticPr fontId="1" type="noConversion"/>
  </si>
  <si>
    <t>镜像橙卡等级</t>
    <phoneticPr fontId="1" type="noConversion"/>
  </si>
  <si>
    <t>镜像紫卡等级</t>
    <phoneticPr fontId="1" type="noConversion"/>
  </si>
  <si>
    <t>眩晕时间</t>
    <phoneticPr fontId="1" type="noConversion"/>
  </si>
  <si>
    <t>mirroredCommonLevel</t>
    <phoneticPr fontId="1" type="noConversion"/>
  </si>
  <si>
    <t>mirroredRareLevel</t>
    <phoneticPr fontId="1" type="noConversion"/>
  </si>
  <si>
    <t>mirroredEpicLevel</t>
    <phoneticPr fontId="1" type="noConversion"/>
  </si>
  <si>
    <t>（普通卡牌可升级到12级。但是有可能卡牌配置13级甚至更高，这是其他技能卡牌引用到此等级，无法升级获得。）</t>
    <phoneticPr fontId="3" type="noConversion"/>
  </si>
  <si>
    <t>stunTime</t>
    <phoneticPr fontId="1" type="noConversion"/>
  </si>
  <si>
    <t>部署时间</t>
  </si>
  <si>
    <t>buff持续时间</t>
    <phoneticPr fontId="1" type="noConversion"/>
  </si>
  <si>
    <t>攻击max</t>
    <phoneticPr fontId="1" type="noConversion"/>
  </si>
  <si>
    <t>毒药</t>
    <phoneticPr fontId="1" type="noConversion"/>
  </si>
  <si>
    <t>卡牌种类</t>
    <phoneticPr fontId="1" type="noConversion"/>
  </si>
  <si>
    <t>兵种</t>
  </si>
  <si>
    <t>建筑</t>
  </si>
  <si>
    <t>技能</t>
  </si>
  <si>
    <t>deployTime</t>
    <phoneticPr fontId="1" type="noConversion"/>
  </si>
  <si>
    <t>兵种</t>
    <phoneticPr fontId="1" type="noConversion"/>
  </si>
  <si>
    <t>必须显示</t>
    <phoneticPr fontId="1" type="noConversion"/>
  </si>
  <si>
    <t>单位</t>
    <phoneticPr fontId="1" type="noConversion"/>
  </si>
  <si>
    <t>精确度</t>
    <phoneticPr fontId="1" type="noConversion"/>
  </si>
  <si>
    <t>显示条件</t>
    <phoneticPr fontId="1" type="noConversion"/>
  </si>
  <si>
    <t>spDamage＞0</t>
    <phoneticPr fontId="1" type="noConversion"/>
  </si>
  <si>
    <t>number</t>
    <phoneticPr fontId="1" type="noConversion"/>
  </si>
  <si>
    <t>number＞1</t>
    <phoneticPr fontId="1" type="noConversion"/>
  </si>
  <si>
    <t>hp</t>
    <phoneticPr fontId="1" type="noConversion"/>
  </si>
  <si>
    <t>damage</t>
    <phoneticPr fontId="1" type="noConversion"/>
  </si>
  <si>
    <t>attackCoolDown / 1000</t>
    <phoneticPr fontId="1" type="noConversion"/>
  </si>
  <si>
    <t>deployTime / 1000</t>
    <phoneticPr fontId="1" type="noConversion"/>
  </si>
  <si>
    <t>damage/attackCoolDown*1000</t>
    <phoneticPr fontId="1" type="noConversion"/>
  </si>
  <si>
    <t>整数</t>
    <phoneticPr fontId="1" type="noConversion"/>
  </si>
  <si>
    <t>1位小数</t>
    <phoneticPr fontId="1" type="noConversion"/>
  </si>
  <si>
    <t>精确度是1位小数，如果小数部分=0，则只显示整数</t>
    <phoneticPr fontId="1" type="noConversion"/>
  </si>
  <si>
    <t>显示值</t>
    <phoneticPr fontId="1" type="noConversion"/>
  </si>
  <si>
    <t>字段名称备注</t>
    <phoneticPr fontId="1" type="noConversion"/>
  </si>
  <si>
    <t>radius</t>
    <phoneticPr fontId="1" type="noConversion"/>
  </si>
  <si>
    <t>troop</t>
    <phoneticPr fontId="1" type="noConversion"/>
  </si>
  <si>
    <t>新增 卡牌品质：4 传说</t>
    <phoneticPr fontId="1" type="noConversion"/>
  </si>
  <si>
    <t>（史诗卡牌可升级到8级）</t>
    <phoneticPr fontId="3" type="noConversion"/>
  </si>
  <si>
    <t>（传说卡牌可升级到8级）</t>
    <phoneticPr fontId="3" type="noConversion"/>
  </si>
  <si>
    <t>寒冰法师</t>
    <phoneticPr fontId="1" type="noConversion"/>
  </si>
  <si>
    <t>Legendary</t>
    <phoneticPr fontId="7" type="noConversion"/>
  </si>
  <si>
    <t>2自爆
半径</t>
  </si>
  <si>
    <t>自爆延时</t>
  </si>
  <si>
    <t>死亡后造成面积伤害，并且分裂成2个小石头人。小石头人死亡也会产生爆炸。</t>
  </si>
  <si>
    <t>每隔一段时间召唤3个骷髅</t>
  </si>
  <si>
    <t>冲锋：一旦跑起来，第一次伤害是双倍</t>
  </si>
  <si>
    <t>Aoe范围攻击</t>
  </si>
  <si>
    <t>火枪手对空中部队有伤害加成</t>
  </si>
  <si>
    <t>可以挤开其他单位</t>
  </si>
  <si>
    <t>墓地被击毁后会出现一对骷髅兵</t>
  </si>
  <si>
    <t>生产投枪哥布林"Building that spawns Spear Goblins. But don't look inside. You don't want to see how they are made."</t>
  </si>
  <si>
    <t>"Defensive building, roasts targets for damage that increases over time. Burns through even the biggest and toughest enemies!"</t>
  </si>
  <si>
    <t>"Defensive building. Whenever it's not zapping the enemy, the power of Electrickery is best kept grounded."</t>
  </si>
  <si>
    <t>不能打飞行单位</t>
  </si>
  <si>
    <t>bolts of lightning hit up to 3 enemy troops or buildings with the most hitpoints in the target area. Reduced damage to Crown Towers.</t>
  </si>
  <si>
    <t>"Increases troop movement and attack speed by 35%. Troop buildings and summoners deploy troop faster. Chaaarge!"</t>
  </si>
  <si>
    <t>Mirrors your last card played for +1 Elixir</t>
  </si>
  <si>
    <t>"Freezes troops and buildings, making them unable to move or attack. Everybody chill."</t>
  </si>
  <si>
    <t>"Deals high damage to a small area. Looks really awesome doing it. Reduced damage to Crown Towers."</t>
  </si>
  <si>
    <t>"Lightning zaps enemies, dealing damage inside a small radius. Reduced damage to Crown Towers."</t>
  </si>
  <si>
    <t>备注</t>
    <phoneticPr fontId="1" type="noConversion"/>
  </si>
  <si>
    <t>产出能量时间</t>
    <phoneticPr fontId="1" type="noConversion"/>
  </si>
  <si>
    <t>卡牌图片</t>
    <phoneticPr fontId="1" type="noConversion"/>
  </si>
  <si>
    <t>cardPicture</t>
    <phoneticPr fontId="1" type="noConversion"/>
  </si>
  <si>
    <t>卡牌美术资源</t>
    <phoneticPr fontId="1" type="noConversion"/>
  </si>
  <si>
    <t>cardArtResource</t>
    <phoneticPr fontId="1" type="noConversion"/>
  </si>
  <si>
    <t>等级</t>
    <phoneticPr fontId="1" type="noConversion"/>
  </si>
  <si>
    <t>卡牌数量</t>
    <phoneticPr fontId="1" type="noConversion"/>
  </si>
  <si>
    <t>累计数量</t>
    <phoneticPr fontId="1" type="noConversion"/>
  </si>
  <si>
    <t>通用文本.秒</t>
    <phoneticPr fontId="1" type="noConversion"/>
  </si>
  <si>
    <t>字段名key</t>
    <phoneticPr fontId="1" type="noConversion"/>
  </si>
  <si>
    <t>属性.伤害</t>
  </si>
  <si>
    <t>属性.生命值</t>
  </si>
  <si>
    <t>属性.每秒伤害值</t>
  </si>
  <si>
    <t>属性.死亡附加伤害</t>
  </si>
  <si>
    <t>属性.出兵速度</t>
  </si>
  <si>
    <t>属性.攻击速度</t>
  </si>
  <si>
    <t>属性.目标</t>
  </si>
  <si>
    <t>属性.移动速度</t>
  </si>
  <si>
    <t>属性.部署时间</t>
  </si>
  <si>
    <t>属性.数量</t>
  </si>
  <si>
    <t>targetType=0 显示“属性值.地面目标”
targetType=2 显示“属性值.陆空兼顾”</t>
    <phoneticPr fontId="1" type="noConversion"/>
  </si>
  <si>
    <t>speed＜25     显示“属性值.慢”
25≤speed＜40 显示“属性值.中等”
40≤speed＜55 显示 “属性值.快”
55≤speed     显示 “属性值.极快”</t>
    <phoneticPr fontId="1" type="noConversion"/>
  </si>
  <si>
    <t>公主</t>
    <phoneticPr fontId="1" type="noConversion"/>
  </si>
  <si>
    <t>黑暗王子</t>
    <phoneticPr fontId="1" type="noConversion"/>
  </si>
  <si>
    <t>盾牌HP</t>
    <phoneticPr fontId="1" type="noConversion"/>
  </si>
  <si>
    <t>显示射程</t>
    <phoneticPr fontId="1" type="noConversion"/>
  </si>
  <si>
    <t>showShootRange</t>
    <phoneticPr fontId="1" type="noConversion"/>
  </si>
  <si>
    <t>近战</t>
    <phoneticPr fontId="1" type="noConversion"/>
  </si>
  <si>
    <t>damageType</t>
    <phoneticPr fontId="1" type="noConversion"/>
  </si>
  <si>
    <t>int32</t>
    <phoneticPr fontId="7" type="noConversion"/>
  </si>
  <si>
    <t>string</t>
    <phoneticPr fontId="1" type="noConversion"/>
  </si>
  <si>
    <t>spDamage</t>
    <phoneticPr fontId="1" type="noConversion"/>
  </si>
  <si>
    <t>整数</t>
    <phoneticPr fontId="1" type="noConversion"/>
  </si>
  <si>
    <t>属性.{0}兵种等级</t>
    <phoneticPr fontId="1" type="noConversion"/>
  </si>
  <si>
    <t>troopLevel＞0</t>
    <phoneticPr fontId="1" type="noConversion"/>
  </si>
  <si>
    <t>troopLevel</t>
    <phoneticPr fontId="1" type="noConversion"/>
  </si>
  <si>
    <t>{0}=troop对应兵种的名称</t>
    <phoneticPr fontId="1" type="noConversion"/>
  </si>
  <si>
    <t>spawnSpeed＞0</t>
    <phoneticPr fontId="1" type="noConversion"/>
  </si>
  <si>
    <t>spawnSpeed / 1000</t>
    <phoneticPr fontId="1" type="noConversion"/>
  </si>
  <si>
    <t>1位小数</t>
    <phoneticPr fontId="1" type="noConversion"/>
  </si>
  <si>
    <t>文本</t>
    <phoneticPr fontId="1" type="noConversion"/>
  </si>
  <si>
    <t>属性.射程</t>
    <phoneticPr fontId="1" type="noConversion"/>
  </si>
  <si>
    <t>showShootRange （本字段是文本）</t>
    <phoneticPr fontId="1" type="noConversion"/>
  </si>
  <si>
    <t>建筑</t>
    <phoneticPr fontId="1" type="noConversion"/>
  </si>
  <si>
    <t>字段名key</t>
    <phoneticPr fontId="1" type="noConversion"/>
  </si>
  <si>
    <t>显示条件</t>
    <phoneticPr fontId="1" type="noConversion"/>
  </si>
  <si>
    <t>显示值</t>
    <phoneticPr fontId="1" type="noConversion"/>
  </si>
  <si>
    <t>精确度</t>
    <phoneticPr fontId="1" type="noConversion"/>
  </si>
  <si>
    <t>单位</t>
    <phoneticPr fontId="1" type="noConversion"/>
  </si>
  <si>
    <t>字段名称备注</t>
    <phoneticPr fontId="1" type="noConversion"/>
  </si>
  <si>
    <t>必须显示</t>
    <phoneticPr fontId="1" type="noConversion"/>
  </si>
  <si>
    <t>hp</t>
    <phoneticPr fontId="1" type="noConversion"/>
  </si>
  <si>
    <t>damage＞0</t>
    <phoneticPr fontId="1" type="noConversion"/>
  </si>
  <si>
    <t>radius＞0，则字段名显示“属性.范围伤害”</t>
    <phoneticPr fontId="1" type="noConversion"/>
  </si>
  <si>
    <t>attackCoolDown / 1000</t>
    <phoneticPr fontId="1" type="noConversion"/>
  </si>
  <si>
    <t>通用文本.秒</t>
    <phoneticPr fontId="1" type="noConversion"/>
  </si>
  <si>
    <t>targetType=0 显示“属性值.地面目标”
targetType=2 显示“属性值.陆空兼顾”</t>
    <phoneticPr fontId="1" type="noConversion"/>
  </si>
  <si>
    <t>文本</t>
    <phoneticPr fontId="1" type="noConversion"/>
  </si>
  <si>
    <t>属性.射程</t>
    <phoneticPr fontId="1" type="noConversion"/>
  </si>
  <si>
    <t>属性.产出速度</t>
    <phoneticPr fontId="1" type="noConversion"/>
  </si>
  <si>
    <t>productionSpeed＞0</t>
    <phoneticPr fontId="1" type="noConversion"/>
  </si>
  <si>
    <t>productionSpeed/1000</t>
    <phoneticPr fontId="1" type="noConversion"/>
  </si>
  <si>
    <t>deployTime / 1000</t>
    <phoneticPr fontId="1" type="noConversion"/>
  </si>
  <si>
    <t>属性.持续时间</t>
    <phoneticPr fontId="1" type="noConversion"/>
  </si>
  <si>
    <t>lifeTime/1000</t>
    <phoneticPr fontId="1" type="noConversion"/>
  </si>
  <si>
    <t>技能</t>
    <phoneticPr fontId="1" type="noConversion"/>
  </si>
  <si>
    <t>属性.普通伤害</t>
    <phoneticPr fontId="1" type="noConversion"/>
  </si>
  <si>
    <t>normalDamage＞0</t>
    <phoneticPr fontId="1" type="noConversion"/>
  </si>
  <si>
    <t>属性.对塔伤害</t>
    <phoneticPr fontId="1" type="noConversion"/>
  </si>
  <si>
    <t>crownTowerDamage＞0</t>
    <phoneticPr fontId="1" type="noConversion"/>
  </si>
  <si>
    <t>crownTowerDamage</t>
    <phoneticPr fontId="1" type="noConversion"/>
  </si>
  <si>
    <t>duration＞0</t>
    <phoneticPr fontId="1" type="noConversion"/>
  </si>
  <si>
    <t>duration/1000</t>
    <phoneticPr fontId="1" type="noConversion"/>
  </si>
  <si>
    <t>属性.范围半径</t>
    <phoneticPr fontId="1" type="noConversion"/>
  </si>
  <si>
    <t>radius＞0</t>
    <phoneticPr fontId="1" type="noConversion"/>
  </si>
  <si>
    <t>radius/30</t>
    <phoneticPr fontId="1" type="noConversion"/>
  </si>
  <si>
    <t>属性.{0}兵种数量</t>
    <phoneticPr fontId="1" type="noConversion"/>
  </si>
  <si>
    <t>spawnNumber</t>
    <phoneticPr fontId="1" type="noConversion"/>
  </si>
  <si>
    <t>属性.镜像普卡等级</t>
  </si>
  <si>
    <t>mirroredCommonLevel＞0</t>
    <phoneticPr fontId="1" type="noConversion"/>
  </si>
  <si>
    <t>mirroredCommonLevel</t>
    <phoneticPr fontId="1" type="noConversion"/>
  </si>
  <si>
    <t>属性.镜像橙卡等级</t>
  </si>
  <si>
    <t>mirroredRareLevel＞0</t>
    <phoneticPr fontId="1" type="noConversion"/>
  </si>
  <si>
    <t>mirroredRareLevel</t>
    <phoneticPr fontId="1" type="noConversion"/>
  </si>
  <si>
    <t>属性.镜像紫卡等级</t>
  </si>
  <si>
    <t>mirroredEpicLevel＞0</t>
    <phoneticPr fontId="1" type="noConversion"/>
  </si>
  <si>
    <t>mirroredEpicLevel</t>
    <phoneticPr fontId="1" type="noConversion"/>
  </si>
  <si>
    <t>属性.镜像传说卡等级</t>
  </si>
  <si>
    <t>mirroredLegendaryLevel＞0</t>
    <phoneticPr fontId="1" type="noConversion"/>
  </si>
  <si>
    <t>mirroredLegendaryLevel</t>
    <phoneticPr fontId="1" type="noConversion"/>
  </si>
  <si>
    <t>如果卡牌ID=110 字段名显示“属性.每秒普通伤害”</t>
    <phoneticPr fontId="1" type="noConversion"/>
  </si>
  <si>
    <t>如果卡牌ID=110 字段名显示“属性.每秒对塔伤害”</t>
    <phoneticPr fontId="1" type="noConversion"/>
  </si>
  <si>
    <t>buffTime</t>
    <phoneticPr fontId="1" type="noConversion"/>
  </si>
  <si>
    <t>normalDamage</t>
    <phoneticPr fontId="1" type="noConversion"/>
  </si>
  <si>
    <t>crownTowerDamage</t>
    <phoneticPr fontId="1" type="noConversion"/>
  </si>
  <si>
    <r>
      <t>int</t>
    </r>
    <r>
      <rPr>
        <sz val="11"/>
        <color indexed="8"/>
        <rFont val="宋体"/>
        <family val="3"/>
        <charset val="134"/>
      </rPr>
      <t>32</t>
    </r>
    <phoneticPr fontId="3" type="noConversion"/>
  </si>
  <si>
    <t>普通伤害（对兵和建筑卡）</t>
    <phoneticPr fontId="1" type="noConversion"/>
  </si>
  <si>
    <t>troop</t>
    <phoneticPr fontId="1" type="noConversion"/>
  </si>
  <si>
    <t>troopLevel</t>
    <phoneticPr fontId="3" type="noConversion"/>
  </si>
  <si>
    <t>notNull</t>
    <phoneticPr fontId="1" type="noConversion"/>
  </si>
  <si>
    <t>召唤数量</t>
    <phoneticPr fontId="3" type="noConversion"/>
  </si>
  <si>
    <t>召唤数量</t>
    <phoneticPr fontId="3" type="noConversion"/>
  </si>
  <si>
    <t>召唤兵种</t>
    <phoneticPr fontId="3" type="noConversion"/>
  </si>
  <si>
    <t>召唤兵种等级</t>
    <phoneticPr fontId="3" type="noConversion"/>
  </si>
  <si>
    <t>mirroredLegendaryLevel</t>
    <phoneticPr fontId="1" type="noConversion"/>
  </si>
  <si>
    <t>镜像传说卡等级</t>
    <phoneticPr fontId="1" type="noConversion"/>
  </si>
  <si>
    <t>半径（格子）</t>
    <phoneticPr fontId="1" type="noConversion"/>
  </si>
  <si>
    <t>level</t>
    <phoneticPr fontId="3" type="noConversion"/>
  </si>
  <si>
    <t>cost</t>
    <phoneticPr fontId="1" type="noConversion"/>
  </si>
  <si>
    <t>productionSpeed</t>
    <phoneticPr fontId="1" type="noConversion"/>
  </si>
  <si>
    <t>int32</t>
    <phoneticPr fontId="3" type="noConversion"/>
  </si>
  <si>
    <t>等级</t>
    <phoneticPr fontId="3" type="noConversion"/>
  </si>
  <si>
    <t>花费能量</t>
    <phoneticPr fontId="3" type="noConversion"/>
  </si>
  <si>
    <t>float</t>
    <phoneticPr fontId="1" type="noConversion"/>
  </si>
  <si>
    <t>damageMax</t>
    <phoneticPr fontId="1" type="noConversion"/>
  </si>
  <si>
    <t>目标类型</t>
    <phoneticPr fontId="3" type="noConversion"/>
  </si>
  <si>
    <t>攻击类型</t>
    <phoneticPr fontId="3" type="noConversion"/>
  </si>
  <si>
    <t>targetType</t>
    <phoneticPr fontId="1" type="noConversion"/>
  </si>
  <si>
    <t>damagetype</t>
  </si>
  <si>
    <t>攻击范围半径</t>
    <phoneticPr fontId="1" type="noConversion"/>
  </si>
  <si>
    <t>攻击范围半径</t>
  </si>
  <si>
    <t>召唤
间隔</t>
    <phoneticPr fontId="3" type="noConversion"/>
  </si>
  <si>
    <t>召唤兵种</t>
    <phoneticPr fontId="3" type="noConversion"/>
  </si>
  <si>
    <t>召唤兵种等级</t>
    <phoneticPr fontId="3" type="noConversion"/>
  </si>
  <si>
    <t>死亡分裂
数量</t>
    <phoneticPr fontId="3" type="noConversion"/>
  </si>
  <si>
    <t>分裂兵种</t>
    <phoneticPr fontId="3" type="noConversion"/>
  </si>
  <si>
    <t>分裂兵种等级</t>
    <phoneticPr fontId="3" type="noConversion"/>
  </si>
  <si>
    <t>lifeTime</t>
    <phoneticPr fontId="1" type="noConversion"/>
  </si>
  <si>
    <t>建筑生命持续时间</t>
    <phoneticPr fontId="1" type="noConversion"/>
  </si>
  <si>
    <t>薛刚</t>
    <phoneticPr fontId="1" type="noConversion"/>
  </si>
  <si>
    <t>修改字段错误：显示射程应是文本，射程应是数字</t>
    <phoneticPr fontId="1" type="noConversion"/>
  </si>
  <si>
    <t>王晓宇</t>
    <phoneticPr fontId="1" type="noConversion"/>
  </si>
  <si>
    <t>新增技能配置、建筑配置、建筑卡片显示属性、技能卡片显示属性</t>
    <phoneticPr fontId="1" type="noConversion"/>
  </si>
  <si>
    <r>
      <t>damageMax=0  显示  damage
damageMax＞0 显示  damage</t>
    </r>
    <r>
      <rPr>
        <b/>
        <sz val="11"/>
        <color rgb="FFFF0000"/>
        <rFont val="宋体"/>
        <family val="3"/>
        <charset val="134"/>
        <scheme val="minor"/>
      </rPr>
      <t xml:space="preserve"> + "-" + </t>
    </r>
    <r>
      <rPr>
        <sz val="11"/>
        <color rgb="FFFF0000"/>
        <rFont val="宋体"/>
        <family val="3"/>
        <charset val="134"/>
        <scheme val="minor"/>
      </rPr>
      <t xml:space="preserve">damageMax  </t>
    </r>
    <phoneticPr fontId="1" type="noConversion"/>
  </si>
  <si>
    <t xml:space="preserve">damageMax=0  显示  damage/attackCoolDown*1000
damageMax＞0 
             显示  damage/attackCoolDown*1000
                                "-"
                   damageMax/attackCoolDown*1000  </t>
    <phoneticPr fontId="1" type="noConversion"/>
  </si>
  <si>
    <t>prevToNext</t>
    <phoneticPr fontId="1" type="noConversion"/>
  </si>
  <si>
    <t>notNull</t>
    <phoneticPr fontId="1" type="noConversion"/>
  </si>
  <si>
    <t>hateRadius</t>
    <phoneticPr fontId="1" type="noConversion"/>
  </si>
  <si>
    <t>仇恨视野</t>
    <phoneticPr fontId="1" type="noConversion"/>
  </si>
  <si>
    <t>仇恨视野</t>
    <phoneticPr fontId="1" type="noConversion"/>
  </si>
  <si>
    <t>2000</t>
    <phoneticPr fontId="1" type="noConversion"/>
  </si>
  <si>
    <t>2221_0.7</t>
    <phoneticPr fontId="1" type="noConversion"/>
  </si>
  <si>
    <t>攻击准备时间</t>
  </si>
  <si>
    <t>攻击准备时间</t>
    <phoneticPr fontId="1" type="noConversion"/>
  </si>
  <si>
    <t>attackDelayTime</t>
    <phoneticPr fontId="1" type="noConversion"/>
  </si>
  <si>
    <t>notShootRange</t>
    <phoneticPr fontId="1" type="noConversion"/>
  </si>
  <si>
    <t>不能攻击射程</t>
    <phoneticPr fontId="1" type="noConversion"/>
  </si>
  <si>
    <t>id</t>
  </si>
  <si>
    <t>寒冰法师</t>
  </si>
  <si>
    <t>攻击帧数</t>
    <phoneticPr fontId="1" type="noConversion"/>
  </si>
  <si>
    <t>模型(转文本）</t>
    <phoneticPr fontId="1" type="noConversion"/>
  </si>
  <si>
    <t>炸弹人Bomber</t>
  </si>
  <si>
    <t>女巫Witch</t>
  </si>
  <si>
    <t>女武神Valkyrie</t>
  </si>
  <si>
    <t>王子Prince</t>
  </si>
  <si>
    <t>亡灵Minions</t>
  </si>
  <si>
    <t>幼龙Baby Dragon</t>
  </si>
  <si>
    <t>野蛮人Barbarians</t>
  </si>
  <si>
    <t>投矛哥布林Spear Goblins</t>
  </si>
  <si>
    <t>巨人Giant</t>
  </si>
  <si>
    <t>石头人Golem</t>
  </si>
  <si>
    <t>0</t>
    <phoneticPr fontId="1" type="noConversion"/>
  </si>
  <si>
    <t>已完成模型</t>
    <phoneticPr fontId="1" type="noConversion"/>
  </si>
  <si>
    <t>加农炮Cannon</t>
  </si>
  <si>
    <t>没渲染完</t>
    <phoneticPr fontId="1" type="noConversion"/>
  </si>
  <si>
    <t>程序没有</t>
    <phoneticPr fontId="1" type="noConversion"/>
  </si>
  <si>
    <t>原速度</t>
    <phoneticPr fontId="1" type="noConversion"/>
  </si>
  <si>
    <t>移动速度</t>
    <phoneticPr fontId="1" type="noConversion"/>
  </si>
  <si>
    <t>原版速度</t>
    <phoneticPr fontId="1" type="noConversion"/>
  </si>
  <si>
    <t>像素速度</t>
    <phoneticPr fontId="1" type="noConversion"/>
  </si>
  <si>
    <t>慢</t>
  </si>
  <si>
    <t>慢</t>
    <phoneticPr fontId="1" type="noConversion"/>
  </si>
  <si>
    <t>中等</t>
  </si>
  <si>
    <t>中等</t>
    <phoneticPr fontId="1" type="noConversion"/>
  </si>
  <si>
    <t>快</t>
  </si>
  <si>
    <t>快</t>
    <phoneticPr fontId="1" type="noConversion"/>
  </si>
  <si>
    <t>极快</t>
  </si>
  <si>
    <t>极快</t>
    <phoneticPr fontId="1" type="noConversion"/>
  </si>
  <si>
    <t>视野</t>
    <phoneticPr fontId="1" type="noConversion"/>
  </si>
  <si>
    <t>大</t>
    <phoneticPr fontId="1" type="noConversion"/>
  </si>
  <si>
    <t>视野</t>
    <phoneticPr fontId="1" type="noConversion"/>
  </si>
  <si>
    <t>像素视野</t>
    <phoneticPr fontId="1" type="noConversion"/>
  </si>
  <si>
    <t>小</t>
    <phoneticPr fontId="1" type="noConversion"/>
  </si>
  <si>
    <t>中</t>
    <phoneticPr fontId="1" type="noConversion"/>
  </si>
  <si>
    <t>大</t>
    <phoneticPr fontId="1" type="noConversion"/>
  </si>
  <si>
    <t>账号2333</t>
    <phoneticPr fontId="1" type="noConversion"/>
  </si>
  <si>
    <t>X弩车</t>
    <phoneticPr fontId="1" type="noConversion"/>
  </si>
  <si>
    <t>美术程序都没有</t>
    <phoneticPr fontId="1" type="noConversion"/>
  </si>
  <si>
    <t>实际射程格子</t>
    <phoneticPr fontId="1" type="noConversion"/>
  </si>
  <si>
    <t>用手中的巨型加农炮摧毁敌方建筑是皇家巨人的职责；打理好自己杂乱的金色胡须则是皇家巨人的爱好。</t>
    <phoneticPr fontId="1" type="noConversion"/>
  </si>
  <si>
    <t>皇家巨人</t>
    <phoneticPr fontId="1" type="noConversion"/>
  </si>
  <si>
    <t>黑暗王子可以造成范围伤害，他用狼牙棒为自己代言——因为当他说话时，听起来就像头上罩了个水桶。</t>
    <phoneticPr fontId="1" type="noConversion"/>
  </si>
  <si>
    <t>——</t>
    <phoneticPr fontId="1" type="noConversion"/>
  </si>
  <si>
    <t>这位迷人的公主从远距离发射火焰箭。如果你看到她时感到很温暖，当心了，这可能是因为你身上着火了。</t>
    <phoneticPr fontId="1" type="noConversion"/>
  </si>
  <si>
    <t>卡牌名称</t>
    <phoneticPr fontId="1" type="noConversion"/>
  </si>
  <si>
    <t>骷髅兵</t>
    <phoneticPr fontId="1" type="noConversion"/>
  </si>
  <si>
    <t>近战哥布林</t>
    <phoneticPr fontId="1" type="noConversion"/>
  </si>
  <si>
    <t>万箭齐发</t>
    <phoneticPr fontId="1" type="noConversion"/>
  </si>
  <si>
    <t>电击术</t>
    <phoneticPr fontId="1" type="noConversion"/>
  </si>
  <si>
    <t>闪电术</t>
    <phoneticPr fontId="1" type="noConversion"/>
  </si>
  <si>
    <t>冰冻术</t>
    <phoneticPr fontId="1" type="noConversion"/>
  </si>
  <si>
    <t>镜像术</t>
    <phoneticPr fontId="1" type="noConversion"/>
  </si>
  <si>
    <t>狂暴术</t>
    <phoneticPr fontId="1" type="noConversion"/>
  </si>
  <si>
    <t>墓碑</t>
    <phoneticPr fontId="1" type="noConversion"/>
  </si>
  <si>
    <t>2219_0.65</t>
    <phoneticPr fontId="1" type="noConversion"/>
  </si>
  <si>
    <t>大皮卡</t>
    <phoneticPr fontId="1" type="noConversion"/>
  </si>
  <si>
    <t>弓箭手</t>
    <phoneticPr fontId="1" type="noConversion"/>
  </si>
  <si>
    <t>实际是22帧，太慢了~~</t>
    <phoneticPr fontId="1" type="noConversion"/>
  </si>
  <si>
    <t>导出内容</t>
    <phoneticPr fontId="1" type="noConversion"/>
  </si>
  <si>
    <t>网页html</t>
    <phoneticPr fontId="1" type="noConversion"/>
  </si>
  <si>
    <t>csv文件</t>
    <phoneticPr fontId="1" type="noConversion"/>
  </si>
  <si>
    <t>csvId</t>
    <phoneticPr fontId="1" type="noConversion"/>
  </si>
  <si>
    <t>http://clashroyale.wikia.com/wiki/Sparky</t>
    <phoneticPr fontId="1" type="noConversion"/>
  </si>
  <si>
    <t>坦克</t>
    <phoneticPr fontId="1" type="noConversion"/>
  </si>
  <si>
    <t>http://clashroyale.wikia.com/wiki/Ice_Wizard</t>
  </si>
  <si>
    <t>http://clashroyale.wikia.com/wiki/Baby_Dragon</t>
  </si>
  <si>
    <t>龙</t>
    <phoneticPr fontId="1" type="noConversion"/>
  </si>
  <si>
    <t>http://clashroyale.wikia.com/wiki/Princess</t>
  </si>
  <si>
    <t>http://clashroyale.wikia.com/wiki/Lava_Hound</t>
  </si>
  <si>
    <t>天狗</t>
    <phoneticPr fontId="1" type="noConversion"/>
  </si>
  <si>
    <t>http://clashroyale.wikia.com/wiki/P.E.K.K.A.</t>
  </si>
  <si>
    <t>http://clashroyale.wikia.com/wiki/Dark_Prince</t>
  </si>
  <si>
    <t>http://clashroyale.wikia.com/wiki/Miner</t>
  </si>
  <si>
    <t>矿工</t>
    <phoneticPr fontId="1" type="noConversion"/>
  </si>
  <si>
    <t>http://clashroyale.wikia.com/wiki/Guards</t>
  </si>
  <si>
    <t>盾牌骷髅</t>
    <phoneticPr fontId="1" type="noConversion"/>
  </si>
  <si>
    <t>http://clashroyale.wikia.com/wiki/Royal_Giant</t>
  </si>
  <si>
    <t>皇室巨人</t>
    <phoneticPr fontId="1" type="noConversion"/>
  </si>
  <si>
    <t>http://clashroyale.wikia.com/wiki/Mini_P.E.K.K.A.</t>
  </si>
  <si>
    <t>http://clashroyale.wikia.com/wiki/Hog_Rider</t>
  </si>
  <si>
    <t>http://clashroyale.wikia.com/wiki/Golem</t>
  </si>
  <si>
    <t>http://clashroyale.wikia.com/wiki/Wizard</t>
  </si>
  <si>
    <t>法师</t>
    <phoneticPr fontId="1" type="noConversion"/>
  </si>
  <si>
    <t>http://clashroyale.wikia.com/wiki/Prince</t>
  </si>
  <si>
    <t>http://clashroyale.wikia.com/wiki/Minion_Horde</t>
  </si>
  <si>
    <t>亡灵大军</t>
    <phoneticPr fontId="1" type="noConversion"/>
  </si>
  <si>
    <t>http://clashroyale.wikia.com/wiki/Barbarians</t>
  </si>
  <si>
    <t>http://clashroyale.wikia.com/wiki/Witch</t>
  </si>
  <si>
    <t>http://clashroyale.wikia.com/wiki/Balloon</t>
  </si>
  <si>
    <t>气球</t>
    <phoneticPr fontId="1" type="noConversion"/>
  </si>
  <si>
    <t>http://clashroyale.wikia.com/wiki/Three_Musketeers</t>
  </si>
  <si>
    <t>三个火枪手</t>
    <phoneticPr fontId="1" type="noConversion"/>
  </si>
  <si>
    <t>http://clashroyale.wikia.com/wiki/Fire_Spirits</t>
  </si>
  <si>
    <t>火焰精灵</t>
    <phoneticPr fontId="1" type="noConversion"/>
  </si>
  <si>
    <t>http://clashroyale.wikia.com/wiki/Giant</t>
  </si>
  <si>
    <t>http://clashroyale.wikia.com/wiki/Giant_Skeleton</t>
  </si>
  <si>
    <t>http://clashroyale.wikia.com/wiki/Knight</t>
  </si>
  <si>
    <t>http://clashroyale.wikia.com/wiki/Musketeer</t>
  </si>
  <si>
    <t>http://clashroyale.wikia.com/wiki/Valkyrie</t>
  </si>
  <si>
    <t>http://clashroyale.wikia.com/wiki/Skeleton_Army</t>
  </si>
  <si>
    <t>http://clashroyale.wikia.com/wiki/Archers</t>
  </si>
  <si>
    <t>http://clashroyale.wikia.com/wiki/Goblins</t>
  </si>
  <si>
    <t>http://clashroyale.wikia.com/wiki/Bomber</t>
  </si>
  <si>
    <t>http://clashroyale.wikia.com/wiki/Skeletons</t>
  </si>
  <si>
    <t>http://clashroyale.wikia.com/wiki/Spear_Goblins</t>
  </si>
  <si>
    <t>投矛哥布林</t>
    <phoneticPr fontId="1" type="noConversion"/>
  </si>
  <si>
    <t>http://clashroyale.wikia.com/wiki/Minions</t>
  </si>
  <si>
    <t>Troop</t>
  </si>
  <si>
    <t>Spell</t>
  </si>
  <si>
    <t>http://clashroyale.wikia.com/wiki/Mirror</t>
  </si>
  <si>
    <t>http://clashroyale.wikia.com/wiki/Zap</t>
  </si>
  <si>
    <t>小闪电</t>
    <phoneticPr fontId="1" type="noConversion"/>
  </si>
  <si>
    <t>http://clashroyale.wikia.com/wiki/Poison</t>
  </si>
  <si>
    <t>http://clashroyale.wikia.com/wiki/Fireball</t>
  </si>
  <si>
    <t>http://clashroyale.wikia.com/wiki/Rage</t>
  </si>
  <si>
    <t>狂暴</t>
    <phoneticPr fontId="1" type="noConversion"/>
  </si>
  <si>
    <t>http://clashroyale.wikia.com/wiki/Rocket</t>
  </si>
  <si>
    <t>http://clashroyale.wikia.com/wiki/Freeze</t>
  </si>
  <si>
    <t>http://clashroyale.wikia.com/wiki/Goblin_Barrel</t>
  </si>
  <si>
    <t>http://clashroyale.wikia.com/wiki/Arrows</t>
  </si>
  <si>
    <t>http://clashroyale.wikia.com/wiki/Lightning</t>
  </si>
  <si>
    <t>大闪电</t>
    <phoneticPr fontId="1" type="noConversion"/>
  </si>
  <si>
    <t>Building</t>
  </si>
  <si>
    <t>http://clashroyale.wikia.com/wiki/Elixir_Collector</t>
  </si>
  <si>
    <t>收集器</t>
    <phoneticPr fontId="1" type="noConversion"/>
  </si>
  <si>
    <t>http://clashroyale.wikia.com/wiki/X-Bow</t>
  </si>
  <si>
    <t>http://clashroyale.wikia.com/wiki/Inferno_Tower</t>
  </si>
  <si>
    <t>http://clashroyale.wikia.com/wiki/Tesla</t>
  </si>
  <si>
    <t>特斯拉</t>
    <phoneticPr fontId="1" type="noConversion"/>
  </si>
  <si>
    <t>http://clashroyale.wikia.com/wiki/Furnace</t>
  </si>
  <si>
    <t>烈焰熔炉</t>
    <phoneticPr fontId="1" type="noConversion"/>
  </si>
  <si>
    <t>http://clashroyale.wikia.com/wiki/Mortar</t>
  </si>
  <si>
    <t>http://clashroyale.wikia.com/wiki/Cannon</t>
  </si>
  <si>
    <t>http://clashroyale.wikia.com/wiki/Tombstone</t>
  </si>
  <si>
    <t>http://clashroyale.wikia.com/wiki/Goblin_Hut</t>
  </si>
  <si>
    <t>哥布林小屋</t>
    <phoneticPr fontId="1" type="noConversion"/>
  </si>
  <si>
    <t>http://clashroyale.wikia.com/wiki/Barbarian_Hut</t>
  </si>
  <si>
    <t>野蛮人小屋</t>
    <phoneticPr fontId="1" type="noConversion"/>
  </si>
  <si>
    <t>http://clashroyale.wikia.com/wiki/Bomb_Tower</t>
  </si>
  <si>
    <t>未加入Id</t>
    <phoneticPr fontId="1" type="noConversion"/>
  </si>
  <si>
    <t>spDamageType</t>
    <phoneticPr fontId="1" type="noConversion"/>
  </si>
  <si>
    <t>自爆种类</t>
    <phoneticPr fontId="1" type="noConversion"/>
  </si>
  <si>
    <t>骷髅巨人</t>
    <phoneticPr fontId="1" type="noConversion"/>
  </si>
  <si>
    <t>uint32</t>
  </si>
  <si>
    <t>quality</t>
  </si>
  <si>
    <t>品质</t>
  </si>
  <si>
    <t>level</t>
  </si>
  <si>
    <t>等级</t>
  </si>
  <si>
    <t>安卡斯是部落猎手中的MVP，这个使用神奇的单发火枪的家伙是出色的射手，并且可以攻击空中目标。自然赋予了他勇气和力量。</t>
  </si>
  <si>
    <t>三个安卡斯家的男人组成的狩猎小队，他们从来不缺少纯天然、有机的野生食物，可是依然在高唱“为了生活，我们四处奔波"。</t>
  </si>
  <si>
    <t>布莱尔可以克服地心引力理论将自己的身体慢慢地漂浮起来，可惜这种超凡能力只能用来制造恐怖气氛。魔法光束是她常用的攻击手段，和神灵沟通后，也可以召唤出排骨部队助阵。</t>
  </si>
  <si>
    <t>大猫的任务就是摧毁建筑，巨大的体型、缓慢的速度也可以为其他部队形成掩护。不要责怪他超强的胃口，要维持强大的力量就必须保证每日五餐。</t>
  </si>
  <si>
    <t>部落守护者，心中充满神族后裔的自豪感，拥有强悍的近战能力，再多的敌人在他面前都不堪一击。</t>
  </si>
  <si>
    <t>泰山的眼中只有建筑，他不但拥有出色的攻击和抗击打能力，自己战败后还不忘用香蕉招募两个小伙伴进行二次进攻，同时造成范围伤害。</t>
  </si>
  <si>
    <t>三只小蜜蜂呀，飞到花丛中呀，飞呀，mua，mua~</t>
  </si>
  <si>
    <t>六只小蜜蜂呀，飞到花丛中呀，飞呀，pia，pia~</t>
  </si>
  <si>
    <t>造成范围伤害的飞行部队。自从逛街时被兀鹰偷走了一枚龙蛋，从此就算在战斗时也随身携带剩下的。</t>
  </si>
  <si>
    <t>三个远距离攻击战士。每天派发的鸡腿吃不完还可以当做武器，真是一举多得。</t>
  </si>
  <si>
    <t>三个勇猛的近身肉搏战士。是谁教会他们把鸡腿当做武器，有没有想过炸鸡小哥的心理阴影？！</t>
  </si>
  <si>
    <t>森之妖精们的训练师，虽然年事已高，行动缓慢，但是近战攻击力极高，一出手就造成巨大伤害。</t>
  </si>
  <si>
    <t>还没有从射箭俱乐部毕业的一对双胞胎弓箭手。虽然是血统纯正的森之妖精，但是奔放的发型总是让别人误会他们来自非洲大陆。</t>
  </si>
  <si>
    <t>排骨是布莱尔脆弱的仆人，靠近敌人徒手发起攻击，他们成群结队包围敌人才可以发挥威力。</t>
  </si>
  <si>
    <t>朋友的阿姨的妹妹，全体出动！</t>
  </si>
  <si>
    <t>防御建筑，发射炮弹炸碎地面部队。</t>
  </si>
  <si>
    <t>厨房，梅赛德斯在这里集结，每隔几秒就可以带上新鲜的鸡腿冲向敌人。</t>
  </si>
  <si>
    <t>军队建筑，源源不断的召唤出排骨向敌方进军，就算被摧毁，依然可以召唤最后一波排骨扑向敌人。</t>
  </si>
  <si>
    <t>万箭齐发可以覆盖大片区域并对其中所有目标造成伤害。对酋长塔的伤害会大打折扣。</t>
  </si>
  <si>
    <t>最多可命中目标区域内三个生命值最高的敌军或建筑。对酋长塔的伤害会大打折扣。</t>
  </si>
  <si>
    <t>电击可以瞬间电晕对目标单位，并在小范围内造成伤害。对酋长塔的伤害会大打折扣。</t>
  </si>
  <si>
    <t>冻结军队和建筑，使其无法移动或攻击。夏天同样有效！</t>
  </si>
  <si>
    <t>花费额外一格能量复制您用的上一张牌。</t>
  </si>
  <si>
    <t>提高军队的移动和攻击速度，还可以让出兵建筑和召唤师更快地部署部队。</t>
  </si>
  <si>
    <t>兔小爷</t>
  </si>
  <si>
    <t>安卡斯</t>
  </si>
  <si>
    <t>安卡斯兄弟</t>
  </si>
  <si>
    <t>布莱尔</t>
  </si>
  <si>
    <t>大猫</t>
  </si>
  <si>
    <t>莫西干战神</t>
  </si>
  <si>
    <t>泰山</t>
  </si>
  <si>
    <t>小丸子</t>
  </si>
  <si>
    <t>丸子兵团</t>
  </si>
  <si>
    <t>飞龙</t>
  </si>
  <si>
    <t>梅赛德斯</t>
  </si>
  <si>
    <t>哈根达斯</t>
  </si>
  <si>
    <t>战争古树</t>
  </si>
  <si>
    <t>花椰射手</t>
  </si>
  <si>
    <t>排骨</t>
  </si>
  <si>
    <t>梅赛德斯中心</t>
  </si>
  <si>
    <t>法师</t>
    <phoneticPr fontId="1" type="noConversion"/>
  </si>
  <si>
    <t>迫击炮</t>
  </si>
  <si>
    <t>地狱之塔</t>
  </si>
  <si>
    <t>X弩</t>
  </si>
  <si>
    <t>一级属性字段</t>
    <phoneticPr fontId="1" type="noConversion"/>
  </si>
  <si>
    <t>hp-Hitpoints,damage-Area Damage</t>
    <phoneticPr fontId="1" type="noConversion"/>
  </si>
  <si>
    <t>hp-Golem Hitpoints,damage-Golem Damage,spDamage-Golem Death Damage</t>
    <phoneticPr fontId="1" type="noConversion"/>
  </si>
  <si>
    <t>hp-Golemite Hitpoints,damage-Golemite Damage,spDamage-Golemite Death Damage</t>
    <phoneticPr fontId="1" type="noConversion"/>
  </si>
  <si>
    <t>攻击间隔</t>
    <phoneticPr fontId="1" type="noConversion"/>
  </si>
  <si>
    <t>花费能量-Cost,部署时间-Deploy Time,攻击间隔-Hit Speed</t>
    <phoneticPr fontId="1" type="noConversion"/>
  </si>
  <si>
    <t>花费能量-Cost,攻击间隔-Hit Speed</t>
    <phoneticPr fontId="1" type="noConversion"/>
  </si>
  <si>
    <t>花费能量-Cost,部署时间-Deploy Time</t>
    <phoneticPr fontId="1" type="noConversion"/>
  </si>
  <si>
    <t>花费能量-Cost</t>
    <phoneticPr fontId="1" type="noConversion"/>
  </si>
  <si>
    <t xml:space="preserve"> </t>
    <phoneticPr fontId="1" type="noConversion"/>
  </si>
  <si>
    <t>hp-Hitpoints,damage-Damage</t>
    <phoneticPr fontId="1" type="noConversion"/>
  </si>
  <si>
    <t>hp-Hitpoints,damage-Damage,spDamage-Death Damage</t>
    <phoneticPr fontId="1" type="noConversion"/>
  </si>
  <si>
    <t>mirroredCommonLevel-Mirrored Common Level,mirroredRareLevel-Mirrored Rare Level,mirroredEpicLevel-Mirrored Epic Level,mirroredLegendaryLevelMirrored Legendary Level</t>
    <phoneticPr fontId="1" type="noConversion"/>
  </si>
  <si>
    <t>normalDamage-Area Damage,crownTowerDamage-Crown Tower Damage</t>
    <phoneticPr fontId="1" type="noConversion"/>
  </si>
  <si>
    <t>等级数据</t>
    <phoneticPr fontId="1" type="noConversion"/>
  </si>
  <si>
    <t>duration-Duration</t>
    <phoneticPr fontId="1" type="noConversion"/>
  </si>
  <si>
    <t>normalDamage-Damage per second,crownTowerDamage-Crown Tower Damage</t>
    <phoneticPr fontId="1" type="noConversion"/>
  </si>
  <si>
    <t>hp-Hitpoints</t>
    <phoneticPr fontId="1" type="noConversion"/>
  </si>
  <si>
    <t>骑士</t>
  </si>
  <si>
    <t>野猪骑士</t>
  </si>
  <si>
    <t>小皮卡</t>
  </si>
  <si>
    <t>气球炸弹</t>
  </si>
  <si>
    <t>王子</t>
  </si>
  <si>
    <t>骷髅巨人</t>
  </si>
  <si>
    <t>CR</t>
    <phoneticPr fontId="1" type="noConversion"/>
  </si>
  <si>
    <t>骷髅兵</t>
  </si>
  <si>
    <t>骷髅海</t>
  </si>
  <si>
    <t>墓地</t>
  </si>
  <si>
    <t>哥布林</t>
  </si>
  <si>
    <t>投枪哥布林</t>
  </si>
  <si>
    <t>弓箭手</t>
  </si>
  <si>
    <t>炸弹人</t>
  </si>
  <si>
    <t>亡灵</t>
  </si>
  <si>
    <t>野蛮人</t>
  </si>
  <si>
    <t>野蛮人之家</t>
  </si>
  <si>
    <t>武神</t>
  </si>
  <si>
    <t>巨人</t>
  </si>
  <si>
    <t>三个火枪手</t>
  </si>
  <si>
    <t>幼龙</t>
  </si>
  <si>
    <t>女巫</t>
  </si>
  <si>
    <t>大皮卡</t>
  </si>
  <si>
    <t>石头人</t>
  </si>
  <si>
    <t>箭雨</t>
  </si>
  <si>
    <t>震击</t>
  </si>
  <si>
    <t>冻结</t>
  </si>
  <si>
    <t>镜像</t>
  </si>
  <si>
    <t>狂暴药水</t>
  </si>
  <si>
    <t>闪电</t>
  </si>
  <si>
    <t>加农炮</t>
  </si>
  <si>
    <t>巨人王子</t>
  </si>
  <si>
    <t>黑暗王子</t>
  </si>
  <si>
    <t>公主</t>
  </si>
  <si>
    <t>火球</t>
  </si>
  <si>
    <t>火箭</t>
  </si>
  <si>
    <t>哥布林桶</t>
  </si>
  <si>
    <t>毒药</t>
  </si>
  <si>
    <t>特斯拉线圈</t>
  </si>
  <si>
    <t>能量收集器</t>
  </si>
  <si>
    <t>炸弹塔</t>
  </si>
  <si>
    <t>回旋镖</t>
    <phoneticPr fontId="1" type="noConversion"/>
  </si>
  <si>
    <t>火枪手Musketeer</t>
    <phoneticPr fontId="1" type="noConversion"/>
  </si>
  <si>
    <t>火枪手</t>
    <phoneticPr fontId="1" type="noConversion"/>
  </si>
  <si>
    <t>寒冰陨石</t>
  </si>
  <si>
    <t>酷炫的天外来客，烈火陨石发动火球攻击，无可抵挡。</t>
  </si>
  <si>
    <t>桑切斯</t>
  </si>
  <si>
    <t>安卡斯的表兄弟。桑切斯认为躲在大树背后使用火枪打猎是懦弱表现，真正的部落勇士应该手持长剑，近身搏杀。</t>
  </si>
  <si>
    <t>哈雷</t>
  </si>
  <si>
    <t>对付建筑，没有什么比拥有坐骑的机动部队更合适。哈雷无以伦比的机动能力可以跳跃河流，直奔目标。</t>
  </si>
  <si>
    <t>小王子</t>
  </si>
  <si>
    <t>小王子梦想仗剑走天涯，疾行突击是他的拿手好戏。</t>
  </si>
  <si>
    <t>兀鹰战士</t>
  </si>
  <si>
    <t>兀鹰是这块大陆上最勇猛的战士，也是飞龙的死敌，阵亡之后掠夺来的龙蛋也会随即爆炸。</t>
  </si>
  <si>
    <t>飞艇</t>
  </si>
  <si>
    <t>飞艇对建筑撞击造成的损失非常可怕，被击落后还会因为爆炸造成二次范围伤害。别让它进入你的领空后，它真的是个狠角色！</t>
  </si>
  <si>
    <t>强弩</t>
  </si>
  <si>
    <t>小弩怡情,大弩伤身,强弩灰飞烟灭。</t>
  </si>
  <si>
    <t>恶魔之塔</t>
  </si>
  <si>
    <t>防御建筑。给予来犯的敌人持续打击，直至敌人灰飞烟灭。</t>
  </si>
  <si>
    <t>幽灵之塔</t>
  </si>
  <si>
    <t>平时安静的隐藏在地下，只有敌人进入攻击范围时幽灵塔才会一跃而出，发动攻击。</t>
  </si>
  <si>
    <t>投石机</t>
  </si>
  <si>
    <t>投掷出的石块伴随优美的抛物线对远方的敌人造成范围伤害，美中不足的是无法瞄准靠的太近的目标。</t>
  </si>
  <si>
    <t>站得高，就看的远。炸碎一切来犯的敌人。</t>
  </si>
  <si>
    <t>原力圣殿</t>
  </si>
  <si>
    <t>超自然又无所不在的神秘力量，创造生命源原力的能量场。</t>
  </si>
  <si>
    <t>诅咒</t>
  </si>
  <si>
    <t>古老的咒语形成结界。结界范围内的所有部队和建筑均会承受持续伤害，移动和攻击速度也会减缓。</t>
  </si>
  <si>
    <t>寒冰陨石发动的冰晶攻击可以降低敌人的移动和攻击速度，在和烈火陨石争夺首席天外来客的进程中暂时领先。</t>
  </si>
  <si>
    <t>flipRange</t>
    <phoneticPr fontId="1" type="noConversion"/>
  </si>
  <si>
    <t>flipNum</t>
    <phoneticPr fontId="1" type="noConversion"/>
  </si>
  <si>
    <t>弹射目标数</t>
    <phoneticPr fontId="1" type="noConversion"/>
  </si>
  <si>
    <t>弹射距离</t>
    <phoneticPr fontId="1" type="noConversion"/>
  </si>
  <si>
    <t>回旋镖</t>
    <phoneticPr fontId="1" type="noConversion"/>
  </si>
  <si>
    <t>泰山宝宝</t>
    <phoneticPr fontId="1" type="noConversion"/>
  </si>
  <si>
    <t>迷你皮卡</t>
  </si>
  <si>
    <t>烈火陨石</t>
  </si>
  <si>
    <t>炸弹塔</t>
    <phoneticPr fontId="1" type="noConversion"/>
  </si>
  <si>
    <t>野猪骑士</t>
    <phoneticPr fontId="1" type="noConversion"/>
  </si>
  <si>
    <t>buff持续时间</t>
    <phoneticPr fontId="1" type="noConversion"/>
  </si>
  <si>
    <t>宝箱怪</t>
    <phoneticPr fontId="1" type="noConversion"/>
  </si>
  <si>
    <t>矿工兵种</t>
    <phoneticPr fontId="1" type="noConversion"/>
  </si>
  <si>
    <t>矿工技能卡</t>
    <phoneticPr fontId="1" type="noConversion"/>
  </si>
  <si>
    <t>宝箱怪</t>
    <phoneticPr fontId="1" type="noConversion"/>
  </si>
  <si>
    <t>可以投掷到任意位置，发起攻击！</t>
    <phoneticPr fontId="1" type="noConversion"/>
  </si>
  <si>
    <t>删除宝箱怪兵种，小石头人</t>
    <phoneticPr fontId="1" type="noConversion"/>
  </si>
  <si>
    <t>towerDamage</t>
    <phoneticPr fontId="1" type="noConversion"/>
  </si>
  <si>
    <t>对塔攻击</t>
    <phoneticPr fontId="1" type="noConversion"/>
  </si>
  <si>
    <t>float</t>
  </si>
  <si>
    <t>radius＞0，则字段名显示“属性.范围伤害”</t>
    <phoneticPr fontId="1" type="noConversion"/>
  </si>
  <si>
    <t>属性.对塔伤害</t>
    <phoneticPr fontId="1" type="noConversion"/>
  </si>
  <si>
    <t>towerDamage＞0</t>
    <phoneticPr fontId="1" type="noConversion"/>
  </si>
  <si>
    <t>end</t>
    <phoneticPr fontId="3" type="noConversion"/>
  </si>
  <si>
    <t>国王塔HP</t>
    <phoneticPr fontId="7" type="noConversion"/>
  </si>
  <si>
    <t>国王塔伤害</t>
    <phoneticPr fontId="7" type="noConversion"/>
  </si>
  <si>
    <t>国王塔</t>
  </si>
  <si>
    <t>防御塔</t>
  </si>
  <si>
    <t>damage</t>
    <phoneticPr fontId="3" type="noConversion"/>
  </si>
  <si>
    <t>女巫塔</t>
  </si>
  <si>
    <t>塔</t>
    <phoneticPr fontId="1" type="noConversion"/>
  </si>
  <si>
    <t>塔</t>
    <phoneticPr fontId="1" type="noConversion"/>
  </si>
  <si>
    <t>大</t>
  </si>
  <si>
    <t>塔的种类</t>
    <phoneticPr fontId="1" type="noConversion"/>
  </si>
  <si>
    <t>8W</t>
  </si>
  <si>
    <t>desc</t>
  </si>
  <si>
    <t>string</t>
  </si>
  <si>
    <t>描述</t>
  </si>
  <si>
    <t>descKey</t>
  </si>
  <si>
    <t>描述Key</t>
  </si>
  <si>
    <t>arenaLevel</t>
  </si>
  <si>
    <t>竞技场解锁等级</t>
  </si>
  <si>
    <t>unlockUnknown</t>
  </si>
  <si>
    <t>未解锁时显示问号</t>
  </si>
  <si>
    <t>index</t>
  </si>
  <si>
    <t>排序序号</t>
  </si>
  <si>
    <t>cardPicture</t>
  </si>
  <si>
    <t>卡牌图片</t>
  </si>
  <si>
    <t>cardArtResource</t>
  </si>
  <si>
    <t>卡牌美术资源</t>
  </si>
  <si>
    <t>radius</t>
  </si>
  <si>
    <t>spawnNumber</t>
  </si>
  <si>
    <t>召唤数量</t>
  </si>
  <si>
    <t>troopLevel</t>
  </si>
  <si>
    <t>召唤兵种等级</t>
  </si>
  <si>
    <t>troop</t>
  </si>
  <si>
    <t>召唤兵种</t>
  </si>
  <si>
    <t>towerType</t>
    <phoneticPr fontId="1" type="noConversion"/>
  </si>
  <si>
    <t>近战</t>
  </si>
  <si>
    <t>哈根达斯</t>
    <phoneticPr fontId="1" type="noConversion"/>
  </si>
  <si>
    <t>花费能量</t>
  </si>
  <si>
    <t>1、改为13级</t>
    <phoneticPr fontId="1" type="noConversion"/>
  </si>
  <si>
    <t>2、改为5费</t>
    <phoneticPr fontId="1" type="noConversion"/>
  </si>
  <si>
    <t>radius＞0，则字段名显示“属性.范围伤害”</t>
    <phoneticPr fontId="1" type="noConversion"/>
  </si>
  <si>
    <t>箭塔</t>
    <phoneticPr fontId="1" type="noConversion"/>
  </si>
  <si>
    <t>酋长塔</t>
    <phoneticPr fontId="1" type="noConversion"/>
  </si>
  <si>
    <t>单体</t>
    <phoneticPr fontId="1" type="noConversion"/>
  </si>
  <si>
    <t>范围，招骷髅兵</t>
    <phoneticPr fontId="1" type="noConversion"/>
  </si>
  <si>
    <t>范围，不对空</t>
    <phoneticPr fontId="1" type="noConversion"/>
  </si>
  <si>
    <t>邦尼</t>
  </si>
  <si>
    <t>邦尼从小就喜欢研究炸弹，这次她更是玩兴大发，很多人因为对这颗萝卜爱不释手而丢了性命……</t>
    <phoneticPr fontId="1" type="noConversion"/>
  </si>
  <si>
    <t>盖奇</t>
    <phoneticPr fontId="1" type="noConversion"/>
  </si>
  <si>
    <t>被称作盖奇的神秘刺杀小队，小队成员个个刀法犀利，来去如风，没有人能知道他们真正的样貌，因为死人是不会讲话的。</t>
    <phoneticPr fontId="1" type="noConversion"/>
  </si>
  <si>
    <t>法里娅</t>
    <phoneticPr fontId="1" type="noConversion"/>
  </si>
  <si>
    <t>擅长远距离连锁攻击的法里娅，和姐姐一样，热衷于当一名战士而不是一名公主！</t>
    <phoneticPr fontId="1" type="noConversion"/>
  </si>
  <si>
    <t>盖奇小屋</t>
    <phoneticPr fontId="1" type="noConversion"/>
  </si>
  <si>
    <t>训练营，每隔数秒盖奇会在这里集合，出发攻击敌人。同时也是V.的化妆间。</t>
    <phoneticPr fontId="1" type="noConversion"/>
  </si>
  <si>
    <t>伟大的酋长在年轻的时候可是号称部落有史以来最骁勇善战的战士，这可是名副其实的“最强防线”。</t>
  </si>
  <si>
    <t>只有学院里最出色的天才弓箭手，才能担当守住防御塔的重任。</t>
  </si>
  <si>
    <t>布莱尔亲自站在防御塔接指挥战斗，派出自己的骷髅仆从，既鼓舞了士气，又增强了战力。</t>
  </si>
  <si>
    <t>邦尼将它所有的超级萝卜炸弹全部运到了防御塔上，火力全开的邦尼一颗炸弹就能消灭一群敌人。</t>
  </si>
  <si>
    <t>小</t>
  </si>
  <si>
    <t>小</t>
    <phoneticPr fontId="1" type="noConversion"/>
  </si>
  <si>
    <t>大</t>
    <phoneticPr fontId="1" type="noConversion"/>
  </si>
  <si>
    <t>主塔</t>
    <phoneticPr fontId="1" type="noConversion"/>
  </si>
  <si>
    <t>次塔</t>
    <phoneticPr fontId="1" type="noConversion"/>
  </si>
  <si>
    <t>腰围数值</t>
    <phoneticPr fontId="1" type="noConversion"/>
  </si>
  <si>
    <t>腰围量级</t>
    <phoneticPr fontId="1" type="noConversion"/>
  </si>
  <si>
    <t>腰围量级</t>
    <phoneticPr fontId="1" type="noConversion"/>
  </si>
  <si>
    <t>自爆火球</t>
    <phoneticPr fontId="1" type="noConversion"/>
  </si>
  <si>
    <t>自爆冰球</t>
    <phoneticPr fontId="1" type="noConversion"/>
  </si>
  <si>
    <t>图标</t>
    <phoneticPr fontId="1" type="noConversion"/>
  </si>
  <si>
    <t>升级可能显示</t>
    <phoneticPr fontId="1" type="noConversion"/>
  </si>
  <si>
    <t>可能</t>
    <phoneticPr fontId="1" type="noConversion"/>
  </si>
  <si>
    <t>shieldHp</t>
    <phoneticPr fontId="1" type="noConversion"/>
  </si>
  <si>
    <t>magicRadius</t>
    <phoneticPr fontId="1" type="noConversion"/>
  </si>
  <si>
    <t>魔法半径</t>
    <phoneticPr fontId="1" type="noConversion"/>
  </si>
  <si>
    <t>castTime</t>
    <phoneticPr fontId="1" type="noConversion"/>
  </si>
  <si>
    <t>魔法吟唱时间</t>
    <phoneticPr fontId="1" type="noConversion"/>
  </si>
  <si>
    <t>中</t>
  </si>
  <si>
    <t>使用精神控制，让一名敌兵为自己作战。</t>
  </si>
  <si>
    <t>艾斯特</t>
    <phoneticPr fontId="1" type="noConversion"/>
  </si>
  <si>
    <t>尤里</t>
    <phoneticPr fontId="1" type="noConversion"/>
  </si>
  <si>
    <t>冰精灵</t>
  </si>
  <si>
    <t>飞火流星</t>
    <phoneticPr fontId="1" type="noConversion"/>
  </si>
  <si>
    <t>骨头</t>
    <phoneticPr fontId="1" type="noConversion"/>
  </si>
  <si>
    <t>骨头兄弟</t>
    <phoneticPr fontId="1" type="noConversion"/>
  </si>
  <si>
    <t>骨头营地</t>
    <phoneticPr fontId="1" type="noConversion"/>
  </si>
  <si>
    <t>火精灵</t>
    <phoneticPr fontId="1" type="noConversion"/>
  </si>
  <si>
    <t>品质</t>
    <phoneticPr fontId="1" type="noConversion"/>
  </si>
  <si>
    <t>张数</t>
    <phoneticPr fontId="1" type="noConversion"/>
  </si>
  <si>
    <t>总数</t>
    <phoneticPr fontId="1" type="noConversion"/>
  </si>
  <si>
    <t>缺2</t>
    <phoneticPr fontId="1" type="noConversion"/>
  </si>
  <si>
    <t>缺3</t>
    <phoneticPr fontId="1" type="noConversion"/>
  </si>
  <si>
    <t>缺1</t>
    <phoneticPr fontId="1" type="noConversion"/>
  </si>
  <si>
    <t>shieldCanDefend</t>
  </si>
  <si>
    <t>护罩可防御</t>
    <phoneticPr fontId="1" type="noConversion"/>
  </si>
  <si>
    <t>酋长技能等级</t>
    <phoneticPr fontId="1" type="noConversion"/>
  </si>
  <si>
    <t>酋长技能卡牌</t>
    <phoneticPr fontId="3" type="noConversion"/>
  </si>
  <si>
    <t>shieldCanDefend</t>
    <phoneticPr fontId="1" type="noConversion"/>
  </si>
  <si>
    <t>shieldHP</t>
    <phoneticPr fontId="1" type="noConversion"/>
  </si>
  <si>
    <t>护盾血量</t>
    <phoneticPr fontId="1" type="noConversion"/>
  </si>
  <si>
    <t>酋长技能需要时间</t>
    <phoneticPr fontId="1" type="noConversion"/>
  </si>
  <si>
    <t>buffTime</t>
    <phoneticPr fontId="1" type="noConversion"/>
  </si>
  <si>
    <t>buffTime＞0</t>
    <phoneticPr fontId="1" type="noConversion"/>
  </si>
  <si>
    <t>buffTime / 1000</t>
    <phoneticPr fontId="1" type="noConversion"/>
  </si>
  <si>
    <t>shieldCanDefend</t>
    <phoneticPr fontId="1" type="noConversion"/>
  </si>
  <si>
    <t>护罩可防御</t>
  </si>
  <si>
    <t>spellCard</t>
    <phoneticPr fontId="1" type="noConversion"/>
  </si>
  <si>
    <t>spellLev</t>
    <phoneticPr fontId="1" type="noConversion"/>
  </si>
  <si>
    <t>spellTime</t>
    <phoneticPr fontId="1" type="noConversion"/>
  </si>
  <si>
    <t>原力护盾</t>
    <phoneticPr fontId="1" type="noConversion"/>
  </si>
  <si>
    <t>护盾</t>
    <phoneticPr fontId="1" type="noConversion"/>
  </si>
  <si>
    <t>形成一个护罩，保护护罩内的友军不受远程攻击。护罩受到伤害达到一定值会提前消失。</t>
    <phoneticPr fontId="1" type="noConversion"/>
  </si>
  <si>
    <t>duration</t>
    <phoneticPr fontId="1" type="noConversion"/>
  </si>
  <si>
    <t>halfWeight</t>
  </si>
  <si>
    <t>shootRange</t>
  </si>
  <si>
    <t>attackCoolDown</t>
  </si>
  <si>
    <t>attackDelayTime</t>
  </si>
  <si>
    <t>tokenFlySpeed</t>
  </si>
  <si>
    <t>targetType</t>
  </si>
  <si>
    <t>目标类型</t>
  </si>
  <si>
    <t>攻击类型</t>
  </si>
  <si>
    <t>hateRadius</t>
  </si>
  <si>
    <t>仇恨视野</t>
  </si>
  <si>
    <t>showShootRange</t>
  </si>
  <si>
    <t>显示射程</t>
  </si>
  <si>
    <t>spawnSpeed</t>
  </si>
  <si>
    <t>shieldCanDefend</t>
    <phoneticPr fontId="1" type="noConversion"/>
  </si>
  <si>
    <t>“嘭！嘭！嘭！”自爆是最好的狂欢，一起来狂欢吧！</t>
    <phoneticPr fontId="1" type="noConversion"/>
  </si>
  <si>
    <t>只有被冰冻住的物体才有资格被称为艺术，和我一起成为艺术吧。</t>
    <phoneticPr fontId="1" type="noConversion"/>
  </si>
  <si>
    <t>splitNumber</t>
  </si>
  <si>
    <t>splitTroop</t>
  </si>
  <si>
    <t>分裂兵种</t>
  </si>
  <si>
    <t>splitTroopLevel</t>
  </si>
  <si>
    <t>分裂兵种等级</t>
  </si>
  <si>
    <t>deployTime</t>
  </si>
  <si>
    <t>邦尼堡垒</t>
  </si>
  <si>
    <t>骨头营地</t>
  </si>
  <si>
    <t>盖奇小屋</t>
  </si>
  <si>
    <t>训练营，每隔数秒盖奇会在这里集合，出发攻击敌人。同时也是V.的化妆间。</t>
  </si>
  <si>
    <t>productionSpeed</t>
  </si>
  <si>
    <t>产出能量时间</t>
  </si>
  <si>
    <t>damageMax</t>
  </si>
  <si>
    <t>攻击max</t>
  </si>
  <si>
    <t>2000</t>
  </si>
  <si>
    <t>0</t>
  </si>
  <si>
    <t>notShootRange</t>
  </si>
  <si>
    <t>不能攻击射程</t>
  </si>
  <si>
    <t>召唤
间隔</t>
  </si>
  <si>
    <t>死亡分裂
数量</t>
  </si>
  <si>
    <t>lifeTime</t>
  </si>
  <si>
    <t>建筑生命持续时间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</si>
</sst>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&quot;普通&quot;"/>
    <numFmt numFmtId="177" formatCode="0&quot;稀有&quot;"/>
    <numFmt numFmtId="178" formatCode="0&quot;传说&quot;"/>
    <numFmt numFmtId="179" formatCode="0&quot;史诗&quot;"/>
  </numFmts>
  <fonts count="48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name val="宋体"/>
      <family val="3"/>
      <charset val="134"/>
    </font>
    <font>
      <b/>
      <sz val="1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9" tint="-0.249977111117893"/>
      <name val="宋体"/>
      <family val="2"/>
      <scheme val="minor"/>
    </font>
    <font>
      <sz val="11"/>
      <color rgb="FF7030A0"/>
      <name val="宋体"/>
      <family val="2"/>
      <scheme val="minor"/>
    </font>
    <font>
      <sz val="11"/>
      <color rgb="FF000000"/>
      <name val="宋体"/>
      <family val="3"/>
      <charset val="134"/>
    </font>
    <font>
      <sz val="12"/>
      <name val="宋体"/>
      <family val="3"/>
      <charset val="134"/>
    </font>
    <font>
      <sz val="11"/>
      <color rgb="FFC0000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11"/>
      <color rgb="FFFF0000"/>
      <name val="宋体"/>
      <family val="2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2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1"/>
      <name val="微软雅黑"/>
      <family val="2"/>
      <charset val="134"/>
    </font>
    <font>
      <b/>
      <sz val="11"/>
      <name val="微软雅黑"/>
      <family val="2"/>
      <charset val="134"/>
    </font>
    <font>
      <b/>
      <sz val="11"/>
      <color rgb="FFC00000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00B0F0"/>
      <name val="宋体"/>
      <family val="3"/>
      <charset val="134"/>
      <scheme val="minor"/>
    </font>
    <font>
      <sz val="11"/>
      <color rgb="FF00B050"/>
      <name val="宋体"/>
      <family val="2"/>
      <scheme val="minor"/>
    </font>
    <font>
      <sz val="11"/>
      <color rgb="FF0070C0"/>
      <name val="宋体"/>
      <family val="2"/>
      <scheme val="minor"/>
    </font>
    <font>
      <sz val="11"/>
      <color theme="0" tint="-0.499984740745262"/>
      <name val="宋体"/>
      <family val="2"/>
      <scheme val="minor"/>
    </font>
    <font>
      <sz val="12"/>
      <color rgb="FF00B0F0"/>
      <name val="宋体"/>
      <family val="3"/>
      <charset val="134"/>
    </font>
    <font>
      <sz val="11"/>
      <color theme="9" tint="-0.249977111117893"/>
      <name val="宋体"/>
      <family val="3"/>
      <charset val="134"/>
      <scheme val="minor"/>
    </font>
    <font>
      <b/>
      <sz val="11"/>
      <color theme="9" tint="-0.249977111117893"/>
      <name val="宋体"/>
      <family val="3"/>
      <charset val="134"/>
      <scheme val="minor"/>
    </font>
    <font>
      <b/>
      <sz val="11"/>
      <color rgb="FF7030A0"/>
      <name val="宋体"/>
      <family val="3"/>
      <charset val="134"/>
      <scheme val="minor"/>
    </font>
    <font>
      <sz val="11"/>
      <color theme="0" tint="-0.499984740745262"/>
      <name val="宋体"/>
      <family val="3"/>
      <charset val="134"/>
      <scheme val="minor"/>
    </font>
    <font>
      <sz val="11"/>
      <color theme="0" tint="-0.499984740745262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  <font>
      <sz val="11"/>
      <color theme="0" tint="-0.249977111117893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sz val="11"/>
      <color theme="0" tint="-0.34998626667073579"/>
      <name val="宋体"/>
      <family val="2"/>
      <scheme val="minor"/>
    </font>
    <font>
      <sz val="11"/>
      <color rgb="FF00B0F0"/>
      <name val="宋体"/>
      <family val="2"/>
      <scheme val="minor"/>
    </font>
    <font>
      <sz val="11"/>
      <name val="宋体"/>
      <family val="2"/>
      <scheme val="minor"/>
    </font>
    <font>
      <b/>
      <sz val="11"/>
      <color theme="0"/>
      <name val="宋体"/>
      <family val="3"/>
      <charset val="134"/>
      <scheme val="minor"/>
    </font>
    <font>
      <b/>
      <sz val="11"/>
      <color theme="0" tint="-0.499984740745262"/>
      <name val="宋体"/>
      <family val="3"/>
      <charset val="134"/>
      <scheme val="minor"/>
    </font>
    <font>
      <b/>
      <sz val="11"/>
      <color theme="0" tint="-0.499984740745262"/>
      <name val="微软雅黑"/>
      <family val="2"/>
      <charset val="134"/>
    </font>
    <font>
      <b/>
      <sz val="11"/>
      <color rgb="FF0000FF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</borders>
  <cellStyleXfs count="3">
    <xf numFmtId="0" fontId="0" fillId="0" borderId="0"/>
    <xf numFmtId="0" fontId="11" fillId="0" borderId="0">
      <alignment vertical="center"/>
    </xf>
    <xf numFmtId="0" fontId="19" fillId="0" borderId="0">
      <alignment vertical="center"/>
    </xf>
  </cellStyleXfs>
  <cellXfs count="215">
    <xf numFmtId="0" fontId="0" fillId="0" borderId="0" xfId="0"/>
    <xf numFmtId="14" fontId="0" fillId="0" borderId="0" xfId="0" applyNumberFormat="1" applyAlignme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Fill="1" applyAlignment="1"/>
    <xf numFmtId="0" fontId="6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/>
    <xf numFmtId="177" fontId="8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2" fillId="0" borderId="0" xfId="0" applyFont="1" applyFill="1" applyAlignment="1">
      <alignment vertical="center"/>
    </xf>
    <xf numFmtId="0" fontId="2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center"/>
    </xf>
    <xf numFmtId="0" fontId="4" fillId="0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Fill="1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right" vertical="center"/>
    </xf>
    <xf numFmtId="0" fontId="15" fillId="0" borderId="0" xfId="0" applyFont="1"/>
    <xf numFmtId="0" fontId="19" fillId="0" borderId="0" xfId="0" applyFont="1" applyBorder="1" applyAlignment="1">
      <alignment vertical="center"/>
    </xf>
    <xf numFmtId="0" fontId="21" fillId="0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3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6" fillId="0" borderId="0" xfId="0" applyFont="1" applyFill="1" applyAlignment="1">
      <alignment horizontal="center" vertical="center" wrapText="1"/>
    </xf>
    <xf numFmtId="0" fontId="27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0" fillId="0" borderId="0" xfId="0" applyAlignment="1">
      <alignment horizontal="left" vertical="center" wrapText="1"/>
    </xf>
    <xf numFmtId="0" fontId="11" fillId="0" borderId="0" xfId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6" fillId="0" borderId="0" xfId="0" applyFont="1" applyFill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20" fillId="0" borderId="0" xfId="1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/>
    </xf>
    <xf numFmtId="0" fontId="15" fillId="4" borderId="0" xfId="0" applyFont="1" applyFill="1" applyAlignment="1">
      <alignment vertical="center"/>
    </xf>
    <xf numFmtId="0" fontId="0" fillId="4" borderId="0" xfId="0" applyFill="1"/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5" fillId="3" borderId="1" xfId="0" applyFont="1" applyFill="1" applyBorder="1" applyAlignment="1">
      <alignment horizontal="center" vertical="center"/>
    </xf>
    <xf numFmtId="0" fontId="31" fillId="0" borderId="0" xfId="0" applyFont="1" applyAlignment="1">
      <alignment horizontal="center"/>
    </xf>
    <xf numFmtId="178" fontId="29" fillId="0" borderId="0" xfId="0" applyNumberFormat="1" applyFont="1" applyAlignment="1">
      <alignment horizontal="center" vertical="center"/>
    </xf>
    <xf numFmtId="179" fontId="9" fillId="0" borderId="0" xfId="0" applyNumberFormat="1" applyFont="1" applyAlignment="1">
      <alignment horizontal="center" vertical="center"/>
    </xf>
    <xf numFmtId="14" fontId="0" fillId="0" borderId="0" xfId="0" applyNumberFormat="1"/>
    <xf numFmtId="0" fontId="32" fillId="0" borderId="0" xfId="1" applyFont="1" applyFill="1" applyAlignment="1">
      <alignment horizontal="center" vertical="center" wrapText="1"/>
    </xf>
    <xf numFmtId="0" fontId="15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8" fillId="0" borderId="0" xfId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7" fillId="4" borderId="0" xfId="0" applyFont="1" applyFill="1"/>
    <xf numFmtId="0" fontId="1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Border="1"/>
    <xf numFmtId="0" fontId="0" fillId="0" borderId="5" xfId="0" applyBorder="1"/>
    <xf numFmtId="0" fontId="6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vertical="center"/>
    </xf>
    <xf numFmtId="0" fontId="0" fillId="0" borderId="6" xfId="0" applyBorder="1"/>
    <xf numFmtId="0" fontId="31" fillId="0" borderId="0" xfId="0" applyFont="1"/>
    <xf numFmtId="0" fontId="3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15" fillId="0" borderId="0" xfId="0" applyFont="1" applyFill="1"/>
    <xf numFmtId="0" fontId="18" fillId="2" borderId="0" xfId="0" applyFont="1" applyFill="1" applyAlignment="1">
      <alignment horizontal="center"/>
    </xf>
    <xf numFmtId="0" fontId="15" fillId="0" borderId="0" xfId="0" applyFont="1" applyFill="1" applyAlignment="1">
      <alignment horizontal="center" vertical="center"/>
    </xf>
    <xf numFmtId="0" fontId="15" fillId="0" borderId="6" xfId="0" applyFont="1" applyFill="1" applyBorder="1" applyAlignment="1">
      <alignment horizontal="center" vertical="center"/>
    </xf>
    <xf numFmtId="0" fontId="15" fillId="0" borderId="0" xfId="0" applyFont="1" applyFill="1" applyAlignment="1">
      <alignment horizontal="center"/>
    </xf>
    <xf numFmtId="0" fontId="15" fillId="0" borderId="6" xfId="0" applyFont="1" applyFill="1" applyBorder="1" applyAlignment="1">
      <alignment horizontal="center"/>
    </xf>
    <xf numFmtId="0" fontId="15" fillId="0" borderId="7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7" fillId="0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9" fillId="0" borderId="0" xfId="0" applyFont="1"/>
    <xf numFmtId="0" fontId="32" fillId="2" borderId="0" xfId="1" applyFont="1" applyFill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49" fontId="41" fillId="0" borderId="0" xfId="0" applyNumberFormat="1" applyFont="1" applyAlignment="1">
      <alignment horizontal="center" vertical="center"/>
    </xf>
    <xf numFmtId="0" fontId="17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49" fontId="23" fillId="0" borderId="0" xfId="0" applyNumberFormat="1" applyFont="1" applyAlignment="1">
      <alignment horizontal="center" vertical="center"/>
    </xf>
    <xf numFmtId="0" fontId="35" fillId="0" borderId="0" xfId="0" applyFont="1"/>
    <xf numFmtId="0" fontId="36" fillId="5" borderId="0" xfId="0" applyFont="1" applyFill="1" applyAlignment="1">
      <alignment horizontal="center" vertical="center"/>
    </xf>
    <xf numFmtId="0" fontId="41" fillId="0" borderId="0" xfId="0" applyNumberFormat="1" applyFont="1" applyAlignment="1">
      <alignment horizontal="center" vertical="center"/>
    </xf>
    <xf numFmtId="49" fontId="40" fillId="0" borderId="0" xfId="0" applyNumberFormat="1" applyFont="1" applyAlignment="1">
      <alignment horizontal="center" vertical="center"/>
    </xf>
    <xf numFmtId="0" fontId="23" fillId="0" borderId="0" xfId="0" applyNumberFormat="1" applyFont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0" fillId="2" borderId="0" xfId="0" applyFill="1" applyAlignment="1">
      <alignment vertical="center"/>
    </xf>
    <xf numFmtId="0" fontId="4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2" borderId="0" xfId="0" applyFill="1"/>
    <xf numFmtId="0" fontId="15" fillId="6" borderId="0" xfId="0" applyFont="1" applyFill="1"/>
    <xf numFmtId="0" fontId="0" fillId="6" borderId="0" xfId="0" applyFill="1"/>
    <xf numFmtId="0" fontId="15" fillId="4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26" fillId="0" borderId="0" xfId="0" applyFont="1" applyAlignment="1">
      <alignment vertical="center"/>
    </xf>
    <xf numFmtId="0" fontId="42" fillId="0" borderId="0" xfId="0" applyFont="1" applyAlignment="1">
      <alignment horizontal="left" vertical="center"/>
    </xf>
    <xf numFmtId="0" fontId="22" fillId="2" borderId="0" xfId="0" applyFont="1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0" fillId="8" borderId="0" xfId="0" applyFill="1"/>
    <xf numFmtId="0" fontId="0" fillId="8" borderId="0" xfId="0" applyFill="1" applyAlignment="1">
      <alignment horizontal="center"/>
    </xf>
    <xf numFmtId="0" fontId="15" fillId="8" borderId="0" xfId="0" applyFont="1" applyFill="1" applyAlignment="1">
      <alignment horizontal="center" vertical="center"/>
    </xf>
    <xf numFmtId="0" fontId="19" fillId="0" borderId="0" xfId="0" applyFont="1" applyAlignment="1">
      <alignment vertical="center"/>
    </xf>
    <xf numFmtId="0" fontId="11" fillId="5" borderId="0" xfId="1" applyFont="1" applyFill="1" applyAlignment="1">
      <alignment horizontal="right" vertical="center"/>
    </xf>
    <xf numFmtId="0" fontId="11" fillId="8" borderId="0" xfId="1" applyFont="1" applyFill="1" applyAlignment="1">
      <alignment horizontal="right" vertical="center"/>
    </xf>
    <xf numFmtId="0" fontId="11" fillId="0" borderId="0" xfId="1" applyFont="1" applyFill="1" applyAlignment="1">
      <alignment horizontal="right" vertical="center"/>
    </xf>
    <xf numFmtId="0" fontId="11" fillId="0" borderId="0" xfId="1" applyFont="1" applyFill="1" applyAlignment="1">
      <alignment horizontal="right" vertical="center" wrapText="1"/>
    </xf>
    <xf numFmtId="0" fontId="34" fillId="0" borderId="0" xfId="0" applyFont="1" applyFill="1" applyAlignment="1">
      <alignment horizontal="center" vertical="center"/>
    </xf>
    <xf numFmtId="0" fontId="40" fillId="0" borderId="0" xfId="0" applyFont="1" applyFill="1" applyAlignment="1">
      <alignment horizontal="center" vertical="center"/>
    </xf>
    <xf numFmtId="0" fontId="33" fillId="0" borderId="0" xfId="0" applyFont="1" applyFill="1" applyAlignment="1">
      <alignment horizontal="center" vertical="center"/>
    </xf>
    <xf numFmtId="0" fontId="36" fillId="0" borderId="0" xfId="0" applyFont="1" applyFill="1" applyAlignment="1">
      <alignment horizontal="center" vertical="center"/>
    </xf>
    <xf numFmtId="49" fontId="41" fillId="0" borderId="0" xfId="0" applyNumberFormat="1" applyFont="1" applyFill="1" applyAlignment="1">
      <alignment horizontal="center" vertical="center"/>
    </xf>
    <xf numFmtId="0" fontId="41" fillId="0" borderId="0" xfId="0" applyNumberFormat="1" applyFont="1" applyFill="1" applyAlignment="1">
      <alignment horizontal="center" vertical="center"/>
    </xf>
    <xf numFmtId="49" fontId="23" fillId="0" borderId="0" xfId="0" applyNumberFormat="1" applyFont="1" applyFill="1" applyAlignment="1">
      <alignment horizontal="center" vertical="center"/>
    </xf>
    <xf numFmtId="49" fontId="34" fillId="0" borderId="0" xfId="0" applyNumberFormat="1" applyFont="1" applyFill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42" fillId="0" borderId="0" xfId="0" applyFont="1" applyAlignment="1">
      <alignment vertical="center"/>
    </xf>
    <xf numFmtId="0" fontId="42" fillId="0" borderId="0" xfId="0" applyFont="1" applyAlignment="1">
      <alignment horizontal="left" vertical="center" wrapText="1"/>
    </xf>
    <xf numFmtId="0" fontId="0" fillId="9" borderId="0" xfId="0" applyFill="1"/>
    <xf numFmtId="0" fontId="19" fillId="9" borderId="0" xfId="0" applyFont="1" applyFill="1"/>
    <xf numFmtId="0" fontId="0" fillId="9" borderId="0" xfId="0" applyFill="1" applyAlignment="1">
      <alignment vertical="center"/>
    </xf>
    <xf numFmtId="0" fontId="6" fillId="0" borderId="0" xfId="0" applyFont="1" applyAlignment="1">
      <alignment horizontal="center"/>
    </xf>
    <xf numFmtId="0" fontId="29" fillId="0" borderId="0" xfId="0" applyFont="1" applyAlignment="1"/>
    <xf numFmtId="0" fontId="6" fillId="0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0" fillId="0" borderId="0" xfId="0" applyFill="1"/>
    <xf numFmtId="0" fontId="43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23" fillId="0" borderId="1" xfId="0" applyFont="1" applyBorder="1" applyAlignment="1">
      <alignment horizontal="center" vertical="center"/>
    </xf>
    <xf numFmtId="2" fontId="0" fillId="0" borderId="0" xfId="0" applyNumberFormat="1"/>
    <xf numFmtId="0" fontId="40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0" fontId="35" fillId="11" borderId="0" xfId="0" applyNumberFormat="1" applyFont="1" applyFill="1" applyAlignment="1">
      <alignment horizontal="center" vertical="center"/>
    </xf>
    <xf numFmtId="0" fontId="44" fillId="12" borderId="0" xfId="0" applyNumberFormat="1" applyFont="1" applyFill="1" applyAlignment="1">
      <alignment horizontal="center" vertical="center"/>
    </xf>
    <xf numFmtId="0" fontId="15" fillId="2" borderId="0" xfId="0" applyNumberFormat="1" applyFont="1" applyFill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0" xfId="0" applyFont="1"/>
    <xf numFmtId="0" fontId="0" fillId="0" borderId="0" xfId="0" applyAlignment="1">
      <alignment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23" fillId="0" borderId="1" xfId="0" applyFont="1" applyBorder="1" applyAlignment="1">
      <alignment horizontal="left" vertical="center" wrapText="1"/>
    </xf>
    <xf numFmtId="0" fontId="23" fillId="0" borderId="1" xfId="0" applyFont="1" applyBorder="1" applyAlignment="1">
      <alignment horizontal="left" vertical="center"/>
    </xf>
    <xf numFmtId="0" fontId="17" fillId="0" borderId="1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left" vertical="center"/>
    </xf>
    <xf numFmtId="0" fontId="15" fillId="3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</cellXfs>
  <cellStyles count="3">
    <cellStyle name="常规" xfId="0" builtinId="0"/>
    <cellStyle name="常规 2" xfId="2"/>
    <cellStyle name="常规 3" xfId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CC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18</xdr:row>
      <xdr:rowOff>180975</xdr:rowOff>
    </xdr:from>
    <xdr:to>
      <xdr:col>1</xdr:col>
      <xdr:colOff>342900</xdr:colOff>
      <xdr:row>20</xdr:row>
      <xdr:rowOff>104775</xdr:rowOff>
    </xdr:to>
    <xdr:sp macro="" textlink="">
      <xdr:nvSpPr>
        <xdr:cNvPr id="2" name="右箭头 1"/>
        <xdr:cNvSpPr/>
      </xdr:nvSpPr>
      <xdr:spPr>
        <a:xfrm>
          <a:off x="57150" y="4610100"/>
          <a:ext cx="1390650" cy="409575"/>
        </a:xfrm>
        <a:prstGeom prst="rightArrow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2016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年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11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月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2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日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38100</xdr:rowOff>
        </xdr:from>
        <xdr:to>
          <xdr:col>3</xdr:col>
          <xdr:colOff>523875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2</xdr:col>
          <xdr:colOff>752475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批次：1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323850</xdr:colOff>
      <xdr:row>0</xdr:row>
      <xdr:rowOff>0</xdr:rowOff>
    </xdr:from>
    <xdr:to>
      <xdr:col>19</xdr:col>
      <xdr:colOff>171450</xdr:colOff>
      <xdr:row>1</xdr:row>
      <xdr:rowOff>85725</xdr:rowOff>
    </xdr:to>
    <xdr:sp macro="" textlink="">
      <xdr:nvSpPr>
        <xdr:cNvPr id="2" name="矩形 1"/>
        <xdr:cNvSpPr/>
      </xdr:nvSpPr>
      <xdr:spPr>
        <a:xfrm>
          <a:off x="6638925" y="0"/>
          <a:ext cx="2943225" cy="257175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 </a:t>
          </a:r>
          <a:r>
            <a:rPr lang="en-US" altLang="zh-CN" sz="1100"/>
            <a:t>【</a:t>
          </a:r>
          <a:r>
            <a:rPr lang="zh-CN" altLang="en-US" sz="1100"/>
            <a:t>此列之后 都是战斗需要的属性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2</xdr:row>
          <xdr:rowOff>0</xdr:rowOff>
        </xdr:from>
        <xdr:to>
          <xdr:col>2</xdr:col>
          <xdr:colOff>857250</xdr:colOff>
          <xdr:row>3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批次：2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19</xdr:col>
      <xdr:colOff>0</xdr:colOff>
      <xdr:row>375</xdr:row>
      <xdr:rowOff>0</xdr:rowOff>
    </xdr:from>
    <xdr:to>
      <xdr:col>19</xdr:col>
      <xdr:colOff>161925</xdr:colOff>
      <xdr:row>376</xdr:row>
      <xdr:rowOff>0</xdr:rowOff>
    </xdr:to>
    <xdr:sp macro="" textlink="">
      <xdr:nvSpPr>
        <xdr:cNvPr id="4123" name="AutoShape 27" descr="LevelIcon"/>
        <xdr:cNvSpPr>
          <a:spLocks noChangeAspect="1" noChangeArrowheads="1"/>
        </xdr:cNvSpPr>
      </xdr:nvSpPr>
      <xdr:spPr bwMode="auto">
        <a:xfrm>
          <a:off x="8772525" y="56359425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22</xdr:col>
      <xdr:colOff>0</xdr:colOff>
      <xdr:row>375</xdr:row>
      <xdr:rowOff>0</xdr:rowOff>
    </xdr:from>
    <xdr:to>
      <xdr:col>22</xdr:col>
      <xdr:colOff>247650</xdr:colOff>
      <xdr:row>376</xdr:row>
      <xdr:rowOff>76200</xdr:rowOff>
    </xdr:to>
    <xdr:sp macro="" textlink="">
      <xdr:nvSpPr>
        <xdr:cNvPr id="4125" name="AutoShape 29" descr="Icons stats dmg"/>
        <xdr:cNvSpPr>
          <a:spLocks noChangeAspect="1" noChangeArrowheads="1"/>
        </xdr:cNvSpPr>
      </xdr:nvSpPr>
      <xdr:spPr bwMode="auto">
        <a:xfrm>
          <a:off x="9867900" y="56359425"/>
          <a:ext cx="2476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23</xdr:col>
      <xdr:colOff>0</xdr:colOff>
      <xdr:row>375</xdr:row>
      <xdr:rowOff>0</xdr:rowOff>
    </xdr:from>
    <xdr:to>
      <xdr:col>23</xdr:col>
      <xdr:colOff>247650</xdr:colOff>
      <xdr:row>376</xdr:row>
      <xdr:rowOff>76200</xdr:rowOff>
    </xdr:to>
    <xdr:sp macro="" textlink="">
      <xdr:nvSpPr>
        <xdr:cNvPr id="4126" name="AutoShape 30" descr="Icons stats dmg dps"/>
        <xdr:cNvSpPr>
          <a:spLocks noChangeAspect="1" noChangeArrowheads="1"/>
        </xdr:cNvSpPr>
      </xdr:nvSpPr>
      <xdr:spPr bwMode="auto">
        <a:xfrm>
          <a:off x="10439400" y="56359425"/>
          <a:ext cx="2476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390525</xdr:colOff>
      <xdr:row>0</xdr:row>
      <xdr:rowOff>0</xdr:rowOff>
    </xdr:from>
    <xdr:to>
      <xdr:col>17</xdr:col>
      <xdr:colOff>266700</xdr:colOff>
      <xdr:row>1</xdr:row>
      <xdr:rowOff>85725</xdr:rowOff>
    </xdr:to>
    <xdr:sp macro="" textlink="">
      <xdr:nvSpPr>
        <xdr:cNvPr id="4" name="矩形 3"/>
        <xdr:cNvSpPr/>
      </xdr:nvSpPr>
      <xdr:spPr>
        <a:xfrm>
          <a:off x="7686675" y="0"/>
          <a:ext cx="2628900" cy="257175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 </a:t>
          </a:r>
          <a:r>
            <a:rPr lang="en-US" altLang="zh-CN" sz="1100"/>
            <a:t>【</a:t>
          </a:r>
          <a:r>
            <a:rPr lang="zh-CN" altLang="en-US" sz="1100"/>
            <a:t>此列之后 都是战斗需要的属性</a:t>
          </a:r>
        </a:p>
      </xdr:txBody>
    </xdr:sp>
    <xdr:clientData/>
  </xdr:twoCellAnchor>
  <xdr:twoCellAnchor>
    <xdr:from>
      <xdr:col>19</xdr:col>
      <xdr:colOff>123824</xdr:colOff>
      <xdr:row>64</xdr:row>
      <xdr:rowOff>38099</xdr:rowOff>
    </xdr:from>
    <xdr:to>
      <xdr:col>20</xdr:col>
      <xdr:colOff>447675</xdr:colOff>
      <xdr:row>69</xdr:row>
      <xdr:rowOff>66674</xdr:rowOff>
    </xdr:to>
    <xdr:sp macro="" textlink="">
      <xdr:nvSpPr>
        <xdr:cNvPr id="5" name="矩形 4"/>
        <xdr:cNvSpPr/>
      </xdr:nvSpPr>
      <xdr:spPr>
        <a:xfrm>
          <a:off x="11544299" y="15849599"/>
          <a:ext cx="1009651" cy="885825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>
              <a:solidFill>
                <a:srgbClr val="FF0000"/>
              </a:solidFill>
            </a:rPr>
            <a:t> 这里数值是每秒的伤害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2</xdr:col>
          <xdr:colOff>752475</xdr:colOff>
          <xdr:row>1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批次：1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3</xdr:row>
          <xdr:rowOff>0</xdr:rowOff>
        </xdr:from>
        <xdr:to>
          <xdr:col>2</xdr:col>
          <xdr:colOff>857250</xdr:colOff>
          <xdr:row>3</xdr:row>
          <xdr:rowOff>171450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批次：2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0</xdr:row>
      <xdr:rowOff>0</xdr:rowOff>
    </xdr:from>
    <xdr:to>
      <xdr:col>17</xdr:col>
      <xdr:colOff>333375</xdr:colOff>
      <xdr:row>1</xdr:row>
      <xdr:rowOff>85725</xdr:rowOff>
    </xdr:to>
    <xdr:sp macro="" textlink="">
      <xdr:nvSpPr>
        <xdr:cNvPr id="4" name="矩形 3"/>
        <xdr:cNvSpPr/>
      </xdr:nvSpPr>
      <xdr:spPr>
        <a:xfrm>
          <a:off x="9705975" y="0"/>
          <a:ext cx="3276600" cy="257175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 </a:t>
          </a:r>
          <a:r>
            <a:rPr lang="en-US" altLang="zh-CN" sz="1100"/>
            <a:t>【</a:t>
          </a:r>
          <a:r>
            <a:rPr lang="zh-CN" altLang="en-US" sz="1100"/>
            <a:t>此列之后 都是战斗需要的属性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0</xdr:rowOff>
        </xdr:from>
        <xdr:to>
          <xdr:col>2</xdr:col>
          <xdr:colOff>819150</xdr:colOff>
          <xdr:row>1</xdr:row>
          <xdr:rowOff>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批次：1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</xdr:row>
          <xdr:rowOff>0</xdr:rowOff>
        </xdr:from>
        <xdr:to>
          <xdr:col>2</xdr:col>
          <xdr:colOff>819150</xdr:colOff>
          <xdr:row>3</xdr:row>
          <xdr:rowOff>171450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批次：2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</xdr:row>
          <xdr:rowOff>0</xdr:rowOff>
        </xdr:from>
        <xdr:to>
          <xdr:col>2</xdr:col>
          <xdr:colOff>819150</xdr:colOff>
          <xdr:row>3</xdr:row>
          <xdr:rowOff>171450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批次：2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1095375</xdr:colOff>
          <xdr:row>0</xdr:row>
          <xdr:rowOff>9525</xdr:rowOff>
        </xdr:from>
        <xdr:to>
          <xdr:col>2</xdr:col>
          <xdr:colOff>3267075</xdr:colOff>
          <xdr:row>0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123825</xdr:colOff>
      <xdr:row>0</xdr:row>
      <xdr:rowOff>28574</xdr:rowOff>
    </xdr:from>
    <xdr:to>
      <xdr:col>30</xdr:col>
      <xdr:colOff>2314576</xdr:colOff>
      <xdr:row>0</xdr:row>
      <xdr:rowOff>304799</xdr:rowOff>
    </xdr:to>
    <xdr:sp macro="" textlink="">
      <xdr:nvSpPr>
        <xdr:cNvPr id="4" name="圆角矩形 3"/>
        <xdr:cNvSpPr/>
      </xdr:nvSpPr>
      <xdr:spPr>
        <a:xfrm>
          <a:off x="10620375" y="28574"/>
          <a:ext cx="2190751" cy="276225"/>
        </a:xfrm>
        <a:prstGeom prst="roundRect">
          <a:avLst>
            <a:gd name="adj" fmla="val 0"/>
          </a:avLst>
        </a:prstGeom>
        <a:solidFill>
          <a:schemeClr val="bg1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rgbClr val="00B0F0"/>
              </a:solidFill>
            </a:rPr>
            <a:t>军队属性   </a:t>
          </a:r>
          <a:r>
            <a:rPr lang="zh-CN" altLang="en-US" sz="1100">
              <a:solidFill>
                <a:srgbClr val="7030A0"/>
              </a:solidFill>
            </a:rPr>
            <a:t>技能属性  </a:t>
          </a:r>
          <a:r>
            <a:rPr lang="zh-CN" altLang="en-US" sz="1100">
              <a:solidFill>
                <a:srgbClr val="00B050"/>
              </a:solidFill>
            </a:rPr>
            <a:t>建筑属性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209550</xdr:colOff>
      <xdr:row>0</xdr:row>
      <xdr:rowOff>19050</xdr:rowOff>
    </xdr:from>
    <xdr:to>
      <xdr:col>14</xdr:col>
      <xdr:colOff>276225</xdr:colOff>
      <xdr:row>50</xdr:row>
      <xdr:rowOff>165526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0" y="19050"/>
          <a:ext cx="6924675" cy="8718976"/>
        </a:xfrm>
        <a:prstGeom prst="rect">
          <a:avLst/>
        </a:prstGeom>
      </xdr:spPr>
    </xdr:pic>
    <xdr:clientData/>
  </xdr:twoCellAnchor>
  <xdr:twoCellAnchor>
    <xdr:from>
      <xdr:col>5</xdr:col>
      <xdr:colOff>209551</xdr:colOff>
      <xdr:row>20</xdr:row>
      <xdr:rowOff>0</xdr:rowOff>
    </xdr:from>
    <xdr:to>
      <xdr:col>5</xdr:col>
      <xdr:colOff>533401</xdr:colOff>
      <xdr:row>21</xdr:row>
      <xdr:rowOff>142875</xdr:rowOff>
    </xdr:to>
    <xdr:sp macro="" textlink="">
      <xdr:nvSpPr>
        <xdr:cNvPr id="3" name="矩形 2"/>
        <xdr:cNvSpPr/>
      </xdr:nvSpPr>
      <xdr:spPr>
        <a:xfrm>
          <a:off x="3638551" y="3429000"/>
          <a:ext cx="3238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</a:t>
          </a:r>
          <a:endParaRPr lang="zh-CN" altLang="en-US" sz="1100"/>
        </a:p>
      </xdr:txBody>
    </xdr:sp>
    <xdr:clientData/>
  </xdr:twoCellAnchor>
  <xdr:twoCellAnchor>
    <xdr:from>
      <xdr:col>6</xdr:col>
      <xdr:colOff>161926</xdr:colOff>
      <xdr:row>20</xdr:row>
      <xdr:rowOff>0</xdr:rowOff>
    </xdr:from>
    <xdr:to>
      <xdr:col>6</xdr:col>
      <xdr:colOff>485776</xdr:colOff>
      <xdr:row>21</xdr:row>
      <xdr:rowOff>142875</xdr:rowOff>
    </xdr:to>
    <xdr:sp macro="" textlink="">
      <xdr:nvSpPr>
        <xdr:cNvPr id="4" name="矩形 3"/>
        <xdr:cNvSpPr/>
      </xdr:nvSpPr>
      <xdr:spPr>
        <a:xfrm>
          <a:off x="4276726" y="3429000"/>
          <a:ext cx="3238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</a:t>
          </a:r>
          <a:endParaRPr lang="zh-CN" altLang="en-US" sz="1100"/>
        </a:p>
      </xdr:txBody>
    </xdr:sp>
    <xdr:clientData/>
  </xdr:twoCellAnchor>
  <xdr:twoCellAnchor>
    <xdr:from>
      <xdr:col>7</xdr:col>
      <xdr:colOff>28575</xdr:colOff>
      <xdr:row>20</xdr:row>
      <xdr:rowOff>19050</xdr:rowOff>
    </xdr:from>
    <xdr:to>
      <xdr:col>7</xdr:col>
      <xdr:colOff>542924</xdr:colOff>
      <xdr:row>22</xdr:row>
      <xdr:rowOff>19050</xdr:rowOff>
    </xdr:to>
    <xdr:sp macro="" textlink="">
      <xdr:nvSpPr>
        <xdr:cNvPr id="5" name="矩形 4"/>
        <xdr:cNvSpPr/>
      </xdr:nvSpPr>
      <xdr:spPr>
        <a:xfrm>
          <a:off x="4829175" y="3448050"/>
          <a:ext cx="514349" cy="3429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1.5</a:t>
          </a:r>
          <a:endParaRPr lang="zh-CN" altLang="en-US" sz="1100"/>
        </a:p>
      </xdr:txBody>
    </xdr:sp>
    <xdr:clientData/>
  </xdr:twoCellAnchor>
  <xdr:twoCellAnchor>
    <xdr:from>
      <xdr:col>8</xdr:col>
      <xdr:colOff>19051</xdr:colOff>
      <xdr:row>20</xdr:row>
      <xdr:rowOff>19050</xdr:rowOff>
    </xdr:from>
    <xdr:to>
      <xdr:col>8</xdr:col>
      <xdr:colOff>342901</xdr:colOff>
      <xdr:row>21</xdr:row>
      <xdr:rowOff>161925</xdr:rowOff>
    </xdr:to>
    <xdr:sp macro="" textlink="">
      <xdr:nvSpPr>
        <xdr:cNvPr id="6" name="矩形 5"/>
        <xdr:cNvSpPr/>
      </xdr:nvSpPr>
      <xdr:spPr>
        <a:xfrm>
          <a:off x="5505451" y="3448050"/>
          <a:ext cx="3238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</a:t>
          </a:r>
          <a:endParaRPr lang="zh-CN" altLang="en-US" sz="1100"/>
        </a:p>
      </xdr:txBody>
    </xdr:sp>
    <xdr:clientData/>
  </xdr:twoCellAnchor>
  <xdr:twoCellAnchor>
    <xdr:from>
      <xdr:col>9</xdr:col>
      <xdr:colOff>66676</xdr:colOff>
      <xdr:row>20</xdr:row>
      <xdr:rowOff>38100</xdr:rowOff>
    </xdr:from>
    <xdr:to>
      <xdr:col>9</xdr:col>
      <xdr:colOff>390526</xdr:colOff>
      <xdr:row>22</xdr:row>
      <xdr:rowOff>9525</xdr:rowOff>
    </xdr:to>
    <xdr:sp macro="" textlink="">
      <xdr:nvSpPr>
        <xdr:cNvPr id="7" name="矩形 6"/>
        <xdr:cNvSpPr/>
      </xdr:nvSpPr>
      <xdr:spPr>
        <a:xfrm>
          <a:off x="6238876" y="3467100"/>
          <a:ext cx="3238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</a:t>
          </a:r>
          <a:endParaRPr lang="zh-CN" altLang="en-US" sz="1100"/>
        </a:p>
      </xdr:txBody>
    </xdr:sp>
    <xdr:clientData/>
  </xdr:twoCellAnchor>
  <xdr:twoCellAnchor>
    <xdr:from>
      <xdr:col>10</xdr:col>
      <xdr:colOff>171450</xdr:colOff>
      <xdr:row>19</xdr:row>
      <xdr:rowOff>142875</xdr:rowOff>
    </xdr:from>
    <xdr:to>
      <xdr:col>11</xdr:col>
      <xdr:colOff>171449</xdr:colOff>
      <xdr:row>22</xdr:row>
      <xdr:rowOff>161925</xdr:rowOff>
    </xdr:to>
    <xdr:sp macro="" textlink="">
      <xdr:nvSpPr>
        <xdr:cNvPr id="8" name="矩形 7"/>
        <xdr:cNvSpPr/>
      </xdr:nvSpPr>
      <xdr:spPr>
        <a:xfrm>
          <a:off x="7029450" y="3400425"/>
          <a:ext cx="685799" cy="533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2</a:t>
          </a:r>
          <a:endParaRPr lang="zh-CN" altLang="en-US" sz="1100"/>
        </a:p>
      </xdr:txBody>
    </xdr:sp>
    <xdr:clientData/>
  </xdr:twoCellAnchor>
  <xdr:twoCellAnchor>
    <xdr:from>
      <xdr:col>11</xdr:col>
      <xdr:colOff>571501</xdr:colOff>
      <xdr:row>19</xdr:row>
      <xdr:rowOff>142875</xdr:rowOff>
    </xdr:from>
    <xdr:to>
      <xdr:col>12</xdr:col>
      <xdr:colOff>209551</xdr:colOff>
      <xdr:row>21</xdr:row>
      <xdr:rowOff>114300</xdr:rowOff>
    </xdr:to>
    <xdr:sp macro="" textlink="">
      <xdr:nvSpPr>
        <xdr:cNvPr id="9" name="矩形 8"/>
        <xdr:cNvSpPr/>
      </xdr:nvSpPr>
      <xdr:spPr>
        <a:xfrm>
          <a:off x="8115301" y="3400425"/>
          <a:ext cx="3238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</a:t>
          </a:r>
          <a:endParaRPr lang="zh-CN" altLang="en-US" sz="1100"/>
        </a:p>
      </xdr:txBody>
    </xdr:sp>
    <xdr:clientData/>
  </xdr:twoCellAnchor>
  <xdr:twoCellAnchor>
    <xdr:from>
      <xdr:col>12</xdr:col>
      <xdr:colOff>542926</xdr:colOff>
      <xdr:row>19</xdr:row>
      <xdr:rowOff>142875</xdr:rowOff>
    </xdr:from>
    <xdr:to>
      <xdr:col>13</xdr:col>
      <xdr:colOff>180976</xdr:colOff>
      <xdr:row>21</xdr:row>
      <xdr:rowOff>114300</xdr:rowOff>
    </xdr:to>
    <xdr:sp macro="" textlink="">
      <xdr:nvSpPr>
        <xdr:cNvPr id="10" name="矩形 9"/>
        <xdr:cNvSpPr/>
      </xdr:nvSpPr>
      <xdr:spPr>
        <a:xfrm>
          <a:off x="8772526" y="3400425"/>
          <a:ext cx="3238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</a:t>
          </a:r>
          <a:endParaRPr lang="zh-CN" altLang="en-US" sz="1100"/>
        </a:p>
      </xdr:txBody>
    </xdr:sp>
    <xdr:clientData/>
  </xdr:twoCellAnchor>
  <xdr:twoCellAnchor>
    <xdr:from>
      <xdr:col>9</xdr:col>
      <xdr:colOff>123826</xdr:colOff>
      <xdr:row>35</xdr:row>
      <xdr:rowOff>0</xdr:rowOff>
    </xdr:from>
    <xdr:to>
      <xdr:col>10</xdr:col>
      <xdr:colOff>95250</xdr:colOff>
      <xdr:row>37</xdr:row>
      <xdr:rowOff>161925</xdr:rowOff>
    </xdr:to>
    <xdr:sp macro="" textlink="">
      <xdr:nvSpPr>
        <xdr:cNvPr id="11" name="矩形 10"/>
        <xdr:cNvSpPr/>
      </xdr:nvSpPr>
      <xdr:spPr>
        <a:xfrm>
          <a:off x="6296026" y="6000750"/>
          <a:ext cx="657224" cy="5048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2</a:t>
          </a:r>
          <a:endParaRPr lang="zh-CN" altLang="en-US" sz="1100"/>
        </a:p>
      </xdr:txBody>
    </xdr:sp>
    <xdr:clientData/>
  </xdr:twoCellAnchor>
  <xdr:twoCellAnchor>
    <xdr:from>
      <xdr:col>7</xdr:col>
      <xdr:colOff>561975</xdr:colOff>
      <xdr:row>33</xdr:row>
      <xdr:rowOff>28575</xdr:rowOff>
    </xdr:from>
    <xdr:to>
      <xdr:col>8</xdr:col>
      <xdr:colOff>561974</xdr:colOff>
      <xdr:row>36</xdr:row>
      <xdr:rowOff>28575</xdr:rowOff>
    </xdr:to>
    <xdr:sp macro="" textlink="">
      <xdr:nvSpPr>
        <xdr:cNvPr id="12" name="矩形 11"/>
        <xdr:cNvSpPr/>
      </xdr:nvSpPr>
      <xdr:spPr>
        <a:xfrm>
          <a:off x="5362575" y="5686425"/>
          <a:ext cx="685799" cy="5143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2</a:t>
          </a:r>
          <a:endParaRPr lang="zh-CN" altLang="en-US" sz="1100"/>
        </a:p>
      </xdr:txBody>
    </xdr:sp>
    <xdr:clientData/>
  </xdr:twoCellAnchor>
  <xdr:twoCellAnchor>
    <xdr:from>
      <xdr:col>5</xdr:col>
      <xdr:colOff>180976</xdr:colOff>
      <xdr:row>33</xdr:row>
      <xdr:rowOff>95250</xdr:rowOff>
    </xdr:from>
    <xdr:to>
      <xdr:col>5</xdr:col>
      <xdr:colOff>676275</xdr:colOff>
      <xdr:row>35</xdr:row>
      <xdr:rowOff>161925</xdr:rowOff>
    </xdr:to>
    <xdr:sp macro="" textlink="">
      <xdr:nvSpPr>
        <xdr:cNvPr id="14" name="矩形 13"/>
        <xdr:cNvSpPr/>
      </xdr:nvSpPr>
      <xdr:spPr>
        <a:xfrm>
          <a:off x="3609976" y="5753100"/>
          <a:ext cx="495299" cy="4095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>
              <a:solidFill>
                <a:srgbClr val="FF0000"/>
              </a:solidFill>
            </a:rPr>
            <a:t>1.5</a:t>
          </a:r>
          <a:endParaRPr lang="zh-CN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180975</xdr:colOff>
      <xdr:row>40</xdr:row>
      <xdr:rowOff>123825</xdr:rowOff>
    </xdr:from>
    <xdr:to>
      <xdr:col>7</xdr:col>
      <xdr:colOff>180974</xdr:colOff>
      <xdr:row>43</xdr:row>
      <xdr:rowOff>142875</xdr:rowOff>
    </xdr:to>
    <xdr:sp macro="" textlink="">
      <xdr:nvSpPr>
        <xdr:cNvPr id="15" name="矩形 14"/>
        <xdr:cNvSpPr/>
      </xdr:nvSpPr>
      <xdr:spPr>
        <a:xfrm>
          <a:off x="4295775" y="6981825"/>
          <a:ext cx="685799" cy="533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2</a:t>
          </a:r>
          <a:endParaRPr lang="zh-CN" altLang="en-US" sz="1100"/>
        </a:p>
      </xdr:txBody>
    </xdr:sp>
    <xdr:clientData/>
  </xdr:twoCellAnchor>
  <xdr:twoCellAnchor>
    <xdr:from>
      <xdr:col>8</xdr:col>
      <xdr:colOff>457200</xdr:colOff>
      <xdr:row>44</xdr:row>
      <xdr:rowOff>142874</xdr:rowOff>
    </xdr:from>
    <xdr:to>
      <xdr:col>10</xdr:col>
      <xdr:colOff>104775</xdr:colOff>
      <xdr:row>49</xdr:row>
      <xdr:rowOff>76199</xdr:rowOff>
    </xdr:to>
    <xdr:sp macro="" textlink="">
      <xdr:nvSpPr>
        <xdr:cNvPr id="16" name="矩形 15"/>
        <xdr:cNvSpPr/>
      </xdr:nvSpPr>
      <xdr:spPr>
        <a:xfrm>
          <a:off x="5943600" y="7686674"/>
          <a:ext cx="1019175" cy="7905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3</a:t>
          </a:r>
          <a:endParaRPr lang="zh-CN" altLang="en-US" sz="1100"/>
        </a:p>
      </xdr:txBody>
    </xdr:sp>
    <xdr:clientData/>
  </xdr:twoCellAnchor>
  <xdr:twoCellAnchor>
    <xdr:from>
      <xdr:col>7</xdr:col>
      <xdr:colOff>228600</xdr:colOff>
      <xdr:row>11</xdr:row>
      <xdr:rowOff>152399</xdr:rowOff>
    </xdr:from>
    <xdr:to>
      <xdr:col>8</xdr:col>
      <xdr:colOff>533400</xdr:colOff>
      <xdr:row>16</xdr:row>
      <xdr:rowOff>28574</xdr:rowOff>
    </xdr:to>
    <xdr:sp macro="" textlink="">
      <xdr:nvSpPr>
        <xdr:cNvPr id="17" name="矩形 16"/>
        <xdr:cNvSpPr/>
      </xdr:nvSpPr>
      <xdr:spPr>
        <a:xfrm>
          <a:off x="5029200" y="2038349"/>
          <a:ext cx="990600" cy="7334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3</a:t>
          </a:r>
          <a:endParaRPr lang="zh-CN" altLang="en-US" sz="1100"/>
        </a:p>
      </xdr:txBody>
    </xdr:sp>
    <xdr:clientData/>
  </xdr:twoCellAnchor>
  <xdr:twoCellAnchor>
    <xdr:from>
      <xdr:col>6</xdr:col>
      <xdr:colOff>133350</xdr:colOff>
      <xdr:row>31</xdr:row>
      <xdr:rowOff>171449</xdr:rowOff>
    </xdr:from>
    <xdr:to>
      <xdr:col>7</xdr:col>
      <xdr:colOff>438150</xdr:colOff>
      <xdr:row>36</xdr:row>
      <xdr:rowOff>47624</xdr:rowOff>
    </xdr:to>
    <xdr:sp macro="" textlink="">
      <xdr:nvSpPr>
        <xdr:cNvPr id="18" name="矩形 17"/>
        <xdr:cNvSpPr/>
      </xdr:nvSpPr>
      <xdr:spPr>
        <a:xfrm>
          <a:off x="4248150" y="5486399"/>
          <a:ext cx="990600" cy="7334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3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hyperlink" Target="http://clashroyale.wikia.com/wiki/Poison?action=edit" TargetMode="External"/><Relationship Id="rId7" Type="http://schemas.openxmlformats.org/officeDocument/2006/relationships/ctrlProp" Target="../ctrlProps/ctrlProp4.xml"/><Relationship Id="rId2" Type="http://schemas.openxmlformats.org/officeDocument/2006/relationships/hyperlink" Target="http://clashroyale.wikia.com/wiki/Poison?action=edit" TargetMode="External"/><Relationship Id="rId1" Type="http://schemas.openxmlformats.org/officeDocument/2006/relationships/hyperlink" Target="http://clashroyale.wikia.com/wiki/Poison?action=edit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4.xml"/><Relationship Id="rId4" Type="http://schemas.openxmlformats.org/officeDocument/2006/relationships/hyperlink" Target="http://clashroyale.wikia.com/wiki/Poison?action=edit" TargetMode="External"/><Relationship Id="rId9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omments" Target="../comments3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-0.249977111117893"/>
  </sheetPr>
  <dimension ref="A3:C6"/>
  <sheetViews>
    <sheetView workbookViewId="0">
      <selection activeCell="C6" sqref="C6"/>
    </sheetView>
  </sheetViews>
  <sheetFormatPr defaultRowHeight="13.5"/>
  <cols>
    <col min="1" max="1" width="10.5" bestFit="1" customWidth="1"/>
    <col min="2" max="2" width="10.5" customWidth="1"/>
    <col min="3" max="3" width="78.375" bestFit="1" customWidth="1"/>
  </cols>
  <sheetData>
    <row r="3" spans="1:3">
      <c r="A3" s="1">
        <v>42419</v>
      </c>
      <c r="B3" s="1" t="s">
        <v>381</v>
      </c>
      <c r="C3" s="2" t="s">
        <v>0</v>
      </c>
    </row>
    <row r="4" spans="1:3">
      <c r="A4" s="74">
        <v>42432</v>
      </c>
      <c r="B4" s="74" t="s">
        <v>381</v>
      </c>
      <c r="C4" t="s">
        <v>225</v>
      </c>
    </row>
    <row r="5" spans="1:3">
      <c r="A5" s="74">
        <v>42462</v>
      </c>
      <c r="B5" t="s">
        <v>379</v>
      </c>
      <c r="C5" t="s">
        <v>380</v>
      </c>
    </row>
    <row r="6" spans="1:3">
      <c r="A6" s="74">
        <v>42465</v>
      </c>
      <c r="B6" t="s">
        <v>381</v>
      </c>
      <c r="C6" t="s">
        <v>382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6:S67"/>
  <sheetViews>
    <sheetView workbookViewId="0">
      <selection activeCell="L30" sqref="L30"/>
    </sheetView>
  </sheetViews>
  <sheetFormatPr defaultRowHeight="13.5"/>
  <cols>
    <col min="1" max="1" width="14.5" customWidth="1"/>
    <col min="2" max="2" width="22.875" customWidth="1"/>
    <col min="3" max="3" width="29.375" customWidth="1"/>
    <col min="4" max="4" width="9.25" customWidth="1"/>
    <col min="5" max="5" width="15.625" customWidth="1"/>
    <col min="13" max="13" width="14.25" customWidth="1"/>
  </cols>
  <sheetData>
    <row r="6" spans="2:19">
      <c r="B6" s="66" t="s">
        <v>205</v>
      </c>
      <c r="C6" s="67"/>
      <c r="D6" s="67"/>
      <c r="E6" s="67"/>
      <c r="F6" s="67"/>
      <c r="G6" s="67"/>
      <c r="H6" s="67"/>
      <c r="I6" s="67"/>
      <c r="J6" s="67"/>
      <c r="K6" s="67"/>
      <c r="L6" s="67"/>
    </row>
    <row r="8" spans="2:19">
      <c r="B8" s="70" t="s">
        <v>259</v>
      </c>
      <c r="C8" s="70" t="s">
        <v>209</v>
      </c>
      <c r="D8" s="186" t="s">
        <v>771</v>
      </c>
      <c r="E8" s="190" t="s">
        <v>772</v>
      </c>
      <c r="F8" s="211" t="s">
        <v>221</v>
      </c>
      <c r="G8" s="212"/>
      <c r="H8" s="212"/>
      <c r="I8" s="212"/>
      <c r="J8" s="212"/>
      <c r="K8" s="213"/>
      <c r="L8" s="83" t="s">
        <v>208</v>
      </c>
      <c r="M8" s="70" t="s">
        <v>207</v>
      </c>
      <c r="N8" s="211" t="s">
        <v>222</v>
      </c>
      <c r="O8" s="212"/>
      <c r="P8" s="212"/>
      <c r="Q8" s="212"/>
      <c r="R8" s="212"/>
      <c r="S8" s="212"/>
    </row>
    <row r="9" spans="2:19" ht="18.75" customHeight="1">
      <c r="B9" s="68" t="s">
        <v>261</v>
      </c>
      <c r="C9" s="82" t="s">
        <v>206</v>
      </c>
      <c r="D9" s="185">
        <v>108</v>
      </c>
      <c r="E9" s="189" t="s">
        <v>773</v>
      </c>
      <c r="F9" s="204" t="s">
        <v>213</v>
      </c>
      <c r="G9" s="204"/>
      <c r="H9" s="204"/>
      <c r="I9" s="204"/>
      <c r="J9" s="204"/>
      <c r="K9" s="204"/>
      <c r="L9" s="82" t="s">
        <v>218</v>
      </c>
      <c r="M9" s="69"/>
      <c r="N9" s="205"/>
      <c r="O9" s="205"/>
      <c r="P9" s="205"/>
      <c r="Q9" s="205"/>
      <c r="R9" s="205"/>
      <c r="S9" s="205"/>
    </row>
    <row r="10" spans="2:19" ht="18.75" customHeight="1">
      <c r="B10" s="68" t="s">
        <v>262</v>
      </c>
      <c r="C10" s="82" t="s">
        <v>206</v>
      </c>
      <c r="D10" s="185">
        <v>110</v>
      </c>
      <c r="E10" s="189" t="s">
        <v>773</v>
      </c>
      <c r="F10" s="204" t="s">
        <v>217</v>
      </c>
      <c r="G10" s="204"/>
      <c r="H10" s="204"/>
      <c r="I10" s="204"/>
      <c r="J10" s="204"/>
      <c r="K10" s="204"/>
      <c r="L10" s="68" t="s">
        <v>218</v>
      </c>
      <c r="M10" s="82"/>
      <c r="N10" s="205"/>
      <c r="O10" s="205"/>
      <c r="P10" s="205"/>
      <c r="Q10" s="205"/>
      <c r="R10" s="205"/>
      <c r="S10" s="205"/>
    </row>
    <row r="11" spans="2:19" ht="18.75" customHeight="1">
      <c r="B11" s="68" t="s">
        <v>260</v>
      </c>
      <c r="C11" s="82" t="s">
        <v>206</v>
      </c>
      <c r="D11" s="185">
        <v>109</v>
      </c>
      <c r="E11" s="189" t="s">
        <v>773</v>
      </c>
      <c r="F11" s="204" t="s">
        <v>214</v>
      </c>
      <c r="G11" s="204"/>
      <c r="H11" s="204"/>
      <c r="I11" s="204"/>
      <c r="J11" s="204"/>
      <c r="K11" s="204"/>
      <c r="L11" s="82" t="s">
        <v>218</v>
      </c>
      <c r="M11" s="82"/>
      <c r="N11" s="205" t="s">
        <v>700</v>
      </c>
      <c r="O11" s="205"/>
      <c r="P11" s="205"/>
      <c r="Q11" s="205"/>
      <c r="R11" s="205"/>
      <c r="S11" s="205"/>
    </row>
    <row r="12" spans="2:19" ht="18.75" customHeight="1">
      <c r="B12" s="68" t="s">
        <v>701</v>
      </c>
      <c r="C12" s="171" t="s">
        <v>702</v>
      </c>
      <c r="D12" s="185">
        <v>112</v>
      </c>
      <c r="E12" s="189" t="s">
        <v>773</v>
      </c>
      <c r="F12" s="204" t="s">
        <v>697</v>
      </c>
      <c r="G12" s="204"/>
      <c r="H12" s="204"/>
      <c r="I12" s="204"/>
      <c r="J12" s="204"/>
      <c r="K12" s="204"/>
      <c r="L12" s="171" t="s">
        <v>218</v>
      </c>
      <c r="M12" s="171"/>
      <c r="N12" s="205"/>
      <c r="O12" s="205"/>
      <c r="P12" s="205"/>
      <c r="Q12" s="205"/>
      <c r="R12" s="205"/>
      <c r="S12" s="205"/>
    </row>
    <row r="13" spans="2:19" ht="18.75" customHeight="1">
      <c r="B13" s="68" t="s">
        <v>263</v>
      </c>
      <c r="C13" s="82" t="s">
        <v>210</v>
      </c>
      <c r="D13" s="185">
        <v>128</v>
      </c>
      <c r="E13" s="189" t="s">
        <v>773</v>
      </c>
      <c r="F13" s="204" t="s">
        <v>281</v>
      </c>
      <c r="G13" s="204"/>
      <c r="H13" s="204"/>
      <c r="I13" s="204"/>
      <c r="J13" s="204"/>
      <c r="K13" s="204"/>
      <c r="L13" s="82" t="s">
        <v>282</v>
      </c>
      <c r="M13" s="82"/>
      <c r="N13" s="205"/>
      <c r="O13" s="205"/>
      <c r="P13" s="205"/>
      <c r="Q13" s="205"/>
      <c r="R13" s="205"/>
      <c r="S13" s="205"/>
    </row>
    <row r="14" spans="2:19" ht="18.75" customHeight="1">
      <c r="B14" s="68" t="s">
        <v>283</v>
      </c>
      <c r="C14" s="82" t="s">
        <v>284</v>
      </c>
      <c r="D14" s="185">
        <v>119</v>
      </c>
      <c r="E14" s="189" t="s">
        <v>773</v>
      </c>
      <c r="F14" s="204" t="s">
        <v>285</v>
      </c>
      <c r="G14" s="204"/>
      <c r="H14" s="204"/>
      <c r="I14" s="204"/>
      <c r="J14" s="204"/>
      <c r="K14" s="204"/>
      <c r="L14" s="82" t="s">
        <v>282</v>
      </c>
      <c r="M14" s="199"/>
      <c r="N14" s="205" t="s">
        <v>286</v>
      </c>
      <c r="O14" s="205"/>
      <c r="P14" s="205"/>
      <c r="Q14" s="205"/>
      <c r="R14" s="205"/>
      <c r="S14" s="205"/>
    </row>
    <row r="15" spans="2:19" ht="18.75" customHeight="1">
      <c r="B15" s="68" t="s">
        <v>264</v>
      </c>
      <c r="C15" s="82" t="s">
        <v>287</v>
      </c>
      <c r="D15" s="185">
        <v>121</v>
      </c>
      <c r="E15" s="189"/>
      <c r="F15" s="204" t="s">
        <v>288</v>
      </c>
      <c r="G15" s="204"/>
      <c r="H15" s="204"/>
      <c r="I15" s="204"/>
      <c r="J15" s="204"/>
      <c r="K15" s="204"/>
      <c r="L15" s="82" t="s">
        <v>289</v>
      </c>
      <c r="M15" s="88" t="s">
        <v>258</v>
      </c>
      <c r="N15" s="205"/>
      <c r="O15" s="205"/>
      <c r="P15" s="205"/>
      <c r="Q15" s="205"/>
      <c r="R15" s="205"/>
      <c r="S15" s="205"/>
    </row>
    <row r="16" spans="2:19" ht="18.75" customHeight="1">
      <c r="B16" s="68" t="s">
        <v>265</v>
      </c>
      <c r="C16" s="82" t="s">
        <v>206</v>
      </c>
      <c r="D16" s="185">
        <v>113</v>
      </c>
      <c r="E16" s="189"/>
      <c r="F16" s="204" t="s">
        <v>215</v>
      </c>
      <c r="G16" s="204"/>
      <c r="H16" s="204"/>
      <c r="I16" s="204"/>
      <c r="J16" s="204"/>
      <c r="K16" s="204"/>
      <c r="L16" s="82" t="s">
        <v>219</v>
      </c>
      <c r="M16" s="88" t="s">
        <v>258</v>
      </c>
      <c r="N16" s="205"/>
      <c r="O16" s="205"/>
      <c r="P16" s="205"/>
      <c r="Q16" s="205"/>
      <c r="R16" s="205"/>
      <c r="S16" s="205"/>
    </row>
    <row r="17" spans="2:19" ht="30" customHeight="1">
      <c r="B17" s="68" t="s">
        <v>266</v>
      </c>
      <c r="C17" s="82" t="s">
        <v>206</v>
      </c>
      <c r="D17" s="185">
        <v>116</v>
      </c>
      <c r="E17" s="189"/>
      <c r="F17" s="203" t="s">
        <v>270</v>
      </c>
      <c r="G17" s="204"/>
      <c r="H17" s="204"/>
      <c r="I17" s="204"/>
      <c r="J17" s="204"/>
      <c r="K17" s="204"/>
      <c r="L17" s="82" t="s">
        <v>290</v>
      </c>
      <c r="M17" s="199"/>
      <c r="N17" s="205"/>
      <c r="O17" s="205"/>
      <c r="P17" s="205"/>
      <c r="Q17" s="205"/>
      <c r="R17" s="205"/>
      <c r="S17" s="205"/>
    </row>
    <row r="18" spans="2:19" ht="60.75" customHeight="1">
      <c r="B18" s="68" t="s">
        <v>267</v>
      </c>
      <c r="C18" s="82" t="s">
        <v>206</v>
      </c>
      <c r="D18" s="185">
        <v>117</v>
      </c>
      <c r="E18" s="189"/>
      <c r="F18" s="203" t="s">
        <v>271</v>
      </c>
      <c r="G18" s="204"/>
      <c r="H18" s="204"/>
      <c r="I18" s="204"/>
      <c r="J18" s="204"/>
      <c r="K18" s="204"/>
      <c r="L18" s="82" t="s">
        <v>290</v>
      </c>
      <c r="M18" s="199"/>
      <c r="N18" s="205"/>
      <c r="O18" s="205"/>
      <c r="P18" s="205"/>
      <c r="Q18" s="205"/>
      <c r="R18" s="205"/>
      <c r="S18" s="205"/>
    </row>
    <row r="19" spans="2:19" ht="23.25" customHeight="1">
      <c r="B19" s="91" t="s">
        <v>291</v>
      </c>
      <c r="C19" s="188" t="s">
        <v>206</v>
      </c>
      <c r="D19" s="188">
        <v>114</v>
      </c>
      <c r="E19" s="188"/>
      <c r="F19" s="206" t="s">
        <v>292</v>
      </c>
      <c r="G19" s="207"/>
      <c r="H19" s="207"/>
      <c r="I19" s="207"/>
      <c r="J19" s="207"/>
      <c r="K19" s="207"/>
      <c r="L19" s="82" t="s">
        <v>290</v>
      </c>
      <c r="M19" s="199"/>
      <c r="N19" s="205"/>
      <c r="O19" s="205"/>
      <c r="P19" s="205"/>
      <c r="Q19" s="205"/>
      <c r="R19" s="205"/>
      <c r="S19" s="205"/>
    </row>
    <row r="20" spans="2:19" ht="15" customHeight="1">
      <c r="B20" s="91" t="s">
        <v>313</v>
      </c>
      <c r="C20" s="199" t="s">
        <v>804</v>
      </c>
      <c r="D20" s="199">
        <v>120</v>
      </c>
      <c r="E20" s="199"/>
      <c r="F20" s="204" t="s">
        <v>805</v>
      </c>
      <c r="G20" s="204"/>
      <c r="H20" s="204"/>
      <c r="I20" s="204"/>
      <c r="J20" s="204"/>
      <c r="K20" s="204"/>
      <c r="L20" s="199" t="s">
        <v>218</v>
      </c>
      <c r="M20" s="88" t="s">
        <v>258</v>
      </c>
      <c r="N20" s="205"/>
      <c r="O20" s="205"/>
      <c r="P20" s="205"/>
      <c r="Q20" s="205"/>
      <c r="R20" s="205"/>
      <c r="S20" s="205"/>
    </row>
    <row r="21" spans="2:19" ht="15" customHeight="1">
      <c r="B21" s="68" t="s">
        <v>268</v>
      </c>
      <c r="C21" s="82" t="s">
        <v>206</v>
      </c>
      <c r="D21" s="185">
        <v>120</v>
      </c>
      <c r="E21" s="189"/>
      <c r="F21" s="204" t="s">
        <v>216</v>
      </c>
      <c r="G21" s="204"/>
      <c r="H21" s="204"/>
      <c r="I21" s="204"/>
      <c r="J21" s="204"/>
      <c r="K21" s="204"/>
      <c r="L21" s="97" t="s">
        <v>218</v>
      </c>
      <c r="M21" s="88" t="s">
        <v>258</v>
      </c>
      <c r="N21" s="205"/>
      <c r="O21" s="205"/>
      <c r="P21" s="205"/>
      <c r="Q21" s="205"/>
      <c r="R21" s="205"/>
      <c r="S21" s="205"/>
    </row>
    <row r="22" spans="2:19">
      <c r="B22" s="68" t="s">
        <v>269</v>
      </c>
      <c r="C22" s="82" t="s">
        <v>212</v>
      </c>
      <c r="D22" s="185">
        <v>118</v>
      </c>
      <c r="E22" s="189"/>
      <c r="F22" s="204" t="s">
        <v>211</v>
      </c>
      <c r="G22" s="204"/>
      <c r="H22" s="204"/>
      <c r="I22" s="204"/>
      <c r="J22" s="204"/>
      <c r="K22" s="204"/>
      <c r="L22" s="82" t="s">
        <v>218</v>
      </c>
      <c r="M22" s="69"/>
      <c r="N22" s="205"/>
      <c r="O22" s="205"/>
      <c r="P22" s="205"/>
      <c r="Q22" s="205"/>
      <c r="R22" s="205"/>
      <c r="S22" s="205"/>
    </row>
    <row r="23" spans="2:19"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</row>
    <row r="24" spans="2:19">
      <c r="B24" s="4"/>
      <c r="F24" s="4"/>
      <c r="G24" s="4"/>
      <c r="H24" s="4"/>
      <c r="I24" s="4"/>
      <c r="J24" s="4"/>
      <c r="K24" s="4"/>
      <c r="L24" s="65" t="s">
        <v>220</v>
      </c>
      <c r="M24" s="4"/>
      <c r="N24" s="4"/>
      <c r="O24" s="4"/>
      <c r="P24" s="4"/>
      <c r="Q24" s="4"/>
      <c r="R24" s="4"/>
      <c r="S24" s="4"/>
    </row>
    <row r="25" spans="2:19">
      <c r="B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</row>
    <row r="26" spans="2:19">
      <c r="B26" s="66" t="s">
        <v>293</v>
      </c>
      <c r="C26" s="86"/>
      <c r="D26" s="86"/>
      <c r="E26" s="86"/>
      <c r="F26" s="67"/>
      <c r="G26" s="67"/>
      <c r="H26" s="67"/>
      <c r="I26" s="67"/>
      <c r="J26" s="67"/>
      <c r="K26" s="67"/>
      <c r="L26" s="67"/>
    </row>
    <row r="28" spans="2:19">
      <c r="B28" s="70" t="s">
        <v>294</v>
      </c>
      <c r="C28" s="70" t="s">
        <v>295</v>
      </c>
      <c r="D28" s="186" t="s">
        <v>771</v>
      </c>
      <c r="E28" s="190" t="s">
        <v>772</v>
      </c>
      <c r="F28" s="210" t="s">
        <v>296</v>
      </c>
      <c r="G28" s="210"/>
      <c r="H28" s="210"/>
      <c r="I28" s="210"/>
      <c r="J28" s="210"/>
      <c r="K28" s="210"/>
      <c r="L28" s="83" t="s">
        <v>297</v>
      </c>
      <c r="M28" s="70" t="s">
        <v>298</v>
      </c>
      <c r="N28" s="210" t="s">
        <v>299</v>
      </c>
      <c r="O28" s="210"/>
      <c r="P28" s="210"/>
      <c r="Q28" s="210"/>
      <c r="R28" s="210"/>
      <c r="S28" s="210"/>
    </row>
    <row r="29" spans="2:19" ht="21" customHeight="1">
      <c r="B29" s="68" t="s">
        <v>261</v>
      </c>
      <c r="C29" s="82" t="s">
        <v>300</v>
      </c>
      <c r="D29" s="185">
        <v>108</v>
      </c>
      <c r="E29" s="189" t="s">
        <v>773</v>
      </c>
      <c r="F29" s="204" t="s">
        <v>301</v>
      </c>
      <c r="G29" s="204"/>
      <c r="H29" s="204"/>
      <c r="I29" s="204"/>
      <c r="J29" s="204"/>
      <c r="K29" s="204"/>
      <c r="L29" s="82" t="s">
        <v>282</v>
      </c>
      <c r="M29" s="69"/>
      <c r="N29" s="205"/>
      <c r="O29" s="205"/>
      <c r="P29" s="205"/>
      <c r="Q29" s="205"/>
      <c r="R29" s="205"/>
      <c r="S29" s="205"/>
    </row>
    <row r="30" spans="2:19" ht="90.75" customHeight="1">
      <c r="B30" s="68" t="s">
        <v>262</v>
      </c>
      <c r="C30" s="87" t="s">
        <v>302</v>
      </c>
      <c r="D30" s="191">
        <v>110</v>
      </c>
      <c r="E30" s="189" t="s">
        <v>773</v>
      </c>
      <c r="F30" s="203" t="s">
        <v>384</v>
      </c>
      <c r="G30" s="204"/>
      <c r="H30" s="204"/>
      <c r="I30" s="204"/>
      <c r="J30" s="204"/>
      <c r="K30" s="204"/>
      <c r="L30" s="68" t="s">
        <v>282</v>
      </c>
      <c r="M30" s="82"/>
      <c r="N30" s="205"/>
      <c r="O30" s="205"/>
      <c r="P30" s="205"/>
      <c r="Q30" s="205"/>
      <c r="R30" s="205"/>
      <c r="S30" s="205"/>
    </row>
    <row r="31" spans="2:19" ht="33.75" customHeight="1">
      <c r="B31" s="68" t="s">
        <v>260</v>
      </c>
      <c r="C31" s="85" t="s">
        <v>302</v>
      </c>
      <c r="D31" s="191">
        <v>109</v>
      </c>
      <c r="E31" s="189" t="s">
        <v>773</v>
      </c>
      <c r="F31" s="208" t="s">
        <v>383</v>
      </c>
      <c r="G31" s="209"/>
      <c r="H31" s="209"/>
      <c r="I31" s="209"/>
      <c r="J31" s="209"/>
      <c r="K31" s="209"/>
      <c r="L31" s="82" t="s">
        <v>282</v>
      </c>
      <c r="M31" s="69"/>
      <c r="N31" s="205" t="s">
        <v>303</v>
      </c>
      <c r="O31" s="205"/>
      <c r="P31" s="205"/>
      <c r="Q31" s="205"/>
      <c r="R31" s="205"/>
      <c r="S31" s="205"/>
    </row>
    <row r="32" spans="2:19" ht="21" customHeight="1">
      <c r="B32" s="68" t="s">
        <v>265</v>
      </c>
      <c r="C32" s="85" t="s">
        <v>302</v>
      </c>
      <c r="D32" s="191">
        <v>113</v>
      </c>
      <c r="E32" s="85"/>
      <c r="F32" s="204" t="s">
        <v>304</v>
      </c>
      <c r="G32" s="204"/>
      <c r="H32" s="204"/>
      <c r="I32" s="204"/>
      <c r="J32" s="204"/>
      <c r="K32" s="204"/>
      <c r="L32" s="82" t="s">
        <v>289</v>
      </c>
      <c r="M32" s="88" t="s">
        <v>305</v>
      </c>
      <c r="N32" s="205"/>
      <c r="O32" s="205"/>
      <c r="P32" s="205"/>
      <c r="Q32" s="205"/>
      <c r="R32" s="205"/>
      <c r="S32" s="205"/>
    </row>
    <row r="33" spans="2:19" ht="32.25" customHeight="1">
      <c r="B33" s="68" t="s">
        <v>266</v>
      </c>
      <c r="C33" s="85" t="s">
        <v>302</v>
      </c>
      <c r="D33" s="191">
        <v>116</v>
      </c>
      <c r="E33" s="85"/>
      <c r="F33" s="203" t="s">
        <v>306</v>
      </c>
      <c r="G33" s="204"/>
      <c r="H33" s="204"/>
      <c r="I33" s="204"/>
      <c r="J33" s="204"/>
      <c r="K33" s="204"/>
      <c r="L33" s="82" t="s">
        <v>307</v>
      </c>
      <c r="M33" s="82"/>
      <c r="N33" s="205"/>
      <c r="O33" s="205"/>
      <c r="P33" s="205"/>
      <c r="Q33" s="205"/>
      <c r="R33" s="205"/>
      <c r="S33" s="205"/>
    </row>
    <row r="34" spans="2:19" ht="21" customHeight="1">
      <c r="B34" s="68" t="s">
        <v>308</v>
      </c>
      <c r="C34" s="85" t="s">
        <v>302</v>
      </c>
      <c r="D34" s="188">
        <v>114</v>
      </c>
      <c r="E34" s="188"/>
      <c r="F34" s="206" t="s">
        <v>292</v>
      </c>
      <c r="G34" s="207"/>
      <c r="H34" s="207"/>
      <c r="I34" s="207"/>
      <c r="J34" s="207"/>
      <c r="K34" s="207"/>
      <c r="L34" s="189" t="s">
        <v>290</v>
      </c>
      <c r="M34" s="189"/>
      <c r="N34" s="205"/>
      <c r="O34" s="205"/>
      <c r="P34" s="205"/>
      <c r="Q34" s="205"/>
      <c r="R34" s="205"/>
      <c r="S34" s="205"/>
    </row>
    <row r="35" spans="2:19" ht="21" customHeight="1">
      <c r="B35" s="68" t="s">
        <v>283</v>
      </c>
      <c r="C35" s="82" t="s">
        <v>284</v>
      </c>
      <c r="D35" s="191">
        <v>119</v>
      </c>
      <c r="E35" s="189" t="s">
        <v>773</v>
      </c>
      <c r="F35" s="204" t="s">
        <v>285</v>
      </c>
      <c r="G35" s="204"/>
      <c r="H35" s="204"/>
      <c r="I35" s="204"/>
      <c r="J35" s="204"/>
      <c r="K35" s="204"/>
      <c r="L35" s="82" t="s">
        <v>282</v>
      </c>
      <c r="M35" s="82"/>
      <c r="N35" s="205" t="s">
        <v>286</v>
      </c>
      <c r="O35" s="205"/>
      <c r="P35" s="205"/>
      <c r="Q35" s="205"/>
      <c r="R35" s="205"/>
      <c r="S35" s="205"/>
    </row>
    <row r="36" spans="2:19" ht="21" customHeight="1">
      <c r="B36" s="68" t="s">
        <v>264</v>
      </c>
      <c r="C36" s="82" t="s">
        <v>287</v>
      </c>
      <c r="D36" s="191">
        <v>121</v>
      </c>
      <c r="E36" s="189"/>
      <c r="F36" s="204" t="s">
        <v>288</v>
      </c>
      <c r="G36" s="204"/>
      <c r="H36" s="204"/>
      <c r="I36" s="204"/>
      <c r="J36" s="204"/>
      <c r="K36" s="204"/>
      <c r="L36" s="82" t="s">
        <v>289</v>
      </c>
      <c r="M36" s="88" t="s">
        <v>305</v>
      </c>
      <c r="N36" s="205"/>
      <c r="O36" s="205"/>
      <c r="P36" s="205"/>
      <c r="Q36" s="205"/>
      <c r="R36" s="205"/>
      <c r="S36" s="205"/>
    </row>
    <row r="37" spans="2:19" ht="21" customHeight="1">
      <c r="B37" s="84" t="s">
        <v>309</v>
      </c>
      <c r="C37" s="85" t="s">
        <v>310</v>
      </c>
      <c r="D37" s="191">
        <v>121</v>
      </c>
      <c r="E37" s="85"/>
      <c r="F37" s="209" t="s">
        <v>311</v>
      </c>
      <c r="G37" s="209"/>
      <c r="H37" s="209"/>
      <c r="I37" s="209"/>
      <c r="J37" s="209"/>
      <c r="K37" s="209"/>
      <c r="L37" s="82" t="s">
        <v>289</v>
      </c>
      <c r="M37" s="88" t="s">
        <v>305</v>
      </c>
      <c r="N37" s="205"/>
      <c r="O37" s="205"/>
      <c r="P37" s="205"/>
      <c r="Q37" s="205"/>
      <c r="R37" s="205"/>
      <c r="S37" s="205"/>
    </row>
    <row r="38" spans="2:19" ht="21" customHeight="1">
      <c r="B38" s="68" t="s">
        <v>268</v>
      </c>
      <c r="C38" s="82" t="s">
        <v>300</v>
      </c>
      <c r="D38" s="191">
        <v>120</v>
      </c>
      <c r="E38" s="189"/>
      <c r="F38" s="204" t="s">
        <v>312</v>
      </c>
      <c r="G38" s="204"/>
      <c r="H38" s="204"/>
      <c r="I38" s="204"/>
      <c r="J38" s="204"/>
      <c r="K38" s="204"/>
      <c r="L38" s="82" t="s">
        <v>289</v>
      </c>
      <c r="M38" s="88" t="s">
        <v>305</v>
      </c>
      <c r="N38" s="205"/>
      <c r="O38" s="205"/>
      <c r="P38" s="205"/>
      <c r="Q38" s="205"/>
      <c r="R38" s="205"/>
      <c r="S38" s="205"/>
    </row>
    <row r="39" spans="2:19" ht="21" customHeight="1">
      <c r="B39" s="84" t="s">
        <v>313</v>
      </c>
      <c r="C39" s="85" t="s">
        <v>300</v>
      </c>
      <c r="D39" s="191">
        <v>121</v>
      </c>
      <c r="E39" s="85"/>
      <c r="F39" s="209" t="s">
        <v>314</v>
      </c>
      <c r="G39" s="209"/>
      <c r="H39" s="209"/>
      <c r="I39" s="209"/>
      <c r="J39" s="209"/>
      <c r="K39" s="209"/>
      <c r="L39" s="82" t="s">
        <v>282</v>
      </c>
      <c r="M39" s="88" t="s">
        <v>305</v>
      </c>
      <c r="N39" s="205"/>
      <c r="O39" s="205"/>
      <c r="P39" s="205"/>
      <c r="Q39" s="205"/>
      <c r="R39" s="205"/>
      <c r="S39" s="205"/>
    </row>
    <row r="40" spans="2:19">
      <c r="H40" s="89"/>
      <c r="I40" s="89"/>
      <c r="J40" s="89"/>
      <c r="K40" s="89"/>
      <c r="L40" s="90"/>
      <c r="M40" s="90"/>
      <c r="N40" s="89"/>
      <c r="O40" s="89"/>
      <c r="P40" s="89"/>
    </row>
    <row r="42" spans="2:19">
      <c r="B42" s="66" t="s">
        <v>315</v>
      </c>
      <c r="C42" s="67"/>
      <c r="D42" s="67"/>
      <c r="E42" s="67"/>
      <c r="F42" s="67"/>
      <c r="G42" s="67"/>
      <c r="H42" s="67"/>
      <c r="I42" s="67"/>
      <c r="J42" s="67"/>
      <c r="K42" s="67"/>
      <c r="L42" s="67"/>
    </row>
    <row r="44" spans="2:19">
      <c r="B44" s="70" t="s">
        <v>294</v>
      </c>
      <c r="C44" s="70" t="s">
        <v>295</v>
      </c>
      <c r="D44" s="186" t="s">
        <v>771</v>
      </c>
      <c r="E44" s="190" t="s">
        <v>772</v>
      </c>
      <c r="F44" s="211" t="s">
        <v>296</v>
      </c>
      <c r="G44" s="212"/>
      <c r="H44" s="212"/>
      <c r="I44" s="212"/>
      <c r="J44" s="212"/>
      <c r="K44" s="213"/>
      <c r="L44" s="83" t="s">
        <v>297</v>
      </c>
      <c r="M44" s="70" t="s">
        <v>298</v>
      </c>
      <c r="N44" s="211" t="s">
        <v>299</v>
      </c>
      <c r="O44" s="212"/>
      <c r="P44" s="212"/>
      <c r="Q44" s="212"/>
      <c r="R44" s="212"/>
      <c r="S44" s="212"/>
    </row>
    <row r="45" spans="2:19" ht="25.5" customHeight="1">
      <c r="B45" s="91" t="s">
        <v>316</v>
      </c>
      <c r="C45" s="92" t="s">
        <v>317</v>
      </c>
      <c r="D45" s="187">
        <v>109</v>
      </c>
      <c r="E45" s="189" t="s">
        <v>773</v>
      </c>
      <c r="F45" s="204" t="s">
        <v>343</v>
      </c>
      <c r="G45" s="204"/>
      <c r="H45" s="204"/>
      <c r="I45" s="204"/>
      <c r="J45" s="204"/>
      <c r="K45" s="204"/>
      <c r="L45" s="92"/>
      <c r="M45" s="93"/>
      <c r="N45" s="214" t="s">
        <v>340</v>
      </c>
      <c r="O45" s="214"/>
      <c r="P45" s="214"/>
      <c r="Q45" s="214"/>
      <c r="R45" s="214"/>
      <c r="S45" s="214"/>
    </row>
    <row r="46" spans="2:19" ht="20.25" customHeight="1">
      <c r="B46" s="91" t="s">
        <v>318</v>
      </c>
      <c r="C46" s="92" t="s">
        <v>319</v>
      </c>
      <c r="D46" s="188">
        <v>112</v>
      </c>
      <c r="E46" s="189" t="s">
        <v>773</v>
      </c>
      <c r="F46" s="207" t="s">
        <v>320</v>
      </c>
      <c r="G46" s="207"/>
      <c r="H46" s="207"/>
      <c r="I46" s="207"/>
      <c r="J46" s="207"/>
      <c r="K46" s="207"/>
      <c r="L46" s="92"/>
      <c r="M46" s="93"/>
      <c r="N46" s="214" t="s">
        <v>341</v>
      </c>
      <c r="O46" s="214"/>
      <c r="P46" s="214"/>
      <c r="Q46" s="214"/>
      <c r="R46" s="214"/>
      <c r="S46" s="214"/>
    </row>
    <row r="47" spans="2:19" ht="20.25" customHeight="1">
      <c r="B47" s="91" t="s">
        <v>313</v>
      </c>
      <c r="C47" s="92" t="s">
        <v>321</v>
      </c>
      <c r="D47" s="188">
        <v>121</v>
      </c>
      <c r="E47" s="189" t="s">
        <v>773</v>
      </c>
      <c r="F47" s="207" t="s">
        <v>322</v>
      </c>
      <c r="G47" s="207"/>
      <c r="H47" s="207"/>
      <c r="I47" s="207"/>
      <c r="J47" s="207"/>
      <c r="K47" s="207"/>
      <c r="L47" s="82" t="s">
        <v>289</v>
      </c>
      <c r="M47" s="88" t="s">
        <v>305</v>
      </c>
      <c r="N47" s="214"/>
      <c r="O47" s="214"/>
      <c r="P47" s="214"/>
      <c r="Q47" s="214"/>
      <c r="R47" s="214"/>
      <c r="S47" s="214"/>
    </row>
    <row r="48" spans="2:19" ht="20.25" customHeight="1">
      <c r="B48" s="91" t="s">
        <v>323</v>
      </c>
      <c r="C48" s="92" t="s">
        <v>324</v>
      </c>
      <c r="D48" s="188">
        <v>115</v>
      </c>
      <c r="E48" s="188"/>
      <c r="F48" s="207" t="s">
        <v>325</v>
      </c>
      <c r="G48" s="207"/>
      <c r="H48" s="207"/>
      <c r="I48" s="207"/>
      <c r="J48" s="207"/>
      <c r="K48" s="207"/>
      <c r="L48" s="92" t="s">
        <v>289</v>
      </c>
      <c r="M48" s="93"/>
      <c r="N48" s="214"/>
      <c r="O48" s="214"/>
      <c r="P48" s="214"/>
      <c r="Q48" s="214"/>
      <c r="R48" s="214"/>
      <c r="S48" s="214"/>
    </row>
    <row r="49" spans="2:19" ht="20.25" customHeight="1">
      <c r="B49" s="68" t="s">
        <v>283</v>
      </c>
      <c r="C49" s="82" t="s">
        <v>284</v>
      </c>
      <c r="D49" s="188">
        <v>119</v>
      </c>
      <c r="E49" s="189" t="s">
        <v>773</v>
      </c>
      <c r="F49" s="204" t="s">
        <v>285</v>
      </c>
      <c r="G49" s="204"/>
      <c r="H49" s="204"/>
      <c r="I49" s="204"/>
      <c r="J49" s="204"/>
      <c r="K49" s="204"/>
      <c r="L49" s="82" t="s">
        <v>282</v>
      </c>
      <c r="M49" s="82"/>
      <c r="N49" s="205" t="s">
        <v>286</v>
      </c>
      <c r="O49" s="205"/>
      <c r="P49" s="205"/>
      <c r="Q49" s="205"/>
      <c r="R49" s="205"/>
      <c r="S49" s="205"/>
    </row>
    <row r="50" spans="2:19" ht="20.25" customHeight="1">
      <c r="B50" s="68" t="s">
        <v>326</v>
      </c>
      <c r="C50" s="82" t="s">
        <v>284</v>
      </c>
      <c r="D50" s="188">
        <v>118</v>
      </c>
      <c r="E50" s="188"/>
      <c r="F50" s="204" t="s">
        <v>327</v>
      </c>
      <c r="G50" s="204"/>
      <c r="H50" s="204"/>
      <c r="I50" s="204"/>
      <c r="J50" s="204"/>
      <c r="K50" s="204"/>
      <c r="L50" s="82" t="s">
        <v>282</v>
      </c>
      <c r="M50" s="82"/>
      <c r="N50" s="205" t="s">
        <v>286</v>
      </c>
      <c r="O50" s="205"/>
      <c r="P50" s="205"/>
      <c r="Q50" s="205"/>
      <c r="R50" s="205"/>
      <c r="S50" s="205"/>
    </row>
    <row r="51" spans="2:19" ht="20.25" customHeight="1">
      <c r="B51" s="91" t="s">
        <v>328</v>
      </c>
      <c r="C51" s="92" t="s">
        <v>329</v>
      </c>
      <c r="D51" s="188">
        <v>129</v>
      </c>
      <c r="E51" s="189" t="s">
        <v>773</v>
      </c>
      <c r="F51" s="207" t="s">
        <v>330</v>
      </c>
      <c r="G51" s="207"/>
      <c r="H51" s="207"/>
      <c r="I51" s="207"/>
      <c r="J51" s="207"/>
      <c r="K51" s="207"/>
      <c r="L51" s="82" t="s">
        <v>282</v>
      </c>
      <c r="M51" s="93"/>
      <c r="N51" s="214"/>
      <c r="O51" s="214"/>
      <c r="P51" s="214"/>
      <c r="Q51" s="214"/>
      <c r="R51" s="214"/>
      <c r="S51" s="214"/>
    </row>
    <row r="52" spans="2:19" ht="20.25" customHeight="1">
      <c r="B52" s="91" t="s">
        <v>331</v>
      </c>
      <c r="C52" s="92" t="s">
        <v>332</v>
      </c>
      <c r="D52" s="188">
        <v>130</v>
      </c>
      <c r="E52" s="189" t="s">
        <v>773</v>
      </c>
      <c r="F52" s="207" t="s">
        <v>333</v>
      </c>
      <c r="G52" s="207"/>
      <c r="H52" s="207"/>
      <c r="I52" s="207"/>
      <c r="J52" s="207"/>
      <c r="K52" s="207"/>
      <c r="L52" s="82" t="s">
        <v>282</v>
      </c>
      <c r="M52" s="93"/>
      <c r="N52" s="214"/>
      <c r="O52" s="214"/>
      <c r="P52" s="214"/>
      <c r="Q52" s="214"/>
      <c r="R52" s="214"/>
      <c r="S52" s="214"/>
    </row>
    <row r="53" spans="2:19" ht="20.25" customHeight="1">
      <c r="B53" s="91" t="s">
        <v>334</v>
      </c>
      <c r="C53" s="92" t="s">
        <v>335</v>
      </c>
      <c r="D53" s="188">
        <v>131</v>
      </c>
      <c r="E53" s="189" t="s">
        <v>773</v>
      </c>
      <c r="F53" s="207" t="s">
        <v>336</v>
      </c>
      <c r="G53" s="207"/>
      <c r="H53" s="207"/>
      <c r="I53" s="207"/>
      <c r="J53" s="207"/>
      <c r="K53" s="207"/>
      <c r="L53" s="82" t="s">
        <v>282</v>
      </c>
      <c r="M53" s="93"/>
      <c r="N53" s="214"/>
      <c r="O53" s="214"/>
      <c r="P53" s="214"/>
      <c r="Q53" s="214"/>
      <c r="R53" s="214"/>
      <c r="S53" s="214"/>
    </row>
    <row r="54" spans="2:19" ht="20.25" customHeight="1">
      <c r="B54" s="91" t="s">
        <v>337</v>
      </c>
      <c r="C54" s="92" t="s">
        <v>338</v>
      </c>
      <c r="D54" s="188">
        <v>132</v>
      </c>
      <c r="E54" s="189" t="s">
        <v>773</v>
      </c>
      <c r="F54" s="207" t="s">
        <v>339</v>
      </c>
      <c r="G54" s="207"/>
      <c r="H54" s="207"/>
      <c r="I54" s="207"/>
      <c r="J54" s="207"/>
      <c r="K54" s="207"/>
      <c r="L54" s="82" t="s">
        <v>282</v>
      </c>
      <c r="M54" s="93"/>
      <c r="N54" s="214"/>
      <c r="O54" s="214"/>
      <c r="P54" s="214"/>
      <c r="Q54" s="214"/>
      <c r="R54" s="214"/>
      <c r="S54" s="214"/>
    </row>
    <row r="57" spans="2:19">
      <c r="B57" s="66" t="s">
        <v>710</v>
      </c>
      <c r="C57" s="67"/>
      <c r="D57" s="67"/>
      <c r="E57" s="67"/>
      <c r="F57" s="67"/>
      <c r="G57" s="67"/>
      <c r="H57" s="67"/>
      <c r="I57" s="67"/>
      <c r="J57" s="67"/>
      <c r="K57" s="67"/>
      <c r="L57" s="67"/>
    </row>
    <row r="59" spans="2:19">
      <c r="B59" s="180" t="s">
        <v>259</v>
      </c>
      <c r="C59" s="180" t="s">
        <v>209</v>
      </c>
      <c r="D59" s="186" t="s">
        <v>771</v>
      </c>
      <c r="E59" s="190" t="s">
        <v>772</v>
      </c>
      <c r="F59" s="211" t="s">
        <v>221</v>
      </c>
      <c r="G59" s="212"/>
      <c r="H59" s="212"/>
      <c r="I59" s="212"/>
      <c r="J59" s="212"/>
      <c r="K59" s="213"/>
      <c r="L59" s="83" t="s">
        <v>208</v>
      </c>
      <c r="M59" s="180" t="s">
        <v>207</v>
      </c>
      <c r="N59" s="211" t="s">
        <v>222</v>
      </c>
      <c r="O59" s="212"/>
      <c r="P59" s="212"/>
      <c r="Q59" s="212"/>
      <c r="R59" s="212"/>
      <c r="S59" s="212"/>
    </row>
    <row r="60" spans="2:19">
      <c r="B60" s="68" t="s">
        <v>261</v>
      </c>
      <c r="C60" s="179" t="s">
        <v>206</v>
      </c>
      <c r="D60" s="188">
        <v>108</v>
      </c>
      <c r="E60" s="189" t="s">
        <v>773</v>
      </c>
      <c r="F60" s="204" t="s">
        <v>213</v>
      </c>
      <c r="G60" s="204"/>
      <c r="H60" s="204"/>
      <c r="I60" s="204"/>
      <c r="J60" s="204"/>
      <c r="K60" s="204"/>
      <c r="L60" s="179" t="s">
        <v>218</v>
      </c>
      <c r="M60" s="69"/>
      <c r="N60" s="205"/>
      <c r="O60" s="205"/>
      <c r="P60" s="205"/>
      <c r="Q60" s="205"/>
      <c r="R60" s="205"/>
      <c r="S60" s="205"/>
    </row>
    <row r="61" spans="2:19">
      <c r="B61" s="68" t="s">
        <v>262</v>
      </c>
      <c r="C61" s="179" t="s">
        <v>206</v>
      </c>
      <c r="D61" s="188">
        <v>110</v>
      </c>
      <c r="E61" s="189" t="s">
        <v>773</v>
      </c>
      <c r="F61" s="204" t="s">
        <v>217</v>
      </c>
      <c r="G61" s="204"/>
      <c r="H61" s="204"/>
      <c r="I61" s="204"/>
      <c r="J61" s="204"/>
      <c r="K61" s="204"/>
      <c r="L61" s="68" t="s">
        <v>218</v>
      </c>
      <c r="M61" s="179"/>
      <c r="N61" s="205"/>
      <c r="O61" s="205"/>
      <c r="P61" s="205"/>
      <c r="Q61" s="205"/>
      <c r="R61" s="205"/>
      <c r="S61" s="205"/>
    </row>
    <row r="62" spans="2:19">
      <c r="B62" s="68" t="s">
        <v>260</v>
      </c>
      <c r="C62" s="179" t="s">
        <v>206</v>
      </c>
      <c r="D62" s="188">
        <v>109</v>
      </c>
      <c r="E62" s="189" t="s">
        <v>773</v>
      </c>
      <c r="F62" s="204" t="s">
        <v>214</v>
      </c>
      <c r="G62" s="204"/>
      <c r="H62" s="204"/>
      <c r="I62" s="204"/>
      <c r="J62" s="204"/>
      <c r="K62" s="204"/>
      <c r="L62" s="179" t="s">
        <v>218</v>
      </c>
      <c r="M62" s="179"/>
      <c r="N62" s="205" t="s">
        <v>743</v>
      </c>
      <c r="O62" s="205"/>
      <c r="P62" s="205"/>
      <c r="Q62" s="205"/>
      <c r="R62" s="205"/>
      <c r="S62" s="205"/>
    </row>
    <row r="63" spans="2:19">
      <c r="B63" s="68" t="s">
        <v>283</v>
      </c>
      <c r="C63" s="179" t="s">
        <v>284</v>
      </c>
      <c r="D63" s="188">
        <v>119</v>
      </c>
      <c r="E63" s="189" t="s">
        <v>773</v>
      </c>
      <c r="F63" s="204" t="s">
        <v>285</v>
      </c>
      <c r="G63" s="204"/>
      <c r="H63" s="204"/>
      <c r="I63" s="204"/>
      <c r="J63" s="204"/>
      <c r="K63" s="204"/>
      <c r="L63" s="179" t="s">
        <v>218</v>
      </c>
      <c r="M63" s="179"/>
      <c r="N63" s="205" t="s">
        <v>286</v>
      </c>
      <c r="O63" s="205"/>
      <c r="P63" s="205"/>
      <c r="Q63" s="205"/>
      <c r="R63" s="205"/>
      <c r="S63" s="205"/>
    </row>
    <row r="64" spans="2:19">
      <c r="B64" s="68" t="s">
        <v>264</v>
      </c>
      <c r="C64" s="179" t="s">
        <v>287</v>
      </c>
      <c r="D64" s="188">
        <v>121</v>
      </c>
      <c r="E64" s="188"/>
      <c r="F64" s="204" t="s">
        <v>288</v>
      </c>
      <c r="G64" s="204"/>
      <c r="H64" s="204"/>
      <c r="I64" s="204"/>
      <c r="J64" s="204"/>
      <c r="K64" s="204"/>
      <c r="L64" s="179" t="s">
        <v>219</v>
      </c>
      <c r="M64" s="27" t="s">
        <v>258</v>
      </c>
      <c r="N64" s="205"/>
      <c r="O64" s="205"/>
      <c r="P64" s="205"/>
      <c r="Q64" s="205"/>
      <c r="R64" s="205"/>
      <c r="S64" s="205"/>
    </row>
    <row r="65" spans="2:19">
      <c r="B65" s="68" t="s">
        <v>265</v>
      </c>
      <c r="C65" s="179" t="s">
        <v>206</v>
      </c>
      <c r="D65" s="188">
        <v>113</v>
      </c>
      <c r="E65" s="188"/>
      <c r="F65" s="204" t="s">
        <v>215</v>
      </c>
      <c r="G65" s="204"/>
      <c r="H65" s="204"/>
      <c r="I65" s="204"/>
      <c r="J65" s="204"/>
      <c r="K65" s="204"/>
      <c r="L65" s="179" t="s">
        <v>219</v>
      </c>
      <c r="M65" s="27" t="s">
        <v>258</v>
      </c>
      <c r="N65" s="205"/>
      <c r="O65" s="205"/>
      <c r="P65" s="205"/>
      <c r="Q65" s="205"/>
      <c r="R65" s="205"/>
      <c r="S65" s="205"/>
    </row>
    <row r="66" spans="2:19">
      <c r="B66" s="68" t="s">
        <v>266</v>
      </c>
      <c r="C66" s="179" t="s">
        <v>206</v>
      </c>
      <c r="D66" s="188">
        <v>116</v>
      </c>
      <c r="E66" s="188"/>
      <c r="F66" s="203" t="s">
        <v>270</v>
      </c>
      <c r="G66" s="204"/>
      <c r="H66" s="204"/>
      <c r="I66" s="204"/>
      <c r="J66" s="204"/>
      <c r="K66" s="204"/>
      <c r="L66" s="179" t="s">
        <v>290</v>
      </c>
      <c r="M66" s="179"/>
      <c r="N66" s="205"/>
      <c r="O66" s="205"/>
      <c r="P66" s="205"/>
      <c r="Q66" s="205"/>
      <c r="R66" s="205"/>
      <c r="S66" s="205"/>
    </row>
    <row r="67" spans="2:19">
      <c r="B67" s="91" t="s">
        <v>291</v>
      </c>
      <c r="C67" s="182" t="s">
        <v>206</v>
      </c>
      <c r="D67" s="188">
        <v>114</v>
      </c>
      <c r="E67" s="188"/>
      <c r="F67" s="206" t="s">
        <v>292</v>
      </c>
      <c r="G67" s="207"/>
      <c r="H67" s="207"/>
      <c r="I67" s="207"/>
      <c r="J67" s="207"/>
      <c r="K67" s="207"/>
      <c r="L67" s="179" t="s">
        <v>290</v>
      </c>
      <c r="M67" s="179"/>
      <c r="N67" s="205"/>
      <c r="O67" s="205"/>
      <c r="P67" s="205"/>
      <c r="Q67" s="205"/>
      <c r="R67" s="205"/>
      <c r="S67" s="205"/>
    </row>
  </sheetData>
  <mergeCells count="94">
    <mergeCell ref="F47:K47"/>
    <mergeCell ref="N47:S47"/>
    <mergeCell ref="F48:K48"/>
    <mergeCell ref="N48:S48"/>
    <mergeCell ref="F54:K54"/>
    <mergeCell ref="N54:S54"/>
    <mergeCell ref="F51:K51"/>
    <mergeCell ref="N51:S51"/>
    <mergeCell ref="F52:K52"/>
    <mergeCell ref="N52:S52"/>
    <mergeCell ref="F53:K53"/>
    <mergeCell ref="N53:S53"/>
    <mergeCell ref="F49:K49"/>
    <mergeCell ref="N49:S49"/>
    <mergeCell ref="F50:K50"/>
    <mergeCell ref="N50:S50"/>
    <mergeCell ref="F37:K37"/>
    <mergeCell ref="N37:S37"/>
    <mergeCell ref="F38:K38"/>
    <mergeCell ref="N38:S38"/>
    <mergeCell ref="F39:K39"/>
    <mergeCell ref="N39:S39"/>
    <mergeCell ref="F44:K44"/>
    <mergeCell ref="N44:S44"/>
    <mergeCell ref="F45:K45"/>
    <mergeCell ref="N45:S45"/>
    <mergeCell ref="F46:K46"/>
    <mergeCell ref="N46:S46"/>
    <mergeCell ref="F32:K32"/>
    <mergeCell ref="N32:S32"/>
    <mergeCell ref="F33:K33"/>
    <mergeCell ref="N33:S33"/>
    <mergeCell ref="F34:K34"/>
    <mergeCell ref="N34:S34"/>
    <mergeCell ref="F35:K35"/>
    <mergeCell ref="N35:S35"/>
    <mergeCell ref="F36:K36"/>
    <mergeCell ref="N36:S36"/>
    <mergeCell ref="F8:K8"/>
    <mergeCell ref="F10:K10"/>
    <mergeCell ref="F13:K13"/>
    <mergeCell ref="F15:K15"/>
    <mergeCell ref="F12:K12"/>
    <mergeCell ref="F19:K19"/>
    <mergeCell ref="F21:K21"/>
    <mergeCell ref="N8:S8"/>
    <mergeCell ref="N9:S9"/>
    <mergeCell ref="N10:S10"/>
    <mergeCell ref="N11:S11"/>
    <mergeCell ref="N13:S13"/>
    <mergeCell ref="N12:S12"/>
    <mergeCell ref="N14:S14"/>
    <mergeCell ref="N15:S15"/>
    <mergeCell ref="F14:K14"/>
    <mergeCell ref="F9:K9"/>
    <mergeCell ref="F11:K11"/>
    <mergeCell ref="N16:S16"/>
    <mergeCell ref="F17:K17"/>
    <mergeCell ref="N19:S19"/>
    <mergeCell ref="N21:S21"/>
    <mergeCell ref="N17:S17"/>
    <mergeCell ref="N18:S18"/>
    <mergeCell ref="F16:K16"/>
    <mergeCell ref="F18:K18"/>
    <mergeCell ref="F20:K20"/>
    <mergeCell ref="N20:S20"/>
    <mergeCell ref="F62:K62"/>
    <mergeCell ref="N62:S62"/>
    <mergeCell ref="F59:K59"/>
    <mergeCell ref="N59:S59"/>
    <mergeCell ref="F60:K60"/>
    <mergeCell ref="N60:S60"/>
    <mergeCell ref="F61:K61"/>
    <mergeCell ref="N61:S61"/>
    <mergeCell ref="F30:K30"/>
    <mergeCell ref="F31:K31"/>
    <mergeCell ref="F22:K22"/>
    <mergeCell ref="F28:K28"/>
    <mergeCell ref="N28:S28"/>
    <mergeCell ref="F29:K29"/>
    <mergeCell ref="N29:S29"/>
    <mergeCell ref="N30:S30"/>
    <mergeCell ref="N31:S31"/>
    <mergeCell ref="N22:S22"/>
    <mergeCell ref="F66:K66"/>
    <mergeCell ref="N66:S66"/>
    <mergeCell ref="F67:K67"/>
    <mergeCell ref="N67:S67"/>
    <mergeCell ref="F63:K63"/>
    <mergeCell ref="N63:S63"/>
    <mergeCell ref="F64:K64"/>
    <mergeCell ref="N64:S64"/>
    <mergeCell ref="F65:K65"/>
    <mergeCell ref="N65:S6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M23"/>
  <sheetViews>
    <sheetView workbookViewId="0">
      <selection activeCell="N23" sqref="N23"/>
    </sheetView>
  </sheetViews>
  <sheetFormatPr defaultRowHeight="13.5"/>
  <sheetData>
    <row r="3" spans="2:13">
      <c r="B3" s="2" t="s">
        <v>1</v>
      </c>
      <c r="C3" s="3" t="s">
        <v>2</v>
      </c>
      <c r="D3" s="4"/>
      <c r="E3" s="5">
        <v>0</v>
      </c>
      <c r="F3" s="2" t="s">
        <v>3</v>
      </c>
      <c r="G3" s="4"/>
      <c r="H3" s="4"/>
      <c r="I3" s="4"/>
      <c r="J3" s="4"/>
      <c r="K3" s="4"/>
      <c r="L3" s="4"/>
      <c r="M3" s="4"/>
    </row>
    <row r="4" spans="2:13">
      <c r="B4" s="4"/>
      <c r="C4" s="3" t="s">
        <v>4</v>
      </c>
      <c r="D4" s="4"/>
      <c r="E4" s="5">
        <v>1</v>
      </c>
      <c r="F4" s="2" t="s">
        <v>5</v>
      </c>
      <c r="G4" s="4"/>
      <c r="H4" s="4"/>
      <c r="I4" s="4"/>
      <c r="J4" s="4"/>
      <c r="K4" s="4"/>
      <c r="L4" s="4"/>
      <c r="M4" s="4"/>
    </row>
    <row r="5" spans="2:13">
      <c r="B5" s="4"/>
      <c r="C5" s="5"/>
      <c r="D5" s="4"/>
      <c r="E5" s="4"/>
      <c r="F5" s="4"/>
      <c r="G5" s="4"/>
      <c r="H5" s="4"/>
      <c r="I5" s="4"/>
      <c r="J5" s="4"/>
      <c r="K5" s="4"/>
      <c r="L5" s="4"/>
      <c r="M5" s="4"/>
    </row>
    <row r="6" spans="2:13">
      <c r="B6" s="4"/>
      <c r="C6" s="6"/>
      <c r="D6" s="6"/>
      <c r="E6" s="4"/>
      <c r="F6" s="4"/>
      <c r="G6" s="4"/>
      <c r="H6" s="4"/>
      <c r="I6" s="4"/>
      <c r="J6" s="4"/>
      <c r="K6" s="4"/>
      <c r="L6" s="4"/>
      <c r="M6" s="4"/>
    </row>
    <row r="7" spans="2:13">
      <c r="B7" s="2" t="s">
        <v>1</v>
      </c>
      <c r="C7" s="7" t="s">
        <v>6</v>
      </c>
      <c r="D7" s="8"/>
      <c r="E7" s="9">
        <v>0</v>
      </c>
      <c r="F7" s="10" t="s">
        <v>7</v>
      </c>
      <c r="G7" s="4"/>
      <c r="H7" s="4"/>
      <c r="I7" s="4"/>
      <c r="J7" s="4"/>
      <c r="K7" s="4"/>
      <c r="L7" s="4"/>
      <c r="M7" s="4"/>
    </row>
    <row r="8" spans="2:13">
      <c r="B8" s="4"/>
      <c r="C8" s="7" t="s">
        <v>8</v>
      </c>
      <c r="D8" s="8"/>
      <c r="E8" s="11">
        <v>1</v>
      </c>
      <c r="F8" s="10" t="s">
        <v>9</v>
      </c>
      <c r="G8" s="4"/>
      <c r="H8" s="4"/>
      <c r="I8" s="4"/>
      <c r="J8" s="4"/>
      <c r="K8" s="4"/>
      <c r="L8" s="4"/>
      <c r="M8" s="4"/>
    </row>
    <row r="9" spans="2:13">
      <c r="B9" s="4"/>
      <c r="C9" s="8"/>
      <c r="D9" s="8"/>
      <c r="E9" s="73">
        <v>2</v>
      </c>
      <c r="F9" s="10" t="s">
        <v>10</v>
      </c>
      <c r="G9" s="4"/>
      <c r="H9" s="4"/>
      <c r="I9" s="4"/>
      <c r="J9" s="4"/>
      <c r="K9" s="4"/>
      <c r="L9" s="4"/>
      <c r="M9" s="4"/>
    </row>
    <row r="10" spans="2:13">
      <c r="B10" s="4"/>
      <c r="C10" s="8"/>
      <c r="D10" s="8"/>
      <c r="E10" s="72">
        <v>3</v>
      </c>
      <c r="F10" s="4" t="s">
        <v>229</v>
      </c>
      <c r="G10" s="4"/>
      <c r="H10" s="4"/>
      <c r="I10" s="4"/>
      <c r="J10" s="4"/>
      <c r="K10" s="4"/>
      <c r="L10" s="4"/>
      <c r="M10" s="4"/>
    </row>
    <row r="11" spans="2:13">
      <c r="B11" s="4"/>
      <c r="C11" s="8"/>
      <c r="D11" s="8"/>
      <c r="E11" s="4"/>
      <c r="F11" s="4"/>
      <c r="G11" s="4"/>
      <c r="H11" s="4"/>
      <c r="I11" s="4"/>
      <c r="J11" s="4"/>
      <c r="K11" s="4"/>
      <c r="L11" s="4"/>
      <c r="M11" s="4"/>
    </row>
    <row r="12" spans="2:13">
      <c r="B12" s="4"/>
      <c r="C12" s="8"/>
      <c r="D12" s="8"/>
      <c r="E12" s="4"/>
      <c r="F12" s="4"/>
      <c r="G12" s="4"/>
      <c r="H12" s="4"/>
      <c r="I12" s="4"/>
      <c r="J12" s="4"/>
      <c r="K12" s="4"/>
      <c r="L12" s="4"/>
      <c r="M12" s="4"/>
    </row>
    <row r="13" spans="2:13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</row>
    <row r="14" spans="2:13">
      <c r="B14" s="4"/>
      <c r="C14" s="40" t="s">
        <v>52</v>
      </c>
      <c r="D14" s="41"/>
      <c r="E14" s="34">
        <v>998</v>
      </c>
      <c r="F14" s="41" t="s">
        <v>134</v>
      </c>
      <c r="G14" s="4"/>
      <c r="H14" s="4"/>
      <c r="I14" s="4"/>
      <c r="J14" s="4"/>
      <c r="K14" s="4"/>
      <c r="L14" s="4"/>
      <c r="M14" s="4"/>
    </row>
    <row r="15" spans="2:13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</row>
    <row r="16" spans="2:13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</row>
    <row r="17" spans="2:13">
      <c r="B17" s="4"/>
      <c r="C17" s="12">
        <v>70</v>
      </c>
      <c r="D17" s="4"/>
      <c r="E17" s="2" t="s">
        <v>11</v>
      </c>
      <c r="F17" s="4"/>
      <c r="G17" s="4"/>
      <c r="H17" s="4"/>
      <c r="I17" s="4"/>
      <c r="J17" s="4"/>
      <c r="K17" s="4"/>
      <c r="L17" s="4"/>
      <c r="M17" s="4"/>
    </row>
    <row r="18" spans="2:13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</row>
    <row r="19" spans="2:13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</row>
    <row r="20" spans="2:13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</row>
    <row r="21" spans="2:13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</row>
    <row r="22" spans="2:13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</row>
    <row r="23" spans="2:13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43"/>
  <sheetViews>
    <sheetView workbookViewId="0">
      <pane xSplit="3" ySplit="6" topLeftCell="D16" activePane="bottomRight" state="frozen"/>
      <selection pane="topRight" activeCell="D1" sqref="D1"/>
      <selection pane="bottomLeft" activeCell="A7" sqref="A7"/>
      <selection pane="bottomRight" activeCell="G40" sqref="G40"/>
    </sheetView>
  </sheetViews>
  <sheetFormatPr defaultRowHeight="13.5"/>
  <cols>
    <col min="1" max="1" width="2.5" bestFit="1" customWidth="1"/>
    <col min="2" max="2" width="11.625" bestFit="1" customWidth="1"/>
    <col min="3" max="3" width="8.5" bestFit="1" customWidth="1"/>
    <col min="4" max="4" width="17.25" bestFit="1" customWidth="1"/>
    <col min="5" max="6" width="13" bestFit="1" customWidth="1"/>
    <col min="7" max="7" width="37.375" customWidth="1"/>
  </cols>
  <sheetData>
    <row r="1" spans="1:8">
      <c r="A1" s="5"/>
      <c r="B1" s="13" t="s">
        <v>12</v>
      </c>
      <c r="C1" s="14"/>
      <c r="D1" s="5"/>
      <c r="E1" s="5"/>
      <c r="F1" s="5" t="s">
        <v>13</v>
      </c>
      <c r="G1" s="4"/>
    </row>
    <row r="2" spans="1:8">
      <c r="A2" s="5"/>
      <c r="B2" s="15" t="s">
        <v>106</v>
      </c>
      <c r="C2" s="15" t="s">
        <v>107</v>
      </c>
      <c r="D2" t="s">
        <v>131</v>
      </c>
      <c r="E2" t="s">
        <v>132</v>
      </c>
      <c r="F2" t="s">
        <v>133</v>
      </c>
      <c r="G2" s="4"/>
    </row>
    <row r="3" spans="1:8">
      <c r="A3" s="5"/>
      <c r="B3" s="16" t="s">
        <v>95</v>
      </c>
      <c r="C3" s="16" t="s">
        <v>96</v>
      </c>
      <c r="D3" s="16" t="s">
        <v>96</v>
      </c>
      <c r="E3" s="16" t="s">
        <v>96</v>
      </c>
      <c r="F3" s="16" t="s">
        <v>102</v>
      </c>
      <c r="G3" s="4"/>
    </row>
    <row r="4" spans="1:8" ht="14.25">
      <c r="A4" s="5"/>
      <c r="B4" s="17" t="s">
        <v>15</v>
      </c>
      <c r="C4" s="17" t="s">
        <v>15</v>
      </c>
      <c r="D4" s="17" t="s">
        <v>15</v>
      </c>
      <c r="E4" s="17" t="s">
        <v>15</v>
      </c>
      <c r="F4" s="17" t="s">
        <v>15</v>
      </c>
      <c r="G4" s="4"/>
    </row>
    <row r="5" spans="1:8">
      <c r="A5" s="5"/>
      <c r="B5" s="14" t="s">
        <v>16</v>
      </c>
      <c r="C5" s="14"/>
      <c r="D5" s="5"/>
      <c r="E5" s="5"/>
      <c r="F5" s="5"/>
      <c r="G5" s="4"/>
    </row>
    <row r="6" spans="1:8">
      <c r="A6" s="5"/>
      <c r="B6" s="15" t="s">
        <v>17</v>
      </c>
      <c r="C6" s="15" t="s">
        <v>18</v>
      </c>
      <c r="D6" s="18" t="s">
        <v>19</v>
      </c>
      <c r="E6" s="18" t="s">
        <v>20</v>
      </c>
      <c r="F6" s="18" t="s">
        <v>21</v>
      </c>
      <c r="G6" s="4"/>
      <c r="H6" s="18" t="s">
        <v>21</v>
      </c>
    </row>
    <row r="7" spans="1:8" ht="40.5">
      <c r="A7" s="5" t="s">
        <v>22</v>
      </c>
      <c r="B7" s="9">
        <v>0</v>
      </c>
      <c r="C7" s="5">
        <v>1</v>
      </c>
      <c r="D7" s="16">
        <v>1</v>
      </c>
      <c r="E7" s="16">
        <v>0</v>
      </c>
      <c r="F7" s="5">
        <v>0</v>
      </c>
      <c r="G7" s="61" t="s">
        <v>194</v>
      </c>
      <c r="H7" s="5">
        <v>0</v>
      </c>
    </row>
    <row r="8" spans="1:8">
      <c r="A8" s="5"/>
      <c r="B8" s="5"/>
      <c r="C8" s="5">
        <v>2</v>
      </c>
      <c r="D8" s="16">
        <v>2</v>
      </c>
      <c r="E8" s="16">
        <v>5</v>
      </c>
      <c r="F8" s="5">
        <v>0</v>
      </c>
      <c r="G8" s="4"/>
      <c r="H8" s="5">
        <v>4</v>
      </c>
    </row>
    <row r="9" spans="1:8">
      <c r="A9" s="5"/>
      <c r="B9" s="5"/>
      <c r="C9" s="5">
        <v>3</v>
      </c>
      <c r="D9" s="16">
        <v>4</v>
      </c>
      <c r="E9" s="16">
        <v>20</v>
      </c>
      <c r="F9" s="5">
        <v>0</v>
      </c>
      <c r="G9" s="4"/>
      <c r="H9" s="5">
        <v>5</v>
      </c>
    </row>
    <row r="10" spans="1:8">
      <c r="A10" s="5"/>
      <c r="B10" s="5"/>
      <c r="C10" s="5">
        <v>4</v>
      </c>
      <c r="D10" s="16">
        <v>10</v>
      </c>
      <c r="E10" s="16">
        <v>50</v>
      </c>
      <c r="F10" s="5">
        <v>0</v>
      </c>
      <c r="G10" s="4"/>
      <c r="H10" s="5">
        <v>6</v>
      </c>
    </row>
    <row r="11" spans="1:8">
      <c r="A11" s="5"/>
      <c r="B11" s="5"/>
      <c r="C11" s="5">
        <v>5</v>
      </c>
      <c r="D11" s="16">
        <v>20</v>
      </c>
      <c r="E11" s="16">
        <v>150</v>
      </c>
      <c r="F11" s="5">
        <v>0</v>
      </c>
      <c r="G11" s="4"/>
      <c r="H11" s="5">
        <v>10</v>
      </c>
    </row>
    <row r="12" spans="1:8">
      <c r="A12" s="5"/>
      <c r="B12" s="5"/>
      <c r="C12" s="5">
        <v>6</v>
      </c>
      <c r="D12" s="16">
        <v>50</v>
      </c>
      <c r="E12" s="16">
        <v>400</v>
      </c>
      <c r="F12" s="5">
        <v>0</v>
      </c>
      <c r="G12" s="4"/>
      <c r="H12" s="5">
        <v>25</v>
      </c>
    </row>
    <row r="13" spans="1:8">
      <c r="A13" s="5"/>
      <c r="B13" s="5"/>
      <c r="C13" s="5">
        <v>7</v>
      </c>
      <c r="D13" s="16">
        <v>100</v>
      </c>
      <c r="E13" s="16">
        <v>1000</v>
      </c>
      <c r="F13" s="5">
        <v>0</v>
      </c>
      <c r="G13" s="4"/>
      <c r="H13" s="5">
        <v>50</v>
      </c>
    </row>
    <row r="14" spans="1:8">
      <c r="A14" s="5"/>
      <c r="B14" s="5"/>
      <c r="C14" s="5">
        <v>8</v>
      </c>
      <c r="D14" s="16">
        <v>200</v>
      </c>
      <c r="E14" s="16">
        <v>2000</v>
      </c>
      <c r="F14" s="5">
        <v>0</v>
      </c>
      <c r="G14" s="4"/>
      <c r="H14" s="5">
        <v>100</v>
      </c>
    </row>
    <row r="15" spans="1:8">
      <c r="A15" s="5"/>
      <c r="B15" s="5"/>
      <c r="C15" s="5">
        <v>9</v>
      </c>
      <c r="D15" s="16">
        <v>400</v>
      </c>
      <c r="E15" s="16">
        <v>4000</v>
      </c>
      <c r="F15" s="5">
        <v>0</v>
      </c>
      <c r="G15" s="4"/>
      <c r="H15" s="5">
        <v>200</v>
      </c>
    </row>
    <row r="16" spans="1:8">
      <c r="A16" s="5"/>
      <c r="B16" s="5"/>
      <c r="C16" s="5">
        <v>10</v>
      </c>
      <c r="D16" s="16">
        <v>800</v>
      </c>
      <c r="E16" s="16">
        <v>8000</v>
      </c>
      <c r="F16" s="5">
        <v>0</v>
      </c>
      <c r="G16" s="4"/>
      <c r="H16" s="5">
        <v>400</v>
      </c>
    </row>
    <row r="17" spans="1:8">
      <c r="A17" s="5"/>
      <c r="B17" s="5"/>
      <c r="C17" s="5">
        <v>11</v>
      </c>
      <c r="D17" s="13">
        <v>1000</v>
      </c>
      <c r="E17" s="27">
        <v>20000</v>
      </c>
      <c r="F17" s="27">
        <v>0</v>
      </c>
      <c r="G17" s="4"/>
      <c r="H17" s="27">
        <v>600</v>
      </c>
    </row>
    <row r="18" spans="1:8">
      <c r="A18" s="5"/>
      <c r="B18" s="5"/>
      <c r="C18" s="5">
        <v>12</v>
      </c>
      <c r="D18" s="16">
        <v>2000</v>
      </c>
      <c r="E18" s="16">
        <v>50000</v>
      </c>
      <c r="F18" s="5">
        <v>0</v>
      </c>
      <c r="G18" s="4"/>
      <c r="H18" s="5">
        <v>800</v>
      </c>
    </row>
    <row r="19" spans="1:8">
      <c r="A19" s="5"/>
      <c r="B19" s="5"/>
      <c r="C19" s="5">
        <v>13</v>
      </c>
      <c r="D19" s="16">
        <v>5000</v>
      </c>
      <c r="E19" s="16">
        <v>100000</v>
      </c>
      <c r="F19" s="5">
        <v>0</v>
      </c>
      <c r="G19" s="4"/>
      <c r="H19" s="5">
        <v>1600</v>
      </c>
    </row>
    <row r="20" spans="1:8">
      <c r="A20" s="5"/>
      <c r="B20" s="11">
        <v>1</v>
      </c>
      <c r="C20" s="5">
        <v>1</v>
      </c>
      <c r="D20" s="16">
        <v>1</v>
      </c>
      <c r="E20" s="16">
        <v>0</v>
      </c>
      <c r="F20" s="5">
        <v>0</v>
      </c>
      <c r="G20" s="2" t="s">
        <v>23</v>
      </c>
      <c r="H20" s="5">
        <v>0</v>
      </c>
    </row>
    <row r="21" spans="1:8">
      <c r="A21" s="5"/>
      <c r="B21" s="5"/>
      <c r="C21" s="5">
        <v>2</v>
      </c>
      <c r="D21" s="16">
        <v>2</v>
      </c>
      <c r="E21" s="101">
        <v>50</v>
      </c>
      <c r="F21" s="5">
        <v>0</v>
      </c>
      <c r="G21" s="4"/>
      <c r="H21" s="5">
        <v>6</v>
      </c>
    </row>
    <row r="22" spans="1:8">
      <c r="A22" s="5"/>
      <c r="B22" s="5"/>
      <c r="C22" s="5">
        <v>3</v>
      </c>
      <c r="D22" s="16">
        <v>4</v>
      </c>
      <c r="E22" s="101">
        <v>150</v>
      </c>
      <c r="F22" s="5">
        <v>0</v>
      </c>
      <c r="G22" s="4"/>
      <c r="H22" s="5">
        <v>10</v>
      </c>
    </row>
    <row r="23" spans="1:8">
      <c r="A23" s="5"/>
      <c r="B23" s="5"/>
      <c r="C23" s="5">
        <v>4</v>
      </c>
      <c r="D23" s="16">
        <v>10</v>
      </c>
      <c r="E23" s="101">
        <v>400</v>
      </c>
      <c r="F23" s="5">
        <v>0</v>
      </c>
      <c r="G23" s="4"/>
      <c r="H23" s="5">
        <v>25</v>
      </c>
    </row>
    <row r="24" spans="1:8">
      <c r="A24" s="5"/>
      <c r="B24" s="5"/>
      <c r="C24" s="5">
        <v>5</v>
      </c>
      <c r="D24" s="16">
        <v>20</v>
      </c>
      <c r="E24" s="101">
        <v>1000</v>
      </c>
      <c r="F24" s="5">
        <v>0</v>
      </c>
      <c r="G24" s="4"/>
      <c r="H24" s="5">
        <v>50</v>
      </c>
    </row>
    <row r="25" spans="1:8">
      <c r="A25" s="5"/>
      <c r="B25" s="5"/>
      <c r="C25" s="5">
        <v>6</v>
      </c>
      <c r="D25" s="16">
        <v>50</v>
      </c>
      <c r="E25" s="101">
        <v>2000</v>
      </c>
      <c r="F25" s="5">
        <v>0</v>
      </c>
      <c r="G25" s="4"/>
      <c r="H25" s="5">
        <v>100</v>
      </c>
    </row>
    <row r="26" spans="1:8">
      <c r="A26" s="5"/>
      <c r="B26" s="5"/>
      <c r="C26" s="5">
        <v>7</v>
      </c>
      <c r="D26" s="16">
        <v>100</v>
      </c>
      <c r="E26" s="101">
        <v>4000</v>
      </c>
      <c r="F26" s="5">
        <v>0</v>
      </c>
      <c r="G26" s="4"/>
      <c r="H26" s="5">
        <v>200</v>
      </c>
    </row>
    <row r="27" spans="1:8">
      <c r="A27" s="5"/>
      <c r="B27" s="5"/>
      <c r="C27" s="5">
        <v>8</v>
      </c>
      <c r="D27" s="16">
        <v>200</v>
      </c>
      <c r="E27" s="101">
        <v>8000</v>
      </c>
      <c r="F27" s="5">
        <v>0</v>
      </c>
      <c r="G27" s="4"/>
      <c r="H27" s="5">
        <v>400</v>
      </c>
    </row>
    <row r="28" spans="1:8">
      <c r="A28" s="5"/>
      <c r="B28" s="5"/>
      <c r="C28" s="5">
        <v>9</v>
      </c>
      <c r="D28" s="16">
        <v>400</v>
      </c>
      <c r="E28" s="101">
        <v>20000</v>
      </c>
      <c r="F28" s="5">
        <v>0</v>
      </c>
      <c r="G28" s="4"/>
      <c r="H28" s="5">
        <v>600</v>
      </c>
    </row>
    <row r="29" spans="1:8">
      <c r="A29" s="5"/>
      <c r="B29" s="5"/>
      <c r="C29" s="5">
        <v>10</v>
      </c>
      <c r="D29" s="13">
        <v>800</v>
      </c>
      <c r="E29" s="102">
        <v>50000</v>
      </c>
      <c r="F29" s="27">
        <v>0</v>
      </c>
      <c r="G29" s="4"/>
      <c r="H29" s="27">
        <v>800</v>
      </c>
    </row>
    <row r="30" spans="1:8">
      <c r="A30" s="5"/>
      <c r="B30" s="5"/>
      <c r="C30" s="5">
        <v>11</v>
      </c>
      <c r="D30" s="16">
        <v>1000</v>
      </c>
      <c r="E30" s="101">
        <v>100000</v>
      </c>
      <c r="F30" s="5">
        <v>0</v>
      </c>
      <c r="G30" s="4"/>
      <c r="H30" s="5">
        <v>1600</v>
      </c>
    </row>
    <row r="31" spans="1:8">
      <c r="A31" s="5"/>
      <c r="B31" s="73">
        <v>2</v>
      </c>
      <c r="C31" s="5">
        <v>1</v>
      </c>
      <c r="D31" s="16">
        <v>1</v>
      </c>
      <c r="E31" s="16">
        <v>0</v>
      </c>
      <c r="F31" s="5">
        <v>0</v>
      </c>
      <c r="G31" s="2" t="s">
        <v>226</v>
      </c>
      <c r="H31" s="5">
        <v>0</v>
      </c>
    </row>
    <row r="32" spans="1:8">
      <c r="A32" s="5"/>
      <c r="B32" s="5"/>
      <c r="C32" s="5">
        <v>2</v>
      </c>
      <c r="D32" s="16">
        <v>2</v>
      </c>
      <c r="E32" s="16">
        <v>400</v>
      </c>
      <c r="F32" s="5">
        <v>0</v>
      </c>
      <c r="G32" s="4"/>
      <c r="H32" s="5">
        <v>25</v>
      </c>
    </row>
    <row r="33" spans="1:8">
      <c r="A33" s="5"/>
      <c r="B33" s="5"/>
      <c r="C33" s="5">
        <v>3</v>
      </c>
      <c r="D33" s="16">
        <v>4</v>
      </c>
      <c r="E33" s="16">
        <v>2000</v>
      </c>
      <c r="F33" s="5">
        <v>0</v>
      </c>
      <c r="G33" s="4"/>
      <c r="H33" s="5">
        <v>50</v>
      </c>
    </row>
    <row r="34" spans="1:8">
      <c r="A34" s="5"/>
      <c r="B34" s="5"/>
      <c r="C34" s="5">
        <v>4</v>
      </c>
      <c r="D34" s="16">
        <v>10</v>
      </c>
      <c r="E34" s="16">
        <v>4000</v>
      </c>
      <c r="F34" s="5">
        <v>0</v>
      </c>
      <c r="G34" s="4"/>
      <c r="H34" s="5">
        <v>100</v>
      </c>
    </row>
    <row r="35" spans="1:8">
      <c r="A35" s="5"/>
      <c r="B35" s="5"/>
      <c r="C35" s="5">
        <v>5</v>
      </c>
      <c r="D35" s="16">
        <v>20</v>
      </c>
      <c r="E35" s="16">
        <v>8000</v>
      </c>
      <c r="F35" s="5">
        <v>0</v>
      </c>
      <c r="G35" s="4"/>
      <c r="H35" s="5">
        <v>200</v>
      </c>
    </row>
    <row r="36" spans="1:8">
      <c r="A36" s="5"/>
      <c r="B36" s="5"/>
      <c r="C36" s="5">
        <v>6</v>
      </c>
      <c r="D36" s="16">
        <v>50</v>
      </c>
      <c r="E36" s="16">
        <v>20000</v>
      </c>
      <c r="F36" s="5">
        <v>0</v>
      </c>
      <c r="G36" s="4"/>
      <c r="H36" s="5">
        <v>400</v>
      </c>
    </row>
    <row r="37" spans="1:8">
      <c r="A37" s="5"/>
      <c r="B37" s="5"/>
      <c r="C37" s="5">
        <v>7</v>
      </c>
      <c r="D37" s="16">
        <v>100</v>
      </c>
      <c r="E37" s="16">
        <v>50000</v>
      </c>
      <c r="F37" s="5">
        <v>0</v>
      </c>
      <c r="G37" s="4"/>
      <c r="H37" s="5">
        <v>1000</v>
      </c>
    </row>
    <row r="38" spans="1:8">
      <c r="B38" s="5"/>
      <c r="C38" s="5">
        <v>8</v>
      </c>
      <c r="D38" s="16">
        <v>200</v>
      </c>
      <c r="E38" s="16">
        <v>100000</v>
      </c>
      <c r="F38" s="5">
        <v>0</v>
      </c>
      <c r="G38" s="4"/>
      <c r="H38" s="5">
        <v>1600</v>
      </c>
    </row>
    <row r="39" spans="1:8">
      <c r="B39" s="72">
        <v>3</v>
      </c>
      <c r="C39" s="5">
        <v>1</v>
      </c>
      <c r="D39" s="16">
        <v>1</v>
      </c>
      <c r="E39" s="16">
        <v>0</v>
      </c>
      <c r="F39" s="5">
        <v>0</v>
      </c>
      <c r="G39" s="2" t="s">
        <v>227</v>
      </c>
      <c r="H39" s="5">
        <v>0</v>
      </c>
    </row>
    <row r="40" spans="1:8">
      <c r="C40" s="5">
        <v>2</v>
      </c>
      <c r="D40" s="16">
        <v>2</v>
      </c>
      <c r="E40" s="16">
        <v>5000</v>
      </c>
      <c r="F40" s="5">
        <v>0</v>
      </c>
      <c r="H40" s="5">
        <v>200</v>
      </c>
    </row>
    <row r="41" spans="1:8">
      <c r="C41" s="5">
        <v>3</v>
      </c>
      <c r="D41" s="16">
        <v>4</v>
      </c>
      <c r="E41" s="16">
        <v>20000</v>
      </c>
      <c r="F41" s="5">
        <v>0</v>
      </c>
      <c r="H41" s="5">
        <v>400</v>
      </c>
    </row>
    <row r="42" spans="1:8">
      <c r="C42" s="5">
        <v>4</v>
      </c>
      <c r="D42" s="16">
        <v>10</v>
      </c>
      <c r="E42" s="16">
        <v>50000</v>
      </c>
      <c r="F42" s="5">
        <v>0</v>
      </c>
      <c r="H42" s="5">
        <v>1000</v>
      </c>
    </row>
    <row r="43" spans="1:8">
      <c r="A43" s="5" t="s">
        <v>24</v>
      </c>
      <c r="C43" s="5">
        <v>5</v>
      </c>
      <c r="D43" s="16">
        <v>20</v>
      </c>
      <c r="E43" s="16">
        <v>100000</v>
      </c>
      <c r="F43" s="5">
        <v>0</v>
      </c>
      <c r="H43" s="5">
        <v>1600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">
                <anchor moveWithCells="1" sizeWithCells="1">
                  <from>
                    <xdr:col>2</xdr:col>
                    <xdr:colOff>47625</xdr:colOff>
                    <xdr:row>0</xdr:row>
                    <xdr:rowOff>38100</xdr:rowOff>
                  </from>
                  <to>
                    <xdr:col>3</xdr:col>
                    <xdr:colOff>523875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A358"/>
  <sheetViews>
    <sheetView workbookViewId="0">
      <pane xSplit="3" ySplit="6" topLeftCell="D307" activePane="bottomRight" state="frozen"/>
      <selection pane="topRight" activeCell="D1" sqref="D1"/>
      <selection pane="bottomLeft" activeCell="A7" sqref="A7"/>
      <selection pane="bottomRight" activeCell="J328" sqref="J328"/>
    </sheetView>
  </sheetViews>
  <sheetFormatPr defaultRowHeight="13.5"/>
  <cols>
    <col min="1" max="1" width="1.625" customWidth="1"/>
    <col min="2" max="2" width="3.125" customWidth="1"/>
    <col min="3" max="3" width="11.625" bestFit="1" customWidth="1"/>
    <col min="4" max="4" width="11" bestFit="1" customWidth="1"/>
    <col min="5" max="5" width="5.875" customWidth="1"/>
    <col min="6" max="6" width="4.5" customWidth="1"/>
    <col min="7" max="7" width="8.625" customWidth="1"/>
    <col min="8" max="8" width="9.125" customWidth="1"/>
    <col min="9" max="9" width="5.25" customWidth="1"/>
    <col min="10" max="10" width="5.5" customWidth="1"/>
    <col min="11" max="11" width="11.125" customWidth="1"/>
    <col min="12" max="13" width="5.5" customWidth="1"/>
    <col min="14" max="14" width="5" customWidth="1"/>
    <col min="15" max="15" width="4.625" customWidth="1"/>
    <col min="16" max="16" width="4.375" customWidth="1"/>
    <col min="17" max="17" width="6.5" customWidth="1"/>
    <col min="18" max="18" width="4.875" customWidth="1"/>
    <col min="19" max="20" width="6.875" customWidth="1"/>
    <col min="21" max="21" width="7.5" bestFit="1" customWidth="1"/>
    <col min="22" max="23" width="7.5" customWidth="1"/>
    <col min="24" max="24" width="5.5" customWidth="1"/>
    <col min="25" max="26" width="6" customWidth="1"/>
    <col min="27" max="27" width="5.375" customWidth="1"/>
    <col min="28" max="28" width="5" customWidth="1"/>
    <col min="29" max="29" width="5.75" customWidth="1"/>
    <col min="30" max="32" width="5.5" customWidth="1"/>
    <col min="33" max="33" width="5.875" customWidth="1"/>
    <col min="34" max="34" width="5.625" customWidth="1"/>
    <col min="35" max="35" width="7.875" customWidth="1"/>
    <col min="36" max="36" width="9.375" customWidth="1"/>
    <col min="37" max="37" width="5.625" customWidth="1"/>
    <col min="38" max="38" width="6" customWidth="1"/>
    <col min="39" max="39" width="7" customWidth="1"/>
    <col min="40" max="43" width="6.125" customWidth="1"/>
    <col min="44" max="44" width="5.875" customWidth="1"/>
    <col min="45" max="45" width="6" customWidth="1"/>
    <col min="46" max="46" width="6.75" customWidth="1"/>
    <col min="47" max="47" width="9.375" customWidth="1"/>
    <col min="48" max="48" width="6.375" customWidth="1"/>
    <col min="49" max="49" width="7.25" customWidth="1"/>
    <col min="53" max="53" width="5.5" customWidth="1"/>
  </cols>
  <sheetData>
    <row r="1" spans="1:53">
      <c r="B1" s="38" t="s">
        <v>12</v>
      </c>
      <c r="C1" s="53">
        <f>MATCH(C6,一级属性!1:1,)</f>
        <v>2</v>
      </c>
      <c r="D1" s="53">
        <f>MATCH(D6,一级属性!1:1,)</f>
        <v>31</v>
      </c>
      <c r="F1" s="53">
        <f>MATCH(F6,一级属性!1:1,)</f>
        <v>4</v>
      </c>
      <c r="G1" s="53">
        <f>MATCH(G6,一级属性!1:1,)</f>
        <v>5</v>
      </c>
      <c r="H1" s="53">
        <f>MATCH(H6,一级属性!1:1,)</f>
        <v>6</v>
      </c>
      <c r="I1" s="53">
        <f>MATCH(I6,一级属性!1:1,)</f>
        <v>7</v>
      </c>
      <c r="J1" s="53">
        <f>MATCH(J6,一级属性!1:1,)</f>
        <v>8</v>
      </c>
      <c r="K1" s="53">
        <f>MATCH(K6,一级属性!1:1,)</f>
        <v>10</v>
      </c>
      <c r="L1" s="53">
        <f>MATCH(L6,一级属性!1:1,)</f>
        <v>11</v>
      </c>
      <c r="M1" s="53"/>
      <c r="N1" s="19"/>
      <c r="O1" s="53">
        <f>MATCH(O6,一级属性!1:1,)</f>
        <v>9</v>
      </c>
      <c r="W1" s="53">
        <f>MATCH(W6,一级属性!1:1,)</f>
        <v>30</v>
      </c>
      <c r="X1" s="53">
        <f>MATCH(X6,一级属性!1:1,)</f>
        <v>29</v>
      </c>
      <c r="Y1" s="53">
        <f>MATCH(Y6,一级属性!1:1,)</f>
        <v>15</v>
      </c>
      <c r="Z1" s="53"/>
      <c r="AA1" s="53">
        <f>MATCH(AA6,一级属性!1:1,)</f>
        <v>16</v>
      </c>
      <c r="AB1" s="53">
        <f>MATCH(AB6,一级属性!1:1,)</f>
        <v>18</v>
      </c>
      <c r="AC1" s="53">
        <f>MATCH(AC6,一级属性!1:1,)</f>
        <v>20</v>
      </c>
      <c r="AD1" s="53">
        <f>MATCH(AD6,一级属性!1:1,)</f>
        <v>22</v>
      </c>
      <c r="AE1" s="53"/>
      <c r="AF1" s="53"/>
      <c r="AG1" s="53">
        <f>MATCH(AG6,一级属性!1:1,)</f>
        <v>24</v>
      </c>
      <c r="AH1" s="53">
        <f>MATCH(AH6,一级属性!1:1,)</f>
        <v>19</v>
      </c>
      <c r="AI1" s="53">
        <f>MATCH(AI6,一级属性!1:1,)</f>
        <v>25</v>
      </c>
      <c r="AJ1" s="53">
        <f>MATCH(AJ6,一级属性!1:1,)</f>
        <v>26</v>
      </c>
      <c r="AM1" s="53">
        <f>MATCH(AM6,一级属性!1:1,)</f>
        <v>27</v>
      </c>
      <c r="AP1" s="53">
        <f>MATCH(AP6,一级属性!1:1,)</f>
        <v>28</v>
      </c>
      <c r="AX1" s="53">
        <f>MATCH(AX6,一级属性!1:1,)</f>
        <v>12</v>
      </c>
      <c r="AY1" s="53"/>
      <c r="AZ1" s="53"/>
      <c r="BA1" s="28" t="s">
        <v>13</v>
      </c>
    </row>
    <row r="2" spans="1:53" ht="27">
      <c r="B2" s="2" t="s">
        <v>68</v>
      </c>
      <c r="C2" s="21" t="s">
        <v>25</v>
      </c>
      <c r="D2" s="39" t="s">
        <v>108</v>
      </c>
      <c r="E2" s="39" t="s">
        <v>109</v>
      </c>
      <c r="F2" s="15" t="s">
        <v>69</v>
      </c>
      <c r="G2" s="15" t="s">
        <v>94</v>
      </c>
      <c r="H2" s="15" t="s">
        <v>70</v>
      </c>
      <c r="I2" s="15" t="s">
        <v>71</v>
      </c>
      <c r="J2" s="15" t="s">
        <v>89</v>
      </c>
      <c r="K2" s="15" t="s">
        <v>252</v>
      </c>
      <c r="L2" s="15" t="s">
        <v>254</v>
      </c>
      <c r="M2" s="15" t="s">
        <v>806</v>
      </c>
      <c r="N2" s="21" t="s">
        <v>90</v>
      </c>
      <c r="O2" s="23" t="s">
        <v>26</v>
      </c>
      <c r="P2" s="24" t="s">
        <v>99</v>
      </c>
      <c r="Q2" s="25" t="s">
        <v>98</v>
      </c>
      <c r="R2" s="81" t="s">
        <v>278</v>
      </c>
      <c r="S2" s="79" t="s">
        <v>774</v>
      </c>
      <c r="T2" s="15" t="s">
        <v>27</v>
      </c>
      <c r="U2" s="26" t="s">
        <v>28</v>
      </c>
      <c r="V2" s="26" t="s">
        <v>697</v>
      </c>
      <c r="W2" s="26" t="s">
        <v>394</v>
      </c>
      <c r="X2" s="26" t="s">
        <v>116</v>
      </c>
      <c r="Y2" s="26" t="s">
        <v>29</v>
      </c>
      <c r="Z2" s="26" t="s">
        <v>803</v>
      </c>
      <c r="AA2" s="26" t="s">
        <v>30</v>
      </c>
      <c r="AB2" s="26" t="s">
        <v>117</v>
      </c>
      <c r="AC2" s="26" t="s">
        <v>118</v>
      </c>
      <c r="AD2" s="26" t="s">
        <v>276</v>
      </c>
      <c r="AE2" s="26" t="s">
        <v>681</v>
      </c>
      <c r="AF2" s="26" t="s">
        <v>680</v>
      </c>
      <c r="AG2" s="26" t="s">
        <v>387</v>
      </c>
      <c r="AH2" s="26" t="s">
        <v>223</v>
      </c>
      <c r="AI2" s="26" t="s">
        <v>119</v>
      </c>
      <c r="AJ2" s="26" t="s">
        <v>120</v>
      </c>
      <c r="AK2" s="26" t="s">
        <v>31</v>
      </c>
      <c r="AL2" s="26" t="s">
        <v>121</v>
      </c>
      <c r="AM2" s="26" t="s">
        <v>122</v>
      </c>
      <c r="AN2" s="26" t="s">
        <v>123</v>
      </c>
      <c r="AO2" s="26" t="s">
        <v>540</v>
      </c>
      <c r="AP2" s="26" t="s">
        <v>124</v>
      </c>
      <c r="AQ2" s="26" t="s">
        <v>125</v>
      </c>
      <c r="AR2" s="26" t="s">
        <v>126</v>
      </c>
      <c r="AS2" s="26" t="s">
        <v>224</v>
      </c>
      <c r="AT2" s="26" t="s">
        <v>127</v>
      </c>
      <c r="AU2" s="26" t="s">
        <v>128</v>
      </c>
      <c r="AV2" s="26" t="s">
        <v>129</v>
      </c>
      <c r="AW2" s="26" t="s">
        <v>130</v>
      </c>
      <c r="AX2" s="26" t="s">
        <v>204</v>
      </c>
      <c r="AY2" s="26" t="s">
        <v>775</v>
      </c>
      <c r="AZ2" s="26" t="s">
        <v>777</v>
      </c>
      <c r="BA2" s="25" t="s">
        <v>100</v>
      </c>
    </row>
    <row r="3" spans="1:53">
      <c r="B3" t="s">
        <v>103</v>
      </c>
      <c r="C3" t="s">
        <v>97</v>
      </c>
      <c r="D3" s="39" t="s">
        <v>110</v>
      </c>
      <c r="E3" s="39" t="s">
        <v>111</v>
      </c>
      <c r="F3" t="s">
        <v>14</v>
      </c>
      <c r="G3" t="s">
        <v>14</v>
      </c>
      <c r="H3" t="s">
        <v>14</v>
      </c>
      <c r="I3" t="s">
        <v>14</v>
      </c>
      <c r="J3" t="s">
        <v>95</v>
      </c>
      <c r="K3" s="39" t="s">
        <v>110</v>
      </c>
      <c r="L3" s="39" t="s">
        <v>110</v>
      </c>
      <c r="M3" t="s">
        <v>91</v>
      </c>
      <c r="N3" t="s">
        <v>91</v>
      </c>
      <c r="O3" t="s">
        <v>32</v>
      </c>
      <c r="P3" t="s">
        <v>32</v>
      </c>
      <c r="Q3" t="s">
        <v>32</v>
      </c>
      <c r="R3" t="s">
        <v>32</v>
      </c>
      <c r="S3" t="s">
        <v>32</v>
      </c>
      <c r="T3" t="s">
        <v>93</v>
      </c>
      <c r="U3" t="s">
        <v>93</v>
      </c>
      <c r="V3" t="s">
        <v>93</v>
      </c>
      <c r="W3" t="s">
        <v>93</v>
      </c>
      <c r="X3" t="s">
        <v>32</v>
      </c>
      <c r="Y3" t="s">
        <v>32</v>
      </c>
      <c r="Z3" t="s">
        <v>32</v>
      </c>
      <c r="AA3" t="s">
        <v>32</v>
      </c>
      <c r="AB3" t="s">
        <v>32</v>
      </c>
      <c r="AC3" s="39" t="s">
        <v>279</v>
      </c>
      <c r="AD3" t="s">
        <v>280</v>
      </c>
      <c r="AE3" t="s">
        <v>32</v>
      </c>
      <c r="AF3" t="s">
        <v>32</v>
      </c>
      <c r="AG3" t="s">
        <v>32</v>
      </c>
      <c r="AH3" t="s">
        <v>32</v>
      </c>
      <c r="AI3" t="s">
        <v>32</v>
      </c>
      <c r="AJ3" t="s">
        <v>32</v>
      </c>
      <c r="AK3" t="s">
        <v>32</v>
      </c>
      <c r="AL3" t="s">
        <v>115</v>
      </c>
      <c r="AM3" t="s">
        <v>32</v>
      </c>
      <c r="AN3" t="s">
        <v>32</v>
      </c>
      <c r="AO3" t="s">
        <v>32</v>
      </c>
      <c r="AP3" t="s">
        <v>32</v>
      </c>
      <c r="AQ3" t="s">
        <v>32</v>
      </c>
      <c r="AR3" t="s">
        <v>32</v>
      </c>
      <c r="AS3" t="s">
        <v>32</v>
      </c>
      <c r="AT3" t="s">
        <v>14</v>
      </c>
      <c r="AU3" t="s">
        <v>32</v>
      </c>
      <c r="AV3" t="s">
        <v>14</v>
      </c>
      <c r="AW3" t="s">
        <v>32</v>
      </c>
      <c r="AX3" t="s">
        <v>32</v>
      </c>
      <c r="AY3" t="s">
        <v>32</v>
      </c>
      <c r="AZ3" t="s">
        <v>32</v>
      </c>
      <c r="BA3" t="s">
        <v>32</v>
      </c>
    </row>
    <row r="4" spans="1:53">
      <c r="B4" t="s">
        <v>15</v>
      </c>
      <c r="C4" t="s">
        <v>15</v>
      </c>
      <c r="D4" t="s">
        <v>15</v>
      </c>
      <c r="E4" t="s">
        <v>15</v>
      </c>
      <c r="F4" t="s">
        <v>15</v>
      </c>
      <c r="G4" t="s">
        <v>15</v>
      </c>
      <c r="H4" t="s">
        <v>15</v>
      </c>
      <c r="I4" t="s">
        <v>15</v>
      </c>
      <c r="J4" t="s">
        <v>15</v>
      </c>
      <c r="K4" t="s">
        <v>15</v>
      </c>
      <c r="L4" t="s">
        <v>15</v>
      </c>
      <c r="M4" t="s">
        <v>92</v>
      </c>
      <c r="N4" t="s">
        <v>92</v>
      </c>
      <c r="O4" t="s">
        <v>92</v>
      </c>
      <c r="P4" t="s">
        <v>92</v>
      </c>
      <c r="Q4" t="s">
        <v>92</v>
      </c>
      <c r="R4" t="s">
        <v>92</v>
      </c>
      <c r="S4" t="s">
        <v>92</v>
      </c>
      <c r="T4" t="s">
        <v>92</v>
      </c>
      <c r="U4" t="s">
        <v>92</v>
      </c>
      <c r="V4" t="s">
        <v>92</v>
      </c>
      <c r="W4" t="s">
        <v>92</v>
      </c>
      <c r="X4" t="s">
        <v>92</v>
      </c>
      <c r="Y4" t="s">
        <v>92</v>
      </c>
      <c r="Z4" t="s">
        <v>92</v>
      </c>
      <c r="AA4" t="s">
        <v>92</v>
      </c>
      <c r="AB4" t="s">
        <v>92</v>
      </c>
      <c r="AC4" t="s">
        <v>92</v>
      </c>
      <c r="AD4" t="s">
        <v>92</v>
      </c>
      <c r="AE4" t="s">
        <v>92</v>
      </c>
      <c r="AF4" t="s">
        <v>92</v>
      </c>
      <c r="AG4" t="s">
        <v>92</v>
      </c>
      <c r="AH4" t="s">
        <v>92</v>
      </c>
      <c r="AI4" t="s">
        <v>92</v>
      </c>
      <c r="AJ4" t="s">
        <v>92</v>
      </c>
      <c r="AK4" t="s">
        <v>92</v>
      </c>
      <c r="AL4" t="s">
        <v>92</v>
      </c>
      <c r="AM4" t="s">
        <v>92</v>
      </c>
      <c r="AN4" t="s">
        <v>92</v>
      </c>
      <c r="AO4" t="s">
        <v>92</v>
      </c>
      <c r="AP4" t="s">
        <v>92</v>
      </c>
      <c r="AQ4" t="s">
        <v>92</v>
      </c>
      <c r="AR4" t="s">
        <v>92</v>
      </c>
      <c r="AS4" t="s">
        <v>92</v>
      </c>
      <c r="AT4" t="s">
        <v>92</v>
      </c>
      <c r="AU4" t="s">
        <v>92</v>
      </c>
      <c r="AV4" t="s">
        <v>92</v>
      </c>
      <c r="AW4" t="s">
        <v>92</v>
      </c>
      <c r="AX4" t="s">
        <v>92</v>
      </c>
      <c r="AY4" t="s">
        <v>92</v>
      </c>
      <c r="AZ4" t="s">
        <v>92</v>
      </c>
      <c r="BA4" t="s">
        <v>92</v>
      </c>
    </row>
    <row r="5" spans="1:53">
      <c r="B5" t="s">
        <v>16</v>
      </c>
      <c r="C5" t="s">
        <v>16</v>
      </c>
      <c r="D5" t="s">
        <v>16</v>
      </c>
      <c r="E5" t="s">
        <v>16</v>
      </c>
      <c r="F5" t="s">
        <v>16</v>
      </c>
      <c r="G5" t="s">
        <v>16</v>
      </c>
      <c r="H5" t="s">
        <v>16</v>
      </c>
      <c r="I5" t="s">
        <v>16</v>
      </c>
      <c r="J5" t="s">
        <v>16</v>
      </c>
      <c r="K5" t="s">
        <v>16</v>
      </c>
      <c r="L5" t="s">
        <v>16</v>
      </c>
      <c r="M5" t="s">
        <v>16</v>
      </c>
      <c r="O5" t="s">
        <v>16</v>
      </c>
      <c r="P5" t="s">
        <v>16</v>
      </c>
      <c r="Q5" t="s">
        <v>16</v>
      </c>
      <c r="R5" t="s">
        <v>16</v>
      </c>
      <c r="S5" t="s">
        <v>16</v>
      </c>
      <c r="T5" t="s">
        <v>16</v>
      </c>
      <c r="U5" t="s">
        <v>16</v>
      </c>
      <c r="V5" t="s">
        <v>16</v>
      </c>
      <c r="W5" t="s">
        <v>16</v>
      </c>
      <c r="X5" t="s">
        <v>16</v>
      </c>
      <c r="Y5" t="s">
        <v>16</v>
      </c>
      <c r="Z5" t="s">
        <v>16</v>
      </c>
      <c r="AA5" t="s">
        <v>16</v>
      </c>
      <c r="AB5" t="s">
        <v>16</v>
      </c>
      <c r="AC5" t="s">
        <v>16</v>
      </c>
      <c r="AD5" t="s">
        <v>16</v>
      </c>
      <c r="AE5" t="s">
        <v>16</v>
      </c>
      <c r="AF5" t="s">
        <v>16</v>
      </c>
      <c r="AG5" t="s">
        <v>16</v>
      </c>
      <c r="AH5" t="s">
        <v>16</v>
      </c>
      <c r="AI5" t="s">
        <v>16</v>
      </c>
      <c r="AJ5" t="s">
        <v>16</v>
      </c>
      <c r="AK5" t="s">
        <v>16</v>
      </c>
      <c r="AL5" t="s">
        <v>16</v>
      </c>
      <c r="AM5" t="s">
        <v>16</v>
      </c>
      <c r="AN5" t="s">
        <v>16</v>
      </c>
      <c r="AO5" t="s">
        <v>16</v>
      </c>
      <c r="AP5" t="s">
        <v>16</v>
      </c>
      <c r="AQ5" t="s">
        <v>16</v>
      </c>
      <c r="AR5" t="s">
        <v>16</v>
      </c>
      <c r="AS5" t="s">
        <v>16</v>
      </c>
      <c r="AT5" t="s">
        <v>16</v>
      </c>
      <c r="AU5" t="s">
        <v>16</v>
      </c>
      <c r="AV5" t="s">
        <v>16</v>
      </c>
      <c r="AW5" t="s">
        <v>16</v>
      </c>
      <c r="AX5" t="s">
        <v>16</v>
      </c>
      <c r="AY5" t="s">
        <v>16</v>
      </c>
      <c r="AZ5" t="s">
        <v>16</v>
      </c>
      <c r="BA5" t="s">
        <v>16</v>
      </c>
    </row>
    <row r="6" spans="1:53" ht="42.75">
      <c r="B6" s="56" t="s">
        <v>48</v>
      </c>
      <c r="C6" s="21" t="s">
        <v>113</v>
      </c>
      <c r="D6" s="21" t="s">
        <v>112</v>
      </c>
      <c r="E6" s="21" t="s">
        <v>114</v>
      </c>
      <c r="F6" s="20" t="s">
        <v>49</v>
      </c>
      <c r="G6" s="20" t="s">
        <v>50</v>
      </c>
      <c r="H6" s="20" t="s">
        <v>47</v>
      </c>
      <c r="I6" s="20" t="s">
        <v>51</v>
      </c>
      <c r="J6" s="20" t="s">
        <v>17</v>
      </c>
      <c r="K6" s="20" t="s">
        <v>251</v>
      </c>
      <c r="L6" s="20" t="s">
        <v>253</v>
      </c>
      <c r="M6" s="20" t="s">
        <v>796</v>
      </c>
      <c r="N6" s="21" t="s">
        <v>18</v>
      </c>
      <c r="O6" s="21" t="s">
        <v>52</v>
      </c>
      <c r="P6" s="55" t="s">
        <v>53</v>
      </c>
      <c r="Q6" s="63" t="s">
        <v>54</v>
      </c>
      <c r="R6" s="55" t="s">
        <v>56</v>
      </c>
      <c r="S6" s="80" t="s">
        <v>274</v>
      </c>
      <c r="T6" s="63" t="s">
        <v>33</v>
      </c>
      <c r="U6" s="63" t="s">
        <v>34</v>
      </c>
      <c r="V6" s="63" t="s">
        <v>698</v>
      </c>
      <c r="W6" s="63" t="s">
        <v>393</v>
      </c>
      <c r="X6" s="63" t="s">
        <v>35</v>
      </c>
      <c r="Y6" s="63" t="s">
        <v>36</v>
      </c>
      <c r="Z6" s="63" t="s">
        <v>690</v>
      </c>
      <c r="AA6" s="55" t="s">
        <v>37</v>
      </c>
      <c r="AB6" s="55" t="s">
        <v>38</v>
      </c>
      <c r="AC6" s="63" t="s">
        <v>39</v>
      </c>
      <c r="AD6" s="63" t="s">
        <v>275</v>
      </c>
      <c r="AE6" s="63" t="s">
        <v>682</v>
      </c>
      <c r="AF6" s="63" t="s">
        <v>683</v>
      </c>
      <c r="AG6" s="63" t="s">
        <v>389</v>
      </c>
      <c r="AH6" s="55" t="s">
        <v>370</v>
      </c>
      <c r="AI6" s="55" t="s">
        <v>40</v>
      </c>
      <c r="AJ6" s="55" t="s">
        <v>41</v>
      </c>
      <c r="AK6" s="63" t="s">
        <v>42</v>
      </c>
      <c r="AL6" s="55" t="s">
        <v>57</v>
      </c>
      <c r="AM6" s="57" t="s">
        <v>58</v>
      </c>
      <c r="AN6" s="63" t="s">
        <v>59</v>
      </c>
      <c r="AO6" s="63" t="s">
        <v>541</v>
      </c>
      <c r="AP6" s="55" t="s">
        <v>60</v>
      </c>
      <c r="AQ6" s="64" t="s">
        <v>61</v>
      </c>
      <c r="AR6" s="63" t="s">
        <v>62</v>
      </c>
      <c r="AS6" s="63" t="s">
        <v>63</v>
      </c>
      <c r="AT6" s="63" t="s">
        <v>64</v>
      </c>
      <c r="AU6" s="57" t="s">
        <v>65</v>
      </c>
      <c r="AV6" s="55" t="s">
        <v>66</v>
      </c>
      <c r="AW6" s="55" t="s">
        <v>67</v>
      </c>
      <c r="AX6" s="32" t="s">
        <v>196</v>
      </c>
      <c r="AY6" s="32" t="s">
        <v>776</v>
      </c>
      <c r="AZ6" s="51" t="s">
        <v>778</v>
      </c>
      <c r="BA6" s="55" t="s">
        <v>55</v>
      </c>
    </row>
    <row r="7" spans="1:53">
      <c r="A7" s="133" t="s">
        <v>22</v>
      </c>
      <c r="B7" s="28">
        <v>1</v>
      </c>
      <c r="C7" s="53" t="str">
        <f t="shared" ref="C7" si="0">VLOOKUP($B7,一级属性,C$1,)</f>
        <v>骨头</v>
      </c>
      <c r="D7" s="53" t="str">
        <f t="shared" ref="D7" si="1">VLOOKUP($B7,一级属性,D$1,)</f>
        <v>排骨是布莱尔脆弱的仆人，靠近敌人徒手发起攻击，他们成群结队包围敌人才可以发挥威力。</v>
      </c>
      <c r="E7" s="27"/>
      <c r="F7" s="53">
        <f t="shared" ref="F7:L7" si="2">VLOOKUP($B7,一级属性,F$1,)</f>
        <v>1</v>
      </c>
      <c r="G7" s="53">
        <f t="shared" si="2"/>
        <v>2</v>
      </c>
      <c r="H7" s="53">
        <f t="shared" si="2"/>
        <v>0</v>
      </c>
      <c r="I7" s="53">
        <f t="shared" si="2"/>
        <v>100</v>
      </c>
      <c r="J7" s="53">
        <f t="shared" si="2"/>
        <v>0</v>
      </c>
      <c r="K7" s="53">
        <f t="shared" si="2"/>
        <v>1217</v>
      </c>
      <c r="L7" s="53">
        <f t="shared" si="2"/>
        <v>2217</v>
      </c>
      <c r="M7" s="28">
        <v>0</v>
      </c>
      <c r="N7" s="27">
        <v>1</v>
      </c>
      <c r="O7" s="53">
        <f t="shared" ref="O7" si="3">VLOOKUP($B7,一级属性,O$1,)</f>
        <v>1</v>
      </c>
      <c r="P7" s="28">
        <v>0</v>
      </c>
      <c r="Q7" s="27">
        <v>0</v>
      </c>
      <c r="R7" s="27">
        <v>0</v>
      </c>
      <c r="S7" s="112">
        <v>0</v>
      </c>
      <c r="T7" s="29">
        <v>32</v>
      </c>
      <c r="U7" s="29">
        <v>32</v>
      </c>
      <c r="V7" s="112">
        <v>0</v>
      </c>
      <c r="W7" s="53">
        <f t="shared" ref="W7:AJ7" si="4">VLOOKUP($B7,一级属性,W$1,)</f>
        <v>166</v>
      </c>
      <c r="X7" s="53">
        <f t="shared" si="4"/>
        <v>1000</v>
      </c>
      <c r="Y7" s="53">
        <f t="shared" si="4"/>
        <v>63</v>
      </c>
      <c r="Z7" s="112">
        <v>0</v>
      </c>
      <c r="AA7" s="53">
        <f t="shared" si="4"/>
        <v>2</v>
      </c>
      <c r="AB7" s="53">
        <f t="shared" si="4"/>
        <v>15</v>
      </c>
      <c r="AC7" s="53">
        <f t="shared" si="4"/>
        <v>5</v>
      </c>
      <c r="AD7" s="53" t="str">
        <f t="shared" si="4"/>
        <v>近战</v>
      </c>
      <c r="AE7" s="27">
        <v>0</v>
      </c>
      <c r="AF7" s="27">
        <v>0</v>
      </c>
      <c r="AG7" s="53">
        <f t="shared" si="4"/>
        <v>210</v>
      </c>
      <c r="AH7" s="53">
        <f t="shared" si="4"/>
        <v>0</v>
      </c>
      <c r="AI7" s="53">
        <f t="shared" si="4"/>
        <v>450</v>
      </c>
      <c r="AJ7" s="53">
        <f t="shared" si="4"/>
        <v>30</v>
      </c>
      <c r="AK7" s="27">
        <v>3</v>
      </c>
      <c r="AL7" s="27">
        <v>0</v>
      </c>
      <c r="AM7" s="53">
        <f t="shared" ref="AM7" si="5">VLOOKUP($B7,一级属性,AM$1,)</f>
        <v>0</v>
      </c>
      <c r="AN7" s="71">
        <v>0</v>
      </c>
      <c r="AO7" s="71">
        <v>0</v>
      </c>
      <c r="AP7" s="53">
        <f t="shared" ref="AP7" si="6">VLOOKUP($B7,一级属性,AP$1,)</f>
        <v>0</v>
      </c>
      <c r="AQ7" s="71">
        <v>0</v>
      </c>
      <c r="AR7" s="71">
        <v>0</v>
      </c>
      <c r="AS7" s="71">
        <v>0</v>
      </c>
      <c r="AT7" s="71">
        <v>0</v>
      </c>
      <c r="AU7" s="71">
        <v>0</v>
      </c>
      <c r="AV7" s="71">
        <v>0</v>
      </c>
      <c r="AW7" s="71">
        <v>0</v>
      </c>
      <c r="AX7" s="53">
        <f t="shared" ref="AX7" si="7">VLOOKUP($B7,一级属性,AX$1,)</f>
        <v>1000</v>
      </c>
      <c r="AY7" s="71">
        <v>0</v>
      </c>
      <c r="AZ7" s="71">
        <v>0</v>
      </c>
      <c r="BA7" s="27">
        <v>0</v>
      </c>
    </row>
    <row r="8" spans="1:53">
      <c r="A8" s="134"/>
      <c r="B8" s="28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>
        <v>2</v>
      </c>
      <c r="O8" s="27"/>
      <c r="P8" s="28"/>
      <c r="Q8" s="27"/>
      <c r="R8" s="27"/>
      <c r="S8" s="113"/>
      <c r="T8" s="29">
        <v>35</v>
      </c>
      <c r="U8" s="29">
        <v>35</v>
      </c>
      <c r="V8" s="29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</row>
    <row r="9" spans="1:53">
      <c r="A9" s="134"/>
      <c r="B9" s="28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>
        <v>3</v>
      </c>
      <c r="O9" s="27"/>
      <c r="P9" s="28"/>
      <c r="Q9" s="27"/>
      <c r="R9" s="27"/>
      <c r="S9" s="29"/>
      <c r="T9" s="29">
        <v>38</v>
      </c>
      <c r="U9" s="29">
        <v>38</v>
      </c>
      <c r="V9" s="29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</row>
    <row r="10" spans="1:53">
      <c r="A10" s="134"/>
      <c r="B10" s="28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>
        <v>4</v>
      </c>
      <c r="O10" s="27"/>
      <c r="P10" s="28"/>
      <c r="Q10" s="27"/>
      <c r="R10" s="27"/>
      <c r="S10" s="29"/>
      <c r="T10" s="29">
        <v>42</v>
      </c>
      <c r="U10" s="29">
        <v>42</v>
      </c>
      <c r="V10" s="29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</row>
    <row r="11" spans="1:53">
      <c r="A11" s="134"/>
      <c r="B11" s="28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>
        <v>5</v>
      </c>
      <c r="O11" s="27"/>
      <c r="P11" s="28"/>
      <c r="Q11" s="27"/>
      <c r="R11" s="27"/>
      <c r="S11" s="29"/>
      <c r="T11" s="29">
        <v>46</v>
      </c>
      <c r="U11" s="29">
        <v>46</v>
      </c>
      <c r="V11" s="29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</row>
    <row r="12" spans="1:53">
      <c r="A12" s="134"/>
      <c r="B12" s="28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>
        <v>6</v>
      </c>
      <c r="O12" s="27"/>
      <c r="P12" s="28"/>
      <c r="Q12" s="27"/>
      <c r="R12" s="27"/>
      <c r="S12" s="29"/>
      <c r="T12" s="29">
        <v>51</v>
      </c>
      <c r="U12" s="29">
        <v>51</v>
      </c>
      <c r="V12" s="29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</row>
    <row r="13" spans="1:53">
      <c r="A13" s="134"/>
      <c r="B13" s="28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>
        <v>7</v>
      </c>
      <c r="O13" s="27"/>
      <c r="P13" s="28"/>
      <c r="Q13" s="27"/>
      <c r="R13" s="27"/>
      <c r="S13" s="29"/>
      <c r="T13" s="29">
        <v>56</v>
      </c>
      <c r="U13" s="29">
        <v>56</v>
      </c>
      <c r="V13" s="29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</row>
    <row r="14" spans="1:53">
      <c r="A14" s="134"/>
      <c r="B14" s="28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>
        <v>8</v>
      </c>
      <c r="O14" s="27"/>
      <c r="P14" s="28"/>
      <c r="Q14" s="27"/>
      <c r="R14" s="27"/>
      <c r="S14" s="29"/>
      <c r="T14" s="29">
        <v>61</v>
      </c>
      <c r="U14" s="29">
        <v>61</v>
      </c>
      <c r="V14" s="29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</row>
    <row r="15" spans="1:53">
      <c r="A15" s="134"/>
      <c r="B15" s="28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>
        <v>9</v>
      </c>
      <c r="O15" s="27"/>
      <c r="P15" s="28"/>
      <c r="Q15" s="27"/>
      <c r="R15" s="27"/>
      <c r="S15" s="29"/>
      <c r="T15" s="29">
        <v>67</v>
      </c>
      <c r="U15" s="29">
        <v>67</v>
      </c>
      <c r="V15" s="29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</row>
    <row r="16" spans="1:53">
      <c r="A16" s="134"/>
      <c r="B16" s="28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>
        <v>10</v>
      </c>
      <c r="O16" s="27"/>
      <c r="P16" s="28"/>
      <c r="Q16" s="27"/>
      <c r="R16" s="27"/>
      <c r="S16" s="29"/>
      <c r="T16" s="29">
        <v>74</v>
      </c>
      <c r="U16" s="29">
        <v>74</v>
      </c>
      <c r="V16" s="29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</row>
    <row r="17" spans="1:53">
      <c r="A17" s="134"/>
      <c r="B17" s="28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>
        <v>11</v>
      </c>
      <c r="O17" s="27"/>
      <c r="P17" s="28"/>
      <c r="Q17" s="27"/>
      <c r="R17" s="27"/>
      <c r="S17" s="29"/>
      <c r="T17" s="29">
        <v>81</v>
      </c>
      <c r="U17" s="29">
        <v>81</v>
      </c>
      <c r="V17" s="29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</row>
    <row r="18" spans="1:53">
      <c r="A18" s="134"/>
      <c r="B18" s="28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>
        <v>12</v>
      </c>
      <c r="O18" s="27"/>
      <c r="P18" s="28"/>
      <c r="Q18" s="27"/>
      <c r="R18" s="27"/>
      <c r="S18" s="29"/>
      <c r="T18" s="29">
        <v>89</v>
      </c>
      <c r="U18" s="29">
        <v>89</v>
      </c>
      <c r="V18" s="29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</row>
    <row r="19" spans="1:53">
      <c r="A19" s="134"/>
      <c r="B19" s="28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>
        <v>13</v>
      </c>
      <c r="O19" s="27"/>
      <c r="P19" s="28"/>
      <c r="Q19" s="27"/>
      <c r="R19" s="27"/>
      <c r="S19" s="29"/>
      <c r="T19" s="29">
        <v>94</v>
      </c>
      <c r="U19" s="29">
        <v>94</v>
      </c>
      <c r="V19" s="29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</row>
    <row r="20" spans="1:53">
      <c r="A20" s="134"/>
      <c r="B20" s="28">
        <v>2</v>
      </c>
      <c r="C20" s="53" t="str">
        <f t="shared" ref="C20" si="8">VLOOKUP($B20,一级属性,C$1,)</f>
        <v>梅赛德斯</v>
      </c>
      <c r="D20" s="53" t="str">
        <f t="shared" ref="D20" si="9">VLOOKUP($B20,一级属性,D$1,)</f>
        <v>三个远距离攻击战士。每天派发的鸡腿吃不完还可以当做武器，真是一举多得。</v>
      </c>
      <c r="E20" s="27"/>
      <c r="F20" s="53">
        <f t="shared" ref="F20:L20" si="10">VLOOKUP($B20,一级属性,F$1,)</f>
        <v>1</v>
      </c>
      <c r="G20" s="53">
        <f t="shared" si="10"/>
        <v>1</v>
      </c>
      <c r="H20" s="53">
        <f t="shared" si="10"/>
        <v>0</v>
      </c>
      <c r="I20" s="53">
        <f t="shared" si="10"/>
        <v>15</v>
      </c>
      <c r="J20" s="53">
        <f t="shared" si="10"/>
        <v>0</v>
      </c>
      <c r="K20" s="53">
        <f t="shared" si="10"/>
        <v>1215</v>
      </c>
      <c r="L20" s="53">
        <f t="shared" si="10"/>
        <v>2215</v>
      </c>
      <c r="M20" s="28">
        <v>1</v>
      </c>
      <c r="N20" s="27">
        <v>1</v>
      </c>
      <c r="O20" s="53">
        <f t="shared" ref="O20" si="11">VLOOKUP($B20,一级属性,O$1,)</f>
        <v>2</v>
      </c>
      <c r="P20" s="28">
        <v>0</v>
      </c>
      <c r="Q20" s="27">
        <v>2</v>
      </c>
      <c r="R20" s="27">
        <v>1</v>
      </c>
      <c r="S20" s="112">
        <v>0</v>
      </c>
      <c r="T20" s="28">
        <v>52</v>
      </c>
      <c r="U20" s="28">
        <v>24</v>
      </c>
      <c r="V20" s="112">
        <v>0</v>
      </c>
      <c r="W20" s="53">
        <f t="shared" ref="W20:AJ20" si="12">VLOOKUP($B20,一级属性,W$1,)</f>
        <v>200</v>
      </c>
      <c r="X20" s="53">
        <f t="shared" si="12"/>
        <v>1300</v>
      </c>
      <c r="Y20" s="53">
        <f t="shared" si="12"/>
        <v>84</v>
      </c>
      <c r="Z20" s="112">
        <v>0</v>
      </c>
      <c r="AA20" s="53">
        <f t="shared" si="12"/>
        <v>2</v>
      </c>
      <c r="AB20" s="53">
        <f t="shared" si="12"/>
        <v>15</v>
      </c>
      <c r="AC20" s="53">
        <f t="shared" si="12"/>
        <v>150</v>
      </c>
      <c r="AD20" s="53">
        <f t="shared" si="12"/>
        <v>5.5</v>
      </c>
      <c r="AE20" s="27">
        <v>0</v>
      </c>
      <c r="AF20" s="27">
        <v>0</v>
      </c>
      <c r="AG20" s="53">
        <f t="shared" si="12"/>
        <v>210</v>
      </c>
      <c r="AH20" s="53">
        <f t="shared" si="12"/>
        <v>0</v>
      </c>
      <c r="AI20" s="53">
        <f t="shared" si="12"/>
        <v>450</v>
      </c>
      <c r="AJ20" s="53">
        <f t="shared" si="12"/>
        <v>30</v>
      </c>
      <c r="AK20" s="27">
        <v>3</v>
      </c>
      <c r="AL20" s="27">
        <v>0</v>
      </c>
      <c r="AM20" s="53">
        <f t="shared" ref="AM20" si="13">VLOOKUP($B20,一级属性,AM$1,)</f>
        <v>0</v>
      </c>
      <c r="AN20" s="71">
        <v>0</v>
      </c>
      <c r="AO20" s="71">
        <v>0</v>
      </c>
      <c r="AP20" s="53">
        <f t="shared" ref="AP20" si="14">VLOOKUP($B20,一级属性,AP$1,)</f>
        <v>0</v>
      </c>
      <c r="AQ20" s="71">
        <v>0</v>
      </c>
      <c r="AR20" s="71">
        <v>0</v>
      </c>
      <c r="AS20" s="71">
        <v>0</v>
      </c>
      <c r="AT20" s="71">
        <v>0</v>
      </c>
      <c r="AU20" s="71">
        <v>0</v>
      </c>
      <c r="AV20" s="71">
        <v>0</v>
      </c>
      <c r="AW20" s="71">
        <v>0</v>
      </c>
      <c r="AX20" s="53">
        <f t="shared" ref="AX20" si="15">VLOOKUP($B20,一级属性,AX$1,)</f>
        <v>1000</v>
      </c>
      <c r="AY20" s="71">
        <v>0</v>
      </c>
      <c r="AZ20" s="71">
        <v>0</v>
      </c>
      <c r="BA20" s="27">
        <v>0</v>
      </c>
    </row>
    <row r="21" spans="1:53">
      <c r="A21" s="134"/>
      <c r="B21" s="28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>
        <v>2</v>
      </c>
      <c r="O21" s="27"/>
      <c r="P21" s="28"/>
      <c r="Q21" s="27"/>
      <c r="R21" s="27"/>
      <c r="S21" s="112"/>
      <c r="T21" s="28">
        <v>57</v>
      </c>
      <c r="U21" s="28">
        <v>26</v>
      </c>
      <c r="V21" s="28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P21" s="27"/>
      <c r="AS21" s="27"/>
      <c r="AT21" s="27"/>
      <c r="AU21" s="27"/>
      <c r="AV21" s="27"/>
      <c r="AW21" s="27"/>
      <c r="AX21" s="27"/>
      <c r="AY21" s="27"/>
      <c r="AZ21" s="27"/>
      <c r="BA21" s="27"/>
    </row>
    <row r="22" spans="1:53">
      <c r="A22" s="134"/>
      <c r="B22" s="28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>
        <v>3</v>
      </c>
      <c r="O22" s="27"/>
      <c r="P22" s="28"/>
      <c r="Q22" s="27"/>
      <c r="R22" s="27"/>
      <c r="S22" s="112"/>
      <c r="T22" s="28">
        <v>62</v>
      </c>
      <c r="U22" s="28">
        <v>29</v>
      </c>
      <c r="V22" s="28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P22" s="27"/>
      <c r="AS22" s="27"/>
      <c r="AT22" s="27"/>
      <c r="AU22" s="27"/>
      <c r="AV22" s="27"/>
      <c r="AW22" s="27"/>
      <c r="AX22" s="27"/>
      <c r="AY22" s="27"/>
      <c r="AZ22" s="27"/>
      <c r="BA22" s="27"/>
    </row>
    <row r="23" spans="1:53">
      <c r="A23" s="134"/>
      <c r="B23" s="28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>
        <v>4</v>
      </c>
      <c r="O23" s="27"/>
      <c r="P23" s="28"/>
      <c r="Q23" s="27"/>
      <c r="R23" s="27"/>
      <c r="S23" s="112"/>
      <c r="T23" s="28">
        <v>69</v>
      </c>
      <c r="U23" s="28">
        <v>31</v>
      </c>
      <c r="V23" s="28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P23" s="27"/>
      <c r="AS23" s="27"/>
      <c r="AT23" s="27"/>
      <c r="AU23" s="27"/>
      <c r="AV23" s="27"/>
      <c r="AW23" s="27"/>
      <c r="AX23" s="27"/>
      <c r="AY23" s="27"/>
      <c r="AZ23" s="27"/>
      <c r="BA23" s="27"/>
    </row>
    <row r="24" spans="1:53">
      <c r="A24" s="134"/>
      <c r="B24" s="28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>
        <v>5</v>
      </c>
      <c r="O24" s="27"/>
      <c r="P24" s="28"/>
      <c r="Q24" s="27"/>
      <c r="R24" s="27"/>
      <c r="S24" s="112"/>
      <c r="T24" s="28">
        <v>75</v>
      </c>
      <c r="U24" s="28">
        <v>35</v>
      </c>
      <c r="V24" s="28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P24" s="27"/>
      <c r="AS24" s="27"/>
      <c r="AT24" s="27"/>
      <c r="AU24" s="27"/>
      <c r="AV24" s="27"/>
      <c r="AW24" s="27"/>
      <c r="AX24" s="27"/>
      <c r="AY24" s="27"/>
      <c r="AZ24" s="27"/>
      <c r="BA24" s="27"/>
    </row>
    <row r="25" spans="1:53">
      <c r="A25" s="134"/>
      <c r="B25" s="28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>
        <v>6</v>
      </c>
      <c r="O25" s="27"/>
      <c r="P25" s="28"/>
      <c r="Q25" s="27"/>
      <c r="R25" s="27"/>
      <c r="S25" s="112"/>
      <c r="T25" s="28">
        <v>83</v>
      </c>
      <c r="U25" s="28">
        <v>38</v>
      </c>
      <c r="V25" s="28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P25" s="27"/>
      <c r="AS25" s="27"/>
      <c r="AT25" s="27"/>
      <c r="AU25" s="27"/>
      <c r="AV25" s="27"/>
      <c r="AW25" s="27"/>
      <c r="AX25" s="27"/>
      <c r="AY25" s="27"/>
      <c r="AZ25" s="27"/>
      <c r="BA25" s="27"/>
    </row>
    <row r="26" spans="1:53">
      <c r="A26" s="134"/>
      <c r="B26" s="28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>
        <v>7</v>
      </c>
      <c r="O26" s="27"/>
      <c r="P26" s="28"/>
      <c r="Q26" s="27"/>
      <c r="R26" s="27"/>
      <c r="S26" s="112"/>
      <c r="T26" s="28">
        <v>91</v>
      </c>
      <c r="U26" s="28">
        <v>42</v>
      </c>
      <c r="V26" s="28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P26" s="27"/>
      <c r="AS26" s="27"/>
      <c r="AT26" s="27"/>
      <c r="AU26" s="27"/>
      <c r="AV26" s="27"/>
      <c r="AW26" s="27"/>
      <c r="AX26" s="27"/>
      <c r="AY26" s="27"/>
      <c r="AZ26" s="27"/>
      <c r="BA26" s="27"/>
    </row>
    <row r="27" spans="1:53">
      <c r="A27" s="134"/>
      <c r="B27" s="28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>
        <v>8</v>
      </c>
      <c r="O27" s="27"/>
      <c r="P27" s="28"/>
      <c r="Q27" s="27"/>
      <c r="R27" s="27"/>
      <c r="S27" s="112"/>
      <c r="T27" s="28">
        <v>100</v>
      </c>
      <c r="U27" s="28">
        <v>46</v>
      </c>
      <c r="V27" s="28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P27" s="27"/>
      <c r="AS27" s="27"/>
      <c r="AT27" s="27"/>
      <c r="AU27" s="27"/>
      <c r="AV27" s="27"/>
      <c r="AW27" s="27"/>
      <c r="AX27" s="27"/>
      <c r="AY27" s="27"/>
      <c r="AZ27" s="27"/>
      <c r="BA27" s="27"/>
    </row>
    <row r="28" spans="1:53">
      <c r="A28" s="134"/>
      <c r="B28" s="28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>
        <v>9</v>
      </c>
      <c r="O28" s="27"/>
      <c r="P28" s="28"/>
      <c r="Q28" s="27"/>
      <c r="R28" s="27"/>
      <c r="S28" s="112"/>
      <c r="T28" s="28">
        <v>110</v>
      </c>
      <c r="U28" s="28">
        <v>50</v>
      </c>
      <c r="V28" s="28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P28" s="27"/>
      <c r="AS28" s="27"/>
      <c r="AT28" s="27"/>
      <c r="AU28" s="27"/>
      <c r="AV28" s="27"/>
      <c r="AW28" s="27"/>
      <c r="AX28" s="27"/>
      <c r="AY28" s="27"/>
      <c r="AZ28" s="27"/>
      <c r="BA28" s="27"/>
    </row>
    <row r="29" spans="1:53">
      <c r="A29" s="134"/>
      <c r="B29" s="28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>
        <v>10</v>
      </c>
      <c r="O29" s="27"/>
      <c r="P29" s="28"/>
      <c r="Q29" s="27"/>
      <c r="R29" s="27"/>
      <c r="S29" s="112"/>
      <c r="T29" s="28">
        <v>121</v>
      </c>
      <c r="U29" s="28">
        <v>55</v>
      </c>
      <c r="V29" s="28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P29" s="27"/>
      <c r="AS29" s="27"/>
      <c r="AT29" s="27"/>
      <c r="AU29" s="27"/>
      <c r="AV29" s="27"/>
      <c r="AW29" s="27"/>
      <c r="AX29" s="27"/>
      <c r="AY29" s="27"/>
      <c r="AZ29" s="27"/>
      <c r="BA29" s="27"/>
    </row>
    <row r="30" spans="1:53">
      <c r="A30" s="134"/>
      <c r="B30" s="28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>
        <v>11</v>
      </c>
      <c r="O30" s="27"/>
      <c r="P30" s="28"/>
      <c r="Q30" s="27"/>
      <c r="R30" s="27"/>
      <c r="S30" s="112"/>
      <c r="T30" s="28">
        <v>133</v>
      </c>
      <c r="U30" s="28">
        <v>61</v>
      </c>
      <c r="V30" s="28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P30" s="27"/>
      <c r="AS30" s="27"/>
      <c r="AT30" s="27"/>
      <c r="AU30" s="27"/>
      <c r="AV30" s="27"/>
      <c r="AW30" s="27"/>
      <c r="AX30" s="27"/>
      <c r="AY30" s="27"/>
      <c r="AZ30" s="27"/>
      <c r="BA30" s="27"/>
    </row>
    <row r="31" spans="1:53">
      <c r="A31" s="134"/>
      <c r="B31" s="28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>
        <v>12</v>
      </c>
      <c r="O31" s="27"/>
      <c r="P31" s="28"/>
      <c r="Q31" s="27"/>
      <c r="R31" s="27"/>
      <c r="S31" s="112"/>
      <c r="T31" s="28">
        <v>146</v>
      </c>
      <c r="U31" s="28">
        <v>67</v>
      </c>
      <c r="V31" s="28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P31" s="27"/>
      <c r="AS31" s="27"/>
      <c r="AT31" s="27"/>
      <c r="AU31" s="27"/>
      <c r="AV31" s="27"/>
      <c r="AW31" s="27"/>
      <c r="AX31" s="27"/>
      <c r="AY31" s="27"/>
      <c r="AZ31" s="27"/>
      <c r="BA31" s="27"/>
    </row>
    <row r="32" spans="1:53">
      <c r="A32" s="134"/>
      <c r="B32" s="28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>
        <v>13</v>
      </c>
      <c r="O32" s="27"/>
      <c r="P32" s="28"/>
      <c r="Q32" s="27"/>
      <c r="R32" s="27"/>
      <c r="S32" s="112"/>
      <c r="T32" s="28">
        <v>160</v>
      </c>
      <c r="U32" s="28">
        <v>74</v>
      </c>
      <c r="V32" s="28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P32" s="27"/>
      <c r="AS32" s="27"/>
      <c r="AT32" s="27"/>
      <c r="AU32" s="27"/>
      <c r="AV32" s="27"/>
      <c r="AW32" s="27"/>
      <c r="AX32" s="27"/>
      <c r="AY32" s="27"/>
      <c r="AZ32" s="27"/>
      <c r="BA32" s="27"/>
    </row>
    <row r="33" spans="1:53">
      <c r="A33" s="134"/>
      <c r="B33" s="28">
        <v>3</v>
      </c>
      <c r="C33" s="53" t="str">
        <f t="shared" ref="C33" si="16">VLOOKUP($B33,一级属性,C$1,)</f>
        <v>哈根达斯</v>
      </c>
      <c r="D33" s="53" t="str">
        <f t="shared" ref="D33" si="17">VLOOKUP($B33,一级属性,D$1,)</f>
        <v>三个勇猛的近身肉搏战士。是谁教会他们把鸡腿当做武器，有没有想过炸鸡小哥的心理阴影？！</v>
      </c>
      <c r="E33" s="27"/>
      <c r="F33" s="53">
        <f t="shared" ref="F33:L33" si="18">VLOOKUP($B33,一级属性,F$1,)</f>
        <v>1</v>
      </c>
      <c r="G33" s="53">
        <f t="shared" si="18"/>
        <v>1</v>
      </c>
      <c r="H33" s="53">
        <f t="shared" si="18"/>
        <v>0</v>
      </c>
      <c r="I33" s="53">
        <f t="shared" si="18"/>
        <v>5</v>
      </c>
      <c r="J33" s="53">
        <f t="shared" si="18"/>
        <v>0</v>
      </c>
      <c r="K33" s="53">
        <f t="shared" si="18"/>
        <v>1216</v>
      </c>
      <c r="L33" s="53">
        <f t="shared" si="18"/>
        <v>2216</v>
      </c>
      <c r="M33" s="28">
        <v>0</v>
      </c>
      <c r="N33" s="27">
        <v>1</v>
      </c>
      <c r="O33" s="53">
        <f t="shared" ref="O33" si="19">VLOOKUP($B33,一级属性,O$1,)</f>
        <v>2</v>
      </c>
      <c r="P33" s="28">
        <v>0</v>
      </c>
      <c r="Q33" s="27">
        <v>0</v>
      </c>
      <c r="R33" s="27">
        <v>0</v>
      </c>
      <c r="S33" s="112">
        <v>0</v>
      </c>
      <c r="T33" s="3">
        <v>80</v>
      </c>
      <c r="U33" s="3">
        <v>50</v>
      </c>
      <c r="V33" s="112">
        <v>0</v>
      </c>
      <c r="W33" s="53">
        <f t="shared" ref="W33:AJ33" si="20">VLOOKUP($B33,一级属性,W$1,)</f>
        <v>200</v>
      </c>
      <c r="X33" s="53">
        <f t="shared" si="20"/>
        <v>1100</v>
      </c>
      <c r="Y33" s="53">
        <f t="shared" si="20"/>
        <v>84</v>
      </c>
      <c r="Z33" s="112">
        <v>0</v>
      </c>
      <c r="AA33" s="53">
        <f t="shared" si="20"/>
        <v>2</v>
      </c>
      <c r="AB33" s="53">
        <f t="shared" si="20"/>
        <v>15</v>
      </c>
      <c r="AC33" s="53">
        <f t="shared" si="20"/>
        <v>9</v>
      </c>
      <c r="AD33" s="53" t="str">
        <f t="shared" si="20"/>
        <v>近战</v>
      </c>
      <c r="AE33" s="27">
        <v>0</v>
      </c>
      <c r="AF33" s="27">
        <v>0</v>
      </c>
      <c r="AG33" s="53">
        <f t="shared" si="20"/>
        <v>210</v>
      </c>
      <c r="AH33" s="53">
        <f t="shared" si="20"/>
        <v>0</v>
      </c>
      <c r="AI33" s="53">
        <f t="shared" si="20"/>
        <v>450</v>
      </c>
      <c r="AJ33" s="53">
        <f t="shared" si="20"/>
        <v>30</v>
      </c>
      <c r="AK33" s="27">
        <v>3</v>
      </c>
      <c r="AL33" s="27">
        <v>0</v>
      </c>
      <c r="AM33" s="53">
        <f t="shared" ref="AM33" si="21">VLOOKUP($B33,一级属性,AM$1,)</f>
        <v>0</v>
      </c>
      <c r="AN33" s="71">
        <v>0</v>
      </c>
      <c r="AO33" s="71">
        <v>0</v>
      </c>
      <c r="AP33" s="53">
        <f t="shared" ref="AP33" si="22">VLOOKUP($B33,一级属性,AP$1,)</f>
        <v>0</v>
      </c>
      <c r="AQ33" s="71">
        <v>0</v>
      </c>
      <c r="AR33" s="71">
        <v>0</v>
      </c>
      <c r="AS33" s="71">
        <v>0</v>
      </c>
      <c r="AT33" s="71">
        <v>0</v>
      </c>
      <c r="AU33" s="71">
        <v>0</v>
      </c>
      <c r="AV33" s="71">
        <v>0</v>
      </c>
      <c r="AW33" s="71">
        <v>0</v>
      </c>
      <c r="AX33" s="53">
        <f t="shared" ref="AX33" si="23">VLOOKUP($B33,一级属性,AX$1,)</f>
        <v>1000</v>
      </c>
      <c r="AY33" s="71">
        <v>0</v>
      </c>
      <c r="AZ33" s="71">
        <v>0</v>
      </c>
      <c r="BA33" s="27">
        <v>0</v>
      </c>
    </row>
    <row r="34" spans="1:53">
      <c r="A34" s="134"/>
      <c r="B34" s="28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>
        <v>2</v>
      </c>
      <c r="O34" s="27"/>
      <c r="P34" s="28"/>
      <c r="Q34" s="27"/>
      <c r="R34" s="27"/>
      <c r="S34" s="79"/>
      <c r="T34" s="3">
        <v>88</v>
      </c>
      <c r="U34" s="3">
        <v>55</v>
      </c>
      <c r="V34" s="3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P34" s="27"/>
      <c r="AS34" s="27"/>
      <c r="AT34" s="27"/>
      <c r="AU34" s="27"/>
      <c r="AV34" s="27"/>
      <c r="AW34" s="27"/>
      <c r="AX34" s="27"/>
      <c r="AY34" s="27"/>
      <c r="AZ34" s="27"/>
      <c r="BA34" s="27"/>
    </row>
    <row r="35" spans="1:53">
      <c r="A35" s="134"/>
      <c r="B35" s="28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>
        <v>3</v>
      </c>
      <c r="O35" s="27"/>
      <c r="P35" s="28"/>
      <c r="Q35" s="27"/>
      <c r="R35" s="27"/>
      <c r="S35" s="79"/>
      <c r="T35" s="3">
        <v>96</v>
      </c>
      <c r="U35" s="3">
        <v>60</v>
      </c>
      <c r="V35" s="3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P35" s="27"/>
      <c r="AS35" s="27"/>
      <c r="AT35" s="27"/>
      <c r="AU35" s="27"/>
      <c r="AV35" s="27"/>
      <c r="AW35" s="27"/>
      <c r="AX35" s="27"/>
      <c r="AY35" s="27"/>
      <c r="AZ35" s="27"/>
      <c r="BA35" s="27"/>
    </row>
    <row r="36" spans="1:53">
      <c r="A36" s="134"/>
      <c r="B36" s="28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>
        <v>4</v>
      </c>
      <c r="O36" s="27"/>
      <c r="P36" s="28"/>
      <c r="Q36" s="27"/>
      <c r="R36" s="27"/>
      <c r="S36" s="79"/>
      <c r="T36" s="3">
        <v>106</v>
      </c>
      <c r="U36" s="3">
        <v>66</v>
      </c>
      <c r="V36" s="3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P36" s="27"/>
      <c r="AS36" s="27"/>
      <c r="AT36" s="27"/>
      <c r="AU36" s="27"/>
      <c r="AV36" s="27"/>
      <c r="AW36" s="27"/>
      <c r="AX36" s="27"/>
      <c r="AY36" s="27"/>
      <c r="AZ36" s="27"/>
      <c r="BA36" s="27"/>
    </row>
    <row r="37" spans="1:53">
      <c r="A37" s="134"/>
      <c r="B37" s="28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>
        <v>5</v>
      </c>
      <c r="O37" s="27"/>
      <c r="P37" s="28"/>
      <c r="Q37" s="27"/>
      <c r="R37" s="27"/>
      <c r="S37" s="79"/>
      <c r="T37" s="3">
        <v>116</v>
      </c>
      <c r="U37" s="3">
        <v>73</v>
      </c>
      <c r="V37" s="3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P37" s="27"/>
      <c r="AS37" s="27"/>
      <c r="AT37" s="27"/>
      <c r="AU37" s="27"/>
      <c r="AV37" s="27"/>
      <c r="AW37" s="27"/>
      <c r="AX37" s="27"/>
      <c r="AY37" s="27"/>
      <c r="AZ37" s="27"/>
      <c r="BA37" s="27"/>
    </row>
    <row r="38" spans="1:53">
      <c r="A38" s="134"/>
      <c r="B38" s="28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>
        <v>6</v>
      </c>
      <c r="O38" s="27"/>
      <c r="P38" s="28"/>
      <c r="Q38" s="27"/>
      <c r="R38" s="27"/>
      <c r="S38" s="79"/>
      <c r="T38" s="3">
        <v>128</v>
      </c>
      <c r="U38" s="3">
        <v>80</v>
      </c>
      <c r="V38" s="3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P38" s="27"/>
      <c r="AS38" s="27"/>
      <c r="AT38" s="27"/>
      <c r="AU38" s="27"/>
      <c r="AV38" s="27"/>
      <c r="AW38" s="27"/>
      <c r="AX38" s="27"/>
      <c r="AY38" s="27"/>
      <c r="AZ38" s="27"/>
      <c r="BA38" s="27"/>
    </row>
    <row r="39" spans="1:53">
      <c r="A39" s="134"/>
      <c r="B39" s="28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>
        <v>7</v>
      </c>
      <c r="O39" s="27"/>
      <c r="P39" s="28"/>
      <c r="Q39" s="27"/>
      <c r="R39" s="27"/>
      <c r="S39" s="79"/>
      <c r="T39" s="3">
        <v>140</v>
      </c>
      <c r="U39" s="3">
        <v>88</v>
      </c>
      <c r="V39" s="3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P39" s="27"/>
      <c r="AS39" s="27"/>
      <c r="AT39" s="27"/>
      <c r="AU39" s="27"/>
      <c r="AV39" s="27"/>
      <c r="AW39" s="27"/>
      <c r="AX39" s="27"/>
      <c r="AY39" s="27"/>
      <c r="AZ39" s="27"/>
      <c r="BA39" s="27"/>
    </row>
    <row r="40" spans="1:53">
      <c r="A40" s="134"/>
      <c r="B40" s="28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>
        <v>8</v>
      </c>
      <c r="O40" s="27"/>
      <c r="P40" s="28"/>
      <c r="Q40" s="27"/>
      <c r="R40" s="27"/>
      <c r="S40" s="79"/>
      <c r="T40" s="3">
        <v>154</v>
      </c>
      <c r="U40" s="3">
        <v>96</v>
      </c>
      <c r="V40" s="3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P40" s="27"/>
      <c r="AS40" s="27"/>
      <c r="AT40" s="27"/>
      <c r="AU40" s="27"/>
      <c r="AV40" s="27"/>
      <c r="AW40" s="27"/>
      <c r="AX40" s="27"/>
      <c r="AY40" s="27"/>
      <c r="AZ40" s="27"/>
      <c r="BA40" s="27"/>
    </row>
    <row r="41" spans="1:53">
      <c r="A41" s="134"/>
      <c r="B41" s="28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>
        <v>9</v>
      </c>
      <c r="O41" s="27"/>
      <c r="P41" s="28"/>
      <c r="Q41" s="27"/>
      <c r="R41" s="27"/>
      <c r="S41" s="79"/>
      <c r="T41" s="3">
        <v>169</v>
      </c>
      <c r="U41" s="3">
        <v>106</v>
      </c>
      <c r="V41" s="3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P41" s="27"/>
      <c r="AS41" s="27"/>
      <c r="AT41" s="27"/>
      <c r="AU41" s="27"/>
      <c r="AV41" s="27"/>
      <c r="AW41" s="27"/>
      <c r="AX41" s="27"/>
      <c r="AY41" s="27"/>
      <c r="AZ41" s="27"/>
      <c r="BA41" s="27"/>
    </row>
    <row r="42" spans="1:53">
      <c r="A42" s="134"/>
      <c r="B42" s="28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>
        <v>10</v>
      </c>
      <c r="O42" s="27"/>
      <c r="P42" s="28"/>
      <c r="Q42" s="27"/>
      <c r="R42" s="27"/>
      <c r="S42" s="79"/>
      <c r="T42" s="3">
        <v>186</v>
      </c>
      <c r="U42" s="3">
        <v>116</v>
      </c>
      <c r="V42" s="3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P42" s="27"/>
      <c r="AS42" s="27"/>
      <c r="AT42" s="27"/>
      <c r="AU42" s="27"/>
      <c r="AV42" s="27"/>
      <c r="AW42" s="27"/>
      <c r="AX42" s="27"/>
      <c r="AY42" s="27"/>
      <c r="AZ42" s="27"/>
      <c r="BA42" s="27"/>
    </row>
    <row r="43" spans="1:53">
      <c r="A43" s="134"/>
      <c r="B43" s="28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>
        <v>11</v>
      </c>
      <c r="O43" s="27"/>
      <c r="P43" s="28"/>
      <c r="Q43" s="27"/>
      <c r="S43" s="79"/>
      <c r="T43" s="3">
        <v>204</v>
      </c>
      <c r="U43" s="3">
        <v>128</v>
      </c>
      <c r="V43" s="3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P43" s="27"/>
      <c r="AS43" s="27"/>
      <c r="AT43" s="27"/>
      <c r="AU43" s="27"/>
      <c r="AV43" s="27"/>
      <c r="AW43" s="27"/>
      <c r="AX43" s="27"/>
      <c r="AY43" s="27"/>
      <c r="AZ43" s="27"/>
      <c r="BA43" s="27"/>
    </row>
    <row r="44" spans="1:53">
      <c r="A44" s="134"/>
      <c r="B44" s="28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>
        <v>12</v>
      </c>
      <c r="O44" s="27"/>
      <c r="P44" s="28"/>
      <c r="Q44" s="27"/>
      <c r="S44" s="79"/>
      <c r="T44" s="3">
        <v>224</v>
      </c>
      <c r="U44" s="3">
        <v>140</v>
      </c>
      <c r="V44" s="3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P44" s="27"/>
      <c r="AS44" s="27"/>
      <c r="AT44" s="27"/>
      <c r="AU44" s="27"/>
      <c r="AV44" s="27"/>
      <c r="AW44" s="27"/>
      <c r="AX44" s="27"/>
      <c r="AY44" s="27"/>
      <c r="AZ44" s="27"/>
      <c r="BA44" s="27"/>
    </row>
    <row r="45" spans="1:53">
      <c r="A45" s="134"/>
      <c r="B45" s="28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>
        <v>13</v>
      </c>
      <c r="O45" s="27"/>
      <c r="P45" s="28"/>
      <c r="Q45" s="27"/>
      <c r="S45" s="79"/>
      <c r="T45" s="3">
        <v>247</v>
      </c>
      <c r="U45" s="3">
        <v>154</v>
      </c>
      <c r="V45" s="3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P45" s="27"/>
      <c r="AS45" s="27"/>
      <c r="AT45" s="27"/>
      <c r="AU45" s="27"/>
      <c r="AV45" s="27"/>
      <c r="AW45" s="27"/>
      <c r="AX45" s="27"/>
      <c r="AY45" s="27"/>
      <c r="AZ45" s="27"/>
      <c r="BA45" s="27"/>
    </row>
    <row r="46" spans="1:53">
      <c r="A46" s="134"/>
      <c r="B46" s="28">
        <v>4</v>
      </c>
      <c r="C46" s="53" t="str">
        <f t="shared" ref="C46" si="24">VLOOKUP($B46,一级属性,C$1,)</f>
        <v>花椰射手</v>
      </c>
      <c r="D46" s="53" t="str">
        <f t="shared" ref="D46" si="25">VLOOKUP($B46,一级属性,D$1,)</f>
        <v>还没有从射箭俱乐部毕业的一对双胞胎弓箭手。虽然是血统纯正的森之妖精，但是奔放的发型总是让别人误会他们来自非洲大陆。</v>
      </c>
      <c r="E46" s="27"/>
      <c r="F46" s="53">
        <f t="shared" ref="F46:L46" si="26">VLOOKUP($B46,一级属性,F$1,)</f>
        <v>1</v>
      </c>
      <c r="G46" s="53">
        <f t="shared" si="26"/>
        <v>0</v>
      </c>
      <c r="H46" s="53">
        <f t="shared" si="26"/>
        <v>0</v>
      </c>
      <c r="I46" s="53">
        <f t="shared" si="26"/>
        <v>10</v>
      </c>
      <c r="J46" s="53">
        <f t="shared" si="26"/>
        <v>0</v>
      </c>
      <c r="K46" s="53">
        <f t="shared" si="26"/>
        <v>1213</v>
      </c>
      <c r="L46" s="53">
        <f t="shared" si="26"/>
        <v>2213</v>
      </c>
      <c r="M46" s="28">
        <v>1</v>
      </c>
      <c r="N46" s="27">
        <v>1</v>
      </c>
      <c r="O46" s="53">
        <f t="shared" ref="O46" si="27">VLOOKUP($B46,一级属性,O$1,)</f>
        <v>3</v>
      </c>
      <c r="P46" s="28">
        <v>0</v>
      </c>
      <c r="Q46" s="27">
        <v>2</v>
      </c>
      <c r="R46" s="27">
        <v>1</v>
      </c>
      <c r="S46" s="112">
        <v>0</v>
      </c>
      <c r="T46" s="3">
        <v>125</v>
      </c>
      <c r="U46" s="3">
        <v>40</v>
      </c>
      <c r="V46" s="112">
        <v>0</v>
      </c>
      <c r="W46" s="53">
        <f t="shared" ref="W46:AJ46" si="28">VLOOKUP($B46,一级属性,W$1,)</f>
        <v>200</v>
      </c>
      <c r="X46" s="53">
        <f t="shared" si="28"/>
        <v>1200</v>
      </c>
      <c r="Y46" s="53">
        <f t="shared" si="28"/>
        <v>42</v>
      </c>
      <c r="Z46" s="112">
        <v>0</v>
      </c>
      <c r="AA46" s="53">
        <f t="shared" si="28"/>
        <v>2</v>
      </c>
      <c r="AB46" s="53">
        <f t="shared" si="28"/>
        <v>20</v>
      </c>
      <c r="AC46" s="53">
        <f t="shared" si="28"/>
        <v>150</v>
      </c>
      <c r="AD46" s="53">
        <f t="shared" si="28"/>
        <v>5.5</v>
      </c>
      <c r="AE46" s="27">
        <v>0</v>
      </c>
      <c r="AF46" s="27">
        <v>0</v>
      </c>
      <c r="AG46" s="53">
        <f t="shared" si="28"/>
        <v>210</v>
      </c>
      <c r="AH46" s="53">
        <f t="shared" si="28"/>
        <v>0</v>
      </c>
      <c r="AI46" s="53">
        <f t="shared" si="28"/>
        <v>450</v>
      </c>
      <c r="AJ46" s="53">
        <f t="shared" si="28"/>
        <v>30</v>
      </c>
      <c r="AK46" s="27">
        <v>2</v>
      </c>
      <c r="AL46" s="27">
        <v>0</v>
      </c>
      <c r="AM46" s="53">
        <f t="shared" ref="AM46" si="29">VLOOKUP($B46,一级属性,AM$1,)</f>
        <v>0</v>
      </c>
      <c r="AN46" s="71">
        <v>0</v>
      </c>
      <c r="AO46" s="71">
        <v>0</v>
      </c>
      <c r="AP46" s="53">
        <f t="shared" ref="AP46" si="30">VLOOKUP($B46,一级属性,AP$1,)</f>
        <v>0</v>
      </c>
      <c r="AQ46" s="71">
        <v>0</v>
      </c>
      <c r="AR46" s="71">
        <v>0</v>
      </c>
      <c r="AS46" s="71">
        <v>0</v>
      </c>
      <c r="AT46" s="71">
        <v>0</v>
      </c>
      <c r="AU46" s="71">
        <v>0</v>
      </c>
      <c r="AV46" s="71">
        <v>0</v>
      </c>
      <c r="AW46" s="71">
        <v>0</v>
      </c>
      <c r="AX46" s="53">
        <f t="shared" ref="AX46" si="31">VLOOKUP($B46,一级属性,AX$1,)</f>
        <v>1000</v>
      </c>
      <c r="AY46" s="71">
        <v>0</v>
      </c>
      <c r="AZ46" s="71">
        <v>0</v>
      </c>
      <c r="BA46" s="27">
        <v>0</v>
      </c>
    </row>
    <row r="47" spans="1:53">
      <c r="A47" s="134"/>
      <c r="B47" s="28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>
        <v>2</v>
      </c>
      <c r="O47" s="27"/>
      <c r="P47" s="28"/>
      <c r="Q47" s="27"/>
      <c r="R47" s="27"/>
      <c r="S47" s="79"/>
      <c r="T47" s="3">
        <v>137</v>
      </c>
      <c r="U47" s="3">
        <v>44</v>
      </c>
      <c r="V47" s="3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P47" s="27"/>
      <c r="AT47" s="27"/>
      <c r="AU47" s="27"/>
      <c r="AV47" s="27"/>
      <c r="AW47" s="27"/>
      <c r="AX47" s="27"/>
      <c r="AY47" s="27"/>
      <c r="AZ47" s="27"/>
      <c r="BA47" s="27"/>
    </row>
    <row r="48" spans="1:53">
      <c r="A48" s="134"/>
      <c r="B48" s="28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>
        <v>3</v>
      </c>
      <c r="O48" s="27"/>
      <c r="P48" s="28"/>
      <c r="Q48" s="27"/>
      <c r="R48" s="27"/>
      <c r="S48" s="79"/>
      <c r="T48" s="3">
        <v>151</v>
      </c>
      <c r="U48" s="3">
        <v>48</v>
      </c>
      <c r="V48" s="3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P48" s="27"/>
      <c r="AT48" s="27"/>
      <c r="AU48" s="27"/>
      <c r="AV48" s="27"/>
      <c r="AW48" s="27"/>
      <c r="AX48" s="27"/>
      <c r="AY48" s="27"/>
      <c r="AZ48" s="27"/>
      <c r="BA48" s="27"/>
    </row>
    <row r="49" spans="1:53">
      <c r="A49" s="134"/>
      <c r="B49" s="28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>
        <v>4</v>
      </c>
      <c r="O49" s="27"/>
      <c r="P49" s="28"/>
      <c r="Q49" s="27"/>
      <c r="R49" s="27"/>
      <c r="S49" s="79"/>
      <c r="T49" s="3">
        <v>166</v>
      </c>
      <c r="U49" s="3">
        <v>53</v>
      </c>
      <c r="V49" s="3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P49" s="27"/>
      <c r="AT49" s="27"/>
      <c r="AU49" s="27"/>
      <c r="AV49" s="27"/>
      <c r="AW49" s="27"/>
      <c r="AX49" s="27"/>
      <c r="AY49" s="27"/>
      <c r="AZ49" s="27"/>
      <c r="BA49" s="27"/>
    </row>
    <row r="50" spans="1:53">
      <c r="A50" s="134"/>
      <c r="B50" s="28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>
        <v>5</v>
      </c>
      <c r="O50" s="27"/>
      <c r="P50" s="28"/>
      <c r="Q50" s="27"/>
      <c r="R50" s="27"/>
      <c r="S50" s="79"/>
      <c r="T50" s="3">
        <v>182</v>
      </c>
      <c r="U50" s="3">
        <v>58</v>
      </c>
      <c r="V50" s="3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P50" s="27"/>
      <c r="AT50" s="27"/>
      <c r="AU50" s="27"/>
      <c r="AV50" s="27"/>
      <c r="AW50" s="27"/>
      <c r="AX50" s="27"/>
      <c r="AY50" s="27"/>
      <c r="AZ50" s="27"/>
      <c r="BA50" s="27"/>
    </row>
    <row r="51" spans="1:53">
      <c r="A51" s="134"/>
      <c r="B51" s="28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>
        <v>6</v>
      </c>
      <c r="O51" s="27"/>
      <c r="P51" s="28"/>
      <c r="Q51" s="27"/>
      <c r="R51" s="27"/>
      <c r="S51" s="79"/>
      <c r="T51" s="3">
        <v>200</v>
      </c>
      <c r="U51" s="3">
        <v>64</v>
      </c>
      <c r="V51" s="3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P51" s="27"/>
      <c r="AT51" s="27"/>
      <c r="AU51" s="27"/>
      <c r="AV51" s="27"/>
      <c r="AW51" s="27"/>
      <c r="AX51" s="27"/>
      <c r="AY51" s="27"/>
      <c r="AZ51" s="27"/>
      <c r="BA51" s="27"/>
    </row>
    <row r="52" spans="1:53">
      <c r="A52" s="134"/>
      <c r="B52" s="28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>
        <v>7</v>
      </c>
      <c r="O52" s="27"/>
      <c r="P52" s="28"/>
      <c r="Q52" s="27"/>
      <c r="R52" s="27"/>
      <c r="S52" s="79"/>
      <c r="T52" s="3">
        <v>220</v>
      </c>
      <c r="U52" s="3">
        <v>70</v>
      </c>
      <c r="V52" s="3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P52" s="27"/>
      <c r="AT52" s="27"/>
      <c r="AU52" s="27"/>
      <c r="AV52" s="27"/>
      <c r="AW52" s="27"/>
      <c r="AX52" s="27"/>
      <c r="AY52" s="27"/>
      <c r="AZ52" s="27"/>
      <c r="BA52" s="27"/>
    </row>
    <row r="53" spans="1:53">
      <c r="A53" s="134"/>
      <c r="B53" s="28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>
        <v>8</v>
      </c>
      <c r="O53" s="27"/>
      <c r="P53" s="28"/>
      <c r="Q53" s="27"/>
      <c r="R53" s="27"/>
      <c r="S53" s="79"/>
      <c r="T53" s="3">
        <v>241</v>
      </c>
      <c r="U53" s="3">
        <v>77</v>
      </c>
      <c r="V53" s="3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P53" s="27"/>
      <c r="AT53" s="27"/>
      <c r="AU53" s="27"/>
      <c r="AV53" s="27"/>
      <c r="AW53" s="27"/>
      <c r="AX53" s="27"/>
      <c r="AY53" s="27"/>
      <c r="AZ53" s="27"/>
      <c r="BA53" s="27"/>
    </row>
    <row r="54" spans="1:53">
      <c r="A54" s="134"/>
      <c r="B54" s="28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>
        <v>9</v>
      </c>
      <c r="O54" s="27"/>
      <c r="P54" s="28"/>
      <c r="Q54" s="27"/>
      <c r="R54" s="27"/>
      <c r="S54" s="79"/>
      <c r="T54" s="3">
        <v>265</v>
      </c>
      <c r="U54" s="3">
        <v>84</v>
      </c>
      <c r="V54" s="3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P54" s="27"/>
      <c r="AT54" s="27"/>
      <c r="AU54" s="27"/>
      <c r="AV54" s="27"/>
      <c r="AW54" s="27"/>
      <c r="AX54" s="27"/>
      <c r="AY54" s="27"/>
      <c r="AZ54" s="27"/>
      <c r="BA54" s="27"/>
    </row>
    <row r="55" spans="1:53">
      <c r="A55" s="134"/>
      <c r="B55" s="28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>
        <v>10</v>
      </c>
      <c r="O55" s="27"/>
      <c r="P55" s="28"/>
      <c r="Q55" s="27"/>
      <c r="R55" s="27"/>
      <c r="S55" s="79"/>
      <c r="T55" s="3">
        <v>291</v>
      </c>
      <c r="U55" s="3">
        <v>93</v>
      </c>
      <c r="V55" s="3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P55" s="27"/>
      <c r="AT55" s="27"/>
      <c r="AU55" s="27"/>
      <c r="AV55" s="27"/>
      <c r="AW55" s="27"/>
      <c r="AX55" s="27"/>
      <c r="AY55" s="27"/>
      <c r="AZ55" s="27"/>
      <c r="BA55" s="27"/>
    </row>
    <row r="56" spans="1:53">
      <c r="A56" s="134"/>
      <c r="B56" s="28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>
        <v>11</v>
      </c>
      <c r="O56" s="27"/>
      <c r="P56" s="28"/>
      <c r="Q56" s="27"/>
      <c r="R56" s="27"/>
      <c r="S56" s="79"/>
      <c r="T56" s="3">
        <v>320</v>
      </c>
      <c r="U56" s="3">
        <v>102</v>
      </c>
      <c r="V56" s="3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P56" s="27"/>
      <c r="AT56" s="27"/>
      <c r="AU56" s="27"/>
      <c r="AV56" s="27"/>
      <c r="AW56" s="27"/>
      <c r="AX56" s="27"/>
      <c r="AY56" s="27"/>
      <c r="AZ56" s="27"/>
      <c r="BA56" s="27"/>
    </row>
    <row r="57" spans="1:53">
      <c r="A57" s="134"/>
      <c r="B57" s="28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>
        <v>12</v>
      </c>
      <c r="O57" s="27"/>
      <c r="P57" s="28"/>
      <c r="Q57" s="27"/>
      <c r="R57" s="27"/>
      <c r="S57" s="79"/>
      <c r="T57" s="3">
        <v>351</v>
      </c>
      <c r="U57" s="3">
        <v>112</v>
      </c>
      <c r="V57" s="3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P57" s="27"/>
      <c r="AV57" s="27"/>
      <c r="AW57" s="27"/>
      <c r="AX57" s="27"/>
      <c r="AY57" s="27"/>
      <c r="AZ57" s="27"/>
      <c r="BA57" s="27"/>
    </row>
    <row r="58" spans="1:53">
      <c r="A58" s="134"/>
      <c r="B58" s="28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>
        <v>13</v>
      </c>
      <c r="O58" s="27"/>
      <c r="P58" s="28"/>
      <c r="Q58" s="27"/>
      <c r="R58" s="27"/>
      <c r="S58" s="79"/>
      <c r="T58" s="3">
        <v>386</v>
      </c>
      <c r="U58" s="3">
        <v>123</v>
      </c>
      <c r="V58" s="3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P58" s="27"/>
      <c r="AV58" s="27"/>
      <c r="AW58" s="27"/>
      <c r="AX58" s="27"/>
      <c r="AY58" s="27"/>
      <c r="AZ58" s="27"/>
      <c r="BA58" s="27"/>
    </row>
    <row r="59" spans="1:53">
      <c r="A59" s="134"/>
      <c r="B59" s="28">
        <v>5</v>
      </c>
      <c r="C59" s="53" t="str">
        <f t="shared" ref="C59" si="32">VLOOKUP($B59,一级属性,C$1,)</f>
        <v>邦尼</v>
      </c>
      <c r="D59" s="53" t="str">
        <f t="shared" ref="D59" si="33">VLOOKUP($B59,一级属性,D$1,)</f>
        <v>邦尼从小就喜欢研究炸弹，这次她更是玩兴大发，很多人因为对这颗萝卜爱不释手而丢了性命……</v>
      </c>
      <c r="E59" s="27"/>
      <c r="F59" s="53">
        <f t="shared" ref="F59:L59" si="34">VLOOKUP($B59,一级属性,F$1,)</f>
        <v>1</v>
      </c>
      <c r="G59" s="53">
        <f t="shared" si="34"/>
        <v>0</v>
      </c>
      <c r="H59" s="53">
        <f t="shared" si="34"/>
        <v>0</v>
      </c>
      <c r="I59" s="53">
        <f t="shared" si="34"/>
        <v>40</v>
      </c>
      <c r="J59" s="53">
        <f t="shared" si="34"/>
        <v>0</v>
      </c>
      <c r="K59" s="53">
        <f t="shared" si="34"/>
        <v>1201</v>
      </c>
      <c r="L59" s="53">
        <f t="shared" si="34"/>
        <v>2201</v>
      </c>
      <c r="M59" s="28">
        <v>1</v>
      </c>
      <c r="N59" s="27">
        <v>1</v>
      </c>
      <c r="O59" s="53">
        <f t="shared" ref="O59" si="35">VLOOKUP($B59,一级属性,O$1,)</f>
        <v>3</v>
      </c>
      <c r="P59" s="28">
        <v>0</v>
      </c>
      <c r="Q59" s="27">
        <v>0</v>
      </c>
      <c r="R59" s="27">
        <v>2</v>
      </c>
      <c r="S59" s="112">
        <v>0</v>
      </c>
      <c r="T59" s="3">
        <v>150</v>
      </c>
      <c r="U59" s="3">
        <v>100</v>
      </c>
      <c r="V59" s="112">
        <v>0</v>
      </c>
      <c r="W59" s="53">
        <f t="shared" ref="W59:AJ59" si="36">VLOOKUP($B59,一级属性,W$1,)</f>
        <v>200</v>
      </c>
      <c r="X59" s="53">
        <f t="shared" si="36"/>
        <v>1900</v>
      </c>
      <c r="Y59" s="53">
        <f t="shared" si="36"/>
        <v>42</v>
      </c>
      <c r="Z59" s="112">
        <v>0</v>
      </c>
      <c r="AA59" s="53">
        <f t="shared" si="36"/>
        <v>2</v>
      </c>
      <c r="AB59" s="53">
        <f t="shared" si="36"/>
        <v>20</v>
      </c>
      <c r="AC59" s="53">
        <f t="shared" si="36"/>
        <v>135</v>
      </c>
      <c r="AD59" s="53">
        <f t="shared" si="36"/>
        <v>5</v>
      </c>
      <c r="AE59" s="27">
        <v>0</v>
      </c>
      <c r="AF59" s="27">
        <v>0</v>
      </c>
      <c r="AG59" s="53">
        <f t="shared" si="36"/>
        <v>210</v>
      </c>
      <c r="AH59" s="53">
        <f t="shared" si="36"/>
        <v>45</v>
      </c>
      <c r="AI59" s="53">
        <f t="shared" si="36"/>
        <v>250</v>
      </c>
      <c r="AJ59" s="53">
        <f t="shared" si="36"/>
        <v>0</v>
      </c>
      <c r="AK59" s="27">
        <v>1</v>
      </c>
      <c r="AL59" s="27">
        <v>0</v>
      </c>
      <c r="AM59" s="53">
        <f t="shared" ref="AM59" si="37">VLOOKUP($B59,一级属性,AM$1,)</f>
        <v>0</v>
      </c>
      <c r="AN59" s="71">
        <v>0</v>
      </c>
      <c r="AO59" s="71">
        <v>0</v>
      </c>
      <c r="AP59" s="53">
        <f t="shared" ref="AP59" si="38">VLOOKUP($B59,一级属性,AP$1,)</f>
        <v>0</v>
      </c>
      <c r="AQ59" s="71">
        <v>0</v>
      </c>
      <c r="AR59" s="71">
        <v>0</v>
      </c>
      <c r="AS59" s="71">
        <v>0</v>
      </c>
      <c r="AT59" s="71">
        <v>0</v>
      </c>
      <c r="AU59" s="71">
        <v>0</v>
      </c>
      <c r="AV59" s="71">
        <v>0</v>
      </c>
      <c r="AW59" s="71">
        <v>0</v>
      </c>
      <c r="AX59" s="53">
        <f t="shared" ref="AX59" si="39">VLOOKUP($B59,一级属性,AX$1,)</f>
        <v>1000</v>
      </c>
      <c r="AY59" s="71">
        <v>0</v>
      </c>
      <c r="AZ59" s="71">
        <v>0</v>
      </c>
      <c r="BA59" s="27">
        <v>0</v>
      </c>
    </row>
    <row r="60" spans="1:53">
      <c r="A60" s="134"/>
      <c r="B60" s="28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>
        <v>2</v>
      </c>
      <c r="O60" s="27"/>
      <c r="P60" s="28"/>
      <c r="Q60" s="27"/>
      <c r="R60" s="27"/>
      <c r="S60" s="79"/>
      <c r="T60" s="3">
        <v>165</v>
      </c>
      <c r="U60" s="3">
        <v>110</v>
      </c>
      <c r="V60" s="3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P60" s="27"/>
      <c r="AV60" s="27"/>
      <c r="AW60" s="27"/>
      <c r="AX60" s="27"/>
      <c r="AY60" s="27"/>
      <c r="AZ60" s="27"/>
      <c r="BA60" s="27"/>
    </row>
    <row r="61" spans="1:53">
      <c r="A61" s="134"/>
      <c r="B61" s="28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>
        <v>3</v>
      </c>
      <c r="O61" s="27"/>
      <c r="P61" s="28"/>
      <c r="Q61" s="27"/>
      <c r="R61" s="27"/>
      <c r="S61" s="79"/>
      <c r="T61" s="3">
        <v>181</v>
      </c>
      <c r="U61" s="3">
        <v>121</v>
      </c>
      <c r="V61" s="3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P61" s="27"/>
      <c r="AV61" s="27"/>
      <c r="AW61" s="27"/>
      <c r="AX61" s="27"/>
      <c r="AY61" s="27"/>
      <c r="AZ61" s="27"/>
      <c r="BA61" s="27"/>
    </row>
    <row r="62" spans="1:53">
      <c r="A62" s="134"/>
      <c r="B62" s="28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>
        <v>4</v>
      </c>
      <c r="O62" s="27"/>
      <c r="P62" s="28"/>
      <c r="Q62" s="27"/>
      <c r="R62" s="27"/>
      <c r="S62" s="79"/>
      <c r="T62" s="3">
        <v>199</v>
      </c>
      <c r="U62" s="3">
        <v>133</v>
      </c>
      <c r="V62" s="3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V62" s="27"/>
      <c r="AW62" s="27"/>
      <c r="AX62" s="27"/>
      <c r="AY62" s="27"/>
      <c r="AZ62" s="27"/>
      <c r="BA62" s="27"/>
    </row>
    <row r="63" spans="1:53">
      <c r="A63" s="134"/>
      <c r="B63" s="28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>
        <v>5</v>
      </c>
      <c r="O63" s="27"/>
      <c r="P63" s="28"/>
      <c r="Q63" s="27"/>
      <c r="R63" s="27"/>
      <c r="S63" s="79"/>
      <c r="T63" s="3">
        <v>219</v>
      </c>
      <c r="U63" s="3">
        <v>146</v>
      </c>
      <c r="V63" s="3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V63" s="27"/>
      <c r="AW63" s="27"/>
      <c r="AX63" s="27"/>
      <c r="AY63" s="27"/>
      <c r="AZ63" s="27"/>
      <c r="BA63" s="27"/>
    </row>
    <row r="64" spans="1:53">
      <c r="A64" s="134"/>
      <c r="B64" s="28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>
        <v>6</v>
      </c>
      <c r="O64" s="27"/>
      <c r="P64" s="28"/>
      <c r="Q64" s="27"/>
      <c r="R64" s="27"/>
      <c r="S64" s="79"/>
      <c r="T64" s="3">
        <v>240</v>
      </c>
      <c r="U64" s="3">
        <v>160</v>
      </c>
      <c r="V64" s="3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V64" s="27"/>
      <c r="AW64" s="27"/>
      <c r="AX64" s="27"/>
      <c r="AY64" s="27"/>
      <c r="AZ64" s="27"/>
      <c r="BA64" s="27"/>
    </row>
    <row r="65" spans="1:53">
      <c r="A65" s="134"/>
      <c r="B65" s="28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>
        <v>7</v>
      </c>
      <c r="O65" s="27"/>
      <c r="P65" s="28"/>
      <c r="Q65" s="27"/>
      <c r="R65" s="27"/>
      <c r="S65" s="79"/>
      <c r="T65" s="3">
        <v>264</v>
      </c>
      <c r="U65" s="3">
        <v>176</v>
      </c>
      <c r="V65" s="3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V65" s="27"/>
      <c r="AW65" s="27"/>
      <c r="AX65" s="27"/>
      <c r="AY65" s="27"/>
      <c r="AZ65" s="27"/>
      <c r="BA65" s="27"/>
    </row>
    <row r="66" spans="1:53">
      <c r="A66" s="134"/>
      <c r="B66" s="28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>
        <v>8</v>
      </c>
      <c r="O66" s="27"/>
      <c r="P66" s="28"/>
      <c r="Q66" s="27"/>
      <c r="R66" s="27"/>
      <c r="S66" s="79"/>
      <c r="T66" s="3">
        <v>289</v>
      </c>
      <c r="U66" s="3">
        <v>193</v>
      </c>
      <c r="V66" s="3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V66" s="27"/>
      <c r="AW66" s="27"/>
      <c r="AX66" s="27"/>
      <c r="AY66" s="27"/>
      <c r="AZ66" s="27"/>
      <c r="BA66" s="27"/>
    </row>
    <row r="67" spans="1:53">
      <c r="A67" s="134"/>
      <c r="B67" s="28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>
        <v>9</v>
      </c>
      <c r="O67" s="27"/>
      <c r="P67" s="28"/>
      <c r="Q67" s="27"/>
      <c r="R67" s="27"/>
      <c r="S67" s="79"/>
      <c r="T67" s="3">
        <v>318</v>
      </c>
      <c r="U67" s="3">
        <v>212</v>
      </c>
      <c r="V67" s="3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V67" s="27"/>
      <c r="AW67" s="27"/>
      <c r="AX67" s="27"/>
      <c r="AY67" s="27"/>
      <c r="AZ67" s="27"/>
      <c r="BA67" s="27"/>
    </row>
    <row r="68" spans="1:53">
      <c r="A68" s="134"/>
      <c r="B68" s="28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>
        <v>10</v>
      </c>
      <c r="O68" s="27"/>
      <c r="P68" s="28"/>
      <c r="Q68" s="27"/>
      <c r="R68" s="27"/>
      <c r="S68" s="79"/>
      <c r="T68" s="3">
        <v>349</v>
      </c>
      <c r="U68" s="3">
        <v>233</v>
      </c>
      <c r="V68" s="3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V68" s="27"/>
      <c r="AW68" s="27"/>
      <c r="AX68" s="27"/>
      <c r="AY68" s="27"/>
      <c r="AZ68" s="27"/>
      <c r="BA68" s="27"/>
    </row>
    <row r="69" spans="1:53">
      <c r="A69" s="134"/>
      <c r="B69" s="28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>
        <v>11</v>
      </c>
      <c r="O69" s="27"/>
      <c r="P69" s="28"/>
      <c r="Q69" s="27"/>
      <c r="R69" s="27"/>
      <c r="S69" s="79"/>
      <c r="T69" s="3">
        <v>384</v>
      </c>
      <c r="U69" s="3">
        <v>256</v>
      </c>
      <c r="V69" s="3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P69" s="27"/>
      <c r="AV69" s="27"/>
      <c r="AW69" s="27"/>
      <c r="AX69" s="27"/>
      <c r="AY69" s="27"/>
      <c r="AZ69" s="27"/>
      <c r="BA69" s="27"/>
    </row>
    <row r="70" spans="1:53">
      <c r="A70" s="134"/>
      <c r="B70" s="28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>
        <v>12</v>
      </c>
      <c r="O70" s="27"/>
      <c r="P70" s="28"/>
      <c r="Q70" s="27"/>
      <c r="R70" s="27"/>
      <c r="S70" s="79"/>
      <c r="T70" s="3">
        <v>421</v>
      </c>
      <c r="U70" s="3">
        <v>281</v>
      </c>
      <c r="V70" s="3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P70" s="27"/>
      <c r="AV70" s="27"/>
      <c r="AW70" s="27"/>
      <c r="AX70" s="27"/>
      <c r="AY70" s="27"/>
      <c r="AZ70" s="27"/>
      <c r="BA70" s="27"/>
    </row>
    <row r="71" spans="1:53">
      <c r="A71" s="134"/>
      <c r="B71" s="28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>
        <v>13</v>
      </c>
      <c r="O71" s="27"/>
      <c r="P71" s="28"/>
      <c r="Q71" s="27"/>
      <c r="R71" s="27"/>
      <c r="S71" s="79"/>
      <c r="T71" s="3">
        <v>463</v>
      </c>
      <c r="U71" s="3">
        <v>309</v>
      </c>
      <c r="V71" s="3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P71" s="27"/>
      <c r="AV71" s="27"/>
      <c r="AW71" s="27"/>
      <c r="AX71" s="27"/>
      <c r="AY71" s="27"/>
      <c r="AZ71" s="27"/>
      <c r="BA71" s="27"/>
    </row>
    <row r="72" spans="1:53">
      <c r="A72" s="134"/>
      <c r="B72" s="28">
        <v>22</v>
      </c>
      <c r="C72" s="53" t="str">
        <f>VLOOKUP($B72,一级属性,C$1,)</f>
        <v>战争古树</v>
      </c>
      <c r="D72" s="53" t="str">
        <f>VLOOKUP($B72,一级属性,D$1,)</f>
        <v>森之妖精们的训练师，虽然年事已高，行动缓慢，但是近战攻击力极高，一出手就造成巨大伤害。</v>
      </c>
      <c r="E72" s="27"/>
      <c r="F72" s="53">
        <f t="shared" ref="F72:L72" si="40">VLOOKUP($B72,一级属性,F$1,)</f>
        <v>1</v>
      </c>
      <c r="G72" s="53">
        <f t="shared" si="40"/>
        <v>4</v>
      </c>
      <c r="H72" s="53">
        <f t="shared" si="40"/>
        <v>1</v>
      </c>
      <c r="I72" s="53">
        <f t="shared" si="40"/>
        <v>175</v>
      </c>
      <c r="J72" s="53">
        <f t="shared" si="40"/>
        <v>2</v>
      </c>
      <c r="K72" s="53">
        <f t="shared" si="40"/>
        <v>1219</v>
      </c>
      <c r="L72" s="53">
        <f t="shared" si="40"/>
        <v>2219</v>
      </c>
      <c r="M72" s="28">
        <v>0</v>
      </c>
      <c r="N72" s="27">
        <v>1</v>
      </c>
      <c r="O72" s="53">
        <f>VLOOKUP($B72,一级属性,O$1,)</f>
        <v>7</v>
      </c>
      <c r="P72" s="28">
        <v>0</v>
      </c>
      <c r="Q72" s="27">
        <v>0</v>
      </c>
      <c r="R72" s="27">
        <v>0</v>
      </c>
      <c r="S72" s="112">
        <v>0</v>
      </c>
      <c r="T72" s="3">
        <v>2600</v>
      </c>
      <c r="U72" s="3">
        <v>450</v>
      </c>
      <c r="V72" s="112">
        <v>0</v>
      </c>
      <c r="W72" s="53">
        <f t="shared" ref="W72:AJ72" si="41">VLOOKUP($B72,一级属性,W$1,)</f>
        <v>433</v>
      </c>
      <c r="X72" s="53">
        <f t="shared" si="41"/>
        <v>1800</v>
      </c>
      <c r="Y72" s="53">
        <f t="shared" si="41"/>
        <v>31</v>
      </c>
      <c r="Z72" s="112">
        <v>0</v>
      </c>
      <c r="AA72" s="53">
        <f t="shared" si="41"/>
        <v>2</v>
      </c>
      <c r="AB72" s="53">
        <f t="shared" si="41"/>
        <v>27</v>
      </c>
      <c r="AC72" s="53">
        <f t="shared" si="41"/>
        <v>15</v>
      </c>
      <c r="AD72" s="53" t="str">
        <f t="shared" si="41"/>
        <v>近战</v>
      </c>
      <c r="AE72" s="27">
        <v>0</v>
      </c>
      <c r="AF72" s="27">
        <v>0</v>
      </c>
      <c r="AG72" s="53">
        <f t="shared" si="41"/>
        <v>210</v>
      </c>
      <c r="AH72" s="53">
        <f t="shared" si="41"/>
        <v>0</v>
      </c>
      <c r="AI72" s="53">
        <f t="shared" si="41"/>
        <v>450</v>
      </c>
      <c r="AJ72" s="53">
        <f t="shared" si="41"/>
        <v>0</v>
      </c>
      <c r="AK72" s="27">
        <v>1</v>
      </c>
      <c r="AL72" s="27">
        <v>0</v>
      </c>
      <c r="AM72" s="53">
        <f>VLOOKUP($B72,一级属性,AM$1,)</f>
        <v>0</v>
      </c>
      <c r="AN72" s="71">
        <v>0</v>
      </c>
      <c r="AO72" s="71">
        <v>0</v>
      </c>
      <c r="AP72" s="53">
        <f>VLOOKUP($B72,一级属性,AP$1,)</f>
        <v>0</v>
      </c>
      <c r="AQ72" s="71">
        <v>0</v>
      </c>
      <c r="AR72" s="71">
        <v>0</v>
      </c>
      <c r="AS72" s="71">
        <v>0</v>
      </c>
      <c r="AT72" s="71">
        <v>0</v>
      </c>
      <c r="AU72" s="71">
        <v>0</v>
      </c>
      <c r="AV72" s="71">
        <v>0</v>
      </c>
      <c r="AW72" s="71">
        <v>0</v>
      </c>
      <c r="AX72" s="53">
        <f>VLOOKUP($B72,一级属性,AX$1,)</f>
        <v>3000</v>
      </c>
      <c r="AY72" s="71">
        <v>0</v>
      </c>
      <c r="AZ72" s="71">
        <v>0</v>
      </c>
      <c r="BA72" s="27">
        <v>0</v>
      </c>
    </row>
    <row r="73" spans="1:53">
      <c r="A73" s="134"/>
      <c r="B73" s="28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>
        <v>2</v>
      </c>
      <c r="O73" s="27"/>
      <c r="P73" s="28"/>
      <c r="Q73" s="27"/>
      <c r="R73" s="27"/>
      <c r="S73" s="79"/>
      <c r="T73" s="3">
        <v>2860</v>
      </c>
      <c r="U73" s="3">
        <v>495</v>
      </c>
      <c r="V73" s="3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U73" s="27"/>
      <c r="AV73" s="27"/>
      <c r="AW73" s="27"/>
      <c r="AX73" s="27"/>
      <c r="AY73" s="27"/>
      <c r="AZ73" s="27"/>
      <c r="BA73" s="27"/>
    </row>
    <row r="74" spans="1:53">
      <c r="A74" s="134"/>
      <c r="B74" s="28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>
        <v>3</v>
      </c>
      <c r="O74" s="27"/>
      <c r="P74" s="28"/>
      <c r="Q74" s="27"/>
      <c r="R74" s="27"/>
      <c r="S74" s="79"/>
      <c r="T74" s="3">
        <v>3146</v>
      </c>
      <c r="U74" s="3">
        <v>544</v>
      </c>
      <c r="V74" s="3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U74" s="27"/>
      <c r="AV74" s="27"/>
      <c r="AW74" s="27"/>
      <c r="AX74" s="27"/>
      <c r="AY74" s="27"/>
      <c r="AZ74" s="27"/>
      <c r="BA74" s="27"/>
    </row>
    <row r="75" spans="1:53">
      <c r="A75" s="134"/>
      <c r="B75" s="28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>
        <v>4</v>
      </c>
      <c r="O75" s="27"/>
      <c r="P75" s="28"/>
      <c r="Q75" s="27"/>
      <c r="R75" s="27"/>
      <c r="S75" s="79"/>
      <c r="T75" s="3">
        <v>3458</v>
      </c>
      <c r="U75" s="3">
        <v>598</v>
      </c>
      <c r="V75" s="3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U75" s="27"/>
      <c r="AV75" s="27"/>
      <c r="AW75" s="27"/>
      <c r="AX75" s="27"/>
      <c r="AY75" s="27"/>
      <c r="AZ75" s="27"/>
      <c r="BA75" s="27"/>
    </row>
    <row r="76" spans="1:53">
      <c r="A76" s="134"/>
      <c r="B76" s="28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>
        <v>5</v>
      </c>
      <c r="O76" s="27"/>
      <c r="P76" s="28"/>
      <c r="Q76" s="27"/>
      <c r="R76" s="27"/>
      <c r="S76" s="79"/>
      <c r="T76" s="3">
        <v>3796</v>
      </c>
      <c r="U76" s="3">
        <v>657</v>
      </c>
      <c r="V76" s="3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U76" s="27"/>
      <c r="AV76" s="27"/>
      <c r="AW76" s="27"/>
      <c r="AX76" s="27"/>
      <c r="AY76" s="27"/>
      <c r="AZ76" s="27"/>
      <c r="BA76" s="27"/>
    </row>
    <row r="77" spans="1:53">
      <c r="A77" s="134"/>
      <c r="B77" s="28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>
        <v>6</v>
      </c>
      <c r="O77" s="27"/>
      <c r="P77" s="28"/>
      <c r="Q77" s="27"/>
      <c r="R77" s="27"/>
      <c r="S77" s="79"/>
      <c r="T77" s="3">
        <v>4160</v>
      </c>
      <c r="U77" s="3">
        <v>720</v>
      </c>
      <c r="V77" s="3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U77" s="27"/>
      <c r="AV77" s="27"/>
      <c r="AW77" s="27"/>
      <c r="AX77" s="27"/>
      <c r="AY77" s="27"/>
      <c r="AZ77" s="27"/>
      <c r="BA77" s="27"/>
    </row>
    <row r="78" spans="1:53">
      <c r="A78" s="134"/>
      <c r="B78" s="28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>
        <v>7</v>
      </c>
      <c r="O78" s="27"/>
      <c r="P78" s="28"/>
      <c r="Q78" s="27"/>
      <c r="R78" s="27"/>
      <c r="S78" s="79"/>
      <c r="T78" s="3">
        <v>4576</v>
      </c>
      <c r="U78" s="3">
        <v>792</v>
      </c>
      <c r="V78" s="3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U78" s="27"/>
      <c r="AV78" s="27"/>
      <c r="AW78" s="27"/>
      <c r="AX78" s="27"/>
      <c r="AY78" s="27"/>
      <c r="AZ78" s="27"/>
      <c r="BA78" s="27"/>
    </row>
    <row r="79" spans="1:53">
      <c r="A79" s="134"/>
      <c r="B79" s="28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>
        <v>8</v>
      </c>
      <c r="O79" s="27"/>
      <c r="P79" s="28"/>
      <c r="Q79" s="27"/>
      <c r="R79" s="27"/>
      <c r="S79" s="79"/>
      <c r="T79" s="3">
        <v>5018</v>
      </c>
      <c r="U79" s="3">
        <v>868</v>
      </c>
      <c r="V79" s="3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U79" s="27"/>
      <c r="AV79" s="27"/>
      <c r="AW79" s="27"/>
      <c r="AX79" s="27"/>
      <c r="AY79" s="27"/>
      <c r="AZ79" s="27"/>
      <c r="BA79" s="27"/>
    </row>
    <row r="80" spans="1:53">
      <c r="A80" s="134"/>
      <c r="B80" s="28">
        <v>7</v>
      </c>
      <c r="C80" s="53" t="str">
        <f t="shared" ref="C80" si="42">VLOOKUP($B80,一级属性,C$1,)</f>
        <v>小丸子</v>
      </c>
      <c r="D80" s="53" t="str">
        <f t="shared" ref="D80" si="43">VLOOKUP($B80,一级属性,D$1,)</f>
        <v>三只小蜜蜂呀，飞到花丛中呀，飞呀，mua，mua~</v>
      </c>
      <c r="E80" s="27"/>
      <c r="F80" s="53">
        <f t="shared" ref="F80:L80" si="44">VLOOKUP($B80,一级属性,F$1,)</f>
        <v>1</v>
      </c>
      <c r="G80" s="53">
        <f t="shared" si="44"/>
        <v>2</v>
      </c>
      <c r="H80" s="53">
        <f t="shared" si="44"/>
        <v>0</v>
      </c>
      <c r="I80" s="53">
        <f t="shared" si="44"/>
        <v>95</v>
      </c>
      <c r="J80" s="53">
        <f t="shared" si="44"/>
        <v>0</v>
      </c>
      <c r="K80" s="53">
        <f t="shared" si="44"/>
        <v>1210</v>
      </c>
      <c r="L80" s="53">
        <f t="shared" si="44"/>
        <v>2210</v>
      </c>
      <c r="M80" s="28">
        <v>1</v>
      </c>
      <c r="N80" s="27">
        <v>1</v>
      </c>
      <c r="O80" s="53">
        <f t="shared" ref="O80" si="45">VLOOKUP($B80,一级属性,O$1,)</f>
        <v>3</v>
      </c>
      <c r="P80" s="28">
        <v>0</v>
      </c>
      <c r="Q80" s="27">
        <v>2</v>
      </c>
      <c r="R80" s="27">
        <v>1</v>
      </c>
      <c r="S80" s="112">
        <v>0</v>
      </c>
      <c r="T80" s="3">
        <v>90</v>
      </c>
      <c r="U80" s="3">
        <v>40</v>
      </c>
      <c r="V80" s="112">
        <v>0</v>
      </c>
      <c r="W80" s="53">
        <f t="shared" ref="W80:AJ80" si="46">VLOOKUP($B80,一级属性,W$1,)</f>
        <v>333</v>
      </c>
      <c r="X80" s="53">
        <f t="shared" si="46"/>
        <v>1000</v>
      </c>
      <c r="Y80" s="53">
        <f t="shared" si="46"/>
        <v>63</v>
      </c>
      <c r="Z80" s="112">
        <v>0</v>
      </c>
      <c r="AA80" s="53">
        <f t="shared" si="46"/>
        <v>2</v>
      </c>
      <c r="AB80" s="53">
        <f t="shared" si="46"/>
        <v>15</v>
      </c>
      <c r="AC80" s="53">
        <f t="shared" si="46"/>
        <v>60</v>
      </c>
      <c r="AD80" s="53">
        <f t="shared" si="46"/>
        <v>2.5</v>
      </c>
      <c r="AE80" s="27">
        <v>0</v>
      </c>
      <c r="AF80" s="27">
        <v>0</v>
      </c>
      <c r="AG80" s="53">
        <f t="shared" si="46"/>
        <v>210</v>
      </c>
      <c r="AH80" s="53">
        <f t="shared" si="46"/>
        <v>0</v>
      </c>
      <c r="AI80" s="53">
        <f t="shared" si="46"/>
        <v>450</v>
      </c>
      <c r="AJ80" s="53">
        <f t="shared" si="46"/>
        <v>30</v>
      </c>
      <c r="AK80" s="27">
        <v>3</v>
      </c>
      <c r="AL80" s="27">
        <v>0</v>
      </c>
      <c r="AM80" s="53">
        <f t="shared" ref="AM80" si="47">VLOOKUP($B80,一级属性,AM$1,)</f>
        <v>0</v>
      </c>
      <c r="AN80" s="71">
        <v>0</v>
      </c>
      <c r="AO80" s="71">
        <v>0</v>
      </c>
      <c r="AP80" s="53">
        <f t="shared" ref="AP80" si="48">VLOOKUP($B80,一级属性,AP$1,)</f>
        <v>0</v>
      </c>
      <c r="AQ80" s="71">
        <v>0</v>
      </c>
      <c r="AR80" s="71">
        <v>0</v>
      </c>
      <c r="AS80" s="71">
        <v>0</v>
      </c>
      <c r="AT80" s="71">
        <v>0</v>
      </c>
      <c r="AU80" s="71">
        <v>0</v>
      </c>
      <c r="AV80" s="71">
        <v>0</v>
      </c>
      <c r="AW80" s="71">
        <v>0</v>
      </c>
      <c r="AX80" s="53">
        <f t="shared" ref="AX80" si="49">VLOOKUP($B80,一级属性,AX$1,)</f>
        <v>1000</v>
      </c>
      <c r="AY80" s="71">
        <v>0</v>
      </c>
      <c r="AZ80" s="71">
        <v>0</v>
      </c>
      <c r="BA80" s="27">
        <v>1</v>
      </c>
    </row>
    <row r="81" spans="1:53">
      <c r="A81" s="134"/>
      <c r="B81" s="28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>
        <v>2</v>
      </c>
      <c r="O81" s="27"/>
      <c r="P81" s="28"/>
      <c r="Q81" s="27"/>
      <c r="R81" s="27"/>
      <c r="S81" s="79"/>
      <c r="T81" s="3">
        <v>99</v>
      </c>
      <c r="U81" s="3">
        <v>44</v>
      </c>
      <c r="V81" s="3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P81" s="27"/>
      <c r="AV81" s="27"/>
      <c r="AW81" s="27"/>
      <c r="AX81" s="27"/>
      <c r="AY81" s="27"/>
      <c r="AZ81" s="27"/>
      <c r="BA81" s="27"/>
    </row>
    <row r="82" spans="1:53">
      <c r="A82" s="134"/>
      <c r="B82" s="28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>
        <v>3</v>
      </c>
      <c r="O82" s="27"/>
      <c r="P82" s="28"/>
      <c r="Q82" s="27"/>
      <c r="R82" s="27"/>
      <c r="S82" s="79"/>
      <c r="T82" s="3">
        <v>108</v>
      </c>
      <c r="U82" s="3">
        <v>48</v>
      </c>
      <c r="V82" s="3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P82" s="27"/>
      <c r="AV82" s="27"/>
      <c r="AW82" s="27"/>
      <c r="AX82" s="27"/>
      <c r="AY82" s="27"/>
      <c r="AZ82" s="27"/>
      <c r="BA82" s="27"/>
    </row>
    <row r="83" spans="1:53">
      <c r="A83" s="134"/>
      <c r="B83" s="28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>
        <v>4</v>
      </c>
      <c r="O83" s="27"/>
      <c r="P83" s="28"/>
      <c r="Q83" s="27"/>
      <c r="R83" s="27"/>
      <c r="S83" s="79"/>
      <c r="T83" s="3">
        <v>119</v>
      </c>
      <c r="U83" s="3">
        <v>53</v>
      </c>
      <c r="V83" s="3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P83" s="27"/>
      <c r="AT83" s="27"/>
      <c r="AU83" s="27"/>
      <c r="AV83" s="27"/>
      <c r="AW83" s="27"/>
      <c r="AX83" s="27"/>
      <c r="AY83" s="27"/>
      <c r="AZ83" s="27"/>
      <c r="BA83" s="27"/>
    </row>
    <row r="84" spans="1:53">
      <c r="A84" s="134"/>
      <c r="B84" s="28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>
        <v>5</v>
      </c>
      <c r="O84" s="27"/>
      <c r="P84" s="28"/>
      <c r="Q84" s="27"/>
      <c r="R84" s="27"/>
      <c r="S84" s="79"/>
      <c r="T84" s="3">
        <v>131</v>
      </c>
      <c r="U84" s="3">
        <v>58</v>
      </c>
      <c r="V84" s="3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P84" s="27"/>
      <c r="AT84" s="27"/>
      <c r="AU84" s="27"/>
      <c r="AV84" s="27"/>
      <c r="AW84" s="27"/>
      <c r="AX84" s="27"/>
      <c r="AY84" s="27"/>
      <c r="AZ84" s="27"/>
      <c r="BA84" s="27"/>
    </row>
    <row r="85" spans="1:53">
      <c r="A85" s="134"/>
      <c r="B85" s="28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>
        <v>6</v>
      </c>
      <c r="O85" s="27"/>
      <c r="P85" s="28"/>
      <c r="Q85" s="27"/>
      <c r="R85" s="27"/>
      <c r="S85" s="79"/>
      <c r="T85" s="3">
        <v>144</v>
      </c>
      <c r="U85" s="3">
        <v>64</v>
      </c>
      <c r="V85" s="3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P85" s="27"/>
      <c r="AT85" s="27"/>
      <c r="AU85" s="27"/>
      <c r="AV85" s="27"/>
      <c r="AW85" s="27"/>
      <c r="AX85" s="27"/>
      <c r="AY85" s="27"/>
      <c r="AZ85" s="27"/>
      <c r="BA85" s="27"/>
    </row>
    <row r="86" spans="1:53">
      <c r="A86" s="134"/>
      <c r="B86" s="28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>
        <v>7</v>
      </c>
      <c r="O86" s="27"/>
      <c r="P86" s="28"/>
      <c r="Q86" s="27"/>
      <c r="R86" s="27"/>
      <c r="S86" s="79"/>
      <c r="T86" s="3">
        <v>158</v>
      </c>
      <c r="U86" s="3">
        <v>70</v>
      </c>
      <c r="V86" s="3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P86" s="27"/>
      <c r="AT86" s="27"/>
      <c r="AU86" s="27"/>
      <c r="AV86" s="27"/>
      <c r="AW86" s="27"/>
      <c r="AX86" s="27"/>
      <c r="AY86" s="27"/>
      <c r="AZ86" s="27"/>
      <c r="BA86" s="27"/>
    </row>
    <row r="87" spans="1:53">
      <c r="A87" s="134"/>
      <c r="B87" s="28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>
        <v>8</v>
      </c>
      <c r="O87" s="27"/>
      <c r="P87" s="28"/>
      <c r="Q87" s="27"/>
      <c r="R87" s="27"/>
      <c r="S87" s="79"/>
      <c r="T87" s="3">
        <v>173</v>
      </c>
      <c r="U87" s="3">
        <v>77</v>
      </c>
      <c r="V87" s="3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P87" s="27"/>
      <c r="AT87" s="27"/>
      <c r="AU87" s="27"/>
      <c r="AV87" s="27"/>
      <c r="AW87" s="27"/>
      <c r="AX87" s="27"/>
      <c r="AY87" s="27"/>
      <c r="AZ87" s="27"/>
      <c r="BA87" s="27"/>
    </row>
    <row r="88" spans="1:53">
      <c r="A88" s="134"/>
      <c r="B88" s="28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>
        <v>9</v>
      </c>
      <c r="O88" s="27"/>
      <c r="P88" s="28"/>
      <c r="Q88" s="27"/>
      <c r="R88" s="27"/>
      <c r="S88" s="79"/>
      <c r="T88" s="3">
        <v>190</v>
      </c>
      <c r="U88" s="3">
        <v>84</v>
      </c>
      <c r="V88" s="3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P88" s="27"/>
      <c r="AT88" s="27"/>
      <c r="AU88" s="27"/>
      <c r="AV88" s="27"/>
      <c r="AW88" s="27"/>
      <c r="AX88" s="27"/>
      <c r="AY88" s="27"/>
      <c r="AZ88" s="27"/>
      <c r="BA88" s="27"/>
    </row>
    <row r="89" spans="1:53">
      <c r="A89" s="134"/>
      <c r="B89" s="28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>
        <v>10</v>
      </c>
      <c r="O89" s="27"/>
      <c r="P89" s="28"/>
      <c r="Q89" s="27"/>
      <c r="R89" s="27"/>
      <c r="S89" s="79"/>
      <c r="T89" s="3">
        <v>209</v>
      </c>
      <c r="U89" s="3">
        <v>93</v>
      </c>
      <c r="V89" s="3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P89" s="27"/>
      <c r="AT89" s="27"/>
      <c r="AU89" s="27"/>
      <c r="AV89" s="27"/>
      <c r="AW89" s="27"/>
      <c r="AX89" s="27"/>
      <c r="AY89" s="27"/>
      <c r="AZ89" s="27"/>
      <c r="BA89" s="27"/>
    </row>
    <row r="90" spans="1:53">
      <c r="A90" s="134"/>
      <c r="B90" s="28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>
        <v>11</v>
      </c>
      <c r="O90" s="27"/>
      <c r="P90" s="28"/>
      <c r="Q90" s="27"/>
      <c r="R90" s="27"/>
      <c r="S90" s="79"/>
      <c r="T90" s="3">
        <v>230</v>
      </c>
      <c r="U90" s="3">
        <v>102</v>
      </c>
      <c r="V90" s="3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P90" s="27"/>
      <c r="AT90" s="27"/>
      <c r="AU90" s="27"/>
      <c r="AV90" s="27"/>
      <c r="AW90" s="27"/>
      <c r="AX90" s="27"/>
      <c r="AY90" s="27"/>
      <c r="AZ90" s="27"/>
      <c r="BA90" s="27"/>
    </row>
    <row r="91" spans="1:53">
      <c r="A91" s="134"/>
      <c r="B91" s="28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>
        <v>12</v>
      </c>
      <c r="O91" s="27"/>
      <c r="P91" s="28"/>
      <c r="Q91" s="27"/>
      <c r="R91" s="27"/>
      <c r="S91" s="79"/>
      <c r="T91" s="3">
        <v>252</v>
      </c>
      <c r="U91" s="3">
        <v>112</v>
      </c>
      <c r="V91" s="3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P91" s="27"/>
      <c r="AT91" s="27"/>
      <c r="AU91" s="27"/>
      <c r="AV91" s="27"/>
      <c r="AW91" s="27"/>
      <c r="AX91" s="27"/>
      <c r="AY91" s="27"/>
      <c r="AZ91" s="27"/>
      <c r="BA91" s="27"/>
    </row>
    <row r="92" spans="1:53">
      <c r="A92" s="134"/>
      <c r="B92" s="28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>
        <v>13</v>
      </c>
      <c r="O92" s="27"/>
      <c r="P92" s="28"/>
      <c r="Q92" s="27"/>
      <c r="R92" s="27"/>
      <c r="S92" s="79"/>
      <c r="T92" s="3">
        <v>278</v>
      </c>
      <c r="U92" s="3">
        <v>123</v>
      </c>
      <c r="V92" s="3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P92" s="27"/>
      <c r="AT92" s="27"/>
      <c r="AU92" s="27"/>
      <c r="AV92" s="27"/>
      <c r="AW92" s="27"/>
      <c r="AX92" s="27"/>
      <c r="AY92" s="27"/>
      <c r="AZ92" s="27"/>
      <c r="BA92" s="27"/>
    </row>
    <row r="93" spans="1:53">
      <c r="A93" s="134"/>
      <c r="B93" s="28">
        <v>8</v>
      </c>
      <c r="C93" s="53" t="str">
        <f t="shared" ref="C93" si="50">VLOOKUP($B93,一级属性,C$1,)</f>
        <v>盖奇</v>
      </c>
      <c r="D93" s="53" t="str">
        <f t="shared" ref="D93" si="51">VLOOKUP($B93,一级属性,D$1,)</f>
        <v>被称作盖奇的神秘刺杀小队，小队成员个个刀法犀利，来去如风，没有人能知道他们真正的样貌，因为死人是不会讲话的。</v>
      </c>
      <c r="E93" s="27"/>
      <c r="F93" s="53">
        <f t="shared" ref="F93:L93" si="52">VLOOKUP($B93,一级属性,F$1,)</f>
        <v>1</v>
      </c>
      <c r="G93" s="53">
        <f t="shared" si="52"/>
        <v>3</v>
      </c>
      <c r="H93" s="53">
        <f t="shared" si="52"/>
        <v>0</v>
      </c>
      <c r="I93" s="53">
        <f t="shared" si="52"/>
        <v>125</v>
      </c>
      <c r="J93" s="53">
        <f t="shared" si="52"/>
        <v>0</v>
      </c>
      <c r="K93" s="53">
        <f t="shared" si="52"/>
        <v>1214</v>
      </c>
      <c r="L93" s="53">
        <f t="shared" si="52"/>
        <v>2214</v>
      </c>
      <c r="M93" s="28">
        <v>0</v>
      </c>
      <c r="N93" s="27">
        <v>1</v>
      </c>
      <c r="O93" s="53">
        <f t="shared" ref="O93" si="53">VLOOKUP($B93,一级属性,O$1,)</f>
        <v>5</v>
      </c>
      <c r="P93" s="28">
        <v>0</v>
      </c>
      <c r="Q93" s="27">
        <v>0</v>
      </c>
      <c r="R93" s="27">
        <v>0</v>
      </c>
      <c r="S93" s="112">
        <v>0</v>
      </c>
      <c r="T93" s="3">
        <v>300</v>
      </c>
      <c r="U93" s="3">
        <v>75</v>
      </c>
      <c r="V93" s="112">
        <v>0</v>
      </c>
      <c r="W93" s="53">
        <f t="shared" ref="W93:X93" si="54">VLOOKUP($B93,一级属性,W$1,)</f>
        <v>200</v>
      </c>
      <c r="X93" s="53">
        <f t="shared" si="54"/>
        <v>1500</v>
      </c>
      <c r="Y93" s="53">
        <f t="shared" ref="Y93:AJ93" si="55">VLOOKUP($B93,一级属性,Y$1,)</f>
        <v>42</v>
      </c>
      <c r="Z93" s="112">
        <v>0</v>
      </c>
      <c r="AA93" s="53">
        <f t="shared" si="55"/>
        <v>2</v>
      </c>
      <c r="AB93" s="53">
        <f t="shared" si="55"/>
        <v>17</v>
      </c>
      <c r="AC93" s="53">
        <f t="shared" si="55"/>
        <v>9</v>
      </c>
      <c r="AD93" s="53" t="str">
        <f t="shared" si="55"/>
        <v>近战</v>
      </c>
      <c r="AE93" s="27">
        <v>0</v>
      </c>
      <c r="AF93" s="27">
        <v>0</v>
      </c>
      <c r="AG93" s="53">
        <f t="shared" ref="AG93" si="56">VLOOKUP($B93,一级属性,AG$1,)</f>
        <v>210</v>
      </c>
      <c r="AH93" s="53">
        <f t="shared" si="55"/>
        <v>0</v>
      </c>
      <c r="AI93" s="53">
        <f t="shared" si="55"/>
        <v>450</v>
      </c>
      <c r="AJ93" s="53">
        <f t="shared" si="55"/>
        <v>35</v>
      </c>
      <c r="AK93" s="27">
        <v>4</v>
      </c>
      <c r="AL93" s="27">
        <v>0</v>
      </c>
      <c r="AM93" s="53">
        <f t="shared" ref="AM93" si="57">VLOOKUP($B93,一级属性,AM$1,)</f>
        <v>0</v>
      </c>
      <c r="AN93" s="71">
        <v>0</v>
      </c>
      <c r="AO93" s="71">
        <v>0</v>
      </c>
      <c r="AP93" s="53">
        <f t="shared" ref="AP93" si="58">VLOOKUP($B93,一级属性,AP$1,)</f>
        <v>0</v>
      </c>
      <c r="AQ93" s="71">
        <v>0</v>
      </c>
      <c r="AR93" s="71">
        <v>0</v>
      </c>
      <c r="AS93" s="71">
        <v>0</v>
      </c>
      <c r="AT93" s="71">
        <v>0</v>
      </c>
      <c r="AU93" s="71">
        <v>0</v>
      </c>
      <c r="AV93" s="71">
        <v>0</v>
      </c>
      <c r="AW93" s="71">
        <v>0</v>
      </c>
      <c r="AX93" s="53">
        <f t="shared" ref="AX93" si="59">VLOOKUP($B93,一级属性,AX$1,)</f>
        <v>1000</v>
      </c>
      <c r="AY93" s="71">
        <v>0</v>
      </c>
      <c r="AZ93" s="71">
        <v>0</v>
      </c>
      <c r="BA93" s="27">
        <v>0</v>
      </c>
    </row>
    <row r="94" spans="1:53">
      <c r="A94" s="134"/>
      <c r="B94" s="28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>
        <v>2</v>
      </c>
      <c r="O94" s="27"/>
      <c r="P94" s="28"/>
      <c r="Q94" s="27"/>
      <c r="R94" s="27"/>
      <c r="S94" s="79"/>
      <c r="T94" s="3">
        <v>330</v>
      </c>
      <c r="U94" s="3">
        <v>82</v>
      </c>
      <c r="V94" s="3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P94" s="27"/>
      <c r="AT94" s="27"/>
      <c r="AU94" s="27"/>
      <c r="AV94" s="27"/>
      <c r="AW94" s="27"/>
      <c r="AX94" s="27"/>
      <c r="AY94" s="27"/>
      <c r="AZ94" s="27"/>
      <c r="BA94" s="27"/>
    </row>
    <row r="95" spans="1:53">
      <c r="A95" s="134"/>
      <c r="B95" s="28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>
        <v>3</v>
      </c>
      <c r="O95" s="27"/>
      <c r="P95" s="28"/>
      <c r="Q95" s="27"/>
      <c r="R95" s="27"/>
      <c r="S95" s="79"/>
      <c r="T95" s="3">
        <v>363</v>
      </c>
      <c r="U95" s="3">
        <v>90</v>
      </c>
      <c r="V95" s="3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P95" s="27"/>
      <c r="AT95" s="27"/>
      <c r="AU95" s="27"/>
      <c r="AV95" s="27"/>
      <c r="AW95" s="27"/>
      <c r="AX95" s="27"/>
      <c r="AY95" s="27"/>
      <c r="AZ95" s="27"/>
      <c r="BA95" s="27"/>
    </row>
    <row r="96" spans="1:53">
      <c r="A96" s="134"/>
      <c r="B96" s="28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>
        <v>4</v>
      </c>
      <c r="O96" s="27"/>
      <c r="P96" s="28"/>
      <c r="Q96" s="27"/>
      <c r="R96" s="27"/>
      <c r="S96" s="79"/>
      <c r="T96" s="3">
        <v>399</v>
      </c>
      <c r="U96" s="3">
        <v>99</v>
      </c>
      <c r="V96" s="3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P96" s="27"/>
      <c r="AT96" s="27"/>
      <c r="AU96" s="27"/>
      <c r="AV96" s="27"/>
      <c r="AW96" s="27"/>
      <c r="AX96" s="27"/>
      <c r="AY96" s="27"/>
      <c r="AZ96" s="27"/>
      <c r="BA96" s="27"/>
    </row>
    <row r="97" spans="1:53">
      <c r="A97" s="134"/>
      <c r="B97" s="28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>
        <v>5</v>
      </c>
      <c r="O97" s="27"/>
      <c r="P97" s="28"/>
      <c r="Q97" s="27"/>
      <c r="R97" s="27"/>
      <c r="S97" s="79"/>
      <c r="T97" s="3">
        <v>438</v>
      </c>
      <c r="U97" s="3">
        <v>109</v>
      </c>
      <c r="V97" s="3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P97" s="27"/>
      <c r="AT97" s="27"/>
      <c r="AU97" s="27"/>
      <c r="AV97" s="27"/>
      <c r="AW97" s="27"/>
      <c r="AX97" s="27"/>
      <c r="AY97" s="27"/>
      <c r="AZ97" s="27"/>
      <c r="BA97" s="27"/>
    </row>
    <row r="98" spans="1:53">
      <c r="A98" s="134"/>
      <c r="B98" s="28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>
        <v>6</v>
      </c>
      <c r="O98" s="27"/>
      <c r="P98" s="28"/>
      <c r="Q98" s="27"/>
      <c r="R98" s="27"/>
      <c r="S98" s="79"/>
      <c r="T98" s="3">
        <v>480</v>
      </c>
      <c r="U98" s="3">
        <v>120</v>
      </c>
      <c r="V98" s="3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P98" s="27"/>
      <c r="AT98" s="27"/>
      <c r="AU98" s="27"/>
      <c r="AV98" s="27"/>
      <c r="AW98" s="27"/>
      <c r="AX98" s="27"/>
      <c r="AY98" s="27"/>
      <c r="AZ98" s="27"/>
      <c r="BA98" s="27"/>
    </row>
    <row r="99" spans="1:53">
      <c r="A99" s="134"/>
      <c r="B99" s="28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>
        <v>7</v>
      </c>
      <c r="O99" s="27"/>
      <c r="P99" s="28"/>
      <c r="Q99" s="27"/>
      <c r="R99" s="27"/>
      <c r="S99" s="79"/>
      <c r="T99" s="3">
        <v>528</v>
      </c>
      <c r="U99" s="3">
        <v>132</v>
      </c>
      <c r="V99" s="3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P99" s="27"/>
      <c r="AT99" s="27"/>
      <c r="AU99" s="27"/>
      <c r="AV99" s="27"/>
      <c r="AW99" s="27"/>
      <c r="AX99" s="27"/>
      <c r="AY99" s="27"/>
      <c r="AZ99" s="27"/>
      <c r="BA99" s="27"/>
    </row>
    <row r="100" spans="1:53">
      <c r="A100" s="134"/>
      <c r="B100" s="28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>
        <v>8</v>
      </c>
      <c r="O100" s="27"/>
      <c r="P100" s="28"/>
      <c r="Q100" s="27"/>
      <c r="R100" s="27"/>
      <c r="S100" s="79"/>
      <c r="T100" s="3">
        <v>579</v>
      </c>
      <c r="U100" s="3">
        <v>144</v>
      </c>
      <c r="V100" s="3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P100" s="27"/>
      <c r="AT100" s="27"/>
      <c r="AU100" s="27"/>
      <c r="AV100" s="27"/>
      <c r="AW100" s="27"/>
      <c r="AX100" s="27"/>
      <c r="AY100" s="27"/>
      <c r="AZ100" s="27"/>
      <c r="BA100" s="27"/>
    </row>
    <row r="101" spans="1:53">
      <c r="A101" s="134"/>
      <c r="B101" s="28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>
        <v>9</v>
      </c>
      <c r="O101" s="27"/>
      <c r="P101" s="28"/>
      <c r="Q101" s="27"/>
      <c r="R101" s="27"/>
      <c r="S101" s="79"/>
      <c r="T101" s="3">
        <v>636</v>
      </c>
      <c r="U101" s="3">
        <v>159</v>
      </c>
      <c r="V101" s="3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P101" s="27"/>
      <c r="AT101" s="27"/>
      <c r="AU101" s="27"/>
      <c r="AV101" s="27"/>
      <c r="AW101" s="27"/>
      <c r="AX101" s="27"/>
      <c r="AY101" s="27"/>
      <c r="AZ101" s="27"/>
      <c r="BA101" s="27"/>
    </row>
    <row r="102" spans="1:53">
      <c r="A102" s="134"/>
      <c r="B102" s="28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>
        <v>10</v>
      </c>
      <c r="O102" s="27"/>
      <c r="P102" s="28"/>
      <c r="Q102" s="27"/>
      <c r="R102" s="27"/>
      <c r="S102" s="79"/>
      <c r="T102" s="3">
        <v>699</v>
      </c>
      <c r="U102" s="3">
        <v>174</v>
      </c>
      <c r="V102" s="3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P102" s="27"/>
      <c r="AT102" s="27"/>
      <c r="AU102" s="27"/>
      <c r="AV102" s="27"/>
      <c r="AW102" s="27"/>
      <c r="AX102" s="27"/>
      <c r="AY102" s="27"/>
      <c r="AZ102" s="27"/>
      <c r="BA102" s="27"/>
    </row>
    <row r="103" spans="1:53">
      <c r="A103" s="134"/>
      <c r="B103" s="28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>
        <v>11</v>
      </c>
      <c r="O103" s="27"/>
      <c r="P103" s="28"/>
      <c r="Q103" s="27"/>
      <c r="R103" s="27"/>
      <c r="S103" s="79"/>
      <c r="T103" s="3">
        <v>768</v>
      </c>
      <c r="U103" s="3">
        <v>192</v>
      </c>
      <c r="V103" s="3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P103" s="27"/>
      <c r="AT103" s="27"/>
      <c r="AU103" s="27"/>
      <c r="AV103" s="27"/>
      <c r="AW103" s="27"/>
      <c r="AX103" s="27"/>
      <c r="AY103" s="27"/>
      <c r="AZ103" s="27"/>
      <c r="BA103" s="27"/>
    </row>
    <row r="104" spans="1:53">
      <c r="A104" s="134"/>
      <c r="B104" s="28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>
        <v>12</v>
      </c>
      <c r="O104" s="27"/>
      <c r="P104" s="28"/>
      <c r="Q104" s="27"/>
      <c r="R104" s="27"/>
      <c r="S104" s="79"/>
      <c r="T104" s="3">
        <v>843</v>
      </c>
      <c r="U104" s="3">
        <v>210</v>
      </c>
      <c r="V104" s="3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P104" s="27"/>
      <c r="AT104" s="27"/>
      <c r="AU104" s="27"/>
      <c r="AV104" s="27"/>
      <c r="AW104" s="27"/>
      <c r="AX104" s="27"/>
      <c r="AY104" s="27"/>
      <c r="AZ104" s="27"/>
      <c r="BA104" s="27"/>
    </row>
    <row r="105" spans="1:53">
      <c r="A105" s="134"/>
      <c r="B105" s="28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>
        <v>13</v>
      </c>
      <c r="O105" s="27"/>
      <c r="P105" s="28"/>
      <c r="Q105" s="27"/>
      <c r="R105" s="27"/>
      <c r="S105" s="79"/>
      <c r="T105" s="3">
        <v>927</v>
      </c>
      <c r="U105" s="3">
        <v>231</v>
      </c>
      <c r="V105" s="3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P105" s="27"/>
      <c r="AT105" s="27"/>
      <c r="AU105" s="27"/>
      <c r="AV105" s="27"/>
      <c r="AW105" s="27"/>
      <c r="AX105" s="27"/>
      <c r="AY105" s="27"/>
      <c r="AZ105" s="27"/>
      <c r="BA105" s="27"/>
    </row>
    <row r="106" spans="1:53">
      <c r="A106" s="134"/>
      <c r="B106" s="28">
        <v>9</v>
      </c>
      <c r="C106" s="53" t="str">
        <f t="shared" ref="C106" si="60">VLOOKUP($B106,一级属性,C$1,)</f>
        <v>丸子兵团</v>
      </c>
      <c r="D106" s="53" t="str">
        <f t="shared" ref="D106" si="61">VLOOKUP($B106,一级属性,D$1,)</f>
        <v>六只小蜜蜂呀，飞到花丛中呀，飞呀，pia，pia~</v>
      </c>
      <c r="E106" s="27"/>
      <c r="F106" s="53">
        <f t="shared" ref="F106:L106" si="62">VLOOKUP($B106,一级属性,F$1,)</f>
        <v>1</v>
      </c>
      <c r="G106" s="53">
        <f t="shared" si="62"/>
        <v>4</v>
      </c>
      <c r="H106" s="53">
        <f t="shared" si="62"/>
        <v>0</v>
      </c>
      <c r="I106" s="53">
        <f t="shared" si="62"/>
        <v>155</v>
      </c>
      <c r="J106" s="53">
        <f t="shared" si="62"/>
        <v>0</v>
      </c>
      <c r="K106" s="53">
        <f t="shared" si="62"/>
        <v>1225</v>
      </c>
      <c r="L106" s="53">
        <f t="shared" si="62"/>
        <v>2210</v>
      </c>
      <c r="M106" s="28">
        <v>1</v>
      </c>
      <c r="N106" s="27">
        <v>1</v>
      </c>
      <c r="O106" s="53">
        <f t="shared" ref="O106" si="63">VLOOKUP($B106,一级属性,O$1,)</f>
        <v>5</v>
      </c>
      <c r="P106" s="28">
        <v>0</v>
      </c>
      <c r="Q106" s="27">
        <v>2</v>
      </c>
      <c r="R106" s="27">
        <v>1</v>
      </c>
      <c r="S106" s="112">
        <v>0</v>
      </c>
      <c r="T106" s="3">
        <v>90</v>
      </c>
      <c r="U106" s="3">
        <v>40</v>
      </c>
      <c r="V106" s="112">
        <v>0</v>
      </c>
      <c r="W106" s="53">
        <f t="shared" ref="W106:AJ106" si="64">VLOOKUP($B106,一级属性,W$1,)</f>
        <v>333</v>
      </c>
      <c r="X106" s="53">
        <f t="shared" si="64"/>
        <v>1000</v>
      </c>
      <c r="Y106" s="53">
        <f t="shared" si="64"/>
        <v>63</v>
      </c>
      <c r="Z106" s="112">
        <v>0</v>
      </c>
      <c r="AA106" s="53">
        <f t="shared" si="64"/>
        <v>2</v>
      </c>
      <c r="AB106" s="53">
        <f t="shared" si="64"/>
        <v>15</v>
      </c>
      <c r="AC106" s="53">
        <f t="shared" si="64"/>
        <v>60</v>
      </c>
      <c r="AD106" s="53">
        <f t="shared" si="64"/>
        <v>2.5</v>
      </c>
      <c r="AE106" s="27">
        <v>0</v>
      </c>
      <c r="AF106" s="27">
        <v>0</v>
      </c>
      <c r="AG106" s="53">
        <f t="shared" si="64"/>
        <v>210</v>
      </c>
      <c r="AH106" s="53">
        <f t="shared" si="64"/>
        <v>0</v>
      </c>
      <c r="AI106" s="53">
        <f t="shared" si="64"/>
        <v>450</v>
      </c>
      <c r="AJ106" s="53">
        <f t="shared" si="64"/>
        <v>30</v>
      </c>
      <c r="AK106" s="27">
        <v>6</v>
      </c>
      <c r="AL106" s="27">
        <v>0</v>
      </c>
      <c r="AM106" s="53">
        <f t="shared" ref="AM106" si="65">VLOOKUP($B106,一级属性,AM$1,)</f>
        <v>0</v>
      </c>
      <c r="AN106" s="71">
        <v>0</v>
      </c>
      <c r="AO106" s="71">
        <v>0</v>
      </c>
      <c r="AP106" s="53">
        <f t="shared" ref="AP106" si="66">VLOOKUP($B106,一级属性,AP$1,)</f>
        <v>0</v>
      </c>
      <c r="AQ106" s="71">
        <v>0</v>
      </c>
      <c r="AR106" s="71">
        <v>0</v>
      </c>
      <c r="AS106" s="71">
        <v>0</v>
      </c>
      <c r="AT106" s="71">
        <v>0</v>
      </c>
      <c r="AU106" s="71">
        <v>0</v>
      </c>
      <c r="AV106" s="71">
        <v>0</v>
      </c>
      <c r="AW106" s="71">
        <v>0</v>
      </c>
      <c r="AX106" s="53">
        <f t="shared" ref="AX106" si="67">VLOOKUP($B106,一级属性,AX$1,)</f>
        <v>1000</v>
      </c>
      <c r="AY106" s="71">
        <v>0</v>
      </c>
      <c r="AZ106" s="71">
        <v>0</v>
      </c>
      <c r="BA106" s="27">
        <v>1</v>
      </c>
    </row>
    <row r="107" spans="1:53">
      <c r="A107" s="134"/>
      <c r="B107" s="28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>
        <v>2</v>
      </c>
      <c r="O107" s="27"/>
      <c r="P107" s="28"/>
      <c r="Q107" s="27"/>
      <c r="R107" s="27"/>
      <c r="S107" s="79"/>
      <c r="T107" s="3">
        <v>99</v>
      </c>
      <c r="U107" s="3">
        <v>44</v>
      </c>
      <c r="V107" s="3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P107" s="27"/>
      <c r="AT107" s="27"/>
      <c r="AU107" s="27"/>
      <c r="AV107" s="27"/>
      <c r="AW107" s="27"/>
      <c r="AX107" s="27"/>
      <c r="AY107" s="27"/>
      <c r="AZ107" s="27"/>
      <c r="BA107" s="27"/>
    </row>
    <row r="108" spans="1:53">
      <c r="A108" s="134"/>
      <c r="B108" s="28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>
        <v>3</v>
      </c>
      <c r="O108" s="27"/>
      <c r="P108" s="28"/>
      <c r="Q108" s="27"/>
      <c r="R108" s="27"/>
      <c r="S108" s="79"/>
      <c r="T108" s="3">
        <v>108</v>
      </c>
      <c r="U108" s="3">
        <v>48</v>
      </c>
      <c r="V108" s="3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P108" s="27"/>
      <c r="AT108" s="27"/>
      <c r="AU108" s="27"/>
      <c r="AV108" s="27"/>
      <c r="AW108" s="27"/>
      <c r="AX108" s="27"/>
      <c r="AY108" s="27"/>
      <c r="AZ108" s="27"/>
      <c r="BA108" s="27"/>
    </row>
    <row r="109" spans="1:53">
      <c r="A109" s="134"/>
      <c r="B109" s="28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>
        <v>4</v>
      </c>
      <c r="O109" s="27"/>
      <c r="P109" s="28"/>
      <c r="Q109" s="27"/>
      <c r="R109" s="27"/>
      <c r="S109" s="79"/>
      <c r="T109" s="3">
        <v>119</v>
      </c>
      <c r="U109" s="3">
        <v>53</v>
      </c>
      <c r="V109" s="3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P109" s="27"/>
      <c r="AT109" s="27"/>
      <c r="AU109" s="27"/>
      <c r="AV109" s="27"/>
      <c r="AW109" s="27"/>
      <c r="AX109" s="27"/>
      <c r="AY109" s="27"/>
      <c r="AZ109" s="27"/>
      <c r="BA109" s="27"/>
    </row>
    <row r="110" spans="1:53">
      <c r="A110" s="134"/>
      <c r="B110" s="28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>
        <v>5</v>
      </c>
      <c r="O110" s="27"/>
      <c r="P110" s="28"/>
      <c r="Q110" s="27"/>
      <c r="R110" s="27"/>
      <c r="S110" s="79"/>
      <c r="T110" s="3">
        <v>131</v>
      </c>
      <c r="U110" s="3">
        <v>58</v>
      </c>
      <c r="V110" s="3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P110" s="27"/>
      <c r="AT110" s="27"/>
      <c r="AU110" s="27"/>
      <c r="AV110" s="27"/>
      <c r="AW110" s="27"/>
      <c r="AX110" s="27"/>
      <c r="AY110" s="27"/>
      <c r="AZ110" s="27"/>
      <c r="BA110" s="27"/>
    </row>
    <row r="111" spans="1:53">
      <c r="A111" s="134"/>
      <c r="B111" s="28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>
        <v>6</v>
      </c>
      <c r="O111" s="27"/>
      <c r="P111" s="28"/>
      <c r="Q111" s="27"/>
      <c r="R111" s="27"/>
      <c r="S111" s="79"/>
      <c r="T111" s="3">
        <v>144</v>
      </c>
      <c r="U111" s="3">
        <v>64</v>
      </c>
      <c r="V111" s="3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P111" s="27"/>
      <c r="AT111" s="27"/>
      <c r="AU111" s="27"/>
      <c r="AV111" s="27"/>
      <c r="AW111" s="27"/>
      <c r="AX111" s="27"/>
      <c r="AY111" s="27"/>
      <c r="AZ111" s="27"/>
      <c r="BA111" s="27"/>
    </row>
    <row r="112" spans="1:53">
      <c r="A112" s="134"/>
      <c r="B112" s="28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>
        <v>7</v>
      </c>
      <c r="O112" s="27"/>
      <c r="P112" s="28"/>
      <c r="Q112" s="27"/>
      <c r="R112" s="27"/>
      <c r="S112" s="79"/>
      <c r="T112" s="3">
        <v>158</v>
      </c>
      <c r="U112" s="3">
        <v>70</v>
      </c>
      <c r="V112" s="3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P112" s="27"/>
      <c r="AT112" s="27"/>
      <c r="AU112" s="27"/>
      <c r="AV112" s="27"/>
      <c r="AW112" s="27"/>
      <c r="AX112" s="27"/>
      <c r="AY112" s="27"/>
      <c r="AZ112" s="27"/>
      <c r="BA112" s="27"/>
    </row>
    <row r="113" spans="1:53">
      <c r="A113" s="134"/>
      <c r="B113" s="28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>
        <v>8</v>
      </c>
      <c r="O113" s="27"/>
      <c r="P113" s="28"/>
      <c r="Q113" s="27"/>
      <c r="R113" s="27"/>
      <c r="S113" s="79"/>
      <c r="T113" s="3">
        <v>173</v>
      </c>
      <c r="U113" s="3">
        <v>77</v>
      </c>
      <c r="V113" s="3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P113" s="27"/>
      <c r="AT113" s="27"/>
      <c r="AU113" s="27"/>
      <c r="AV113" s="27"/>
      <c r="AW113" s="27"/>
      <c r="AX113" s="27"/>
      <c r="AY113" s="27"/>
      <c r="AZ113" s="27"/>
      <c r="BA113" s="27"/>
    </row>
    <row r="114" spans="1:53">
      <c r="A114" s="134"/>
      <c r="B114" s="28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>
        <v>9</v>
      </c>
      <c r="O114" s="27"/>
      <c r="P114" s="28"/>
      <c r="Q114" s="27"/>
      <c r="R114" s="27"/>
      <c r="S114" s="79"/>
      <c r="T114" s="3">
        <v>190</v>
      </c>
      <c r="U114" s="3">
        <v>84</v>
      </c>
      <c r="V114" s="3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P114" s="27"/>
      <c r="AT114" s="27"/>
      <c r="AU114" s="27"/>
      <c r="AV114" s="27"/>
      <c r="AW114" s="27"/>
      <c r="AX114" s="27"/>
      <c r="AY114" s="27"/>
      <c r="AZ114" s="27"/>
      <c r="BA114" s="27"/>
    </row>
    <row r="115" spans="1:53">
      <c r="A115" s="134"/>
      <c r="B115" s="28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>
        <v>10</v>
      </c>
      <c r="O115" s="27"/>
      <c r="P115" s="28"/>
      <c r="Q115" s="27"/>
      <c r="R115" s="27"/>
      <c r="S115" s="79"/>
      <c r="T115" s="3">
        <v>209</v>
      </c>
      <c r="U115" s="3">
        <v>93</v>
      </c>
      <c r="V115" s="3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P115" s="27"/>
      <c r="AT115" s="27"/>
      <c r="AU115" s="27"/>
      <c r="AV115" s="27"/>
      <c r="AW115" s="27"/>
      <c r="AX115" s="27"/>
      <c r="AY115" s="27"/>
      <c r="AZ115" s="27"/>
      <c r="BA115" s="27"/>
    </row>
    <row r="116" spans="1:53">
      <c r="A116" s="134"/>
      <c r="B116" s="28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>
        <v>11</v>
      </c>
      <c r="O116" s="27"/>
      <c r="P116" s="28"/>
      <c r="Q116" s="27"/>
      <c r="R116" s="27"/>
      <c r="S116" s="79"/>
      <c r="T116" s="3">
        <v>230</v>
      </c>
      <c r="U116" s="3">
        <v>102</v>
      </c>
      <c r="V116" s="3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P116" s="27"/>
      <c r="AT116" s="27"/>
      <c r="AU116" s="27"/>
      <c r="AV116" s="27"/>
      <c r="AW116" s="27"/>
      <c r="AX116" s="27"/>
      <c r="AY116" s="27"/>
      <c r="AZ116" s="27"/>
      <c r="BA116" s="27"/>
    </row>
    <row r="117" spans="1:53">
      <c r="A117" s="134"/>
      <c r="B117" s="28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>
        <v>12</v>
      </c>
      <c r="O117" s="27"/>
      <c r="P117" s="28"/>
      <c r="Q117" s="27"/>
      <c r="R117" s="27"/>
      <c r="S117" s="79"/>
      <c r="T117" s="3">
        <v>252</v>
      </c>
      <c r="U117" s="3">
        <v>112</v>
      </c>
      <c r="V117" s="3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P117" s="27"/>
      <c r="AT117" s="27"/>
      <c r="AU117" s="27"/>
      <c r="AV117" s="27"/>
      <c r="AW117" s="27"/>
      <c r="AX117" s="27"/>
      <c r="AY117" s="27"/>
      <c r="AZ117" s="27"/>
      <c r="BA117" s="27"/>
    </row>
    <row r="118" spans="1:53">
      <c r="A118" s="134"/>
      <c r="B118" s="28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>
        <v>13</v>
      </c>
      <c r="O118" s="27"/>
      <c r="P118" s="28"/>
      <c r="Q118" s="27"/>
      <c r="R118" s="27"/>
      <c r="S118" s="79"/>
      <c r="T118" s="3">
        <v>278</v>
      </c>
      <c r="U118" s="3">
        <v>123</v>
      </c>
      <c r="V118" s="3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P118" s="27"/>
      <c r="AT118" s="27"/>
      <c r="AU118" s="27"/>
      <c r="AV118" s="27"/>
      <c r="AW118" s="27"/>
      <c r="AX118" s="27"/>
      <c r="AY118" s="27"/>
      <c r="AZ118" s="27"/>
      <c r="BA118" s="27"/>
    </row>
    <row r="119" spans="1:53">
      <c r="A119" s="134"/>
      <c r="B119" s="28">
        <v>12</v>
      </c>
      <c r="C119" s="53" t="str">
        <f t="shared" ref="C119" si="68">VLOOKUP($B119,一级属性,C$1,)</f>
        <v>莫西干战神</v>
      </c>
      <c r="D119" s="53" t="str">
        <f t="shared" ref="D119" si="69">VLOOKUP($B119,一级属性,D$1,)</f>
        <v>部落守护者，心中充满神族后裔的自豪感，拥有强悍的近战能力，再多的敌人在他面前都不堪一击。</v>
      </c>
      <c r="E119" s="27"/>
      <c r="F119" s="53">
        <f t="shared" ref="F119:L119" si="70">VLOOKUP($B119,一级属性,F$1,)</f>
        <v>1</v>
      </c>
      <c r="G119" s="53">
        <f t="shared" si="70"/>
        <v>1</v>
      </c>
      <c r="H119" s="53">
        <f t="shared" si="70"/>
        <v>0</v>
      </c>
      <c r="I119" s="53">
        <f t="shared" si="70"/>
        <v>20</v>
      </c>
      <c r="J119" s="53">
        <f t="shared" si="70"/>
        <v>1</v>
      </c>
      <c r="K119" s="53">
        <f t="shared" si="70"/>
        <v>1207</v>
      </c>
      <c r="L119" s="53">
        <f t="shared" si="70"/>
        <v>2207</v>
      </c>
      <c r="M119" s="28">
        <v>0</v>
      </c>
      <c r="N119" s="27">
        <v>1</v>
      </c>
      <c r="O119" s="53">
        <f t="shared" ref="O119" si="71">VLOOKUP($B119,一级属性,O$1,)</f>
        <v>4</v>
      </c>
      <c r="P119" s="28">
        <v>0</v>
      </c>
      <c r="Q119" s="27">
        <v>0</v>
      </c>
      <c r="R119" s="27">
        <v>3</v>
      </c>
      <c r="S119" s="112">
        <v>0</v>
      </c>
      <c r="T119" s="30">
        <v>880</v>
      </c>
      <c r="U119" s="30">
        <v>120</v>
      </c>
      <c r="V119" s="112">
        <v>0</v>
      </c>
      <c r="W119" s="53">
        <f t="shared" ref="W119:X119" si="72">VLOOKUP($B119,一级属性,W$1,)</f>
        <v>333</v>
      </c>
      <c r="X119" s="53">
        <f t="shared" si="72"/>
        <v>1500</v>
      </c>
      <c r="Y119" s="53">
        <f t="shared" ref="Y119:AJ119" si="73">VLOOKUP($B119,一级属性,Y$1,)</f>
        <v>42</v>
      </c>
      <c r="Z119" s="112">
        <v>0</v>
      </c>
      <c r="AA119" s="53">
        <f t="shared" si="73"/>
        <v>2</v>
      </c>
      <c r="AB119" s="53">
        <f t="shared" si="73"/>
        <v>20</v>
      </c>
      <c r="AC119" s="53">
        <f t="shared" si="73"/>
        <v>36</v>
      </c>
      <c r="AD119" s="53" t="str">
        <f t="shared" si="73"/>
        <v>近战</v>
      </c>
      <c r="AE119" s="27">
        <v>0</v>
      </c>
      <c r="AF119" s="27">
        <v>0</v>
      </c>
      <c r="AG119" s="53">
        <f t="shared" ref="AG119" si="74">VLOOKUP($B119,一级属性,AG$1,)</f>
        <v>210</v>
      </c>
      <c r="AH119" s="53">
        <f t="shared" si="73"/>
        <v>72</v>
      </c>
      <c r="AI119" s="53">
        <f t="shared" si="73"/>
        <v>450</v>
      </c>
      <c r="AJ119" s="53">
        <f t="shared" si="73"/>
        <v>0</v>
      </c>
      <c r="AK119" s="27">
        <v>1</v>
      </c>
      <c r="AL119" s="27">
        <v>0</v>
      </c>
      <c r="AM119" s="53">
        <f t="shared" ref="AM119" si="75">VLOOKUP($B119,一级属性,AM$1,)</f>
        <v>0</v>
      </c>
      <c r="AN119" s="71">
        <v>0</v>
      </c>
      <c r="AO119" s="71">
        <v>0</v>
      </c>
      <c r="AP119" s="53">
        <f t="shared" ref="AP119" si="76">VLOOKUP($B119,一级属性,AP$1,)</f>
        <v>0</v>
      </c>
      <c r="AQ119" s="71">
        <v>0</v>
      </c>
      <c r="AR119" s="71">
        <v>0</v>
      </c>
      <c r="AS119" s="71">
        <v>0</v>
      </c>
      <c r="AT119" s="71">
        <v>0</v>
      </c>
      <c r="AU119" s="71">
        <v>0</v>
      </c>
      <c r="AV119" s="71">
        <v>0</v>
      </c>
      <c r="AW119" s="71">
        <v>0</v>
      </c>
      <c r="AX119" s="53">
        <f t="shared" ref="AX119" si="77">VLOOKUP($B119,一级属性,AX$1,)</f>
        <v>1000</v>
      </c>
      <c r="AY119" s="71">
        <v>0</v>
      </c>
      <c r="AZ119" s="71">
        <v>0</v>
      </c>
      <c r="BA119" s="27">
        <v>0</v>
      </c>
    </row>
    <row r="120" spans="1:53">
      <c r="A120" s="134"/>
      <c r="B120" s="28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>
        <v>2</v>
      </c>
      <c r="O120" s="27"/>
      <c r="P120" s="28"/>
      <c r="Q120" s="27"/>
      <c r="R120" s="27"/>
      <c r="S120" s="79"/>
      <c r="T120" s="30">
        <v>968</v>
      </c>
      <c r="U120" s="30">
        <v>132</v>
      </c>
      <c r="V120" s="30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P120" s="27"/>
      <c r="AU120" s="27"/>
      <c r="AV120" s="27"/>
      <c r="AW120" s="27"/>
      <c r="AX120" s="27"/>
      <c r="AY120" s="27"/>
      <c r="AZ120" s="27"/>
      <c r="BA120" s="27"/>
    </row>
    <row r="121" spans="1:53">
      <c r="A121" s="134"/>
      <c r="B121" s="28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>
        <v>3</v>
      </c>
      <c r="O121" s="27"/>
      <c r="P121" s="28"/>
      <c r="Q121" s="27"/>
      <c r="R121" s="27"/>
      <c r="S121" s="79"/>
      <c r="T121" s="30">
        <v>1064</v>
      </c>
      <c r="U121" s="30">
        <v>145</v>
      </c>
      <c r="V121" s="30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P121" s="27"/>
      <c r="AU121" s="27"/>
      <c r="AV121" s="27"/>
      <c r="AW121" s="27"/>
      <c r="AX121" s="27"/>
      <c r="AY121" s="27"/>
      <c r="AZ121" s="27"/>
      <c r="BA121" s="27"/>
    </row>
    <row r="122" spans="1:53">
      <c r="A122" s="134"/>
      <c r="B122" s="28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>
        <v>4</v>
      </c>
      <c r="O122" s="27"/>
      <c r="P122" s="28"/>
      <c r="Q122" s="27"/>
      <c r="R122" s="27"/>
      <c r="S122" s="79"/>
      <c r="T122" s="30">
        <v>1170</v>
      </c>
      <c r="U122" s="30">
        <v>159</v>
      </c>
      <c r="V122" s="30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P122" s="27"/>
      <c r="AU122" s="27"/>
      <c r="AV122" s="27"/>
      <c r="AW122" s="27"/>
      <c r="AX122" s="27"/>
      <c r="AY122" s="27"/>
      <c r="AZ122" s="27"/>
      <c r="BA122" s="27"/>
    </row>
    <row r="123" spans="1:53">
      <c r="A123" s="134"/>
      <c r="B123" s="28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>
        <v>5</v>
      </c>
      <c r="O123" s="27"/>
      <c r="P123" s="28"/>
      <c r="Q123" s="27"/>
      <c r="R123" s="27"/>
      <c r="S123" s="79"/>
      <c r="T123" s="30">
        <v>1284</v>
      </c>
      <c r="U123" s="30">
        <v>175</v>
      </c>
      <c r="V123" s="30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P123" s="27"/>
      <c r="AU123" s="27"/>
      <c r="AV123" s="27"/>
      <c r="AW123" s="27"/>
      <c r="AX123" s="27"/>
      <c r="AY123" s="27"/>
      <c r="AZ123" s="27"/>
      <c r="BA123" s="27"/>
    </row>
    <row r="124" spans="1:53">
      <c r="A124" s="134"/>
      <c r="B124" s="28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>
        <v>6</v>
      </c>
      <c r="O124" s="27"/>
      <c r="P124" s="28"/>
      <c r="Q124" s="27"/>
      <c r="R124" s="27"/>
      <c r="S124" s="79"/>
      <c r="T124" s="30">
        <v>1408</v>
      </c>
      <c r="U124" s="30">
        <v>192</v>
      </c>
      <c r="V124" s="30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P124" s="27"/>
      <c r="AU124" s="27"/>
      <c r="AV124" s="27"/>
      <c r="AW124" s="27"/>
      <c r="AX124" s="27"/>
      <c r="AY124" s="27"/>
      <c r="AZ124" s="27"/>
      <c r="BA124" s="27"/>
    </row>
    <row r="125" spans="1:53">
      <c r="A125" s="134"/>
      <c r="B125" s="28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>
        <v>7</v>
      </c>
      <c r="O125" s="27"/>
      <c r="P125" s="28"/>
      <c r="Q125" s="27"/>
      <c r="R125" s="27"/>
      <c r="S125" s="79"/>
      <c r="T125" s="30">
        <v>1548</v>
      </c>
      <c r="U125" s="30">
        <v>211</v>
      </c>
      <c r="V125" s="30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P125" s="27"/>
      <c r="AU125" s="27"/>
      <c r="AV125" s="27"/>
      <c r="AW125" s="27"/>
      <c r="AX125" s="27"/>
      <c r="AY125" s="27"/>
      <c r="AZ125" s="27"/>
      <c r="BA125" s="27"/>
    </row>
    <row r="126" spans="1:53">
      <c r="A126" s="134"/>
      <c r="B126" s="28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>
        <v>8</v>
      </c>
      <c r="O126" s="27"/>
      <c r="P126" s="28"/>
      <c r="Q126" s="27"/>
      <c r="R126" s="27"/>
      <c r="S126" s="30"/>
      <c r="T126" s="30">
        <v>1698</v>
      </c>
      <c r="U126" s="30">
        <v>231</v>
      </c>
      <c r="V126" s="30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P126" s="27"/>
      <c r="AU126" s="27"/>
      <c r="AV126" s="27"/>
      <c r="AW126" s="27"/>
      <c r="AX126" s="27"/>
      <c r="AY126" s="27"/>
      <c r="AZ126" s="27"/>
      <c r="BA126" s="27"/>
    </row>
    <row r="127" spans="1:53">
      <c r="A127" s="134"/>
      <c r="B127" s="28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>
        <v>9</v>
      </c>
      <c r="O127" s="27"/>
      <c r="P127" s="28"/>
      <c r="Q127" s="27"/>
      <c r="R127" s="27"/>
      <c r="S127" s="30"/>
      <c r="T127" s="30">
        <v>1865</v>
      </c>
      <c r="U127" s="30">
        <v>254</v>
      </c>
      <c r="V127" s="30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P127" s="27"/>
      <c r="AU127" s="27"/>
      <c r="AV127" s="27"/>
      <c r="AW127" s="27"/>
      <c r="AX127" s="27"/>
      <c r="AY127" s="27"/>
      <c r="AZ127" s="27"/>
      <c r="BA127" s="27"/>
    </row>
    <row r="128" spans="1:53">
      <c r="A128" s="134"/>
      <c r="B128" s="28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>
        <v>10</v>
      </c>
      <c r="O128" s="27"/>
      <c r="P128" s="28"/>
      <c r="Q128" s="27"/>
      <c r="R128" s="27"/>
      <c r="S128" s="30"/>
      <c r="T128" s="30">
        <v>2050</v>
      </c>
      <c r="U128" s="30">
        <v>279</v>
      </c>
      <c r="V128" s="30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P128" s="27"/>
      <c r="AU128" s="27"/>
      <c r="AV128" s="27"/>
      <c r="AW128" s="27"/>
      <c r="AX128" s="27"/>
      <c r="AY128" s="27"/>
      <c r="AZ128" s="27"/>
      <c r="BA128" s="27"/>
    </row>
    <row r="129" spans="1:53">
      <c r="A129" s="134"/>
      <c r="B129" s="28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>
        <v>11</v>
      </c>
      <c r="O129" s="27"/>
      <c r="P129" s="28"/>
      <c r="Q129" s="27"/>
      <c r="R129" s="27"/>
      <c r="S129" s="30"/>
      <c r="T129" s="30">
        <v>2252</v>
      </c>
      <c r="U129" s="30">
        <v>307</v>
      </c>
      <c r="V129" s="30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P129" s="27"/>
      <c r="AU129" s="27"/>
      <c r="AV129" s="27"/>
      <c r="AW129" s="27"/>
      <c r="AX129" s="27"/>
      <c r="AY129" s="27"/>
      <c r="AZ129" s="27"/>
      <c r="BA129" s="27"/>
    </row>
    <row r="130" spans="1:53">
      <c r="A130" s="134"/>
      <c r="B130" s="28">
        <v>13</v>
      </c>
      <c r="C130" s="53" t="str">
        <f t="shared" ref="C130" si="78">VLOOKUP($B130,一级属性,C$1,)</f>
        <v>大猫</v>
      </c>
      <c r="D130" s="53" t="str">
        <f t="shared" ref="D130" si="79">VLOOKUP($B130,一级属性,D$1,)</f>
        <v>大猫的任务就是摧毁建筑，巨大的体型、缓慢的速度也可以为其他部队形成掩护。不要责怪他超强的胃口，要维持强大的力量就必须保证每日五餐。</v>
      </c>
      <c r="E130" s="27"/>
      <c r="F130" s="53">
        <f t="shared" ref="F130:L130" si="80">VLOOKUP($B130,一级属性,F$1,)</f>
        <v>1</v>
      </c>
      <c r="G130" s="53">
        <f t="shared" si="80"/>
        <v>0</v>
      </c>
      <c r="H130" s="53">
        <f t="shared" si="80"/>
        <v>0</v>
      </c>
      <c r="I130" s="53">
        <f t="shared" si="80"/>
        <v>85</v>
      </c>
      <c r="J130" s="53">
        <f t="shared" si="80"/>
        <v>1</v>
      </c>
      <c r="K130" s="53">
        <f t="shared" si="80"/>
        <v>1218</v>
      </c>
      <c r="L130" s="53">
        <f t="shared" si="80"/>
        <v>2218</v>
      </c>
      <c r="M130" s="28">
        <v>0</v>
      </c>
      <c r="N130" s="27">
        <v>1</v>
      </c>
      <c r="O130" s="53">
        <f t="shared" ref="O130" si="81">VLOOKUP($B130,一级属性,O$1,)</f>
        <v>5</v>
      </c>
      <c r="P130" s="28">
        <v>1</v>
      </c>
      <c r="Q130" s="27">
        <v>0</v>
      </c>
      <c r="R130" s="27">
        <v>0</v>
      </c>
      <c r="S130" s="112">
        <v>0</v>
      </c>
      <c r="T130" s="3">
        <v>2000</v>
      </c>
      <c r="U130" s="3">
        <v>126</v>
      </c>
      <c r="V130" s="112">
        <v>0</v>
      </c>
      <c r="W130" s="53">
        <f t="shared" ref="W130:X130" si="82">VLOOKUP($B130,一级属性,W$1,)</f>
        <v>266</v>
      </c>
      <c r="X130" s="53">
        <f t="shared" si="82"/>
        <v>1500</v>
      </c>
      <c r="Y130" s="53">
        <f t="shared" ref="Y130:AJ130" si="83">VLOOKUP($B130,一级属性,Y$1,)</f>
        <v>31</v>
      </c>
      <c r="Z130" s="112">
        <v>0</v>
      </c>
      <c r="AA130" s="53">
        <f t="shared" si="83"/>
        <v>2</v>
      </c>
      <c r="AB130" s="53">
        <f t="shared" si="83"/>
        <v>27</v>
      </c>
      <c r="AC130" s="53">
        <f t="shared" si="83"/>
        <v>15</v>
      </c>
      <c r="AD130" s="53" t="str">
        <f t="shared" si="83"/>
        <v>近战</v>
      </c>
      <c r="AE130" s="27">
        <v>0</v>
      </c>
      <c r="AF130" s="27">
        <v>0</v>
      </c>
      <c r="AG130" s="53">
        <f t="shared" ref="AG130" si="84">VLOOKUP($B130,一级属性,AG$1,)</f>
        <v>210</v>
      </c>
      <c r="AH130" s="53">
        <f t="shared" si="83"/>
        <v>0</v>
      </c>
      <c r="AI130" s="53">
        <f t="shared" si="83"/>
        <v>450</v>
      </c>
      <c r="AJ130" s="53">
        <f t="shared" si="83"/>
        <v>0</v>
      </c>
      <c r="AK130" s="27">
        <v>1</v>
      </c>
      <c r="AL130" s="27">
        <v>0</v>
      </c>
      <c r="AM130" s="53">
        <f t="shared" ref="AM130" si="85">VLOOKUP($B130,一级属性,AM$1,)</f>
        <v>0</v>
      </c>
      <c r="AN130" s="71">
        <v>0</v>
      </c>
      <c r="AO130" s="71">
        <v>0</v>
      </c>
      <c r="AP130" s="53">
        <f t="shared" ref="AP130" si="86">VLOOKUP($B130,一级属性,AP$1,)</f>
        <v>0</v>
      </c>
      <c r="AQ130" s="71">
        <v>0</v>
      </c>
      <c r="AR130" s="71">
        <v>0</v>
      </c>
      <c r="AS130" s="71">
        <v>0</v>
      </c>
      <c r="AT130" s="71">
        <v>0</v>
      </c>
      <c r="AU130" s="71">
        <v>0</v>
      </c>
      <c r="AV130" s="71">
        <v>0</v>
      </c>
      <c r="AW130" s="71">
        <v>0</v>
      </c>
      <c r="AX130" s="53">
        <f t="shared" ref="AX130" si="87">VLOOKUP($B130,一级属性,AX$1,)</f>
        <v>1000</v>
      </c>
      <c r="AY130" s="71">
        <v>0</v>
      </c>
      <c r="AZ130" s="71">
        <v>0</v>
      </c>
      <c r="BA130" s="27">
        <v>0</v>
      </c>
    </row>
    <row r="131" spans="1:53">
      <c r="A131" s="134"/>
      <c r="B131" s="28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>
        <v>2</v>
      </c>
      <c r="O131" s="27"/>
      <c r="P131" s="28"/>
      <c r="Q131" s="27"/>
      <c r="R131" s="27"/>
      <c r="S131" s="115"/>
      <c r="T131" s="3">
        <v>2200</v>
      </c>
      <c r="U131" s="3">
        <v>138</v>
      </c>
      <c r="V131" s="3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P131" s="27"/>
      <c r="AU131" s="27"/>
      <c r="AV131" s="27"/>
      <c r="AW131" s="27"/>
      <c r="AX131" s="27"/>
      <c r="AY131" s="27"/>
      <c r="AZ131" s="27"/>
      <c r="BA131" s="27"/>
    </row>
    <row r="132" spans="1:53">
      <c r="A132" s="134"/>
      <c r="B132" s="28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>
        <v>3</v>
      </c>
      <c r="O132" s="27"/>
      <c r="P132" s="28"/>
      <c r="Q132" s="27"/>
      <c r="R132" s="27"/>
      <c r="S132" s="79"/>
      <c r="T132" s="3">
        <v>2420</v>
      </c>
      <c r="U132" s="3">
        <v>152</v>
      </c>
      <c r="V132" s="3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P132" s="27"/>
      <c r="AU132" s="27"/>
      <c r="AV132" s="27"/>
      <c r="AW132" s="27"/>
      <c r="AX132" s="27"/>
      <c r="AY132" s="27"/>
      <c r="AZ132" s="27"/>
      <c r="BA132" s="27"/>
    </row>
    <row r="133" spans="1:53">
      <c r="A133" s="134"/>
      <c r="B133" s="28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>
        <v>4</v>
      </c>
      <c r="O133" s="27"/>
      <c r="P133" s="28"/>
      <c r="Q133" s="27"/>
      <c r="R133" s="27"/>
      <c r="S133" s="3"/>
      <c r="T133" s="3">
        <v>2660</v>
      </c>
      <c r="U133" s="3">
        <v>167</v>
      </c>
      <c r="V133" s="3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P133" s="27"/>
      <c r="AU133" s="27"/>
      <c r="AV133" s="27"/>
      <c r="AW133" s="27"/>
      <c r="AX133" s="27"/>
      <c r="AY133" s="27"/>
      <c r="AZ133" s="27"/>
      <c r="BA133" s="27"/>
    </row>
    <row r="134" spans="1:53">
      <c r="A134" s="134"/>
      <c r="B134" s="28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>
        <v>5</v>
      </c>
      <c r="O134" s="27"/>
      <c r="P134" s="28"/>
      <c r="Q134" s="27"/>
      <c r="R134" s="27"/>
      <c r="S134" s="3"/>
      <c r="T134" s="3">
        <v>2920</v>
      </c>
      <c r="U134" s="3">
        <v>183</v>
      </c>
      <c r="V134" s="3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P134" s="27"/>
      <c r="AU134" s="27"/>
      <c r="AV134" s="27"/>
      <c r="AW134" s="27"/>
      <c r="AX134" s="27"/>
      <c r="AY134" s="27"/>
      <c r="AZ134" s="27"/>
      <c r="BA134" s="27"/>
    </row>
    <row r="135" spans="1:53">
      <c r="A135" s="134"/>
      <c r="B135" s="28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>
        <v>6</v>
      </c>
      <c r="O135" s="27"/>
      <c r="P135" s="28"/>
      <c r="Q135" s="27"/>
      <c r="R135" s="27"/>
      <c r="S135" s="3"/>
      <c r="T135" s="3">
        <v>3200</v>
      </c>
      <c r="U135" s="3">
        <v>201</v>
      </c>
      <c r="V135" s="3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P135" s="27"/>
      <c r="AU135" s="27"/>
      <c r="AV135" s="27"/>
      <c r="AW135" s="27"/>
      <c r="AX135" s="27"/>
      <c r="AY135" s="27"/>
      <c r="AZ135" s="27"/>
      <c r="BA135" s="27"/>
    </row>
    <row r="136" spans="1:53">
      <c r="A136" s="134"/>
      <c r="B136" s="28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>
        <v>7</v>
      </c>
      <c r="O136" s="27"/>
      <c r="P136" s="28"/>
      <c r="Q136" s="27"/>
      <c r="R136" s="27"/>
      <c r="S136" s="3"/>
      <c r="T136" s="3">
        <v>3520</v>
      </c>
      <c r="U136" s="3">
        <v>221</v>
      </c>
      <c r="V136" s="3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P136" s="27"/>
      <c r="AU136" s="27"/>
      <c r="AV136" s="27"/>
      <c r="AW136" s="27"/>
      <c r="AX136" s="27"/>
      <c r="AY136" s="27"/>
      <c r="AZ136" s="27"/>
      <c r="BA136" s="27"/>
    </row>
    <row r="137" spans="1:53">
      <c r="A137" s="134"/>
      <c r="B137" s="28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>
        <v>8</v>
      </c>
      <c r="O137" s="27"/>
      <c r="P137" s="28"/>
      <c r="Q137" s="27"/>
      <c r="R137" s="27"/>
      <c r="S137" s="3"/>
      <c r="T137" s="3">
        <v>3860</v>
      </c>
      <c r="U137" s="3">
        <v>243</v>
      </c>
      <c r="V137" s="3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P137" s="27"/>
      <c r="AU137" s="27"/>
      <c r="AV137" s="27"/>
      <c r="AW137" s="27"/>
      <c r="AX137" s="27"/>
      <c r="AY137" s="27"/>
      <c r="AZ137" s="27"/>
      <c r="BA137" s="27"/>
    </row>
    <row r="138" spans="1:53">
      <c r="A138" s="134"/>
      <c r="B138" s="28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>
        <v>9</v>
      </c>
      <c r="O138" s="27"/>
      <c r="P138" s="28"/>
      <c r="Q138" s="27"/>
      <c r="R138" s="27"/>
      <c r="S138" s="3"/>
      <c r="T138" s="3">
        <v>4240</v>
      </c>
      <c r="U138" s="3">
        <v>267</v>
      </c>
      <c r="V138" s="3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P138" s="27"/>
      <c r="AU138" s="27"/>
      <c r="AV138" s="27"/>
      <c r="AW138" s="27"/>
      <c r="AX138" s="27"/>
      <c r="AY138" s="27"/>
      <c r="AZ138" s="27"/>
      <c r="BA138" s="27"/>
    </row>
    <row r="139" spans="1:53">
      <c r="A139" s="134"/>
      <c r="B139" s="28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>
        <v>10</v>
      </c>
      <c r="O139" s="27"/>
      <c r="P139" s="28"/>
      <c r="Q139" s="27"/>
      <c r="R139" s="27"/>
      <c r="S139" s="79"/>
      <c r="T139" s="3">
        <v>4660</v>
      </c>
      <c r="U139" s="3">
        <v>293</v>
      </c>
      <c r="V139" s="3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P139" s="27"/>
      <c r="AU139" s="27"/>
      <c r="AV139" s="27"/>
      <c r="AW139" s="27"/>
      <c r="AX139" s="27"/>
      <c r="AY139" s="27"/>
      <c r="AZ139" s="27"/>
      <c r="BA139" s="27"/>
    </row>
    <row r="140" spans="1:53">
      <c r="A140" s="134"/>
      <c r="B140" s="28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>
        <v>11</v>
      </c>
      <c r="O140" s="27"/>
      <c r="P140" s="28"/>
      <c r="Q140" s="27"/>
      <c r="R140" s="27"/>
      <c r="S140" s="79"/>
      <c r="T140" s="3">
        <v>5120</v>
      </c>
      <c r="U140" s="3">
        <v>322</v>
      </c>
      <c r="V140" s="3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P140" s="27"/>
      <c r="AU140" s="27"/>
      <c r="AV140" s="27"/>
      <c r="AW140" s="27"/>
      <c r="AX140" s="27"/>
      <c r="AY140" s="27"/>
      <c r="AZ140" s="27"/>
      <c r="BA140" s="27"/>
    </row>
    <row r="141" spans="1:53">
      <c r="A141" s="134"/>
      <c r="B141" s="28">
        <v>14</v>
      </c>
      <c r="C141" s="53" t="str">
        <f t="shared" ref="C141" si="88">VLOOKUP($B141,一级属性,C$1,)</f>
        <v>安卡斯</v>
      </c>
      <c r="D141" s="53" t="str">
        <f t="shared" ref="D141" si="89">VLOOKUP($B141,一级属性,D$1,)</f>
        <v>安卡斯是部落猎手中的MVP，这个使用神奇的单发火枪的家伙是出色的射手，并且可以攻击空中目标。自然赋予了他勇气和力量。</v>
      </c>
      <c r="E141" s="27"/>
      <c r="F141" s="53">
        <f t="shared" ref="F141:L141" si="90">VLOOKUP($B141,一级属性,F$1,)</f>
        <v>1</v>
      </c>
      <c r="G141" s="53">
        <f t="shared" si="90"/>
        <v>0</v>
      </c>
      <c r="H141" s="53">
        <f t="shared" si="90"/>
        <v>0</v>
      </c>
      <c r="I141" s="53">
        <f t="shared" si="90"/>
        <v>35</v>
      </c>
      <c r="J141" s="53">
        <f t="shared" si="90"/>
        <v>1</v>
      </c>
      <c r="K141" s="53">
        <f t="shared" si="90"/>
        <v>1227</v>
      </c>
      <c r="L141" s="53">
        <f t="shared" si="90"/>
        <v>2227</v>
      </c>
      <c r="M141" s="28">
        <v>1</v>
      </c>
      <c r="N141" s="27">
        <v>1</v>
      </c>
      <c r="O141" s="53">
        <f t="shared" ref="O141" si="91">VLOOKUP($B141,一级属性,O$1,)</f>
        <v>4</v>
      </c>
      <c r="P141" s="28">
        <v>0</v>
      </c>
      <c r="Q141" s="27">
        <v>2</v>
      </c>
      <c r="R141" s="27">
        <v>1</v>
      </c>
      <c r="S141" s="112">
        <v>0</v>
      </c>
      <c r="T141" s="3">
        <v>340</v>
      </c>
      <c r="U141" s="3">
        <v>100</v>
      </c>
      <c r="V141" s="112">
        <v>0</v>
      </c>
      <c r="W141" s="53">
        <f t="shared" ref="W141:AJ141" si="92">VLOOKUP($B141,一级属性,W$1,)</f>
        <v>166</v>
      </c>
      <c r="X141" s="53">
        <f t="shared" si="92"/>
        <v>1100</v>
      </c>
      <c r="Y141" s="53">
        <f t="shared" si="92"/>
        <v>42</v>
      </c>
      <c r="Z141" s="112">
        <v>0</v>
      </c>
      <c r="AA141" s="53">
        <f t="shared" si="92"/>
        <v>2</v>
      </c>
      <c r="AB141" s="53">
        <f t="shared" si="92"/>
        <v>20</v>
      </c>
      <c r="AC141" s="53">
        <f t="shared" si="92"/>
        <v>180</v>
      </c>
      <c r="AD141" s="53">
        <f t="shared" si="92"/>
        <v>6.5</v>
      </c>
      <c r="AE141" s="27">
        <v>0</v>
      </c>
      <c r="AF141" s="27">
        <v>0</v>
      </c>
      <c r="AG141" s="53">
        <f t="shared" si="92"/>
        <v>234</v>
      </c>
      <c r="AH141" s="53">
        <f t="shared" si="92"/>
        <v>0</v>
      </c>
      <c r="AI141" s="53">
        <f t="shared" si="92"/>
        <v>1300</v>
      </c>
      <c r="AJ141" s="53">
        <f t="shared" si="92"/>
        <v>0</v>
      </c>
      <c r="AK141" s="27">
        <v>1</v>
      </c>
      <c r="AL141" s="27">
        <v>0</v>
      </c>
      <c r="AM141" s="53">
        <f t="shared" ref="AM141" si="93">VLOOKUP($B141,一级属性,AM$1,)</f>
        <v>0</v>
      </c>
      <c r="AN141" s="71">
        <v>0</v>
      </c>
      <c r="AO141" s="71">
        <v>0</v>
      </c>
      <c r="AP141" s="53">
        <f t="shared" ref="AP141" si="94">VLOOKUP($B141,一级属性,AP$1,)</f>
        <v>0</v>
      </c>
      <c r="AQ141" s="71">
        <v>0</v>
      </c>
      <c r="AR141" s="71">
        <v>0</v>
      </c>
      <c r="AS141" s="71">
        <v>0</v>
      </c>
      <c r="AT141" s="71">
        <v>0</v>
      </c>
      <c r="AU141" s="71">
        <v>0</v>
      </c>
      <c r="AV141" s="71">
        <v>0</v>
      </c>
      <c r="AW141" s="71">
        <v>0</v>
      </c>
      <c r="AX141" s="53">
        <f t="shared" ref="AX141" si="95">VLOOKUP($B141,一级属性,AX$1,)</f>
        <v>1000</v>
      </c>
      <c r="AY141" s="71">
        <v>0</v>
      </c>
      <c r="AZ141" s="71">
        <v>0</v>
      </c>
      <c r="BA141" s="27">
        <v>0</v>
      </c>
    </row>
    <row r="142" spans="1:53">
      <c r="A142" s="134"/>
      <c r="B142" s="28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>
        <v>2</v>
      </c>
      <c r="O142" s="27"/>
      <c r="P142" s="28"/>
      <c r="Q142" s="27"/>
      <c r="R142" s="27"/>
      <c r="S142" s="79"/>
      <c r="T142" s="3">
        <v>374</v>
      </c>
      <c r="U142" s="3">
        <v>110</v>
      </c>
      <c r="V142" s="3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P142" s="27"/>
      <c r="AU142" s="27"/>
      <c r="AV142" s="27"/>
      <c r="AW142" s="27"/>
      <c r="AX142" s="27"/>
      <c r="AY142" s="27"/>
      <c r="AZ142" s="27"/>
      <c r="BA142" s="27"/>
    </row>
    <row r="143" spans="1:53">
      <c r="A143" s="134"/>
      <c r="B143" s="28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>
        <v>3</v>
      </c>
      <c r="O143" s="27"/>
      <c r="P143" s="28"/>
      <c r="Q143" s="27"/>
      <c r="R143" s="27"/>
      <c r="S143" s="79"/>
      <c r="T143" s="3">
        <v>411</v>
      </c>
      <c r="U143" s="3">
        <v>121</v>
      </c>
      <c r="V143" s="3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P143" s="27"/>
      <c r="AS143" s="27"/>
      <c r="AT143" s="27"/>
      <c r="AU143" s="27"/>
      <c r="AV143" s="27"/>
      <c r="AW143" s="27"/>
      <c r="AX143" s="27"/>
      <c r="AY143" s="27"/>
      <c r="AZ143" s="27"/>
      <c r="BA143" s="27"/>
    </row>
    <row r="144" spans="1:53">
      <c r="A144" s="134"/>
      <c r="B144" s="28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>
        <v>4</v>
      </c>
      <c r="O144" s="27"/>
      <c r="P144" s="28"/>
      <c r="Q144" s="27"/>
      <c r="R144" s="27"/>
      <c r="S144" s="79"/>
      <c r="T144" s="3">
        <v>452</v>
      </c>
      <c r="U144" s="3">
        <v>133</v>
      </c>
      <c r="V144" s="3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P144" s="27"/>
      <c r="AS144" s="27"/>
      <c r="AT144" s="27"/>
      <c r="AU144" s="27"/>
      <c r="AV144" s="27"/>
      <c r="AW144" s="27"/>
      <c r="AX144" s="27"/>
      <c r="AY144" s="27"/>
      <c r="AZ144" s="27"/>
      <c r="BA144" s="27"/>
    </row>
    <row r="145" spans="1:53">
      <c r="A145" s="134"/>
      <c r="B145" s="28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>
        <v>5</v>
      </c>
      <c r="O145" s="27"/>
      <c r="P145" s="28"/>
      <c r="Q145" s="27"/>
      <c r="R145" s="27"/>
      <c r="S145" s="79"/>
      <c r="T145" s="3">
        <v>496</v>
      </c>
      <c r="U145" s="3">
        <v>146</v>
      </c>
      <c r="V145" s="3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P145" s="27"/>
      <c r="AS145" s="27"/>
      <c r="AT145" s="27"/>
      <c r="AU145" s="27"/>
      <c r="AV145" s="27"/>
      <c r="AW145" s="27"/>
      <c r="AX145" s="27"/>
      <c r="AY145" s="27"/>
      <c r="AZ145" s="27"/>
      <c r="BA145" s="27"/>
    </row>
    <row r="146" spans="1:53">
      <c r="A146" s="134"/>
      <c r="B146" s="28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>
        <v>6</v>
      </c>
      <c r="O146" s="27"/>
      <c r="P146" s="28"/>
      <c r="Q146" s="27"/>
      <c r="R146" s="27"/>
      <c r="S146" s="79"/>
      <c r="T146" s="3">
        <v>544</v>
      </c>
      <c r="U146" s="3">
        <v>160</v>
      </c>
      <c r="V146" s="3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P146" s="27"/>
      <c r="AS146" s="27"/>
      <c r="AT146" s="27"/>
      <c r="AU146" s="27"/>
      <c r="AV146" s="27"/>
      <c r="AW146" s="27"/>
      <c r="AX146" s="27"/>
      <c r="AY146" s="27"/>
      <c r="AZ146" s="27"/>
      <c r="BA146" s="27"/>
    </row>
    <row r="147" spans="1:53">
      <c r="A147" s="134"/>
      <c r="B147" s="28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>
        <v>7</v>
      </c>
      <c r="O147" s="27"/>
      <c r="P147" s="28"/>
      <c r="Q147" s="27"/>
      <c r="R147" s="27"/>
      <c r="S147" s="79"/>
      <c r="T147" s="3">
        <v>598</v>
      </c>
      <c r="U147" s="3">
        <v>176</v>
      </c>
      <c r="V147" s="3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P147" s="27"/>
      <c r="AS147" s="27"/>
      <c r="AT147" s="27"/>
      <c r="AU147" s="27"/>
      <c r="AV147" s="27"/>
      <c r="AW147" s="27"/>
      <c r="AX147" s="27"/>
      <c r="AY147" s="27"/>
      <c r="AZ147" s="27"/>
      <c r="BA147" s="27"/>
    </row>
    <row r="148" spans="1:53">
      <c r="A148" s="134"/>
      <c r="B148" s="28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>
        <v>8</v>
      </c>
      <c r="O148" s="27"/>
      <c r="P148" s="28"/>
      <c r="Q148" s="27"/>
      <c r="R148" s="27"/>
      <c r="S148" s="79"/>
      <c r="T148" s="3">
        <v>656</v>
      </c>
      <c r="U148" s="3">
        <v>193</v>
      </c>
      <c r="V148" s="3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P148" s="27"/>
      <c r="AS148" s="27"/>
      <c r="AT148" s="27"/>
      <c r="AU148" s="27"/>
      <c r="AV148" s="27"/>
      <c r="AW148" s="27"/>
      <c r="AX148" s="27"/>
      <c r="AY148" s="27"/>
      <c r="AZ148" s="27"/>
      <c r="BA148" s="27"/>
    </row>
    <row r="149" spans="1:53">
      <c r="A149" s="134"/>
      <c r="B149" s="28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>
        <v>9</v>
      </c>
      <c r="O149" s="27"/>
      <c r="P149" s="28"/>
      <c r="Q149" s="27"/>
      <c r="R149" s="27"/>
      <c r="S149" s="79"/>
      <c r="T149" s="3">
        <v>720</v>
      </c>
      <c r="U149" s="3">
        <v>212</v>
      </c>
      <c r="V149" s="3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P149" s="27"/>
      <c r="AS149" s="27"/>
      <c r="AT149" s="27"/>
      <c r="AU149" s="27"/>
      <c r="AV149" s="27"/>
      <c r="AW149" s="27"/>
      <c r="AX149" s="27"/>
      <c r="AY149" s="27"/>
      <c r="AZ149" s="27"/>
      <c r="BA149" s="27"/>
    </row>
    <row r="150" spans="1:53">
      <c r="A150" s="134"/>
      <c r="B150" s="28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>
        <v>10</v>
      </c>
      <c r="O150" s="27"/>
      <c r="P150" s="28"/>
      <c r="Q150" s="27"/>
      <c r="R150" s="27"/>
      <c r="S150" s="79"/>
      <c r="T150" s="3">
        <v>792</v>
      </c>
      <c r="U150" s="3">
        <v>233</v>
      </c>
      <c r="V150" s="3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P150" s="27"/>
      <c r="AT150" s="27"/>
      <c r="AU150" s="27"/>
      <c r="AV150" s="27"/>
      <c r="AW150" s="27"/>
      <c r="AX150" s="27"/>
      <c r="AY150" s="27"/>
      <c r="AZ150" s="27"/>
      <c r="BA150" s="27"/>
    </row>
    <row r="151" spans="1:53">
      <c r="A151" s="134"/>
      <c r="B151" s="28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>
        <v>11</v>
      </c>
      <c r="O151" s="27"/>
      <c r="P151" s="28"/>
      <c r="Q151" s="27"/>
      <c r="R151" s="27"/>
      <c r="S151" s="79"/>
      <c r="T151" s="3">
        <v>870</v>
      </c>
      <c r="U151" s="3">
        <v>256</v>
      </c>
      <c r="V151" s="3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P151" s="27"/>
      <c r="AT151" s="27"/>
      <c r="AU151" s="27"/>
      <c r="AV151" s="27"/>
      <c r="AW151" s="27"/>
      <c r="AX151" s="27"/>
      <c r="AY151" s="27"/>
      <c r="AZ151" s="27"/>
      <c r="BA151" s="27"/>
    </row>
    <row r="152" spans="1:53">
      <c r="A152" s="134"/>
      <c r="B152" s="28">
        <v>16</v>
      </c>
      <c r="C152" s="53" t="str">
        <f>VLOOKUP($B152,一级属性,C$1,)</f>
        <v>飞龙</v>
      </c>
      <c r="D152" s="53" t="str">
        <f>VLOOKUP($B152,一级属性,D$1,)</f>
        <v>造成范围伤害的飞行部队。自从逛街时被兀鹰偷走了一枚龙蛋，从此就算在战斗时也随身携带剩下的。</v>
      </c>
      <c r="E152" s="27"/>
      <c r="F152" s="53">
        <f t="shared" ref="F152:L152" si="96">VLOOKUP($B152,一级属性,F$1,)</f>
        <v>1</v>
      </c>
      <c r="G152" s="53">
        <f t="shared" si="96"/>
        <v>0</v>
      </c>
      <c r="H152" s="53">
        <f t="shared" si="96"/>
        <v>0</v>
      </c>
      <c r="I152" s="53">
        <f t="shared" si="96"/>
        <v>60</v>
      </c>
      <c r="J152" s="53">
        <f t="shared" si="96"/>
        <v>2</v>
      </c>
      <c r="K152" s="53">
        <f t="shared" si="96"/>
        <v>1211</v>
      </c>
      <c r="L152" s="53">
        <f t="shared" si="96"/>
        <v>2211</v>
      </c>
      <c r="M152" s="28">
        <v>1</v>
      </c>
      <c r="N152" s="27">
        <v>1</v>
      </c>
      <c r="O152" s="53">
        <f>VLOOKUP($B152,一级属性,O$1,)</f>
        <v>4</v>
      </c>
      <c r="P152" s="28">
        <v>0</v>
      </c>
      <c r="Q152" s="27">
        <v>2</v>
      </c>
      <c r="R152" s="27">
        <v>2</v>
      </c>
      <c r="S152" s="112">
        <v>0</v>
      </c>
      <c r="T152" s="3">
        <v>800</v>
      </c>
      <c r="U152" s="3">
        <v>100</v>
      </c>
      <c r="V152" s="112">
        <v>0</v>
      </c>
      <c r="W152" s="53">
        <f t="shared" ref="W152:AJ152" si="97">VLOOKUP($B152,一级属性,W$1,)</f>
        <v>353</v>
      </c>
      <c r="X152" s="53">
        <f t="shared" si="97"/>
        <v>1800</v>
      </c>
      <c r="Y152" s="53">
        <f t="shared" si="97"/>
        <v>63</v>
      </c>
      <c r="Z152" s="112">
        <v>0</v>
      </c>
      <c r="AA152" s="53">
        <f t="shared" si="97"/>
        <v>2</v>
      </c>
      <c r="AB152" s="53">
        <f t="shared" si="97"/>
        <v>27</v>
      </c>
      <c r="AC152" s="53">
        <f t="shared" si="97"/>
        <v>90</v>
      </c>
      <c r="AD152" s="53">
        <f t="shared" si="97"/>
        <v>3.5</v>
      </c>
      <c r="AE152" s="27">
        <v>0</v>
      </c>
      <c r="AF152" s="27">
        <v>0</v>
      </c>
      <c r="AG152" s="53">
        <f t="shared" si="97"/>
        <v>210</v>
      </c>
      <c r="AH152" s="53">
        <f t="shared" si="97"/>
        <v>38</v>
      </c>
      <c r="AI152" s="53">
        <f t="shared" si="97"/>
        <v>450</v>
      </c>
      <c r="AJ152" s="53">
        <f t="shared" si="97"/>
        <v>0</v>
      </c>
      <c r="AK152" s="27">
        <v>1</v>
      </c>
      <c r="AL152" s="27">
        <v>0</v>
      </c>
      <c r="AM152" s="53">
        <f>VLOOKUP($B152,一级属性,AM$1,)</f>
        <v>0</v>
      </c>
      <c r="AN152" s="71">
        <v>0</v>
      </c>
      <c r="AO152" s="71">
        <v>0</v>
      </c>
      <c r="AP152" s="53">
        <f>VLOOKUP($B152,一级属性,AP$1,)</f>
        <v>0</v>
      </c>
      <c r="AQ152" s="71">
        <v>0</v>
      </c>
      <c r="AR152" s="71">
        <v>0</v>
      </c>
      <c r="AS152" s="71">
        <v>0</v>
      </c>
      <c r="AT152" s="71">
        <v>0</v>
      </c>
      <c r="AU152" s="71">
        <v>0</v>
      </c>
      <c r="AV152" s="71">
        <v>0</v>
      </c>
      <c r="AW152" s="71">
        <v>0</v>
      </c>
      <c r="AX152" s="53">
        <f>VLOOKUP($B152,一级属性,AX$1,)</f>
        <v>1000</v>
      </c>
      <c r="AY152" s="71">
        <v>0</v>
      </c>
      <c r="AZ152" s="71">
        <v>0</v>
      </c>
      <c r="BA152" s="27">
        <v>1</v>
      </c>
    </row>
    <row r="153" spans="1:53">
      <c r="A153" s="134"/>
      <c r="B153" s="28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>
        <v>2</v>
      </c>
      <c r="O153" s="27"/>
      <c r="P153" s="28"/>
      <c r="Q153" s="27"/>
      <c r="R153" s="27"/>
      <c r="S153" s="79"/>
      <c r="T153" s="3">
        <v>880</v>
      </c>
      <c r="U153" s="3">
        <v>110</v>
      </c>
      <c r="V153" s="3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P153" s="27"/>
      <c r="AU153" s="27"/>
      <c r="AV153" s="27"/>
      <c r="AW153" s="27"/>
      <c r="AX153" s="27"/>
      <c r="AY153" s="27"/>
      <c r="AZ153" s="27"/>
      <c r="BA153" s="27"/>
    </row>
    <row r="154" spans="1:53">
      <c r="A154" s="134"/>
      <c r="B154" s="28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>
        <v>3</v>
      </c>
      <c r="O154" s="27"/>
      <c r="P154" s="28"/>
      <c r="Q154" s="27"/>
      <c r="R154" s="27"/>
      <c r="S154" s="79"/>
      <c r="T154" s="3">
        <v>968</v>
      </c>
      <c r="U154" s="3">
        <v>121</v>
      </c>
      <c r="V154" s="3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P154" s="27"/>
      <c r="AT154" s="27"/>
      <c r="AU154" s="27"/>
      <c r="AV154" s="27"/>
      <c r="AW154" s="27"/>
      <c r="AX154" s="27"/>
      <c r="AY154" s="27"/>
      <c r="AZ154" s="27"/>
      <c r="BA154" s="27"/>
    </row>
    <row r="155" spans="1:53">
      <c r="A155" s="134"/>
      <c r="B155" s="28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>
        <v>4</v>
      </c>
      <c r="O155" s="27"/>
      <c r="P155" s="28"/>
      <c r="Q155" s="27"/>
      <c r="R155" s="27"/>
      <c r="S155" s="79"/>
      <c r="T155" s="3">
        <v>1064</v>
      </c>
      <c r="U155" s="3">
        <v>133</v>
      </c>
      <c r="V155" s="3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P155" s="27"/>
      <c r="AT155" s="27"/>
      <c r="AU155" s="27"/>
      <c r="AV155" s="27"/>
      <c r="AW155" s="27"/>
      <c r="AX155" s="27"/>
      <c r="AY155" s="27"/>
      <c r="AZ155" s="27"/>
      <c r="BA155" s="27"/>
    </row>
    <row r="156" spans="1:53">
      <c r="A156" s="134"/>
      <c r="B156" s="28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>
        <v>5</v>
      </c>
      <c r="O156" s="27"/>
      <c r="P156" s="28"/>
      <c r="Q156" s="27"/>
      <c r="R156" s="27"/>
      <c r="S156" s="79"/>
      <c r="T156" s="3">
        <v>1168</v>
      </c>
      <c r="U156" s="3">
        <v>146</v>
      </c>
      <c r="V156" s="3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P156" s="27"/>
      <c r="AT156" s="27"/>
      <c r="AU156" s="27"/>
      <c r="AV156" s="27"/>
      <c r="AW156" s="27"/>
      <c r="AX156" s="27"/>
      <c r="AY156" s="27"/>
      <c r="AZ156" s="27"/>
      <c r="BA156" s="27"/>
    </row>
    <row r="157" spans="1:53">
      <c r="A157" s="134"/>
      <c r="B157" s="28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>
        <v>6</v>
      </c>
      <c r="O157" s="27"/>
      <c r="P157" s="28"/>
      <c r="Q157" s="27"/>
      <c r="R157" s="27"/>
      <c r="S157" s="79"/>
      <c r="T157" s="3">
        <v>1280</v>
      </c>
      <c r="U157" s="3">
        <v>160</v>
      </c>
      <c r="V157" s="3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P157" s="27"/>
      <c r="AT157" s="27"/>
      <c r="AU157" s="27"/>
      <c r="AV157" s="27"/>
      <c r="AW157" s="27"/>
      <c r="AX157" s="27"/>
      <c r="AY157" s="27"/>
      <c r="AZ157" s="27"/>
      <c r="BA157" s="27"/>
    </row>
    <row r="158" spans="1:53">
      <c r="A158" s="134"/>
      <c r="B158" s="28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>
        <v>7</v>
      </c>
      <c r="O158" s="27"/>
      <c r="P158" s="28"/>
      <c r="Q158" s="27"/>
      <c r="R158" s="27"/>
      <c r="S158" s="79"/>
      <c r="T158" s="3">
        <v>1408</v>
      </c>
      <c r="U158" s="3">
        <v>176</v>
      </c>
      <c r="V158" s="3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P158" s="27"/>
      <c r="AT158" s="27"/>
      <c r="AU158" s="27"/>
      <c r="AV158" s="27"/>
      <c r="AW158" s="27"/>
      <c r="AX158" s="27"/>
      <c r="AY158" s="27"/>
      <c r="AZ158" s="27"/>
      <c r="BA158" s="27"/>
    </row>
    <row r="159" spans="1:53">
      <c r="A159" s="134"/>
      <c r="B159" s="28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>
        <v>8</v>
      </c>
      <c r="O159" s="27"/>
      <c r="P159" s="28"/>
      <c r="Q159" s="27"/>
      <c r="R159" s="27"/>
      <c r="S159" s="79"/>
      <c r="T159" s="3">
        <v>1544</v>
      </c>
      <c r="U159" s="3">
        <v>193</v>
      </c>
      <c r="V159" s="3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P159" s="27"/>
      <c r="AT159" s="27"/>
      <c r="AU159" s="27"/>
      <c r="AV159" s="27"/>
      <c r="AW159" s="27"/>
      <c r="AX159" s="27"/>
      <c r="AY159" s="27"/>
      <c r="AZ159" s="27"/>
      <c r="BA159" s="27"/>
    </row>
    <row r="160" spans="1:53">
      <c r="A160" s="134"/>
      <c r="B160" s="28">
        <v>17</v>
      </c>
      <c r="C160" s="53" t="str">
        <f>VLOOKUP($B160,一级属性,C$1,)</f>
        <v>骨头兄弟</v>
      </c>
      <c r="D160" s="53" t="str">
        <f>VLOOKUP($B160,一级属性,D$1,)</f>
        <v>朋友的阿姨的妹妹，全体出动！</v>
      </c>
      <c r="E160" s="27"/>
      <c r="F160" s="53">
        <f t="shared" ref="F160:L160" si="98">VLOOKUP($B160,一级属性,F$1,)</f>
        <v>1</v>
      </c>
      <c r="G160" s="53">
        <f t="shared" si="98"/>
        <v>0</v>
      </c>
      <c r="H160" s="53">
        <f t="shared" si="98"/>
        <v>0</v>
      </c>
      <c r="I160" s="53">
        <f t="shared" si="98"/>
        <v>55</v>
      </c>
      <c r="J160" s="53">
        <f t="shared" si="98"/>
        <v>2</v>
      </c>
      <c r="K160" s="53">
        <f t="shared" si="98"/>
        <v>1224</v>
      </c>
      <c r="L160" s="53">
        <f t="shared" si="98"/>
        <v>2217</v>
      </c>
      <c r="M160" s="28">
        <v>0</v>
      </c>
      <c r="N160" s="27">
        <v>1</v>
      </c>
      <c r="O160" s="53">
        <f>VLOOKUP($B160,一级属性,O$1,)</f>
        <v>3</v>
      </c>
      <c r="P160" s="28">
        <v>0</v>
      </c>
      <c r="Q160" s="27">
        <v>0</v>
      </c>
      <c r="R160" s="27">
        <v>0</v>
      </c>
      <c r="S160" s="112">
        <v>0</v>
      </c>
      <c r="T160" s="3">
        <v>51</v>
      </c>
      <c r="U160" s="3">
        <v>51</v>
      </c>
      <c r="V160" s="112">
        <v>0</v>
      </c>
      <c r="W160" s="53">
        <f t="shared" ref="W160" si="99">VLOOKUP($B160,一级属性,W$1,)</f>
        <v>166</v>
      </c>
      <c r="X160" s="53">
        <f t="shared" ref="X160:AJ160" si="100">VLOOKUP($B160,一级属性,X$1,)</f>
        <v>1000</v>
      </c>
      <c r="Y160" s="53">
        <f t="shared" si="100"/>
        <v>63</v>
      </c>
      <c r="Z160" s="112">
        <v>0</v>
      </c>
      <c r="AA160" s="53">
        <f t="shared" si="100"/>
        <v>2</v>
      </c>
      <c r="AB160" s="53">
        <f t="shared" si="100"/>
        <v>15</v>
      </c>
      <c r="AC160" s="53">
        <f t="shared" si="100"/>
        <v>5</v>
      </c>
      <c r="AD160" s="53" t="str">
        <f t="shared" si="100"/>
        <v>近战</v>
      </c>
      <c r="AE160" s="27">
        <v>0</v>
      </c>
      <c r="AF160" s="27">
        <v>0</v>
      </c>
      <c r="AG160" s="53">
        <f t="shared" si="100"/>
        <v>210</v>
      </c>
      <c r="AH160" s="53">
        <f t="shared" si="100"/>
        <v>0</v>
      </c>
      <c r="AI160" s="53">
        <f t="shared" si="100"/>
        <v>450</v>
      </c>
      <c r="AJ160" s="53">
        <f t="shared" si="100"/>
        <v>30</v>
      </c>
      <c r="AK160" s="28">
        <v>16</v>
      </c>
      <c r="AL160" s="27">
        <v>0</v>
      </c>
      <c r="AM160" s="53">
        <f>VLOOKUP($B160,一级属性,AM$1,)</f>
        <v>0</v>
      </c>
      <c r="AN160" s="71">
        <v>0</v>
      </c>
      <c r="AO160" s="71">
        <v>0</v>
      </c>
      <c r="AP160" s="53">
        <f>VLOOKUP($B160,一级属性,AP$1,)</f>
        <v>0</v>
      </c>
      <c r="AQ160" s="71">
        <v>0</v>
      </c>
      <c r="AR160" s="71">
        <v>0</v>
      </c>
      <c r="AS160" s="71">
        <v>0</v>
      </c>
      <c r="AT160" s="71">
        <v>0</v>
      </c>
      <c r="AU160" s="71">
        <v>0</v>
      </c>
      <c r="AV160" s="71">
        <v>0</v>
      </c>
      <c r="AW160" s="71">
        <v>0</v>
      </c>
      <c r="AX160" s="53">
        <f>VLOOKUP($B160,一级属性,AX$1,)</f>
        <v>1000</v>
      </c>
      <c r="AY160" s="71">
        <v>0</v>
      </c>
      <c r="AZ160" s="71">
        <v>0</v>
      </c>
      <c r="BA160" s="27">
        <v>0</v>
      </c>
    </row>
    <row r="161" spans="1:53">
      <c r="A161" s="134"/>
      <c r="B161" s="28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>
        <v>2</v>
      </c>
      <c r="O161" s="27"/>
      <c r="P161" s="28"/>
      <c r="Q161" s="27"/>
      <c r="R161" s="27"/>
      <c r="S161" s="79"/>
      <c r="T161" s="3">
        <v>56</v>
      </c>
      <c r="U161" s="3">
        <v>56</v>
      </c>
      <c r="V161" s="3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P161" s="27"/>
      <c r="AU161" s="27"/>
      <c r="AV161" s="27"/>
      <c r="AW161" s="27"/>
      <c r="AX161" s="27"/>
      <c r="AY161" s="27"/>
      <c r="AZ161" s="27"/>
      <c r="BA161" s="27"/>
    </row>
    <row r="162" spans="1:53">
      <c r="A162" s="134"/>
      <c r="B162" s="28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>
        <v>3</v>
      </c>
      <c r="O162" s="27"/>
      <c r="P162" s="28"/>
      <c r="Q162" s="27"/>
      <c r="R162" s="27"/>
      <c r="S162" s="3"/>
      <c r="T162" s="3">
        <v>61</v>
      </c>
      <c r="U162" s="3">
        <v>61</v>
      </c>
      <c r="V162" s="3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P162" s="27"/>
      <c r="AU162" s="27"/>
      <c r="AV162" s="27"/>
      <c r="AW162" s="27"/>
      <c r="AX162" s="27"/>
      <c r="AY162" s="27"/>
      <c r="AZ162" s="27"/>
      <c r="BA162" s="27"/>
    </row>
    <row r="163" spans="1:53">
      <c r="A163" s="134"/>
      <c r="B163" s="28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>
        <v>4</v>
      </c>
      <c r="O163" s="27"/>
      <c r="P163" s="28"/>
      <c r="Q163" s="27"/>
      <c r="R163" s="27"/>
      <c r="S163" s="3"/>
      <c r="T163" s="3">
        <v>67</v>
      </c>
      <c r="U163" s="3">
        <v>67</v>
      </c>
      <c r="V163" s="3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P163" s="27"/>
      <c r="AU163" s="27"/>
      <c r="AV163" s="27"/>
      <c r="AW163" s="27"/>
      <c r="AX163" s="27"/>
      <c r="AY163" s="27"/>
      <c r="AZ163" s="27"/>
      <c r="BA163" s="27"/>
    </row>
    <row r="164" spans="1:53">
      <c r="A164" s="134"/>
      <c r="B164" s="28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>
        <v>5</v>
      </c>
      <c r="O164" s="27"/>
      <c r="P164" s="28"/>
      <c r="Q164" s="27"/>
      <c r="R164" s="27"/>
      <c r="S164" s="3"/>
      <c r="T164" s="3">
        <v>74</v>
      </c>
      <c r="U164" s="3">
        <v>74</v>
      </c>
      <c r="V164" s="3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P164" s="27"/>
      <c r="AU164" s="27"/>
      <c r="AV164" s="27"/>
      <c r="AW164" s="27"/>
      <c r="AX164" s="27"/>
      <c r="AY164" s="27"/>
      <c r="AZ164" s="27"/>
      <c r="BA164" s="27"/>
    </row>
    <row r="165" spans="1:53">
      <c r="A165" s="134"/>
      <c r="B165" s="28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>
        <v>6</v>
      </c>
      <c r="O165" s="27"/>
      <c r="P165" s="28"/>
      <c r="Q165" s="27"/>
      <c r="R165" s="27"/>
      <c r="S165" s="3"/>
      <c r="T165" s="3">
        <v>81</v>
      </c>
      <c r="U165" s="3">
        <v>81</v>
      </c>
      <c r="V165" s="3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P165" s="27"/>
      <c r="AU165" s="27"/>
      <c r="AV165" s="27"/>
      <c r="AW165" s="27"/>
      <c r="AX165" s="27"/>
      <c r="AY165" s="27"/>
      <c r="AZ165" s="27"/>
      <c r="BA165" s="27"/>
    </row>
    <row r="166" spans="1:53">
      <c r="A166" s="134"/>
      <c r="B166" s="28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>
        <v>7</v>
      </c>
      <c r="O166" s="27"/>
      <c r="P166" s="28"/>
      <c r="Q166" s="27"/>
      <c r="R166" s="27"/>
      <c r="S166" s="3"/>
      <c r="T166" s="3">
        <v>89</v>
      </c>
      <c r="U166" s="3">
        <v>89</v>
      </c>
      <c r="V166" s="3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P166" s="27"/>
      <c r="AU166" s="27"/>
      <c r="AV166" s="27"/>
      <c r="AW166" s="27"/>
      <c r="AX166" s="27"/>
      <c r="AY166" s="27"/>
      <c r="AZ166" s="27"/>
      <c r="BA166" s="27"/>
    </row>
    <row r="167" spans="1:53">
      <c r="A167" s="134"/>
      <c r="B167" s="28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>
        <v>8</v>
      </c>
      <c r="O167" s="27"/>
      <c r="P167" s="28"/>
      <c r="Q167" s="27"/>
      <c r="R167" s="27"/>
      <c r="S167" s="79"/>
      <c r="T167" s="3">
        <v>98</v>
      </c>
      <c r="U167" s="3">
        <v>98</v>
      </c>
      <c r="V167" s="3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P167" s="27"/>
      <c r="AU167" s="27"/>
      <c r="AV167" s="27"/>
      <c r="AW167" s="27"/>
      <c r="AX167" s="27"/>
      <c r="AY167" s="27"/>
      <c r="AZ167" s="27"/>
      <c r="BA167" s="27"/>
    </row>
    <row r="168" spans="1:53">
      <c r="A168" s="134"/>
      <c r="B168" s="28">
        <v>20</v>
      </c>
      <c r="C168" s="53" t="str">
        <f>VLOOKUP($B168,一级属性,C$1,)</f>
        <v>布莱尔</v>
      </c>
      <c r="D168" s="53" t="str">
        <f>VLOOKUP($B168,一级属性,D$1,)</f>
        <v>布莱尔可以克服地心引力理论将自己的身体慢慢地漂浮起来，可惜这种超凡能力只能用来制造恐怖气氛。魔法光束是她常用的攻击手段，和神灵沟通后，也可以召唤出排骨部队助阵。</v>
      </c>
      <c r="E168" s="27"/>
      <c r="F168" s="53">
        <f t="shared" ref="F168:L168" si="101">VLOOKUP($B168,一级属性,F$1,)</f>
        <v>1</v>
      </c>
      <c r="G168" s="53">
        <f t="shared" si="101"/>
        <v>0</v>
      </c>
      <c r="H168" s="53">
        <f t="shared" si="101"/>
        <v>0</v>
      </c>
      <c r="I168" s="53">
        <f t="shared" si="101"/>
        <v>45</v>
      </c>
      <c r="J168" s="53">
        <f t="shared" si="101"/>
        <v>2</v>
      </c>
      <c r="K168" s="53">
        <f t="shared" si="101"/>
        <v>1204</v>
      </c>
      <c r="L168" s="53">
        <f t="shared" si="101"/>
        <v>2204</v>
      </c>
      <c r="M168" s="28">
        <v>1</v>
      </c>
      <c r="N168" s="27">
        <v>1</v>
      </c>
      <c r="O168" s="53">
        <f>VLOOKUP($B168,一级属性,O$1,)</f>
        <v>5</v>
      </c>
      <c r="P168" s="28">
        <v>0</v>
      </c>
      <c r="Q168" s="27">
        <v>2</v>
      </c>
      <c r="R168" s="27">
        <v>2</v>
      </c>
      <c r="S168" s="112">
        <v>0</v>
      </c>
      <c r="T168" s="3">
        <v>500</v>
      </c>
      <c r="U168" s="3">
        <v>38</v>
      </c>
      <c r="V168" s="112">
        <v>0</v>
      </c>
      <c r="W168" s="53">
        <f t="shared" ref="W168:AJ168" si="102">VLOOKUP($B168,一级属性,W$1,)</f>
        <v>333</v>
      </c>
      <c r="X168" s="53">
        <f t="shared" si="102"/>
        <v>700</v>
      </c>
      <c r="Y168" s="53">
        <f t="shared" si="102"/>
        <v>42</v>
      </c>
      <c r="Z168" s="112">
        <v>0</v>
      </c>
      <c r="AA168" s="53">
        <f t="shared" si="102"/>
        <v>2</v>
      </c>
      <c r="AB168" s="53">
        <f t="shared" si="102"/>
        <v>20</v>
      </c>
      <c r="AC168" s="53">
        <f t="shared" si="102"/>
        <v>150</v>
      </c>
      <c r="AD168" s="53">
        <f t="shared" si="102"/>
        <v>5.5</v>
      </c>
      <c r="AE168" s="27">
        <v>0</v>
      </c>
      <c r="AF168" s="27">
        <v>0</v>
      </c>
      <c r="AG168" s="53">
        <f t="shared" si="102"/>
        <v>210</v>
      </c>
      <c r="AH168" s="53">
        <f t="shared" si="102"/>
        <v>30</v>
      </c>
      <c r="AI168" s="53">
        <f t="shared" si="102"/>
        <v>450</v>
      </c>
      <c r="AJ168" s="53">
        <f t="shared" si="102"/>
        <v>0</v>
      </c>
      <c r="AK168" s="27">
        <v>1</v>
      </c>
      <c r="AL168" s="27">
        <v>3</v>
      </c>
      <c r="AM168" s="53">
        <f>VLOOKUP($B168,一级属性,AM$1,)</f>
        <v>0</v>
      </c>
      <c r="AN168" s="71">
        <v>0</v>
      </c>
      <c r="AO168" s="71">
        <v>0</v>
      </c>
      <c r="AP168" s="53">
        <f>VLOOKUP($B168,一级属性,AP$1,)</f>
        <v>0</v>
      </c>
      <c r="AQ168" s="27">
        <v>7500</v>
      </c>
      <c r="AR168" s="28">
        <v>3</v>
      </c>
      <c r="AS168" s="28">
        <v>1</v>
      </c>
      <c r="AT168" s="28">
        <v>6</v>
      </c>
      <c r="AU168" s="71">
        <v>0</v>
      </c>
      <c r="AV168" s="71">
        <v>0</v>
      </c>
      <c r="AW168" s="71">
        <v>0</v>
      </c>
      <c r="AX168" s="53">
        <f>VLOOKUP($B168,一级属性,AX$1,)</f>
        <v>1000</v>
      </c>
      <c r="AY168" s="71">
        <v>0</v>
      </c>
      <c r="AZ168" s="71">
        <v>0</v>
      </c>
      <c r="BA168" s="27">
        <v>0</v>
      </c>
    </row>
    <row r="169" spans="1:53">
      <c r="A169" s="134"/>
      <c r="B169" s="28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>
        <v>2</v>
      </c>
      <c r="O169" s="27"/>
      <c r="P169" s="28"/>
      <c r="Q169" s="27"/>
      <c r="R169" s="27"/>
      <c r="S169" s="79"/>
      <c r="T169" s="3">
        <v>550</v>
      </c>
      <c r="U169" s="3">
        <v>41</v>
      </c>
      <c r="V169" s="3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8">
        <v>7</v>
      </c>
      <c r="AU169" s="27"/>
      <c r="AX169" s="27"/>
      <c r="AY169" s="27"/>
      <c r="AZ169" s="27"/>
      <c r="BA169" s="27"/>
    </row>
    <row r="170" spans="1:53">
      <c r="A170" s="134"/>
      <c r="B170" s="28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>
        <v>3</v>
      </c>
      <c r="O170" s="27"/>
      <c r="P170" s="28"/>
      <c r="Q170" s="27"/>
      <c r="R170" s="27"/>
      <c r="S170" s="79"/>
      <c r="T170" s="3">
        <v>605</v>
      </c>
      <c r="U170" s="3">
        <v>45</v>
      </c>
      <c r="V170" s="3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8">
        <v>8</v>
      </c>
      <c r="AU170" s="27"/>
      <c r="AX170" s="27"/>
      <c r="AY170" s="27"/>
      <c r="AZ170" s="27"/>
      <c r="BA170" s="27"/>
    </row>
    <row r="171" spans="1:53">
      <c r="A171" s="134"/>
      <c r="B171" s="28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>
        <v>4</v>
      </c>
      <c r="O171" s="27"/>
      <c r="P171" s="28"/>
      <c r="Q171" s="27"/>
      <c r="R171" s="27"/>
      <c r="S171" s="79"/>
      <c r="T171" s="3">
        <v>665</v>
      </c>
      <c r="U171" s="3">
        <v>50</v>
      </c>
      <c r="V171" s="3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8">
        <v>9</v>
      </c>
      <c r="AU171" s="27"/>
      <c r="AX171" s="27"/>
      <c r="AY171" s="27"/>
      <c r="AZ171" s="27"/>
      <c r="BA171" s="27"/>
    </row>
    <row r="172" spans="1:53">
      <c r="A172" s="134"/>
      <c r="B172" s="28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>
        <v>5</v>
      </c>
      <c r="O172" s="27"/>
      <c r="P172" s="28"/>
      <c r="Q172" s="27"/>
      <c r="R172" s="27"/>
      <c r="S172" s="79"/>
      <c r="T172" s="3">
        <v>730</v>
      </c>
      <c r="U172" s="3">
        <v>55</v>
      </c>
      <c r="V172" s="3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8">
        <v>10</v>
      </c>
      <c r="AU172" s="27"/>
      <c r="AX172" s="27"/>
      <c r="AY172" s="27"/>
      <c r="AZ172" s="27"/>
      <c r="BA172" s="27"/>
    </row>
    <row r="173" spans="1:53">
      <c r="A173" s="134"/>
      <c r="B173" s="28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>
        <v>6</v>
      </c>
      <c r="O173" s="27"/>
      <c r="P173" s="28"/>
      <c r="Q173" s="27"/>
      <c r="R173" s="27"/>
      <c r="S173" s="79"/>
      <c r="T173" s="3">
        <v>800</v>
      </c>
      <c r="U173" s="3">
        <v>60</v>
      </c>
      <c r="V173" s="3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8">
        <v>11</v>
      </c>
      <c r="AU173" s="27"/>
      <c r="AX173" s="27"/>
      <c r="AY173" s="27"/>
      <c r="AZ173" s="27"/>
      <c r="BA173" s="27"/>
    </row>
    <row r="174" spans="1:53">
      <c r="A174" s="134"/>
      <c r="B174" s="28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>
        <v>7</v>
      </c>
      <c r="O174" s="27"/>
      <c r="P174" s="28"/>
      <c r="Q174" s="27"/>
      <c r="R174" s="27"/>
      <c r="S174" s="79"/>
      <c r="T174" s="3">
        <v>880</v>
      </c>
      <c r="U174" s="3">
        <v>66</v>
      </c>
      <c r="V174" s="3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8">
        <v>12</v>
      </c>
      <c r="AU174" s="27"/>
      <c r="AX174" s="27"/>
      <c r="AY174" s="27"/>
      <c r="AZ174" s="27"/>
      <c r="BA174" s="27"/>
    </row>
    <row r="175" spans="1:53">
      <c r="A175" s="134"/>
      <c r="B175" s="28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>
        <v>8</v>
      </c>
      <c r="O175" s="27"/>
      <c r="P175" s="28"/>
      <c r="Q175" s="27"/>
      <c r="R175" s="27"/>
      <c r="S175" s="79"/>
      <c r="T175" s="3">
        <v>965</v>
      </c>
      <c r="U175" s="3">
        <v>73</v>
      </c>
      <c r="V175" s="3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8">
        <v>13</v>
      </c>
      <c r="AU175" s="27"/>
      <c r="AX175" s="27"/>
      <c r="AY175" s="27"/>
      <c r="AZ175" s="27"/>
      <c r="BA175" s="27"/>
    </row>
    <row r="176" spans="1:53">
      <c r="A176" s="134"/>
      <c r="B176" s="28">
        <v>23</v>
      </c>
      <c r="C176" s="53" t="str">
        <f>VLOOKUP($B176,一级属性,C$1,)</f>
        <v>泰山</v>
      </c>
      <c r="D176" s="53" t="str">
        <f>VLOOKUP($B176,一级属性,D$1,)</f>
        <v>泰山的眼中只有建筑，他不但拥有出色的攻击和抗击打能力，自己战败后还不忘用香蕉招募两个小伙伴进行二次进攻，同时造成范围伤害。</v>
      </c>
      <c r="E176" s="27"/>
      <c r="F176" s="53">
        <f t="shared" ref="F176:L176" si="103">VLOOKUP($B176,一级属性,F$1,)</f>
        <v>1</v>
      </c>
      <c r="G176" s="53">
        <f t="shared" si="103"/>
        <v>6</v>
      </c>
      <c r="H176" s="53">
        <f t="shared" si="103"/>
        <v>1</v>
      </c>
      <c r="I176" s="53">
        <f t="shared" si="103"/>
        <v>220</v>
      </c>
      <c r="J176" s="53">
        <f t="shared" si="103"/>
        <v>2</v>
      </c>
      <c r="K176" s="53">
        <f t="shared" si="103"/>
        <v>1221</v>
      </c>
      <c r="L176" s="53">
        <f t="shared" si="103"/>
        <v>2221</v>
      </c>
      <c r="M176" s="28">
        <v>0</v>
      </c>
      <c r="N176" s="27">
        <v>1</v>
      </c>
      <c r="O176" s="53">
        <f>VLOOKUP($B176,一级属性,O$1,)</f>
        <v>8</v>
      </c>
      <c r="P176" s="28">
        <v>1</v>
      </c>
      <c r="Q176" s="27">
        <v>0</v>
      </c>
      <c r="R176" s="27">
        <v>0</v>
      </c>
      <c r="S176" s="112">
        <v>0</v>
      </c>
      <c r="T176" s="30">
        <v>3000</v>
      </c>
      <c r="U176" s="30">
        <v>186</v>
      </c>
      <c r="V176" s="112">
        <v>0</v>
      </c>
      <c r="W176" s="53">
        <f t="shared" ref="W176:AJ176" si="104">VLOOKUP($B176,一级属性,W$1,)</f>
        <v>300</v>
      </c>
      <c r="X176" s="53">
        <f t="shared" si="104"/>
        <v>2500</v>
      </c>
      <c r="Y176" s="53">
        <f t="shared" si="104"/>
        <v>31</v>
      </c>
      <c r="Z176" s="112">
        <v>0</v>
      </c>
      <c r="AA176" s="53">
        <f t="shared" si="104"/>
        <v>2</v>
      </c>
      <c r="AB176" s="53">
        <f t="shared" si="104"/>
        <v>27</v>
      </c>
      <c r="AC176" s="53">
        <f t="shared" si="104"/>
        <v>15</v>
      </c>
      <c r="AD176" s="53" t="str">
        <f t="shared" si="104"/>
        <v>近战</v>
      </c>
      <c r="AE176" s="27">
        <v>0</v>
      </c>
      <c r="AF176" s="27">
        <v>0</v>
      </c>
      <c r="AG176" s="53">
        <f t="shared" si="104"/>
        <v>210</v>
      </c>
      <c r="AH176" s="53">
        <f t="shared" si="104"/>
        <v>0</v>
      </c>
      <c r="AI176" s="53">
        <f t="shared" si="104"/>
        <v>450</v>
      </c>
      <c r="AJ176" s="53">
        <f t="shared" si="104"/>
        <v>0</v>
      </c>
      <c r="AK176" s="27">
        <v>1</v>
      </c>
      <c r="AL176" s="27" t="s">
        <v>45</v>
      </c>
      <c r="AM176" s="53">
        <f>VLOOKUP($B176,一级属性,AM$1,)</f>
        <v>60</v>
      </c>
      <c r="AN176" s="30">
        <v>186</v>
      </c>
      <c r="AO176" s="30">
        <v>0</v>
      </c>
      <c r="AP176" s="53">
        <f>VLOOKUP($B176,一级属性,AP$1,)</f>
        <v>10</v>
      </c>
      <c r="AQ176" s="71">
        <v>0</v>
      </c>
      <c r="AR176" s="71">
        <v>0</v>
      </c>
      <c r="AS176" s="71">
        <v>0</v>
      </c>
      <c r="AT176" s="71">
        <v>0</v>
      </c>
      <c r="AU176" s="27">
        <v>2</v>
      </c>
      <c r="AV176" s="27">
        <v>24</v>
      </c>
      <c r="AW176" s="27">
        <v>1</v>
      </c>
      <c r="AX176" s="53">
        <f>VLOOKUP($B176,一级属性,AX$1,)</f>
        <v>3000</v>
      </c>
      <c r="AY176" s="71">
        <v>0</v>
      </c>
      <c r="AZ176" s="71">
        <v>0</v>
      </c>
      <c r="BA176" s="27">
        <v>0</v>
      </c>
    </row>
    <row r="177" spans="1:53">
      <c r="A177" s="134"/>
      <c r="B177" s="28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>
        <v>2</v>
      </c>
      <c r="O177" s="27"/>
      <c r="P177" s="28"/>
      <c r="Q177" s="27"/>
      <c r="R177" s="27"/>
      <c r="S177" s="79"/>
      <c r="T177" s="30">
        <v>3300</v>
      </c>
      <c r="U177" s="30">
        <v>204</v>
      </c>
      <c r="V177" s="30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30">
        <v>204</v>
      </c>
      <c r="AO177" s="30"/>
      <c r="AP177" s="27"/>
      <c r="AQ177" s="27"/>
      <c r="AR177" s="27"/>
      <c r="AS177" s="27"/>
      <c r="AT177" s="27"/>
      <c r="AU177" s="27"/>
      <c r="AV177" s="27"/>
      <c r="AW177" s="27">
        <v>2</v>
      </c>
      <c r="AX177" s="27"/>
      <c r="AY177" s="27"/>
      <c r="AZ177" s="27"/>
      <c r="BA177" s="27"/>
    </row>
    <row r="178" spans="1:53">
      <c r="A178" s="134"/>
      <c r="B178" s="28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>
        <v>3</v>
      </c>
      <c r="O178" s="27"/>
      <c r="P178" s="28"/>
      <c r="Q178" s="27"/>
      <c r="R178" s="27"/>
      <c r="S178" s="30"/>
      <c r="T178" s="30">
        <v>3630</v>
      </c>
      <c r="U178" s="30">
        <v>225</v>
      </c>
      <c r="V178" s="30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30">
        <v>225</v>
      </c>
      <c r="AO178" s="30"/>
      <c r="AP178" s="27"/>
      <c r="AQ178" s="27"/>
      <c r="AR178" s="27"/>
      <c r="AS178" s="27"/>
      <c r="AT178" s="27"/>
      <c r="AU178" s="27"/>
      <c r="AV178" s="27"/>
      <c r="AW178" s="27">
        <v>3</v>
      </c>
      <c r="AX178" s="27"/>
      <c r="AY178" s="27"/>
      <c r="AZ178" s="27"/>
      <c r="BA178" s="27"/>
    </row>
    <row r="179" spans="1:53">
      <c r="A179" s="134"/>
      <c r="B179" s="28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>
        <v>4</v>
      </c>
      <c r="O179" s="27"/>
      <c r="P179" s="28"/>
      <c r="Q179" s="27"/>
      <c r="R179" s="27"/>
      <c r="S179" s="79"/>
      <c r="T179" s="30">
        <v>3990</v>
      </c>
      <c r="U179" s="30">
        <v>246</v>
      </c>
      <c r="V179" s="30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30">
        <v>246</v>
      </c>
      <c r="AO179" s="30"/>
      <c r="AP179" s="27"/>
      <c r="AQ179" s="27"/>
      <c r="AR179" s="27"/>
      <c r="AS179" s="27"/>
      <c r="AT179" s="27"/>
      <c r="AU179" s="27"/>
      <c r="AV179" s="27"/>
      <c r="AW179" s="27">
        <v>4</v>
      </c>
      <c r="AX179" s="27"/>
      <c r="AY179" s="27"/>
      <c r="AZ179" s="27"/>
      <c r="BA179" s="27"/>
    </row>
    <row r="180" spans="1:53">
      <c r="A180" s="134"/>
      <c r="B180" s="28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>
        <v>5</v>
      </c>
      <c r="O180" s="27"/>
      <c r="P180" s="28"/>
      <c r="Q180" s="27"/>
      <c r="R180" s="27"/>
      <c r="S180" s="79"/>
      <c r="T180" s="30">
        <v>4380</v>
      </c>
      <c r="U180" s="30">
        <v>270</v>
      </c>
      <c r="V180" s="30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30">
        <v>271</v>
      </c>
      <c r="AO180" s="30"/>
      <c r="AP180" s="27"/>
      <c r="AQ180" s="27"/>
      <c r="AR180" s="27"/>
      <c r="AS180" s="27"/>
      <c r="AT180" s="27"/>
      <c r="AU180" s="27"/>
      <c r="AV180" s="27"/>
      <c r="AW180" s="27">
        <v>5</v>
      </c>
      <c r="AX180" s="27"/>
      <c r="AY180" s="27"/>
      <c r="AZ180" s="27"/>
      <c r="BA180" s="27"/>
    </row>
    <row r="181" spans="1:53">
      <c r="A181" s="134"/>
      <c r="B181" s="28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>
        <v>6</v>
      </c>
      <c r="O181" s="27"/>
      <c r="P181" s="28"/>
      <c r="Q181" s="27"/>
      <c r="R181" s="27"/>
      <c r="S181" s="79"/>
      <c r="T181" s="30">
        <v>4800</v>
      </c>
      <c r="U181" s="30">
        <v>297</v>
      </c>
      <c r="V181" s="30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30">
        <v>297</v>
      </c>
      <c r="AO181" s="30"/>
      <c r="AP181" s="27"/>
      <c r="AQ181" s="27"/>
      <c r="AR181" s="27"/>
      <c r="AS181" s="27"/>
      <c r="AT181" s="27"/>
      <c r="AU181" s="27"/>
      <c r="AV181" s="27"/>
      <c r="AW181" s="27">
        <v>6</v>
      </c>
      <c r="AX181" s="27"/>
      <c r="AY181" s="27"/>
      <c r="AZ181" s="27"/>
      <c r="BA181" s="27"/>
    </row>
    <row r="182" spans="1:53">
      <c r="A182" s="134"/>
      <c r="B182" s="28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>
        <v>7</v>
      </c>
      <c r="O182" s="27"/>
      <c r="P182" s="28"/>
      <c r="Q182" s="27"/>
      <c r="R182" s="27"/>
      <c r="S182" s="79"/>
      <c r="T182" s="30">
        <v>5280</v>
      </c>
      <c r="U182" s="30">
        <v>327</v>
      </c>
      <c r="V182" s="30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30">
        <v>327</v>
      </c>
      <c r="AO182" s="30"/>
      <c r="AP182" s="27"/>
      <c r="AQ182" s="27"/>
      <c r="AR182" s="27"/>
      <c r="AS182" s="27"/>
      <c r="AT182" s="27"/>
      <c r="AU182" s="27"/>
      <c r="AV182" s="27"/>
      <c r="AW182" s="27">
        <v>7</v>
      </c>
      <c r="AX182" s="27"/>
      <c r="AY182" s="27"/>
      <c r="AZ182" s="27"/>
      <c r="BA182" s="27"/>
    </row>
    <row r="183" spans="1:53">
      <c r="A183" s="134"/>
      <c r="B183" s="28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>
        <v>8</v>
      </c>
      <c r="O183" s="27"/>
      <c r="P183" s="28"/>
      <c r="Q183" s="27"/>
      <c r="R183" s="27"/>
      <c r="S183" s="79"/>
      <c r="T183" s="30">
        <v>5790</v>
      </c>
      <c r="U183" s="30">
        <v>358</v>
      </c>
      <c r="V183" s="30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30">
        <v>358</v>
      </c>
      <c r="AO183" s="30"/>
      <c r="AP183" s="27"/>
      <c r="AQ183" s="27"/>
      <c r="AR183" s="27"/>
      <c r="AS183" s="27"/>
      <c r="AT183" s="27"/>
      <c r="AU183" s="27"/>
      <c r="AV183" s="27"/>
      <c r="AW183" s="27">
        <v>8</v>
      </c>
      <c r="AX183" s="27"/>
      <c r="AY183" s="27"/>
      <c r="AZ183" s="27"/>
      <c r="BA183" s="27"/>
    </row>
    <row r="184" spans="1:53">
      <c r="A184" s="134"/>
      <c r="B184" s="28">
        <v>24</v>
      </c>
      <c r="C184" s="53" t="str">
        <f>VLOOKUP($B184,一级属性,C$1,)</f>
        <v>泰山宝宝</v>
      </c>
      <c r="D184" s="53" t="str">
        <f>VLOOKUP($B184,一级属性,D$1,)</f>
        <v>——</v>
      </c>
      <c r="E184" s="27"/>
      <c r="F184" s="53">
        <f t="shared" ref="F184:L184" si="105">VLOOKUP($B184,一级属性,F$1,)</f>
        <v>0</v>
      </c>
      <c r="G184" s="53">
        <f t="shared" si="105"/>
        <v>6</v>
      </c>
      <c r="H184" s="53">
        <f t="shared" si="105"/>
        <v>0</v>
      </c>
      <c r="I184" s="53">
        <f t="shared" si="105"/>
        <v>225</v>
      </c>
      <c r="J184" s="53">
        <f t="shared" si="105"/>
        <v>2</v>
      </c>
      <c r="K184" s="53">
        <f t="shared" si="105"/>
        <v>1204</v>
      </c>
      <c r="L184" s="53" t="str">
        <f t="shared" si="105"/>
        <v>2221_0.7</v>
      </c>
      <c r="M184" s="28">
        <v>0</v>
      </c>
      <c r="N184" s="27">
        <v>1</v>
      </c>
      <c r="O184" s="53">
        <f>VLOOKUP($B184,一级属性,O$1,)</f>
        <v>0</v>
      </c>
      <c r="P184" s="28">
        <v>1</v>
      </c>
      <c r="Q184" s="27">
        <v>0</v>
      </c>
      <c r="R184" s="27">
        <v>0</v>
      </c>
      <c r="S184" s="112">
        <v>0</v>
      </c>
      <c r="T184" s="30">
        <v>600</v>
      </c>
      <c r="U184" s="30">
        <v>37</v>
      </c>
      <c r="V184" s="112">
        <v>0</v>
      </c>
      <c r="W184" s="53">
        <f t="shared" ref="W184:AJ184" si="106">VLOOKUP($B184,一级属性,W$1,)</f>
        <v>300</v>
      </c>
      <c r="X184" s="53">
        <f t="shared" si="106"/>
        <v>2500</v>
      </c>
      <c r="Y184" s="53">
        <f t="shared" si="106"/>
        <v>31</v>
      </c>
      <c r="Z184" s="112">
        <v>0</v>
      </c>
      <c r="AA184" s="53">
        <f t="shared" si="106"/>
        <v>2</v>
      </c>
      <c r="AB184" s="53">
        <f t="shared" si="106"/>
        <v>20</v>
      </c>
      <c r="AC184" s="53">
        <f t="shared" si="106"/>
        <v>9</v>
      </c>
      <c r="AD184" s="53" t="str">
        <f t="shared" si="106"/>
        <v>近战</v>
      </c>
      <c r="AE184" s="27">
        <v>0</v>
      </c>
      <c r="AF184" s="27">
        <v>0</v>
      </c>
      <c r="AG184" s="53">
        <f t="shared" si="106"/>
        <v>210</v>
      </c>
      <c r="AH184" s="53">
        <f t="shared" si="106"/>
        <v>0</v>
      </c>
      <c r="AI184" s="53">
        <f t="shared" si="106"/>
        <v>450</v>
      </c>
      <c r="AJ184" s="53">
        <f t="shared" si="106"/>
        <v>45</v>
      </c>
      <c r="AK184" s="27">
        <v>1</v>
      </c>
      <c r="AL184" s="27">
        <v>2</v>
      </c>
      <c r="AM184" s="53">
        <f>VLOOKUP($B184,一级属性,AM$1,)</f>
        <v>60</v>
      </c>
      <c r="AN184" s="30">
        <v>37</v>
      </c>
      <c r="AO184" s="30">
        <v>0</v>
      </c>
      <c r="AP184" s="53">
        <f>VLOOKUP($B184,一级属性,AP$1,)</f>
        <v>10</v>
      </c>
      <c r="AQ184" s="71">
        <v>0</v>
      </c>
      <c r="AR184" s="71">
        <v>0</v>
      </c>
      <c r="AS184" s="71">
        <v>0</v>
      </c>
      <c r="AT184" s="71">
        <v>0</v>
      </c>
      <c r="AU184" s="71">
        <v>0</v>
      </c>
      <c r="AV184" s="71">
        <v>0</v>
      </c>
      <c r="AW184" s="71">
        <v>0</v>
      </c>
      <c r="AX184" s="53">
        <f>VLOOKUP($B184,一级属性,AX$1,)</f>
        <v>0</v>
      </c>
      <c r="AY184" s="71">
        <v>0</v>
      </c>
      <c r="AZ184" s="71">
        <v>0</v>
      </c>
      <c r="BA184" s="27">
        <v>0</v>
      </c>
    </row>
    <row r="185" spans="1:53">
      <c r="A185" s="134"/>
      <c r="B185" s="28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>
        <v>2</v>
      </c>
      <c r="O185" s="27"/>
      <c r="P185" s="28"/>
      <c r="Q185" s="27"/>
      <c r="R185" s="27"/>
      <c r="S185" s="115"/>
      <c r="T185" s="30">
        <v>660</v>
      </c>
      <c r="U185" s="30">
        <v>40</v>
      </c>
      <c r="V185" s="30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30">
        <v>40</v>
      </c>
      <c r="AO185" s="30"/>
      <c r="AP185" s="27"/>
      <c r="AQ185" s="27"/>
      <c r="AR185" s="27"/>
      <c r="AW185" s="27"/>
      <c r="AX185" s="27"/>
      <c r="AY185" s="27"/>
      <c r="AZ185" s="27"/>
      <c r="BA185" s="27"/>
    </row>
    <row r="186" spans="1:53">
      <c r="A186" s="134"/>
      <c r="B186" s="28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>
        <v>3</v>
      </c>
      <c r="O186" s="27"/>
      <c r="P186" s="28"/>
      <c r="Q186" s="27"/>
      <c r="R186" s="27"/>
      <c r="S186" s="115"/>
      <c r="T186" s="30">
        <v>726</v>
      </c>
      <c r="U186" s="30">
        <v>44</v>
      </c>
      <c r="V186" s="30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30">
        <v>44</v>
      </c>
      <c r="AO186" s="30"/>
      <c r="AP186" s="27"/>
      <c r="AQ186" s="27"/>
      <c r="AR186" s="27"/>
      <c r="AW186" s="27"/>
      <c r="AX186" s="27"/>
      <c r="AY186" s="27"/>
      <c r="AZ186" s="27"/>
      <c r="BA186" s="27"/>
    </row>
    <row r="187" spans="1:53">
      <c r="A187" s="134"/>
      <c r="B187" s="28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>
        <v>4</v>
      </c>
      <c r="O187" s="27"/>
      <c r="P187" s="28"/>
      <c r="Q187" s="27"/>
      <c r="R187" s="27"/>
      <c r="S187" s="115"/>
      <c r="T187" s="30">
        <v>798</v>
      </c>
      <c r="U187" s="30">
        <v>49</v>
      </c>
      <c r="V187" s="30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30">
        <v>49</v>
      </c>
      <c r="AO187" s="30"/>
      <c r="AP187" s="27"/>
      <c r="AQ187" s="27"/>
      <c r="AR187" s="27"/>
      <c r="AW187" s="27"/>
      <c r="AX187" s="27"/>
      <c r="AY187" s="27"/>
      <c r="AZ187" s="27"/>
      <c r="BA187" s="27"/>
    </row>
    <row r="188" spans="1:53">
      <c r="A188" s="134"/>
      <c r="B188" s="28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>
        <v>5</v>
      </c>
      <c r="O188" s="27"/>
      <c r="P188" s="28"/>
      <c r="Q188" s="27"/>
      <c r="R188" s="27"/>
      <c r="S188" s="115"/>
      <c r="T188" s="30">
        <v>876</v>
      </c>
      <c r="U188" s="30">
        <v>54</v>
      </c>
      <c r="V188" s="30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30">
        <v>54</v>
      </c>
      <c r="AO188" s="30"/>
      <c r="AP188" s="27"/>
      <c r="AQ188" s="27"/>
      <c r="AR188" s="27"/>
      <c r="AW188" s="27"/>
      <c r="AX188" s="27"/>
      <c r="AY188" s="27"/>
      <c r="AZ188" s="27"/>
      <c r="BA188" s="27"/>
    </row>
    <row r="189" spans="1:53">
      <c r="A189" s="134"/>
      <c r="B189" s="28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>
        <v>6</v>
      </c>
      <c r="O189" s="27"/>
      <c r="P189" s="27"/>
      <c r="Q189" s="27"/>
      <c r="R189" s="27"/>
      <c r="S189" s="115"/>
      <c r="T189" s="30">
        <v>966</v>
      </c>
      <c r="U189" s="30">
        <v>60</v>
      </c>
      <c r="V189" s="30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30">
        <v>60</v>
      </c>
      <c r="AO189" s="30"/>
      <c r="AP189" s="27"/>
      <c r="AQ189" s="27"/>
      <c r="AR189" s="27"/>
      <c r="AW189" s="27"/>
      <c r="AX189" s="27"/>
      <c r="AY189" s="27"/>
      <c r="AZ189" s="27"/>
      <c r="BA189" s="27"/>
    </row>
    <row r="190" spans="1:53">
      <c r="A190" s="134"/>
      <c r="B190" s="28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>
        <v>7</v>
      </c>
      <c r="O190" s="27"/>
      <c r="P190" s="27"/>
      <c r="Q190" s="27"/>
      <c r="R190" s="27"/>
      <c r="S190" s="115"/>
      <c r="T190" s="30">
        <v>1063</v>
      </c>
      <c r="U190" s="30">
        <v>65</v>
      </c>
      <c r="V190" s="30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30">
        <v>65</v>
      </c>
      <c r="AO190" s="30"/>
      <c r="AP190" s="27"/>
      <c r="AQ190" s="27"/>
      <c r="AR190" s="27"/>
      <c r="AW190" s="27"/>
      <c r="AX190" s="27"/>
      <c r="AY190" s="27"/>
      <c r="AZ190" s="27"/>
      <c r="BA190" s="27"/>
    </row>
    <row r="191" spans="1:53">
      <c r="A191" s="134"/>
      <c r="B191" s="28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>
        <v>8</v>
      </c>
      <c r="O191" s="27"/>
      <c r="P191" s="27"/>
      <c r="Q191" s="27"/>
      <c r="R191" s="27"/>
      <c r="S191" s="115"/>
      <c r="T191" s="30">
        <v>1158</v>
      </c>
      <c r="U191" s="30">
        <v>71</v>
      </c>
      <c r="V191" s="30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30">
        <v>71</v>
      </c>
      <c r="AO191" s="30"/>
      <c r="AP191" s="27"/>
      <c r="AQ191" s="27"/>
      <c r="AR191" s="27"/>
      <c r="AW191" s="27"/>
      <c r="AX191" s="27"/>
      <c r="AY191" s="27"/>
      <c r="AZ191" s="27"/>
      <c r="BA191" s="27"/>
    </row>
    <row r="192" spans="1:53">
      <c r="A192" s="134"/>
      <c r="B192" s="32">
        <v>28</v>
      </c>
      <c r="C192" s="53" t="str">
        <f>VLOOKUP($B192,一级属性,C$1,)</f>
        <v>安卡斯兄弟</v>
      </c>
      <c r="D192" s="53" t="str">
        <f>VLOOKUP($B192,一级属性,D$1,)</f>
        <v>三个安卡斯家的男人组成的狩猎小队，他们从来不缺少纯天然、有机的野生食物，可是依然在高唱“为了生活，我们四处奔波"。</v>
      </c>
      <c r="F192" s="53">
        <f t="shared" ref="F192:L192" si="107">VLOOKUP($B192,一级属性,F$1,)</f>
        <v>1</v>
      </c>
      <c r="G192" s="53">
        <f t="shared" si="107"/>
        <v>7</v>
      </c>
      <c r="H192" s="53">
        <f t="shared" si="107"/>
        <v>0</v>
      </c>
      <c r="I192" s="53">
        <f t="shared" si="107"/>
        <v>235</v>
      </c>
      <c r="J192" s="53">
        <f t="shared" si="107"/>
        <v>1</v>
      </c>
      <c r="K192" s="53">
        <f t="shared" si="107"/>
        <v>1226</v>
      </c>
      <c r="L192" s="53">
        <f t="shared" si="107"/>
        <v>2227</v>
      </c>
      <c r="M192" s="28">
        <v>1</v>
      </c>
      <c r="N192" s="27">
        <v>1</v>
      </c>
      <c r="O192" s="53">
        <f>VLOOKUP($B192,一级属性,O$1,)</f>
        <v>9</v>
      </c>
      <c r="P192" s="28">
        <v>0</v>
      </c>
      <c r="Q192" s="27">
        <v>2</v>
      </c>
      <c r="R192" s="27">
        <v>1</v>
      </c>
      <c r="S192" s="112">
        <v>0</v>
      </c>
      <c r="T192" s="28">
        <v>340</v>
      </c>
      <c r="U192" s="28">
        <v>100</v>
      </c>
      <c r="V192" s="112">
        <v>0</v>
      </c>
      <c r="W192" s="53">
        <f t="shared" ref="W192:AJ192" si="108">VLOOKUP($B192,一级属性,W$1,)</f>
        <v>166</v>
      </c>
      <c r="X192" s="53">
        <f t="shared" si="108"/>
        <v>1100</v>
      </c>
      <c r="Y192" s="53">
        <f t="shared" si="108"/>
        <v>42</v>
      </c>
      <c r="Z192" s="112">
        <v>0</v>
      </c>
      <c r="AA192" s="53">
        <f t="shared" si="108"/>
        <v>2</v>
      </c>
      <c r="AB192" s="53">
        <f t="shared" si="108"/>
        <v>20</v>
      </c>
      <c r="AC192" s="53">
        <f t="shared" si="108"/>
        <v>180</v>
      </c>
      <c r="AD192" s="53">
        <f t="shared" si="108"/>
        <v>6.5</v>
      </c>
      <c r="AE192" s="27">
        <v>0</v>
      </c>
      <c r="AF192" s="27">
        <v>0</v>
      </c>
      <c r="AG192" s="53">
        <f t="shared" si="108"/>
        <v>234</v>
      </c>
      <c r="AH192" s="53">
        <f t="shared" si="108"/>
        <v>0</v>
      </c>
      <c r="AI192" s="53">
        <f t="shared" si="108"/>
        <v>1300</v>
      </c>
      <c r="AJ192" s="53">
        <f t="shared" si="108"/>
        <v>35</v>
      </c>
      <c r="AK192" s="27">
        <v>3</v>
      </c>
      <c r="AL192" s="27">
        <v>0</v>
      </c>
      <c r="AM192" s="53">
        <f>VLOOKUP($B192,一级属性,AM$1,)</f>
        <v>0</v>
      </c>
      <c r="AN192" s="71">
        <v>0</v>
      </c>
      <c r="AO192" s="71">
        <v>0</v>
      </c>
      <c r="AP192" s="53">
        <f>VLOOKUP($B192,一级属性,AP$1,)</f>
        <v>0</v>
      </c>
      <c r="AQ192" s="71">
        <v>0</v>
      </c>
      <c r="AR192" s="71">
        <v>0</v>
      </c>
      <c r="AS192" s="71">
        <v>0</v>
      </c>
      <c r="AT192" s="71">
        <v>0</v>
      </c>
      <c r="AU192" s="71">
        <v>0</v>
      </c>
      <c r="AV192" s="71">
        <v>0</v>
      </c>
      <c r="AW192" s="71">
        <v>0</v>
      </c>
      <c r="AX192" s="53">
        <f>VLOOKUP($B192,一级属性,AX$1,)</f>
        <v>1000</v>
      </c>
      <c r="AY192" s="71">
        <v>0</v>
      </c>
      <c r="AZ192" s="71">
        <v>0</v>
      </c>
      <c r="BA192" s="27">
        <v>0</v>
      </c>
    </row>
    <row r="193" spans="1:53">
      <c r="A193" s="134"/>
      <c r="B193" s="32"/>
      <c r="C193" s="53"/>
      <c r="D193" s="53"/>
      <c r="F193" s="53"/>
      <c r="G193" s="53"/>
      <c r="H193" s="53"/>
      <c r="I193" s="53"/>
      <c r="J193" s="53"/>
      <c r="K193" s="53"/>
      <c r="L193" s="53"/>
      <c r="M193" s="53"/>
      <c r="N193" s="27">
        <v>2</v>
      </c>
      <c r="O193" s="53"/>
      <c r="P193" s="28"/>
      <c r="Q193" s="27"/>
      <c r="R193" s="27"/>
      <c r="S193" s="114"/>
      <c r="T193" s="28">
        <v>374</v>
      </c>
      <c r="U193" s="28">
        <v>110</v>
      </c>
      <c r="V193" s="28"/>
      <c r="W193" s="53"/>
      <c r="X193" s="27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27"/>
      <c r="AL193" s="27"/>
      <c r="AM193" s="53"/>
      <c r="AP193" s="53"/>
      <c r="AX193" s="53"/>
      <c r="AY193" s="53"/>
      <c r="AZ193" s="53"/>
      <c r="BA193" s="27"/>
    </row>
    <row r="194" spans="1:53">
      <c r="A194" s="134"/>
      <c r="B194" s="32"/>
      <c r="C194" s="53"/>
      <c r="D194" s="53"/>
      <c r="F194" s="53"/>
      <c r="G194" s="53"/>
      <c r="H194" s="53"/>
      <c r="I194" s="53"/>
      <c r="J194" s="53"/>
      <c r="K194" s="53"/>
      <c r="L194" s="53"/>
      <c r="M194" s="53"/>
      <c r="N194" s="27">
        <v>3</v>
      </c>
      <c r="O194" s="53"/>
      <c r="P194" s="28"/>
      <c r="Q194" s="27"/>
      <c r="R194" s="27"/>
      <c r="S194" s="114"/>
      <c r="T194" s="28">
        <v>411</v>
      </c>
      <c r="U194" s="28">
        <v>121</v>
      </c>
      <c r="V194" s="28"/>
      <c r="W194" s="53"/>
      <c r="X194" s="27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27"/>
      <c r="AL194" s="27"/>
      <c r="AM194" s="53"/>
      <c r="AP194" s="53"/>
      <c r="AX194" s="53"/>
      <c r="AY194" s="53"/>
      <c r="AZ194" s="53"/>
      <c r="BA194" s="27"/>
    </row>
    <row r="195" spans="1:53">
      <c r="A195" s="134"/>
      <c r="B195" s="32"/>
      <c r="C195" s="53"/>
      <c r="D195" s="53"/>
      <c r="F195" s="53"/>
      <c r="G195" s="53"/>
      <c r="H195" s="53"/>
      <c r="I195" s="53"/>
      <c r="J195" s="53"/>
      <c r="K195" s="53"/>
      <c r="L195" s="53"/>
      <c r="M195" s="53"/>
      <c r="N195" s="27">
        <v>4</v>
      </c>
      <c r="O195" s="53"/>
      <c r="P195" s="28"/>
      <c r="Q195" s="27"/>
      <c r="R195" s="27"/>
      <c r="S195" s="114"/>
      <c r="T195" s="28">
        <v>452</v>
      </c>
      <c r="U195" s="28">
        <v>133</v>
      </c>
      <c r="V195" s="28"/>
      <c r="W195" s="53"/>
      <c r="X195" s="27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27"/>
      <c r="AL195" s="27"/>
      <c r="AM195" s="53"/>
      <c r="AP195" s="53"/>
      <c r="AX195" s="53"/>
      <c r="AY195" s="53"/>
      <c r="AZ195" s="53"/>
      <c r="BA195" s="27"/>
    </row>
    <row r="196" spans="1:53">
      <c r="A196" s="134"/>
      <c r="B196" s="32"/>
      <c r="C196" s="53"/>
      <c r="D196" s="53"/>
      <c r="F196" s="53"/>
      <c r="G196" s="53"/>
      <c r="H196" s="53"/>
      <c r="I196" s="53"/>
      <c r="J196" s="53"/>
      <c r="K196" s="53"/>
      <c r="L196" s="53"/>
      <c r="M196" s="53"/>
      <c r="N196" s="27">
        <v>5</v>
      </c>
      <c r="O196" s="53"/>
      <c r="P196" s="28"/>
      <c r="Q196" s="27"/>
      <c r="R196" s="27"/>
      <c r="S196" s="114"/>
      <c r="T196" s="28">
        <v>496</v>
      </c>
      <c r="U196" s="28">
        <v>146</v>
      </c>
      <c r="V196" s="28"/>
      <c r="W196" s="53"/>
      <c r="X196" s="27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27"/>
      <c r="AL196" s="27"/>
      <c r="AM196" s="53"/>
      <c r="AP196" s="53"/>
      <c r="AX196" s="53"/>
      <c r="AY196" s="53"/>
      <c r="AZ196" s="53"/>
      <c r="BA196" s="27"/>
    </row>
    <row r="197" spans="1:53">
      <c r="A197" s="134"/>
      <c r="B197" s="32"/>
      <c r="C197" s="53"/>
      <c r="D197" s="53"/>
      <c r="F197" s="53"/>
      <c r="G197" s="53"/>
      <c r="H197" s="53"/>
      <c r="I197" s="53"/>
      <c r="J197" s="53"/>
      <c r="K197" s="53"/>
      <c r="L197" s="53"/>
      <c r="M197" s="53"/>
      <c r="N197" s="27">
        <v>6</v>
      </c>
      <c r="O197" s="53"/>
      <c r="P197" s="28"/>
      <c r="Q197" s="27"/>
      <c r="R197" s="27"/>
      <c r="S197" s="114"/>
      <c r="T197" s="28">
        <v>544</v>
      </c>
      <c r="U197" s="28">
        <v>160</v>
      </c>
      <c r="V197" s="28"/>
      <c r="W197" s="53"/>
      <c r="X197" s="27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27"/>
      <c r="AL197" s="27"/>
      <c r="AM197" s="53"/>
      <c r="AP197" s="53"/>
      <c r="AX197" s="53"/>
      <c r="AY197" s="53"/>
      <c r="AZ197" s="53"/>
      <c r="BA197" s="27"/>
    </row>
    <row r="198" spans="1:53">
      <c r="A198" s="134"/>
      <c r="B198" s="32"/>
      <c r="C198" s="53"/>
      <c r="D198" s="53"/>
      <c r="F198" s="53"/>
      <c r="G198" s="53"/>
      <c r="H198" s="53"/>
      <c r="I198" s="53"/>
      <c r="J198" s="53"/>
      <c r="K198" s="53"/>
      <c r="L198" s="53"/>
      <c r="M198" s="53"/>
      <c r="N198" s="27">
        <v>7</v>
      </c>
      <c r="O198" s="53"/>
      <c r="P198" s="28"/>
      <c r="Q198" s="27"/>
      <c r="R198" s="27"/>
      <c r="S198" s="114"/>
      <c r="T198" s="28">
        <v>598</v>
      </c>
      <c r="U198" s="28">
        <v>176</v>
      </c>
      <c r="V198" s="28"/>
      <c r="W198" s="53"/>
      <c r="X198" s="27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27"/>
      <c r="AL198" s="27"/>
      <c r="AM198" s="53"/>
      <c r="AP198" s="53"/>
      <c r="AX198" s="53"/>
      <c r="AY198" s="53"/>
      <c r="AZ198" s="53"/>
      <c r="BA198" s="27"/>
    </row>
    <row r="199" spans="1:53">
      <c r="A199" s="134"/>
      <c r="B199" s="32"/>
      <c r="C199" s="53"/>
      <c r="D199" s="53"/>
      <c r="F199" s="53"/>
      <c r="G199" s="53"/>
      <c r="H199" s="53"/>
      <c r="I199" s="53"/>
      <c r="J199" s="53"/>
      <c r="K199" s="53"/>
      <c r="L199" s="53"/>
      <c r="M199" s="53"/>
      <c r="N199" s="27">
        <v>8</v>
      </c>
      <c r="O199" s="53"/>
      <c r="P199" s="28"/>
      <c r="Q199" s="27"/>
      <c r="R199" s="27"/>
      <c r="S199" s="114"/>
      <c r="T199" s="28">
        <v>656</v>
      </c>
      <c r="U199" s="28">
        <v>193</v>
      </c>
      <c r="V199" s="28"/>
      <c r="W199" s="53"/>
      <c r="X199" s="27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27"/>
      <c r="AL199" s="27"/>
      <c r="AM199" s="53"/>
      <c r="AP199" s="53"/>
      <c r="AX199" s="53"/>
      <c r="AY199" s="53"/>
      <c r="AZ199" s="53"/>
      <c r="BA199" s="27"/>
    </row>
    <row r="200" spans="1:53">
      <c r="A200" s="134"/>
      <c r="B200" s="32"/>
      <c r="C200" s="53"/>
      <c r="D200" s="53"/>
      <c r="F200" s="53"/>
      <c r="G200" s="53"/>
      <c r="H200" s="53"/>
      <c r="I200" s="53"/>
      <c r="J200" s="53"/>
      <c r="K200" s="53"/>
      <c r="L200" s="53"/>
      <c r="M200" s="53"/>
      <c r="N200" s="27">
        <v>9</v>
      </c>
      <c r="O200" s="53"/>
      <c r="P200" s="28"/>
      <c r="Q200" s="27"/>
      <c r="R200" s="27"/>
      <c r="S200" s="114"/>
      <c r="T200" s="28">
        <v>720</v>
      </c>
      <c r="U200" s="28">
        <v>212</v>
      </c>
      <c r="V200" s="28"/>
      <c r="W200" s="53"/>
      <c r="X200" s="27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27"/>
      <c r="AL200" s="27"/>
      <c r="AM200" s="53"/>
      <c r="AP200" s="53"/>
      <c r="AX200" s="53"/>
      <c r="AY200" s="53"/>
      <c r="AZ200" s="53"/>
      <c r="BA200" s="27"/>
    </row>
    <row r="201" spans="1:53">
      <c r="A201" s="134"/>
      <c r="B201" s="32"/>
      <c r="C201" s="53"/>
      <c r="D201" s="53"/>
      <c r="F201" s="53"/>
      <c r="G201" s="53"/>
      <c r="H201" s="53"/>
      <c r="I201" s="53"/>
      <c r="J201" s="53"/>
      <c r="K201" s="53"/>
      <c r="L201" s="53"/>
      <c r="M201" s="53"/>
      <c r="N201" s="27">
        <v>10</v>
      </c>
      <c r="O201" s="53"/>
      <c r="P201" s="28"/>
      <c r="Q201" s="27"/>
      <c r="R201" s="27"/>
      <c r="S201" s="114"/>
      <c r="T201" s="28">
        <v>792</v>
      </c>
      <c r="U201" s="28">
        <v>233</v>
      </c>
      <c r="V201" s="28"/>
      <c r="W201" s="53"/>
      <c r="X201" s="27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27"/>
      <c r="AL201" s="27"/>
      <c r="AM201" s="53"/>
      <c r="AP201" s="53"/>
      <c r="AX201" s="53"/>
      <c r="AY201" s="53"/>
      <c r="AZ201" s="53"/>
      <c r="BA201" s="27"/>
    </row>
    <row r="202" spans="1:53">
      <c r="A202" s="134"/>
      <c r="B202" s="32"/>
      <c r="C202" s="53"/>
      <c r="D202" s="53"/>
      <c r="F202" s="53"/>
      <c r="G202" s="53"/>
      <c r="H202" s="53"/>
      <c r="I202" s="53"/>
      <c r="J202" s="53"/>
      <c r="K202" s="53"/>
      <c r="L202" s="53"/>
      <c r="M202" s="53"/>
      <c r="N202" s="27">
        <v>11</v>
      </c>
      <c r="O202" s="53"/>
      <c r="P202" s="28"/>
      <c r="Q202" s="27"/>
      <c r="R202" s="27"/>
      <c r="S202" s="114"/>
      <c r="T202" s="28">
        <v>870</v>
      </c>
      <c r="U202" s="28">
        <v>256</v>
      </c>
      <c r="V202" s="28"/>
      <c r="W202" s="53"/>
      <c r="X202" s="27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27"/>
      <c r="AL202" s="27"/>
      <c r="AM202" s="53"/>
      <c r="AP202" s="53"/>
      <c r="AX202" s="53"/>
      <c r="AY202" s="53"/>
      <c r="AZ202" s="53"/>
      <c r="BA202" s="27"/>
    </row>
    <row r="203" spans="1:53">
      <c r="A203" s="165"/>
      <c r="B203" s="32">
        <v>30</v>
      </c>
      <c r="C203" s="53" t="str">
        <f>VLOOKUP($B203,一级属性,C$1,)</f>
        <v>法里娅</v>
      </c>
      <c r="D203" s="53" t="str">
        <f>VLOOKUP($B203,一级属性,D$1,)</f>
        <v>擅长远距离连锁攻击的法里娅，和姐姐一样，热衷于当一名战士而不是一名公主！</v>
      </c>
      <c r="F203" s="53">
        <f t="shared" ref="F203:L203" si="109">VLOOKUP($B203,一级属性,F$1,)</f>
        <v>1</v>
      </c>
      <c r="G203" s="53">
        <f t="shared" si="109"/>
        <v>1</v>
      </c>
      <c r="H203" s="53">
        <f t="shared" si="109"/>
        <v>1</v>
      </c>
      <c r="I203" s="53">
        <f t="shared" si="109"/>
        <v>245</v>
      </c>
      <c r="J203" s="53">
        <f t="shared" si="109"/>
        <v>3</v>
      </c>
      <c r="K203" s="53">
        <f t="shared" si="109"/>
        <v>1202</v>
      </c>
      <c r="L203" s="53">
        <f t="shared" si="109"/>
        <v>2202</v>
      </c>
      <c r="M203" s="28">
        <v>1</v>
      </c>
      <c r="N203" s="27">
        <v>1</v>
      </c>
      <c r="O203" s="53">
        <f>VLOOKUP($B203,一级属性,O$1,)</f>
        <v>3</v>
      </c>
      <c r="P203" s="28">
        <v>0</v>
      </c>
      <c r="Q203" s="27">
        <v>2</v>
      </c>
      <c r="R203" s="27">
        <v>4</v>
      </c>
      <c r="S203" s="112">
        <v>0</v>
      </c>
      <c r="T203" s="168">
        <v>212</v>
      </c>
      <c r="U203" s="168">
        <f>INT(U354*0.8)</f>
        <v>120</v>
      </c>
      <c r="V203" s="168">
        <f>INT(U203*0.4)</f>
        <v>48</v>
      </c>
      <c r="W203" s="53">
        <f t="shared" ref="W203:AD203" si="110">VLOOKUP($B203,一级属性,W$1,)</f>
        <v>333</v>
      </c>
      <c r="X203" s="53">
        <f t="shared" si="110"/>
        <v>3000</v>
      </c>
      <c r="Y203" s="53">
        <f t="shared" si="110"/>
        <v>42</v>
      </c>
      <c r="Z203" s="112">
        <v>0</v>
      </c>
      <c r="AA203" s="53">
        <f t="shared" si="110"/>
        <v>2</v>
      </c>
      <c r="AB203" s="53">
        <f t="shared" si="110"/>
        <v>20</v>
      </c>
      <c r="AC203" s="53">
        <f t="shared" si="110"/>
        <v>270</v>
      </c>
      <c r="AD203" s="53">
        <f t="shared" si="110"/>
        <v>9.5</v>
      </c>
      <c r="AE203" s="27">
        <v>3</v>
      </c>
      <c r="AF203" s="27">
        <v>5000</v>
      </c>
      <c r="AG203" s="53">
        <f>VLOOKUP($B203,一级属性,AG$1,)</f>
        <v>351</v>
      </c>
      <c r="AH203" s="53">
        <f>VLOOKUP($B203,一级属性,AH$1,)</f>
        <v>0</v>
      </c>
      <c r="AI203" s="53">
        <f>VLOOKUP($B203,一级属性,AI$1,)</f>
        <v>420</v>
      </c>
      <c r="AJ203" s="53">
        <f>VLOOKUP($B203,一级属性,AJ$1,)</f>
        <v>0</v>
      </c>
      <c r="AK203" s="27">
        <v>1</v>
      </c>
      <c r="AL203" s="27">
        <v>0</v>
      </c>
      <c r="AM203" s="53">
        <f>VLOOKUP($B203,一级属性,AM$1,)</f>
        <v>0</v>
      </c>
      <c r="AN203" s="71">
        <v>0</v>
      </c>
      <c r="AO203" s="71">
        <v>0</v>
      </c>
      <c r="AP203" s="53">
        <f>VLOOKUP($B203,一级属性,AP$1,)</f>
        <v>0</v>
      </c>
      <c r="AQ203" s="71">
        <v>0</v>
      </c>
      <c r="AR203" s="71">
        <v>0</v>
      </c>
      <c r="AS203" s="71">
        <v>0</v>
      </c>
      <c r="AT203" s="71">
        <v>0</v>
      </c>
      <c r="AU203" s="71">
        <v>0</v>
      </c>
      <c r="AV203" s="71">
        <v>0</v>
      </c>
      <c r="AW203" s="71">
        <v>0</v>
      </c>
      <c r="AX203" s="53">
        <f>VLOOKUP($B203,一级属性,AX$1,)</f>
        <v>1000</v>
      </c>
      <c r="AY203" s="71">
        <v>0</v>
      </c>
      <c r="AZ203" s="71">
        <v>0</v>
      </c>
      <c r="BA203" s="27">
        <v>0</v>
      </c>
    </row>
    <row r="204" spans="1:53">
      <c r="A204" s="165"/>
      <c r="N204" s="27">
        <v>2</v>
      </c>
      <c r="S204" s="102"/>
      <c r="T204" s="168">
        <v>233</v>
      </c>
      <c r="U204" s="168">
        <f t="shared" ref="U204:U207" si="111">INT(U355*0.8)</f>
        <v>132</v>
      </c>
      <c r="V204" s="168">
        <f t="shared" ref="V204:V207" si="112">INT(U204*0.4)</f>
        <v>52</v>
      </c>
      <c r="AL204" s="27"/>
    </row>
    <row r="205" spans="1:53">
      <c r="A205" s="165"/>
      <c r="N205" s="27">
        <v>3</v>
      </c>
      <c r="S205" s="102"/>
      <c r="T205" s="168">
        <v>257</v>
      </c>
      <c r="U205" s="168">
        <f t="shared" si="111"/>
        <v>144</v>
      </c>
      <c r="V205" s="168">
        <f t="shared" si="112"/>
        <v>57</v>
      </c>
      <c r="W205" s="3"/>
      <c r="X205" s="3"/>
      <c r="AL205" s="27"/>
    </row>
    <row r="206" spans="1:53">
      <c r="A206" s="165"/>
      <c r="N206" s="27">
        <v>4</v>
      </c>
      <c r="S206" s="102"/>
      <c r="T206" s="168">
        <v>283</v>
      </c>
      <c r="U206" s="168">
        <f t="shared" si="111"/>
        <v>159</v>
      </c>
      <c r="V206" s="168">
        <f t="shared" si="112"/>
        <v>63</v>
      </c>
      <c r="AL206" s="27"/>
    </row>
    <row r="207" spans="1:53">
      <c r="A207" s="166"/>
      <c r="N207" s="27">
        <v>5</v>
      </c>
      <c r="S207" s="102"/>
      <c r="T207" s="168">
        <v>311</v>
      </c>
      <c r="U207" s="168">
        <f t="shared" si="111"/>
        <v>175</v>
      </c>
      <c r="V207" s="168">
        <f t="shared" si="112"/>
        <v>70</v>
      </c>
      <c r="AL207" s="27"/>
    </row>
    <row r="208" spans="1:53">
      <c r="A208" s="165"/>
      <c r="B208" s="28">
        <v>15</v>
      </c>
      <c r="C208" s="53" t="str">
        <f>VLOOKUP($B208,一级属性,C$1,)</f>
        <v>烈火陨石</v>
      </c>
      <c r="D208" s="53" t="str">
        <f>VLOOKUP($B208,一级属性,D$1,)</f>
        <v>酷炫的天外来客，烈火陨石发动火球攻击，无可抵挡。</v>
      </c>
      <c r="E208" s="27"/>
      <c r="F208" s="53">
        <f t="shared" ref="F208:L208" si="113">VLOOKUP($B208,一级属性,F$1,)</f>
        <v>1</v>
      </c>
      <c r="G208" s="53">
        <f t="shared" si="113"/>
        <v>5</v>
      </c>
      <c r="H208" s="53">
        <f t="shared" si="113"/>
        <v>0</v>
      </c>
      <c r="I208" s="53">
        <f t="shared" si="113"/>
        <v>190</v>
      </c>
      <c r="J208" s="53">
        <f t="shared" si="113"/>
        <v>1</v>
      </c>
      <c r="K208" s="53">
        <f t="shared" si="113"/>
        <v>1203</v>
      </c>
      <c r="L208" s="53">
        <f t="shared" si="113"/>
        <v>2203</v>
      </c>
      <c r="M208" s="28">
        <v>1</v>
      </c>
      <c r="N208" s="27">
        <v>1</v>
      </c>
      <c r="O208" s="53">
        <f>VLOOKUP($B208,一级属性,O$1,)</f>
        <v>5</v>
      </c>
      <c r="P208" s="28">
        <v>0</v>
      </c>
      <c r="Q208" s="27">
        <v>2</v>
      </c>
      <c r="R208" s="27">
        <v>2</v>
      </c>
      <c r="S208" s="112">
        <v>0</v>
      </c>
      <c r="T208" s="3">
        <v>340</v>
      </c>
      <c r="U208" s="3">
        <v>130</v>
      </c>
      <c r="V208" s="112">
        <v>0</v>
      </c>
      <c r="W208" s="53">
        <f t="shared" ref="W208:AD208" si="114">VLOOKUP($B208,一级属性,W$1,)</f>
        <v>266</v>
      </c>
      <c r="X208" s="53">
        <f t="shared" si="114"/>
        <v>1700</v>
      </c>
      <c r="Y208" s="53">
        <f t="shared" si="114"/>
        <v>42</v>
      </c>
      <c r="Z208" s="112">
        <v>0</v>
      </c>
      <c r="AA208" s="53">
        <f t="shared" si="114"/>
        <v>2</v>
      </c>
      <c r="AB208" s="53">
        <f t="shared" si="114"/>
        <v>20</v>
      </c>
      <c r="AC208" s="53">
        <f t="shared" si="114"/>
        <v>150</v>
      </c>
      <c r="AD208" s="53">
        <f t="shared" si="114"/>
        <v>5.5</v>
      </c>
      <c r="AE208" s="27">
        <v>0</v>
      </c>
      <c r="AF208" s="27">
        <v>0</v>
      </c>
      <c r="AG208" s="53">
        <f>VLOOKUP($B208,一级属性,AG$1,)</f>
        <v>210</v>
      </c>
      <c r="AH208" s="53">
        <f>VLOOKUP($B208,一级属性,AH$1,)</f>
        <v>53</v>
      </c>
      <c r="AI208" s="53">
        <f>VLOOKUP($B208,一级属性,AI$1,)</f>
        <v>350</v>
      </c>
      <c r="AJ208" s="53">
        <f>VLOOKUP($B208,一级属性,AJ$1,)</f>
        <v>0</v>
      </c>
      <c r="AK208" s="27">
        <v>1</v>
      </c>
      <c r="AL208" s="27">
        <v>0</v>
      </c>
      <c r="AM208" s="53">
        <f>VLOOKUP($B208,一级属性,AM$1,)</f>
        <v>0</v>
      </c>
      <c r="AN208" s="71">
        <v>0</v>
      </c>
      <c r="AO208" s="71">
        <v>0</v>
      </c>
      <c r="AP208" s="53">
        <f>VLOOKUP($B208,一级属性,AP$1,)</f>
        <v>0</v>
      </c>
      <c r="AQ208" s="71">
        <v>0</v>
      </c>
      <c r="AR208" s="71">
        <v>0</v>
      </c>
      <c r="AS208" s="71">
        <v>0</v>
      </c>
      <c r="AT208" s="71">
        <v>0</v>
      </c>
      <c r="AU208" s="71">
        <v>0</v>
      </c>
      <c r="AV208" s="71">
        <v>0</v>
      </c>
      <c r="AW208" s="71">
        <v>0</v>
      </c>
      <c r="AX208" s="53">
        <f>VLOOKUP($B208,一级属性,AX$1,)</f>
        <v>1000</v>
      </c>
      <c r="AY208" s="71">
        <v>0</v>
      </c>
      <c r="AZ208" s="71">
        <v>0</v>
      </c>
      <c r="BA208" s="27">
        <v>0</v>
      </c>
    </row>
    <row r="209" spans="1:53">
      <c r="A209" s="165"/>
      <c r="B209" s="28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>
        <v>2</v>
      </c>
      <c r="O209" s="27"/>
      <c r="P209" s="28"/>
      <c r="Q209" s="27"/>
      <c r="R209" s="27"/>
      <c r="S209" s="79"/>
      <c r="T209" s="3">
        <v>374</v>
      </c>
      <c r="U209" s="3">
        <v>143</v>
      </c>
      <c r="V209" s="3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P209" s="27"/>
      <c r="AU209" s="27"/>
      <c r="AV209" s="27"/>
      <c r="AW209" s="27"/>
      <c r="AX209" s="27"/>
      <c r="AY209" s="27"/>
      <c r="AZ209" s="27"/>
      <c r="BA209" s="27"/>
    </row>
    <row r="210" spans="1:53">
      <c r="A210" s="165"/>
      <c r="B210" s="28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>
        <v>3</v>
      </c>
      <c r="O210" s="27"/>
      <c r="P210" s="28"/>
      <c r="Q210" s="27"/>
      <c r="R210" s="27"/>
      <c r="S210" s="79"/>
      <c r="T210" s="3">
        <v>411</v>
      </c>
      <c r="U210" s="3">
        <v>157</v>
      </c>
      <c r="V210" s="3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P210" s="27"/>
      <c r="AU210" s="27"/>
      <c r="AV210" s="27"/>
      <c r="AW210" s="27"/>
      <c r="AX210" s="27"/>
      <c r="AY210" s="27"/>
      <c r="AZ210" s="27"/>
      <c r="BA210" s="27"/>
    </row>
    <row r="211" spans="1:53">
      <c r="A211" s="165"/>
      <c r="B211" s="28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>
        <v>4</v>
      </c>
      <c r="O211" s="27"/>
      <c r="P211" s="28"/>
      <c r="Q211" s="27"/>
      <c r="R211" s="27"/>
      <c r="S211" s="79"/>
      <c r="T211" s="3">
        <v>452</v>
      </c>
      <c r="U211" s="3">
        <v>172</v>
      </c>
      <c r="V211" s="3"/>
      <c r="W211" s="27"/>
      <c r="X211" s="27"/>
      <c r="Y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P211" s="27"/>
      <c r="AU211" s="27"/>
      <c r="AV211" s="27"/>
      <c r="AW211" s="27"/>
      <c r="AX211" s="27"/>
      <c r="AY211" s="27"/>
      <c r="AZ211" s="27"/>
      <c r="BA211" s="27"/>
    </row>
    <row r="212" spans="1:53">
      <c r="A212" s="165"/>
      <c r="B212" s="28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>
        <v>5</v>
      </c>
      <c r="O212" s="27"/>
      <c r="P212" s="28"/>
      <c r="Q212" s="27"/>
      <c r="R212" s="27"/>
      <c r="S212" s="79"/>
      <c r="T212" s="3">
        <v>496</v>
      </c>
      <c r="U212" s="3">
        <v>189</v>
      </c>
      <c r="V212" s="3"/>
      <c r="W212" s="27"/>
      <c r="X212" s="27"/>
      <c r="Y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P212" s="27"/>
      <c r="AU212" s="27"/>
      <c r="AV212" s="27"/>
      <c r="AW212" s="27"/>
      <c r="AX212" s="27"/>
      <c r="AY212" s="27"/>
      <c r="AZ212" s="27"/>
      <c r="BA212" s="27"/>
    </row>
    <row r="213" spans="1:53">
      <c r="A213" s="165"/>
      <c r="B213" s="28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>
        <v>6</v>
      </c>
      <c r="O213" s="27"/>
      <c r="P213" s="28"/>
      <c r="Q213" s="27"/>
      <c r="R213" s="27"/>
      <c r="S213" s="79"/>
      <c r="T213" s="3">
        <v>544</v>
      </c>
      <c r="U213" s="3">
        <v>208</v>
      </c>
      <c r="V213" s="3"/>
      <c r="W213" s="27"/>
      <c r="X213" s="27"/>
      <c r="Y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P213" s="27"/>
      <c r="AU213" s="27"/>
      <c r="AV213" s="27"/>
      <c r="AW213" s="27"/>
      <c r="AX213" s="27"/>
      <c r="AY213" s="27"/>
      <c r="AZ213" s="27"/>
      <c r="BA213" s="27"/>
    </row>
    <row r="214" spans="1:53">
      <c r="A214" s="165"/>
      <c r="B214" s="28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>
        <v>7</v>
      </c>
      <c r="O214" s="27"/>
      <c r="P214" s="28"/>
      <c r="Q214" s="27"/>
      <c r="R214" s="27"/>
      <c r="S214" s="79"/>
      <c r="T214" s="3">
        <v>598</v>
      </c>
      <c r="U214" s="3">
        <v>228</v>
      </c>
      <c r="V214" s="3"/>
      <c r="W214" s="27"/>
      <c r="X214" s="27"/>
      <c r="Y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P214" s="27"/>
      <c r="AU214" s="27"/>
      <c r="AV214" s="27"/>
      <c r="AW214" s="27"/>
      <c r="AX214" s="27"/>
      <c r="AY214" s="27"/>
      <c r="AZ214" s="27"/>
      <c r="BA214" s="27"/>
    </row>
    <row r="215" spans="1:53">
      <c r="A215" s="165"/>
      <c r="B215" s="28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>
        <v>8</v>
      </c>
      <c r="O215" s="27"/>
      <c r="P215" s="28"/>
      <c r="Q215" s="27"/>
      <c r="R215" s="27"/>
      <c r="S215" s="79"/>
      <c r="T215" s="3">
        <v>656</v>
      </c>
      <c r="U215" s="3">
        <v>250</v>
      </c>
      <c r="V215" s="3"/>
      <c r="W215" s="27"/>
      <c r="X215" s="27"/>
      <c r="Y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P215" s="27"/>
      <c r="AU215" s="27"/>
      <c r="AV215" s="27"/>
      <c r="AW215" s="27"/>
      <c r="AX215" s="27"/>
      <c r="AY215" s="27"/>
      <c r="AZ215" s="27"/>
      <c r="BA215" s="27"/>
    </row>
    <row r="216" spans="1:53">
      <c r="A216" s="165"/>
      <c r="B216" s="28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>
        <v>9</v>
      </c>
      <c r="O216" s="27"/>
      <c r="P216" s="28"/>
      <c r="Q216" s="27"/>
      <c r="R216" s="27"/>
      <c r="S216" s="79"/>
      <c r="T216" s="3">
        <v>720</v>
      </c>
      <c r="U216" s="3">
        <v>275</v>
      </c>
      <c r="V216" s="3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P216" s="27"/>
      <c r="AU216" s="27"/>
      <c r="AV216" s="27"/>
      <c r="AW216" s="27"/>
      <c r="AX216" s="27"/>
      <c r="AY216" s="27"/>
      <c r="AZ216" s="27"/>
      <c r="BA216" s="27"/>
    </row>
    <row r="217" spans="1:53">
      <c r="A217" s="165"/>
      <c r="B217" s="28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>
        <v>10</v>
      </c>
      <c r="O217" s="27"/>
      <c r="P217" s="28"/>
      <c r="Q217" s="27"/>
      <c r="R217" s="27"/>
      <c r="S217" s="79"/>
      <c r="T217" s="3">
        <v>792</v>
      </c>
      <c r="U217" s="3">
        <v>302</v>
      </c>
      <c r="V217" s="3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P217" s="27"/>
      <c r="AU217" s="27"/>
      <c r="AV217" s="27"/>
      <c r="AW217" s="27"/>
      <c r="AX217" s="27"/>
      <c r="AY217" s="27"/>
      <c r="AZ217" s="27"/>
      <c r="BA217" s="27"/>
    </row>
    <row r="218" spans="1:53">
      <c r="A218" s="165"/>
      <c r="B218" s="28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>
        <v>11</v>
      </c>
      <c r="O218" s="27"/>
      <c r="P218" s="28"/>
      <c r="Q218" s="27"/>
      <c r="R218" s="27"/>
      <c r="S218" s="79"/>
      <c r="T218" s="3">
        <v>870</v>
      </c>
      <c r="U218" s="3">
        <v>332</v>
      </c>
      <c r="V218" s="3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P218" s="27"/>
      <c r="AU218" s="27"/>
      <c r="AV218" s="27"/>
      <c r="AW218" s="27"/>
      <c r="AX218" s="27"/>
      <c r="AY218" s="27"/>
      <c r="AZ218" s="27"/>
      <c r="BA218" s="27"/>
    </row>
    <row r="219" spans="1:53">
      <c r="A219" s="165"/>
      <c r="B219" s="28">
        <v>10</v>
      </c>
      <c r="C219" s="53" t="str">
        <f>VLOOKUP($B219,一级属性,C$1,)</f>
        <v>哈雷</v>
      </c>
      <c r="D219" s="53" t="str">
        <f>VLOOKUP($B219,一级属性,D$1,)</f>
        <v>对付建筑，没有什么比拥有坐骑的机动部队更合适。哈雷无以伦比的机动能力可以跳跃河流，直奔目标。</v>
      </c>
      <c r="E219" s="27"/>
      <c r="F219" s="53">
        <f t="shared" ref="F219:L219" si="115">VLOOKUP($B219,一级属性,F$1,)</f>
        <v>1</v>
      </c>
      <c r="G219" s="53">
        <f t="shared" si="115"/>
        <v>4</v>
      </c>
      <c r="H219" s="53">
        <f t="shared" si="115"/>
        <v>0</v>
      </c>
      <c r="I219" s="53">
        <f t="shared" si="115"/>
        <v>165</v>
      </c>
      <c r="J219" s="53">
        <f t="shared" si="115"/>
        <v>1</v>
      </c>
      <c r="K219" s="53">
        <f t="shared" si="115"/>
        <v>1208</v>
      </c>
      <c r="L219" s="53">
        <f t="shared" si="115"/>
        <v>2208</v>
      </c>
      <c r="M219" s="28">
        <v>0</v>
      </c>
      <c r="N219" s="27">
        <v>1</v>
      </c>
      <c r="O219" s="53">
        <f>VLOOKUP($B219,一级属性,O$1,)</f>
        <v>4</v>
      </c>
      <c r="P219" s="28">
        <v>1</v>
      </c>
      <c r="Q219" s="27">
        <v>0</v>
      </c>
      <c r="R219" s="27">
        <v>0</v>
      </c>
      <c r="S219" s="112">
        <v>0</v>
      </c>
      <c r="T219" s="3">
        <v>800</v>
      </c>
      <c r="U219" s="3">
        <v>160</v>
      </c>
      <c r="V219" s="112">
        <v>0</v>
      </c>
      <c r="W219" s="53">
        <f t="shared" ref="W219:AD219" si="116">VLOOKUP($B219,一级属性,W$1,)</f>
        <v>385</v>
      </c>
      <c r="X219" s="53">
        <f t="shared" si="116"/>
        <v>1500</v>
      </c>
      <c r="Y219" s="53">
        <f t="shared" si="116"/>
        <v>84</v>
      </c>
      <c r="Z219" s="112">
        <v>0</v>
      </c>
      <c r="AA219" s="53">
        <f t="shared" si="116"/>
        <v>2</v>
      </c>
      <c r="AB219" s="53">
        <f t="shared" si="116"/>
        <v>20</v>
      </c>
      <c r="AC219" s="53">
        <f t="shared" si="116"/>
        <v>9</v>
      </c>
      <c r="AD219" s="53" t="str">
        <f t="shared" si="116"/>
        <v>近战</v>
      </c>
      <c r="AE219" s="27">
        <v>0</v>
      </c>
      <c r="AF219" s="27">
        <v>0</v>
      </c>
      <c r="AG219" s="53">
        <f>VLOOKUP($B219,一级属性,AG$1,)</f>
        <v>210</v>
      </c>
      <c r="AH219" s="53">
        <f>VLOOKUP($B219,一级属性,AH$1,)</f>
        <v>0</v>
      </c>
      <c r="AI219" s="53">
        <f>VLOOKUP($B219,一级属性,AI$1,)</f>
        <v>350</v>
      </c>
      <c r="AJ219" s="53">
        <f>VLOOKUP($B219,一级属性,AJ$1,)</f>
        <v>0</v>
      </c>
      <c r="AK219" s="27">
        <v>1</v>
      </c>
      <c r="AL219" s="27">
        <v>5</v>
      </c>
      <c r="AM219" s="53">
        <f>VLOOKUP($B219,一级属性,AM$1,)</f>
        <v>0</v>
      </c>
      <c r="AN219" s="71">
        <v>0</v>
      </c>
      <c r="AO219" s="71">
        <v>0</v>
      </c>
      <c r="AP219" s="53">
        <f>VLOOKUP($B219,一级属性,AP$1,)</f>
        <v>0</v>
      </c>
      <c r="AQ219" s="71">
        <v>0</v>
      </c>
      <c r="AR219" s="71">
        <v>0</v>
      </c>
      <c r="AS219" s="71">
        <v>0</v>
      </c>
      <c r="AT219" s="71">
        <v>0</v>
      </c>
      <c r="AU219" s="71">
        <v>0</v>
      </c>
      <c r="AV219" s="71">
        <v>0</v>
      </c>
      <c r="AW219" s="71">
        <v>0</v>
      </c>
      <c r="AX219" s="53">
        <f>VLOOKUP($B219,一级属性,AX$1,)</f>
        <v>1000</v>
      </c>
      <c r="AY219" s="71">
        <v>0</v>
      </c>
      <c r="AZ219" s="71">
        <v>0</v>
      </c>
      <c r="BA219" s="27">
        <v>0</v>
      </c>
    </row>
    <row r="220" spans="1:53">
      <c r="A220" s="165"/>
      <c r="B220" s="28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>
        <v>2</v>
      </c>
      <c r="O220" s="27"/>
      <c r="P220" s="28"/>
      <c r="Q220" s="27"/>
      <c r="R220" s="27"/>
      <c r="S220" s="79"/>
      <c r="T220" s="3">
        <v>880</v>
      </c>
      <c r="U220" s="3">
        <v>176</v>
      </c>
      <c r="V220" s="3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P220" s="27"/>
      <c r="AU220" s="27"/>
      <c r="AV220" s="27"/>
      <c r="AW220" s="27"/>
      <c r="AX220" s="27"/>
      <c r="AY220" s="27"/>
      <c r="AZ220" s="27"/>
      <c r="BA220" s="27"/>
    </row>
    <row r="221" spans="1:53">
      <c r="A221" s="165"/>
      <c r="B221" s="28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>
        <v>3</v>
      </c>
      <c r="O221" s="27"/>
      <c r="P221" s="28"/>
      <c r="Q221" s="27"/>
      <c r="R221" s="27"/>
      <c r="S221" s="79"/>
      <c r="T221" s="3">
        <v>968</v>
      </c>
      <c r="U221" s="3">
        <v>193</v>
      </c>
      <c r="V221" s="3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P221" s="27"/>
      <c r="AU221" s="27"/>
      <c r="AV221" s="27"/>
      <c r="AW221" s="27"/>
      <c r="AX221" s="27"/>
      <c r="AY221" s="27"/>
      <c r="AZ221" s="27"/>
      <c r="BA221" s="27"/>
    </row>
    <row r="222" spans="1:53">
      <c r="A222" s="165"/>
      <c r="B222" s="28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>
        <v>4</v>
      </c>
      <c r="O222" s="27"/>
      <c r="P222" s="28"/>
      <c r="Q222" s="27"/>
      <c r="R222" s="27"/>
      <c r="S222" s="79"/>
      <c r="T222" s="3">
        <v>1064</v>
      </c>
      <c r="U222" s="3">
        <v>212</v>
      </c>
      <c r="V222" s="3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P222" s="27"/>
      <c r="AU222" s="27"/>
      <c r="AV222" s="27"/>
      <c r="AW222" s="27"/>
      <c r="AX222" s="27"/>
      <c r="AY222" s="27"/>
      <c r="AZ222" s="27"/>
      <c r="BA222" s="27"/>
    </row>
    <row r="223" spans="1:53">
      <c r="A223" s="165"/>
      <c r="B223" s="28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>
        <v>5</v>
      </c>
      <c r="O223" s="27"/>
      <c r="P223" s="28"/>
      <c r="Q223" s="27"/>
      <c r="R223" s="27"/>
      <c r="S223" s="79"/>
      <c r="T223" s="3">
        <v>1168</v>
      </c>
      <c r="U223" s="3">
        <v>233</v>
      </c>
      <c r="V223" s="3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P223" s="27"/>
      <c r="AU223" s="27"/>
      <c r="AV223" s="27"/>
      <c r="AW223" s="27"/>
      <c r="AX223" s="27"/>
      <c r="AY223" s="27"/>
      <c r="AZ223" s="27"/>
      <c r="BA223" s="27"/>
    </row>
    <row r="224" spans="1:53">
      <c r="A224" s="165"/>
      <c r="B224" s="28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>
        <v>6</v>
      </c>
      <c r="O224" s="27"/>
      <c r="P224" s="28"/>
      <c r="Q224" s="27"/>
      <c r="R224" s="27"/>
      <c r="S224" s="79"/>
      <c r="T224" s="3">
        <v>1280</v>
      </c>
      <c r="U224" s="3">
        <v>256</v>
      </c>
      <c r="V224" s="3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P224" s="27"/>
      <c r="AU224" s="27"/>
      <c r="AV224" s="27"/>
      <c r="AW224" s="27"/>
      <c r="AX224" s="27"/>
      <c r="AY224" s="27"/>
      <c r="AZ224" s="27"/>
      <c r="BA224" s="27"/>
    </row>
    <row r="225" spans="1:53">
      <c r="A225" s="165"/>
      <c r="B225" s="28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>
        <v>7</v>
      </c>
      <c r="O225" s="27"/>
      <c r="P225" s="28"/>
      <c r="Q225" s="27"/>
      <c r="R225" s="27"/>
      <c r="S225" s="79"/>
      <c r="T225" s="3">
        <v>1408</v>
      </c>
      <c r="U225" s="3">
        <v>281</v>
      </c>
      <c r="V225" s="3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P225" s="27"/>
      <c r="AU225" s="27"/>
      <c r="AV225" s="27"/>
      <c r="AW225" s="27"/>
      <c r="AX225" s="27"/>
      <c r="AY225" s="27"/>
      <c r="AZ225" s="27"/>
      <c r="BA225" s="27"/>
    </row>
    <row r="226" spans="1:53">
      <c r="A226" s="165"/>
      <c r="B226" s="28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>
        <v>8</v>
      </c>
      <c r="O226" s="27"/>
      <c r="P226" s="28"/>
      <c r="Q226" s="27"/>
      <c r="R226" s="27"/>
      <c r="S226" s="79"/>
      <c r="T226" s="3">
        <v>1544</v>
      </c>
      <c r="U226" s="3">
        <v>308</v>
      </c>
      <c r="V226" s="3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/>
      <c r="AK226" s="27"/>
      <c r="AL226" s="27"/>
      <c r="AM226" s="27"/>
      <c r="AP226" s="27"/>
      <c r="AU226" s="27"/>
      <c r="AV226" s="27"/>
      <c r="AW226" s="27"/>
      <c r="AX226" s="27"/>
      <c r="AY226" s="27"/>
      <c r="AZ226" s="27"/>
      <c r="BA226" s="27"/>
    </row>
    <row r="227" spans="1:53">
      <c r="A227" s="165"/>
      <c r="B227" s="28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>
        <v>9</v>
      </c>
      <c r="O227" s="27"/>
      <c r="P227" s="28"/>
      <c r="Q227" s="27"/>
      <c r="R227" s="27"/>
      <c r="S227" s="79"/>
      <c r="T227" s="3">
        <v>1696</v>
      </c>
      <c r="U227" s="3">
        <v>339</v>
      </c>
      <c r="V227" s="3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/>
      <c r="AK227" s="27"/>
      <c r="AL227" s="27"/>
      <c r="AM227" s="27"/>
      <c r="AP227" s="27"/>
      <c r="AU227" s="27"/>
      <c r="AV227" s="27"/>
      <c r="AW227" s="27"/>
      <c r="AX227" s="27"/>
      <c r="AY227" s="27"/>
      <c r="AZ227" s="27"/>
      <c r="BA227" s="27"/>
    </row>
    <row r="228" spans="1:53">
      <c r="A228" s="165"/>
      <c r="B228" s="28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>
        <v>10</v>
      </c>
      <c r="O228" s="27"/>
      <c r="P228" s="28"/>
      <c r="Q228" s="27"/>
      <c r="R228" s="27"/>
      <c r="S228" s="79"/>
      <c r="T228" s="3">
        <v>1864</v>
      </c>
      <c r="U228" s="3">
        <v>372</v>
      </c>
      <c r="V228" s="3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/>
      <c r="AK228" s="27"/>
      <c r="AL228" s="27"/>
      <c r="AM228" s="27"/>
      <c r="AP228" s="27"/>
      <c r="AU228" s="27"/>
      <c r="AV228" s="27"/>
      <c r="AW228" s="27"/>
      <c r="AX228" s="27"/>
      <c r="AY228" s="27"/>
      <c r="AZ228" s="27"/>
      <c r="BA228" s="27"/>
    </row>
    <row r="229" spans="1:53">
      <c r="A229" s="165"/>
      <c r="B229" s="28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>
        <v>11</v>
      </c>
      <c r="O229" s="27"/>
      <c r="P229" s="28"/>
      <c r="Q229" s="27"/>
      <c r="R229" s="27"/>
      <c r="S229" s="79"/>
      <c r="T229" s="3">
        <v>2048</v>
      </c>
      <c r="U229" s="3">
        <v>409</v>
      </c>
      <c r="V229" s="3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/>
      <c r="AK229" s="27"/>
      <c r="AL229" s="27"/>
      <c r="AM229" s="27"/>
      <c r="AP229" s="27"/>
      <c r="AU229" s="27"/>
      <c r="AV229" s="27"/>
      <c r="AW229" s="27"/>
      <c r="AX229" s="27"/>
      <c r="AY229" s="27"/>
      <c r="AZ229" s="27"/>
      <c r="BA229" s="27"/>
    </row>
    <row r="230" spans="1:53">
      <c r="A230" s="165"/>
      <c r="B230" s="28">
        <v>19</v>
      </c>
      <c r="C230" s="53" t="str">
        <f>VLOOKUP($B230,一级属性,C$1,)</f>
        <v>小王子</v>
      </c>
      <c r="D230" s="53" t="str">
        <f>VLOOKUP($B230,一级属性,D$1,)</f>
        <v>小王子梦想仗剑走天涯，疾行突击是他的拿手好戏。</v>
      </c>
      <c r="E230" s="27"/>
      <c r="F230" s="53">
        <f t="shared" ref="F230:L230" si="117">VLOOKUP($B230,一级属性,F$1,)</f>
        <v>1</v>
      </c>
      <c r="G230" s="53">
        <f t="shared" si="117"/>
        <v>0</v>
      </c>
      <c r="H230" s="53">
        <f t="shared" si="117"/>
        <v>0</v>
      </c>
      <c r="I230" s="53">
        <f t="shared" si="117"/>
        <v>65</v>
      </c>
      <c r="J230" s="53">
        <f t="shared" si="117"/>
        <v>2</v>
      </c>
      <c r="K230" s="53">
        <f t="shared" si="117"/>
        <v>1209</v>
      </c>
      <c r="L230" s="53">
        <f t="shared" si="117"/>
        <v>2209</v>
      </c>
      <c r="M230" s="28">
        <v>0</v>
      </c>
      <c r="N230" s="27">
        <v>1</v>
      </c>
      <c r="O230" s="53">
        <f>VLOOKUP($B230,一级属性,O$1,)</f>
        <v>5</v>
      </c>
      <c r="P230" s="28">
        <v>0</v>
      </c>
      <c r="Q230" s="27">
        <v>0</v>
      </c>
      <c r="R230" s="27">
        <v>0</v>
      </c>
      <c r="S230" s="112">
        <v>0</v>
      </c>
      <c r="T230" s="3">
        <v>1100</v>
      </c>
      <c r="U230" s="3">
        <v>220</v>
      </c>
      <c r="V230" s="112">
        <v>0</v>
      </c>
      <c r="W230" s="53">
        <f t="shared" ref="W230:AD230" si="118">VLOOKUP($B230,一级属性,W$1,)</f>
        <v>269</v>
      </c>
      <c r="X230" s="53">
        <f t="shared" si="118"/>
        <v>1500</v>
      </c>
      <c r="Y230" s="53">
        <f t="shared" si="118"/>
        <v>42</v>
      </c>
      <c r="Z230" s="112">
        <v>0</v>
      </c>
      <c r="AA230" s="53">
        <f t="shared" si="118"/>
        <v>2</v>
      </c>
      <c r="AB230" s="53">
        <f t="shared" si="118"/>
        <v>20</v>
      </c>
      <c r="AC230" s="53">
        <f t="shared" si="118"/>
        <v>30</v>
      </c>
      <c r="AD230" s="53" t="str">
        <f t="shared" si="118"/>
        <v>近战</v>
      </c>
      <c r="AE230" s="27">
        <v>0</v>
      </c>
      <c r="AF230" s="27">
        <v>0</v>
      </c>
      <c r="AG230" s="53">
        <f>VLOOKUP($B230,一级属性,AG$1,)</f>
        <v>210</v>
      </c>
      <c r="AH230" s="53">
        <f>VLOOKUP($B230,一级属性,AH$1,)</f>
        <v>0</v>
      </c>
      <c r="AI230" s="53">
        <f>VLOOKUP($B230,一级属性,AI$1,)</f>
        <v>350</v>
      </c>
      <c r="AJ230" s="53">
        <f>VLOOKUP($B230,一级属性,AJ$1,)</f>
        <v>0</v>
      </c>
      <c r="AK230" s="27">
        <v>1</v>
      </c>
      <c r="AL230" s="27">
        <v>1</v>
      </c>
      <c r="AM230" s="53">
        <f>VLOOKUP($B230,一级属性,AM$1,)</f>
        <v>0</v>
      </c>
      <c r="AN230" s="71">
        <v>0</v>
      </c>
      <c r="AO230" s="71">
        <v>0</v>
      </c>
      <c r="AP230" s="53">
        <f>VLOOKUP($B230,一级属性,AP$1,)</f>
        <v>0</v>
      </c>
      <c r="AQ230" s="71">
        <v>0</v>
      </c>
      <c r="AR230" s="71">
        <v>0</v>
      </c>
      <c r="AS230" s="71">
        <v>0</v>
      </c>
      <c r="AT230" s="71">
        <v>0</v>
      </c>
      <c r="AU230" s="71">
        <v>0</v>
      </c>
      <c r="AV230" s="71">
        <v>0</v>
      </c>
      <c r="AW230" s="71">
        <v>0</v>
      </c>
      <c r="AX230" s="53">
        <f>VLOOKUP($B230,一级属性,AX$1,)</f>
        <v>1000</v>
      </c>
      <c r="AY230" s="71">
        <v>0</v>
      </c>
      <c r="AZ230" s="71">
        <v>0</v>
      </c>
      <c r="BA230" s="27">
        <v>0</v>
      </c>
    </row>
    <row r="231" spans="1:53">
      <c r="A231" s="165"/>
      <c r="B231" s="28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>
        <v>2</v>
      </c>
      <c r="O231" s="27"/>
      <c r="P231" s="28"/>
      <c r="Q231" s="27"/>
      <c r="R231" s="27"/>
      <c r="S231" s="79"/>
      <c r="T231" s="3">
        <v>1210</v>
      </c>
      <c r="U231" s="3">
        <v>242</v>
      </c>
      <c r="V231" s="3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  <c r="AL231" s="27"/>
      <c r="AM231" s="27"/>
      <c r="AN231" s="27"/>
      <c r="AO231" s="27"/>
      <c r="AP231" s="27"/>
      <c r="AV231" s="27"/>
      <c r="AW231" s="27"/>
      <c r="AX231" s="27"/>
      <c r="AY231" s="27"/>
      <c r="AZ231" s="27"/>
      <c r="BA231" s="27"/>
    </row>
    <row r="232" spans="1:53">
      <c r="A232" s="165"/>
      <c r="B232" s="28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>
        <v>3</v>
      </c>
      <c r="O232" s="27"/>
      <c r="P232" s="28"/>
      <c r="Q232" s="27"/>
      <c r="R232" s="27"/>
      <c r="S232" s="79"/>
      <c r="T232" s="3">
        <v>1331</v>
      </c>
      <c r="U232" s="3">
        <v>266</v>
      </c>
      <c r="V232" s="3"/>
      <c r="W232" s="27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  <c r="AL232" s="27"/>
      <c r="AM232" s="27"/>
      <c r="AN232" s="27"/>
      <c r="AO232" s="27"/>
      <c r="AP232" s="27"/>
      <c r="AV232" s="27"/>
      <c r="AW232" s="27"/>
      <c r="AX232" s="27"/>
      <c r="AY232" s="27"/>
      <c r="AZ232" s="27"/>
      <c r="BA232" s="27"/>
    </row>
    <row r="233" spans="1:53">
      <c r="A233" s="165"/>
      <c r="B233" s="28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>
        <v>4</v>
      </c>
      <c r="O233" s="27"/>
      <c r="P233" s="28"/>
      <c r="Q233" s="27"/>
      <c r="R233" s="27"/>
      <c r="S233" s="79"/>
      <c r="T233" s="3">
        <v>1463</v>
      </c>
      <c r="U233" s="3">
        <v>292</v>
      </c>
      <c r="V233" s="3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  <c r="AM233" s="27"/>
      <c r="AN233" s="27"/>
      <c r="AO233" s="27"/>
      <c r="AP233" s="27"/>
      <c r="AV233" s="27"/>
      <c r="AW233" s="27"/>
      <c r="AX233" s="27"/>
      <c r="AY233" s="27"/>
      <c r="AZ233" s="27"/>
      <c r="BA233" s="27"/>
    </row>
    <row r="234" spans="1:53">
      <c r="A234" s="165"/>
      <c r="B234" s="28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>
        <v>5</v>
      </c>
      <c r="O234" s="27"/>
      <c r="P234" s="28"/>
      <c r="Q234" s="27"/>
      <c r="R234" s="27"/>
      <c r="S234" s="79"/>
      <c r="T234" s="3">
        <v>1609</v>
      </c>
      <c r="U234" s="3">
        <v>321</v>
      </c>
      <c r="V234" s="3"/>
      <c r="W234" s="27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/>
      <c r="AK234" s="27"/>
      <c r="AL234" s="27"/>
      <c r="AM234" s="27"/>
      <c r="AN234" s="27"/>
      <c r="AO234" s="27"/>
      <c r="AP234" s="27"/>
      <c r="AV234" s="27"/>
      <c r="AW234" s="27"/>
      <c r="AX234" s="27"/>
      <c r="AY234" s="27"/>
      <c r="AZ234" s="27"/>
      <c r="BA234" s="27"/>
    </row>
    <row r="235" spans="1:53">
      <c r="A235" s="165"/>
      <c r="B235" s="28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>
        <v>6</v>
      </c>
      <c r="O235" s="27"/>
      <c r="P235" s="28"/>
      <c r="Q235" s="27"/>
      <c r="R235" s="27"/>
      <c r="S235" s="79"/>
      <c r="T235" s="3">
        <v>1760</v>
      </c>
      <c r="U235" s="3">
        <v>352</v>
      </c>
      <c r="V235" s="3"/>
      <c r="W235" s="27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  <c r="AL235" s="27"/>
      <c r="AM235" s="27"/>
      <c r="AN235" s="27"/>
      <c r="AO235" s="27"/>
      <c r="AP235" s="27"/>
      <c r="AV235" s="27"/>
      <c r="AW235" s="27"/>
      <c r="AX235" s="27"/>
      <c r="AY235" s="27"/>
      <c r="AZ235" s="27"/>
      <c r="BA235" s="27"/>
    </row>
    <row r="236" spans="1:53">
      <c r="A236" s="165"/>
      <c r="B236" s="28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>
        <v>7</v>
      </c>
      <c r="O236" s="27"/>
      <c r="P236" s="28"/>
      <c r="Q236" s="27"/>
      <c r="R236" s="27"/>
      <c r="S236" s="79"/>
      <c r="T236" s="3">
        <v>1936</v>
      </c>
      <c r="U236" s="3">
        <v>387</v>
      </c>
      <c r="V236" s="3"/>
      <c r="W236" s="27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/>
      <c r="AK236" s="27"/>
      <c r="AL236" s="27"/>
      <c r="AM236" s="27"/>
      <c r="AN236" s="27"/>
      <c r="AO236" s="27"/>
      <c r="AP236" s="27"/>
      <c r="AV236" s="27"/>
      <c r="AW236" s="27"/>
      <c r="AX236" s="27"/>
      <c r="AY236" s="27"/>
      <c r="AZ236" s="27"/>
      <c r="BA236" s="27"/>
    </row>
    <row r="237" spans="1:53">
      <c r="A237" s="165"/>
      <c r="B237" s="28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>
        <v>8</v>
      </c>
      <c r="O237" s="27"/>
      <c r="P237" s="28"/>
      <c r="Q237" s="27"/>
      <c r="R237" s="27"/>
      <c r="S237" s="79"/>
      <c r="T237" s="3">
        <v>2123</v>
      </c>
      <c r="U237" s="3">
        <v>424</v>
      </c>
      <c r="V237" s="3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  <c r="AL237" s="27"/>
      <c r="AM237" s="27"/>
      <c r="AN237" s="27"/>
      <c r="AO237" s="27"/>
      <c r="AP237" s="27"/>
      <c r="AX237" s="27"/>
      <c r="AY237" s="27"/>
      <c r="AZ237" s="27"/>
      <c r="BA237" s="27"/>
    </row>
    <row r="238" spans="1:53">
      <c r="A238" s="165"/>
      <c r="B238" s="28">
        <v>21</v>
      </c>
      <c r="C238" s="53" t="str">
        <f>VLOOKUP($B238,一级属性,C$1,)</f>
        <v>兀鹰战士</v>
      </c>
      <c r="D238" s="53" t="str">
        <f>VLOOKUP($B238,一级属性,D$1,)</f>
        <v>兀鹰是这块大陆上最勇猛的战士，也是飞龙的死敌，阵亡之后掠夺来的龙蛋也会随即爆炸。</v>
      </c>
      <c r="E238" s="27"/>
      <c r="F238" s="53">
        <f t="shared" ref="F238:L238" si="119">VLOOKUP($B238,一级属性,F$1,)</f>
        <v>1</v>
      </c>
      <c r="G238" s="53">
        <f t="shared" si="119"/>
        <v>2</v>
      </c>
      <c r="H238" s="53">
        <f t="shared" si="119"/>
        <v>1</v>
      </c>
      <c r="I238" s="53">
        <f t="shared" si="119"/>
        <v>120</v>
      </c>
      <c r="J238" s="53">
        <f t="shared" si="119"/>
        <v>2</v>
      </c>
      <c r="K238" s="53">
        <f t="shared" si="119"/>
        <v>1220</v>
      </c>
      <c r="L238" s="53">
        <f t="shared" si="119"/>
        <v>2220</v>
      </c>
      <c r="M238" s="28">
        <v>0</v>
      </c>
      <c r="N238" s="27">
        <v>1</v>
      </c>
      <c r="O238" s="53">
        <f>VLOOKUP($B238,一级属性,O$1,)</f>
        <v>6</v>
      </c>
      <c r="P238" s="28">
        <v>0</v>
      </c>
      <c r="Q238" s="27">
        <v>0</v>
      </c>
      <c r="R238" s="27">
        <v>0</v>
      </c>
      <c r="S238" s="112">
        <v>0</v>
      </c>
      <c r="T238" s="30">
        <v>2000</v>
      </c>
      <c r="U238" s="30">
        <v>100</v>
      </c>
      <c r="V238" s="112">
        <v>0</v>
      </c>
      <c r="W238" s="53">
        <f t="shared" ref="W238:AD238" si="120">VLOOKUP($B238,一级属性,W$1,)</f>
        <v>572</v>
      </c>
      <c r="X238" s="53">
        <f t="shared" si="120"/>
        <v>1500</v>
      </c>
      <c r="Y238" s="53">
        <f t="shared" si="120"/>
        <v>42</v>
      </c>
      <c r="Z238" s="112">
        <v>0</v>
      </c>
      <c r="AA238" s="53">
        <f t="shared" si="120"/>
        <v>2</v>
      </c>
      <c r="AB238" s="53">
        <f t="shared" si="120"/>
        <v>27</v>
      </c>
      <c r="AC238" s="53">
        <f t="shared" si="120"/>
        <v>15</v>
      </c>
      <c r="AD238" s="53" t="str">
        <f t="shared" si="120"/>
        <v>近战</v>
      </c>
      <c r="AE238" s="27">
        <v>0</v>
      </c>
      <c r="AF238" s="27">
        <v>0</v>
      </c>
      <c r="AG238" s="53">
        <f>VLOOKUP($B238,一级属性,AG$1,)</f>
        <v>210</v>
      </c>
      <c r="AH238" s="53">
        <f>VLOOKUP($B238,一级属性,AH$1,)</f>
        <v>0</v>
      </c>
      <c r="AI238" s="53">
        <f>VLOOKUP($B238,一级属性,AI$1,)</f>
        <v>350</v>
      </c>
      <c r="AJ238" s="53">
        <f>VLOOKUP($B238,一级属性,AJ$1,)</f>
        <v>0</v>
      </c>
      <c r="AK238" s="27">
        <v>1</v>
      </c>
      <c r="AL238" s="27">
        <v>2</v>
      </c>
      <c r="AM238" s="53">
        <f>VLOOKUP($B238,一级属性,AM$1,)</f>
        <v>90</v>
      </c>
      <c r="AN238" s="30">
        <v>720</v>
      </c>
      <c r="AO238" s="30">
        <v>2</v>
      </c>
      <c r="AP238" s="53">
        <f>VLOOKUP($B238,一级属性,AP$1,)</f>
        <v>3000</v>
      </c>
      <c r="AQ238" s="71">
        <v>0</v>
      </c>
      <c r="AR238" s="71">
        <v>0</v>
      </c>
      <c r="AS238" s="71">
        <v>0</v>
      </c>
      <c r="AT238" s="71">
        <v>0</v>
      </c>
      <c r="AU238" s="71">
        <v>0</v>
      </c>
      <c r="AV238" s="71">
        <v>0</v>
      </c>
      <c r="AW238" s="71">
        <v>0</v>
      </c>
      <c r="AX238" s="53">
        <f>VLOOKUP($B238,一级属性,AX$1,)</f>
        <v>1000</v>
      </c>
      <c r="AY238" s="71">
        <v>0</v>
      </c>
      <c r="AZ238" s="71">
        <v>0</v>
      </c>
      <c r="BA238" s="27">
        <v>0</v>
      </c>
    </row>
    <row r="239" spans="1:53">
      <c r="A239" s="165"/>
      <c r="B239" s="28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>
        <v>2</v>
      </c>
      <c r="O239" s="27"/>
      <c r="P239" s="28"/>
      <c r="Q239" s="27"/>
      <c r="R239" s="27"/>
      <c r="S239" s="79"/>
      <c r="T239" s="30">
        <v>2200</v>
      </c>
      <c r="U239" s="30">
        <v>110</v>
      </c>
      <c r="V239" s="30"/>
      <c r="W239" s="27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/>
      <c r="AK239" s="27"/>
      <c r="AL239" s="27"/>
      <c r="AM239" s="27"/>
      <c r="AN239" s="30">
        <v>792</v>
      </c>
      <c r="AO239" s="30"/>
      <c r="AP239" s="27"/>
      <c r="AQ239" s="27"/>
      <c r="AR239" s="27"/>
      <c r="AX239" s="27"/>
      <c r="AY239" s="27"/>
      <c r="AZ239" s="27"/>
      <c r="BA239" s="27"/>
    </row>
    <row r="240" spans="1:53">
      <c r="A240" s="165"/>
      <c r="B240" s="28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>
        <v>3</v>
      </c>
      <c r="O240" s="27"/>
      <c r="P240" s="28"/>
      <c r="Q240" s="27"/>
      <c r="R240" s="27"/>
      <c r="S240" s="79"/>
      <c r="T240" s="30">
        <v>2420</v>
      </c>
      <c r="U240" s="30">
        <v>121</v>
      </c>
      <c r="V240" s="30"/>
      <c r="W240" s="27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/>
      <c r="AK240" s="27"/>
      <c r="AL240" s="27"/>
      <c r="AM240" s="27"/>
      <c r="AN240" s="30">
        <v>871</v>
      </c>
      <c r="AO240" s="30"/>
      <c r="AP240" s="27"/>
      <c r="AQ240" s="27"/>
      <c r="AR240" s="27"/>
      <c r="AX240" s="27"/>
      <c r="AY240" s="27"/>
      <c r="AZ240" s="27"/>
      <c r="BA240" s="27"/>
    </row>
    <row r="241" spans="1:53">
      <c r="A241" s="165"/>
      <c r="B241" s="28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>
        <v>4</v>
      </c>
      <c r="O241" s="27"/>
      <c r="P241" s="28"/>
      <c r="Q241" s="27"/>
      <c r="R241" s="27"/>
      <c r="S241" s="79"/>
      <c r="T241" s="30">
        <v>2660</v>
      </c>
      <c r="U241" s="30">
        <v>133</v>
      </c>
      <c r="V241" s="30"/>
      <c r="W241" s="27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/>
      <c r="AK241" s="27"/>
      <c r="AL241" s="27"/>
      <c r="AM241" s="27"/>
      <c r="AN241" s="30">
        <v>957</v>
      </c>
      <c r="AO241" s="30"/>
      <c r="AP241" s="27"/>
      <c r="AQ241" s="27"/>
      <c r="AR241" s="27"/>
      <c r="AX241" s="27"/>
      <c r="AY241" s="27"/>
      <c r="AZ241" s="27"/>
      <c r="BA241" s="27"/>
    </row>
    <row r="242" spans="1:53">
      <c r="A242" s="165"/>
      <c r="B242" s="28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>
        <v>5</v>
      </c>
      <c r="O242" s="27"/>
      <c r="P242" s="28"/>
      <c r="Q242" s="27"/>
      <c r="R242" s="27"/>
      <c r="S242" s="79"/>
      <c r="T242" s="30">
        <v>2920</v>
      </c>
      <c r="U242" s="30">
        <v>146</v>
      </c>
      <c r="V242" s="30"/>
      <c r="W242" s="27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30">
        <v>1051</v>
      </c>
      <c r="AO242" s="30"/>
      <c r="AP242" s="27"/>
      <c r="AQ242" s="27"/>
      <c r="AR242" s="27"/>
      <c r="AX242" s="27"/>
      <c r="AY242" s="27"/>
      <c r="AZ242" s="27"/>
      <c r="BA242" s="27"/>
    </row>
    <row r="243" spans="1:53">
      <c r="A243" s="165"/>
      <c r="B243" s="28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>
        <v>6</v>
      </c>
      <c r="O243" s="27"/>
      <c r="P243" s="28"/>
      <c r="Q243" s="27"/>
      <c r="R243" s="27"/>
      <c r="S243" s="79"/>
      <c r="T243" s="30">
        <v>3200</v>
      </c>
      <c r="U243" s="30">
        <v>160</v>
      </c>
      <c r="V243" s="30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30">
        <v>1152</v>
      </c>
      <c r="AO243" s="30"/>
      <c r="AP243" s="27"/>
      <c r="AQ243" s="27"/>
      <c r="AR243" s="27"/>
      <c r="AX243" s="27"/>
      <c r="AY243" s="27"/>
      <c r="AZ243" s="27"/>
      <c r="BA243" s="27"/>
    </row>
    <row r="244" spans="1:53">
      <c r="A244" s="165"/>
      <c r="B244" s="28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>
        <v>7</v>
      </c>
      <c r="O244" s="27"/>
      <c r="P244" s="28"/>
      <c r="Q244" s="27"/>
      <c r="R244" s="27"/>
      <c r="S244" s="79"/>
      <c r="T244" s="30">
        <v>3520</v>
      </c>
      <c r="U244" s="30">
        <v>176</v>
      </c>
      <c r="V244" s="30"/>
      <c r="W244" s="27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/>
      <c r="AK244" s="27"/>
      <c r="AL244" s="27"/>
      <c r="AM244" s="27"/>
      <c r="AN244" s="30">
        <v>1267</v>
      </c>
      <c r="AO244" s="30"/>
      <c r="AP244" s="27"/>
      <c r="AQ244" s="27"/>
      <c r="AR244" s="27"/>
      <c r="AX244" s="27"/>
      <c r="AY244" s="27"/>
      <c r="AZ244" s="27"/>
      <c r="BA244" s="27"/>
    </row>
    <row r="245" spans="1:53">
      <c r="A245" s="165"/>
      <c r="B245" s="28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>
        <v>8</v>
      </c>
      <c r="O245" s="27"/>
      <c r="P245" s="28"/>
      <c r="Q245" s="27"/>
      <c r="R245" s="27"/>
      <c r="S245" s="79"/>
      <c r="T245" s="30">
        <v>3860</v>
      </c>
      <c r="U245" s="30">
        <v>193</v>
      </c>
      <c r="V245" s="30"/>
      <c r="W245" s="27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/>
      <c r="AK245" s="27"/>
      <c r="AL245" s="27"/>
      <c r="AM245" s="27"/>
      <c r="AN245" s="30">
        <v>1389</v>
      </c>
      <c r="AO245" s="30"/>
      <c r="AP245" s="27"/>
      <c r="AQ245" s="27"/>
      <c r="AR245" s="27"/>
      <c r="AX245" s="27"/>
      <c r="AY245" s="27"/>
      <c r="AZ245" s="27"/>
      <c r="BA245" s="27"/>
    </row>
    <row r="246" spans="1:53">
      <c r="A246" s="165"/>
      <c r="B246" s="38">
        <v>25</v>
      </c>
      <c r="C246" s="53" t="str">
        <f>VLOOKUP($B246,一级属性,C$1,)</f>
        <v>寒冰陨石</v>
      </c>
      <c r="D246" s="53" t="str">
        <f>VLOOKUP($B246,一级属性,D$1,)</f>
        <v>寒冰陨石发动的冰晶攻击可以降低敌人的移动和攻击速度，在和烈火陨石争夺首席天外来客的进程中暂时领先。</v>
      </c>
      <c r="F246" s="53">
        <f t="shared" ref="F246:L246" si="121">VLOOKUP($B246,一级属性,F$1,)</f>
        <v>1</v>
      </c>
      <c r="G246" s="53">
        <f t="shared" si="121"/>
        <v>5</v>
      </c>
      <c r="H246" s="53">
        <f t="shared" si="121"/>
        <v>1</v>
      </c>
      <c r="I246" s="53">
        <f t="shared" si="121"/>
        <v>205</v>
      </c>
      <c r="J246" s="53">
        <f t="shared" si="121"/>
        <v>3</v>
      </c>
      <c r="K246" s="53">
        <f t="shared" si="121"/>
        <v>1223</v>
      </c>
      <c r="L246" s="53">
        <f t="shared" si="121"/>
        <v>2223</v>
      </c>
      <c r="M246" s="28">
        <v>1</v>
      </c>
      <c r="N246" s="27">
        <v>1</v>
      </c>
      <c r="O246" s="53">
        <f>VLOOKUP($B246,一级属性,O$1,)</f>
        <v>3</v>
      </c>
      <c r="P246" s="28">
        <v>0</v>
      </c>
      <c r="Q246" s="27">
        <v>2</v>
      </c>
      <c r="R246" s="27">
        <v>5</v>
      </c>
      <c r="S246" s="112">
        <v>0</v>
      </c>
      <c r="T246" s="30">
        <v>700</v>
      </c>
      <c r="U246" s="28">
        <v>63</v>
      </c>
      <c r="V246" s="112">
        <v>0</v>
      </c>
      <c r="W246" s="53">
        <f>VLOOKUP($B246,一级属性,W$1,)</f>
        <v>333</v>
      </c>
      <c r="X246" s="53">
        <f>VLOOKUP($B246,一级属性,X$1,)</f>
        <v>1500</v>
      </c>
      <c r="Y246" s="53">
        <f>VLOOKUP($B246,一级属性,Y$1,)</f>
        <v>42</v>
      </c>
      <c r="Z246" s="112">
        <v>0</v>
      </c>
      <c r="AA246" s="53">
        <f>VLOOKUP($B246,一级属性,AA$1,)</f>
        <v>2</v>
      </c>
      <c r="AB246" s="53">
        <f>VLOOKUP($B246,一级属性,AB$1,)</f>
        <v>20</v>
      </c>
      <c r="AC246" s="53">
        <f>VLOOKUP($B246,一级属性,AC$1,)</f>
        <v>165</v>
      </c>
      <c r="AD246" s="53">
        <f>VLOOKUP($B246,一级属性,AD$1,)</f>
        <v>6</v>
      </c>
      <c r="AE246" s="27">
        <v>0</v>
      </c>
      <c r="AF246" s="27">
        <v>0</v>
      </c>
      <c r="AG246" s="53">
        <f>VLOOKUP($B246,一级属性,AG$1,)</f>
        <v>214</v>
      </c>
      <c r="AH246" s="53">
        <f>VLOOKUP($B246,一级属性,AH$1,)</f>
        <v>30</v>
      </c>
      <c r="AI246" s="53">
        <f>VLOOKUP($B246,一级属性,AI$1,)</f>
        <v>700</v>
      </c>
      <c r="AJ246" s="53">
        <f>VLOOKUP($B246,一级属性,AJ$1,)</f>
        <v>0</v>
      </c>
      <c r="AK246" s="27">
        <v>1</v>
      </c>
      <c r="AL246" s="27">
        <v>0</v>
      </c>
      <c r="AM246" s="53">
        <f>VLOOKUP($B246,一级属性,AM$1,)</f>
        <v>0</v>
      </c>
      <c r="AN246" s="71">
        <v>0</v>
      </c>
      <c r="AO246" s="71">
        <v>0</v>
      </c>
      <c r="AP246" s="53">
        <f>VLOOKUP($B246,一级属性,AP$1,)</f>
        <v>0</v>
      </c>
      <c r="AQ246" s="71">
        <v>0</v>
      </c>
      <c r="AR246" s="71">
        <v>0</v>
      </c>
      <c r="AS246" s="71">
        <v>0</v>
      </c>
      <c r="AT246" s="71">
        <v>0</v>
      </c>
      <c r="AU246" s="71">
        <v>0</v>
      </c>
      <c r="AV246" s="71">
        <v>0</v>
      </c>
      <c r="AW246" s="71">
        <v>0</v>
      </c>
      <c r="AX246" s="53">
        <f>VLOOKUP($B246,一级属性,AX$1,)</f>
        <v>1000</v>
      </c>
      <c r="AY246" s="71">
        <v>0</v>
      </c>
      <c r="AZ246" s="71">
        <v>0</v>
      </c>
      <c r="BA246" s="27">
        <v>0</v>
      </c>
    </row>
    <row r="247" spans="1:53">
      <c r="A247" s="165"/>
      <c r="N247" s="27">
        <v>2</v>
      </c>
      <c r="P247" s="28"/>
      <c r="Q247" s="27"/>
      <c r="R247" s="27"/>
      <c r="S247" s="79"/>
      <c r="T247" s="30">
        <v>770</v>
      </c>
      <c r="U247" s="28">
        <v>69</v>
      </c>
      <c r="V247" s="28"/>
      <c r="X247" s="27"/>
      <c r="AK247" s="27"/>
      <c r="AL247" s="27"/>
      <c r="BA247" s="27"/>
    </row>
    <row r="248" spans="1:53">
      <c r="A248" s="165"/>
      <c r="N248" s="27">
        <v>3</v>
      </c>
      <c r="P248" s="28"/>
      <c r="Q248" s="27"/>
      <c r="R248" s="27"/>
      <c r="S248" s="79"/>
      <c r="T248" s="30">
        <v>847</v>
      </c>
      <c r="U248" s="28">
        <v>76</v>
      </c>
      <c r="V248" s="28"/>
      <c r="X248" s="27"/>
      <c r="AK248" s="27"/>
      <c r="AL248" s="27"/>
      <c r="BA248" s="27"/>
    </row>
    <row r="249" spans="1:53">
      <c r="A249" s="165"/>
      <c r="N249" s="27">
        <v>4</v>
      </c>
      <c r="P249" s="28"/>
      <c r="Q249" s="27"/>
      <c r="R249" s="27"/>
      <c r="S249" s="79"/>
      <c r="T249" s="30">
        <v>931</v>
      </c>
      <c r="U249" s="28">
        <v>83</v>
      </c>
      <c r="V249" s="28"/>
      <c r="X249" s="27"/>
      <c r="AK249" s="27"/>
      <c r="AL249" s="27"/>
      <c r="BA249" s="27"/>
    </row>
    <row r="250" spans="1:53">
      <c r="A250" s="165"/>
      <c r="N250" s="27">
        <v>5</v>
      </c>
      <c r="P250" s="28"/>
      <c r="Q250" s="27"/>
      <c r="R250" s="27"/>
      <c r="S250" s="79"/>
      <c r="T250" s="30">
        <v>1022</v>
      </c>
      <c r="U250" s="28">
        <v>91</v>
      </c>
      <c r="V250" s="28"/>
      <c r="X250" s="27"/>
      <c r="AK250" s="27"/>
      <c r="AL250" s="27"/>
      <c r="BA250" s="27"/>
    </row>
    <row r="251" spans="1:53">
      <c r="A251" s="165"/>
      <c r="B251" s="28">
        <v>34</v>
      </c>
      <c r="C251" s="177" t="s">
        <v>586</v>
      </c>
      <c r="D251" s="177"/>
      <c r="E251" s="178"/>
      <c r="F251" s="177">
        <v>0</v>
      </c>
      <c r="G251" s="53">
        <v>2</v>
      </c>
      <c r="H251" s="53">
        <v>0</v>
      </c>
      <c r="I251" s="53">
        <v>100</v>
      </c>
      <c r="J251" s="53">
        <v>0</v>
      </c>
      <c r="K251" s="53">
        <v>1217</v>
      </c>
      <c r="L251" s="53">
        <v>2217</v>
      </c>
      <c r="M251" s="28">
        <v>0</v>
      </c>
      <c r="N251" s="27">
        <v>1</v>
      </c>
      <c r="O251" s="53">
        <v>5</v>
      </c>
      <c r="P251" s="28">
        <v>0</v>
      </c>
      <c r="Q251" s="27">
        <v>0</v>
      </c>
      <c r="R251" s="27">
        <v>0</v>
      </c>
      <c r="S251" s="112">
        <v>0</v>
      </c>
      <c r="T251" s="29">
        <v>30</v>
      </c>
      <c r="U251" s="29">
        <v>30</v>
      </c>
      <c r="V251" s="112">
        <v>0</v>
      </c>
      <c r="W251" s="53">
        <v>166</v>
      </c>
      <c r="X251" s="53">
        <v>1000</v>
      </c>
      <c r="Y251" s="53">
        <v>63</v>
      </c>
      <c r="Z251" s="112">
        <v>0</v>
      </c>
      <c r="AA251" s="53">
        <v>2</v>
      </c>
      <c r="AB251" s="53">
        <v>15</v>
      </c>
      <c r="AC251" s="53">
        <v>15</v>
      </c>
      <c r="AD251" s="53" t="s">
        <v>738</v>
      </c>
      <c r="AE251" s="27">
        <v>0</v>
      </c>
      <c r="AF251" s="27">
        <v>0</v>
      </c>
      <c r="AG251" s="53">
        <v>210</v>
      </c>
      <c r="AH251" s="53">
        <v>0</v>
      </c>
      <c r="AI251" s="53">
        <v>450</v>
      </c>
      <c r="AJ251" s="53">
        <v>30</v>
      </c>
      <c r="AK251" s="27">
        <v>3</v>
      </c>
      <c r="AL251" s="27">
        <v>0</v>
      </c>
      <c r="AM251" s="53">
        <v>0</v>
      </c>
      <c r="AN251" s="71">
        <v>0</v>
      </c>
      <c r="AO251" s="71">
        <v>0</v>
      </c>
      <c r="AP251" s="53">
        <v>0</v>
      </c>
      <c r="AQ251" s="71">
        <v>0</v>
      </c>
      <c r="AR251" s="71">
        <v>0</v>
      </c>
      <c r="AS251" s="71">
        <v>0</v>
      </c>
      <c r="AT251" s="71">
        <v>0</v>
      </c>
      <c r="AU251" s="71">
        <v>0</v>
      </c>
      <c r="AV251" s="71">
        <v>0</v>
      </c>
      <c r="AW251" s="71">
        <v>0</v>
      </c>
      <c r="AX251" s="53">
        <v>1000</v>
      </c>
      <c r="AY251" s="71">
        <v>0</v>
      </c>
      <c r="AZ251" s="71">
        <v>0</v>
      </c>
      <c r="BA251" s="27">
        <v>0</v>
      </c>
    </row>
    <row r="252" spans="1:53">
      <c r="A252" s="165"/>
      <c r="B252" s="28">
        <v>35</v>
      </c>
      <c r="C252" s="177" t="s">
        <v>586</v>
      </c>
      <c r="D252" s="177"/>
      <c r="E252" s="178"/>
      <c r="F252" s="177">
        <v>0</v>
      </c>
      <c r="G252" s="53">
        <v>2</v>
      </c>
      <c r="H252" s="53">
        <v>0</v>
      </c>
      <c r="I252" s="53">
        <v>100</v>
      </c>
      <c r="J252" s="53">
        <v>0</v>
      </c>
      <c r="K252" s="53">
        <v>1217</v>
      </c>
      <c r="L252" s="53">
        <v>2217</v>
      </c>
      <c r="M252" s="28">
        <v>0</v>
      </c>
      <c r="N252" s="27">
        <v>1</v>
      </c>
      <c r="O252" s="53">
        <v>6</v>
      </c>
      <c r="P252" s="28">
        <v>0</v>
      </c>
      <c r="Q252" s="27">
        <v>0</v>
      </c>
      <c r="R252" s="27">
        <v>0</v>
      </c>
      <c r="S252" s="112">
        <v>0</v>
      </c>
      <c r="T252" s="29">
        <v>30</v>
      </c>
      <c r="U252" s="29">
        <v>30</v>
      </c>
      <c r="V252" s="112">
        <v>0</v>
      </c>
      <c r="W252" s="53">
        <v>166</v>
      </c>
      <c r="X252" s="53">
        <v>1000</v>
      </c>
      <c r="Y252" s="53">
        <v>63</v>
      </c>
      <c r="Z252" s="112">
        <v>0</v>
      </c>
      <c r="AA252" s="53">
        <v>2</v>
      </c>
      <c r="AB252" s="53">
        <v>15</v>
      </c>
      <c r="AC252" s="53">
        <v>15</v>
      </c>
      <c r="AD252" s="53" t="s">
        <v>738</v>
      </c>
      <c r="AE252" s="27">
        <v>0</v>
      </c>
      <c r="AF252" s="27">
        <v>0</v>
      </c>
      <c r="AG252" s="53">
        <v>210</v>
      </c>
      <c r="AH252" s="53">
        <v>0</v>
      </c>
      <c r="AI252" s="53">
        <v>450</v>
      </c>
      <c r="AJ252" s="53">
        <v>30</v>
      </c>
      <c r="AK252" s="27">
        <v>3</v>
      </c>
      <c r="AL252" s="27">
        <v>0</v>
      </c>
      <c r="AM252" s="53">
        <v>0</v>
      </c>
      <c r="AN252" s="71">
        <v>0</v>
      </c>
      <c r="AO252" s="71">
        <v>0</v>
      </c>
      <c r="AP252" s="53">
        <v>0</v>
      </c>
      <c r="AQ252" s="71">
        <v>0</v>
      </c>
      <c r="AR252" s="71">
        <v>0</v>
      </c>
      <c r="AS252" s="71">
        <v>0</v>
      </c>
      <c r="AT252" s="71">
        <v>0</v>
      </c>
      <c r="AU252" s="71">
        <v>0</v>
      </c>
      <c r="AV252" s="71">
        <v>0</v>
      </c>
      <c r="AW252" s="71">
        <v>0</v>
      </c>
      <c r="AX252" s="53">
        <v>1000</v>
      </c>
      <c r="AY252" s="71">
        <v>0</v>
      </c>
      <c r="AZ252" s="71">
        <v>0</v>
      </c>
      <c r="BA252" s="27">
        <v>0</v>
      </c>
    </row>
    <row r="253" spans="1:53">
      <c r="A253" s="165"/>
      <c r="B253" s="28">
        <v>36</v>
      </c>
      <c r="C253" s="177" t="s">
        <v>586</v>
      </c>
      <c r="D253" s="177"/>
      <c r="E253" s="178"/>
      <c r="F253" s="177">
        <v>0</v>
      </c>
      <c r="G253" s="53">
        <v>2</v>
      </c>
      <c r="H253" s="53">
        <v>0</v>
      </c>
      <c r="I253" s="53">
        <v>100</v>
      </c>
      <c r="J253" s="53">
        <v>0</v>
      </c>
      <c r="K253" s="53">
        <v>1217</v>
      </c>
      <c r="L253" s="53">
        <v>2217</v>
      </c>
      <c r="M253" s="28">
        <v>0</v>
      </c>
      <c r="N253" s="27">
        <v>1</v>
      </c>
      <c r="O253" s="53">
        <v>5</v>
      </c>
      <c r="P253" s="28">
        <v>0</v>
      </c>
      <c r="Q253" s="27">
        <v>0</v>
      </c>
      <c r="R253" s="27">
        <v>0</v>
      </c>
      <c r="S253" s="112">
        <v>0</v>
      </c>
      <c r="T253" s="29">
        <v>30</v>
      </c>
      <c r="U253" s="29">
        <v>30</v>
      </c>
      <c r="V253" s="112">
        <v>0</v>
      </c>
      <c r="W253" s="53">
        <v>166</v>
      </c>
      <c r="X253" s="53">
        <v>1000</v>
      </c>
      <c r="Y253" s="53">
        <v>63</v>
      </c>
      <c r="Z253" s="112">
        <v>0</v>
      </c>
      <c r="AA253" s="53">
        <v>2</v>
      </c>
      <c r="AB253" s="53">
        <v>15</v>
      </c>
      <c r="AC253" s="53">
        <v>15</v>
      </c>
      <c r="AD253" s="53" t="s">
        <v>738</v>
      </c>
      <c r="AE253" s="27">
        <v>0</v>
      </c>
      <c r="AF253" s="27">
        <v>0</v>
      </c>
      <c r="AG253" s="53">
        <v>210</v>
      </c>
      <c r="AH253" s="53">
        <v>0</v>
      </c>
      <c r="AI253" s="53">
        <v>450</v>
      </c>
      <c r="AJ253" s="53">
        <v>30</v>
      </c>
      <c r="AK253" s="27">
        <v>3</v>
      </c>
      <c r="AL253" s="27">
        <v>0</v>
      </c>
      <c r="AM253" s="53">
        <v>0</v>
      </c>
      <c r="AN253" s="71">
        <v>0</v>
      </c>
      <c r="AO253" s="71">
        <v>0</v>
      </c>
      <c r="AP253" s="53">
        <v>0</v>
      </c>
      <c r="AQ253" s="71">
        <v>0</v>
      </c>
      <c r="AR253" s="71">
        <v>0</v>
      </c>
      <c r="AS253" s="71">
        <v>0</v>
      </c>
      <c r="AT253" s="71">
        <v>0</v>
      </c>
      <c r="AU253" s="71">
        <v>0</v>
      </c>
      <c r="AV253" s="71">
        <v>0</v>
      </c>
      <c r="AW253" s="71">
        <v>0</v>
      </c>
      <c r="AX253" s="53">
        <v>1000</v>
      </c>
      <c r="AY253" s="71">
        <v>0</v>
      </c>
      <c r="AZ253" s="71">
        <v>0</v>
      </c>
      <c r="BA253" s="27">
        <v>0</v>
      </c>
    </row>
    <row r="254" spans="1:53">
      <c r="A254" s="165"/>
      <c r="B254" s="28">
        <v>37</v>
      </c>
      <c r="C254" s="177" t="s">
        <v>586</v>
      </c>
      <c r="D254" s="177"/>
      <c r="E254" s="178"/>
      <c r="F254" s="177">
        <v>0</v>
      </c>
      <c r="G254" s="53">
        <v>2</v>
      </c>
      <c r="H254" s="53">
        <v>0</v>
      </c>
      <c r="I254" s="53">
        <v>100</v>
      </c>
      <c r="J254" s="53">
        <v>0</v>
      </c>
      <c r="K254" s="53">
        <v>1217</v>
      </c>
      <c r="L254" s="53">
        <v>2217</v>
      </c>
      <c r="M254" s="28">
        <v>0</v>
      </c>
      <c r="N254" s="27">
        <v>1</v>
      </c>
      <c r="O254" s="53">
        <v>6</v>
      </c>
      <c r="P254" s="28">
        <v>0</v>
      </c>
      <c r="Q254" s="27">
        <v>0</v>
      </c>
      <c r="R254" s="27">
        <v>0</v>
      </c>
      <c r="S254" s="112">
        <v>0</v>
      </c>
      <c r="T254" s="29">
        <v>30</v>
      </c>
      <c r="U254" s="29">
        <v>30</v>
      </c>
      <c r="V254" s="112">
        <v>0</v>
      </c>
      <c r="W254" s="53">
        <v>166</v>
      </c>
      <c r="X254" s="53">
        <v>1000</v>
      </c>
      <c r="Y254" s="53">
        <v>63</v>
      </c>
      <c r="Z254" s="112">
        <v>0</v>
      </c>
      <c r="AA254" s="53">
        <v>2</v>
      </c>
      <c r="AB254" s="53">
        <v>15</v>
      </c>
      <c r="AC254" s="53">
        <v>15</v>
      </c>
      <c r="AD254" s="53" t="s">
        <v>738</v>
      </c>
      <c r="AE254" s="27">
        <v>0</v>
      </c>
      <c r="AF254" s="27">
        <v>0</v>
      </c>
      <c r="AG254" s="53">
        <v>210</v>
      </c>
      <c r="AH254" s="53">
        <v>0</v>
      </c>
      <c r="AI254" s="53">
        <v>450</v>
      </c>
      <c r="AJ254" s="53">
        <v>30</v>
      </c>
      <c r="AK254" s="27">
        <v>3</v>
      </c>
      <c r="AL254" s="27">
        <v>0</v>
      </c>
      <c r="AM254" s="53">
        <v>0</v>
      </c>
      <c r="AN254" s="71">
        <v>0</v>
      </c>
      <c r="AO254" s="71">
        <v>0</v>
      </c>
      <c r="AP254" s="53">
        <v>0</v>
      </c>
      <c r="AQ254" s="71">
        <v>0</v>
      </c>
      <c r="AR254" s="71">
        <v>0</v>
      </c>
      <c r="AS254" s="71">
        <v>0</v>
      </c>
      <c r="AT254" s="71">
        <v>0</v>
      </c>
      <c r="AU254" s="71">
        <v>0</v>
      </c>
      <c r="AV254" s="71">
        <v>0</v>
      </c>
      <c r="AW254" s="71">
        <v>0</v>
      </c>
      <c r="AX254" s="53">
        <v>1000</v>
      </c>
      <c r="AY254" s="71">
        <v>0</v>
      </c>
      <c r="AZ254" s="71">
        <v>0</v>
      </c>
      <c r="BA254" s="27">
        <v>0</v>
      </c>
    </row>
    <row r="255" spans="1:53">
      <c r="A255" s="165"/>
      <c r="B255" s="28">
        <v>38</v>
      </c>
      <c r="C255" s="177" t="s">
        <v>582</v>
      </c>
      <c r="D255" s="177"/>
      <c r="E255" s="178"/>
      <c r="F255" s="177">
        <v>0</v>
      </c>
      <c r="G255" s="53">
        <v>1</v>
      </c>
      <c r="H255" s="53">
        <v>0</v>
      </c>
      <c r="I255" s="53">
        <v>15</v>
      </c>
      <c r="J255" s="53">
        <v>0</v>
      </c>
      <c r="K255" s="53">
        <v>1215</v>
      </c>
      <c r="L255" s="53">
        <v>2215</v>
      </c>
      <c r="M255" s="28">
        <v>1</v>
      </c>
      <c r="N255" s="27">
        <v>1</v>
      </c>
      <c r="O255" s="53">
        <v>6</v>
      </c>
      <c r="P255" s="28">
        <v>0</v>
      </c>
      <c r="Q255" s="27">
        <v>2</v>
      </c>
      <c r="R255" s="27">
        <v>1</v>
      </c>
      <c r="S255" s="112">
        <v>0</v>
      </c>
      <c r="T255" s="28">
        <v>52</v>
      </c>
      <c r="U255" s="28">
        <v>24</v>
      </c>
      <c r="V255" s="112">
        <v>0</v>
      </c>
      <c r="W255" s="53">
        <v>200</v>
      </c>
      <c r="X255" s="53">
        <v>1300</v>
      </c>
      <c r="Y255" s="53">
        <v>84</v>
      </c>
      <c r="Z255" s="112">
        <v>0</v>
      </c>
      <c r="AA255" s="53">
        <v>2</v>
      </c>
      <c r="AB255" s="53">
        <v>15</v>
      </c>
      <c r="AC255" s="53">
        <v>150</v>
      </c>
      <c r="AD255" s="53">
        <v>5.5</v>
      </c>
      <c r="AE255" s="27">
        <v>0</v>
      </c>
      <c r="AF255" s="27">
        <v>0</v>
      </c>
      <c r="AG255" s="53">
        <v>210</v>
      </c>
      <c r="AH255" s="53">
        <v>0</v>
      </c>
      <c r="AI255" s="53">
        <v>450</v>
      </c>
      <c r="AJ255" s="53">
        <v>30</v>
      </c>
      <c r="AK255" s="27">
        <v>3</v>
      </c>
      <c r="AL255" s="27">
        <v>0</v>
      </c>
      <c r="AM255" s="53">
        <v>0</v>
      </c>
      <c r="AN255" s="71">
        <v>0</v>
      </c>
      <c r="AO255" s="71">
        <v>0</v>
      </c>
      <c r="AP255" s="53">
        <v>0</v>
      </c>
      <c r="AQ255" s="71">
        <v>0</v>
      </c>
      <c r="AR255" s="71">
        <v>0</v>
      </c>
      <c r="AS255" s="71">
        <v>0</v>
      </c>
      <c r="AT255" s="71">
        <v>0</v>
      </c>
      <c r="AU255" s="71">
        <v>0</v>
      </c>
      <c r="AV255" s="71">
        <v>0</v>
      </c>
      <c r="AW255" s="71">
        <v>0</v>
      </c>
      <c r="AX255" s="53">
        <v>1000</v>
      </c>
      <c r="AY255" s="71">
        <v>0</v>
      </c>
      <c r="AZ255" s="71">
        <v>0</v>
      </c>
      <c r="BA255" s="27">
        <v>0</v>
      </c>
    </row>
    <row r="256" spans="1:53">
      <c r="A256" s="165"/>
      <c r="B256" s="28">
        <v>39</v>
      </c>
      <c r="C256" s="177" t="s">
        <v>582</v>
      </c>
      <c r="D256" s="177"/>
      <c r="E256" s="178"/>
      <c r="F256" s="177">
        <v>0</v>
      </c>
      <c r="G256" s="53">
        <v>1</v>
      </c>
      <c r="H256" s="53">
        <v>0</v>
      </c>
      <c r="I256" s="53">
        <v>15</v>
      </c>
      <c r="J256" s="53">
        <v>0</v>
      </c>
      <c r="K256" s="53">
        <v>1215</v>
      </c>
      <c r="L256" s="53">
        <v>2215</v>
      </c>
      <c r="M256" s="28">
        <v>1</v>
      </c>
      <c r="N256" s="27">
        <v>1</v>
      </c>
      <c r="O256" s="53">
        <v>7</v>
      </c>
      <c r="P256" s="28">
        <v>0</v>
      </c>
      <c r="Q256" s="27">
        <v>2</v>
      </c>
      <c r="R256" s="27">
        <v>1</v>
      </c>
      <c r="S256" s="112">
        <v>0</v>
      </c>
      <c r="T256" s="28">
        <v>52</v>
      </c>
      <c r="U256" s="28">
        <v>24</v>
      </c>
      <c r="V256" s="112">
        <v>0</v>
      </c>
      <c r="W256" s="53">
        <v>200</v>
      </c>
      <c r="X256" s="53">
        <v>1300</v>
      </c>
      <c r="Y256" s="53">
        <v>84</v>
      </c>
      <c r="Z256" s="112">
        <v>0</v>
      </c>
      <c r="AA256" s="53">
        <v>2</v>
      </c>
      <c r="AB256" s="53">
        <v>15</v>
      </c>
      <c r="AC256" s="53">
        <v>150</v>
      </c>
      <c r="AD256" s="53">
        <v>5.5</v>
      </c>
      <c r="AE256" s="27">
        <v>0</v>
      </c>
      <c r="AF256" s="27">
        <v>0</v>
      </c>
      <c r="AG256" s="53">
        <v>210</v>
      </c>
      <c r="AH256" s="53">
        <v>0</v>
      </c>
      <c r="AI256" s="53">
        <v>450</v>
      </c>
      <c r="AJ256" s="53">
        <v>30</v>
      </c>
      <c r="AK256" s="27">
        <v>3</v>
      </c>
      <c r="AL256" s="27">
        <v>0</v>
      </c>
      <c r="AM256" s="53">
        <v>0</v>
      </c>
      <c r="AN256" s="71">
        <v>0</v>
      </c>
      <c r="AO256" s="71">
        <v>0</v>
      </c>
      <c r="AP256" s="53">
        <v>0</v>
      </c>
      <c r="AQ256" s="71">
        <v>0</v>
      </c>
      <c r="AR256" s="71">
        <v>0</v>
      </c>
      <c r="AS256" s="71">
        <v>0</v>
      </c>
      <c r="AT256" s="71">
        <v>0</v>
      </c>
      <c r="AU256" s="71">
        <v>0</v>
      </c>
      <c r="AV256" s="71">
        <v>0</v>
      </c>
      <c r="AW256" s="71">
        <v>0</v>
      </c>
      <c r="AX256" s="53">
        <v>1000</v>
      </c>
      <c r="AY256" s="71">
        <v>0</v>
      </c>
      <c r="AZ256" s="71">
        <v>0</v>
      </c>
      <c r="BA256" s="27">
        <v>0</v>
      </c>
    </row>
    <row r="257" spans="1:53">
      <c r="A257" s="165"/>
      <c r="B257" s="28">
        <v>40</v>
      </c>
      <c r="C257" s="177" t="s">
        <v>582</v>
      </c>
      <c r="D257" s="177"/>
      <c r="E257" s="178"/>
      <c r="F257" s="177">
        <v>0</v>
      </c>
      <c r="G257" s="53">
        <v>1</v>
      </c>
      <c r="H257" s="53">
        <v>0</v>
      </c>
      <c r="I257" s="53">
        <v>15</v>
      </c>
      <c r="J257" s="53">
        <v>0</v>
      </c>
      <c r="K257" s="53">
        <v>1215</v>
      </c>
      <c r="L257" s="53">
        <v>2215</v>
      </c>
      <c r="M257" s="28">
        <v>1</v>
      </c>
      <c r="N257" s="27">
        <v>1</v>
      </c>
      <c r="O257" s="53">
        <v>6</v>
      </c>
      <c r="P257" s="28">
        <v>0</v>
      </c>
      <c r="Q257" s="27">
        <v>2</v>
      </c>
      <c r="R257" s="27">
        <v>1</v>
      </c>
      <c r="S257" s="112">
        <v>0</v>
      </c>
      <c r="T257" s="28">
        <v>52</v>
      </c>
      <c r="U257" s="28">
        <v>24</v>
      </c>
      <c r="V257" s="112">
        <v>0</v>
      </c>
      <c r="W257" s="53">
        <v>200</v>
      </c>
      <c r="X257" s="53">
        <v>1300</v>
      </c>
      <c r="Y257" s="53">
        <v>84</v>
      </c>
      <c r="Z257" s="112">
        <v>0</v>
      </c>
      <c r="AA257" s="53">
        <v>2</v>
      </c>
      <c r="AB257" s="53">
        <v>15</v>
      </c>
      <c r="AC257" s="53">
        <v>150</v>
      </c>
      <c r="AD257" s="53">
        <v>5.5</v>
      </c>
      <c r="AE257" s="27">
        <v>0</v>
      </c>
      <c r="AF257" s="27">
        <v>0</v>
      </c>
      <c r="AG257" s="53">
        <v>210</v>
      </c>
      <c r="AH257" s="53">
        <v>0</v>
      </c>
      <c r="AI257" s="53">
        <v>450</v>
      </c>
      <c r="AJ257" s="53">
        <v>30</v>
      </c>
      <c r="AK257" s="27">
        <v>3</v>
      </c>
      <c r="AL257" s="27">
        <v>0</v>
      </c>
      <c r="AM257" s="53">
        <v>0</v>
      </c>
      <c r="AN257" s="71">
        <v>0</v>
      </c>
      <c r="AO257" s="71">
        <v>0</v>
      </c>
      <c r="AP257" s="53">
        <v>0</v>
      </c>
      <c r="AQ257" s="71">
        <v>0</v>
      </c>
      <c r="AR257" s="71">
        <v>0</v>
      </c>
      <c r="AS257" s="71">
        <v>0</v>
      </c>
      <c r="AT257" s="71">
        <v>0</v>
      </c>
      <c r="AU257" s="71">
        <v>0</v>
      </c>
      <c r="AV257" s="71">
        <v>0</v>
      </c>
      <c r="AW257" s="71">
        <v>0</v>
      </c>
      <c r="AX257" s="53">
        <v>1000</v>
      </c>
      <c r="AY257" s="71">
        <v>0</v>
      </c>
      <c r="AZ257" s="71">
        <v>0</v>
      </c>
      <c r="BA257" s="27">
        <v>0</v>
      </c>
    </row>
    <row r="258" spans="1:53">
      <c r="A258" s="165"/>
      <c r="B258" s="28">
        <v>41</v>
      </c>
      <c r="C258" s="177" t="s">
        <v>582</v>
      </c>
      <c r="D258" s="177"/>
      <c r="E258" s="178"/>
      <c r="F258" s="177">
        <v>0</v>
      </c>
      <c r="G258" s="53">
        <v>1</v>
      </c>
      <c r="H258" s="53">
        <v>0</v>
      </c>
      <c r="I258" s="53">
        <v>15</v>
      </c>
      <c r="J258" s="53">
        <v>0</v>
      </c>
      <c r="K258" s="53">
        <v>1215</v>
      </c>
      <c r="L258" s="53">
        <v>2215</v>
      </c>
      <c r="M258" s="28">
        <v>1</v>
      </c>
      <c r="N258" s="27">
        <v>1</v>
      </c>
      <c r="O258" s="53">
        <v>7</v>
      </c>
      <c r="P258" s="28">
        <v>0</v>
      </c>
      <c r="Q258" s="27">
        <v>2</v>
      </c>
      <c r="R258" s="27">
        <v>1</v>
      </c>
      <c r="S258" s="112">
        <v>0</v>
      </c>
      <c r="T258" s="28">
        <v>52</v>
      </c>
      <c r="U258" s="28">
        <v>24</v>
      </c>
      <c r="V258" s="112">
        <v>0</v>
      </c>
      <c r="W258" s="53">
        <v>200</v>
      </c>
      <c r="X258" s="53">
        <v>1300</v>
      </c>
      <c r="Y258" s="53">
        <v>84</v>
      </c>
      <c r="Z258" s="112">
        <v>0</v>
      </c>
      <c r="AA258" s="53">
        <v>2</v>
      </c>
      <c r="AB258" s="53">
        <v>15</v>
      </c>
      <c r="AC258" s="53">
        <v>150</v>
      </c>
      <c r="AD258" s="53">
        <v>5.5</v>
      </c>
      <c r="AE258" s="27">
        <v>0</v>
      </c>
      <c r="AF258" s="27">
        <v>0</v>
      </c>
      <c r="AG258" s="53">
        <v>210</v>
      </c>
      <c r="AH258" s="53">
        <v>0</v>
      </c>
      <c r="AI258" s="53">
        <v>450</v>
      </c>
      <c r="AJ258" s="53">
        <v>30</v>
      </c>
      <c r="AK258" s="27">
        <v>3</v>
      </c>
      <c r="AL258" s="27">
        <v>0</v>
      </c>
      <c r="AM258" s="53">
        <v>0</v>
      </c>
      <c r="AN258" s="71">
        <v>0</v>
      </c>
      <c r="AO258" s="71">
        <v>0</v>
      </c>
      <c r="AP258" s="53">
        <v>0</v>
      </c>
      <c r="AQ258" s="71">
        <v>0</v>
      </c>
      <c r="AR258" s="71">
        <v>0</v>
      </c>
      <c r="AS258" s="71">
        <v>0</v>
      </c>
      <c r="AT258" s="71">
        <v>0</v>
      </c>
      <c r="AU258" s="71">
        <v>0</v>
      </c>
      <c r="AV258" s="71">
        <v>0</v>
      </c>
      <c r="AW258" s="71">
        <v>0</v>
      </c>
      <c r="AX258" s="53">
        <v>1000</v>
      </c>
      <c r="AY258" s="71">
        <v>0</v>
      </c>
      <c r="AZ258" s="71">
        <v>0</v>
      </c>
      <c r="BA258" s="27">
        <v>0</v>
      </c>
    </row>
    <row r="259" spans="1:53">
      <c r="A259" s="165"/>
      <c r="B259" s="28">
        <v>42</v>
      </c>
      <c r="C259" s="177" t="s">
        <v>739</v>
      </c>
      <c r="D259" s="177"/>
      <c r="E259" s="178"/>
      <c r="F259" s="177">
        <v>0</v>
      </c>
      <c r="G259" s="53">
        <v>1</v>
      </c>
      <c r="H259" s="53">
        <v>0</v>
      </c>
      <c r="I259" s="53">
        <v>5</v>
      </c>
      <c r="J259" s="53">
        <v>0</v>
      </c>
      <c r="K259" s="53">
        <v>1216</v>
      </c>
      <c r="L259" s="53">
        <v>2216</v>
      </c>
      <c r="M259" s="28">
        <v>0</v>
      </c>
      <c r="N259" s="27">
        <v>1</v>
      </c>
      <c r="O259" s="53">
        <v>6</v>
      </c>
      <c r="P259" s="28">
        <v>0</v>
      </c>
      <c r="Q259" s="27">
        <v>0</v>
      </c>
      <c r="R259" s="27">
        <v>0</v>
      </c>
      <c r="S259" s="112">
        <v>0</v>
      </c>
      <c r="T259" s="3">
        <v>80</v>
      </c>
      <c r="U259" s="3">
        <v>50</v>
      </c>
      <c r="V259" s="112">
        <v>0</v>
      </c>
      <c r="W259" s="53">
        <v>200</v>
      </c>
      <c r="X259" s="53">
        <v>1100</v>
      </c>
      <c r="Y259" s="53">
        <v>84</v>
      </c>
      <c r="Z259" s="112">
        <v>0</v>
      </c>
      <c r="AA259" s="53">
        <v>2</v>
      </c>
      <c r="AB259" s="53">
        <v>15</v>
      </c>
      <c r="AC259" s="53">
        <v>30</v>
      </c>
      <c r="AD259" s="53" t="s">
        <v>738</v>
      </c>
      <c r="AE259" s="27">
        <v>0</v>
      </c>
      <c r="AF259" s="27">
        <v>0</v>
      </c>
      <c r="AG259" s="53">
        <v>210</v>
      </c>
      <c r="AH259" s="53">
        <v>0</v>
      </c>
      <c r="AI259" s="53">
        <v>450</v>
      </c>
      <c r="AJ259" s="53">
        <v>30</v>
      </c>
      <c r="AK259" s="27">
        <v>3</v>
      </c>
      <c r="AL259" s="27">
        <v>0</v>
      </c>
      <c r="AM259" s="53">
        <v>0</v>
      </c>
      <c r="AN259" s="71">
        <v>0</v>
      </c>
      <c r="AO259" s="71">
        <v>0</v>
      </c>
      <c r="AP259" s="53">
        <v>0</v>
      </c>
      <c r="AQ259" s="71">
        <v>0</v>
      </c>
      <c r="AR259" s="71">
        <v>0</v>
      </c>
      <c r="AS259" s="71">
        <v>0</v>
      </c>
      <c r="AT259" s="71">
        <v>0</v>
      </c>
      <c r="AU259" s="71">
        <v>0</v>
      </c>
      <c r="AV259" s="71">
        <v>0</v>
      </c>
      <c r="AW259" s="71">
        <v>0</v>
      </c>
      <c r="AX259" s="53">
        <v>1000</v>
      </c>
      <c r="AY259" s="71">
        <v>0</v>
      </c>
      <c r="AZ259" s="71">
        <v>0</v>
      </c>
      <c r="BA259" s="27">
        <v>0</v>
      </c>
    </row>
    <row r="260" spans="1:53">
      <c r="A260" s="165"/>
      <c r="B260" s="28">
        <v>43</v>
      </c>
      <c r="C260" s="177" t="s">
        <v>585</v>
      </c>
      <c r="D260" s="177"/>
      <c r="E260" s="178"/>
      <c r="F260" s="177">
        <v>0</v>
      </c>
      <c r="G260" s="53">
        <v>0</v>
      </c>
      <c r="H260" s="53">
        <v>0</v>
      </c>
      <c r="I260" s="53">
        <v>10</v>
      </c>
      <c r="J260" s="53">
        <v>0</v>
      </c>
      <c r="K260" s="53">
        <v>1213</v>
      </c>
      <c r="L260" s="53">
        <v>2213</v>
      </c>
      <c r="M260" s="28">
        <v>1</v>
      </c>
      <c r="N260" s="27">
        <v>1</v>
      </c>
      <c r="O260" s="53">
        <v>7</v>
      </c>
      <c r="P260" s="28">
        <v>0</v>
      </c>
      <c r="Q260" s="27">
        <v>2</v>
      </c>
      <c r="R260" s="27">
        <v>1</v>
      </c>
      <c r="S260" s="112">
        <v>0</v>
      </c>
      <c r="T260" s="3">
        <v>125</v>
      </c>
      <c r="U260" s="3">
        <v>40</v>
      </c>
      <c r="V260" s="112">
        <v>0</v>
      </c>
      <c r="W260" s="53">
        <v>200</v>
      </c>
      <c r="X260" s="53">
        <v>1200</v>
      </c>
      <c r="Y260" s="53">
        <v>42</v>
      </c>
      <c r="Z260" s="112">
        <v>0</v>
      </c>
      <c r="AA260" s="53">
        <v>2</v>
      </c>
      <c r="AB260" s="53">
        <v>15</v>
      </c>
      <c r="AC260" s="53">
        <v>150</v>
      </c>
      <c r="AD260" s="53">
        <v>5.5</v>
      </c>
      <c r="AE260" s="27">
        <v>0</v>
      </c>
      <c r="AF260" s="27">
        <v>0</v>
      </c>
      <c r="AG260" s="53">
        <v>210</v>
      </c>
      <c r="AH260" s="53">
        <v>0</v>
      </c>
      <c r="AI260" s="53">
        <v>450</v>
      </c>
      <c r="AJ260" s="53">
        <v>30</v>
      </c>
      <c r="AK260" s="27">
        <v>2</v>
      </c>
      <c r="AL260" s="27">
        <v>0</v>
      </c>
      <c r="AM260" s="53">
        <v>0</v>
      </c>
      <c r="AN260" s="71">
        <v>0</v>
      </c>
      <c r="AO260" s="71">
        <v>0</v>
      </c>
      <c r="AP260" s="53">
        <v>0</v>
      </c>
      <c r="AQ260" s="71">
        <v>0</v>
      </c>
      <c r="AR260" s="71">
        <v>0</v>
      </c>
      <c r="AS260" s="71">
        <v>0</v>
      </c>
      <c r="AT260" s="71">
        <v>0</v>
      </c>
      <c r="AU260" s="71">
        <v>0</v>
      </c>
      <c r="AV260" s="71">
        <v>0</v>
      </c>
      <c r="AW260" s="71">
        <v>0</v>
      </c>
      <c r="AX260" s="53">
        <v>1000</v>
      </c>
      <c r="AY260" s="71">
        <v>0</v>
      </c>
      <c r="AZ260" s="71">
        <v>0</v>
      </c>
      <c r="BA260" s="27">
        <v>0</v>
      </c>
    </row>
    <row r="261" spans="1:53">
      <c r="A261" s="165"/>
      <c r="B261" s="28">
        <v>44</v>
      </c>
      <c r="C261" s="177" t="s">
        <v>585</v>
      </c>
      <c r="D261" s="177"/>
      <c r="E261" s="178"/>
      <c r="F261" s="177">
        <v>0</v>
      </c>
      <c r="G261" s="53">
        <v>0</v>
      </c>
      <c r="H261" s="53">
        <v>0</v>
      </c>
      <c r="I261" s="53">
        <v>10</v>
      </c>
      <c r="J261" s="53">
        <v>0</v>
      </c>
      <c r="K261" s="53">
        <v>1213</v>
      </c>
      <c r="L261" s="53">
        <v>2213</v>
      </c>
      <c r="M261" s="28">
        <v>1</v>
      </c>
      <c r="N261" s="27">
        <v>1</v>
      </c>
      <c r="O261" s="53">
        <v>6</v>
      </c>
      <c r="P261" s="28">
        <v>0</v>
      </c>
      <c r="Q261" s="27">
        <v>2</v>
      </c>
      <c r="R261" s="27">
        <v>1</v>
      </c>
      <c r="S261" s="112">
        <v>0</v>
      </c>
      <c r="T261" s="3">
        <v>125</v>
      </c>
      <c r="U261" s="3">
        <v>40</v>
      </c>
      <c r="V261" s="112">
        <v>0</v>
      </c>
      <c r="W261" s="53">
        <v>200</v>
      </c>
      <c r="X261" s="53">
        <v>1200</v>
      </c>
      <c r="Y261" s="53">
        <v>42</v>
      </c>
      <c r="Z261" s="112">
        <v>0</v>
      </c>
      <c r="AA261" s="53">
        <v>2</v>
      </c>
      <c r="AB261" s="53">
        <v>15</v>
      </c>
      <c r="AC261" s="53">
        <v>150</v>
      </c>
      <c r="AD261" s="53">
        <v>5.5</v>
      </c>
      <c r="AE261" s="27">
        <v>0</v>
      </c>
      <c r="AF261" s="27">
        <v>0</v>
      </c>
      <c r="AG261" s="53">
        <v>210</v>
      </c>
      <c r="AH261" s="53">
        <v>0</v>
      </c>
      <c r="AI261" s="53">
        <v>450</v>
      </c>
      <c r="AJ261" s="53">
        <v>30</v>
      </c>
      <c r="AK261" s="27">
        <v>2</v>
      </c>
      <c r="AL261" s="27">
        <v>0</v>
      </c>
      <c r="AM261" s="53">
        <v>0</v>
      </c>
      <c r="AN261" s="71">
        <v>0</v>
      </c>
      <c r="AO261" s="71">
        <v>0</v>
      </c>
      <c r="AP261" s="53">
        <v>0</v>
      </c>
      <c r="AQ261" s="71">
        <v>0</v>
      </c>
      <c r="AR261" s="71">
        <v>0</v>
      </c>
      <c r="AS261" s="71">
        <v>0</v>
      </c>
      <c r="AT261" s="71">
        <v>0</v>
      </c>
      <c r="AU261" s="71">
        <v>0</v>
      </c>
      <c r="AV261" s="71">
        <v>0</v>
      </c>
      <c r="AW261" s="71">
        <v>0</v>
      </c>
      <c r="AX261" s="53">
        <v>1000</v>
      </c>
      <c r="AY261" s="71">
        <v>0</v>
      </c>
      <c r="AZ261" s="71">
        <v>0</v>
      </c>
      <c r="BA261" s="27">
        <v>0</v>
      </c>
    </row>
    <row r="262" spans="1:53">
      <c r="A262" s="165"/>
      <c r="B262" s="28">
        <v>45</v>
      </c>
      <c r="C262" s="177" t="s">
        <v>572</v>
      </c>
      <c r="D262" s="177"/>
      <c r="E262" s="178"/>
      <c r="F262" s="177">
        <v>0</v>
      </c>
      <c r="G262" s="53">
        <v>0</v>
      </c>
      <c r="H262" s="53">
        <v>0</v>
      </c>
      <c r="I262" s="53">
        <v>40</v>
      </c>
      <c r="J262" s="53">
        <v>0</v>
      </c>
      <c r="K262" s="53">
        <v>1201</v>
      </c>
      <c r="L262" s="53">
        <v>2201</v>
      </c>
      <c r="M262" s="28">
        <v>1</v>
      </c>
      <c r="N262" s="27">
        <v>1</v>
      </c>
      <c r="O262" s="53">
        <v>7</v>
      </c>
      <c r="P262" s="28">
        <v>0</v>
      </c>
      <c r="Q262" s="27">
        <v>0</v>
      </c>
      <c r="R262" s="27">
        <v>2</v>
      </c>
      <c r="S262" s="112">
        <v>0</v>
      </c>
      <c r="T262" s="3">
        <v>150</v>
      </c>
      <c r="U262" s="3">
        <v>100</v>
      </c>
      <c r="V262" s="112">
        <v>0</v>
      </c>
      <c r="W262" s="53">
        <v>200</v>
      </c>
      <c r="X262" s="53">
        <v>1900</v>
      </c>
      <c r="Y262" s="53">
        <v>42</v>
      </c>
      <c r="Z262" s="112">
        <v>0</v>
      </c>
      <c r="AA262" s="53">
        <v>2</v>
      </c>
      <c r="AB262" s="53">
        <v>15</v>
      </c>
      <c r="AC262" s="53">
        <v>135</v>
      </c>
      <c r="AD262" s="53">
        <v>5</v>
      </c>
      <c r="AE262" s="27">
        <v>0</v>
      </c>
      <c r="AF262" s="27">
        <v>0</v>
      </c>
      <c r="AG262" s="53">
        <v>210</v>
      </c>
      <c r="AH262" s="53">
        <v>45</v>
      </c>
      <c r="AI262" s="53">
        <v>450</v>
      </c>
      <c r="AJ262" s="53">
        <v>0</v>
      </c>
      <c r="AK262" s="27">
        <v>1</v>
      </c>
      <c r="AL262" s="27">
        <v>0</v>
      </c>
      <c r="AM262" s="53">
        <v>0</v>
      </c>
      <c r="AN262" s="71">
        <v>0</v>
      </c>
      <c r="AO262" s="71">
        <v>0</v>
      </c>
      <c r="AP262" s="53">
        <v>0</v>
      </c>
      <c r="AQ262" s="71">
        <v>0</v>
      </c>
      <c r="AR262" s="71">
        <v>0</v>
      </c>
      <c r="AS262" s="71">
        <v>0</v>
      </c>
      <c r="AT262" s="71">
        <v>0</v>
      </c>
      <c r="AU262" s="71">
        <v>0</v>
      </c>
      <c r="AV262" s="71">
        <v>0</v>
      </c>
      <c r="AW262" s="71">
        <v>0</v>
      </c>
      <c r="AX262" s="53">
        <v>1000</v>
      </c>
      <c r="AY262" s="71">
        <v>0</v>
      </c>
      <c r="AZ262" s="71">
        <v>0</v>
      </c>
      <c r="BA262" s="27">
        <v>0</v>
      </c>
    </row>
    <row r="263" spans="1:53">
      <c r="A263" s="165"/>
      <c r="B263" s="28">
        <v>46</v>
      </c>
      <c r="C263" s="177" t="s">
        <v>572</v>
      </c>
      <c r="D263" s="177"/>
      <c r="E263" s="178"/>
      <c r="F263" s="177">
        <v>0</v>
      </c>
      <c r="G263" s="53">
        <v>0</v>
      </c>
      <c r="H263" s="53">
        <v>0</v>
      </c>
      <c r="I263" s="53">
        <v>40</v>
      </c>
      <c r="J263" s="53">
        <v>0</v>
      </c>
      <c r="K263" s="53">
        <v>1201</v>
      </c>
      <c r="L263" s="53">
        <v>2201</v>
      </c>
      <c r="M263" s="28">
        <v>1</v>
      </c>
      <c r="N263" s="27">
        <v>1</v>
      </c>
      <c r="O263" s="53">
        <v>6</v>
      </c>
      <c r="P263" s="28">
        <v>0</v>
      </c>
      <c r="Q263" s="27">
        <v>0</v>
      </c>
      <c r="R263" s="27">
        <v>2</v>
      </c>
      <c r="S263" s="112">
        <v>0</v>
      </c>
      <c r="T263" s="3">
        <v>150</v>
      </c>
      <c r="U263" s="3">
        <v>100</v>
      </c>
      <c r="V263" s="112">
        <v>0</v>
      </c>
      <c r="W263" s="53">
        <v>200</v>
      </c>
      <c r="X263" s="53">
        <v>1900</v>
      </c>
      <c r="Y263" s="53">
        <v>42</v>
      </c>
      <c r="Z263" s="112">
        <v>0</v>
      </c>
      <c r="AA263" s="53">
        <v>2</v>
      </c>
      <c r="AB263" s="53">
        <v>15</v>
      </c>
      <c r="AC263" s="53">
        <v>135</v>
      </c>
      <c r="AD263" s="53">
        <v>5</v>
      </c>
      <c r="AE263" s="27">
        <v>0</v>
      </c>
      <c r="AF263" s="27">
        <v>0</v>
      </c>
      <c r="AG263" s="53">
        <v>210</v>
      </c>
      <c r="AH263" s="53">
        <v>45</v>
      </c>
      <c r="AI263" s="53">
        <v>450</v>
      </c>
      <c r="AJ263" s="53">
        <v>0</v>
      </c>
      <c r="AK263" s="27">
        <v>1</v>
      </c>
      <c r="AL263" s="27">
        <v>0</v>
      </c>
      <c r="AM263" s="53">
        <v>0</v>
      </c>
      <c r="AN263" s="71">
        <v>0</v>
      </c>
      <c r="AO263" s="71">
        <v>0</v>
      </c>
      <c r="AP263" s="53">
        <v>0</v>
      </c>
      <c r="AQ263" s="71">
        <v>0</v>
      </c>
      <c r="AR263" s="71">
        <v>0</v>
      </c>
      <c r="AS263" s="71">
        <v>0</v>
      </c>
      <c r="AT263" s="71">
        <v>0</v>
      </c>
      <c r="AU263" s="71">
        <v>0</v>
      </c>
      <c r="AV263" s="71">
        <v>0</v>
      </c>
      <c r="AW263" s="71">
        <v>0</v>
      </c>
      <c r="AX263" s="53">
        <v>1000</v>
      </c>
      <c r="AY263" s="71">
        <v>0</v>
      </c>
      <c r="AZ263" s="71">
        <v>0</v>
      </c>
      <c r="BA263" s="27">
        <v>0</v>
      </c>
    </row>
    <row r="264" spans="1:53">
      <c r="A264" s="165"/>
      <c r="B264" s="28">
        <v>47</v>
      </c>
      <c r="C264" s="177" t="s">
        <v>581</v>
      </c>
      <c r="D264" s="177"/>
      <c r="E264" s="178"/>
      <c r="F264" s="177">
        <v>0</v>
      </c>
      <c r="G264" s="53">
        <v>0</v>
      </c>
      <c r="H264" s="53">
        <v>0</v>
      </c>
      <c r="I264" s="53">
        <v>60</v>
      </c>
      <c r="J264" s="53">
        <v>2</v>
      </c>
      <c r="K264" s="53">
        <v>1211</v>
      </c>
      <c r="L264" s="53">
        <v>2211</v>
      </c>
      <c r="M264" s="28">
        <v>1</v>
      </c>
      <c r="N264" s="27">
        <v>1</v>
      </c>
      <c r="O264" s="53">
        <v>6</v>
      </c>
      <c r="P264" s="28">
        <v>0</v>
      </c>
      <c r="Q264" s="27">
        <v>2</v>
      </c>
      <c r="R264" s="27">
        <v>2</v>
      </c>
      <c r="S264" s="112">
        <v>0</v>
      </c>
      <c r="T264" s="3">
        <v>800</v>
      </c>
      <c r="U264" s="3">
        <v>100</v>
      </c>
      <c r="V264" s="112">
        <v>0</v>
      </c>
      <c r="W264" s="53">
        <v>353</v>
      </c>
      <c r="X264" s="53">
        <v>1800</v>
      </c>
      <c r="Y264" s="53">
        <v>63</v>
      </c>
      <c r="Z264" s="112">
        <v>0</v>
      </c>
      <c r="AA264" s="53">
        <v>2</v>
      </c>
      <c r="AB264" s="53">
        <v>36</v>
      </c>
      <c r="AC264" s="53">
        <v>90</v>
      </c>
      <c r="AD264" s="53">
        <v>3.5</v>
      </c>
      <c r="AE264" s="27">
        <v>0</v>
      </c>
      <c r="AF264" s="27">
        <v>0</v>
      </c>
      <c r="AG264" s="53">
        <v>210</v>
      </c>
      <c r="AH264" s="53">
        <v>38</v>
      </c>
      <c r="AI264" s="53">
        <v>450</v>
      </c>
      <c r="AJ264" s="53">
        <v>0</v>
      </c>
      <c r="AK264" s="27">
        <v>1</v>
      </c>
      <c r="AL264" s="27">
        <v>0</v>
      </c>
      <c r="AM264" s="53">
        <v>0</v>
      </c>
      <c r="AN264" s="71">
        <v>0</v>
      </c>
      <c r="AO264" s="71">
        <v>0</v>
      </c>
      <c r="AP264" s="53">
        <v>0</v>
      </c>
      <c r="AQ264" s="71">
        <v>0</v>
      </c>
      <c r="AR264" s="71">
        <v>0</v>
      </c>
      <c r="AS264" s="71">
        <v>0</v>
      </c>
      <c r="AT264" s="71">
        <v>0</v>
      </c>
      <c r="AU264" s="71">
        <v>0</v>
      </c>
      <c r="AV264" s="71">
        <v>0</v>
      </c>
      <c r="AW264" s="71">
        <v>0</v>
      </c>
      <c r="AX264" s="53">
        <v>1000</v>
      </c>
      <c r="AY264" s="71">
        <v>0</v>
      </c>
      <c r="AZ264" s="71">
        <v>0</v>
      </c>
      <c r="BA264" s="27">
        <v>1</v>
      </c>
    </row>
    <row r="265" spans="1:53">
      <c r="A265" s="165"/>
      <c r="B265" s="32">
        <v>33</v>
      </c>
      <c r="C265" s="53" t="str">
        <f>VLOOKUP($B265,一级属性,C$1,)</f>
        <v>宝箱怪</v>
      </c>
      <c r="D265" s="53" t="str">
        <f>VLOOKUP($B265,一级属性,D$1,)</f>
        <v>三个勇猛的近身肉搏战士。是谁教会他们把鸡腿当做武器，有没有想过炸鸡小哥的心理阴影？！</v>
      </c>
      <c r="F265" s="53">
        <f t="shared" ref="F265:L265" si="122">VLOOKUP($B265,一级属性,F$1,)</f>
        <v>0</v>
      </c>
      <c r="G265" s="53">
        <f t="shared" si="122"/>
        <v>1</v>
      </c>
      <c r="H265" s="53">
        <f t="shared" si="122"/>
        <v>0</v>
      </c>
      <c r="I265" s="53">
        <f t="shared" si="122"/>
        <v>5</v>
      </c>
      <c r="J265" s="53">
        <f t="shared" si="122"/>
        <v>0</v>
      </c>
      <c r="K265" s="53">
        <f t="shared" si="122"/>
        <v>1239</v>
      </c>
      <c r="L265" s="53">
        <f t="shared" si="122"/>
        <v>2239</v>
      </c>
      <c r="M265" s="28">
        <v>0</v>
      </c>
      <c r="N265" s="27">
        <v>1</v>
      </c>
      <c r="O265" s="53">
        <f>VLOOKUP($B265,一级属性,O$1,)</f>
        <v>2</v>
      </c>
      <c r="P265" s="28">
        <v>0</v>
      </c>
      <c r="Q265" s="27">
        <v>0</v>
      </c>
      <c r="R265" s="27">
        <v>0</v>
      </c>
      <c r="S265" s="112">
        <v>0</v>
      </c>
      <c r="T265" s="168">
        <v>1060</v>
      </c>
      <c r="U265" s="168">
        <v>160</v>
      </c>
      <c r="V265" s="168">
        <v>64</v>
      </c>
      <c r="W265" s="53">
        <f>VLOOKUP($B265,一级属性,W$1,)</f>
        <v>80</v>
      </c>
      <c r="X265" s="53">
        <f>VLOOKUP($B265,一级属性,X$1,)</f>
        <v>1200</v>
      </c>
      <c r="Y265" s="53">
        <f>VLOOKUP($B265,一级属性,Y$1,)</f>
        <v>63</v>
      </c>
      <c r="Z265" s="112">
        <v>0</v>
      </c>
      <c r="AA265" s="53">
        <f>VLOOKUP($B265,一级属性,AA$1,)</f>
        <v>2</v>
      </c>
      <c r="AB265" s="53">
        <f>VLOOKUP($B265,一级属性,AB$1,)</f>
        <v>20</v>
      </c>
      <c r="AC265" s="53">
        <f>VLOOKUP($B265,一级属性,AC$1,)</f>
        <v>9</v>
      </c>
      <c r="AD265" s="53" t="str">
        <f>VLOOKUP($B265,一级属性,AD$1,)</f>
        <v>近战</v>
      </c>
      <c r="AE265" s="27">
        <v>3</v>
      </c>
      <c r="AF265" s="27">
        <v>5000</v>
      </c>
      <c r="AG265" s="53">
        <f>VLOOKUP($B265,一级属性,AG$1,)</f>
        <v>210</v>
      </c>
      <c r="AH265" s="53">
        <f>VLOOKUP($B265,一级属性,AH$1,)</f>
        <v>0</v>
      </c>
      <c r="AI265" s="53">
        <f>VLOOKUP($B265,一级属性,AI$1,)</f>
        <v>450</v>
      </c>
      <c r="AJ265" s="53">
        <f>VLOOKUP($B265,一级属性,AJ$1,)</f>
        <v>30</v>
      </c>
      <c r="AK265" s="27">
        <v>1</v>
      </c>
      <c r="AL265" s="27">
        <v>0</v>
      </c>
      <c r="AM265" s="53">
        <f>VLOOKUP($B265,一级属性,AM$1,)</f>
        <v>0</v>
      </c>
      <c r="AN265" s="71">
        <v>0</v>
      </c>
      <c r="AO265" s="71">
        <v>0</v>
      </c>
      <c r="AP265" s="53">
        <f>VLOOKUP($B265,一级属性,AP$1,)</f>
        <v>0</v>
      </c>
      <c r="AQ265" s="71">
        <v>0</v>
      </c>
      <c r="AR265" s="71">
        <v>0</v>
      </c>
      <c r="AS265" s="71">
        <v>0</v>
      </c>
      <c r="AT265" s="71">
        <v>0</v>
      </c>
      <c r="AU265" s="71">
        <v>0</v>
      </c>
      <c r="AV265" s="71">
        <v>0</v>
      </c>
      <c r="AW265" s="71">
        <v>0</v>
      </c>
      <c r="AX265" s="53">
        <f>VLOOKUP($B265,一级属性,AX$1,)</f>
        <v>1000</v>
      </c>
      <c r="AY265" s="71">
        <v>0</v>
      </c>
      <c r="AZ265" s="71">
        <v>0</v>
      </c>
      <c r="BA265" s="27">
        <v>0</v>
      </c>
    </row>
    <row r="266" spans="1:53">
      <c r="A266" s="165"/>
      <c r="N266" s="27">
        <v>2</v>
      </c>
      <c r="S266" s="102"/>
      <c r="T266" s="168">
        <v>1166</v>
      </c>
      <c r="U266" s="168">
        <v>176</v>
      </c>
      <c r="V266" s="168">
        <v>71</v>
      </c>
      <c r="AL266" s="27"/>
    </row>
    <row r="267" spans="1:53">
      <c r="A267" s="165"/>
      <c r="N267" s="27">
        <v>3</v>
      </c>
      <c r="S267" s="102"/>
      <c r="T267" s="168">
        <v>1282</v>
      </c>
      <c r="U267" s="168">
        <v>193</v>
      </c>
      <c r="V267" s="168">
        <v>78</v>
      </c>
      <c r="W267" s="3"/>
      <c r="X267" s="3"/>
      <c r="AL267" s="27"/>
    </row>
    <row r="268" spans="1:53">
      <c r="A268" s="165"/>
      <c r="N268" s="27">
        <v>4</v>
      </c>
      <c r="S268" s="102"/>
      <c r="T268" s="168">
        <v>1409</v>
      </c>
      <c r="U268" s="168">
        <v>212</v>
      </c>
      <c r="V268" s="168">
        <v>85</v>
      </c>
      <c r="AL268" s="27"/>
    </row>
    <row r="269" spans="1:53">
      <c r="A269" s="165"/>
      <c r="N269" s="27">
        <v>5</v>
      </c>
      <c r="S269" s="102"/>
      <c r="T269" s="168">
        <v>1547</v>
      </c>
      <c r="U269" s="168">
        <v>233</v>
      </c>
      <c r="V269" s="168">
        <v>94</v>
      </c>
      <c r="AL269" s="27"/>
    </row>
    <row r="270" spans="1:53">
      <c r="A270" s="165"/>
      <c r="B270" s="28">
        <v>18</v>
      </c>
      <c r="C270" s="53" t="str">
        <f>VLOOKUP($B270,一级属性,C$1,)</f>
        <v>飞艇</v>
      </c>
      <c r="D270" s="53" t="str">
        <f>VLOOKUP($B270,一级属性,D$1,)</f>
        <v>飞艇对建筑撞击造成的损失非常可怕，被击落后还会因为爆炸造成二次范围伤害。别让它进入你的领空后，它真的是个狠角色！</v>
      </c>
      <c r="E270" s="27"/>
      <c r="F270" s="53">
        <f t="shared" ref="F270:L270" si="123">VLOOKUP($B270,一级属性,F$1,)</f>
        <v>1</v>
      </c>
      <c r="G270" s="53">
        <f t="shared" si="123"/>
        <v>2</v>
      </c>
      <c r="H270" s="53">
        <f t="shared" si="123"/>
        <v>1</v>
      </c>
      <c r="I270" s="53">
        <f t="shared" si="123"/>
        <v>115</v>
      </c>
      <c r="J270" s="53">
        <f t="shared" si="123"/>
        <v>2</v>
      </c>
      <c r="K270" s="53">
        <f t="shared" si="123"/>
        <v>1212</v>
      </c>
      <c r="L270" s="53">
        <f t="shared" si="123"/>
        <v>2212</v>
      </c>
      <c r="M270" s="28">
        <v>0</v>
      </c>
      <c r="N270" s="27">
        <v>1</v>
      </c>
      <c r="O270" s="53">
        <f>VLOOKUP($B270,一级属性,O$1,)</f>
        <v>5</v>
      </c>
      <c r="P270" s="28">
        <v>1</v>
      </c>
      <c r="Q270" s="27">
        <v>0</v>
      </c>
      <c r="R270" s="27">
        <v>0</v>
      </c>
      <c r="S270" s="112">
        <v>0</v>
      </c>
      <c r="T270" s="3">
        <v>1050</v>
      </c>
      <c r="U270" s="3">
        <v>600</v>
      </c>
      <c r="V270" s="112">
        <v>0</v>
      </c>
      <c r="W270" s="53">
        <f>VLOOKUP($B270,一级属性,W$1,)</f>
        <v>400</v>
      </c>
      <c r="X270" s="53">
        <f>VLOOKUP($B270,一级属性,X$1,)</f>
        <v>3000</v>
      </c>
      <c r="Y270" s="53">
        <f>VLOOKUP($B270,一级属性,Y$1,)</f>
        <v>42</v>
      </c>
      <c r="Z270" s="112">
        <v>0</v>
      </c>
      <c r="AA270" s="53">
        <f>VLOOKUP($B270,一级属性,AA$1,)</f>
        <v>2</v>
      </c>
      <c r="AB270" s="53">
        <f>VLOOKUP($B270,一级属性,AB$1,)</f>
        <v>20</v>
      </c>
      <c r="AC270" s="53">
        <f>VLOOKUP($B270,一级属性,AC$1,)</f>
        <v>6</v>
      </c>
      <c r="AD270" s="53" t="str">
        <f>VLOOKUP($B270,一级属性,AD$1,)</f>
        <v>近战</v>
      </c>
      <c r="AE270" s="27">
        <v>0</v>
      </c>
      <c r="AF270" s="27">
        <v>0</v>
      </c>
      <c r="AG270" s="53">
        <f>VLOOKUP($B270,一级属性,AG$1,)</f>
        <v>210</v>
      </c>
      <c r="AH270" s="53">
        <f>VLOOKUP($B270,一级属性,AH$1,)</f>
        <v>30</v>
      </c>
      <c r="AI270" s="53">
        <f>VLOOKUP($B270,一级属性,AI$1,)</f>
        <v>350</v>
      </c>
      <c r="AJ270" s="53">
        <f>VLOOKUP($B270,一级属性,AJ$1,)</f>
        <v>0</v>
      </c>
      <c r="AK270" s="27">
        <v>1</v>
      </c>
      <c r="AL270" s="27">
        <v>2</v>
      </c>
      <c r="AM270" s="53">
        <f>VLOOKUP($B270,一级属性,AM$1,)</f>
        <v>60</v>
      </c>
      <c r="AN270" s="58">
        <v>100</v>
      </c>
      <c r="AO270" s="58">
        <v>2</v>
      </c>
      <c r="AP270" s="53">
        <f>VLOOKUP($B270,一级属性,AP$1,)</f>
        <v>1000</v>
      </c>
      <c r="AQ270" s="71">
        <v>0</v>
      </c>
      <c r="AR270" s="71">
        <v>0</v>
      </c>
      <c r="AS270" s="71">
        <v>0</v>
      </c>
      <c r="AT270" s="71">
        <v>0</v>
      </c>
      <c r="AU270" s="71">
        <v>0</v>
      </c>
      <c r="AV270" s="71">
        <v>0</v>
      </c>
      <c r="AW270" s="71">
        <v>0</v>
      </c>
      <c r="AX270" s="53">
        <f>VLOOKUP($B270,一级属性,AX$1,)</f>
        <v>1000</v>
      </c>
      <c r="AY270" s="71">
        <v>0</v>
      </c>
      <c r="AZ270" s="71">
        <v>0</v>
      </c>
      <c r="BA270" s="27">
        <v>1</v>
      </c>
    </row>
    <row r="271" spans="1:53">
      <c r="A271" s="165"/>
      <c r="B271" s="28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>
        <v>2</v>
      </c>
      <c r="O271" s="27"/>
      <c r="P271" s="28"/>
      <c r="Q271" s="27"/>
      <c r="R271" s="27"/>
      <c r="S271" s="79"/>
      <c r="T271" s="3">
        <v>1155</v>
      </c>
      <c r="U271" s="3">
        <v>660</v>
      </c>
      <c r="V271" s="3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58">
        <v>110</v>
      </c>
      <c r="AO271" s="58"/>
      <c r="AP271" s="27"/>
      <c r="AQ271" s="27"/>
      <c r="AX271" s="27"/>
      <c r="AY271" s="27"/>
      <c r="AZ271" s="27"/>
      <c r="BA271" s="27"/>
    </row>
    <row r="272" spans="1:53">
      <c r="A272" s="165"/>
      <c r="B272" s="28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>
        <v>3</v>
      </c>
      <c r="O272" s="27"/>
      <c r="P272" s="28"/>
      <c r="Q272" s="27"/>
      <c r="R272" s="27"/>
      <c r="S272" s="79"/>
      <c r="T272" s="3">
        <v>1270</v>
      </c>
      <c r="U272" s="3">
        <v>726</v>
      </c>
      <c r="V272" s="3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58">
        <v>121</v>
      </c>
      <c r="AO272" s="58"/>
      <c r="AP272" s="27"/>
      <c r="AQ272" s="27"/>
      <c r="AX272" s="27"/>
      <c r="AY272" s="27"/>
      <c r="AZ272" s="27"/>
      <c r="BA272" s="27"/>
    </row>
    <row r="273" spans="1:53">
      <c r="A273" s="165"/>
      <c r="B273" s="28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>
        <v>4</v>
      </c>
      <c r="O273" s="27"/>
      <c r="P273" s="28"/>
      <c r="Q273" s="27"/>
      <c r="R273" s="27"/>
      <c r="S273" s="79"/>
      <c r="T273" s="3">
        <v>1396</v>
      </c>
      <c r="U273" s="3">
        <v>798</v>
      </c>
      <c r="V273" s="3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58">
        <v>133</v>
      </c>
      <c r="AO273" s="58"/>
      <c r="AP273" s="27"/>
      <c r="AQ273" s="27"/>
      <c r="AX273" s="27"/>
      <c r="AY273" s="27"/>
      <c r="AZ273" s="27"/>
      <c r="BA273" s="27"/>
    </row>
    <row r="274" spans="1:53">
      <c r="A274" s="165"/>
      <c r="B274" s="28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>
        <v>5</v>
      </c>
      <c r="O274" s="27"/>
      <c r="P274" s="28"/>
      <c r="Q274" s="27"/>
      <c r="R274" s="27"/>
      <c r="S274" s="79"/>
      <c r="T274" s="3">
        <v>1533</v>
      </c>
      <c r="U274" s="3">
        <v>876</v>
      </c>
      <c r="V274" s="3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58">
        <v>146</v>
      </c>
      <c r="AO274" s="58"/>
      <c r="AP274" s="27"/>
      <c r="AQ274" s="27"/>
      <c r="AX274" s="27"/>
      <c r="AY274" s="27"/>
      <c r="AZ274" s="27"/>
      <c r="BA274" s="27"/>
    </row>
    <row r="275" spans="1:53">
      <c r="A275" s="165"/>
      <c r="B275" s="28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>
        <v>6</v>
      </c>
      <c r="O275" s="27"/>
      <c r="P275" s="28"/>
      <c r="Q275" s="27"/>
      <c r="R275" s="27"/>
      <c r="S275" s="79"/>
      <c r="T275" s="3">
        <v>1680</v>
      </c>
      <c r="U275" s="3">
        <v>960</v>
      </c>
      <c r="V275" s="3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58">
        <v>160</v>
      </c>
      <c r="AO275" s="58"/>
      <c r="AP275" s="27"/>
      <c r="AQ275" s="27"/>
      <c r="AX275" s="27"/>
      <c r="AY275" s="27"/>
      <c r="AZ275" s="27"/>
      <c r="BA275" s="27"/>
    </row>
    <row r="276" spans="1:53">
      <c r="A276" s="165"/>
      <c r="B276" s="28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>
        <v>7</v>
      </c>
      <c r="O276" s="27"/>
      <c r="P276" s="28"/>
      <c r="Q276" s="27"/>
      <c r="R276" s="27"/>
      <c r="S276" s="79"/>
      <c r="T276" s="3">
        <v>1848</v>
      </c>
      <c r="U276" s="3">
        <v>1056</v>
      </c>
      <c r="V276" s="3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58">
        <v>176</v>
      </c>
      <c r="AO276" s="58"/>
      <c r="AP276" s="27"/>
      <c r="AQ276" s="27"/>
      <c r="AX276" s="27"/>
      <c r="AY276" s="27"/>
      <c r="AZ276" s="27"/>
      <c r="BA276" s="27"/>
    </row>
    <row r="277" spans="1:53">
      <c r="A277" s="165"/>
      <c r="B277" s="28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>
        <v>8</v>
      </c>
      <c r="O277" s="27"/>
      <c r="P277" s="28"/>
      <c r="Q277" s="27"/>
      <c r="R277" s="27"/>
      <c r="S277" s="79"/>
      <c r="T277" s="3">
        <v>2026</v>
      </c>
      <c r="U277" s="3">
        <v>1158</v>
      </c>
      <c r="V277" s="3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58">
        <v>193</v>
      </c>
      <c r="AO277" s="58"/>
      <c r="AP277" s="27"/>
      <c r="AQ277" s="27"/>
      <c r="AX277" s="27"/>
      <c r="AY277" s="27"/>
      <c r="AZ277" s="27"/>
      <c r="BA277" s="27"/>
    </row>
    <row r="278" spans="1:53">
      <c r="A278" s="165"/>
      <c r="B278" s="28">
        <v>6</v>
      </c>
      <c r="C278" s="53" t="str">
        <f>VLOOKUP($B278,一级属性,C$1,)</f>
        <v>桑切斯</v>
      </c>
      <c r="D278" s="53" t="str">
        <f>VLOOKUP($B278,一级属性,D$1,)</f>
        <v>安卡斯的表兄弟。桑切斯认为躲在大树背后使用火枪打猎是懦弱表现，真正的部落勇士应该手持长剑，近身搏杀。</v>
      </c>
      <c r="E278" s="27"/>
      <c r="F278" s="53">
        <f t="shared" ref="F278:L278" si="124">VLOOKUP($B278,一级属性,F$1,)</f>
        <v>1</v>
      </c>
      <c r="G278" s="53">
        <f t="shared" si="124"/>
        <v>0</v>
      </c>
      <c r="H278" s="53">
        <f t="shared" si="124"/>
        <v>0</v>
      </c>
      <c r="I278" s="53">
        <f t="shared" si="124"/>
        <v>75</v>
      </c>
      <c r="J278" s="53">
        <f t="shared" si="124"/>
        <v>1</v>
      </c>
      <c r="K278" s="53">
        <f t="shared" si="124"/>
        <v>1205</v>
      </c>
      <c r="L278" s="53">
        <f t="shared" si="124"/>
        <v>2205</v>
      </c>
      <c r="M278" s="28">
        <v>0</v>
      </c>
      <c r="N278" s="27">
        <v>1</v>
      </c>
      <c r="O278" s="53">
        <f>VLOOKUP($B278,一级属性,O$1,)</f>
        <v>3</v>
      </c>
      <c r="P278" s="28">
        <v>0</v>
      </c>
      <c r="Q278" s="27">
        <v>0</v>
      </c>
      <c r="R278" s="3">
        <v>0</v>
      </c>
      <c r="S278" s="112">
        <v>218</v>
      </c>
      <c r="T278" s="3">
        <v>510</v>
      </c>
      <c r="U278" s="3">
        <v>90</v>
      </c>
      <c r="V278" s="112">
        <v>0</v>
      </c>
      <c r="W278" s="53">
        <f t="shared" ref="W278:AJ278" si="125">VLOOKUP($B278,一级属性,W$1,)</f>
        <v>470</v>
      </c>
      <c r="X278" s="53">
        <f t="shared" si="125"/>
        <v>1100</v>
      </c>
      <c r="Y278" s="53">
        <f t="shared" si="125"/>
        <v>42</v>
      </c>
      <c r="Z278" s="112">
        <v>0</v>
      </c>
      <c r="AA278" s="53">
        <f t="shared" si="125"/>
        <v>2</v>
      </c>
      <c r="AB278" s="53">
        <f t="shared" si="125"/>
        <v>20</v>
      </c>
      <c r="AC278" s="53">
        <f t="shared" si="125"/>
        <v>9</v>
      </c>
      <c r="AD278" s="53" t="str">
        <f t="shared" si="125"/>
        <v>近战</v>
      </c>
      <c r="AE278" s="27">
        <v>0</v>
      </c>
      <c r="AF278" s="27">
        <v>0</v>
      </c>
      <c r="AG278" s="53">
        <f t="shared" si="125"/>
        <v>210</v>
      </c>
      <c r="AH278" s="53">
        <f t="shared" si="125"/>
        <v>0</v>
      </c>
      <c r="AI278" s="53">
        <f t="shared" si="125"/>
        <v>350</v>
      </c>
      <c r="AJ278" s="53">
        <f t="shared" si="125"/>
        <v>0</v>
      </c>
      <c r="AK278" s="27">
        <v>1</v>
      </c>
      <c r="AL278" s="27">
        <v>0</v>
      </c>
      <c r="AM278" s="53">
        <f>VLOOKUP($B278,一级属性,AM$1,)</f>
        <v>0</v>
      </c>
      <c r="AN278" s="71">
        <v>0</v>
      </c>
      <c r="AO278" s="71">
        <v>0</v>
      </c>
      <c r="AP278" s="53">
        <f>VLOOKUP($B278,一级属性,AP$1,)</f>
        <v>0</v>
      </c>
      <c r="AQ278" s="71">
        <v>0</v>
      </c>
      <c r="AR278" s="71">
        <v>0</v>
      </c>
      <c r="AS278" s="71">
        <v>0</v>
      </c>
      <c r="AT278" s="71">
        <v>0</v>
      </c>
      <c r="AU278" s="71">
        <v>0</v>
      </c>
      <c r="AV278" s="71">
        <v>0</v>
      </c>
      <c r="AW278" s="71">
        <v>0</v>
      </c>
      <c r="AX278" s="53">
        <f>VLOOKUP($B278,一级属性,AX$1,)</f>
        <v>1000</v>
      </c>
      <c r="AY278" s="71">
        <v>0</v>
      </c>
      <c r="AZ278" s="71">
        <v>0</v>
      </c>
      <c r="BA278" s="27">
        <v>0</v>
      </c>
    </row>
    <row r="279" spans="1:53">
      <c r="A279" s="165"/>
      <c r="B279" s="28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>
        <v>2</v>
      </c>
      <c r="O279" s="27"/>
      <c r="P279" s="28"/>
      <c r="Q279" s="27"/>
      <c r="S279" s="112">
        <v>239</v>
      </c>
      <c r="T279" s="3">
        <v>558</v>
      </c>
      <c r="U279" s="3">
        <v>99</v>
      </c>
      <c r="V279" s="3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P279" s="27"/>
      <c r="AV279" s="27"/>
      <c r="AW279" s="27"/>
      <c r="AX279" s="27"/>
      <c r="AY279" s="27"/>
      <c r="AZ279" s="27"/>
      <c r="BA279" s="27"/>
    </row>
    <row r="280" spans="1:53">
      <c r="A280" s="165"/>
      <c r="B280" s="28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>
        <v>3</v>
      </c>
      <c r="O280" s="27"/>
      <c r="P280" s="28"/>
      <c r="Q280" s="27"/>
      <c r="S280" s="112">
        <v>262</v>
      </c>
      <c r="T280" s="3">
        <v>613</v>
      </c>
      <c r="U280" s="3">
        <v>109</v>
      </c>
      <c r="V280" s="3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P280" s="27"/>
      <c r="AV280" s="27"/>
      <c r="AW280" s="27"/>
      <c r="AX280" s="27"/>
      <c r="AY280" s="27"/>
      <c r="AZ280" s="27"/>
      <c r="BA280" s="27"/>
    </row>
    <row r="281" spans="1:53">
      <c r="A281" s="165"/>
      <c r="B281" s="28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>
        <v>4</v>
      </c>
      <c r="O281" s="27"/>
      <c r="P281" s="28"/>
      <c r="Q281" s="27"/>
      <c r="S281" s="112">
        <v>288</v>
      </c>
      <c r="T281" s="3">
        <v>672</v>
      </c>
      <c r="U281" s="3">
        <v>120</v>
      </c>
      <c r="V281" s="3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P281" s="27"/>
      <c r="AV281" s="27"/>
      <c r="AW281" s="27"/>
      <c r="AX281" s="27"/>
      <c r="AY281" s="27"/>
      <c r="AZ281" s="27"/>
      <c r="BA281" s="27"/>
    </row>
    <row r="282" spans="1:53">
      <c r="A282" s="165"/>
      <c r="B282" s="28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>
        <v>5</v>
      </c>
      <c r="O282" s="27"/>
      <c r="P282" s="28"/>
      <c r="Q282" s="27"/>
      <c r="S282" s="112">
        <v>316</v>
      </c>
      <c r="T282" s="3">
        <v>739</v>
      </c>
      <c r="U282" s="3">
        <v>132</v>
      </c>
      <c r="V282" s="3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P282" s="27"/>
      <c r="AV282" s="27"/>
      <c r="AW282" s="27"/>
      <c r="AX282" s="27"/>
      <c r="AY282" s="27"/>
      <c r="AZ282" s="27"/>
      <c r="BA282" s="27"/>
    </row>
    <row r="283" spans="1:53">
      <c r="A283" s="165"/>
      <c r="B283" s="28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>
        <v>6</v>
      </c>
      <c r="O283" s="27"/>
      <c r="P283" s="28"/>
      <c r="Q283" s="27"/>
      <c r="S283" s="112">
        <v>347</v>
      </c>
      <c r="T283" s="3">
        <v>810</v>
      </c>
      <c r="U283" s="3">
        <v>144</v>
      </c>
      <c r="V283" s="3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P283" s="27"/>
      <c r="AV283" s="27"/>
      <c r="AW283" s="27"/>
      <c r="AX283" s="27"/>
      <c r="AY283" s="27"/>
      <c r="AZ283" s="27"/>
      <c r="BA283" s="27"/>
    </row>
    <row r="284" spans="1:53">
      <c r="A284" s="165"/>
      <c r="B284" s="28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>
        <v>7</v>
      </c>
      <c r="O284" s="27"/>
      <c r="P284" s="28"/>
      <c r="Q284" s="27"/>
      <c r="S284" s="112">
        <v>381</v>
      </c>
      <c r="T284" s="3">
        <v>890</v>
      </c>
      <c r="U284" s="3">
        <v>159</v>
      </c>
      <c r="V284" s="3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P284" s="27"/>
      <c r="AV284" s="27"/>
      <c r="AW284" s="27"/>
      <c r="AX284" s="27"/>
      <c r="AY284" s="27"/>
      <c r="AZ284" s="27"/>
      <c r="BA284" s="27"/>
    </row>
    <row r="285" spans="1:53">
      <c r="A285" s="165"/>
      <c r="B285" s="28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>
        <v>8</v>
      </c>
      <c r="O285" s="27"/>
      <c r="P285" s="28"/>
      <c r="Q285" s="27"/>
      <c r="S285" s="112">
        <v>419</v>
      </c>
      <c r="T285" s="3">
        <v>978</v>
      </c>
      <c r="U285" s="3">
        <v>174</v>
      </c>
      <c r="V285" s="3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P285" s="27"/>
      <c r="AV285" s="27"/>
      <c r="AW285" s="27"/>
      <c r="AX285" s="27"/>
      <c r="AY285" s="27"/>
      <c r="AZ285" s="27"/>
      <c r="BA285" s="27"/>
    </row>
    <row r="286" spans="1:53">
      <c r="A286" s="165"/>
      <c r="B286" s="28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>
        <v>9</v>
      </c>
      <c r="O286" s="27"/>
      <c r="P286" s="28"/>
      <c r="Q286" s="27"/>
      <c r="S286" s="112">
        <v>460</v>
      </c>
      <c r="T286" s="3">
        <v>1075</v>
      </c>
      <c r="U286" s="3">
        <v>192</v>
      </c>
      <c r="V286" s="3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P286" s="27"/>
      <c r="AV286" s="27"/>
      <c r="AW286" s="27"/>
      <c r="AX286" s="27"/>
      <c r="AY286" s="27"/>
      <c r="AZ286" s="27"/>
      <c r="BA286" s="27"/>
    </row>
    <row r="287" spans="1:53">
      <c r="A287" s="165"/>
      <c r="B287" s="28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>
        <v>10</v>
      </c>
      <c r="O287" s="27"/>
      <c r="P287" s="28"/>
      <c r="Q287" s="27"/>
      <c r="S287" s="112">
        <v>505</v>
      </c>
      <c r="T287" s="3">
        <v>1180</v>
      </c>
      <c r="U287" s="3">
        <v>210</v>
      </c>
      <c r="V287" s="3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P287" s="27"/>
      <c r="AV287" s="27"/>
      <c r="AW287" s="27"/>
      <c r="AX287" s="27"/>
      <c r="AY287" s="27"/>
      <c r="AZ287" s="27"/>
      <c r="BA287" s="27"/>
    </row>
    <row r="288" spans="1:53">
      <c r="A288" s="165"/>
      <c r="B288" s="28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>
        <v>11</v>
      </c>
      <c r="O288" s="27"/>
      <c r="P288" s="28"/>
      <c r="Q288" s="27"/>
      <c r="S288" s="112">
        <v>556</v>
      </c>
      <c r="T288" s="3">
        <v>1297</v>
      </c>
      <c r="U288" s="3">
        <v>231</v>
      </c>
      <c r="V288" s="3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P288" s="27"/>
      <c r="AV288" s="27"/>
      <c r="AW288" s="27"/>
      <c r="AX288" s="27"/>
      <c r="AY288" s="27"/>
      <c r="AZ288" s="27"/>
      <c r="BA288" s="27"/>
    </row>
    <row r="289" spans="1:53">
      <c r="A289" s="165"/>
      <c r="B289" s="28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>
        <v>12</v>
      </c>
      <c r="O289" s="27"/>
      <c r="P289" s="28"/>
      <c r="Q289" s="27"/>
      <c r="S289" s="112">
        <v>556</v>
      </c>
      <c r="T289" s="3">
        <v>1297</v>
      </c>
      <c r="U289" s="3">
        <v>231</v>
      </c>
      <c r="V289" s="3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P289" s="27"/>
      <c r="AV289" s="27"/>
      <c r="AW289" s="27"/>
      <c r="AX289" s="27"/>
      <c r="AY289" s="27"/>
      <c r="AZ289" s="27"/>
      <c r="BA289" s="27"/>
    </row>
    <row r="290" spans="1:53">
      <c r="A290" s="165"/>
      <c r="B290" s="28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>
        <v>13</v>
      </c>
      <c r="O290" s="27"/>
      <c r="P290" s="28"/>
      <c r="Q290" s="27"/>
      <c r="S290" s="112">
        <v>556</v>
      </c>
      <c r="T290" s="3">
        <v>1297</v>
      </c>
      <c r="U290" s="3">
        <v>231</v>
      </c>
      <c r="V290" s="3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P290" s="27"/>
      <c r="AV290" s="27"/>
      <c r="AW290" s="27"/>
      <c r="AX290" s="27"/>
      <c r="AY290" s="27"/>
      <c r="AZ290" s="27"/>
      <c r="BA290" s="27"/>
    </row>
    <row r="291" spans="1:53">
      <c r="A291" s="165"/>
      <c r="B291" s="28">
        <v>31</v>
      </c>
      <c r="C291" s="53" t="str">
        <f>VLOOKUP($B291,一级属性,C$1,)</f>
        <v>火精灵</v>
      </c>
      <c r="D291" s="169" t="str">
        <f>VLOOKUP($B291,一级属性,D$1,)</f>
        <v>“嘭！嘭！嘭！”自爆是最好的狂欢，一起来狂欢吧！</v>
      </c>
      <c r="E291" s="27"/>
      <c r="F291" s="53">
        <f t="shared" ref="F291:L291" si="126">VLOOKUP($B291,一级属性,F$1,)</f>
        <v>1</v>
      </c>
      <c r="G291" s="53">
        <f t="shared" si="126"/>
        <v>2</v>
      </c>
      <c r="H291" s="53">
        <f t="shared" si="126"/>
        <v>0</v>
      </c>
      <c r="I291" s="53">
        <f t="shared" si="126"/>
        <v>100</v>
      </c>
      <c r="J291" s="53">
        <f t="shared" si="126"/>
        <v>0</v>
      </c>
      <c r="K291" s="53">
        <f t="shared" si="126"/>
        <v>1236</v>
      </c>
      <c r="L291" s="53">
        <f t="shared" si="126"/>
        <v>2236</v>
      </c>
      <c r="M291" s="28">
        <v>1</v>
      </c>
      <c r="N291" s="27">
        <v>1</v>
      </c>
      <c r="O291" s="53">
        <f>VLOOKUP($B291,一级属性,O$1,)</f>
        <v>2</v>
      </c>
      <c r="P291" s="28">
        <v>0</v>
      </c>
      <c r="Q291" s="27">
        <v>2</v>
      </c>
      <c r="R291" s="27">
        <v>6</v>
      </c>
      <c r="S291" s="112">
        <v>0</v>
      </c>
      <c r="T291" s="3">
        <v>43</v>
      </c>
      <c r="U291" s="3">
        <v>80</v>
      </c>
      <c r="V291" s="112">
        <v>0</v>
      </c>
      <c r="W291" s="53">
        <f>VLOOKUP($B291,一级属性,W$1,)</f>
        <v>50</v>
      </c>
      <c r="X291" s="53">
        <f>VLOOKUP($B291,一级属性,X$1,)</f>
        <v>1000</v>
      </c>
      <c r="Y291" s="53">
        <f>VLOOKUP($B291,一级属性,Y$1,)</f>
        <v>84</v>
      </c>
      <c r="Z291" s="112">
        <v>0</v>
      </c>
      <c r="AA291" s="53">
        <f>VLOOKUP($B291,一级属性,AA$1,)</f>
        <v>2</v>
      </c>
      <c r="AB291" s="53">
        <f>VLOOKUP($B291,一级属性,AB$1,)</f>
        <v>15</v>
      </c>
      <c r="AC291" s="53">
        <f>VLOOKUP($B291,一级属性,AC$1,)</f>
        <v>60</v>
      </c>
      <c r="AD291" s="53">
        <f>VLOOKUP($B291,一级属性,AD$1,)</f>
        <v>2.5</v>
      </c>
      <c r="AE291" s="27">
        <v>0</v>
      </c>
      <c r="AF291" s="27">
        <v>0</v>
      </c>
      <c r="AG291" s="53">
        <f>VLOOKUP($B291,一级属性,AG$1,)</f>
        <v>210</v>
      </c>
      <c r="AH291" s="53">
        <f>VLOOKUP($B291,一级属性,AH$1,)</f>
        <v>45</v>
      </c>
      <c r="AI291" s="53">
        <f>VLOOKUP($B291,一级属性,AI$1,)</f>
        <v>200</v>
      </c>
      <c r="AJ291" s="53">
        <f>VLOOKUP($B291,一级属性,AJ$1,)</f>
        <v>30</v>
      </c>
      <c r="AK291" s="27">
        <v>3</v>
      </c>
      <c r="AL291" s="27">
        <v>0</v>
      </c>
      <c r="AM291" s="53">
        <f>VLOOKUP($B291,一级属性,AM$1,)</f>
        <v>0</v>
      </c>
      <c r="AN291" s="71">
        <v>0</v>
      </c>
      <c r="AO291" s="71">
        <v>0</v>
      </c>
      <c r="AP291" s="53">
        <f>VLOOKUP($B291,一级属性,AP$1,)</f>
        <v>0</v>
      </c>
      <c r="AQ291" s="71">
        <v>0</v>
      </c>
      <c r="AR291" s="71">
        <v>0</v>
      </c>
      <c r="AS291" s="71">
        <v>0</v>
      </c>
      <c r="AT291" s="71">
        <v>0</v>
      </c>
      <c r="AU291" s="71">
        <v>0</v>
      </c>
      <c r="AV291" s="71">
        <v>0</v>
      </c>
      <c r="AW291" s="71">
        <v>0</v>
      </c>
      <c r="AX291" s="53">
        <f>VLOOKUP($B291,一级属性,AX$1,)</f>
        <v>1000</v>
      </c>
      <c r="AY291" s="71">
        <v>0</v>
      </c>
      <c r="AZ291" s="71">
        <v>0</v>
      </c>
      <c r="BA291" s="27">
        <v>0</v>
      </c>
    </row>
    <row r="292" spans="1:53">
      <c r="A292" s="165"/>
      <c r="B292" s="28"/>
      <c r="C292" s="27"/>
      <c r="D292" s="10"/>
      <c r="E292" s="27"/>
      <c r="F292" s="27"/>
      <c r="G292" s="27"/>
      <c r="H292" s="27"/>
      <c r="I292" s="27"/>
      <c r="J292" s="27"/>
      <c r="K292" s="27"/>
      <c r="L292" s="27"/>
      <c r="M292" s="27"/>
      <c r="N292" s="27">
        <v>2</v>
      </c>
      <c r="O292" s="27"/>
      <c r="P292" s="28"/>
      <c r="Q292" s="27"/>
      <c r="R292" s="27"/>
      <c r="S292" s="79"/>
      <c r="T292" s="3">
        <v>47</v>
      </c>
      <c r="U292" s="3">
        <v>88</v>
      </c>
      <c r="V292" s="3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P292" s="27"/>
      <c r="AU292" s="27"/>
      <c r="AV292" s="27"/>
      <c r="AW292" s="27"/>
      <c r="AX292" s="27"/>
      <c r="AY292" s="27"/>
      <c r="AZ292" s="27"/>
      <c r="BA292" s="27"/>
    </row>
    <row r="293" spans="1:53">
      <c r="A293" s="165"/>
      <c r="B293" s="28"/>
      <c r="C293" s="27"/>
      <c r="D293" s="10"/>
      <c r="E293" s="27"/>
      <c r="F293" s="27"/>
      <c r="G293" s="27"/>
      <c r="H293" s="27"/>
      <c r="I293" s="27"/>
      <c r="J293" s="27"/>
      <c r="K293" s="27"/>
      <c r="L293" s="27"/>
      <c r="M293" s="27"/>
      <c r="N293" s="27">
        <v>3</v>
      </c>
      <c r="O293" s="27"/>
      <c r="P293" s="28"/>
      <c r="Q293" s="27"/>
      <c r="R293" s="27"/>
      <c r="S293" s="79"/>
      <c r="T293" s="3">
        <v>52</v>
      </c>
      <c r="U293" s="3">
        <v>96</v>
      </c>
      <c r="V293" s="3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P293" s="27"/>
      <c r="AU293" s="27"/>
      <c r="AV293" s="27"/>
      <c r="AW293" s="27"/>
      <c r="AX293" s="27"/>
      <c r="AY293" s="27"/>
      <c r="AZ293" s="27"/>
      <c r="BA293" s="27"/>
    </row>
    <row r="294" spans="1:53">
      <c r="A294" s="165"/>
      <c r="B294" s="28"/>
      <c r="C294" s="27"/>
      <c r="D294" s="10"/>
      <c r="E294" s="27"/>
      <c r="F294" s="27"/>
      <c r="G294" s="27"/>
      <c r="H294" s="27"/>
      <c r="I294" s="27"/>
      <c r="J294" s="27"/>
      <c r="K294" s="27"/>
      <c r="L294" s="27"/>
      <c r="M294" s="27"/>
      <c r="N294" s="27">
        <v>4</v>
      </c>
      <c r="O294" s="27"/>
      <c r="P294" s="28"/>
      <c r="Q294" s="27"/>
      <c r="R294" s="27"/>
      <c r="S294" s="79"/>
      <c r="T294" s="3">
        <v>57</v>
      </c>
      <c r="U294" s="3">
        <v>106</v>
      </c>
      <c r="V294" s="3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P294" s="27"/>
      <c r="AU294" s="27"/>
      <c r="AV294" s="27"/>
      <c r="AW294" s="27"/>
      <c r="AX294" s="27"/>
      <c r="AY294" s="27"/>
      <c r="AZ294" s="27"/>
      <c r="BA294" s="27"/>
    </row>
    <row r="295" spans="1:53">
      <c r="A295" s="165"/>
      <c r="B295" s="28"/>
      <c r="C295" s="27"/>
      <c r="D295" s="10"/>
      <c r="E295" s="27"/>
      <c r="F295" s="27"/>
      <c r="G295" s="27"/>
      <c r="H295" s="27"/>
      <c r="I295" s="27"/>
      <c r="J295" s="27"/>
      <c r="K295" s="27"/>
      <c r="L295" s="27"/>
      <c r="M295" s="27"/>
      <c r="N295" s="27">
        <v>5</v>
      </c>
      <c r="O295" s="27"/>
      <c r="P295" s="28"/>
      <c r="Q295" s="27"/>
      <c r="R295" s="27"/>
      <c r="S295" s="79"/>
      <c r="T295" s="3">
        <v>62</v>
      </c>
      <c r="U295" s="3">
        <v>116</v>
      </c>
      <c r="V295" s="3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P295" s="27"/>
      <c r="AU295" s="27"/>
      <c r="AV295" s="27"/>
      <c r="AW295" s="27"/>
      <c r="AX295" s="27"/>
      <c r="AY295" s="27"/>
      <c r="AZ295" s="27"/>
      <c r="BA295" s="27"/>
    </row>
    <row r="296" spans="1:53">
      <c r="A296" s="165"/>
      <c r="B296" s="28"/>
      <c r="C296" s="27"/>
      <c r="D296" s="10"/>
      <c r="E296" s="27"/>
      <c r="F296" s="27"/>
      <c r="G296" s="27"/>
      <c r="H296" s="27"/>
      <c r="I296" s="27"/>
      <c r="J296" s="27"/>
      <c r="K296" s="27"/>
      <c r="L296" s="27"/>
      <c r="M296" s="27"/>
      <c r="N296" s="27">
        <v>6</v>
      </c>
      <c r="O296" s="27"/>
      <c r="P296" s="28"/>
      <c r="Q296" s="27"/>
      <c r="R296" s="27"/>
      <c r="S296" s="79"/>
      <c r="T296" s="3">
        <v>68</v>
      </c>
      <c r="U296" s="3">
        <v>128</v>
      </c>
      <c r="V296" s="3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P296" s="27"/>
      <c r="AU296" s="27"/>
      <c r="AV296" s="27"/>
      <c r="AW296" s="27"/>
      <c r="AX296" s="27"/>
      <c r="AY296" s="27"/>
      <c r="AZ296" s="27"/>
      <c r="BA296" s="27"/>
    </row>
    <row r="297" spans="1:53">
      <c r="A297" s="165"/>
      <c r="B297" s="28"/>
      <c r="C297" s="27"/>
      <c r="D297" s="10"/>
      <c r="E297" s="27"/>
      <c r="F297" s="27"/>
      <c r="G297" s="27"/>
      <c r="H297" s="27"/>
      <c r="I297" s="27"/>
      <c r="J297" s="27"/>
      <c r="K297" s="27"/>
      <c r="L297" s="27"/>
      <c r="M297" s="27"/>
      <c r="N297" s="27">
        <v>7</v>
      </c>
      <c r="O297" s="27"/>
      <c r="P297" s="28"/>
      <c r="Q297" s="27"/>
      <c r="R297" s="27"/>
      <c r="S297" s="79"/>
      <c r="T297" s="3">
        <v>75</v>
      </c>
      <c r="U297" s="3">
        <v>140</v>
      </c>
      <c r="V297" s="3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P297" s="27"/>
      <c r="AU297" s="27"/>
      <c r="AV297" s="27"/>
      <c r="AW297" s="27"/>
      <c r="AX297" s="27"/>
      <c r="AY297" s="27"/>
      <c r="AZ297" s="27"/>
      <c r="BA297" s="27"/>
    </row>
    <row r="298" spans="1:53">
      <c r="A298" s="165"/>
      <c r="B298" s="28"/>
      <c r="C298" s="27"/>
      <c r="D298" s="10"/>
      <c r="E298" s="27"/>
      <c r="F298" s="27"/>
      <c r="G298" s="27"/>
      <c r="H298" s="27"/>
      <c r="I298" s="27"/>
      <c r="J298" s="27"/>
      <c r="K298" s="27"/>
      <c r="L298" s="27"/>
      <c r="M298" s="27"/>
      <c r="N298" s="27">
        <v>8</v>
      </c>
      <c r="O298" s="27"/>
      <c r="P298" s="28"/>
      <c r="Q298" s="27"/>
      <c r="R298" s="27"/>
      <c r="S298" s="79"/>
      <c r="T298" s="3">
        <v>82</v>
      </c>
      <c r="U298" s="3">
        <v>154</v>
      </c>
      <c r="V298" s="3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P298" s="27"/>
      <c r="AU298" s="27"/>
      <c r="AV298" s="27"/>
      <c r="AW298" s="27"/>
      <c r="AX298" s="27"/>
      <c r="AY298" s="27"/>
      <c r="AZ298" s="27"/>
      <c r="BA298" s="27"/>
    </row>
    <row r="299" spans="1:53">
      <c r="A299" s="165"/>
      <c r="B299" s="28"/>
      <c r="C299" s="27"/>
      <c r="D299" s="10"/>
      <c r="E299" s="27"/>
      <c r="F299" s="27"/>
      <c r="G299" s="27"/>
      <c r="H299" s="27"/>
      <c r="I299" s="27"/>
      <c r="J299" s="27"/>
      <c r="K299" s="27"/>
      <c r="L299" s="27"/>
      <c r="M299" s="27"/>
      <c r="N299" s="27">
        <v>9</v>
      </c>
      <c r="O299" s="27"/>
      <c r="P299" s="28"/>
      <c r="Q299" s="27"/>
      <c r="R299" s="27"/>
      <c r="S299" s="79"/>
      <c r="T299" s="3">
        <v>91</v>
      </c>
      <c r="U299" s="3">
        <v>169</v>
      </c>
      <c r="V299" s="3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P299" s="27"/>
      <c r="AU299" s="27"/>
      <c r="AV299" s="27"/>
      <c r="AW299" s="27"/>
      <c r="AX299" s="27"/>
      <c r="AY299" s="27"/>
      <c r="AZ299" s="27"/>
      <c r="BA299" s="27"/>
    </row>
    <row r="300" spans="1:53">
      <c r="A300" s="165"/>
      <c r="B300" s="28"/>
      <c r="C300" s="27"/>
      <c r="D300" s="10"/>
      <c r="E300" s="27"/>
      <c r="F300" s="27"/>
      <c r="G300" s="27"/>
      <c r="H300" s="27"/>
      <c r="I300" s="27"/>
      <c r="J300" s="27"/>
      <c r="K300" s="27"/>
      <c r="L300" s="27"/>
      <c r="M300" s="27"/>
      <c r="N300" s="27">
        <v>10</v>
      </c>
      <c r="O300" s="27"/>
      <c r="P300" s="28"/>
      <c r="Q300" s="27"/>
      <c r="R300" s="27"/>
      <c r="S300" s="79"/>
      <c r="T300" s="3">
        <v>100</v>
      </c>
      <c r="U300" s="3">
        <v>186</v>
      </c>
      <c r="V300" s="3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P300" s="27"/>
      <c r="AU300" s="27"/>
      <c r="AV300" s="27"/>
      <c r="AW300" s="27"/>
      <c r="AX300" s="27"/>
      <c r="AY300" s="27"/>
      <c r="AZ300" s="27"/>
      <c r="BA300" s="27"/>
    </row>
    <row r="301" spans="1:53">
      <c r="A301" s="165"/>
      <c r="B301" s="28"/>
      <c r="C301" s="27"/>
      <c r="D301" s="10"/>
      <c r="E301" s="27"/>
      <c r="F301" s="27"/>
      <c r="G301" s="27"/>
      <c r="H301" s="27"/>
      <c r="I301" s="27"/>
      <c r="J301" s="27"/>
      <c r="K301" s="27"/>
      <c r="L301" s="27"/>
      <c r="M301" s="27"/>
      <c r="N301" s="27">
        <v>11</v>
      </c>
      <c r="O301" s="27"/>
      <c r="P301" s="28"/>
      <c r="Q301" s="27"/>
      <c r="R301" s="27"/>
      <c r="S301" s="79"/>
      <c r="T301" s="3">
        <v>110</v>
      </c>
      <c r="U301" s="3">
        <v>204</v>
      </c>
      <c r="V301" s="3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P301" s="27"/>
      <c r="AU301" s="27"/>
      <c r="AV301" s="27"/>
      <c r="AW301" s="27"/>
      <c r="AX301" s="27"/>
      <c r="AY301" s="27"/>
      <c r="AZ301" s="27"/>
      <c r="BA301" s="27"/>
    </row>
    <row r="302" spans="1:53">
      <c r="A302" s="165"/>
      <c r="B302" s="28"/>
      <c r="C302" s="27"/>
      <c r="D302" s="10"/>
      <c r="E302" s="27"/>
      <c r="F302" s="27"/>
      <c r="G302" s="27"/>
      <c r="H302" s="27"/>
      <c r="I302" s="27"/>
      <c r="J302" s="27"/>
      <c r="K302" s="27"/>
      <c r="L302" s="27"/>
      <c r="M302" s="27"/>
      <c r="N302" s="27">
        <v>12</v>
      </c>
      <c r="O302" s="27"/>
      <c r="P302" s="28"/>
      <c r="Q302" s="27"/>
      <c r="R302" s="27"/>
      <c r="S302" s="79"/>
      <c r="T302" s="3">
        <v>120</v>
      </c>
      <c r="U302" s="3">
        <v>224</v>
      </c>
      <c r="V302" s="3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P302" s="27"/>
      <c r="AU302" s="27"/>
      <c r="AV302" s="27"/>
      <c r="AW302" s="27"/>
      <c r="AX302" s="27"/>
      <c r="AY302" s="27"/>
      <c r="AZ302" s="27"/>
      <c r="BA302" s="27"/>
    </row>
    <row r="303" spans="1:53">
      <c r="A303" s="165"/>
      <c r="B303" s="28"/>
      <c r="C303" s="27"/>
      <c r="D303" s="10"/>
      <c r="E303" s="27"/>
      <c r="F303" s="27"/>
      <c r="G303" s="27"/>
      <c r="H303" s="27"/>
      <c r="I303" s="27"/>
      <c r="J303" s="27"/>
      <c r="K303" s="27"/>
      <c r="L303" s="27"/>
      <c r="M303" s="27"/>
      <c r="N303" s="27">
        <v>13</v>
      </c>
      <c r="O303" s="27"/>
      <c r="P303" s="28"/>
      <c r="Q303" s="27"/>
      <c r="R303" s="27"/>
      <c r="S303" s="79"/>
      <c r="T303" s="3">
        <v>132</v>
      </c>
      <c r="U303" s="3">
        <v>247</v>
      </c>
      <c r="V303" s="3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P303" s="27"/>
      <c r="AU303" s="27"/>
      <c r="AV303" s="27"/>
      <c r="AW303" s="27"/>
      <c r="AX303" s="27"/>
      <c r="AY303" s="27"/>
      <c r="AZ303" s="27"/>
      <c r="BA303" s="27"/>
    </row>
    <row r="304" spans="1:53">
      <c r="A304" s="165"/>
      <c r="B304" s="28">
        <v>32</v>
      </c>
      <c r="C304" s="53" t="str">
        <f>VLOOKUP($B304,一级属性,C$1,)</f>
        <v>冰精灵</v>
      </c>
      <c r="D304" s="169" t="str">
        <f>VLOOKUP($B304,一级属性,D$1,)</f>
        <v>只有被冰冻住的物体才有资格被称为艺术，和我一起成为艺术吧。</v>
      </c>
      <c r="E304" s="27"/>
      <c r="F304" s="53">
        <f t="shared" ref="F304:L304" si="127">VLOOKUP($B304,一级属性,F$1,)</f>
        <v>1</v>
      </c>
      <c r="G304" s="53">
        <f t="shared" si="127"/>
        <v>2</v>
      </c>
      <c r="H304" s="53">
        <f t="shared" si="127"/>
        <v>0</v>
      </c>
      <c r="I304" s="53">
        <f t="shared" si="127"/>
        <v>100</v>
      </c>
      <c r="J304" s="53">
        <f t="shared" si="127"/>
        <v>0</v>
      </c>
      <c r="K304" s="53">
        <f t="shared" si="127"/>
        <v>1237</v>
      </c>
      <c r="L304" s="53">
        <f t="shared" si="127"/>
        <v>2237</v>
      </c>
      <c r="M304" s="28">
        <v>0</v>
      </c>
      <c r="N304" s="27">
        <v>1</v>
      </c>
      <c r="O304" s="53">
        <f>VLOOKUP($B304,一级属性,O$1,)</f>
        <v>2</v>
      </c>
      <c r="P304" s="28">
        <v>0</v>
      </c>
      <c r="Q304" s="27">
        <v>2</v>
      </c>
      <c r="R304" s="27">
        <v>7</v>
      </c>
      <c r="S304" s="112">
        <v>0</v>
      </c>
      <c r="T304" s="3">
        <v>90</v>
      </c>
      <c r="U304" s="3">
        <v>50</v>
      </c>
      <c r="V304" s="112">
        <v>0</v>
      </c>
      <c r="W304" s="53">
        <f>VLOOKUP($B304,一级属性,W$1,)</f>
        <v>50</v>
      </c>
      <c r="X304" s="53">
        <f>VLOOKUP($B304,一级属性,X$1,)</f>
        <v>1000</v>
      </c>
      <c r="Y304" s="53">
        <f>VLOOKUP($B304,一级属性,Y$1,)</f>
        <v>84</v>
      </c>
      <c r="Z304" s="168">
        <v>2000</v>
      </c>
      <c r="AA304" s="53">
        <f>VLOOKUP($B304,一级属性,AA$1,)</f>
        <v>2</v>
      </c>
      <c r="AB304" s="53">
        <f>VLOOKUP($B304,一级属性,AB$1,)</f>
        <v>15</v>
      </c>
      <c r="AC304" s="53">
        <f>VLOOKUP($B304,一级属性,AC$1,)</f>
        <v>60</v>
      </c>
      <c r="AD304" s="53">
        <f>VLOOKUP($B304,一级属性,AD$1,)</f>
        <v>2.5</v>
      </c>
      <c r="AE304" s="27">
        <v>0</v>
      </c>
      <c r="AF304" s="27">
        <v>0</v>
      </c>
      <c r="AG304" s="53">
        <f>VLOOKUP($B304,一级属性,AG$1,)</f>
        <v>210</v>
      </c>
      <c r="AH304" s="53">
        <f>VLOOKUP($B304,一级属性,AH$1,)</f>
        <v>45</v>
      </c>
      <c r="AI304" s="53">
        <f>VLOOKUP($B304,一级属性,AI$1,)</f>
        <v>200</v>
      </c>
      <c r="AJ304" s="53">
        <f>VLOOKUP($B304,一级属性,AJ$1,)</f>
        <v>30</v>
      </c>
      <c r="AK304" s="27">
        <v>1</v>
      </c>
      <c r="AL304" s="27">
        <v>0</v>
      </c>
      <c r="AM304" s="53">
        <f>VLOOKUP($B304,一级属性,AM$1,)</f>
        <v>0</v>
      </c>
      <c r="AN304" s="71">
        <v>0</v>
      </c>
      <c r="AO304" s="71">
        <v>0</v>
      </c>
      <c r="AP304" s="53">
        <f>VLOOKUP($B304,一级属性,AP$1,)</f>
        <v>0</v>
      </c>
      <c r="AQ304" s="71">
        <v>0</v>
      </c>
      <c r="AR304" s="71">
        <v>0</v>
      </c>
      <c r="AS304" s="71">
        <v>0</v>
      </c>
      <c r="AT304" s="71">
        <v>0</v>
      </c>
      <c r="AU304" s="71">
        <v>0</v>
      </c>
      <c r="AV304" s="71">
        <v>0</v>
      </c>
      <c r="AW304" s="71">
        <v>0</v>
      </c>
      <c r="AX304" s="53">
        <f>VLOOKUP($B304,一级属性,AX$1,)</f>
        <v>1000</v>
      </c>
      <c r="AY304" s="71">
        <v>0</v>
      </c>
      <c r="AZ304" s="71">
        <v>0</v>
      </c>
      <c r="BA304" s="27">
        <v>0</v>
      </c>
    </row>
    <row r="305" spans="1:53">
      <c r="A305" s="165"/>
      <c r="B305" s="28"/>
      <c r="C305" s="27"/>
      <c r="D305" s="10"/>
      <c r="E305" s="27"/>
      <c r="F305" s="27"/>
      <c r="G305" s="27"/>
      <c r="H305" s="27"/>
      <c r="I305" s="27"/>
      <c r="J305" s="27"/>
      <c r="K305" s="27"/>
      <c r="L305" s="27"/>
      <c r="M305" s="27"/>
      <c r="N305" s="27">
        <v>2</v>
      </c>
      <c r="O305" s="27"/>
      <c r="P305" s="28"/>
      <c r="Q305" s="27"/>
      <c r="R305" s="27"/>
      <c r="S305" s="79"/>
      <c r="T305" s="3">
        <v>99</v>
      </c>
      <c r="U305" s="3">
        <v>55</v>
      </c>
      <c r="V305" s="3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P305" s="27"/>
      <c r="AU305" s="27"/>
      <c r="AV305" s="27"/>
      <c r="AW305" s="27"/>
      <c r="AX305" s="27"/>
      <c r="AY305" s="27"/>
      <c r="AZ305" s="27"/>
      <c r="BA305" s="27"/>
    </row>
    <row r="306" spans="1:53">
      <c r="A306" s="165"/>
      <c r="B306" s="28"/>
      <c r="C306" s="27"/>
      <c r="D306" s="10"/>
      <c r="E306" s="27"/>
      <c r="F306" s="27"/>
      <c r="G306" s="27"/>
      <c r="H306" s="27"/>
      <c r="I306" s="27"/>
      <c r="J306" s="27"/>
      <c r="K306" s="27"/>
      <c r="L306" s="27"/>
      <c r="M306" s="27"/>
      <c r="N306" s="27">
        <v>3</v>
      </c>
      <c r="O306" s="27"/>
      <c r="P306" s="28"/>
      <c r="Q306" s="27"/>
      <c r="R306" s="27"/>
      <c r="S306" s="79"/>
      <c r="T306" s="3">
        <v>108</v>
      </c>
      <c r="U306" s="3">
        <v>60</v>
      </c>
      <c r="V306" s="3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P306" s="27"/>
      <c r="AU306" s="27"/>
      <c r="AV306" s="27"/>
      <c r="AW306" s="27"/>
      <c r="AX306" s="27"/>
      <c r="AY306" s="27"/>
      <c r="AZ306" s="27"/>
      <c r="BA306" s="27"/>
    </row>
    <row r="307" spans="1:53">
      <c r="A307" s="165"/>
      <c r="B307" s="28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>
        <v>4</v>
      </c>
      <c r="O307" s="27"/>
      <c r="P307" s="28"/>
      <c r="Q307" s="27"/>
      <c r="R307" s="27"/>
      <c r="S307" s="79"/>
      <c r="T307" s="3">
        <v>119</v>
      </c>
      <c r="U307" s="3">
        <v>66</v>
      </c>
      <c r="V307" s="3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P307" s="27"/>
      <c r="AU307" s="27"/>
      <c r="AV307" s="27"/>
      <c r="AW307" s="27"/>
      <c r="AX307" s="27"/>
      <c r="AY307" s="27"/>
      <c r="AZ307" s="27"/>
      <c r="BA307" s="27"/>
    </row>
    <row r="308" spans="1:53">
      <c r="A308" s="165"/>
      <c r="B308" s="28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>
        <v>5</v>
      </c>
      <c r="O308" s="27"/>
      <c r="P308" s="28"/>
      <c r="Q308" s="27"/>
      <c r="R308" s="27"/>
      <c r="S308" s="79"/>
      <c r="T308" s="3">
        <v>131</v>
      </c>
      <c r="U308" s="3">
        <v>73</v>
      </c>
      <c r="V308" s="3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P308" s="27"/>
      <c r="AU308" s="27"/>
      <c r="AV308" s="27"/>
      <c r="AW308" s="27"/>
      <c r="AX308" s="27"/>
      <c r="AY308" s="27"/>
      <c r="AZ308" s="27"/>
      <c r="BA308" s="27"/>
    </row>
    <row r="309" spans="1:53">
      <c r="A309" s="165"/>
      <c r="B309" s="28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>
        <v>6</v>
      </c>
      <c r="O309" s="27"/>
      <c r="P309" s="28"/>
      <c r="Q309" s="27"/>
      <c r="R309" s="27"/>
      <c r="S309" s="79"/>
      <c r="T309" s="3">
        <v>144</v>
      </c>
      <c r="U309" s="3">
        <v>80</v>
      </c>
      <c r="V309" s="3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P309" s="27"/>
      <c r="AU309" s="27"/>
      <c r="AV309" s="27"/>
      <c r="AW309" s="27"/>
      <c r="AX309" s="27"/>
      <c r="AY309" s="27"/>
      <c r="AZ309" s="27"/>
      <c r="BA309" s="27"/>
    </row>
    <row r="310" spans="1:53">
      <c r="A310" s="165"/>
      <c r="B310" s="28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>
        <v>7</v>
      </c>
      <c r="O310" s="27"/>
      <c r="P310" s="28"/>
      <c r="Q310" s="27"/>
      <c r="R310" s="27"/>
      <c r="S310" s="79"/>
      <c r="T310" s="3">
        <v>158</v>
      </c>
      <c r="U310" s="3">
        <v>88</v>
      </c>
      <c r="V310" s="3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P310" s="27"/>
      <c r="AU310" s="27"/>
      <c r="AV310" s="27"/>
      <c r="AW310" s="27"/>
      <c r="AX310" s="27"/>
      <c r="AY310" s="27"/>
      <c r="AZ310" s="27"/>
      <c r="BA310" s="27"/>
    </row>
    <row r="311" spans="1:53">
      <c r="A311" s="165"/>
      <c r="B311" s="28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>
        <v>8</v>
      </c>
      <c r="O311" s="27"/>
      <c r="P311" s="28"/>
      <c r="Q311" s="27"/>
      <c r="R311" s="27"/>
      <c r="S311" s="79"/>
      <c r="T311" s="3">
        <v>173</v>
      </c>
      <c r="U311" s="3">
        <v>96</v>
      </c>
      <c r="V311" s="3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P311" s="27"/>
      <c r="AU311" s="27"/>
      <c r="AV311" s="27"/>
      <c r="AW311" s="27"/>
      <c r="AX311" s="27"/>
      <c r="AY311" s="27"/>
      <c r="AZ311" s="27"/>
      <c r="BA311" s="27"/>
    </row>
    <row r="312" spans="1:53">
      <c r="A312" s="165"/>
      <c r="B312" s="28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>
        <v>9</v>
      </c>
      <c r="O312" s="27"/>
      <c r="P312" s="28"/>
      <c r="Q312" s="27"/>
      <c r="R312" s="27"/>
      <c r="S312" s="79"/>
      <c r="T312" s="3">
        <v>190</v>
      </c>
      <c r="U312" s="3">
        <v>106</v>
      </c>
      <c r="V312" s="3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P312" s="27"/>
      <c r="AU312" s="27"/>
      <c r="AV312" s="27"/>
      <c r="AW312" s="27"/>
      <c r="AX312" s="27"/>
      <c r="AY312" s="27"/>
      <c r="AZ312" s="27"/>
      <c r="BA312" s="27"/>
    </row>
    <row r="313" spans="1:53">
      <c r="A313" s="165"/>
      <c r="B313" s="28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>
        <v>10</v>
      </c>
      <c r="O313" s="27"/>
      <c r="P313" s="28"/>
      <c r="Q313" s="27"/>
      <c r="R313" s="27"/>
      <c r="S313" s="79"/>
      <c r="T313" s="3">
        <v>209</v>
      </c>
      <c r="U313" s="3">
        <v>116</v>
      </c>
      <c r="V313" s="3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P313" s="27"/>
      <c r="AU313" s="27"/>
      <c r="AV313" s="27"/>
      <c r="AW313" s="27"/>
      <c r="AX313" s="27"/>
      <c r="AY313" s="27"/>
      <c r="AZ313" s="27"/>
      <c r="BA313" s="27"/>
    </row>
    <row r="314" spans="1:53">
      <c r="A314" s="165"/>
      <c r="B314" s="28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>
        <v>11</v>
      </c>
      <c r="O314" s="27"/>
      <c r="P314" s="28"/>
      <c r="Q314" s="27"/>
      <c r="R314" s="27"/>
      <c r="S314" s="79"/>
      <c r="T314" s="3">
        <v>230</v>
      </c>
      <c r="U314" s="3">
        <v>128</v>
      </c>
      <c r="V314" s="3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P314" s="27"/>
      <c r="AU314" s="27"/>
      <c r="AV314" s="27"/>
      <c r="AW314" s="27"/>
      <c r="AX314" s="27"/>
      <c r="AY314" s="27"/>
      <c r="AZ314" s="27"/>
      <c r="BA314" s="27"/>
    </row>
    <row r="315" spans="1:53">
      <c r="A315" s="165"/>
      <c r="B315" s="28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>
        <v>12</v>
      </c>
      <c r="O315" s="27"/>
      <c r="P315" s="28"/>
      <c r="Q315" s="27"/>
      <c r="R315" s="27"/>
      <c r="S315" s="79"/>
      <c r="T315" s="3">
        <v>252</v>
      </c>
      <c r="U315" s="3">
        <v>140</v>
      </c>
      <c r="V315" s="3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P315" s="27"/>
      <c r="AU315" s="27"/>
      <c r="AV315" s="27"/>
      <c r="AW315" s="27"/>
      <c r="AX315" s="27"/>
      <c r="AY315" s="27"/>
      <c r="AZ315" s="27"/>
      <c r="BA315" s="27"/>
    </row>
    <row r="316" spans="1:53">
      <c r="A316" s="165"/>
      <c r="B316" s="28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>
        <v>13</v>
      </c>
      <c r="O316" s="27"/>
      <c r="P316" s="28"/>
      <c r="Q316" s="27"/>
      <c r="R316" s="27"/>
      <c r="S316" s="79"/>
      <c r="T316" s="3">
        <v>278</v>
      </c>
      <c r="U316" s="3">
        <v>154</v>
      </c>
      <c r="V316" s="3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P316" s="27"/>
      <c r="AU316" s="27"/>
      <c r="AV316" s="27"/>
      <c r="AW316" s="27"/>
      <c r="AX316" s="27"/>
      <c r="AY316" s="27"/>
      <c r="AZ316" s="27"/>
      <c r="BA316" s="27"/>
    </row>
    <row r="317" spans="1:53">
      <c r="A317" s="165"/>
      <c r="B317" s="32">
        <v>48</v>
      </c>
      <c r="C317" s="53" t="str">
        <f>VLOOKUP($B317,一级属性,C$1,)</f>
        <v>艾斯特</v>
      </c>
      <c r="D317" s="53" t="str">
        <f>VLOOKUP($B317,一级属性,D$1,)</f>
        <v>使用精神控制，让一名敌兵为自己作战。</v>
      </c>
      <c r="F317" s="53">
        <f t="shared" ref="F317:L317" si="128">VLOOKUP($B317,一级属性,F$1,)</f>
        <v>1</v>
      </c>
      <c r="G317" s="53">
        <f t="shared" si="128"/>
        <v>3</v>
      </c>
      <c r="H317" s="53">
        <f t="shared" si="128"/>
        <v>0</v>
      </c>
      <c r="I317" s="53">
        <f t="shared" si="128"/>
        <v>100</v>
      </c>
      <c r="J317" s="53">
        <f t="shared" si="128"/>
        <v>3</v>
      </c>
      <c r="K317" s="53">
        <f t="shared" si="128"/>
        <v>1241</v>
      </c>
      <c r="L317" s="53">
        <f t="shared" si="128"/>
        <v>2241</v>
      </c>
      <c r="M317" s="28">
        <v>0</v>
      </c>
      <c r="N317" s="27">
        <v>1</v>
      </c>
      <c r="O317" s="53">
        <f>VLOOKUP($B317,一级属性,O$1,)</f>
        <v>4</v>
      </c>
      <c r="P317" s="28">
        <v>1</v>
      </c>
      <c r="Q317" s="27">
        <v>2</v>
      </c>
      <c r="R317" s="27">
        <v>0</v>
      </c>
      <c r="S317" s="112">
        <v>0</v>
      </c>
      <c r="T317" s="3">
        <v>131</v>
      </c>
      <c r="U317" s="168">
        <v>0</v>
      </c>
      <c r="V317" s="178">
        <v>0</v>
      </c>
      <c r="W317" s="53">
        <f>VLOOKUP($B317,一级属性,W$1,)</f>
        <v>50</v>
      </c>
      <c r="X317" s="53">
        <f>VLOOKUP($B317,一级属性,X$1,)</f>
        <v>1000</v>
      </c>
      <c r="Y317" s="53">
        <f>VLOOKUP($B317,一级属性,Y$1,)</f>
        <v>42</v>
      </c>
      <c r="Z317" s="112">
        <v>0</v>
      </c>
      <c r="AA317" s="53">
        <f>VLOOKUP($B317,一级属性,AA$1,)</f>
        <v>2</v>
      </c>
      <c r="AB317" s="53">
        <f>VLOOKUP($B317,一级属性,AB$1,)</f>
        <v>20</v>
      </c>
      <c r="AC317" s="53">
        <f>VLOOKUP($B317,一级属性,AC$1,)</f>
        <v>200</v>
      </c>
      <c r="AD317" s="53">
        <f>VLOOKUP($B317,一级属性,AD$1,)</f>
        <v>8.5</v>
      </c>
      <c r="AE317" s="27">
        <v>3</v>
      </c>
      <c r="AF317" s="27">
        <v>5000</v>
      </c>
      <c r="AG317" s="53">
        <f>VLOOKUP($B317,一级属性,AG$1,)</f>
        <v>320</v>
      </c>
      <c r="AH317" s="53">
        <f>VLOOKUP($B317,一级属性,AH$1,)</f>
        <v>45</v>
      </c>
      <c r="AI317" s="53">
        <f>VLOOKUP($B317,一级属性,AI$1,)</f>
        <v>200</v>
      </c>
      <c r="AJ317" s="53">
        <f>VLOOKUP($B317,一级属性,AJ$1,)</f>
        <v>30</v>
      </c>
      <c r="AK317" s="27">
        <v>1</v>
      </c>
      <c r="AL317" s="27">
        <v>6</v>
      </c>
      <c r="AM317" s="53">
        <f>VLOOKUP($B317,一级属性,AM$1,)</f>
        <v>0</v>
      </c>
      <c r="AN317" s="71">
        <v>0</v>
      </c>
      <c r="AO317" s="71">
        <v>0</v>
      </c>
      <c r="AP317" s="53">
        <f>VLOOKUP($B317,一级属性,AP$1,)</f>
        <v>0</v>
      </c>
      <c r="AQ317" s="71">
        <v>0</v>
      </c>
      <c r="AR317" s="71">
        <v>0</v>
      </c>
      <c r="AS317" s="71">
        <v>0</v>
      </c>
      <c r="AT317" s="71">
        <v>0</v>
      </c>
      <c r="AU317" s="71">
        <v>0</v>
      </c>
      <c r="AV317" s="71">
        <v>0</v>
      </c>
      <c r="AW317" s="71">
        <v>0</v>
      </c>
      <c r="AX317" s="53">
        <f>VLOOKUP($B317,一级属性,AX$1,)</f>
        <v>1000</v>
      </c>
      <c r="AY317" s="59">
        <v>240</v>
      </c>
      <c r="AZ317" s="59">
        <v>1000</v>
      </c>
      <c r="BA317" s="27">
        <v>0</v>
      </c>
    </row>
    <row r="318" spans="1:53">
      <c r="A318" s="165"/>
      <c r="N318" s="27">
        <v>2</v>
      </c>
      <c r="S318" s="102"/>
      <c r="T318" s="3">
        <v>159</v>
      </c>
      <c r="U318" s="168">
        <v>0</v>
      </c>
      <c r="V318" s="168"/>
      <c r="AL318" s="27"/>
    </row>
    <row r="319" spans="1:53">
      <c r="A319" s="165"/>
      <c r="N319" s="27">
        <v>3</v>
      </c>
      <c r="S319" s="102"/>
      <c r="T319" s="3">
        <v>187</v>
      </c>
      <c r="U319" s="168">
        <v>0</v>
      </c>
      <c r="V319" s="168"/>
      <c r="W319" s="3"/>
      <c r="X319" s="3"/>
      <c r="AL319" s="27"/>
    </row>
    <row r="320" spans="1:53">
      <c r="A320" s="165"/>
      <c r="N320" s="27">
        <v>4</v>
      </c>
      <c r="S320" s="102"/>
      <c r="T320" s="3">
        <v>215</v>
      </c>
      <c r="U320" s="168">
        <v>0</v>
      </c>
      <c r="V320" s="168"/>
      <c r="AL320" s="27"/>
    </row>
    <row r="321" spans="1:53">
      <c r="A321" s="165">
        <v>1</v>
      </c>
      <c r="N321" s="27">
        <v>5</v>
      </c>
      <c r="S321" s="102"/>
      <c r="T321" s="3">
        <v>243</v>
      </c>
      <c r="U321" s="168">
        <v>0</v>
      </c>
      <c r="V321" s="168"/>
      <c r="AL321" s="27"/>
    </row>
    <row r="322" spans="1:53">
      <c r="A322" s="132"/>
      <c r="B322" s="28">
        <v>11</v>
      </c>
      <c r="C322" s="53" t="str">
        <f>VLOOKUP($B322,一级属性,C$1,)</f>
        <v>迷你皮卡</v>
      </c>
      <c r="D322" s="53" t="str">
        <f>VLOOKUP($B322,一级属性,D$1,)</f>
        <v>竞技场里有很多蝴蝶自由飞翔的区域。  但对 P.E.K.K.A来说毫无吸引力, 只有毁灭。</v>
      </c>
      <c r="E322" s="27"/>
      <c r="F322" s="53">
        <f t="shared" ref="F322:L322" si="129">VLOOKUP($B322,一级属性,F$1,)</f>
        <v>1</v>
      </c>
      <c r="G322" s="53">
        <f t="shared" si="129"/>
        <v>0</v>
      </c>
      <c r="H322" s="53">
        <f t="shared" si="129"/>
        <v>0</v>
      </c>
      <c r="I322" s="53">
        <f t="shared" si="129"/>
        <v>50</v>
      </c>
      <c r="J322" s="53">
        <f t="shared" si="129"/>
        <v>1</v>
      </c>
      <c r="K322" s="53">
        <f t="shared" si="129"/>
        <v>1206</v>
      </c>
      <c r="L322" s="53" t="str">
        <f t="shared" si="129"/>
        <v>2219_0.65</v>
      </c>
      <c r="M322" s="28">
        <v>0</v>
      </c>
      <c r="N322" s="27">
        <v>1</v>
      </c>
      <c r="O322" s="53">
        <f>VLOOKUP($B322,一级属性,O$1,)</f>
        <v>4</v>
      </c>
      <c r="P322" s="28">
        <v>0</v>
      </c>
      <c r="Q322" s="27">
        <v>0</v>
      </c>
      <c r="R322" s="27">
        <v>0</v>
      </c>
      <c r="S322" s="112">
        <v>0</v>
      </c>
      <c r="T322" s="3">
        <v>600</v>
      </c>
      <c r="U322" s="3">
        <v>325</v>
      </c>
      <c r="V322" s="112">
        <v>0</v>
      </c>
      <c r="W322" s="53">
        <f t="shared" ref="W322:AJ322" si="130">VLOOKUP($B322,一级属性,W$1,)</f>
        <v>433</v>
      </c>
      <c r="X322" s="53">
        <f t="shared" si="130"/>
        <v>1800</v>
      </c>
      <c r="Y322" s="53">
        <f t="shared" si="130"/>
        <v>63</v>
      </c>
      <c r="Z322" s="112">
        <v>0</v>
      </c>
      <c r="AA322" s="53">
        <f t="shared" si="130"/>
        <v>2</v>
      </c>
      <c r="AB322" s="53">
        <f t="shared" si="130"/>
        <v>20</v>
      </c>
      <c r="AC322" s="53">
        <f t="shared" si="130"/>
        <v>9</v>
      </c>
      <c r="AD322" s="53" t="str">
        <f t="shared" si="130"/>
        <v>近战</v>
      </c>
      <c r="AE322" s="27">
        <v>0</v>
      </c>
      <c r="AF322" s="27">
        <v>0</v>
      </c>
      <c r="AG322" s="53">
        <f t="shared" si="130"/>
        <v>210</v>
      </c>
      <c r="AH322" s="53">
        <f t="shared" si="130"/>
        <v>0</v>
      </c>
      <c r="AI322" s="53">
        <f t="shared" si="130"/>
        <v>350</v>
      </c>
      <c r="AJ322" s="53">
        <f t="shared" si="130"/>
        <v>0</v>
      </c>
      <c r="AK322" s="27">
        <v>1</v>
      </c>
      <c r="AL322" s="27">
        <v>0</v>
      </c>
      <c r="AM322" s="53">
        <f>VLOOKUP($B322,一级属性,AM$1,)</f>
        <v>0</v>
      </c>
      <c r="AN322" s="71">
        <v>0</v>
      </c>
      <c r="AO322" s="71">
        <v>0</v>
      </c>
      <c r="AP322" s="53">
        <f>VLOOKUP($B322,一级属性,AP$1,)</f>
        <v>0</v>
      </c>
      <c r="AQ322" s="71">
        <v>0</v>
      </c>
      <c r="AR322" s="71">
        <v>0</v>
      </c>
      <c r="AS322" s="71">
        <v>0</v>
      </c>
      <c r="AT322" s="71">
        <v>0</v>
      </c>
      <c r="AU322" s="71">
        <v>0</v>
      </c>
      <c r="AV322" s="71">
        <v>0</v>
      </c>
      <c r="AW322" s="71">
        <v>0</v>
      </c>
      <c r="AX322" s="53">
        <f>VLOOKUP($B322,一级属性,AX$1,)</f>
        <v>1000</v>
      </c>
      <c r="AY322" s="71">
        <v>0</v>
      </c>
      <c r="AZ322" s="71">
        <v>0</v>
      </c>
      <c r="BA322" s="27">
        <v>0</v>
      </c>
    </row>
    <row r="323" spans="1:53">
      <c r="A323" s="132"/>
      <c r="B323" s="28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>
        <v>2</v>
      </c>
      <c r="O323" s="27"/>
      <c r="P323" s="28"/>
      <c r="Q323" s="27"/>
      <c r="R323" s="27"/>
      <c r="S323" s="79"/>
      <c r="T323" s="3">
        <v>660</v>
      </c>
      <c r="U323" s="3">
        <v>357</v>
      </c>
      <c r="V323" s="3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P323" s="27"/>
      <c r="AU323" s="27"/>
      <c r="AV323" s="27"/>
      <c r="AW323" s="27"/>
      <c r="AX323" s="27"/>
      <c r="AY323" s="27"/>
      <c r="AZ323" s="27"/>
      <c r="BA323" s="27"/>
    </row>
    <row r="324" spans="1:53">
      <c r="A324" s="132"/>
      <c r="B324" s="28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>
        <v>3</v>
      </c>
      <c r="O324" s="27"/>
      <c r="P324" s="28"/>
      <c r="Q324" s="27"/>
      <c r="R324" s="27"/>
      <c r="S324" s="79"/>
      <c r="T324" s="3">
        <v>726</v>
      </c>
      <c r="U324" s="3">
        <v>393</v>
      </c>
      <c r="V324" s="3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P324" s="27"/>
      <c r="AT324" s="27"/>
      <c r="AU324" s="27"/>
      <c r="AV324" s="27"/>
      <c r="AW324" s="27"/>
      <c r="AX324" s="27"/>
      <c r="AY324" s="27"/>
      <c r="AZ324" s="27"/>
      <c r="BA324" s="27"/>
    </row>
    <row r="325" spans="1:53">
      <c r="A325" s="132"/>
      <c r="B325" s="28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>
        <v>4</v>
      </c>
      <c r="O325" s="27"/>
      <c r="P325" s="28"/>
      <c r="Q325" s="27"/>
      <c r="R325" s="27"/>
      <c r="S325" s="79"/>
      <c r="T325" s="3">
        <v>798</v>
      </c>
      <c r="U325" s="3">
        <v>432</v>
      </c>
      <c r="V325" s="3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P325" s="27"/>
      <c r="AT325" s="27"/>
      <c r="AU325" s="27"/>
      <c r="AV325" s="27"/>
      <c r="AW325" s="27"/>
      <c r="AX325" s="27"/>
      <c r="AY325" s="27"/>
      <c r="AZ325" s="27"/>
      <c r="BA325" s="27"/>
    </row>
    <row r="326" spans="1:53">
      <c r="A326" s="132"/>
      <c r="B326" s="28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>
        <v>5</v>
      </c>
      <c r="O326" s="27"/>
      <c r="P326" s="28"/>
      <c r="Q326" s="27"/>
      <c r="R326" s="27"/>
      <c r="S326" s="79"/>
      <c r="T326" s="3">
        <v>876</v>
      </c>
      <c r="U326" s="3">
        <v>474</v>
      </c>
      <c r="V326" s="3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P326" s="27"/>
      <c r="AT326" s="27"/>
      <c r="AU326" s="27"/>
      <c r="AV326" s="27"/>
      <c r="AW326" s="27"/>
      <c r="AX326" s="27"/>
      <c r="AY326" s="27"/>
      <c r="AZ326" s="27"/>
      <c r="BA326" s="27"/>
    </row>
    <row r="327" spans="1:53">
      <c r="A327" s="132"/>
      <c r="B327" s="28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>
        <v>6</v>
      </c>
      <c r="O327" s="27"/>
      <c r="P327" s="28"/>
      <c r="Q327" s="27"/>
      <c r="R327" s="27"/>
      <c r="S327" s="79"/>
      <c r="T327" s="3">
        <v>960</v>
      </c>
      <c r="U327" s="3">
        <v>520</v>
      </c>
      <c r="V327" s="3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P327" s="27"/>
      <c r="AT327" s="27"/>
      <c r="AU327" s="27"/>
      <c r="AV327" s="27"/>
      <c r="AW327" s="27"/>
      <c r="AX327" s="27"/>
      <c r="AY327" s="27"/>
      <c r="AZ327" s="27"/>
      <c r="BA327" s="27"/>
    </row>
    <row r="328" spans="1:53">
      <c r="A328" s="132"/>
      <c r="B328" s="28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>
        <v>7</v>
      </c>
      <c r="O328" s="27"/>
      <c r="P328" s="28"/>
      <c r="Q328" s="27"/>
      <c r="R328" s="27"/>
      <c r="S328" s="79"/>
      <c r="T328" s="3">
        <v>1056</v>
      </c>
      <c r="U328" s="3">
        <v>572</v>
      </c>
      <c r="V328" s="3"/>
      <c r="W328" s="27"/>
      <c r="X328" s="27"/>
      <c r="Y328" s="27"/>
      <c r="Z328" s="27"/>
      <c r="AA328" s="27"/>
      <c r="AB328" s="27"/>
      <c r="AC328" s="27"/>
      <c r="AD328" s="27"/>
      <c r="AE328" s="27"/>
      <c r="AF328" s="27"/>
      <c r="AG328" s="27"/>
      <c r="AH328" s="27"/>
      <c r="AI328" s="27"/>
      <c r="AJ328" s="27"/>
      <c r="AK328" s="27"/>
      <c r="AL328" s="27"/>
      <c r="AM328" s="27"/>
      <c r="AP328" s="27"/>
      <c r="AT328" s="27"/>
      <c r="AU328" s="27"/>
      <c r="AV328" s="27"/>
      <c r="AW328" s="27"/>
      <c r="AX328" s="27"/>
      <c r="AY328" s="27"/>
      <c r="AZ328" s="27"/>
      <c r="BA328" s="27"/>
    </row>
    <row r="329" spans="1:53">
      <c r="A329" s="132"/>
      <c r="B329" s="28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>
        <v>8</v>
      </c>
      <c r="O329" s="27"/>
      <c r="P329" s="28"/>
      <c r="Q329" s="27"/>
      <c r="R329" s="27"/>
      <c r="S329" s="79"/>
      <c r="T329" s="3">
        <v>1158</v>
      </c>
      <c r="U329" s="3">
        <v>627</v>
      </c>
      <c r="V329" s="3"/>
      <c r="W329" s="27"/>
      <c r="X329" s="27"/>
      <c r="Y329" s="27"/>
      <c r="Z329" s="27"/>
      <c r="AA329" s="27"/>
      <c r="AB329" s="27"/>
      <c r="AC329" s="27"/>
      <c r="AD329" s="27"/>
      <c r="AE329" s="27"/>
      <c r="AF329" s="27"/>
      <c r="AG329" s="27"/>
      <c r="AH329" s="27"/>
      <c r="AI329" s="27"/>
      <c r="AJ329" s="27"/>
      <c r="AK329" s="27"/>
      <c r="AL329" s="27"/>
      <c r="AM329" s="27"/>
      <c r="AP329" s="27"/>
      <c r="AT329" s="27"/>
      <c r="AU329" s="27"/>
      <c r="AV329" s="27"/>
      <c r="AW329" s="27"/>
      <c r="AX329" s="27"/>
      <c r="AY329" s="27"/>
      <c r="AZ329" s="27"/>
      <c r="BA329" s="27"/>
    </row>
    <row r="330" spans="1:53">
      <c r="A330" s="132"/>
      <c r="B330" s="28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>
        <v>9</v>
      </c>
      <c r="O330" s="27"/>
      <c r="P330" s="28"/>
      <c r="Q330" s="27"/>
      <c r="R330" s="27"/>
      <c r="S330" s="79"/>
      <c r="T330" s="3">
        <v>1272</v>
      </c>
      <c r="U330" s="3">
        <v>689</v>
      </c>
      <c r="V330" s="3"/>
      <c r="W330" s="27"/>
      <c r="X330" s="27"/>
      <c r="Y330" s="27"/>
      <c r="Z330" s="27"/>
      <c r="AA330" s="27"/>
      <c r="AB330" s="27"/>
      <c r="AC330" s="27"/>
      <c r="AD330" s="27"/>
      <c r="AE330" s="27"/>
      <c r="AF330" s="27"/>
      <c r="AG330" s="27"/>
      <c r="AH330" s="27"/>
      <c r="AI330" s="27"/>
      <c r="AJ330" s="27"/>
      <c r="AK330" s="27"/>
      <c r="AL330" s="27"/>
      <c r="AM330" s="27"/>
      <c r="AP330" s="27"/>
      <c r="AT330" s="27"/>
      <c r="AU330" s="27"/>
      <c r="AV330" s="27"/>
      <c r="AW330" s="27"/>
      <c r="AX330" s="27"/>
      <c r="AY330" s="27"/>
      <c r="AZ330" s="27"/>
      <c r="BA330" s="27"/>
    </row>
    <row r="331" spans="1:53">
      <c r="A331" s="132"/>
      <c r="B331" s="28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>
        <v>10</v>
      </c>
      <c r="O331" s="27"/>
      <c r="P331" s="28"/>
      <c r="Q331" s="27"/>
      <c r="R331" s="27"/>
      <c r="S331" s="79"/>
      <c r="T331" s="3">
        <v>1398</v>
      </c>
      <c r="U331" s="3">
        <v>757</v>
      </c>
      <c r="V331" s="3"/>
      <c r="W331" s="27"/>
      <c r="X331" s="27"/>
      <c r="Y331" s="27"/>
      <c r="Z331" s="27"/>
      <c r="AA331" s="27"/>
      <c r="AB331" s="27"/>
      <c r="AC331" s="27"/>
      <c r="AD331" s="27"/>
      <c r="AE331" s="27"/>
      <c r="AF331" s="27"/>
      <c r="AG331" s="27"/>
      <c r="AH331" s="27"/>
      <c r="AI331" s="27"/>
      <c r="AJ331" s="27"/>
      <c r="AK331" s="27"/>
      <c r="AL331" s="27"/>
      <c r="AM331" s="27"/>
      <c r="AP331" s="27"/>
      <c r="AT331" s="27"/>
      <c r="AU331" s="27"/>
      <c r="AV331" s="27"/>
      <c r="AW331" s="27"/>
      <c r="AX331" s="27"/>
      <c r="AY331" s="27"/>
      <c r="AZ331" s="27"/>
      <c r="BA331" s="27"/>
    </row>
    <row r="332" spans="1:53">
      <c r="A332" s="132">
        <v>2</v>
      </c>
      <c r="B332" s="28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>
        <v>11</v>
      </c>
      <c r="O332" s="27"/>
      <c r="P332" s="28"/>
      <c r="Q332" s="27"/>
      <c r="R332" s="27"/>
      <c r="S332" s="79"/>
      <c r="T332" s="3">
        <v>1536</v>
      </c>
      <c r="U332" s="3">
        <v>832</v>
      </c>
      <c r="V332" s="3"/>
      <c r="W332" s="27"/>
      <c r="X332" s="27"/>
      <c r="Y332" s="27"/>
      <c r="Z332" s="27"/>
      <c r="AA332" s="27"/>
      <c r="AB332" s="27"/>
      <c r="AC332" s="27"/>
      <c r="AD332" s="27"/>
      <c r="AE332" s="27"/>
      <c r="AF332" s="27"/>
      <c r="AG332" s="27"/>
      <c r="AH332" s="27"/>
      <c r="AI332" s="27"/>
      <c r="AJ332" s="27"/>
      <c r="AK332" s="27"/>
      <c r="AL332" s="27"/>
      <c r="AM332" s="27"/>
      <c r="AP332" s="27"/>
      <c r="AT332" s="27"/>
      <c r="AU332" s="27"/>
      <c r="AV332" s="27"/>
      <c r="AW332" s="27"/>
      <c r="AX332" s="27"/>
      <c r="AY332" s="27"/>
      <c r="AZ332" s="27"/>
      <c r="BA332" s="27"/>
    </row>
    <row r="333" spans="1:53">
      <c r="B333" s="32">
        <v>26</v>
      </c>
      <c r="C333" s="53" t="str">
        <f t="shared" ref="C333:C354" si="131">VLOOKUP($B333,一级属性,C$1,)</f>
        <v>皇家巨人</v>
      </c>
      <c r="D333" s="53" t="str">
        <f t="shared" ref="D333:D354" si="132">VLOOKUP($B333,一级属性,D$1,)</f>
        <v>用手中的巨型加农炮摧毁敌方建筑是皇家巨人的职责；打理好自己杂乱的金色胡须则是皇家巨人的爱好。</v>
      </c>
      <c r="F333" s="53">
        <f t="shared" ref="F333:L333" si="133">VLOOKUP($B333,一级属性,F$1,)</f>
        <v>1</v>
      </c>
      <c r="G333" s="53">
        <f t="shared" si="133"/>
        <v>7</v>
      </c>
      <c r="H333" s="53">
        <f t="shared" si="133"/>
        <v>0</v>
      </c>
      <c r="I333" s="53">
        <f t="shared" si="133"/>
        <v>230</v>
      </c>
      <c r="J333" s="53">
        <f t="shared" si="133"/>
        <v>0</v>
      </c>
      <c r="K333" s="53">
        <f t="shared" si="133"/>
        <v>1204</v>
      </c>
      <c r="L333" s="53">
        <f t="shared" si="133"/>
        <v>2201</v>
      </c>
      <c r="M333" s="53"/>
      <c r="N333" s="27">
        <v>1</v>
      </c>
      <c r="O333" s="53">
        <f t="shared" ref="O333:O354" si="134">VLOOKUP($B333,一级属性,O$1,)</f>
        <v>6</v>
      </c>
      <c r="P333" s="28">
        <v>1</v>
      </c>
      <c r="Q333" s="27">
        <v>0</v>
      </c>
      <c r="R333" s="27">
        <v>1</v>
      </c>
      <c r="S333" s="112">
        <v>0</v>
      </c>
      <c r="T333" s="102">
        <v>1200</v>
      </c>
      <c r="U333" s="102">
        <v>78</v>
      </c>
      <c r="V333" s="112">
        <v>0</v>
      </c>
      <c r="W333" s="53">
        <f t="shared" ref="W333:AJ354" si="135">VLOOKUP($B333,一级属性,W$1,)</f>
        <v>200</v>
      </c>
      <c r="X333" s="53">
        <f t="shared" si="135"/>
        <v>1000</v>
      </c>
      <c r="Y333" s="53">
        <f t="shared" si="135"/>
        <v>31</v>
      </c>
      <c r="Z333" s="112">
        <v>0</v>
      </c>
      <c r="AA333" s="53">
        <f t="shared" si="135"/>
        <v>2</v>
      </c>
      <c r="AB333" s="53">
        <f t="shared" si="135"/>
        <v>20</v>
      </c>
      <c r="AC333" s="53">
        <f t="shared" si="135"/>
        <v>165</v>
      </c>
      <c r="AD333" s="53">
        <f t="shared" si="135"/>
        <v>6</v>
      </c>
      <c r="AE333" s="27">
        <v>0</v>
      </c>
      <c r="AF333" s="27">
        <v>0</v>
      </c>
      <c r="AG333" s="53">
        <f t="shared" si="135"/>
        <v>214</v>
      </c>
      <c r="AH333" s="53">
        <f t="shared" si="135"/>
        <v>0</v>
      </c>
      <c r="AI333" s="53">
        <f t="shared" si="135"/>
        <v>350</v>
      </c>
      <c r="AJ333" s="53">
        <f t="shared" si="135"/>
        <v>0</v>
      </c>
      <c r="AK333" s="27">
        <v>1</v>
      </c>
      <c r="AL333" s="27">
        <v>0</v>
      </c>
      <c r="AM333" s="53">
        <f t="shared" ref="AM333:AM354" si="136">VLOOKUP($B333,一级属性,AM$1,)</f>
        <v>0</v>
      </c>
      <c r="AN333" s="71">
        <v>0</v>
      </c>
      <c r="AO333" s="71">
        <v>0</v>
      </c>
      <c r="AP333" s="53">
        <f t="shared" ref="AP333:AP354" si="137">VLOOKUP($B333,一级属性,AP$1,)</f>
        <v>0</v>
      </c>
      <c r="AQ333" s="71">
        <v>0</v>
      </c>
      <c r="AR333" s="71">
        <v>0</v>
      </c>
      <c r="AS333" s="71">
        <v>0</v>
      </c>
      <c r="AT333" s="71">
        <v>0</v>
      </c>
      <c r="AU333" s="71">
        <v>0</v>
      </c>
      <c r="AV333" s="71">
        <v>0</v>
      </c>
      <c r="AW333" s="71">
        <v>0</v>
      </c>
      <c r="AX333" s="53">
        <f t="shared" ref="AX333:AX354" si="138">VLOOKUP($B333,一级属性,AX$1,)</f>
        <v>1000</v>
      </c>
      <c r="AY333" s="71">
        <v>0</v>
      </c>
      <c r="AZ333" s="71">
        <v>0</v>
      </c>
      <c r="BA333" s="27">
        <v>0</v>
      </c>
    </row>
    <row r="334" spans="1:53">
      <c r="B334" s="32"/>
      <c r="C334" s="53"/>
      <c r="D334" s="53"/>
      <c r="F334" s="53"/>
      <c r="G334" s="53"/>
      <c r="H334" s="53"/>
      <c r="I334" s="53"/>
      <c r="J334" s="53"/>
      <c r="K334" s="53"/>
      <c r="L334" s="53"/>
      <c r="M334" s="53"/>
      <c r="N334" s="27">
        <v>2</v>
      </c>
      <c r="O334" s="53"/>
      <c r="P334" s="28"/>
      <c r="Q334" s="27"/>
      <c r="R334" s="27"/>
      <c r="S334" s="112"/>
      <c r="T334" s="102">
        <v>1320</v>
      </c>
      <c r="U334" s="102">
        <v>85</v>
      </c>
      <c r="V334" s="102"/>
      <c r="W334" s="53"/>
      <c r="X334" s="27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27"/>
      <c r="AL334" s="27"/>
      <c r="AM334" s="53"/>
      <c r="AP334" s="53"/>
      <c r="AX334" s="53"/>
      <c r="AY334" s="53"/>
      <c r="AZ334" s="53"/>
      <c r="BA334" s="27"/>
    </row>
    <row r="335" spans="1:53">
      <c r="B335" s="32"/>
      <c r="C335" s="53"/>
      <c r="D335" s="53"/>
      <c r="F335" s="53"/>
      <c r="G335" s="53"/>
      <c r="H335" s="53"/>
      <c r="I335" s="53"/>
      <c r="J335" s="53"/>
      <c r="K335" s="53"/>
      <c r="L335" s="53"/>
      <c r="M335" s="53"/>
      <c r="N335" s="27">
        <v>3</v>
      </c>
      <c r="O335" s="53"/>
      <c r="P335" s="28"/>
      <c r="Q335" s="27"/>
      <c r="R335" s="27"/>
      <c r="S335" s="112"/>
      <c r="T335" s="102">
        <v>1452</v>
      </c>
      <c r="U335" s="102">
        <v>94</v>
      </c>
      <c r="V335" s="102"/>
      <c r="W335" s="53"/>
      <c r="X335" s="27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27"/>
      <c r="AL335" s="27"/>
      <c r="AM335" s="53"/>
      <c r="AP335" s="53"/>
      <c r="AX335" s="53"/>
      <c r="AY335" s="53"/>
      <c r="AZ335" s="53"/>
      <c r="BA335" s="27"/>
    </row>
    <row r="336" spans="1:53">
      <c r="B336" s="32"/>
      <c r="C336" s="53"/>
      <c r="D336" s="53"/>
      <c r="F336" s="53"/>
      <c r="G336" s="53"/>
      <c r="H336" s="53"/>
      <c r="I336" s="53"/>
      <c r="J336" s="53"/>
      <c r="K336" s="53"/>
      <c r="L336" s="53"/>
      <c r="M336" s="53"/>
      <c r="N336" s="27">
        <v>4</v>
      </c>
      <c r="O336" s="53"/>
      <c r="P336" s="28"/>
      <c r="Q336" s="27"/>
      <c r="R336" s="27"/>
      <c r="S336" s="112"/>
      <c r="T336" s="102">
        <v>1596</v>
      </c>
      <c r="U336" s="102">
        <v>103</v>
      </c>
      <c r="V336" s="102"/>
      <c r="W336" s="53"/>
      <c r="X336" s="27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27"/>
      <c r="AL336" s="27"/>
      <c r="AM336" s="53"/>
      <c r="AP336" s="53"/>
      <c r="AX336" s="53"/>
      <c r="AY336" s="53"/>
      <c r="AZ336" s="53"/>
      <c r="BA336" s="27"/>
    </row>
    <row r="337" spans="2:53">
      <c r="B337" s="32"/>
      <c r="C337" s="53"/>
      <c r="D337" s="53"/>
      <c r="F337" s="53"/>
      <c r="G337" s="53"/>
      <c r="H337" s="53"/>
      <c r="I337" s="53"/>
      <c r="J337" s="53"/>
      <c r="K337" s="53"/>
      <c r="L337" s="53"/>
      <c r="M337" s="53"/>
      <c r="N337" s="27">
        <v>5</v>
      </c>
      <c r="O337" s="53"/>
      <c r="P337" s="28"/>
      <c r="Q337" s="27"/>
      <c r="R337" s="27"/>
      <c r="S337" s="112"/>
      <c r="T337" s="102">
        <v>1752</v>
      </c>
      <c r="U337" s="102">
        <v>113</v>
      </c>
      <c r="V337" s="102"/>
      <c r="W337" s="53"/>
      <c r="X337" s="27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27"/>
      <c r="AL337" s="27"/>
      <c r="AM337" s="53"/>
      <c r="AP337" s="53"/>
      <c r="AX337" s="53"/>
      <c r="AY337" s="53"/>
      <c r="AZ337" s="53"/>
      <c r="BA337" s="27"/>
    </row>
    <row r="338" spans="2:53">
      <c r="B338" s="32"/>
      <c r="C338" s="53"/>
      <c r="D338" s="53"/>
      <c r="F338" s="53"/>
      <c r="G338" s="53"/>
      <c r="H338" s="53"/>
      <c r="I338" s="53"/>
      <c r="J338" s="53"/>
      <c r="K338" s="53"/>
      <c r="L338" s="53"/>
      <c r="M338" s="53"/>
      <c r="N338" s="27">
        <v>6</v>
      </c>
      <c r="O338" s="53"/>
      <c r="P338" s="28"/>
      <c r="Q338" s="27"/>
      <c r="R338" s="27"/>
      <c r="S338" s="112"/>
      <c r="T338" s="102">
        <v>1920</v>
      </c>
      <c r="U338" s="102">
        <v>125</v>
      </c>
      <c r="V338" s="102"/>
      <c r="W338" s="53"/>
      <c r="X338" s="27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27"/>
      <c r="AM338" s="53"/>
      <c r="AP338" s="53"/>
      <c r="AX338" s="53"/>
      <c r="AY338" s="53"/>
      <c r="AZ338" s="53"/>
      <c r="BA338" s="27"/>
    </row>
    <row r="339" spans="2:53">
      <c r="B339" s="32"/>
      <c r="C339" s="53"/>
      <c r="D339" s="53"/>
      <c r="F339" s="53"/>
      <c r="G339" s="53"/>
      <c r="H339" s="53"/>
      <c r="I339" s="53"/>
      <c r="J339" s="53"/>
      <c r="K339" s="53"/>
      <c r="L339" s="53"/>
      <c r="M339" s="53"/>
      <c r="N339" s="27">
        <v>7</v>
      </c>
      <c r="O339" s="53"/>
      <c r="P339" s="28"/>
      <c r="Q339" s="27"/>
      <c r="R339" s="27"/>
      <c r="S339" s="112"/>
      <c r="T339" s="102">
        <v>2112</v>
      </c>
      <c r="U339" s="102">
        <v>137</v>
      </c>
      <c r="V339" s="102"/>
      <c r="W339" s="53"/>
      <c r="X339" s="27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27"/>
      <c r="AM339" s="53"/>
      <c r="AP339" s="53"/>
      <c r="AX339" s="53"/>
      <c r="AY339" s="53"/>
      <c r="AZ339" s="53"/>
      <c r="BA339" s="27"/>
    </row>
    <row r="340" spans="2:53">
      <c r="B340" s="32"/>
      <c r="C340" s="53"/>
      <c r="D340" s="53"/>
      <c r="F340" s="53"/>
      <c r="G340" s="53"/>
      <c r="H340" s="53"/>
      <c r="I340" s="53"/>
      <c r="J340" s="53"/>
      <c r="K340" s="53"/>
      <c r="L340" s="53"/>
      <c r="M340" s="53"/>
      <c r="N340" s="27">
        <v>8</v>
      </c>
      <c r="O340" s="53"/>
      <c r="P340" s="28"/>
      <c r="Q340" s="27"/>
      <c r="R340" s="27"/>
      <c r="S340" s="112"/>
      <c r="T340" s="102">
        <v>2316</v>
      </c>
      <c r="U340" s="102">
        <v>150</v>
      </c>
      <c r="V340" s="102"/>
      <c r="W340" s="53"/>
      <c r="X340" s="27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27"/>
      <c r="AM340" s="53"/>
      <c r="AP340" s="53"/>
      <c r="AX340" s="53"/>
      <c r="AY340" s="53"/>
      <c r="AZ340" s="53"/>
      <c r="BA340" s="27"/>
    </row>
    <row r="341" spans="2:53">
      <c r="B341" s="32"/>
      <c r="C341" s="53"/>
      <c r="D341" s="53"/>
      <c r="F341" s="53"/>
      <c r="G341" s="53"/>
      <c r="H341" s="53"/>
      <c r="I341" s="53"/>
      <c r="J341" s="53"/>
      <c r="K341" s="53"/>
      <c r="L341" s="53"/>
      <c r="M341" s="53"/>
      <c r="N341" s="27">
        <v>9</v>
      </c>
      <c r="O341" s="53"/>
      <c r="P341" s="28"/>
      <c r="Q341" s="27"/>
      <c r="R341" s="27"/>
      <c r="S341" s="112"/>
      <c r="T341" s="102">
        <v>2544</v>
      </c>
      <c r="U341" s="102">
        <v>164</v>
      </c>
      <c r="V341" s="102"/>
      <c r="W341" s="53"/>
      <c r="X341" s="27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27"/>
      <c r="AM341" s="53"/>
      <c r="AP341" s="53"/>
      <c r="AX341" s="53"/>
      <c r="AY341" s="53"/>
      <c r="AZ341" s="53"/>
      <c r="BA341" s="27"/>
    </row>
    <row r="342" spans="2:53">
      <c r="B342" s="32"/>
      <c r="C342" s="53"/>
      <c r="D342" s="53"/>
      <c r="F342" s="53"/>
      <c r="G342" s="53"/>
      <c r="H342" s="53"/>
      <c r="I342" s="53"/>
      <c r="J342" s="53"/>
      <c r="K342" s="53"/>
      <c r="L342" s="53"/>
      <c r="M342" s="53"/>
      <c r="N342" s="27">
        <v>10</v>
      </c>
      <c r="O342" s="53"/>
      <c r="P342" s="28"/>
      <c r="Q342" s="27"/>
      <c r="R342" s="27"/>
      <c r="S342" s="112"/>
      <c r="T342" s="102">
        <v>2796</v>
      </c>
      <c r="U342" s="102">
        <v>167</v>
      </c>
      <c r="V342" s="102"/>
      <c r="W342" s="53"/>
      <c r="X342" s="27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27"/>
      <c r="AM342" s="53"/>
      <c r="AP342" s="53"/>
      <c r="AX342" s="53"/>
      <c r="AY342" s="53"/>
      <c r="AZ342" s="53"/>
      <c r="BA342" s="27"/>
    </row>
    <row r="343" spans="2:53">
      <c r="B343" s="32"/>
      <c r="C343" s="53"/>
      <c r="D343" s="53"/>
      <c r="F343" s="53"/>
      <c r="G343" s="53"/>
      <c r="H343" s="53"/>
      <c r="I343" s="53"/>
      <c r="J343" s="53"/>
      <c r="K343" s="53"/>
      <c r="L343" s="53"/>
      <c r="M343" s="53"/>
      <c r="N343" s="27">
        <v>11</v>
      </c>
      <c r="O343" s="53"/>
      <c r="P343" s="28"/>
      <c r="Q343" s="27"/>
      <c r="R343" s="27"/>
      <c r="S343" s="112"/>
      <c r="T343" s="102">
        <v>3072</v>
      </c>
      <c r="U343" s="102">
        <v>184</v>
      </c>
      <c r="V343" s="102"/>
      <c r="W343" s="53"/>
      <c r="X343" s="27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27"/>
      <c r="AM343" s="53"/>
      <c r="AP343" s="53"/>
      <c r="AX343" s="53"/>
      <c r="AY343" s="53"/>
      <c r="AZ343" s="53"/>
      <c r="BA343" s="27"/>
    </row>
    <row r="344" spans="2:53">
      <c r="B344" s="32"/>
      <c r="C344" s="53"/>
      <c r="D344" s="53"/>
      <c r="F344" s="53"/>
      <c r="G344" s="53"/>
      <c r="H344" s="53"/>
      <c r="I344" s="53"/>
      <c r="J344" s="53"/>
      <c r="K344" s="53"/>
      <c r="L344" s="53"/>
      <c r="M344" s="53"/>
      <c r="N344" s="27">
        <v>12</v>
      </c>
      <c r="O344" s="53"/>
      <c r="P344" s="28"/>
      <c r="Q344" s="27"/>
      <c r="R344" s="27"/>
      <c r="S344" s="112"/>
      <c r="T344" s="102">
        <v>3372</v>
      </c>
      <c r="U344" s="102">
        <v>219</v>
      </c>
      <c r="V344" s="102"/>
      <c r="W344" s="53"/>
      <c r="X344" s="27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27"/>
      <c r="AM344" s="53"/>
      <c r="AP344" s="53"/>
      <c r="AX344" s="53"/>
      <c r="AY344" s="53"/>
      <c r="AZ344" s="53"/>
      <c r="BA344" s="27"/>
    </row>
    <row r="345" spans="2:53">
      <c r="B345" s="32"/>
      <c r="C345" s="53"/>
      <c r="D345" s="53"/>
      <c r="F345" s="53"/>
      <c r="G345" s="53"/>
      <c r="H345" s="53"/>
      <c r="I345" s="53"/>
      <c r="J345" s="53"/>
      <c r="K345" s="53"/>
      <c r="L345" s="53"/>
      <c r="M345" s="53"/>
      <c r="N345" s="27">
        <v>13</v>
      </c>
      <c r="O345" s="53"/>
      <c r="P345" s="28"/>
      <c r="Q345" s="27"/>
      <c r="R345" s="27"/>
      <c r="S345" s="112"/>
      <c r="T345" s="102">
        <v>3372</v>
      </c>
      <c r="U345" s="102">
        <v>219</v>
      </c>
      <c r="V345" s="102"/>
      <c r="W345" s="53"/>
      <c r="X345" s="27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27"/>
      <c r="AM345" s="53"/>
      <c r="AP345" s="53"/>
      <c r="AX345" s="53"/>
      <c r="AY345" s="53"/>
      <c r="AZ345" s="53"/>
      <c r="BA345" s="27"/>
    </row>
    <row r="346" spans="2:53">
      <c r="B346" s="32">
        <v>27</v>
      </c>
      <c r="C346" s="53" t="str">
        <f t="shared" ref="C346" si="139">VLOOKUP($B346,一级属性,C$1,)</f>
        <v>黑暗王子</v>
      </c>
      <c r="D346" s="53" t="str">
        <f t="shared" ref="D346" si="140">VLOOKUP($B346,一级属性,D$1,)</f>
        <v>黑暗王子可以造成范围伤害，他用狼牙棒为自己代言——因为当他说话时，听起来就像头上罩了个水桶。</v>
      </c>
      <c r="F346" s="53">
        <f t="shared" ref="F346:L346" si="141">VLOOKUP($B346,一级属性,F$1,)</f>
        <v>1</v>
      </c>
      <c r="G346" s="53">
        <f t="shared" si="141"/>
        <v>7</v>
      </c>
      <c r="H346" s="53">
        <f t="shared" si="141"/>
        <v>0</v>
      </c>
      <c r="I346" s="53">
        <f t="shared" si="141"/>
        <v>0</v>
      </c>
      <c r="J346" s="53">
        <f t="shared" si="141"/>
        <v>2</v>
      </c>
      <c r="K346" s="53">
        <f t="shared" si="141"/>
        <v>1204</v>
      </c>
      <c r="L346" s="53">
        <f t="shared" si="141"/>
        <v>2201</v>
      </c>
      <c r="M346" s="53"/>
      <c r="N346" s="27">
        <v>1</v>
      </c>
      <c r="O346" s="53">
        <f t="shared" ref="O346" si="142">VLOOKUP($B346,一级属性,O$1,)</f>
        <v>4</v>
      </c>
      <c r="P346" s="28">
        <v>0</v>
      </c>
      <c r="Q346" s="27">
        <v>0</v>
      </c>
      <c r="R346" s="27">
        <v>2</v>
      </c>
      <c r="S346" s="112">
        <v>200</v>
      </c>
      <c r="T346" s="102">
        <v>700</v>
      </c>
      <c r="U346" s="102">
        <v>125</v>
      </c>
      <c r="V346" s="112">
        <v>0</v>
      </c>
      <c r="W346" s="53">
        <f t="shared" ref="W346:X346" si="143">VLOOKUP($B346,一级属性,W$1,)</f>
        <v>200</v>
      </c>
      <c r="X346" s="53">
        <f t="shared" si="143"/>
        <v>1500</v>
      </c>
      <c r="Y346" s="53">
        <f t="shared" ref="Y346:AJ346" si="144">VLOOKUP($B346,一级属性,Y$1,)</f>
        <v>42</v>
      </c>
      <c r="Z346" s="112">
        <v>0</v>
      </c>
      <c r="AA346" s="53">
        <f t="shared" si="144"/>
        <v>2</v>
      </c>
      <c r="AB346" s="53">
        <f t="shared" si="144"/>
        <v>20</v>
      </c>
      <c r="AC346" s="53">
        <f t="shared" si="144"/>
        <v>30</v>
      </c>
      <c r="AD346" s="53" t="str">
        <f t="shared" si="144"/>
        <v>近战</v>
      </c>
      <c r="AE346" s="27">
        <v>0</v>
      </c>
      <c r="AF346" s="27">
        <v>0</v>
      </c>
      <c r="AG346" s="53">
        <f t="shared" ref="AG346" si="145">VLOOKUP($B346,一级属性,AG$1,)</f>
        <v>210</v>
      </c>
      <c r="AH346" s="53">
        <f t="shared" si="144"/>
        <v>30</v>
      </c>
      <c r="AI346" s="53">
        <f t="shared" si="144"/>
        <v>350</v>
      </c>
      <c r="AJ346" s="53">
        <f t="shared" si="144"/>
        <v>0</v>
      </c>
      <c r="AK346" s="27">
        <v>1</v>
      </c>
      <c r="AL346" s="27">
        <v>1</v>
      </c>
      <c r="AM346" s="53">
        <f t="shared" ref="AM346" si="146">VLOOKUP($B346,一级属性,AM$1,)</f>
        <v>0</v>
      </c>
      <c r="AN346" s="71">
        <v>0</v>
      </c>
      <c r="AO346" s="71">
        <v>0</v>
      </c>
      <c r="AP346" s="53">
        <f t="shared" ref="AP346" si="147">VLOOKUP($B346,一级属性,AP$1,)</f>
        <v>0</v>
      </c>
      <c r="AQ346" s="71">
        <v>0</v>
      </c>
      <c r="AR346" s="71">
        <v>0</v>
      </c>
      <c r="AS346" s="71">
        <v>0</v>
      </c>
      <c r="AT346" s="71">
        <v>0</v>
      </c>
      <c r="AU346" s="71">
        <v>0</v>
      </c>
      <c r="AV346" s="71">
        <v>0</v>
      </c>
      <c r="AW346" s="71">
        <v>0</v>
      </c>
      <c r="AX346" s="53">
        <f t="shared" ref="AX346" si="148">VLOOKUP($B346,一级属性,AX$1,)</f>
        <v>1000</v>
      </c>
      <c r="AY346" s="71">
        <v>0</v>
      </c>
      <c r="AZ346" s="71">
        <v>0</v>
      </c>
      <c r="BA346" s="27">
        <v>0</v>
      </c>
    </row>
    <row r="347" spans="2:53">
      <c r="B347" s="32"/>
      <c r="C347" s="53"/>
      <c r="D347" s="53"/>
      <c r="F347" s="53"/>
      <c r="G347" s="53"/>
      <c r="H347" s="53"/>
      <c r="I347" s="53"/>
      <c r="J347" s="53"/>
      <c r="K347" s="53"/>
      <c r="L347" s="53"/>
      <c r="M347" s="53"/>
      <c r="N347" s="27">
        <v>2</v>
      </c>
      <c r="O347" s="53"/>
      <c r="P347" s="28"/>
      <c r="Q347" s="27"/>
      <c r="R347" s="27"/>
      <c r="S347" s="112">
        <v>220</v>
      </c>
      <c r="T347" s="102">
        <v>770</v>
      </c>
      <c r="U347" s="102">
        <v>137</v>
      </c>
      <c r="V347" s="102"/>
      <c r="W347" s="53"/>
      <c r="X347" s="27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27"/>
      <c r="AM347" s="53"/>
      <c r="AP347" s="53"/>
      <c r="AX347" s="53"/>
      <c r="AY347" s="53"/>
      <c r="AZ347" s="53"/>
      <c r="BA347" s="27"/>
    </row>
    <row r="348" spans="2:53">
      <c r="B348" s="32"/>
      <c r="C348" s="53"/>
      <c r="D348" s="53"/>
      <c r="F348" s="53"/>
      <c r="G348" s="53"/>
      <c r="H348" s="53"/>
      <c r="I348" s="53"/>
      <c r="J348" s="53"/>
      <c r="K348" s="53"/>
      <c r="L348" s="53"/>
      <c r="M348" s="53"/>
      <c r="N348" s="27">
        <v>3</v>
      </c>
      <c r="O348" s="53"/>
      <c r="P348" s="28"/>
      <c r="Q348" s="27"/>
      <c r="R348" s="27"/>
      <c r="S348" s="112">
        <v>242</v>
      </c>
      <c r="T348" s="102">
        <v>847</v>
      </c>
      <c r="U348" s="102">
        <v>151</v>
      </c>
      <c r="V348" s="102"/>
      <c r="W348" s="53"/>
      <c r="X348" s="27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27"/>
      <c r="AM348" s="53"/>
      <c r="AP348" s="53"/>
      <c r="AX348" s="53"/>
      <c r="AY348" s="53"/>
      <c r="AZ348" s="53"/>
      <c r="BA348" s="27"/>
    </row>
    <row r="349" spans="2:53">
      <c r="B349" s="32"/>
      <c r="C349" s="53"/>
      <c r="D349" s="53"/>
      <c r="F349" s="53"/>
      <c r="G349" s="53"/>
      <c r="H349" s="53"/>
      <c r="I349" s="53"/>
      <c r="J349" s="53"/>
      <c r="K349" s="53"/>
      <c r="L349" s="53"/>
      <c r="M349" s="53"/>
      <c r="N349" s="27">
        <v>4</v>
      </c>
      <c r="O349" s="53"/>
      <c r="P349" s="28"/>
      <c r="Q349" s="27"/>
      <c r="R349" s="27"/>
      <c r="S349" s="112">
        <v>266</v>
      </c>
      <c r="T349" s="102">
        <v>931</v>
      </c>
      <c r="U349" s="102">
        <v>166</v>
      </c>
      <c r="V349" s="102"/>
      <c r="W349" s="53"/>
      <c r="X349" s="27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27"/>
      <c r="AM349" s="53"/>
      <c r="AP349" s="53"/>
      <c r="AX349" s="53"/>
      <c r="AY349" s="53"/>
      <c r="AZ349" s="53"/>
      <c r="BA349" s="27"/>
    </row>
    <row r="350" spans="2:53">
      <c r="B350" s="32"/>
      <c r="C350" s="53"/>
      <c r="D350" s="53"/>
      <c r="F350" s="53"/>
      <c r="G350" s="53"/>
      <c r="H350" s="53"/>
      <c r="I350" s="53"/>
      <c r="J350" s="53"/>
      <c r="K350" s="53"/>
      <c r="L350" s="53"/>
      <c r="M350" s="53"/>
      <c r="N350" s="27">
        <v>5</v>
      </c>
      <c r="O350" s="53"/>
      <c r="P350" s="28"/>
      <c r="Q350" s="27"/>
      <c r="R350" s="27"/>
      <c r="S350" s="112">
        <v>292</v>
      </c>
      <c r="T350" s="102">
        <v>1022</v>
      </c>
      <c r="U350" s="102">
        <v>182</v>
      </c>
      <c r="V350" s="102"/>
      <c r="W350" s="53"/>
      <c r="X350" s="27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27"/>
      <c r="AM350" s="53"/>
      <c r="AP350" s="53"/>
      <c r="AX350" s="53"/>
      <c r="AY350" s="53"/>
      <c r="AZ350" s="53"/>
      <c r="BA350" s="27"/>
    </row>
    <row r="351" spans="2:53">
      <c r="B351" s="32"/>
      <c r="C351" s="53"/>
      <c r="D351" s="53"/>
      <c r="F351" s="53"/>
      <c r="G351" s="53"/>
      <c r="H351" s="53"/>
      <c r="I351" s="53"/>
      <c r="J351" s="53"/>
      <c r="K351" s="53"/>
      <c r="L351" s="53"/>
      <c r="M351" s="53"/>
      <c r="N351" s="27">
        <v>6</v>
      </c>
      <c r="O351" s="53"/>
      <c r="P351" s="28"/>
      <c r="Q351" s="27"/>
      <c r="R351" s="27"/>
      <c r="S351" s="112">
        <v>320</v>
      </c>
      <c r="T351" s="102">
        <v>1120</v>
      </c>
      <c r="U351" s="102">
        <v>200</v>
      </c>
      <c r="V351" s="102"/>
      <c r="W351" s="53"/>
      <c r="X351" s="27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27"/>
      <c r="AM351" s="53"/>
      <c r="AP351" s="53"/>
      <c r="AX351" s="53"/>
      <c r="AY351" s="53"/>
      <c r="AZ351" s="53"/>
      <c r="BA351" s="27"/>
    </row>
    <row r="352" spans="2:53">
      <c r="B352" s="32"/>
      <c r="C352" s="53"/>
      <c r="D352" s="53"/>
      <c r="F352" s="53"/>
      <c r="G352" s="53"/>
      <c r="H352" s="53"/>
      <c r="I352" s="53"/>
      <c r="J352" s="53"/>
      <c r="K352" s="53"/>
      <c r="L352" s="53"/>
      <c r="M352" s="53"/>
      <c r="N352" s="27">
        <v>7</v>
      </c>
      <c r="O352" s="53"/>
      <c r="P352" s="28"/>
      <c r="Q352" s="27"/>
      <c r="R352" s="27"/>
      <c r="S352" s="112">
        <v>352</v>
      </c>
      <c r="T352" s="102">
        <v>1232</v>
      </c>
      <c r="U352" s="102">
        <v>220</v>
      </c>
      <c r="V352" s="102"/>
      <c r="W352" s="53"/>
      <c r="X352" s="27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27"/>
      <c r="AM352" s="53"/>
      <c r="AP352" s="53"/>
      <c r="AX352" s="53"/>
      <c r="AY352" s="53"/>
      <c r="AZ352" s="53"/>
      <c r="BA352" s="27"/>
    </row>
    <row r="353" spans="2:53">
      <c r="B353" s="32"/>
      <c r="C353" s="53"/>
      <c r="D353" s="53"/>
      <c r="F353" s="53"/>
      <c r="G353" s="53"/>
      <c r="H353" s="53"/>
      <c r="I353" s="53"/>
      <c r="J353" s="53"/>
      <c r="K353" s="53"/>
      <c r="L353" s="53"/>
      <c r="M353" s="53"/>
      <c r="N353" s="27">
        <v>8</v>
      </c>
      <c r="O353" s="53"/>
      <c r="P353" s="28"/>
      <c r="Q353" s="27"/>
      <c r="R353" s="27"/>
      <c r="S353" s="112">
        <v>384</v>
      </c>
      <c r="T353" s="102">
        <v>1344</v>
      </c>
      <c r="U353" s="102">
        <v>240</v>
      </c>
      <c r="V353" s="102"/>
      <c r="W353" s="53"/>
      <c r="X353" s="27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27"/>
      <c r="AM353" s="53"/>
      <c r="AP353" s="53"/>
      <c r="AX353" s="53"/>
      <c r="AY353" s="53"/>
      <c r="AZ353" s="53"/>
      <c r="BA353" s="27"/>
    </row>
    <row r="354" spans="2:53">
      <c r="B354" s="32">
        <v>29</v>
      </c>
      <c r="C354" s="53" t="str">
        <f t="shared" si="131"/>
        <v>公主</v>
      </c>
      <c r="D354" s="53" t="str">
        <f t="shared" si="132"/>
        <v>这位迷人的公主从远距离发射火焰箭。如果你看到她时感到很温暖，当心了，这可能是因为你身上着火了。</v>
      </c>
      <c r="F354" s="53">
        <f t="shared" ref="F354:L354" si="149">VLOOKUP($B354,一级属性,F$1,)</f>
        <v>1</v>
      </c>
      <c r="G354" s="53">
        <f t="shared" si="149"/>
        <v>7</v>
      </c>
      <c r="H354" s="53">
        <f t="shared" si="149"/>
        <v>1</v>
      </c>
      <c r="I354" s="53">
        <f t="shared" si="149"/>
        <v>245</v>
      </c>
      <c r="J354" s="53">
        <f t="shared" si="149"/>
        <v>3</v>
      </c>
      <c r="K354" s="53">
        <f t="shared" si="149"/>
        <v>1222</v>
      </c>
      <c r="L354" s="53">
        <f t="shared" si="149"/>
        <v>2201</v>
      </c>
      <c r="M354" s="53"/>
      <c r="N354" s="27">
        <v>1</v>
      </c>
      <c r="O354" s="53">
        <f t="shared" si="134"/>
        <v>3</v>
      </c>
      <c r="P354" s="28">
        <v>0</v>
      </c>
      <c r="Q354" s="27">
        <v>2</v>
      </c>
      <c r="R354" s="27">
        <v>2</v>
      </c>
      <c r="S354" s="112">
        <v>0</v>
      </c>
      <c r="T354" s="102">
        <v>216</v>
      </c>
      <c r="U354" s="102">
        <v>150</v>
      </c>
      <c r="V354" s="112">
        <v>0</v>
      </c>
      <c r="W354" s="53">
        <f t="shared" si="135"/>
        <v>200</v>
      </c>
      <c r="X354" s="53">
        <f t="shared" si="135"/>
        <v>3000</v>
      </c>
      <c r="Y354" s="53">
        <f t="shared" si="135"/>
        <v>42</v>
      </c>
      <c r="Z354" s="112">
        <v>0</v>
      </c>
      <c r="AA354" s="53">
        <f t="shared" si="135"/>
        <v>2</v>
      </c>
      <c r="AB354" s="53">
        <f t="shared" si="135"/>
        <v>20</v>
      </c>
      <c r="AC354" s="53">
        <f t="shared" si="135"/>
        <v>270</v>
      </c>
      <c r="AD354" s="53">
        <f t="shared" si="135"/>
        <v>9.5</v>
      </c>
      <c r="AE354" s="27">
        <v>0</v>
      </c>
      <c r="AF354" s="27">
        <v>0</v>
      </c>
      <c r="AG354" s="53">
        <f t="shared" si="135"/>
        <v>351</v>
      </c>
      <c r="AH354" s="53">
        <f t="shared" si="135"/>
        <v>75</v>
      </c>
      <c r="AI354" s="53">
        <f t="shared" si="135"/>
        <v>350</v>
      </c>
      <c r="AJ354" s="53">
        <f t="shared" si="135"/>
        <v>0</v>
      </c>
      <c r="AK354" s="27">
        <v>1</v>
      </c>
      <c r="AL354" s="27">
        <v>0</v>
      </c>
      <c r="AM354" s="53">
        <f t="shared" si="136"/>
        <v>0</v>
      </c>
      <c r="AN354" s="71">
        <v>0</v>
      </c>
      <c r="AO354" s="71">
        <v>0</v>
      </c>
      <c r="AP354" s="53">
        <f t="shared" si="137"/>
        <v>0</v>
      </c>
      <c r="AQ354" s="71">
        <v>0</v>
      </c>
      <c r="AR354" s="71">
        <v>0</v>
      </c>
      <c r="AS354" s="71">
        <v>0</v>
      </c>
      <c r="AT354" s="71">
        <v>0</v>
      </c>
      <c r="AU354" s="71">
        <v>0</v>
      </c>
      <c r="AV354" s="71">
        <v>0</v>
      </c>
      <c r="AW354" s="71">
        <v>0</v>
      </c>
      <c r="AX354" s="53">
        <f t="shared" si="138"/>
        <v>1000</v>
      </c>
      <c r="AY354" s="71">
        <v>0</v>
      </c>
      <c r="AZ354" s="71">
        <v>0</v>
      </c>
      <c r="BA354" s="27">
        <v>0</v>
      </c>
    </row>
    <row r="355" spans="2:53">
      <c r="N355" s="27">
        <v>2</v>
      </c>
      <c r="S355" s="102"/>
      <c r="T355" s="102">
        <v>237</v>
      </c>
      <c r="U355" s="102">
        <v>165</v>
      </c>
      <c r="V355" s="102"/>
      <c r="AL355" s="27"/>
    </row>
    <row r="356" spans="2:53">
      <c r="N356" s="27">
        <v>3</v>
      </c>
      <c r="S356" s="102"/>
      <c r="T356" s="102">
        <v>261</v>
      </c>
      <c r="U356" s="102">
        <v>181</v>
      </c>
      <c r="V356" s="102"/>
      <c r="AL356" s="27"/>
    </row>
    <row r="357" spans="2:53">
      <c r="N357" s="27">
        <v>4</v>
      </c>
      <c r="S357" s="102"/>
      <c r="T357" s="102">
        <v>287</v>
      </c>
      <c r="U357" s="102">
        <v>199</v>
      </c>
      <c r="V357" s="102"/>
      <c r="AL357" s="27"/>
    </row>
    <row r="358" spans="2:53">
      <c r="N358" s="27">
        <v>5</v>
      </c>
      <c r="S358" s="102"/>
      <c r="T358" s="102">
        <v>315</v>
      </c>
      <c r="U358" s="102">
        <v>219</v>
      </c>
      <c r="V358" s="102"/>
      <c r="AL358" s="2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_1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2</xdr:col>
                    <xdr:colOff>752475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4" name="Button 18">
              <controlPr defaultSize="0" print="0" autoFill="0" autoPict="0" macro="[0]!export_2">
                <anchor moveWithCells="1" sizeWithCells="1">
                  <from>
                    <xdr:col>2</xdr:col>
                    <xdr:colOff>104775</xdr:colOff>
                    <xdr:row>2</xdr:row>
                    <xdr:rowOff>0</xdr:rowOff>
                  </from>
                  <to>
                    <xdr:col>2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F118"/>
  <sheetViews>
    <sheetView workbookViewId="0">
      <pane xSplit="3" ySplit="6" topLeftCell="D82" activePane="bottomRight" state="frozen"/>
      <selection pane="topRight" activeCell="D1" sqref="D1"/>
      <selection pane="bottomLeft" activeCell="A7" sqref="A7"/>
      <selection pane="bottomRight" activeCell="E108" sqref="E108"/>
    </sheetView>
  </sheetViews>
  <sheetFormatPr defaultRowHeight="13.5"/>
  <cols>
    <col min="1" max="1" width="1.75" customWidth="1"/>
    <col min="2" max="2" width="4.625" customWidth="1"/>
    <col min="3" max="3" width="11.625" bestFit="1" customWidth="1"/>
    <col min="4" max="5" width="11.625" customWidth="1"/>
    <col min="6" max="6" width="8.25" customWidth="1"/>
    <col min="7" max="7" width="11.625" bestFit="1" customWidth="1"/>
    <col min="8" max="8" width="9.125" customWidth="1"/>
    <col min="9" max="9" width="8.375" customWidth="1"/>
    <col min="10" max="10" width="11.625" bestFit="1" customWidth="1"/>
    <col min="11" max="13" width="5.5" customWidth="1"/>
    <col min="14" max="14" width="7.375" customWidth="1"/>
    <col min="15" max="15" width="5.25" customWidth="1"/>
    <col min="23" max="26" width="7.25" customWidth="1"/>
  </cols>
  <sheetData>
    <row r="1" spans="1:31">
      <c r="A1" s="31"/>
      <c r="B1" s="36" t="s">
        <v>12</v>
      </c>
      <c r="C1" s="53">
        <f>MATCH(C6,一级属性!1:1,)</f>
        <v>2</v>
      </c>
      <c r="D1" s="53">
        <f>MATCH(D6,一级属性!1:1,)</f>
        <v>31</v>
      </c>
      <c r="E1" s="31"/>
      <c r="F1" s="53">
        <f>MATCH(F6,一级属性!1:1,)</f>
        <v>4</v>
      </c>
      <c r="G1" s="53">
        <f>MATCH(G6,一级属性!1:1,)</f>
        <v>5</v>
      </c>
      <c r="H1" s="53">
        <f>MATCH(H6,一级属性!1:1,)</f>
        <v>6</v>
      </c>
      <c r="I1" s="53">
        <f>MATCH(I6,一级属性!1:1,)</f>
        <v>7</v>
      </c>
      <c r="J1" s="53">
        <f>MATCH(J6,一级属性!1:1,)</f>
        <v>8</v>
      </c>
      <c r="K1" s="53">
        <f>MATCH(K6,一级属性!1:1,)</f>
        <v>10</v>
      </c>
      <c r="L1" s="53">
        <f>MATCH(L6,一级属性!1:1,)</f>
        <v>11</v>
      </c>
      <c r="M1" s="53"/>
      <c r="N1" s="31"/>
      <c r="O1" s="53">
        <f>MATCH(O6,一级属性!1:1,)</f>
        <v>9</v>
      </c>
      <c r="AC1" s="53">
        <f>MATCH(AC6,一级属性!1:1,)</f>
        <v>12</v>
      </c>
      <c r="AD1" s="29" t="s">
        <v>13</v>
      </c>
    </row>
    <row r="2" spans="1:31">
      <c r="A2" s="4"/>
      <c r="B2" s="2" t="s">
        <v>72</v>
      </c>
      <c r="C2" s="21" t="s">
        <v>25</v>
      </c>
      <c r="D2" s="39" t="s">
        <v>108</v>
      </c>
      <c r="E2" s="39" t="s">
        <v>109</v>
      </c>
      <c r="F2" s="15" t="s">
        <v>73</v>
      </c>
      <c r="G2" s="15" t="s">
        <v>94</v>
      </c>
      <c r="H2" s="15" t="s">
        <v>74</v>
      </c>
      <c r="I2" s="15" t="s">
        <v>75</v>
      </c>
      <c r="J2" s="15" t="s">
        <v>89</v>
      </c>
      <c r="K2" s="15" t="s">
        <v>252</v>
      </c>
      <c r="L2" s="15" t="s">
        <v>254</v>
      </c>
      <c r="M2" s="15" t="s">
        <v>806</v>
      </c>
      <c r="N2" s="21" t="s">
        <v>90</v>
      </c>
      <c r="O2" s="23" t="s">
        <v>26</v>
      </c>
      <c r="P2" s="5" t="s">
        <v>814</v>
      </c>
      <c r="Q2" s="5" t="s">
        <v>342</v>
      </c>
      <c r="R2" t="s">
        <v>343</v>
      </c>
      <c r="S2" t="s">
        <v>344</v>
      </c>
      <c r="T2" s="26" t="s">
        <v>126</v>
      </c>
      <c r="U2" s="26" t="s">
        <v>347</v>
      </c>
      <c r="V2" s="26" t="s">
        <v>348</v>
      </c>
      <c r="W2" t="s">
        <v>191</v>
      </c>
      <c r="X2" t="s">
        <v>192</v>
      </c>
      <c r="Y2" t="s">
        <v>193</v>
      </c>
      <c r="Z2" t="s">
        <v>354</v>
      </c>
      <c r="AA2" t="s">
        <v>195</v>
      </c>
      <c r="AB2" t="s">
        <v>800</v>
      </c>
      <c r="AC2" s="26" t="s">
        <v>204</v>
      </c>
      <c r="AD2" s="27" t="s">
        <v>223</v>
      </c>
    </row>
    <row r="3" spans="1:31">
      <c r="A3" s="4"/>
      <c r="B3" s="16" t="s">
        <v>14</v>
      </c>
      <c r="C3" s="18" t="s">
        <v>101</v>
      </c>
      <c r="D3" s="39" t="s">
        <v>110</v>
      </c>
      <c r="E3" s="39" t="s">
        <v>111</v>
      </c>
      <c r="F3" s="16" t="s">
        <v>14</v>
      </c>
      <c r="G3" s="16" t="s">
        <v>14</v>
      </c>
      <c r="H3" s="16" t="s">
        <v>14</v>
      </c>
      <c r="I3" s="18" t="s">
        <v>76</v>
      </c>
      <c r="J3" s="18" t="s">
        <v>104</v>
      </c>
      <c r="K3" s="39" t="s">
        <v>110</v>
      </c>
      <c r="L3" s="39" t="s">
        <v>110</v>
      </c>
      <c r="M3" t="s">
        <v>91</v>
      </c>
      <c r="N3" s="18" t="s">
        <v>105</v>
      </c>
      <c r="O3" s="18" t="s">
        <v>77</v>
      </c>
      <c r="P3" s="18" t="s">
        <v>345</v>
      </c>
      <c r="Q3" s="18" t="s">
        <v>345</v>
      </c>
      <c r="R3" s="18" t="s">
        <v>345</v>
      </c>
      <c r="S3" s="18" t="s">
        <v>345</v>
      </c>
      <c r="T3" t="s">
        <v>32</v>
      </c>
      <c r="U3" t="s">
        <v>32</v>
      </c>
      <c r="V3" t="s">
        <v>14</v>
      </c>
      <c r="W3" s="18" t="s">
        <v>345</v>
      </c>
      <c r="X3" s="18" t="s">
        <v>345</v>
      </c>
      <c r="Y3" s="18" t="s">
        <v>345</v>
      </c>
      <c r="Z3" s="18" t="s">
        <v>345</v>
      </c>
      <c r="AA3" s="18" t="s">
        <v>77</v>
      </c>
      <c r="AB3" s="18" t="s">
        <v>77</v>
      </c>
      <c r="AC3" t="s">
        <v>32</v>
      </c>
      <c r="AD3" s="18" t="s">
        <v>345</v>
      </c>
    </row>
    <row r="4" spans="1:31" ht="14.25">
      <c r="A4" s="4"/>
      <c r="B4" s="17" t="s">
        <v>15</v>
      </c>
      <c r="C4" s="17" t="s">
        <v>15</v>
      </c>
      <c r="D4" s="17" t="s">
        <v>15</v>
      </c>
      <c r="E4" s="17" t="s">
        <v>15</v>
      </c>
      <c r="F4" s="17" t="s">
        <v>15</v>
      </c>
      <c r="G4" s="17" t="s">
        <v>15</v>
      </c>
      <c r="H4" s="17" t="s">
        <v>15</v>
      </c>
      <c r="I4" s="17" t="s">
        <v>15</v>
      </c>
      <c r="J4" s="17" t="s">
        <v>15</v>
      </c>
      <c r="K4" s="17" t="s">
        <v>15</v>
      </c>
      <c r="L4" s="17" t="s">
        <v>15</v>
      </c>
      <c r="M4" t="s">
        <v>92</v>
      </c>
      <c r="N4" s="17" t="s">
        <v>15</v>
      </c>
      <c r="O4" s="17" t="s">
        <v>15</v>
      </c>
      <c r="P4" s="17" t="s">
        <v>15</v>
      </c>
      <c r="Q4" s="17" t="s">
        <v>15</v>
      </c>
      <c r="R4" s="17" t="s">
        <v>15</v>
      </c>
      <c r="S4" s="17" t="s">
        <v>15</v>
      </c>
      <c r="T4" s="17" t="s">
        <v>15</v>
      </c>
      <c r="U4" s="17" t="s">
        <v>15</v>
      </c>
      <c r="AB4" s="17" t="s">
        <v>15</v>
      </c>
      <c r="AC4" s="17" t="s">
        <v>15</v>
      </c>
      <c r="AD4" s="17" t="s">
        <v>15</v>
      </c>
    </row>
    <row r="5" spans="1:31">
      <c r="A5" s="31"/>
      <c r="B5" s="31" t="s">
        <v>16</v>
      </c>
      <c r="C5" s="31" t="s">
        <v>16</v>
      </c>
      <c r="D5" s="31" t="s">
        <v>16</v>
      </c>
      <c r="E5" s="31" t="s">
        <v>16</v>
      </c>
      <c r="F5" s="31" t="s">
        <v>16</v>
      </c>
      <c r="G5" s="31" t="s">
        <v>16</v>
      </c>
      <c r="H5" s="31" t="s">
        <v>16</v>
      </c>
      <c r="I5" s="31" t="s">
        <v>16</v>
      </c>
      <c r="J5" s="31" t="s">
        <v>16</v>
      </c>
      <c r="K5" t="s">
        <v>16</v>
      </c>
      <c r="L5" t="s">
        <v>16</v>
      </c>
      <c r="M5" t="s">
        <v>16</v>
      </c>
      <c r="N5" s="31" t="s">
        <v>16</v>
      </c>
      <c r="O5" t="s">
        <v>16</v>
      </c>
      <c r="P5" s="31" t="s">
        <v>16</v>
      </c>
      <c r="Q5" s="31" t="s">
        <v>16</v>
      </c>
      <c r="R5" s="31" t="s">
        <v>16</v>
      </c>
      <c r="S5" s="31" t="s">
        <v>16</v>
      </c>
      <c r="T5" t="s">
        <v>16</v>
      </c>
      <c r="U5" t="s">
        <v>16</v>
      </c>
      <c r="AB5" t="s">
        <v>16</v>
      </c>
      <c r="AC5" t="s">
        <v>16</v>
      </c>
      <c r="AD5" t="s">
        <v>16</v>
      </c>
    </row>
    <row r="6" spans="1:31" ht="42.75">
      <c r="A6" s="31"/>
      <c r="B6" s="29" t="s">
        <v>68</v>
      </c>
      <c r="C6" s="21" t="s">
        <v>113</v>
      </c>
      <c r="D6" s="21" t="s">
        <v>112</v>
      </c>
      <c r="E6" s="21" t="s">
        <v>114</v>
      </c>
      <c r="F6" s="22" t="s">
        <v>78</v>
      </c>
      <c r="G6" s="20" t="s">
        <v>79</v>
      </c>
      <c r="H6" s="20" t="s">
        <v>80</v>
      </c>
      <c r="I6" s="20" t="s">
        <v>81</v>
      </c>
      <c r="J6" s="20" t="s">
        <v>82</v>
      </c>
      <c r="K6" s="20" t="s">
        <v>251</v>
      </c>
      <c r="L6" s="20" t="s">
        <v>253</v>
      </c>
      <c r="M6" s="20" t="s">
        <v>796</v>
      </c>
      <c r="N6" s="21" t="s">
        <v>83</v>
      </c>
      <c r="O6" s="21" t="s">
        <v>84</v>
      </c>
      <c r="P6" s="60" t="s">
        <v>184</v>
      </c>
      <c r="Q6" s="60" t="s">
        <v>197</v>
      </c>
      <c r="R6" s="60" t="s">
        <v>346</v>
      </c>
      <c r="S6" s="5" t="s">
        <v>185</v>
      </c>
      <c r="T6" s="63" t="s">
        <v>351</v>
      </c>
      <c r="U6" s="63" t="s">
        <v>352</v>
      </c>
      <c r="V6" s="63" t="s">
        <v>353</v>
      </c>
      <c r="W6" s="55" t="s">
        <v>187</v>
      </c>
      <c r="X6" s="55" t="s">
        <v>188</v>
      </c>
      <c r="Y6" s="55" t="s">
        <v>189</v>
      </c>
      <c r="Z6" s="55" t="s">
        <v>355</v>
      </c>
      <c r="AA6" s="55" t="s">
        <v>190</v>
      </c>
      <c r="AB6" s="55" t="s">
        <v>801</v>
      </c>
      <c r="AC6" s="32" t="s">
        <v>196</v>
      </c>
      <c r="AD6" s="5" t="s">
        <v>186</v>
      </c>
      <c r="AE6" s="60" t="s">
        <v>356</v>
      </c>
    </row>
    <row r="7" spans="1:31">
      <c r="A7" s="130" t="s">
        <v>85</v>
      </c>
      <c r="B7" s="32">
        <v>101</v>
      </c>
      <c r="C7" s="53" t="str">
        <f>VLOOKUP($B7,一级属性,C$1,)</f>
        <v>万箭齐发</v>
      </c>
      <c r="D7" s="53" t="str">
        <f>VLOOKUP($B7,一级属性,D$1,)</f>
        <v>万箭齐发可以覆盖大片区域并对其中所有目标造成伤害。对酋长塔的伤害会大打折扣。</v>
      </c>
      <c r="E7" s="32"/>
      <c r="F7" s="53">
        <f t="shared" ref="F7:L7" si="0">VLOOKUP($B7,一级属性,F$1,)</f>
        <v>1</v>
      </c>
      <c r="G7" s="53">
        <f t="shared" si="0"/>
        <v>0</v>
      </c>
      <c r="H7" s="53">
        <f t="shared" si="0"/>
        <v>0</v>
      </c>
      <c r="I7" s="53">
        <f t="shared" si="0"/>
        <v>80</v>
      </c>
      <c r="J7" s="53">
        <f t="shared" si="0"/>
        <v>0</v>
      </c>
      <c r="K7" s="53">
        <f t="shared" si="0"/>
        <v>1401</v>
      </c>
      <c r="L7" s="53">
        <f t="shared" si="0"/>
        <v>2207</v>
      </c>
      <c r="M7" s="32">
        <v>1</v>
      </c>
      <c r="N7" s="5">
        <v>1</v>
      </c>
      <c r="O7" s="53">
        <f>VLOOKUP($B7,一级属性,O$1,)</f>
        <v>3</v>
      </c>
      <c r="P7" s="96">
        <v>0</v>
      </c>
      <c r="Q7" s="96">
        <v>0</v>
      </c>
      <c r="R7" s="106">
        <v>115</v>
      </c>
      <c r="S7" s="108">
        <v>46</v>
      </c>
      <c r="T7" s="96">
        <v>0</v>
      </c>
      <c r="U7" s="96">
        <v>0</v>
      </c>
      <c r="V7" s="96">
        <v>0</v>
      </c>
      <c r="W7" s="96">
        <v>0</v>
      </c>
      <c r="X7" s="96">
        <v>0</v>
      </c>
      <c r="Y7" s="96">
        <v>0</v>
      </c>
      <c r="Z7" s="96">
        <v>0</v>
      </c>
      <c r="AA7" s="96">
        <v>0</v>
      </c>
      <c r="AB7" s="96">
        <v>0</v>
      </c>
      <c r="AC7" s="53">
        <f>VLOOKUP($B7,一级属性,AC$1,)</f>
        <v>0</v>
      </c>
      <c r="AD7" s="35">
        <f>AE7*30</f>
        <v>120</v>
      </c>
      <c r="AE7" s="32">
        <v>4</v>
      </c>
    </row>
    <row r="8" spans="1:31">
      <c r="A8" s="131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5">
        <v>2</v>
      </c>
      <c r="O8" s="32"/>
      <c r="P8" s="5"/>
      <c r="Q8" s="5"/>
      <c r="R8" s="106">
        <v>126</v>
      </c>
      <c r="S8" s="108">
        <v>51</v>
      </c>
      <c r="T8" s="5"/>
      <c r="U8" s="5"/>
      <c r="V8" s="5"/>
      <c r="W8" s="5"/>
      <c r="X8" s="5"/>
      <c r="AC8" s="32"/>
      <c r="AD8" s="32"/>
      <c r="AE8" s="32"/>
    </row>
    <row r="9" spans="1:31">
      <c r="A9" s="131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5">
        <v>3</v>
      </c>
      <c r="O9" s="32"/>
      <c r="P9" s="5"/>
      <c r="Q9" s="5"/>
      <c r="R9" s="106">
        <v>139</v>
      </c>
      <c r="S9" s="108">
        <v>56</v>
      </c>
      <c r="T9" s="5"/>
      <c r="U9" s="5"/>
      <c r="V9" s="5"/>
      <c r="W9" s="5"/>
      <c r="X9" s="5"/>
      <c r="AC9" s="32"/>
      <c r="AD9" s="32"/>
      <c r="AE9" s="32"/>
    </row>
    <row r="10" spans="1:31">
      <c r="A10" s="13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5">
        <v>4</v>
      </c>
      <c r="O10" s="32"/>
      <c r="P10" s="5"/>
      <c r="Q10" s="5"/>
      <c r="R10" s="106">
        <v>152</v>
      </c>
      <c r="S10" s="108">
        <v>61</v>
      </c>
      <c r="T10" s="5"/>
      <c r="U10" s="5"/>
      <c r="V10" s="5"/>
      <c r="W10" s="5"/>
      <c r="X10" s="5"/>
      <c r="AC10" s="32"/>
      <c r="AD10" s="32"/>
      <c r="AE10" s="32"/>
    </row>
    <row r="11" spans="1:31">
      <c r="A11" s="13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5">
        <v>5</v>
      </c>
      <c r="O11" s="32"/>
      <c r="P11" s="5"/>
      <c r="Q11" s="5"/>
      <c r="R11" s="106">
        <v>168</v>
      </c>
      <c r="S11" s="108">
        <v>67</v>
      </c>
      <c r="T11" s="5"/>
      <c r="U11" s="5"/>
      <c r="V11" s="5"/>
      <c r="W11" s="5"/>
      <c r="X11" s="5"/>
      <c r="AC11" s="32"/>
      <c r="AD11" s="32"/>
      <c r="AE11" s="32"/>
    </row>
    <row r="12" spans="1:31">
      <c r="A12" s="13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5">
        <v>6</v>
      </c>
      <c r="O12" s="32"/>
      <c r="P12" s="5"/>
      <c r="Q12" s="5"/>
      <c r="R12" s="106">
        <v>184</v>
      </c>
      <c r="S12" s="108">
        <v>74</v>
      </c>
      <c r="T12" s="5"/>
      <c r="U12" s="5"/>
      <c r="V12" s="5"/>
      <c r="W12" s="5"/>
      <c r="X12" s="5"/>
      <c r="AC12" s="32"/>
      <c r="AD12" s="32"/>
      <c r="AE12" s="32"/>
    </row>
    <row r="13" spans="1:31">
      <c r="A13" s="13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5">
        <v>7</v>
      </c>
      <c r="O13" s="32"/>
      <c r="P13" s="5"/>
      <c r="Q13" s="5"/>
      <c r="R13" s="106">
        <v>202</v>
      </c>
      <c r="S13" s="108">
        <v>81</v>
      </c>
      <c r="T13" s="5"/>
      <c r="U13" s="5"/>
      <c r="V13" s="5"/>
      <c r="W13" s="5"/>
      <c r="X13" s="5"/>
      <c r="AC13" s="32"/>
      <c r="AD13" s="32"/>
      <c r="AE13" s="32"/>
    </row>
    <row r="14" spans="1:31">
      <c r="A14" s="131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5">
        <v>8</v>
      </c>
      <c r="O14" s="32"/>
      <c r="P14" s="5"/>
      <c r="Q14" s="5"/>
      <c r="R14" s="106">
        <v>221</v>
      </c>
      <c r="S14" s="108">
        <v>89</v>
      </c>
      <c r="T14" s="5"/>
      <c r="U14" s="5"/>
      <c r="V14" s="5"/>
      <c r="W14" s="5"/>
      <c r="X14" s="5"/>
      <c r="AC14" s="32"/>
      <c r="AD14" s="32"/>
      <c r="AE14" s="32"/>
    </row>
    <row r="15" spans="1:31">
      <c r="A15" s="131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5">
        <v>9</v>
      </c>
      <c r="O15" s="32"/>
      <c r="P15" s="5"/>
      <c r="Q15" s="5"/>
      <c r="R15" s="106">
        <v>243</v>
      </c>
      <c r="S15" s="108">
        <v>98</v>
      </c>
      <c r="T15" s="5"/>
      <c r="U15" s="5"/>
      <c r="V15" s="5"/>
      <c r="W15" s="5"/>
      <c r="X15" s="5"/>
      <c r="AC15" s="32"/>
      <c r="AD15" s="32"/>
      <c r="AE15" s="32"/>
    </row>
    <row r="16" spans="1:31">
      <c r="A16" s="131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5">
        <v>10</v>
      </c>
      <c r="O16" s="32"/>
      <c r="P16" s="5"/>
      <c r="Q16" s="5"/>
      <c r="R16" s="106">
        <v>268</v>
      </c>
      <c r="S16" s="108">
        <v>107</v>
      </c>
      <c r="T16" s="5"/>
      <c r="U16" s="5"/>
      <c r="V16" s="5"/>
      <c r="W16" s="5"/>
      <c r="X16" s="5"/>
      <c r="AC16" s="32"/>
      <c r="AD16" s="32"/>
      <c r="AE16" s="32"/>
    </row>
    <row r="17" spans="1:31">
      <c r="A17" s="131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5">
        <v>11</v>
      </c>
      <c r="O17" s="32"/>
      <c r="P17" s="5"/>
      <c r="Q17" s="5"/>
      <c r="R17" s="106">
        <v>295</v>
      </c>
      <c r="S17" s="108">
        <v>118</v>
      </c>
      <c r="T17" s="5"/>
      <c r="U17" s="5"/>
      <c r="V17" s="5"/>
      <c r="W17" s="5"/>
      <c r="X17" s="5"/>
      <c r="AC17" s="32"/>
      <c r="AD17" s="32"/>
      <c r="AE17" s="32"/>
    </row>
    <row r="18" spans="1:31">
      <c r="A18" s="131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5">
        <v>12</v>
      </c>
      <c r="O18" s="32"/>
      <c r="P18" s="5"/>
      <c r="Q18" s="5"/>
      <c r="R18" s="106">
        <v>323</v>
      </c>
      <c r="S18" s="108">
        <v>130</v>
      </c>
      <c r="T18" s="5"/>
      <c r="U18" s="5"/>
      <c r="V18" s="5"/>
      <c r="W18" s="5"/>
      <c r="X18" s="5"/>
      <c r="AC18" s="32"/>
      <c r="AD18" s="32"/>
      <c r="AE18" s="32"/>
    </row>
    <row r="19" spans="1:31">
      <c r="A19" s="131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5">
        <v>13</v>
      </c>
      <c r="O19" s="32"/>
      <c r="P19" s="5"/>
      <c r="Q19" s="5"/>
      <c r="R19" s="106">
        <v>355</v>
      </c>
      <c r="S19" s="108">
        <v>142</v>
      </c>
      <c r="T19" s="5"/>
      <c r="U19" s="5"/>
      <c r="V19" s="5"/>
      <c r="W19" s="5"/>
      <c r="X19" s="5"/>
      <c r="AC19" s="32"/>
      <c r="AD19" s="32"/>
      <c r="AE19" s="32"/>
    </row>
    <row r="20" spans="1:31">
      <c r="A20" s="131"/>
      <c r="B20" s="32">
        <v>102</v>
      </c>
      <c r="C20" s="53" t="str">
        <f>VLOOKUP($B20,一级属性,C$1,)</f>
        <v>电击术</v>
      </c>
      <c r="D20" s="53" t="str">
        <f>VLOOKUP($B20,一级属性,D$1,)</f>
        <v>电击可以瞬间电晕对目标单位，并在小范围内造成伤害。对酋长塔的伤害会大打折扣。</v>
      </c>
      <c r="E20" s="33"/>
      <c r="F20" s="53">
        <f t="shared" ref="F20:L20" si="1">VLOOKUP($B20,一级属性,F$1,)</f>
        <v>1</v>
      </c>
      <c r="G20" s="53">
        <f t="shared" si="1"/>
        <v>5</v>
      </c>
      <c r="H20" s="53">
        <f t="shared" si="1"/>
        <v>0</v>
      </c>
      <c r="I20" s="53">
        <f t="shared" si="1"/>
        <v>185</v>
      </c>
      <c r="J20" s="53">
        <f t="shared" si="1"/>
        <v>0</v>
      </c>
      <c r="K20" s="53">
        <f t="shared" si="1"/>
        <v>1406</v>
      </c>
      <c r="L20" s="53">
        <f t="shared" si="1"/>
        <v>2207</v>
      </c>
      <c r="M20" s="32">
        <v>1</v>
      </c>
      <c r="N20" s="5">
        <v>1</v>
      </c>
      <c r="O20" s="53">
        <f>VLOOKUP($B20,一级属性,O$1,)</f>
        <v>2</v>
      </c>
      <c r="P20" s="96">
        <v>0</v>
      </c>
      <c r="Q20" s="96">
        <v>0</v>
      </c>
      <c r="R20" s="106">
        <v>80</v>
      </c>
      <c r="S20" s="106">
        <v>32</v>
      </c>
      <c r="T20" s="96">
        <v>0</v>
      </c>
      <c r="U20" s="96">
        <v>0</v>
      </c>
      <c r="V20" s="96">
        <v>0</v>
      </c>
      <c r="W20" s="96">
        <v>0</v>
      </c>
      <c r="X20" s="96">
        <v>0</v>
      </c>
      <c r="Y20" s="96">
        <v>0</v>
      </c>
      <c r="Z20" s="96">
        <v>0</v>
      </c>
      <c r="AA20" s="27">
        <v>1000</v>
      </c>
      <c r="AB20" s="27">
        <v>0</v>
      </c>
      <c r="AC20" s="53">
        <f>VLOOKUP($B20,一级属性,AC$1,)</f>
        <v>0</v>
      </c>
      <c r="AD20" s="35">
        <f>AE20*30</f>
        <v>75</v>
      </c>
      <c r="AE20" s="32">
        <v>2.5</v>
      </c>
    </row>
    <row r="21" spans="1:31">
      <c r="A21" s="131"/>
      <c r="B21" s="32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5">
        <v>2</v>
      </c>
      <c r="O21" s="33"/>
      <c r="P21" s="5"/>
      <c r="Q21" s="5"/>
      <c r="R21" s="106">
        <v>88</v>
      </c>
      <c r="S21" s="106">
        <v>36</v>
      </c>
      <c r="U21" s="5"/>
      <c r="V21" s="5"/>
      <c r="W21" s="5"/>
      <c r="X21" s="5"/>
      <c r="AA21" s="27">
        <v>1000</v>
      </c>
      <c r="AB21" s="27"/>
      <c r="AC21" s="33"/>
      <c r="AD21" s="32"/>
      <c r="AE21" s="32"/>
    </row>
    <row r="22" spans="1:31">
      <c r="A22" s="131"/>
      <c r="B22" s="32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5">
        <v>3</v>
      </c>
      <c r="O22" s="33"/>
      <c r="P22" s="5"/>
      <c r="Q22" s="5"/>
      <c r="R22" s="106">
        <v>96</v>
      </c>
      <c r="S22" s="106">
        <v>39</v>
      </c>
      <c r="U22" s="5"/>
      <c r="V22" s="5"/>
      <c r="W22" s="5"/>
      <c r="X22" s="5"/>
      <c r="AA22" s="27">
        <v>1000</v>
      </c>
      <c r="AB22" s="27"/>
      <c r="AC22" s="33"/>
      <c r="AD22" s="32"/>
      <c r="AE22" s="32"/>
    </row>
    <row r="23" spans="1:31">
      <c r="A23" s="131"/>
      <c r="B23" s="32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5">
        <v>4</v>
      </c>
      <c r="O23" s="33"/>
      <c r="P23" s="5"/>
      <c r="Q23" s="5"/>
      <c r="R23" s="106">
        <v>106</v>
      </c>
      <c r="S23" s="106">
        <v>43</v>
      </c>
      <c r="U23" s="5"/>
      <c r="V23" s="5"/>
      <c r="W23" s="5"/>
      <c r="X23" s="5"/>
      <c r="AA23" s="27">
        <v>1000</v>
      </c>
      <c r="AB23" s="27"/>
      <c r="AC23" s="33"/>
      <c r="AD23" s="32"/>
      <c r="AE23" s="32"/>
    </row>
    <row r="24" spans="1:31">
      <c r="A24" s="131"/>
      <c r="B24" s="32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5">
        <v>5</v>
      </c>
      <c r="O24" s="33"/>
      <c r="P24" s="5"/>
      <c r="Q24" s="5"/>
      <c r="R24" s="106">
        <v>116</v>
      </c>
      <c r="S24" s="106">
        <v>47</v>
      </c>
      <c r="U24" s="5"/>
      <c r="V24" s="5"/>
      <c r="W24" s="5"/>
      <c r="X24" s="5"/>
      <c r="Y24" s="5"/>
      <c r="Z24" s="5"/>
      <c r="AA24" s="5">
        <v>1000</v>
      </c>
      <c r="AB24" s="5"/>
      <c r="AC24" s="33"/>
      <c r="AD24" s="32"/>
      <c r="AE24" s="32"/>
    </row>
    <row r="25" spans="1:31">
      <c r="A25" s="131"/>
      <c r="B25" s="32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5">
        <v>6</v>
      </c>
      <c r="O25" s="33"/>
      <c r="P25" s="5"/>
      <c r="Q25" s="5"/>
      <c r="R25" s="106">
        <v>128</v>
      </c>
      <c r="S25" s="106">
        <v>52</v>
      </c>
      <c r="U25" s="5"/>
      <c r="V25" s="5"/>
      <c r="W25" s="5"/>
      <c r="X25" s="5"/>
      <c r="Y25" s="5"/>
      <c r="Z25" s="5"/>
      <c r="AA25" s="5">
        <v>1000</v>
      </c>
      <c r="AB25" s="5"/>
      <c r="AC25" s="33"/>
      <c r="AD25" s="32"/>
      <c r="AE25" s="32"/>
    </row>
    <row r="26" spans="1:31">
      <c r="A26" s="131"/>
      <c r="B26" s="32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5">
        <v>7</v>
      </c>
      <c r="O26" s="33"/>
      <c r="P26" s="5"/>
      <c r="Q26" s="5"/>
      <c r="R26" s="106">
        <v>140</v>
      </c>
      <c r="S26" s="106">
        <v>56</v>
      </c>
      <c r="U26" s="5"/>
      <c r="V26" s="5"/>
      <c r="W26" s="5"/>
      <c r="X26" s="5"/>
      <c r="Y26" s="5"/>
      <c r="Z26" s="5"/>
      <c r="AA26" s="5">
        <v>1000</v>
      </c>
      <c r="AB26" s="5"/>
      <c r="AC26" s="33"/>
      <c r="AD26" s="32"/>
      <c r="AE26" s="32"/>
    </row>
    <row r="27" spans="1:31">
      <c r="A27" s="131"/>
      <c r="B27" s="32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5">
        <v>8</v>
      </c>
      <c r="O27" s="33"/>
      <c r="P27" s="5"/>
      <c r="Q27" s="5"/>
      <c r="R27" s="106">
        <v>154</v>
      </c>
      <c r="S27" s="106">
        <v>62</v>
      </c>
      <c r="U27" s="5"/>
      <c r="V27" s="5"/>
      <c r="W27" s="5"/>
      <c r="X27" s="5"/>
      <c r="Y27" s="5"/>
      <c r="Z27" s="5"/>
      <c r="AA27" s="5">
        <v>1000</v>
      </c>
      <c r="AB27" s="5"/>
      <c r="AC27" s="33"/>
      <c r="AD27" s="32"/>
      <c r="AE27" s="32"/>
    </row>
    <row r="28" spans="1:31">
      <c r="A28" s="131"/>
      <c r="B28" s="32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5">
        <v>9</v>
      </c>
      <c r="O28" s="33"/>
      <c r="P28" s="5"/>
      <c r="Q28" s="5"/>
      <c r="R28" s="106">
        <v>169</v>
      </c>
      <c r="S28" s="106">
        <v>68</v>
      </c>
      <c r="U28" s="5"/>
      <c r="V28" s="5"/>
      <c r="W28" s="5"/>
      <c r="X28" s="5"/>
      <c r="Y28" s="5"/>
      <c r="Z28" s="5"/>
      <c r="AA28" s="5">
        <v>1000</v>
      </c>
      <c r="AB28" s="5"/>
      <c r="AC28" s="33"/>
      <c r="AD28" s="32"/>
      <c r="AE28" s="32"/>
    </row>
    <row r="29" spans="1:31">
      <c r="A29" s="131"/>
      <c r="B29" s="32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5">
        <v>10</v>
      </c>
      <c r="O29" s="33"/>
      <c r="P29" s="5"/>
      <c r="Q29" s="5"/>
      <c r="R29" s="106">
        <v>186</v>
      </c>
      <c r="S29" s="106">
        <v>75</v>
      </c>
      <c r="U29" s="5"/>
      <c r="V29" s="5"/>
      <c r="W29" s="5"/>
      <c r="X29" s="5"/>
      <c r="Y29" s="5"/>
      <c r="Z29" s="5"/>
      <c r="AA29" s="5">
        <v>1000</v>
      </c>
      <c r="AB29" s="5"/>
      <c r="AC29" s="33"/>
      <c r="AD29" s="32"/>
      <c r="AE29" s="32"/>
    </row>
    <row r="30" spans="1:31">
      <c r="A30" s="131"/>
      <c r="B30" s="32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5">
        <v>11</v>
      </c>
      <c r="O30" s="33"/>
      <c r="P30" s="5"/>
      <c r="Q30" s="5"/>
      <c r="R30" s="106">
        <v>204</v>
      </c>
      <c r="S30" s="106">
        <v>82</v>
      </c>
      <c r="U30" s="5"/>
      <c r="V30" s="5"/>
      <c r="W30" s="5"/>
      <c r="X30" s="5"/>
      <c r="Y30" s="5"/>
      <c r="Z30" s="5"/>
      <c r="AA30" s="5">
        <v>1000</v>
      </c>
      <c r="AB30" s="5"/>
      <c r="AC30" s="33"/>
      <c r="AD30" s="32"/>
      <c r="AE30" s="32"/>
    </row>
    <row r="31" spans="1:31">
      <c r="A31" s="131"/>
      <c r="B31" s="32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5">
        <v>12</v>
      </c>
      <c r="O31" s="33"/>
      <c r="P31" s="5"/>
      <c r="Q31" s="5"/>
      <c r="R31" s="106">
        <v>224</v>
      </c>
      <c r="S31" s="106">
        <v>90</v>
      </c>
      <c r="U31" s="5"/>
      <c r="V31" s="5"/>
      <c r="W31" s="5"/>
      <c r="X31" s="5"/>
      <c r="Y31" s="5"/>
      <c r="Z31" s="5"/>
      <c r="AA31" s="5">
        <v>1000</v>
      </c>
      <c r="AB31" s="5"/>
      <c r="AC31" s="33"/>
      <c r="AD31" s="32"/>
      <c r="AE31" s="32"/>
    </row>
    <row r="32" spans="1:31">
      <c r="A32" s="131"/>
      <c r="B32" s="32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5">
        <v>13</v>
      </c>
      <c r="O32" s="33"/>
      <c r="P32" s="5"/>
      <c r="Q32" s="5"/>
      <c r="R32" s="106">
        <v>247</v>
      </c>
      <c r="S32" s="106">
        <v>99</v>
      </c>
      <c r="U32" s="5"/>
      <c r="V32" s="5"/>
      <c r="W32" s="5"/>
      <c r="X32" s="5"/>
      <c r="Y32" s="5"/>
      <c r="Z32" s="5"/>
      <c r="AA32" s="5">
        <v>1000</v>
      </c>
      <c r="AB32" s="5"/>
      <c r="AC32" s="33"/>
      <c r="AD32" s="32"/>
      <c r="AE32" s="32"/>
    </row>
    <row r="33" spans="1:31">
      <c r="A33" s="131"/>
      <c r="B33" s="32">
        <v>106</v>
      </c>
      <c r="C33" s="53" t="str">
        <f>VLOOKUP($B33,一级属性,C$1,)</f>
        <v>冰冻术</v>
      </c>
      <c r="D33" s="53" t="str">
        <f>VLOOKUP($B33,一级属性,D$1,)</f>
        <v>冻结军队和建筑，使其无法移动或攻击。夏天同样有效！</v>
      </c>
      <c r="E33" s="32"/>
      <c r="F33" s="53">
        <f t="shared" ref="F33:L33" si="2">VLOOKUP($B33,一级属性,F$1,)</f>
        <v>1</v>
      </c>
      <c r="G33" s="53">
        <f t="shared" si="2"/>
        <v>4</v>
      </c>
      <c r="H33" s="53">
        <f t="shared" si="2"/>
        <v>1</v>
      </c>
      <c r="I33" s="53">
        <f t="shared" si="2"/>
        <v>180</v>
      </c>
      <c r="J33" s="53">
        <f t="shared" si="2"/>
        <v>2</v>
      </c>
      <c r="K33" s="53">
        <f t="shared" si="2"/>
        <v>1404</v>
      </c>
      <c r="L33" s="53">
        <f t="shared" si="2"/>
        <v>2207</v>
      </c>
      <c r="M33" s="32">
        <v>0</v>
      </c>
      <c r="N33" s="5">
        <v>1</v>
      </c>
      <c r="O33" s="53">
        <f>VLOOKUP($B33,一级属性,O$1,)</f>
        <v>4</v>
      </c>
      <c r="P33" s="32">
        <v>5000</v>
      </c>
      <c r="Q33" s="96">
        <v>0</v>
      </c>
      <c r="R33" s="96">
        <v>0</v>
      </c>
      <c r="S33" s="96">
        <v>0</v>
      </c>
      <c r="T33" s="96">
        <v>0</v>
      </c>
      <c r="U33" s="96">
        <v>0</v>
      </c>
      <c r="V33" s="96">
        <v>0</v>
      </c>
      <c r="W33" s="96">
        <v>0</v>
      </c>
      <c r="X33" s="96">
        <v>0</v>
      </c>
      <c r="Y33" s="96">
        <v>0</v>
      </c>
      <c r="Z33" s="96">
        <v>0</v>
      </c>
      <c r="AA33" s="96">
        <v>0</v>
      </c>
      <c r="AB33" s="96">
        <v>0</v>
      </c>
      <c r="AC33" s="53">
        <f>VLOOKUP($B33,一级属性,AC$1,)</f>
        <v>0</v>
      </c>
      <c r="AD33" s="35">
        <f>AE33*30</f>
        <v>90</v>
      </c>
      <c r="AE33" s="32">
        <v>3</v>
      </c>
    </row>
    <row r="34" spans="1:31">
      <c r="A34" s="131"/>
      <c r="B34" s="3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5">
        <v>2</v>
      </c>
      <c r="O34" s="4"/>
      <c r="P34" s="32">
        <v>5300</v>
      </c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4"/>
      <c r="AD34" s="32"/>
      <c r="AE34" s="32"/>
    </row>
    <row r="35" spans="1:31">
      <c r="A35" s="131"/>
      <c r="B35" s="32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5">
        <v>3</v>
      </c>
      <c r="O35" s="4"/>
      <c r="P35" s="32">
        <v>5600</v>
      </c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4"/>
      <c r="AD35" s="32"/>
      <c r="AE35" s="32"/>
    </row>
    <row r="36" spans="1:31">
      <c r="A36" s="131"/>
      <c r="B36" s="32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5">
        <v>4</v>
      </c>
      <c r="O36" s="4"/>
      <c r="P36" s="32">
        <v>5900</v>
      </c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4"/>
      <c r="AD36" s="32"/>
      <c r="AE36" s="32"/>
    </row>
    <row r="37" spans="1:31">
      <c r="A37" s="131"/>
      <c r="B37" s="32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5">
        <v>5</v>
      </c>
      <c r="O37" s="4"/>
      <c r="P37" s="32">
        <v>6200</v>
      </c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4"/>
      <c r="AD37" s="32"/>
      <c r="AE37" s="32"/>
    </row>
    <row r="38" spans="1:31">
      <c r="A38" s="131"/>
      <c r="B38" s="32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5">
        <v>6</v>
      </c>
      <c r="O38" s="4"/>
      <c r="P38" s="32">
        <v>6500</v>
      </c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4"/>
      <c r="AD38" s="32"/>
      <c r="AE38" s="32"/>
    </row>
    <row r="39" spans="1:31">
      <c r="A39" s="131"/>
      <c r="B39" s="32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5">
        <v>7</v>
      </c>
      <c r="O39" s="4"/>
      <c r="P39" s="32">
        <v>6800</v>
      </c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4"/>
      <c r="AD39" s="32"/>
      <c r="AE39" s="32"/>
    </row>
    <row r="40" spans="1:31">
      <c r="A40" s="131"/>
      <c r="B40" s="32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5">
        <v>8</v>
      </c>
      <c r="O40" s="4"/>
      <c r="P40" s="32">
        <v>7100</v>
      </c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4"/>
      <c r="AD40" s="32"/>
      <c r="AE40" s="32"/>
    </row>
    <row r="41" spans="1:31">
      <c r="A41" s="131"/>
      <c r="B41" s="32">
        <v>107</v>
      </c>
      <c r="C41" s="53" t="str">
        <f>VLOOKUP($B41,一级属性,C$1,)</f>
        <v>镜像术</v>
      </c>
      <c r="D41" s="53" t="str">
        <f>VLOOKUP($B41,一级属性,D$1,)</f>
        <v>花费额外一格能量复制您用的上一张牌。</v>
      </c>
      <c r="E41" s="32"/>
      <c r="F41" s="53">
        <f t="shared" ref="F41:L41" si="3">VLOOKUP($B41,一级属性,F$1,)</f>
        <v>1</v>
      </c>
      <c r="G41" s="53">
        <f t="shared" si="3"/>
        <v>5</v>
      </c>
      <c r="H41" s="53">
        <f t="shared" si="3"/>
        <v>1</v>
      </c>
      <c r="I41" s="53">
        <f t="shared" si="3"/>
        <v>200</v>
      </c>
      <c r="J41" s="53">
        <f t="shared" si="3"/>
        <v>2</v>
      </c>
      <c r="K41" s="53">
        <f t="shared" si="3"/>
        <v>1405</v>
      </c>
      <c r="L41" s="53">
        <f t="shared" si="3"/>
        <v>2207</v>
      </c>
      <c r="M41" s="32">
        <v>0</v>
      </c>
      <c r="N41" s="5">
        <v>1</v>
      </c>
      <c r="O41" s="53">
        <f>VLOOKUP($B41,一级属性,O$1,)</f>
        <v>998</v>
      </c>
      <c r="P41" s="96">
        <v>0</v>
      </c>
      <c r="Q41" s="96">
        <v>0</v>
      </c>
      <c r="R41" s="96">
        <v>0</v>
      </c>
      <c r="S41" s="96">
        <v>0</v>
      </c>
      <c r="T41" s="96">
        <v>0</v>
      </c>
      <c r="U41" s="96">
        <v>0</v>
      </c>
      <c r="V41" s="96">
        <v>0</v>
      </c>
      <c r="W41" s="32">
        <v>6</v>
      </c>
      <c r="X41" s="32">
        <v>4</v>
      </c>
      <c r="Y41" s="32">
        <v>1</v>
      </c>
      <c r="Z41" s="32">
        <v>1</v>
      </c>
      <c r="AA41" s="96">
        <v>0</v>
      </c>
      <c r="AB41" s="96">
        <v>0</v>
      </c>
      <c r="AC41" s="53">
        <f>VLOOKUP($B41,一级属性,AC$1,)</f>
        <v>0</v>
      </c>
      <c r="AD41" s="35">
        <f>AE41*30</f>
        <v>0</v>
      </c>
      <c r="AE41" s="34">
        <v>0</v>
      </c>
    </row>
    <row r="42" spans="1:31">
      <c r="A42" s="131"/>
      <c r="B42" s="32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5">
        <v>2</v>
      </c>
      <c r="O42" s="4"/>
      <c r="P42" s="5"/>
      <c r="Q42" s="5"/>
      <c r="R42" s="5"/>
      <c r="S42" s="5"/>
      <c r="T42" s="5"/>
      <c r="U42" s="5"/>
      <c r="V42" s="5"/>
      <c r="W42" s="32">
        <v>7</v>
      </c>
      <c r="X42" s="32">
        <v>5</v>
      </c>
      <c r="Y42" s="32">
        <v>2</v>
      </c>
      <c r="Z42" s="32">
        <v>1</v>
      </c>
      <c r="AA42" s="5"/>
      <c r="AB42" s="5"/>
      <c r="AC42" s="4"/>
      <c r="AD42" s="32"/>
      <c r="AE42" s="32"/>
    </row>
    <row r="43" spans="1:31">
      <c r="A43" s="131"/>
      <c r="B43" s="32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5">
        <v>3</v>
      </c>
      <c r="O43" s="4"/>
      <c r="P43" s="5"/>
      <c r="Q43" s="5"/>
      <c r="R43" s="5"/>
      <c r="S43" s="5"/>
      <c r="T43" s="5"/>
      <c r="U43" s="5"/>
      <c r="V43" s="5"/>
      <c r="W43" s="32">
        <v>8</v>
      </c>
      <c r="X43" s="32">
        <v>6</v>
      </c>
      <c r="Y43" s="32">
        <v>3</v>
      </c>
      <c r="Z43" s="32">
        <v>1</v>
      </c>
      <c r="AA43" s="5"/>
      <c r="AB43" s="5"/>
      <c r="AC43" s="4"/>
      <c r="AD43" s="32"/>
      <c r="AE43" s="32"/>
    </row>
    <row r="44" spans="1:31">
      <c r="A44" s="131"/>
      <c r="B44" s="32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5">
        <v>4</v>
      </c>
      <c r="O44" s="4"/>
      <c r="P44" s="5"/>
      <c r="Q44" s="5"/>
      <c r="R44" s="5"/>
      <c r="S44" s="5"/>
      <c r="T44" s="5"/>
      <c r="U44" s="5"/>
      <c r="V44" s="5"/>
      <c r="W44" s="32">
        <v>9</v>
      </c>
      <c r="X44" s="32">
        <v>7</v>
      </c>
      <c r="Y44" s="32">
        <v>4</v>
      </c>
      <c r="Z44" s="32">
        <v>1</v>
      </c>
      <c r="AA44" s="5"/>
      <c r="AB44" s="5"/>
      <c r="AC44" s="4"/>
      <c r="AD44" s="32"/>
      <c r="AE44" s="32"/>
    </row>
    <row r="45" spans="1:31">
      <c r="A45" s="131"/>
      <c r="B45" s="32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5">
        <v>5</v>
      </c>
      <c r="O45" s="4"/>
      <c r="P45" s="5"/>
      <c r="Q45" s="5"/>
      <c r="R45" s="5"/>
      <c r="S45" s="5"/>
      <c r="T45" s="5"/>
      <c r="U45" s="5"/>
      <c r="V45" s="5"/>
      <c r="W45" s="32">
        <v>10</v>
      </c>
      <c r="X45" s="32">
        <v>8</v>
      </c>
      <c r="Y45" s="32">
        <v>5</v>
      </c>
      <c r="Z45" s="32">
        <v>2</v>
      </c>
      <c r="AA45" s="5"/>
      <c r="AB45" s="5"/>
      <c r="AC45" s="4"/>
      <c r="AD45" s="32"/>
      <c r="AE45" s="32"/>
    </row>
    <row r="46" spans="1:31">
      <c r="A46" s="131"/>
      <c r="B46" s="32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5">
        <v>6</v>
      </c>
      <c r="O46" s="4"/>
      <c r="P46" s="5"/>
      <c r="Q46" s="5"/>
      <c r="R46" s="5"/>
      <c r="S46" s="5"/>
      <c r="T46" s="5"/>
      <c r="U46" s="5"/>
      <c r="V46" s="5"/>
      <c r="W46" s="32">
        <v>11</v>
      </c>
      <c r="X46" s="32">
        <v>9</v>
      </c>
      <c r="Y46" s="32">
        <v>6</v>
      </c>
      <c r="Z46" s="32">
        <v>3</v>
      </c>
      <c r="AA46" s="5"/>
      <c r="AB46" s="5"/>
      <c r="AC46" s="4"/>
      <c r="AD46" s="32"/>
      <c r="AE46" s="32"/>
    </row>
    <row r="47" spans="1:31">
      <c r="A47" s="131"/>
      <c r="B47" s="32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5">
        <v>7</v>
      </c>
      <c r="O47" s="4"/>
      <c r="P47" s="5"/>
      <c r="Q47" s="5"/>
      <c r="R47" s="5"/>
      <c r="S47" s="5"/>
      <c r="T47" s="5"/>
      <c r="U47" s="5"/>
      <c r="V47" s="5"/>
      <c r="W47" s="32">
        <v>12</v>
      </c>
      <c r="X47" s="32">
        <v>10</v>
      </c>
      <c r="Y47" s="32">
        <v>7</v>
      </c>
      <c r="Z47" s="32">
        <v>4</v>
      </c>
      <c r="AA47" s="5"/>
      <c r="AB47" s="5"/>
      <c r="AC47" s="4"/>
      <c r="AD47" s="32"/>
      <c r="AE47" s="32"/>
    </row>
    <row r="48" spans="1:31">
      <c r="A48" s="131"/>
      <c r="B48" s="32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5">
        <v>8</v>
      </c>
      <c r="O48" s="4"/>
      <c r="P48" s="5"/>
      <c r="Q48" s="5"/>
      <c r="R48" s="5"/>
      <c r="S48" s="5"/>
      <c r="T48" s="5"/>
      <c r="U48" s="5"/>
      <c r="V48" s="5"/>
      <c r="W48" s="32">
        <v>13</v>
      </c>
      <c r="X48" s="32">
        <v>11</v>
      </c>
      <c r="Y48" s="32">
        <v>8</v>
      </c>
      <c r="Z48" s="32">
        <v>5</v>
      </c>
      <c r="AA48" s="5"/>
      <c r="AB48" s="5"/>
      <c r="AC48" s="4"/>
      <c r="AD48" s="32"/>
      <c r="AE48" s="32"/>
    </row>
    <row r="49" spans="1:31">
      <c r="A49" s="131"/>
      <c r="B49" s="32">
        <v>108</v>
      </c>
      <c r="C49" s="53" t="str">
        <f>VLOOKUP($B49,一级属性,C$1,)</f>
        <v>狂暴术</v>
      </c>
      <c r="D49" s="53" t="str">
        <f>VLOOKUP($B49,一级属性,D$1,)</f>
        <v>提高军队的移动和攻击速度，还可以让出兵建筑和召唤师更快地部署部队。</v>
      </c>
      <c r="E49" s="32"/>
      <c r="F49" s="53">
        <f t="shared" ref="F49:L49" si="4">VLOOKUP($B49,一级属性,F$1,)</f>
        <v>1</v>
      </c>
      <c r="G49" s="53">
        <f t="shared" si="4"/>
        <v>3</v>
      </c>
      <c r="H49" s="53">
        <f t="shared" si="4"/>
        <v>1</v>
      </c>
      <c r="I49" s="53">
        <f t="shared" si="4"/>
        <v>150</v>
      </c>
      <c r="J49" s="53">
        <f t="shared" si="4"/>
        <v>2</v>
      </c>
      <c r="K49" s="53">
        <f t="shared" si="4"/>
        <v>1407</v>
      </c>
      <c r="L49" s="53">
        <f t="shared" si="4"/>
        <v>2207</v>
      </c>
      <c r="M49" s="32">
        <v>0</v>
      </c>
      <c r="N49" s="5">
        <v>1</v>
      </c>
      <c r="O49" s="53">
        <f>VLOOKUP($B49,一级属性,O$1,)</f>
        <v>3</v>
      </c>
      <c r="P49" s="32">
        <v>8000</v>
      </c>
      <c r="Q49" s="5">
        <v>2000</v>
      </c>
      <c r="R49" s="96">
        <v>0</v>
      </c>
      <c r="S49" s="96">
        <v>0</v>
      </c>
      <c r="T49" s="96">
        <v>0</v>
      </c>
      <c r="U49" s="96">
        <v>0</v>
      </c>
      <c r="V49" s="96">
        <v>0</v>
      </c>
      <c r="W49" s="96">
        <v>0</v>
      </c>
      <c r="X49" s="96">
        <v>0</v>
      </c>
      <c r="Y49" s="96">
        <v>0</v>
      </c>
      <c r="Z49" s="96">
        <v>0</v>
      </c>
      <c r="AA49" s="96">
        <v>0</v>
      </c>
      <c r="AB49" s="96">
        <v>0</v>
      </c>
      <c r="AC49" s="53">
        <f>VLOOKUP($B49,一级属性,AC$1,)</f>
        <v>0</v>
      </c>
      <c r="AD49" s="35">
        <f>AE49*30</f>
        <v>150</v>
      </c>
      <c r="AE49" s="32">
        <v>5</v>
      </c>
    </row>
    <row r="50" spans="1:31">
      <c r="A50" s="131"/>
      <c r="B50" s="32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5">
        <v>2</v>
      </c>
      <c r="O50" s="4"/>
      <c r="P50" s="32">
        <v>8500</v>
      </c>
      <c r="Q50" s="5">
        <v>2000</v>
      </c>
      <c r="R50" s="5"/>
      <c r="S50" s="5"/>
      <c r="T50" s="5"/>
      <c r="U50" s="5"/>
      <c r="V50" s="5"/>
      <c r="W50" s="5"/>
      <c r="X50" s="5"/>
      <c r="Y50" s="5"/>
      <c r="Z50" s="5"/>
      <c r="AC50" s="4"/>
      <c r="AD50" s="32"/>
      <c r="AE50" s="32"/>
    </row>
    <row r="51" spans="1:31">
      <c r="A51" s="131"/>
      <c r="B51" s="32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5">
        <v>3</v>
      </c>
      <c r="O51" s="4"/>
      <c r="P51" s="32">
        <v>9000</v>
      </c>
      <c r="Q51" s="5">
        <v>2000</v>
      </c>
      <c r="R51" s="5"/>
      <c r="S51" s="5"/>
      <c r="T51" s="5"/>
      <c r="U51" s="5"/>
      <c r="V51" s="5"/>
      <c r="W51" s="5"/>
      <c r="X51" s="5"/>
      <c r="Y51" s="5"/>
      <c r="Z51" s="5"/>
      <c r="AC51" s="4"/>
      <c r="AD51" s="32"/>
      <c r="AE51" s="32"/>
    </row>
    <row r="52" spans="1:31">
      <c r="A52" s="131"/>
      <c r="B52" s="32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5">
        <v>4</v>
      </c>
      <c r="O52" s="4"/>
      <c r="P52" s="32">
        <v>9500</v>
      </c>
      <c r="Q52" s="5">
        <v>2000</v>
      </c>
      <c r="R52" s="5"/>
      <c r="S52" s="5"/>
      <c r="T52" s="5"/>
      <c r="U52" s="5"/>
      <c r="V52" s="5"/>
      <c r="W52" s="5"/>
      <c r="X52" s="5"/>
      <c r="Y52" s="5"/>
      <c r="Z52" s="5"/>
      <c r="AC52" s="4"/>
      <c r="AD52" s="32"/>
      <c r="AE52" s="32"/>
    </row>
    <row r="53" spans="1:31">
      <c r="A53" s="131"/>
      <c r="B53" s="32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5">
        <v>5</v>
      </c>
      <c r="O53" s="4"/>
      <c r="P53" s="32">
        <v>10000</v>
      </c>
      <c r="Q53" s="5">
        <v>2000</v>
      </c>
      <c r="R53" s="5"/>
      <c r="S53" s="5"/>
      <c r="T53" s="5"/>
      <c r="U53" s="5"/>
      <c r="V53" s="5"/>
      <c r="W53" s="5"/>
      <c r="X53" s="5"/>
      <c r="Y53" s="5"/>
      <c r="Z53" s="5"/>
      <c r="AC53" s="4"/>
      <c r="AD53" s="32"/>
      <c r="AE53" s="32"/>
    </row>
    <row r="54" spans="1:31">
      <c r="A54" s="131"/>
      <c r="B54" s="32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5">
        <v>6</v>
      </c>
      <c r="O54" s="4"/>
      <c r="P54" s="32">
        <v>10500</v>
      </c>
      <c r="Q54" s="5">
        <v>2000</v>
      </c>
      <c r="R54" s="5"/>
      <c r="S54" s="5"/>
      <c r="T54" s="5"/>
      <c r="U54" s="5"/>
      <c r="V54" s="5"/>
      <c r="W54" s="5"/>
      <c r="X54" s="5"/>
      <c r="Y54" s="5"/>
      <c r="Z54" s="5"/>
      <c r="AC54" s="4"/>
      <c r="AD54" s="32"/>
      <c r="AE54" s="32"/>
    </row>
    <row r="55" spans="1:31">
      <c r="A55" s="131"/>
      <c r="B55" s="32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5">
        <v>7</v>
      </c>
      <c r="O55" s="4"/>
      <c r="P55" s="32">
        <v>11000</v>
      </c>
      <c r="Q55" s="5">
        <v>2000</v>
      </c>
      <c r="R55" s="5"/>
      <c r="S55" s="5"/>
      <c r="T55" s="5"/>
      <c r="U55" s="5"/>
      <c r="V55" s="5"/>
      <c r="W55" s="5"/>
      <c r="X55" s="5"/>
      <c r="Y55" s="5"/>
      <c r="Z55" s="5"/>
      <c r="AC55" s="4"/>
      <c r="AD55" s="32"/>
      <c r="AE55" s="32"/>
    </row>
    <row r="56" spans="1:31">
      <c r="A56" s="131"/>
      <c r="B56" s="32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5">
        <v>8</v>
      </c>
      <c r="O56" s="4"/>
      <c r="P56" s="32">
        <v>11500</v>
      </c>
      <c r="Q56" s="5">
        <v>2000</v>
      </c>
      <c r="R56" s="5"/>
      <c r="S56" s="5"/>
      <c r="T56" s="5"/>
      <c r="U56" s="5"/>
      <c r="V56" s="5"/>
      <c r="W56" s="5"/>
      <c r="X56" s="5"/>
      <c r="Y56" s="5"/>
      <c r="Z56" s="5"/>
      <c r="AC56" s="4"/>
      <c r="AD56" s="32"/>
      <c r="AE56" s="32"/>
    </row>
    <row r="57" spans="1:31">
      <c r="A57" s="131"/>
      <c r="B57" s="32">
        <v>109</v>
      </c>
      <c r="C57" s="53" t="str">
        <f>VLOOKUP($B57,一级属性,C$1,)</f>
        <v>闪电术</v>
      </c>
      <c r="D57" s="53" t="str">
        <f>VLOOKUP($B57,一级属性,D$1,)</f>
        <v>最多可命中目标区域内三个生命值最高的敌军或建筑。对酋长塔的伤害会大打折扣。</v>
      </c>
      <c r="E57" s="34"/>
      <c r="F57" s="53">
        <f t="shared" ref="F57:L57" si="5">VLOOKUP($B57,一级属性,F$1,)</f>
        <v>1</v>
      </c>
      <c r="G57" s="53">
        <f t="shared" si="5"/>
        <v>1</v>
      </c>
      <c r="H57" s="53">
        <f t="shared" si="5"/>
        <v>1</v>
      </c>
      <c r="I57" s="53">
        <f t="shared" si="5"/>
        <v>70</v>
      </c>
      <c r="J57" s="53">
        <f t="shared" si="5"/>
        <v>2</v>
      </c>
      <c r="K57" s="53">
        <f t="shared" si="5"/>
        <v>1403</v>
      </c>
      <c r="L57" s="53">
        <f t="shared" si="5"/>
        <v>2207</v>
      </c>
      <c r="M57" s="32">
        <v>1</v>
      </c>
      <c r="N57" s="5">
        <v>1</v>
      </c>
      <c r="O57" s="53">
        <f>VLOOKUP($B57,一级属性,O$1,)</f>
        <v>6</v>
      </c>
      <c r="P57" s="96">
        <v>0</v>
      </c>
      <c r="Q57" s="96">
        <v>0</v>
      </c>
      <c r="R57" s="32">
        <v>650</v>
      </c>
      <c r="S57" s="32">
        <v>260</v>
      </c>
      <c r="T57" s="96">
        <v>0</v>
      </c>
      <c r="U57" s="96">
        <v>0</v>
      </c>
      <c r="V57" s="96">
        <v>0</v>
      </c>
      <c r="W57" s="96">
        <v>0</v>
      </c>
      <c r="X57" s="96">
        <v>0</v>
      </c>
      <c r="Y57" s="96">
        <v>0</v>
      </c>
      <c r="Z57" s="96">
        <v>0</v>
      </c>
      <c r="AA57" s="96">
        <v>0</v>
      </c>
      <c r="AB57" s="96">
        <v>0</v>
      </c>
      <c r="AC57" s="53">
        <f>VLOOKUP($B57,一级属性,AC$1,)</f>
        <v>0</v>
      </c>
      <c r="AD57" s="35">
        <f>AE57*30</f>
        <v>105</v>
      </c>
      <c r="AE57" s="32">
        <v>3.5</v>
      </c>
    </row>
    <row r="58" spans="1:31">
      <c r="A58" s="131"/>
      <c r="B58" s="32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5">
        <v>2</v>
      </c>
      <c r="O58" s="4"/>
      <c r="P58" s="5"/>
      <c r="Q58" s="5"/>
      <c r="R58" s="32">
        <v>715</v>
      </c>
      <c r="S58" s="32">
        <v>286</v>
      </c>
      <c r="T58" s="5"/>
      <c r="X58" s="5"/>
      <c r="Y58" s="5"/>
      <c r="Z58" s="5"/>
      <c r="AA58" s="5"/>
      <c r="AB58" s="5"/>
      <c r="AC58" s="4"/>
      <c r="AD58" s="32"/>
      <c r="AE58" s="32"/>
    </row>
    <row r="59" spans="1:31">
      <c r="A59" s="131"/>
      <c r="B59" s="32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5">
        <v>3</v>
      </c>
      <c r="O59" s="4"/>
      <c r="P59" s="5"/>
      <c r="Q59" s="5"/>
      <c r="R59" s="32">
        <v>786</v>
      </c>
      <c r="S59" s="32">
        <v>315</v>
      </c>
      <c r="T59" s="5"/>
      <c r="X59" s="5"/>
      <c r="Y59" s="5"/>
      <c r="Z59" s="5"/>
      <c r="AA59" s="5"/>
      <c r="AB59" s="5"/>
      <c r="AC59" s="4"/>
      <c r="AD59" s="32"/>
      <c r="AE59" s="32"/>
    </row>
    <row r="60" spans="1:31">
      <c r="A60" s="131"/>
      <c r="B60" s="32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5">
        <v>4</v>
      </c>
      <c r="O60" s="4"/>
      <c r="P60" s="5"/>
      <c r="Q60" s="5"/>
      <c r="R60" s="32">
        <v>864</v>
      </c>
      <c r="S60" s="32">
        <v>346</v>
      </c>
      <c r="T60" s="5"/>
      <c r="X60" s="5"/>
      <c r="Y60" s="5"/>
      <c r="Z60" s="5"/>
      <c r="AA60" s="5"/>
      <c r="AB60" s="5"/>
      <c r="AC60" s="4"/>
      <c r="AD60" s="32"/>
      <c r="AE60" s="32"/>
    </row>
    <row r="61" spans="1:31">
      <c r="A61" s="131"/>
      <c r="B61" s="32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5">
        <v>5</v>
      </c>
      <c r="O61" s="4"/>
      <c r="P61" s="5"/>
      <c r="Q61" s="5"/>
      <c r="R61" s="32">
        <v>949</v>
      </c>
      <c r="S61" s="32">
        <v>380</v>
      </c>
      <c r="T61" s="5"/>
      <c r="X61" s="5"/>
      <c r="Y61" s="5"/>
      <c r="Z61" s="5"/>
      <c r="AA61" s="5"/>
      <c r="AB61" s="5"/>
      <c r="AC61" s="4"/>
      <c r="AD61" s="32"/>
      <c r="AE61" s="32"/>
    </row>
    <row r="62" spans="1:31">
      <c r="A62" s="131"/>
      <c r="B62" s="32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5">
        <v>6</v>
      </c>
      <c r="O62" s="4"/>
      <c r="P62" s="5"/>
      <c r="Q62" s="5"/>
      <c r="R62" s="32">
        <v>1040</v>
      </c>
      <c r="S62" s="32">
        <v>416</v>
      </c>
      <c r="T62" s="5"/>
      <c r="X62" s="5"/>
      <c r="Y62" s="5"/>
      <c r="Z62" s="5"/>
      <c r="AA62" s="5"/>
      <c r="AB62" s="5"/>
      <c r="AC62" s="4"/>
      <c r="AD62" s="5"/>
      <c r="AE62" s="5"/>
    </row>
    <row r="63" spans="1:31">
      <c r="A63" s="131"/>
      <c r="B63" s="32"/>
      <c r="C63" s="4"/>
      <c r="D63" s="4"/>
      <c r="E63" s="4"/>
      <c r="F63" s="4"/>
      <c r="G63" s="4"/>
      <c r="H63" s="4"/>
      <c r="I63" s="4"/>
      <c r="J63" s="4"/>
      <c r="K63" s="27"/>
      <c r="L63" s="27"/>
      <c r="M63" s="27"/>
      <c r="N63" s="5">
        <v>7</v>
      </c>
      <c r="O63" s="4"/>
      <c r="P63" s="5"/>
      <c r="Q63" s="5"/>
      <c r="R63" s="32">
        <v>1144</v>
      </c>
      <c r="S63" s="32">
        <v>458</v>
      </c>
      <c r="T63" s="5"/>
      <c r="X63" s="5"/>
      <c r="Y63" s="5"/>
      <c r="Z63" s="5"/>
      <c r="AA63" s="5"/>
      <c r="AB63" s="5"/>
      <c r="AC63" s="4"/>
      <c r="AD63" s="5"/>
      <c r="AE63" s="5"/>
    </row>
    <row r="64" spans="1:31">
      <c r="A64" s="131"/>
      <c r="B64" s="32"/>
      <c r="C64" s="4"/>
      <c r="D64" s="4"/>
      <c r="E64" s="4"/>
      <c r="F64" s="4"/>
      <c r="G64" s="4"/>
      <c r="H64" s="4"/>
      <c r="I64" s="4"/>
      <c r="J64" s="4"/>
      <c r="K64" s="27"/>
      <c r="L64" s="27"/>
      <c r="M64" s="27"/>
      <c r="N64" s="5">
        <v>8</v>
      </c>
      <c r="O64" s="4"/>
      <c r="P64" s="5"/>
      <c r="Q64" s="5"/>
      <c r="R64" s="32">
        <v>1254</v>
      </c>
      <c r="S64" s="32">
        <v>502</v>
      </c>
      <c r="T64" s="5"/>
      <c r="X64" s="5"/>
      <c r="Y64" s="5"/>
      <c r="Z64" s="5"/>
      <c r="AA64" s="5"/>
      <c r="AB64" s="5"/>
      <c r="AC64" s="4"/>
      <c r="AD64" s="5"/>
      <c r="AE64" s="5"/>
    </row>
    <row r="65" spans="1:31">
      <c r="A65" s="167"/>
      <c r="B65" s="32">
        <v>110</v>
      </c>
      <c r="C65" s="53" t="str">
        <f>VLOOKUP($B65,一级属性,C$1,)</f>
        <v>诅咒</v>
      </c>
      <c r="D65" s="53" t="str">
        <f>VLOOKUP($B65,一级属性,D$1,)</f>
        <v>古老的咒语形成结界。结界范围内的所有部队和建筑均会承受持续伤害，移动和攻击速度也会减缓。</v>
      </c>
      <c r="E65" s="34"/>
      <c r="F65" s="53">
        <f t="shared" ref="F65:L65" si="6">VLOOKUP($B65,一级属性,F$1,)</f>
        <v>1</v>
      </c>
      <c r="G65" s="53">
        <f t="shared" si="6"/>
        <v>5</v>
      </c>
      <c r="H65" s="53">
        <f t="shared" si="6"/>
        <v>0</v>
      </c>
      <c r="I65" s="53">
        <f t="shared" si="6"/>
        <v>195</v>
      </c>
      <c r="J65" s="53">
        <f t="shared" si="6"/>
        <v>2</v>
      </c>
      <c r="K65" s="53">
        <f t="shared" si="6"/>
        <v>1412</v>
      </c>
      <c r="L65" s="53">
        <f t="shared" si="6"/>
        <v>2207</v>
      </c>
      <c r="M65" s="32">
        <v>0</v>
      </c>
      <c r="N65" s="5">
        <v>1</v>
      </c>
      <c r="O65" s="53">
        <f>VLOOKUP($B65,一级属性,O$1,)</f>
        <v>4</v>
      </c>
      <c r="P65" s="5">
        <v>10000</v>
      </c>
      <c r="Q65" s="96">
        <v>0</v>
      </c>
      <c r="R65" s="106">
        <v>42</v>
      </c>
      <c r="S65" s="107">
        <v>17</v>
      </c>
      <c r="T65" s="96">
        <v>0</v>
      </c>
      <c r="U65" s="96">
        <v>0</v>
      </c>
      <c r="V65" s="96">
        <v>0</v>
      </c>
      <c r="W65" s="96">
        <v>0</v>
      </c>
      <c r="X65" s="96">
        <v>0</v>
      </c>
      <c r="Y65" s="96">
        <v>0</v>
      </c>
      <c r="Z65" s="96">
        <v>0</v>
      </c>
      <c r="AA65" s="96">
        <v>0</v>
      </c>
      <c r="AB65" s="96">
        <v>0</v>
      </c>
      <c r="AC65" s="53">
        <f>VLOOKUP($B65,一级属性,AC$1,)</f>
        <v>0</v>
      </c>
      <c r="AD65" s="35">
        <f>AE65*30</f>
        <v>105</v>
      </c>
      <c r="AE65" s="32">
        <v>3.5</v>
      </c>
    </row>
    <row r="66" spans="1:31">
      <c r="A66" s="167"/>
      <c r="N66" s="5">
        <v>2</v>
      </c>
      <c r="P66" s="27">
        <v>10000</v>
      </c>
      <c r="Q66" s="94"/>
      <c r="R66" s="106">
        <v>46</v>
      </c>
      <c r="S66" s="107">
        <v>19</v>
      </c>
    </row>
    <row r="67" spans="1:31">
      <c r="A67" s="167"/>
      <c r="N67" s="5">
        <v>3</v>
      </c>
      <c r="P67" s="27">
        <v>10000</v>
      </c>
      <c r="Q67" s="94"/>
      <c r="R67" s="106">
        <v>50</v>
      </c>
      <c r="S67" s="107">
        <v>20</v>
      </c>
    </row>
    <row r="68" spans="1:31">
      <c r="A68" s="167"/>
      <c r="N68" s="5">
        <v>4</v>
      </c>
      <c r="P68" s="27">
        <v>10000</v>
      </c>
      <c r="Q68" s="94"/>
      <c r="R68" s="106">
        <v>55</v>
      </c>
      <c r="S68" s="107">
        <v>22</v>
      </c>
    </row>
    <row r="69" spans="1:31">
      <c r="A69" s="167"/>
      <c r="N69" s="5">
        <v>5</v>
      </c>
      <c r="P69" s="27">
        <v>10000</v>
      </c>
      <c r="Q69" s="94"/>
      <c r="R69" s="108">
        <v>61</v>
      </c>
      <c r="S69" s="109">
        <v>25</v>
      </c>
    </row>
    <row r="70" spans="1:31">
      <c r="A70" s="167"/>
      <c r="N70" s="5">
        <v>6</v>
      </c>
      <c r="P70" s="27">
        <v>10000</v>
      </c>
      <c r="Q70" s="94"/>
      <c r="R70" s="108">
        <v>67</v>
      </c>
      <c r="S70" s="109">
        <v>27</v>
      </c>
    </row>
    <row r="71" spans="1:31">
      <c r="A71" s="167"/>
      <c r="N71" s="5">
        <v>7</v>
      </c>
      <c r="P71" s="27">
        <v>10000</v>
      </c>
      <c r="Q71" s="94"/>
      <c r="R71" s="106">
        <v>73</v>
      </c>
      <c r="S71" s="107">
        <v>30</v>
      </c>
    </row>
    <row r="72" spans="1:31">
      <c r="A72" s="167"/>
      <c r="N72" s="5">
        <v>8</v>
      </c>
      <c r="P72" s="27">
        <v>10000</v>
      </c>
      <c r="R72" s="110">
        <v>81</v>
      </c>
      <c r="S72" s="111">
        <v>33</v>
      </c>
    </row>
    <row r="73" spans="1:31">
      <c r="A73" s="167"/>
      <c r="B73" s="32">
        <v>103</v>
      </c>
      <c r="C73" s="53" t="str">
        <f>VLOOKUP($B73,一级属性,C$1,)</f>
        <v>飞火流星</v>
      </c>
      <c r="D73" s="53" t="str">
        <f>VLOOKUP($B73,一级属性,D$1,)</f>
        <v>然后… 火球术。  把一小片区域烧成灰烬, 造成高额伤害。 但对皇家塔楼造成的伤害较低。</v>
      </c>
      <c r="E73" s="5"/>
      <c r="F73" s="53">
        <f t="shared" ref="F73:L73" si="7">VLOOKUP($B73,一级属性,F$1,)</f>
        <v>1</v>
      </c>
      <c r="G73" s="53">
        <f t="shared" si="7"/>
        <v>0</v>
      </c>
      <c r="H73" s="53">
        <f t="shared" si="7"/>
        <v>0</v>
      </c>
      <c r="I73" s="53">
        <f t="shared" si="7"/>
        <v>90</v>
      </c>
      <c r="J73" s="53">
        <f t="shared" si="7"/>
        <v>1</v>
      </c>
      <c r="K73" s="53">
        <f t="shared" si="7"/>
        <v>1402</v>
      </c>
      <c r="L73" s="53">
        <f t="shared" si="7"/>
        <v>2207</v>
      </c>
      <c r="M73" s="32">
        <v>1</v>
      </c>
      <c r="N73" s="5">
        <v>1</v>
      </c>
      <c r="O73" s="53">
        <f>VLOOKUP($B73,一级属性,O$1,)</f>
        <v>4</v>
      </c>
      <c r="P73" s="96">
        <v>0</v>
      </c>
      <c r="Q73" s="96">
        <v>0</v>
      </c>
      <c r="R73" s="32">
        <v>325</v>
      </c>
      <c r="S73" s="32">
        <v>130</v>
      </c>
      <c r="T73" s="96">
        <v>0</v>
      </c>
      <c r="U73" s="96">
        <v>0</v>
      </c>
      <c r="V73" s="96">
        <v>0</v>
      </c>
      <c r="W73" s="96">
        <v>0</v>
      </c>
      <c r="X73" s="96">
        <v>0</v>
      </c>
      <c r="Y73" s="96">
        <v>0</v>
      </c>
      <c r="Z73" s="96">
        <v>0</v>
      </c>
      <c r="AA73" s="96">
        <v>0</v>
      </c>
      <c r="AB73" s="96">
        <v>0</v>
      </c>
      <c r="AC73" s="53">
        <v>1000</v>
      </c>
      <c r="AD73" s="35">
        <f>AE73*30</f>
        <v>75</v>
      </c>
      <c r="AE73" s="32">
        <v>2.5</v>
      </c>
    </row>
    <row r="74" spans="1:31">
      <c r="A74" s="167"/>
      <c r="B74" s="32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>
        <v>2</v>
      </c>
      <c r="O74" s="5"/>
      <c r="P74" s="5"/>
      <c r="Q74" s="5"/>
      <c r="R74" s="32">
        <v>357</v>
      </c>
      <c r="S74" s="32">
        <v>143</v>
      </c>
      <c r="T74" s="5"/>
      <c r="U74" s="5"/>
      <c r="V74" s="5"/>
      <c r="AC74" s="5"/>
      <c r="AD74" s="32"/>
      <c r="AE74" s="32"/>
    </row>
    <row r="75" spans="1:31">
      <c r="A75" s="167"/>
      <c r="B75" s="32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>
        <v>3</v>
      </c>
      <c r="O75" s="5"/>
      <c r="P75" s="5"/>
      <c r="Q75" s="5"/>
      <c r="R75" s="32">
        <v>396</v>
      </c>
      <c r="S75" s="32">
        <v>158</v>
      </c>
      <c r="T75" s="5"/>
      <c r="U75" s="5"/>
      <c r="V75" s="5"/>
      <c r="AC75" s="5"/>
      <c r="AD75" s="32"/>
      <c r="AE75" s="32"/>
    </row>
    <row r="76" spans="1:31">
      <c r="A76" s="167"/>
      <c r="B76" s="32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>
        <v>4</v>
      </c>
      <c r="O76" s="5"/>
      <c r="P76" s="5"/>
      <c r="Q76" s="5"/>
      <c r="R76" s="32">
        <v>432</v>
      </c>
      <c r="S76" s="32">
        <v>173</v>
      </c>
      <c r="T76" s="5"/>
      <c r="U76" s="5"/>
      <c r="V76" s="5"/>
      <c r="AC76" s="5"/>
      <c r="AD76" s="32"/>
      <c r="AE76" s="32"/>
    </row>
    <row r="77" spans="1:31">
      <c r="A77" s="167"/>
      <c r="B77" s="32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>
        <v>5</v>
      </c>
      <c r="O77" s="5"/>
      <c r="P77" s="5"/>
      <c r="Q77" s="5"/>
      <c r="R77" s="32">
        <v>476</v>
      </c>
      <c r="S77" s="32">
        <v>190</v>
      </c>
      <c r="T77" s="5"/>
      <c r="U77" s="5"/>
      <c r="V77" s="5"/>
      <c r="AC77" s="5"/>
      <c r="AD77" s="32"/>
      <c r="AE77" s="32"/>
    </row>
    <row r="78" spans="1:31">
      <c r="A78" s="167"/>
      <c r="B78" s="32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>
        <v>6</v>
      </c>
      <c r="O78" s="5"/>
      <c r="P78" s="5"/>
      <c r="Q78" s="5"/>
      <c r="R78" s="32">
        <v>520</v>
      </c>
      <c r="S78" s="32">
        <v>208</v>
      </c>
      <c r="T78" s="5"/>
      <c r="U78" s="5"/>
      <c r="V78" s="5"/>
      <c r="AC78" s="5"/>
      <c r="AD78" s="32"/>
      <c r="AE78" s="32"/>
    </row>
    <row r="79" spans="1:31">
      <c r="A79" s="167"/>
      <c r="B79" s="32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>
        <v>7</v>
      </c>
      <c r="O79" s="5"/>
      <c r="P79" s="5"/>
      <c r="Q79" s="5"/>
      <c r="R79" s="32">
        <v>572</v>
      </c>
      <c r="S79" s="32">
        <v>229</v>
      </c>
      <c r="T79" s="5"/>
      <c r="U79" s="5"/>
      <c r="V79" s="5"/>
      <c r="AC79" s="5"/>
      <c r="AD79" s="32"/>
      <c r="AE79" s="32"/>
    </row>
    <row r="80" spans="1:31">
      <c r="A80" s="167"/>
      <c r="B80" s="32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>
        <v>8</v>
      </c>
      <c r="O80" s="5"/>
      <c r="P80" s="5"/>
      <c r="Q80" s="5"/>
      <c r="R80" s="32">
        <v>627</v>
      </c>
      <c r="S80" s="32">
        <v>251</v>
      </c>
      <c r="T80" s="5"/>
      <c r="U80" s="5"/>
      <c r="V80" s="5"/>
      <c r="AC80" s="5"/>
      <c r="AD80" s="32"/>
      <c r="AE80" s="32"/>
    </row>
    <row r="81" spans="1:31">
      <c r="A81" s="167"/>
      <c r="B81" s="32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>
        <v>9</v>
      </c>
      <c r="O81" s="5"/>
      <c r="P81" s="5"/>
      <c r="Q81" s="5"/>
      <c r="R81" s="32">
        <v>689</v>
      </c>
      <c r="S81" s="32">
        <v>276</v>
      </c>
      <c r="T81" s="5"/>
      <c r="U81" s="5"/>
      <c r="V81" s="5"/>
      <c r="AC81" s="5"/>
      <c r="AD81" s="32"/>
      <c r="AE81" s="32"/>
    </row>
    <row r="82" spans="1:31">
      <c r="A82" s="167"/>
      <c r="B82" s="32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>
        <v>10</v>
      </c>
      <c r="O82" s="5"/>
      <c r="P82" s="5"/>
      <c r="Q82" s="5"/>
      <c r="R82" s="32">
        <v>757</v>
      </c>
      <c r="S82" s="32">
        <v>303</v>
      </c>
      <c r="T82" s="5"/>
      <c r="U82" s="5"/>
      <c r="V82" s="5"/>
      <c r="AC82" s="5"/>
      <c r="AD82" s="32"/>
      <c r="AE82" s="32"/>
    </row>
    <row r="83" spans="1:31">
      <c r="A83" s="167"/>
      <c r="B83" s="32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>
        <v>11</v>
      </c>
      <c r="O83" s="5"/>
      <c r="P83" s="5"/>
      <c r="Q83" s="5"/>
      <c r="R83" s="32">
        <v>832</v>
      </c>
      <c r="S83" s="32">
        <v>333</v>
      </c>
      <c r="T83" s="5"/>
      <c r="U83" s="5"/>
      <c r="V83" s="5"/>
      <c r="AC83" s="5"/>
      <c r="AD83" s="32"/>
      <c r="AE83" s="32"/>
    </row>
    <row r="84" spans="1:31">
      <c r="A84" s="167"/>
      <c r="B84" s="32">
        <v>105</v>
      </c>
      <c r="C84" s="53" t="str">
        <f>VLOOKUP($B84,一级属性,C$1,)</f>
        <v>宝箱怪</v>
      </c>
      <c r="D84" s="53" t="str">
        <f>VLOOKUP($B84,一级属性,D$1,)</f>
        <v>可以投掷到任意位置，发起攻击！</v>
      </c>
      <c r="E84" s="32"/>
      <c r="F84" s="53">
        <f t="shared" ref="F84:L84" si="8">VLOOKUP($B84,一级属性,F$1,)</f>
        <v>1</v>
      </c>
      <c r="G84" s="53">
        <f t="shared" si="8"/>
        <v>7</v>
      </c>
      <c r="H84" s="53">
        <f t="shared" si="8"/>
        <v>1</v>
      </c>
      <c r="I84" s="53">
        <f t="shared" si="8"/>
        <v>30</v>
      </c>
      <c r="J84" s="53">
        <f t="shared" si="8"/>
        <v>3</v>
      </c>
      <c r="K84" s="53">
        <f t="shared" si="8"/>
        <v>1239</v>
      </c>
      <c r="L84" s="53">
        <f t="shared" si="8"/>
        <v>2207</v>
      </c>
      <c r="M84" s="32">
        <v>0</v>
      </c>
      <c r="N84" s="5">
        <v>1</v>
      </c>
      <c r="O84" s="53">
        <f>VLOOKUP($B84,一级属性,O$1,)</f>
        <v>3</v>
      </c>
      <c r="P84" s="96">
        <v>0</v>
      </c>
      <c r="Q84" s="96">
        <v>0</v>
      </c>
      <c r="R84" s="106">
        <v>0</v>
      </c>
      <c r="S84" s="106">
        <v>0</v>
      </c>
      <c r="T84" s="32">
        <v>1</v>
      </c>
      <c r="U84" s="32">
        <v>33</v>
      </c>
      <c r="V84" s="32">
        <v>1</v>
      </c>
      <c r="W84" s="96">
        <v>0</v>
      </c>
      <c r="X84" s="96">
        <v>0</v>
      </c>
      <c r="Y84" s="96">
        <v>0</v>
      </c>
      <c r="Z84" s="96">
        <v>0</v>
      </c>
      <c r="AA84" s="96">
        <v>0</v>
      </c>
      <c r="AB84" s="96">
        <v>0</v>
      </c>
      <c r="AC84" s="32">
        <v>700</v>
      </c>
      <c r="AD84" s="35">
        <f>AE84*30</f>
        <v>15</v>
      </c>
      <c r="AE84" s="32">
        <v>0.5</v>
      </c>
    </row>
    <row r="85" spans="1:31">
      <c r="A85" s="167"/>
      <c r="B85" s="32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5">
        <v>2</v>
      </c>
      <c r="O85" s="4"/>
      <c r="P85" s="5"/>
      <c r="Q85" s="5"/>
      <c r="R85" s="106">
        <v>0</v>
      </c>
      <c r="S85" s="106">
        <v>0</v>
      </c>
      <c r="T85" s="5"/>
      <c r="U85" s="5"/>
      <c r="V85" s="32">
        <v>2</v>
      </c>
      <c r="W85" s="5"/>
      <c r="AC85" s="4"/>
      <c r="AD85" s="32"/>
      <c r="AE85" s="32"/>
    </row>
    <row r="86" spans="1:31">
      <c r="A86" s="167"/>
      <c r="B86" s="32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5">
        <v>3</v>
      </c>
      <c r="O86" s="4"/>
      <c r="P86" s="5"/>
      <c r="Q86" s="5"/>
      <c r="R86" s="106">
        <v>0</v>
      </c>
      <c r="S86" s="106">
        <v>0</v>
      </c>
      <c r="T86" s="5"/>
      <c r="U86" s="5"/>
      <c r="V86" s="32">
        <v>3</v>
      </c>
      <c r="W86" s="5"/>
      <c r="AC86" s="4"/>
      <c r="AD86" s="32"/>
      <c r="AE86" s="32"/>
    </row>
    <row r="87" spans="1:31">
      <c r="A87" s="167"/>
      <c r="B87" s="32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5">
        <v>4</v>
      </c>
      <c r="O87" s="4"/>
      <c r="P87" s="5"/>
      <c r="Q87" s="5"/>
      <c r="R87" s="106">
        <v>0</v>
      </c>
      <c r="S87" s="106">
        <v>0</v>
      </c>
      <c r="T87" s="5"/>
      <c r="U87" s="5"/>
      <c r="V87" s="32">
        <v>4</v>
      </c>
      <c r="W87" s="5"/>
      <c r="AC87" s="4"/>
      <c r="AD87" s="32"/>
      <c r="AE87" s="32"/>
    </row>
    <row r="88" spans="1:31">
      <c r="A88" s="167">
        <v>1</v>
      </c>
      <c r="B88" s="32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5">
        <v>5</v>
      </c>
      <c r="O88" s="4"/>
      <c r="P88" s="5"/>
      <c r="Q88" s="5"/>
      <c r="R88" s="106">
        <v>0</v>
      </c>
      <c r="S88" s="106">
        <v>0</v>
      </c>
      <c r="T88" s="5"/>
      <c r="U88" s="5"/>
      <c r="V88" s="32">
        <v>5</v>
      </c>
      <c r="W88" s="5"/>
      <c r="AC88" s="4"/>
      <c r="AD88" s="32"/>
      <c r="AE88" s="32"/>
    </row>
    <row r="89" spans="1:31">
      <c r="A89" s="129"/>
      <c r="B89" s="32">
        <v>104</v>
      </c>
      <c r="C89" s="53" t="str">
        <f>VLOOKUP($B89,一级属性,C$1,)</f>
        <v>火箭</v>
      </c>
      <c r="D89" s="53" t="str">
        <f>VLOOKUP($B89,一级属性,D$1,)</f>
        <v>对一小片区域造成范围伤害。看起来它将做的很棒。 对皇家塔楼造成少量伤害。</v>
      </c>
      <c r="E89" s="5"/>
      <c r="F89" s="53">
        <f t="shared" ref="F89:L89" si="9">VLOOKUP($B89,一级属性,F$1,)</f>
        <v>1</v>
      </c>
      <c r="G89" s="53">
        <f t="shared" si="9"/>
        <v>3</v>
      </c>
      <c r="H89" s="53">
        <f t="shared" si="9"/>
        <v>0</v>
      </c>
      <c r="I89" s="53">
        <f t="shared" si="9"/>
        <v>140</v>
      </c>
      <c r="J89" s="53">
        <f t="shared" si="9"/>
        <v>1</v>
      </c>
      <c r="K89" s="53">
        <f t="shared" si="9"/>
        <v>1408</v>
      </c>
      <c r="L89" s="53">
        <f t="shared" si="9"/>
        <v>2207</v>
      </c>
      <c r="M89" s="32">
        <v>1</v>
      </c>
      <c r="N89" s="5">
        <v>1</v>
      </c>
      <c r="O89" s="53">
        <f>VLOOKUP($B89,一级属性,O$1,)</f>
        <v>6</v>
      </c>
      <c r="P89" s="96">
        <v>0</v>
      </c>
      <c r="Q89" s="96">
        <v>0</v>
      </c>
      <c r="R89" s="106">
        <v>700</v>
      </c>
      <c r="S89" s="106">
        <v>280</v>
      </c>
      <c r="T89" s="96">
        <v>0</v>
      </c>
      <c r="U89" s="96">
        <v>0</v>
      </c>
      <c r="V89" s="96">
        <v>0</v>
      </c>
      <c r="W89" s="96">
        <v>0</v>
      </c>
      <c r="X89" s="96">
        <v>0</v>
      </c>
      <c r="Y89" s="96">
        <v>0</v>
      </c>
      <c r="Z89" s="96">
        <v>0</v>
      </c>
      <c r="AA89" s="96">
        <v>0</v>
      </c>
      <c r="AB89" s="96">
        <v>0</v>
      </c>
      <c r="AC89" s="53">
        <v>1000</v>
      </c>
      <c r="AD89" s="35">
        <f>AE89*30</f>
        <v>60</v>
      </c>
      <c r="AE89" s="32">
        <v>2</v>
      </c>
    </row>
    <row r="90" spans="1:31">
      <c r="A90" s="129"/>
      <c r="B90" s="32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>
        <v>2</v>
      </c>
      <c r="O90" s="5"/>
      <c r="P90" s="5"/>
      <c r="Q90" s="5"/>
      <c r="R90" s="106">
        <v>770</v>
      </c>
      <c r="S90" s="106">
        <v>308</v>
      </c>
      <c r="T90" s="5"/>
      <c r="U90" s="5"/>
      <c r="V90" s="5"/>
      <c r="AA90" s="5"/>
      <c r="AB90" s="5"/>
      <c r="AC90" s="5"/>
      <c r="AD90" s="32"/>
      <c r="AE90" s="32"/>
    </row>
    <row r="91" spans="1:31">
      <c r="A91" s="129"/>
      <c r="B91" s="32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>
        <v>3</v>
      </c>
      <c r="O91" s="5"/>
      <c r="P91" s="5"/>
      <c r="Q91" s="5"/>
      <c r="R91" s="106">
        <v>847</v>
      </c>
      <c r="S91" s="106">
        <v>339</v>
      </c>
      <c r="T91" s="5"/>
      <c r="U91" s="5"/>
      <c r="V91" s="5"/>
      <c r="AA91" s="5"/>
      <c r="AB91" s="5"/>
      <c r="AC91" s="5"/>
      <c r="AD91" s="32"/>
      <c r="AE91" s="32"/>
    </row>
    <row r="92" spans="1:31">
      <c r="A92" s="129"/>
      <c r="B92" s="32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>
        <v>4</v>
      </c>
      <c r="O92" s="5"/>
      <c r="P92" s="5"/>
      <c r="Q92" s="5"/>
      <c r="R92" s="106">
        <v>931</v>
      </c>
      <c r="S92" s="106">
        <v>373</v>
      </c>
      <c r="T92" s="5"/>
      <c r="U92" s="5"/>
      <c r="V92" s="5"/>
      <c r="AA92" s="5"/>
      <c r="AB92" s="5"/>
      <c r="AC92" s="5"/>
      <c r="AD92" s="32"/>
      <c r="AE92" s="32"/>
    </row>
    <row r="93" spans="1:31">
      <c r="A93" s="129"/>
      <c r="B93" s="32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>
        <v>5</v>
      </c>
      <c r="O93" s="5"/>
      <c r="P93" s="5"/>
      <c r="Q93" s="5"/>
      <c r="R93" s="106">
        <v>1022</v>
      </c>
      <c r="S93" s="106">
        <v>409</v>
      </c>
      <c r="T93" s="5"/>
      <c r="U93" s="5"/>
      <c r="V93" s="5"/>
      <c r="AA93" s="5"/>
      <c r="AB93" s="5"/>
      <c r="AC93" s="5"/>
      <c r="AD93" s="32"/>
      <c r="AE93" s="32"/>
    </row>
    <row r="94" spans="1:31">
      <c r="A94" s="129"/>
      <c r="B94" s="32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>
        <v>6</v>
      </c>
      <c r="O94" s="5"/>
      <c r="P94" s="5"/>
      <c r="Q94" s="5"/>
      <c r="R94" s="106">
        <v>1120</v>
      </c>
      <c r="S94" s="106">
        <v>448</v>
      </c>
      <c r="T94" s="5"/>
      <c r="U94" s="5"/>
      <c r="V94" s="5"/>
      <c r="AA94" s="5"/>
      <c r="AB94" s="5"/>
      <c r="AC94" s="5"/>
      <c r="AD94" s="32"/>
      <c r="AE94" s="32"/>
    </row>
    <row r="95" spans="1:31">
      <c r="A95" s="129"/>
      <c r="B95" s="32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>
        <v>7</v>
      </c>
      <c r="O95" s="5"/>
      <c r="P95" s="5"/>
      <c r="Q95" s="5"/>
      <c r="R95" s="106">
        <v>1232</v>
      </c>
      <c r="S95" s="106">
        <v>493</v>
      </c>
      <c r="T95" s="5"/>
      <c r="U95" s="5"/>
      <c r="V95" s="5"/>
      <c r="AA95" s="5"/>
      <c r="AB95" s="5"/>
      <c r="AC95" s="5"/>
      <c r="AD95" s="32"/>
      <c r="AE95" s="32"/>
    </row>
    <row r="96" spans="1:31">
      <c r="A96" s="129"/>
      <c r="B96" s="32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>
        <v>8</v>
      </c>
      <c r="O96" s="5"/>
      <c r="P96" s="5"/>
      <c r="Q96" s="5"/>
      <c r="R96" s="106">
        <v>1351</v>
      </c>
      <c r="S96" s="106">
        <v>541</v>
      </c>
      <c r="T96" s="5"/>
      <c r="U96" s="5"/>
      <c r="V96" s="5"/>
      <c r="AA96" s="5"/>
      <c r="AB96" s="5"/>
      <c r="AC96" s="5"/>
      <c r="AD96" s="32"/>
      <c r="AE96" s="32"/>
    </row>
    <row r="97" spans="1:32">
      <c r="A97" s="129"/>
      <c r="B97" s="32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>
        <v>9</v>
      </c>
      <c r="O97" s="5"/>
      <c r="P97" s="5"/>
      <c r="Q97" s="5"/>
      <c r="R97" s="106">
        <v>1484</v>
      </c>
      <c r="S97" s="106">
        <v>594</v>
      </c>
      <c r="T97" s="5"/>
      <c r="U97" s="5"/>
      <c r="V97" s="5"/>
      <c r="AA97" s="5"/>
      <c r="AB97" s="5"/>
      <c r="AC97" s="5"/>
      <c r="AD97" s="32"/>
      <c r="AE97" s="32"/>
    </row>
    <row r="98" spans="1:32">
      <c r="A98" s="129"/>
      <c r="B98" s="32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>
        <v>10</v>
      </c>
      <c r="O98" s="5"/>
      <c r="P98" s="5"/>
      <c r="Q98" s="5"/>
      <c r="R98" s="106">
        <v>1631</v>
      </c>
      <c r="S98" s="106">
        <v>653</v>
      </c>
      <c r="T98" s="5"/>
      <c r="U98" s="5"/>
      <c r="V98" s="5"/>
      <c r="AA98" s="5"/>
      <c r="AB98" s="5"/>
      <c r="AC98" s="5"/>
      <c r="AD98" s="32"/>
      <c r="AE98" s="32"/>
    </row>
    <row r="99" spans="1:32">
      <c r="A99" s="129"/>
      <c r="B99" s="32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>
        <v>11</v>
      </c>
      <c r="O99" s="5"/>
      <c r="P99" s="5"/>
      <c r="Q99" s="5"/>
      <c r="R99" s="106">
        <v>1792</v>
      </c>
      <c r="S99" s="106">
        <v>717</v>
      </c>
      <c r="T99" s="5"/>
      <c r="U99" s="5"/>
      <c r="V99" s="5"/>
      <c r="AA99" s="5"/>
      <c r="AB99" s="5"/>
      <c r="AC99" s="5"/>
      <c r="AD99" s="32"/>
      <c r="AE99" s="32"/>
    </row>
    <row r="100" spans="1:32">
      <c r="A100" s="129"/>
      <c r="B100" s="32">
        <v>111</v>
      </c>
      <c r="C100" s="53" t="str">
        <f>VLOOKUP($B100,一级属性,C$1,)</f>
        <v>原力护盾</v>
      </c>
      <c r="D100" s="53" t="str">
        <f>VLOOKUP($B100,一级属性,D$1,)</f>
        <v>形成一个护罩，保护护罩内的友军不受远程攻击。护罩受到伤害达到一定值会提前消失。</v>
      </c>
      <c r="E100" s="32"/>
      <c r="F100" s="53">
        <f t="shared" ref="F100:L100" si="10">VLOOKUP($B100,一级属性,F$1,)</f>
        <v>1</v>
      </c>
      <c r="G100" s="53">
        <f t="shared" si="10"/>
        <v>4</v>
      </c>
      <c r="H100" s="53">
        <f t="shared" si="10"/>
        <v>1</v>
      </c>
      <c r="I100" s="53">
        <f t="shared" si="10"/>
        <v>180</v>
      </c>
      <c r="J100" s="53">
        <f t="shared" si="10"/>
        <v>1</v>
      </c>
      <c r="K100" s="53">
        <f t="shared" si="10"/>
        <v>1404</v>
      </c>
      <c r="L100" s="53">
        <f t="shared" si="10"/>
        <v>2207</v>
      </c>
      <c r="M100" s="32">
        <v>0</v>
      </c>
      <c r="N100" s="5">
        <v>1</v>
      </c>
      <c r="O100" s="53">
        <f>VLOOKUP($B100,一级属性,O$1,)</f>
        <v>4</v>
      </c>
      <c r="P100" s="200">
        <v>8000</v>
      </c>
      <c r="Q100" s="96">
        <v>0</v>
      </c>
      <c r="R100" s="106">
        <v>0</v>
      </c>
      <c r="S100" s="106">
        <v>0</v>
      </c>
      <c r="T100" s="32">
        <v>0</v>
      </c>
      <c r="U100" s="32">
        <v>0</v>
      </c>
      <c r="V100" s="32">
        <v>0</v>
      </c>
      <c r="W100" s="96">
        <v>0</v>
      </c>
      <c r="X100" s="96">
        <v>0</v>
      </c>
      <c r="Y100" s="96">
        <v>0</v>
      </c>
      <c r="Z100" s="96">
        <v>0</v>
      </c>
      <c r="AA100" s="96">
        <v>0</v>
      </c>
      <c r="AB100" s="200">
        <f>INT(R73*$AF$100)</f>
        <v>325</v>
      </c>
      <c r="AC100" s="53">
        <v>1000</v>
      </c>
      <c r="AD100" s="35">
        <f>AE100*30</f>
        <v>120</v>
      </c>
      <c r="AE100" s="200">
        <v>4</v>
      </c>
      <c r="AF100" s="201">
        <v>1</v>
      </c>
    </row>
    <row r="101" spans="1:32">
      <c r="A101" s="129"/>
      <c r="B101" s="32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5">
        <v>2</v>
      </c>
      <c r="O101" s="4"/>
      <c r="P101" s="5"/>
      <c r="Q101" s="5"/>
      <c r="R101" s="106">
        <v>0</v>
      </c>
      <c r="S101" s="106">
        <v>0</v>
      </c>
      <c r="T101" s="5"/>
      <c r="U101" s="5"/>
      <c r="V101" s="32"/>
      <c r="W101" s="5"/>
      <c r="AB101" s="200">
        <f t="shared" ref="AB101:AB110" si="11">INT(R74*$AF$100)</f>
        <v>357</v>
      </c>
      <c r="AC101" s="4"/>
      <c r="AD101" s="32"/>
      <c r="AE101" s="32"/>
    </row>
    <row r="102" spans="1:32">
      <c r="A102" s="129"/>
      <c r="B102" s="32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5">
        <v>3</v>
      </c>
      <c r="O102" s="4"/>
      <c r="P102" s="5"/>
      <c r="Q102" s="5"/>
      <c r="R102" s="106">
        <v>0</v>
      </c>
      <c r="S102" s="106">
        <v>0</v>
      </c>
      <c r="T102" s="5"/>
      <c r="U102" s="5"/>
      <c r="V102" s="32"/>
      <c r="W102" s="5"/>
      <c r="AB102" s="200">
        <f t="shared" si="11"/>
        <v>396</v>
      </c>
      <c r="AC102" s="4"/>
      <c r="AD102" s="32"/>
      <c r="AE102" s="32"/>
    </row>
    <row r="103" spans="1:32">
      <c r="A103" s="129"/>
      <c r="B103" s="32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5">
        <v>4</v>
      </c>
      <c r="O103" s="4"/>
      <c r="P103" s="5"/>
      <c r="Q103" s="5"/>
      <c r="R103" s="106">
        <v>0</v>
      </c>
      <c r="S103" s="106">
        <v>0</v>
      </c>
      <c r="T103" s="5"/>
      <c r="U103" s="5"/>
      <c r="V103" s="32"/>
      <c r="W103" s="5"/>
      <c r="AB103" s="200">
        <f t="shared" si="11"/>
        <v>432</v>
      </c>
      <c r="AC103" s="4"/>
      <c r="AD103" s="32"/>
      <c r="AE103" s="32"/>
    </row>
    <row r="104" spans="1:32">
      <c r="A104" s="129"/>
      <c r="B104" s="32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5">
        <v>5</v>
      </c>
      <c r="O104" s="4"/>
      <c r="P104" s="5"/>
      <c r="Q104" s="5"/>
      <c r="R104" s="106">
        <v>0</v>
      </c>
      <c r="S104" s="106">
        <v>0</v>
      </c>
      <c r="T104" s="5"/>
      <c r="U104" s="5"/>
      <c r="V104" s="32"/>
      <c r="W104" s="5"/>
      <c r="AB104" s="200">
        <f t="shared" si="11"/>
        <v>476</v>
      </c>
      <c r="AC104" s="4"/>
      <c r="AD104" s="32"/>
      <c r="AE104" s="32"/>
    </row>
    <row r="105" spans="1:32">
      <c r="A105" s="129"/>
      <c r="B105" s="32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5">
        <v>6</v>
      </c>
      <c r="O105" s="4"/>
      <c r="P105" s="5"/>
      <c r="Q105" s="5"/>
      <c r="R105" s="106">
        <v>0</v>
      </c>
      <c r="S105" s="106">
        <v>0</v>
      </c>
      <c r="T105" s="5"/>
      <c r="U105" s="5"/>
      <c r="V105" s="32"/>
      <c r="W105" s="5"/>
      <c r="AB105" s="200">
        <f t="shared" si="11"/>
        <v>520</v>
      </c>
      <c r="AC105" s="4"/>
      <c r="AD105" s="32"/>
      <c r="AE105" s="32"/>
    </row>
    <row r="106" spans="1:32">
      <c r="A106" s="129"/>
      <c r="B106" s="32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5">
        <v>7</v>
      </c>
      <c r="O106" s="4"/>
      <c r="P106" s="5"/>
      <c r="Q106" s="5"/>
      <c r="R106" s="106">
        <v>0</v>
      </c>
      <c r="S106" s="106">
        <v>0</v>
      </c>
      <c r="T106" s="5"/>
      <c r="U106" s="5"/>
      <c r="V106" s="32"/>
      <c r="W106" s="5"/>
      <c r="AB106" s="200">
        <f t="shared" si="11"/>
        <v>572</v>
      </c>
      <c r="AC106" s="4"/>
      <c r="AD106" s="32"/>
      <c r="AE106" s="32"/>
    </row>
    <row r="107" spans="1:32">
      <c r="A107" s="129"/>
      <c r="B107" s="32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5">
        <v>8</v>
      </c>
      <c r="O107" s="4"/>
      <c r="P107" s="5"/>
      <c r="Q107" s="5"/>
      <c r="R107" s="106">
        <v>0</v>
      </c>
      <c r="S107" s="106">
        <v>0</v>
      </c>
      <c r="T107" s="5"/>
      <c r="U107" s="5"/>
      <c r="V107" s="32"/>
      <c r="W107" s="5"/>
      <c r="AB107" s="200">
        <f t="shared" si="11"/>
        <v>627</v>
      </c>
      <c r="AC107" s="4"/>
      <c r="AD107" s="32"/>
      <c r="AE107" s="32"/>
    </row>
    <row r="108" spans="1:32">
      <c r="A108" s="129"/>
      <c r="B108" s="32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5">
        <v>9</v>
      </c>
      <c r="O108" s="4"/>
      <c r="P108" s="5"/>
      <c r="Q108" s="5"/>
      <c r="R108" s="106">
        <v>0</v>
      </c>
      <c r="S108" s="106">
        <v>0</v>
      </c>
      <c r="T108" s="5"/>
      <c r="U108" s="5"/>
      <c r="V108" s="32"/>
      <c r="W108" s="5"/>
      <c r="AB108" s="200">
        <f t="shared" si="11"/>
        <v>689</v>
      </c>
      <c r="AC108" s="4"/>
      <c r="AD108" s="32"/>
      <c r="AE108" s="32"/>
    </row>
    <row r="109" spans="1:32">
      <c r="A109" s="129"/>
      <c r="B109" s="32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5">
        <v>10</v>
      </c>
      <c r="O109" s="4"/>
      <c r="P109" s="5"/>
      <c r="Q109" s="5"/>
      <c r="R109" s="106">
        <v>0</v>
      </c>
      <c r="S109" s="106">
        <v>0</v>
      </c>
      <c r="T109" s="5"/>
      <c r="U109" s="5"/>
      <c r="V109" s="32"/>
      <c r="W109" s="5"/>
      <c r="AB109" s="200">
        <f t="shared" si="11"/>
        <v>757</v>
      </c>
      <c r="AC109" s="4"/>
      <c r="AD109" s="32"/>
      <c r="AE109" s="32"/>
    </row>
    <row r="110" spans="1:32">
      <c r="A110" s="129">
        <v>2</v>
      </c>
      <c r="B110" s="32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5">
        <v>11</v>
      </c>
      <c r="O110" s="4"/>
      <c r="P110" s="5"/>
      <c r="Q110" s="5"/>
      <c r="R110" s="106">
        <v>0</v>
      </c>
      <c r="S110" s="106">
        <v>0</v>
      </c>
      <c r="T110" s="5"/>
      <c r="U110" s="5"/>
      <c r="V110" s="32"/>
      <c r="W110" s="5"/>
      <c r="AB110" s="200">
        <f t="shared" si="11"/>
        <v>832</v>
      </c>
      <c r="AC110" s="4"/>
      <c r="AD110" s="32"/>
      <c r="AE110" s="32"/>
    </row>
    <row r="111" spans="1:32">
      <c r="A111" s="129"/>
      <c r="B111" s="32">
        <v>112</v>
      </c>
      <c r="C111" s="53" t="str">
        <f>VLOOKUP($B111,一级属性,C$1,)</f>
        <v>哥布林桶</v>
      </c>
      <c r="D111" s="53" t="str">
        <f>VLOOKUP($B111,一级属性,D$1,)</f>
        <v>在任何地方召唤三名哥布林。这将是场令人兴奋的旅行, 小伙子们!</v>
      </c>
      <c r="E111" s="32"/>
      <c r="F111" s="53">
        <f t="shared" ref="F111:L111" si="12">VLOOKUP($B111,一级属性,F$1,)</f>
        <v>1</v>
      </c>
      <c r="G111" s="53">
        <f t="shared" si="12"/>
        <v>1</v>
      </c>
      <c r="H111" s="53">
        <f t="shared" si="12"/>
        <v>1</v>
      </c>
      <c r="I111" s="53">
        <f t="shared" si="12"/>
        <v>30</v>
      </c>
      <c r="J111" s="53">
        <f t="shared" si="12"/>
        <v>2</v>
      </c>
      <c r="K111" s="53">
        <f t="shared" si="12"/>
        <v>1409</v>
      </c>
      <c r="L111" s="53">
        <f t="shared" si="12"/>
        <v>2207</v>
      </c>
      <c r="M111" s="32">
        <v>0</v>
      </c>
      <c r="N111" s="5">
        <v>1</v>
      </c>
      <c r="O111" s="53">
        <f>VLOOKUP($B111,一级属性,O$1,)</f>
        <v>4</v>
      </c>
      <c r="P111" s="96">
        <v>0</v>
      </c>
      <c r="Q111" s="96">
        <v>0</v>
      </c>
      <c r="R111" s="106">
        <v>50</v>
      </c>
      <c r="S111" s="106">
        <v>20</v>
      </c>
      <c r="T111" s="32">
        <v>3</v>
      </c>
      <c r="U111" s="32">
        <v>3</v>
      </c>
      <c r="V111" s="32">
        <v>6</v>
      </c>
      <c r="W111" s="96">
        <v>0</v>
      </c>
      <c r="X111" s="96">
        <v>0</v>
      </c>
      <c r="Y111" s="96">
        <v>0</v>
      </c>
      <c r="Z111" s="96">
        <v>0</v>
      </c>
      <c r="AA111" s="96">
        <v>0</v>
      </c>
      <c r="AB111" s="96">
        <v>0</v>
      </c>
      <c r="AC111" s="53">
        <v>1000</v>
      </c>
      <c r="AD111" s="35">
        <f>AE111*30</f>
        <v>45</v>
      </c>
      <c r="AE111" s="32">
        <v>1.5</v>
      </c>
      <c r="AF111" s="106"/>
    </row>
    <row r="112" spans="1:32">
      <c r="A112" s="129"/>
      <c r="B112" s="32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5">
        <v>2</v>
      </c>
      <c r="O112" s="4"/>
      <c r="P112" s="5"/>
      <c r="Q112" s="5"/>
      <c r="R112" s="106">
        <v>55</v>
      </c>
      <c r="S112" s="106">
        <v>22</v>
      </c>
      <c r="T112" s="5"/>
      <c r="U112" s="5"/>
      <c r="V112" s="32">
        <v>7</v>
      </c>
      <c r="W112" s="5"/>
      <c r="AC112" s="4"/>
      <c r="AD112" s="32"/>
      <c r="AE112" s="32"/>
      <c r="AF112" s="106"/>
    </row>
    <row r="113" spans="1:32">
      <c r="A113" s="129"/>
      <c r="B113" s="32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5">
        <v>3</v>
      </c>
      <c r="O113" s="4"/>
      <c r="P113" s="5"/>
      <c r="Q113" s="5"/>
      <c r="R113" s="106">
        <v>60</v>
      </c>
      <c r="S113" s="106">
        <v>24</v>
      </c>
      <c r="T113" s="5"/>
      <c r="U113" s="5"/>
      <c r="V113" s="32">
        <v>8</v>
      </c>
      <c r="W113" s="5"/>
      <c r="AC113" s="4"/>
      <c r="AD113" s="32"/>
      <c r="AE113" s="32"/>
      <c r="AF113" s="106"/>
    </row>
    <row r="114" spans="1:32">
      <c r="A114" s="129"/>
      <c r="B114" s="32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5">
        <v>4</v>
      </c>
      <c r="O114" s="4"/>
      <c r="P114" s="5"/>
      <c r="Q114" s="5"/>
      <c r="R114" s="106">
        <v>66</v>
      </c>
      <c r="S114" s="106">
        <v>27</v>
      </c>
      <c r="T114" s="5"/>
      <c r="U114" s="5"/>
      <c r="V114" s="32">
        <v>9</v>
      </c>
      <c r="W114" s="5"/>
      <c r="AC114" s="4"/>
      <c r="AD114" s="32"/>
      <c r="AE114" s="32"/>
    </row>
    <row r="115" spans="1:32">
      <c r="A115" s="129"/>
      <c r="B115" s="32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5">
        <v>5</v>
      </c>
      <c r="O115" s="4"/>
      <c r="P115" s="5"/>
      <c r="Q115" s="5"/>
      <c r="R115" s="106">
        <v>73</v>
      </c>
      <c r="S115" s="106">
        <v>30</v>
      </c>
      <c r="T115" s="5"/>
      <c r="U115" s="5"/>
      <c r="V115" s="32">
        <v>10</v>
      </c>
      <c r="W115" s="5"/>
      <c r="AC115" s="4"/>
      <c r="AD115" s="32"/>
      <c r="AE115" s="32"/>
    </row>
    <row r="116" spans="1:32">
      <c r="A116" s="129"/>
      <c r="B116" s="32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5">
        <v>6</v>
      </c>
      <c r="O116" s="4"/>
      <c r="P116" s="5"/>
      <c r="Q116" s="5"/>
      <c r="R116" s="106">
        <v>80</v>
      </c>
      <c r="S116" s="106">
        <v>32</v>
      </c>
      <c r="T116" s="5"/>
      <c r="U116" s="5"/>
      <c r="V116" s="32">
        <v>11</v>
      </c>
      <c r="W116" s="5"/>
      <c r="AC116" s="4"/>
      <c r="AD116" s="32"/>
      <c r="AE116" s="32"/>
    </row>
    <row r="117" spans="1:32">
      <c r="A117" s="129"/>
      <c r="B117" s="32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5">
        <v>7</v>
      </c>
      <c r="O117" s="4"/>
      <c r="P117" s="5"/>
      <c r="Q117" s="5"/>
      <c r="R117" s="106">
        <v>88</v>
      </c>
      <c r="S117" s="106">
        <v>36</v>
      </c>
      <c r="T117" s="5"/>
      <c r="U117" s="5"/>
      <c r="V117" s="32">
        <v>12</v>
      </c>
      <c r="W117" s="5"/>
      <c r="AC117" s="4"/>
      <c r="AD117" s="32"/>
      <c r="AE117" s="32"/>
    </row>
    <row r="118" spans="1:32">
      <c r="A118" s="129"/>
      <c r="B118" s="32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5">
        <v>8</v>
      </c>
      <c r="O118" s="4"/>
      <c r="P118" s="5"/>
      <c r="Q118" s="5"/>
      <c r="R118" s="106">
        <v>96</v>
      </c>
      <c r="S118" s="106">
        <v>39</v>
      </c>
      <c r="T118" s="5"/>
      <c r="U118" s="5"/>
      <c r="V118" s="32">
        <v>13</v>
      </c>
      <c r="W118" s="5"/>
      <c r="AC118" s="4"/>
      <c r="AD118" s="32"/>
      <c r="AE118" s="32"/>
    </row>
  </sheetData>
  <phoneticPr fontId="1" type="noConversion"/>
  <hyperlinks>
    <hyperlink ref="R69" r:id="rId1" display="http://clashroyale.wikia.com/wiki/Poison?action=edit"/>
    <hyperlink ref="S69" r:id="rId2" display="http://clashroyale.wikia.com/wiki/Poison?action=edit"/>
    <hyperlink ref="R70" r:id="rId3" display="http://clashroyale.wikia.com/wiki/Poison?action=edit"/>
    <hyperlink ref="S70" r:id="rId4" display="http://clashroyale.wikia.com/wiki/Poison?action=edit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export_1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2</xdr:col>
                    <xdr:colOff>752475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8" name="Button 11">
              <controlPr defaultSize="0" print="0" autoFill="0" autoPict="0" macro="[0]!export_2">
                <anchor moveWithCells="1" sizeWithCells="1">
                  <from>
                    <xdr:col>2</xdr:col>
                    <xdr:colOff>104775</xdr:colOff>
                    <xdr:row>3</xdr:row>
                    <xdr:rowOff>0</xdr:rowOff>
                  </from>
                  <to>
                    <xdr:col>2</xdr:col>
                    <xdr:colOff>857250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119"/>
  <sheetViews>
    <sheetView tabSelected="1" workbookViewId="0">
      <pane xSplit="3" ySplit="6" topLeftCell="D95" activePane="bottomRight" state="frozen"/>
      <selection pane="topRight" activeCell="D1" sqref="D1"/>
      <selection pane="bottomLeft" activeCell="A7" sqref="A7"/>
      <selection pane="bottomRight" activeCell="G108" sqref="G108"/>
    </sheetView>
  </sheetViews>
  <sheetFormatPr defaultRowHeight="13.5"/>
  <cols>
    <col min="1" max="1" width="1.75" customWidth="1"/>
    <col min="2" max="2" width="5" customWidth="1"/>
    <col min="3" max="3" width="11" customWidth="1"/>
    <col min="4" max="5" width="11.875" customWidth="1"/>
    <col min="6" max="7" width="11.625" bestFit="1" customWidth="1"/>
    <col min="8" max="8" width="15" bestFit="1" customWidth="1"/>
    <col min="9" max="12" width="11.625" bestFit="1" customWidth="1"/>
    <col min="13" max="13" width="11.625" customWidth="1"/>
    <col min="14" max="14" width="11.625" bestFit="1" customWidth="1"/>
    <col min="15" max="15" width="10.625" style="27" customWidth="1"/>
    <col min="16" max="16" width="8.5" style="27" customWidth="1"/>
    <col min="20" max="21" width="5.875" customWidth="1"/>
    <col min="24" max="24" width="4.875" customWidth="1"/>
    <col min="25" max="27" width="6.125" customWidth="1"/>
    <col min="28" max="29" width="5" customWidth="1"/>
    <col min="30" max="31" width="6.125" customWidth="1"/>
    <col min="32" max="32" width="6.375" customWidth="1"/>
    <col min="33" max="34" width="5.25" customWidth="1"/>
    <col min="36" max="36" width="5.75" customWidth="1"/>
    <col min="37" max="37" width="5.375" customWidth="1"/>
    <col min="38" max="38" width="5.25" customWidth="1"/>
    <col min="39" max="39" width="5.375" customWidth="1"/>
    <col min="40" max="40" width="7.625" customWidth="1"/>
  </cols>
  <sheetData>
    <row r="1" spans="1:40">
      <c r="A1" s="31"/>
      <c r="B1" s="36" t="s">
        <v>12</v>
      </c>
      <c r="C1" s="53">
        <f>MATCH(C6,一级属性!1:1,)</f>
        <v>2</v>
      </c>
      <c r="D1" s="53">
        <f>MATCH(D6,一级属性!1:1,)</f>
        <v>31</v>
      </c>
      <c r="E1" s="31"/>
      <c r="F1" s="53">
        <f>MATCH(F6,一级属性!1:1,)</f>
        <v>4</v>
      </c>
      <c r="G1" s="53">
        <f>MATCH(G6,一级属性!1:1,)</f>
        <v>5</v>
      </c>
      <c r="H1" s="53">
        <f>MATCH(H6,一级属性!1:1,)</f>
        <v>6</v>
      </c>
      <c r="I1" s="53">
        <f>MATCH(I6,一级属性!1:1,)</f>
        <v>7</v>
      </c>
      <c r="J1" s="53">
        <f>MATCH(J6,一级属性!1:1,)</f>
        <v>8</v>
      </c>
      <c r="K1" s="53">
        <f>MATCH(K6,一级属性!1:1,)</f>
        <v>10</v>
      </c>
      <c r="L1" s="53">
        <f>MATCH(L6,一级属性!1:1,)</f>
        <v>11</v>
      </c>
      <c r="M1" s="53"/>
      <c r="O1" s="53">
        <f>MATCH(O6,一级属性!1:1,)</f>
        <v>9</v>
      </c>
      <c r="P1" s="53"/>
      <c r="T1" s="53">
        <f>MATCH(T6,一级属性!1:1,)</f>
        <v>29</v>
      </c>
      <c r="U1" s="53">
        <f>MATCH(U6,一级属性!1:1,)</f>
        <v>30</v>
      </c>
      <c r="V1" s="53">
        <f>MATCH(V6,一级属性!1:1,)</f>
        <v>16</v>
      </c>
      <c r="W1" s="53">
        <f>MATCH(W6,一级属性!1:1,)</f>
        <v>18</v>
      </c>
      <c r="Z1" s="53">
        <f>MATCH(Z6,一级属性!1:1,)</f>
        <v>19</v>
      </c>
      <c r="AA1" s="53">
        <f>MATCH(AA6,一级属性!1:1,)</f>
        <v>24</v>
      </c>
      <c r="AB1" s="53">
        <f>MATCH(AB6,一级属性!1:1,)</f>
        <v>20</v>
      </c>
      <c r="AC1" s="53">
        <f>MATCH(AC6,一级属性!1:1,)</f>
        <v>25</v>
      </c>
      <c r="AD1" s="53"/>
      <c r="AE1" s="53">
        <f>MATCH(AE6,一级属性!1:1,)</f>
        <v>22</v>
      </c>
      <c r="AM1" s="53">
        <f>MATCH(AM6,一级属性!1:1,)</f>
        <v>12</v>
      </c>
      <c r="AN1" s="37" t="s">
        <v>13</v>
      </c>
    </row>
    <row r="2" spans="1:40" ht="14.25">
      <c r="A2" s="4"/>
      <c r="B2" s="2" t="s">
        <v>68</v>
      </c>
      <c r="C2" s="21" t="s">
        <v>25</v>
      </c>
      <c r="D2" s="39" t="s">
        <v>108</v>
      </c>
      <c r="E2" s="39" t="s">
        <v>109</v>
      </c>
      <c r="F2" s="15" t="s">
        <v>69</v>
      </c>
      <c r="G2" s="15" t="s">
        <v>94</v>
      </c>
      <c r="H2" s="15" t="s">
        <v>70</v>
      </c>
      <c r="I2" s="15" t="s">
        <v>71</v>
      </c>
      <c r="J2" s="15" t="s">
        <v>89</v>
      </c>
      <c r="K2" s="15" t="s">
        <v>252</v>
      </c>
      <c r="L2" s="15" t="s">
        <v>254</v>
      </c>
      <c r="M2" s="15" t="s">
        <v>799</v>
      </c>
      <c r="N2" s="21" t="s">
        <v>357</v>
      </c>
      <c r="O2" s="23" t="s">
        <v>358</v>
      </c>
      <c r="P2" s="23" t="s">
        <v>359</v>
      </c>
      <c r="Q2" s="15" t="s">
        <v>27</v>
      </c>
      <c r="R2" s="26" t="s">
        <v>28</v>
      </c>
      <c r="S2" t="s">
        <v>364</v>
      </c>
      <c r="T2" s="26" t="s">
        <v>116</v>
      </c>
      <c r="U2" s="26" t="s">
        <v>394</v>
      </c>
      <c r="V2" s="26" t="s">
        <v>30</v>
      </c>
      <c r="W2" s="26" t="s">
        <v>117</v>
      </c>
      <c r="X2" s="25" t="s">
        <v>367</v>
      </c>
      <c r="Y2" s="81" t="s">
        <v>368</v>
      </c>
      <c r="Z2" s="26" t="s">
        <v>223</v>
      </c>
      <c r="AA2" s="26" t="s">
        <v>387</v>
      </c>
      <c r="AB2" s="26" t="s">
        <v>118</v>
      </c>
      <c r="AC2" s="26" t="s">
        <v>119</v>
      </c>
      <c r="AD2" s="26" t="s">
        <v>395</v>
      </c>
      <c r="AE2" s="26" t="s">
        <v>276</v>
      </c>
      <c r="AF2" s="26" t="s">
        <v>125</v>
      </c>
      <c r="AG2" s="26" t="s">
        <v>126</v>
      </c>
      <c r="AH2" s="26" t="s">
        <v>224</v>
      </c>
      <c r="AI2" s="26" t="s">
        <v>127</v>
      </c>
      <c r="AJ2" s="26" t="s">
        <v>128</v>
      </c>
      <c r="AK2" s="26" t="s">
        <v>129</v>
      </c>
      <c r="AL2" s="26" t="s">
        <v>130</v>
      </c>
      <c r="AM2" s="26" t="s">
        <v>204</v>
      </c>
      <c r="AN2" s="5" t="s">
        <v>377</v>
      </c>
    </row>
    <row r="3" spans="1:40">
      <c r="A3" s="4"/>
      <c r="B3" s="16" t="s">
        <v>14</v>
      </c>
      <c r="C3" s="18" t="s">
        <v>101</v>
      </c>
      <c r="D3" s="39" t="s">
        <v>110</v>
      </c>
      <c r="E3" s="39" t="s">
        <v>111</v>
      </c>
      <c r="F3" s="16" t="s">
        <v>14</v>
      </c>
      <c r="G3" s="16" t="s">
        <v>14</v>
      </c>
      <c r="H3" s="16" t="s">
        <v>14</v>
      </c>
      <c r="I3" s="18" t="s">
        <v>86</v>
      </c>
      <c r="J3" s="18" t="s">
        <v>104</v>
      </c>
      <c r="K3" s="39" t="s">
        <v>110</v>
      </c>
      <c r="L3" s="39" t="s">
        <v>110</v>
      </c>
      <c r="M3" t="s">
        <v>91</v>
      </c>
      <c r="N3" s="18" t="s">
        <v>360</v>
      </c>
      <c r="O3" s="18" t="s">
        <v>345</v>
      </c>
      <c r="P3" s="18" t="s">
        <v>77</v>
      </c>
      <c r="Q3" t="s">
        <v>363</v>
      </c>
      <c r="R3" t="s">
        <v>363</v>
      </c>
      <c r="S3" t="s">
        <v>363</v>
      </c>
      <c r="T3" t="s">
        <v>32</v>
      </c>
      <c r="U3" t="s">
        <v>93</v>
      </c>
      <c r="V3" t="s">
        <v>32</v>
      </c>
      <c r="W3" t="s">
        <v>32</v>
      </c>
      <c r="X3" t="s">
        <v>32</v>
      </c>
      <c r="Y3" t="s">
        <v>32</v>
      </c>
      <c r="Z3" t="s">
        <v>32</v>
      </c>
      <c r="AA3" t="s">
        <v>32</v>
      </c>
      <c r="AB3" t="s">
        <v>32</v>
      </c>
      <c r="AC3" t="s">
        <v>32</v>
      </c>
      <c r="AD3" t="s">
        <v>32</v>
      </c>
      <c r="AE3" s="39" t="s">
        <v>110</v>
      </c>
      <c r="AF3" t="s">
        <v>32</v>
      </c>
      <c r="AG3" t="s">
        <v>32</v>
      </c>
      <c r="AH3" t="s">
        <v>32</v>
      </c>
      <c r="AI3" t="s">
        <v>14</v>
      </c>
      <c r="AJ3" t="s">
        <v>32</v>
      </c>
      <c r="AK3" t="s">
        <v>14</v>
      </c>
      <c r="AL3" t="s">
        <v>32</v>
      </c>
      <c r="AM3" t="s">
        <v>32</v>
      </c>
      <c r="AN3" s="18" t="s">
        <v>345</v>
      </c>
    </row>
    <row r="4" spans="1:40" ht="14.25">
      <c r="A4" s="4"/>
      <c r="B4" s="17" t="s">
        <v>15</v>
      </c>
      <c r="C4" s="17" t="s">
        <v>15</v>
      </c>
      <c r="D4" s="39"/>
      <c r="E4" s="39"/>
      <c r="F4" s="17" t="s">
        <v>15</v>
      </c>
      <c r="G4" s="17" t="s">
        <v>15</v>
      </c>
      <c r="H4" s="17" t="s">
        <v>15</v>
      </c>
      <c r="I4" s="17" t="s">
        <v>15</v>
      </c>
      <c r="J4" s="17" t="s">
        <v>15</v>
      </c>
      <c r="K4" s="17" t="s">
        <v>15</v>
      </c>
      <c r="M4" t="s">
        <v>92</v>
      </c>
      <c r="N4" s="17" t="s">
        <v>15</v>
      </c>
      <c r="O4" s="17" t="s">
        <v>15</v>
      </c>
      <c r="P4" s="17"/>
      <c r="Q4" t="s">
        <v>349</v>
      </c>
      <c r="R4" t="s">
        <v>349</v>
      </c>
      <c r="S4" t="s">
        <v>349</v>
      </c>
      <c r="T4" t="s">
        <v>349</v>
      </c>
      <c r="U4" t="s">
        <v>92</v>
      </c>
      <c r="V4" t="s">
        <v>349</v>
      </c>
      <c r="W4" t="s">
        <v>349</v>
      </c>
      <c r="X4" t="s">
        <v>349</v>
      </c>
      <c r="Y4" t="s">
        <v>349</v>
      </c>
      <c r="Z4" t="s">
        <v>349</v>
      </c>
      <c r="AA4" t="s">
        <v>92</v>
      </c>
      <c r="AB4" t="s">
        <v>349</v>
      </c>
      <c r="AC4" t="s">
        <v>92</v>
      </c>
      <c r="AD4" t="s">
        <v>92</v>
      </c>
      <c r="AE4" t="s">
        <v>349</v>
      </c>
      <c r="AF4" t="s">
        <v>386</v>
      </c>
      <c r="AG4" t="s">
        <v>349</v>
      </c>
      <c r="AH4" t="s">
        <v>349</v>
      </c>
      <c r="AI4" t="s">
        <v>349</v>
      </c>
      <c r="AJ4" t="s">
        <v>349</v>
      </c>
      <c r="AK4" t="s">
        <v>349</v>
      </c>
      <c r="AL4" t="s">
        <v>349</v>
      </c>
      <c r="AM4" t="s">
        <v>349</v>
      </c>
      <c r="AN4" s="17" t="s">
        <v>15</v>
      </c>
    </row>
    <row r="5" spans="1:40">
      <c r="A5" s="31"/>
      <c r="B5" s="31" t="s">
        <v>16</v>
      </c>
      <c r="C5" s="31" t="s">
        <v>16</v>
      </c>
      <c r="F5" s="31" t="s">
        <v>16</v>
      </c>
      <c r="G5" s="31" t="s">
        <v>16</v>
      </c>
      <c r="H5" s="31" t="s">
        <v>16</v>
      </c>
      <c r="I5" s="31" t="s">
        <v>16</v>
      </c>
      <c r="J5" s="31" t="s">
        <v>16</v>
      </c>
      <c r="K5" t="s">
        <v>16</v>
      </c>
      <c r="M5" t="s">
        <v>16</v>
      </c>
      <c r="N5" s="31"/>
      <c r="O5" s="14" t="s">
        <v>16</v>
      </c>
      <c r="P5" s="14"/>
      <c r="Q5" t="s">
        <v>16</v>
      </c>
      <c r="R5" t="s">
        <v>16</v>
      </c>
      <c r="S5" t="s">
        <v>16</v>
      </c>
      <c r="T5" t="s">
        <v>16</v>
      </c>
      <c r="U5" t="s">
        <v>16</v>
      </c>
      <c r="V5" t="s">
        <v>16</v>
      </c>
      <c r="W5" t="s">
        <v>16</v>
      </c>
      <c r="X5" t="s">
        <v>16</v>
      </c>
      <c r="Y5" t="s">
        <v>16</v>
      </c>
      <c r="Z5" t="s">
        <v>16</v>
      </c>
      <c r="AA5" t="s">
        <v>16</v>
      </c>
      <c r="AB5" t="s">
        <v>385</v>
      </c>
      <c r="AC5" t="s">
        <v>16</v>
      </c>
      <c r="AD5" t="s">
        <v>385</v>
      </c>
      <c r="AE5" t="s">
        <v>385</v>
      </c>
      <c r="AF5" t="s">
        <v>385</v>
      </c>
      <c r="AG5" t="s">
        <v>16</v>
      </c>
      <c r="AH5" t="s">
        <v>16</v>
      </c>
      <c r="AI5" t="s">
        <v>16</v>
      </c>
      <c r="AJ5" t="s">
        <v>385</v>
      </c>
      <c r="AK5" t="s">
        <v>16</v>
      </c>
      <c r="AL5" t="s">
        <v>16</v>
      </c>
      <c r="AM5" t="s">
        <v>16</v>
      </c>
      <c r="AN5" s="31" t="s">
        <v>16</v>
      </c>
    </row>
    <row r="6" spans="1:40" ht="57">
      <c r="A6" s="31"/>
      <c r="B6" s="29" t="s">
        <v>68</v>
      </c>
      <c r="C6" s="21" t="s">
        <v>179</v>
      </c>
      <c r="D6" s="21" t="s">
        <v>112</v>
      </c>
      <c r="E6" s="21" t="s">
        <v>114</v>
      </c>
      <c r="F6" s="22" t="s">
        <v>49</v>
      </c>
      <c r="G6" s="20" t="s">
        <v>50</v>
      </c>
      <c r="H6" s="20" t="s">
        <v>47</v>
      </c>
      <c r="I6" s="20" t="s">
        <v>51</v>
      </c>
      <c r="J6" s="20" t="s">
        <v>17</v>
      </c>
      <c r="K6" s="20" t="s">
        <v>251</v>
      </c>
      <c r="L6" s="20" t="s">
        <v>253</v>
      </c>
      <c r="M6" s="20" t="s">
        <v>796</v>
      </c>
      <c r="N6" s="21" t="s">
        <v>361</v>
      </c>
      <c r="O6" s="21" t="s">
        <v>362</v>
      </c>
      <c r="P6" s="21" t="s">
        <v>250</v>
      </c>
      <c r="Q6" s="63" t="s">
        <v>33</v>
      </c>
      <c r="R6" s="63" t="s">
        <v>34</v>
      </c>
      <c r="S6" s="5" t="s">
        <v>198</v>
      </c>
      <c r="T6" s="63" t="s">
        <v>35</v>
      </c>
      <c r="U6" s="63" t="s">
        <v>393</v>
      </c>
      <c r="V6" s="55" t="s">
        <v>37</v>
      </c>
      <c r="W6" s="55" t="s">
        <v>38</v>
      </c>
      <c r="X6" s="63" t="s">
        <v>365</v>
      </c>
      <c r="Y6" s="55" t="s">
        <v>366</v>
      </c>
      <c r="Z6" s="55" t="s">
        <v>369</v>
      </c>
      <c r="AA6" s="55" t="s">
        <v>388</v>
      </c>
      <c r="AB6" s="63" t="s">
        <v>39</v>
      </c>
      <c r="AC6" s="55" t="s">
        <v>40</v>
      </c>
      <c r="AD6" s="63" t="s">
        <v>396</v>
      </c>
      <c r="AE6" s="63" t="s">
        <v>275</v>
      </c>
      <c r="AF6" s="64" t="s">
        <v>371</v>
      </c>
      <c r="AG6" s="63" t="s">
        <v>350</v>
      </c>
      <c r="AH6" s="63" t="s">
        <v>372</v>
      </c>
      <c r="AI6" s="63" t="s">
        <v>373</v>
      </c>
      <c r="AJ6" s="57" t="s">
        <v>374</v>
      </c>
      <c r="AK6" s="55" t="s">
        <v>375</v>
      </c>
      <c r="AL6" s="55" t="s">
        <v>376</v>
      </c>
      <c r="AM6" s="60" t="s">
        <v>196</v>
      </c>
      <c r="AN6" s="62" t="s">
        <v>378</v>
      </c>
    </row>
    <row r="7" spans="1:40">
      <c r="A7" s="130" t="s">
        <v>87</v>
      </c>
      <c r="B7" s="32">
        <v>201</v>
      </c>
      <c r="C7" s="53" t="str">
        <f>VLOOKUP($B7,一级属性,C$1,)</f>
        <v>加农炮</v>
      </c>
      <c r="D7" s="53" t="str">
        <f>VLOOKUP($B7,一级属性,D$1,)</f>
        <v>防御建筑，发射炮弹炸碎地面部队。</v>
      </c>
      <c r="E7" s="32"/>
      <c r="F7" s="53">
        <f t="shared" ref="F7:L7" si="0">VLOOKUP($B7,一级属性,F$1,)</f>
        <v>1</v>
      </c>
      <c r="G7" s="53">
        <f t="shared" si="0"/>
        <v>3</v>
      </c>
      <c r="H7" s="53">
        <f t="shared" si="0"/>
        <v>0</v>
      </c>
      <c r="I7" s="53">
        <f t="shared" si="0"/>
        <v>130</v>
      </c>
      <c r="J7" s="53">
        <f t="shared" si="0"/>
        <v>0</v>
      </c>
      <c r="K7" s="53">
        <f t="shared" si="0"/>
        <v>1004</v>
      </c>
      <c r="L7" s="53">
        <f t="shared" si="0"/>
        <v>2004</v>
      </c>
      <c r="M7" s="28">
        <v>1</v>
      </c>
      <c r="N7" s="5">
        <v>1</v>
      </c>
      <c r="O7" s="53">
        <f>VLOOKUP($B7,一级属性,O$1,)</f>
        <v>3</v>
      </c>
      <c r="P7" s="95">
        <v>0</v>
      </c>
      <c r="Q7" s="38">
        <v>400</v>
      </c>
      <c r="R7" s="38">
        <v>60</v>
      </c>
      <c r="S7" s="95">
        <v>0</v>
      </c>
      <c r="T7" s="53">
        <f t="shared" ref="T7" si="1">VLOOKUP($B7,一级属性,T$1,)</f>
        <v>800</v>
      </c>
      <c r="U7" s="53">
        <f t="shared" ref="U7:W7" si="2">VLOOKUP($B7,一级属性,U$1,)</f>
        <v>33</v>
      </c>
      <c r="V7" s="53">
        <f t="shared" si="2"/>
        <v>4</v>
      </c>
      <c r="W7" s="53">
        <f t="shared" si="2"/>
        <v>27</v>
      </c>
      <c r="X7" s="27">
        <v>0</v>
      </c>
      <c r="Y7" s="27">
        <v>1</v>
      </c>
      <c r="Z7" s="53">
        <f t="shared" ref="Z7:AE7" si="3">VLOOKUP($B7,一级属性,Z$1,)</f>
        <v>0</v>
      </c>
      <c r="AA7" s="53" t="str">
        <f t="shared" si="3"/>
        <v>2000</v>
      </c>
      <c r="AB7" s="53">
        <f t="shared" si="3"/>
        <v>165</v>
      </c>
      <c r="AC7" s="53">
        <f t="shared" si="3"/>
        <v>5000</v>
      </c>
      <c r="AD7" s="95">
        <v>0</v>
      </c>
      <c r="AE7" s="53">
        <f t="shared" si="3"/>
        <v>6</v>
      </c>
      <c r="AF7" s="95">
        <v>0</v>
      </c>
      <c r="AG7" s="95">
        <v>0</v>
      </c>
      <c r="AH7" s="95">
        <v>0</v>
      </c>
      <c r="AI7" s="95">
        <v>0</v>
      </c>
      <c r="AJ7" s="95">
        <v>0</v>
      </c>
      <c r="AK7" s="95">
        <v>0</v>
      </c>
      <c r="AL7" s="95">
        <v>0</v>
      </c>
      <c r="AM7" s="53">
        <f>VLOOKUP($B7,一级属性,AM$1,)</f>
        <v>1000</v>
      </c>
      <c r="AN7" s="27">
        <v>30000</v>
      </c>
    </row>
    <row r="8" spans="1:40">
      <c r="A8" s="131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5">
        <v>2</v>
      </c>
      <c r="O8" s="32"/>
      <c r="P8" s="32"/>
      <c r="Q8" s="38">
        <v>440</v>
      </c>
      <c r="R8" s="38">
        <v>66</v>
      </c>
      <c r="S8" s="95">
        <v>0</v>
      </c>
      <c r="T8" s="27"/>
      <c r="U8" s="32"/>
      <c r="V8" s="32"/>
      <c r="W8" s="32"/>
      <c r="X8" s="27"/>
      <c r="Y8" s="27"/>
      <c r="Z8" s="32"/>
      <c r="AA8" s="32"/>
      <c r="AB8" s="32"/>
      <c r="AC8" s="32"/>
      <c r="AD8" s="32"/>
      <c r="AE8" s="32"/>
      <c r="AM8" s="32"/>
    </row>
    <row r="9" spans="1:40">
      <c r="A9" s="131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5">
        <v>3</v>
      </c>
      <c r="O9" s="32"/>
      <c r="P9" s="32"/>
      <c r="Q9" s="38">
        <v>484</v>
      </c>
      <c r="R9" s="38">
        <v>72</v>
      </c>
      <c r="S9" s="95">
        <v>0</v>
      </c>
      <c r="T9" s="27"/>
      <c r="U9" s="32"/>
      <c r="V9" s="32"/>
      <c r="W9" s="32"/>
      <c r="X9" s="27"/>
      <c r="Y9" s="27"/>
      <c r="Z9" s="32"/>
      <c r="AA9" s="32"/>
      <c r="AB9" s="32"/>
      <c r="AC9" s="32"/>
      <c r="AD9" s="32"/>
      <c r="AE9" s="32"/>
      <c r="AM9" s="32"/>
    </row>
    <row r="10" spans="1:40">
      <c r="A10" s="13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5">
        <v>4</v>
      </c>
      <c r="O10" s="32"/>
      <c r="P10" s="32"/>
      <c r="Q10" s="38">
        <v>532</v>
      </c>
      <c r="R10" s="38">
        <v>79</v>
      </c>
      <c r="S10" s="95">
        <v>0</v>
      </c>
      <c r="T10" s="27"/>
      <c r="U10" s="32"/>
      <c r="V10" s="32"/>
      <c r="W10" s="32"/>
      <c r="X10" s="27"/>
      <c r="Y10" s="27"/>
      <c r="Z10" s="32"/>
      <c r="AA10" s="32"/>
      <c r="AB10" s="32"/>
      <c r="AC10" s="32"/>
      <c r="AD10" s="32"/>
      <c r="AE10" s="32"/>
      <c r="AM10" s="32"/>
    </row>
    <row r="11" spans="1:40">
      <c r="A11" s="13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5">
        <v>5</v>
      </c>
      <c r="O11" s="32"/>
      <c r="P11" s="32"/>
      <c r="Q11" s="38">
        <v>584</v>
      </c>
      <c r="R11" s="38">
        <v>85</v>
      </c>
      <c r="S11" s="95">
        <v>0</v>
      </c>
      <c r="T11" s="27"/>
      <c r="U11" s="32"/>
      <c r="V11" s="32"/>
      <c r="W11" s="32"/>
      <c r="X11" s="27"/>
      <c r="Y11" s="27"/>
      <c r="Z11" s="32"/>
      <c r="AA11" s="32"/>
      <c r="AB11" s="32"/>
      <c r="AC11" s="32"/>
      <c r="AD11" s="32"/>
      <c r="AE11" s="32"/>
      <c r="AM11" s="32"/>
    </row>
    <row r="12" spans="1:40">
      <c r="A12" s="13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5">
        <v>6</v>
      </c>
      <c r="O12" s="32"/>
      <c r="P12" s="32"/>
      <c r="Q12" s="38">
        <v>640</v>
      </c>
      <c r="R12" s="38">
        <v>96</v>
      </c>
      <c r="S12" s="95">
        <v>0</v>
      </c>
      <c r="T12" s="27"/>
      <c r="U12" s="32"/>
      <c r="V12" s="32"/>
      <c r="W12" s="32"/>
      <c r="X12" s="27"/>
      <c r="Y12" s="27"/>
      <c r="Z12" s="32"/>
      <c r="AA12" s="32"/>
      <c r="AB12" s="32"/>
      <c r="AC12" s="32"/>
      <c r="AD12" s="32"/>
      <c r="AE12" s="32"/>
      <c r="AM12" s="32"/>
    </row>
    <row r="13" spans="1:40">
      <c r="A13" s="13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5">
        <v>7</v>
      </c>
      <c r="O13" s="32"/>
      <c r="P13" s="32"/>
      <c r="Q13" s="38">
        <v>704</v>
      </c>
      <c r="R13" s="38">
        <v>105</v>
      </c>
      <c r="S13" s="95">
        <v>0</v>
      </c>
      <c r="T13" s="27"/>
      <c r="U13" s="32"/>
      <c r="V13" s="32"/>
      <c r="W13" s="32"/>
      <c r="X13" s="27"/>
      <c r="Y13" s="27"/>
      <c r="Z13" s="32"/>
      <c r="AA13" s="32"/>
      <c r="AB13" s="32"/>
      <c r="AC13" s="32"/>
      <c r="AD13" s="32"/>
      <c r="AE13" s="32"/>
      <c r="AM13" s="32"/>
    </row>
    <row r="14" spans="1:40">
      <c r="A14" s="131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5">
        <v>8</v>
      </c>
      <c r="O14" s="32"/>
      <c r="P14" s="32"/>
      <c r="Q14" s="38">
        <v>772</v>
      </c>
      <c r="R14" s="38">
        <v>115</v>
      </c>
      <c r="S14" s="95">
        <v>0</v>
      </c>
      <c r="T14" s="27"/>
      <c r="U14" s="32"/>
      <c r="V14" s="32"/>
      <c r="W14" s="32"/>
      <c r="X14" s="27"/>
      <c r="Y14" s="27"/>
      <c r="Z14" s="32"/>
      <c r="AA14" s="32"/>
      <c r="AB14" s="32"/>
      <c r="AC14" s="32"/>
      <c r="AD14" s="32"/>
      <c r="AE14" s="32"/>
      <c r="AM14" s="32"/>
    </row>
    <row r="15" spans="1:40">
      <c r="A15" s="131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5">
        <v>9</v>
      </c>
      <c r="O15" s="32"/>
      <c r="P15" s="32"/>
      <c r="Q15" s="38">
        <v>848</v>
      </c>
      <c r="R15" s="38">
        <v>127</v>
      </c>
      <c r="S15" s="95">
        <v>0</v>
      </c>
      <c r="T15" s="27"/>
      <c r="U15" s="32"/>
      <c r="V15" s="32"/>
      <c r="W15" s="32"/>
      <c r="X15" s="27"/>
      <c r="Y15" s="27"/>
      <c r="Z15" s="32"/>
      <c r="AA15" s="32"/>
      <c r="AB15" s="32"/>
      <c r="AC15" s="32"/>
      <c r="AD15" s="32"/>
      <c r="AE15" s="32"/>
      <c r="AM15" s="32"/>
    </row>
    <row r="16" spans="1:40">
      <c r="A16" s="131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5">
        <v>10</v>
      </c>
      <c r="O16" s="32"/>
      <c r="P16" s="32"/>
      <c r="Q16" s="38">
        <v>932</v>
      </c>
      <c r="R16" s="38">
        <v>139</v>
      </c>
      <c r="S16" s="95">
        <v>0</v>
      </c>
      <c r="T16" s="27"/>
      <c r="U16" s="32"/>
      <c r="V16" s="32"/>
      <c r="W16" s="32"/>
      <c r="X16" s="27"/>
      <c r="Y16" s="27"/>
      <c r="Z16" s="32"/>
      <c r="AA16" s="32"/>
      <c r="AB16" s="32"/>
      <c r="AC16" s="32"/>
      <c r="AD16" s="32"/>
      <c r="AE16" s="32"/>
      <c r="AM16" s="32"/>
    </row>
    <row r="17" spans="1:40">
      <c r="A17" s="131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5">
        <v>11</v>
      </c>
      <c r="O17" s="32"/>
      <c r="P17" s="32"/>
      <c r="Q17" s="38">
        <v>1024</v>
      </c>
      <c r="R17" s="38">
        <v>153</v>
      </c>
      <c r="S17" s="95">
        <v>0</v>
      </c>
      <c r="T17" s="27"/>
      <c r="U17" s="32"/>
      <c r="V17" s="32"/>
      <c r="W17" s="32"/>
      <c r="X17" s="27"/>
      <c r="Y17" s="27"/>
      <c r="Z17" s="32"/>
      <c r="AA17" s="32"/>
      <c r="AB17" s="32"/>
      <c r="AC17" s="32"/>
      <c r="AD17" s="32"/>
      <c r="AE17" s="32"/>
      <c r="AM17" s="32"/>
    </row>
    <row r="18" spans="1:40">
      <c r="A18" s="131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5">
        <v>12</v>
      </c>
      <c r="O18" s="32"/>
      <c r="P18" s="32"/>
      <c r="Q18" s="38">
        <v>1124</v>
      </c>
      <c r="R18" s="38">
        <v>168</v>
      </c>
      <c r="S18" s="95">
        <v>0</v>
      </c>
      <c r="T18" s="27"/>
      <c r="U18" s="32"/>
      <c r="V18" s="32"/>
      <c r="W18" s="32"/>
      <c r="X18" s="27"/>
      <c r="Y18" s="27"/>
      <c r="Z18" s="32"/>
      <c r="AA18" s="32"/>
      <c r="AB18" s="32"/>
      <c r="AC18" s="32"/>
      <c r="AD18" s="32"/>
      <c r="AE18" s="32"/>
      <c r="AM18" s="32"/>
    </row>
    <row r="19" spans="1:40">
      <c r="A19" s="131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5">
        <v>13</v>
      </c>
      <c r="O19" s="32"/>
      <c r="P19" s="32"/>
      <c r="Q19" s="38">
        <v>1236</v>
      </c>
      <c r="R19" s="38">
        <v>185</v>
      </c>
      <c r="S19" s="95">
        <v>0</v>
      </c>
      <c r="T19" s="27"/>
      <c r="U19" s="32"/>
      <c r="V19" s="32"/>
      <c r="W19" s="32"/>
      <c r="X19" s="27"/>
      <c r="Y19" s="27"/>
      <c r="Z19" s="32"/>
      <c r="AA19" s="32"/>
      <c r="AB19" s="32"/>
      <c r="AC19" s="32"/>
      <c r="AD19" s="32"/>
      <c r="AE19" s="32"/>
      <c r="AM19" s="32"/>
    </row>
    <row r="20" spans="1:40">
      <c r="A20" s="131"/>
      <c r="B20" s="32">
        <v>204</v>
      </c>
      <c r="C20" s="53" t="str">
        <f>VLOOKUP($B20,一级属性,C$1,)</f>
        <v>骨头营地</v>
      </c>
      <c r="D20" s="53" t="str">
        <f>VLOOKUP($B20,一级属性,D$1,)</f>
        <v>军队建筑，源源不断的召唤出排骨向敌方进军，就算被摧毁，依然可以召唤最后一波排骨扑向敌人。</v>
      </c>
      <c r="E20" s="32"/>
      <c r="F20" s="53">
        <f t="shared" ref="F20:L20" si="4">VLOOKUP($B20,一级属性,F$1,)</f>
        <v>1</v>
      </c>
      <c r="G20" s="53">
        <f t="shared" si="4"/>
        <v>2</v>
      </c>
      <c r="H20" s="53">
        <f t="shared" si="4"/>
        <v>0</v>
      </c>
      <c r="I20" s="53">
        <f t="shared" si="4"/>
        <v>110</v>
      </c>
      <c r="J20" s="53">
        <f t="shared" si="4"/>
        <v>1</v>
      </c>
      <c r="K20" s="53">
        <f t="shared" si="4"/>
        <v>1008</v>
      </c>
      <c r="L20" s="53">
        <f t="shared" si="4"/>
        <v>2008</v>
      </c>
      <c r="M20" s="28">
        <v>0</v>
      </c>
      <c r="N20" s="5">
        <v>1</v>
      </c>
      <c r="O20" s="53">
        <f>VLOOKUP($B20,一级属性,O$1,)</f>
        <v>3</v>
      </c>
      <c r="P20" s="95">
        <v>0</v>
      </c>
      <c r="Q20" s="38">
        <v>200</v>
      </c>
      <c r="R20" s="95">
        <v>0</v>
      </c>
      <c r="S20" s="95">
        <v>0</v>
      </c>
      <c r="T20" s="53">
        <f>VLOOKUP($B20,一级属性,T$1,)</f>
        <v>0</v>
      </c>
      <c r="U20" s="53">
        <f>VLOOKUP($B20,一级属性,U$1,)</f>
        <v>50</v>
      </c>
      <c r="V20" s="53">
        <f>VLOOKUP($B20,一级属性,V$1,)</f>
        <v>4</v>
      </c>
      <c r="W20" s="53">
        <f>VLOOKUP($B20,一级属性,W$1,)</f>
        <v>27</v>
      </c>
      <c r="X20" s="27">
        <v>0</v>
      </c>
      <c r="Y20" s="27">
        <v>0</v>
      </c>
      <c r="Z20" s="53">
        <f>VLOOKUP($B20,一级属性,Z$1,)</f>
        <v>0</v>
      </c>
      <c r="AA20" s="53" t="str">
        <f>VLOOKUP($B20,一级属性,AA$1,)</f>
        <v>2000</v>
      </c>
      <c r="AB20" s="53" t="str">
        <f>VLOOKUP($B20,一级属性,AB$1,)</f>
        <v>0</v>
      </c>
      <c r="AC20" s="53">
        <f>VLOOKUP($B20,一级属性,AC$1,)</f>
        <v>0</v>
      </c>
      <c r="AD20" s="95">
        <v>0</v>
      </c>
      <c r="AE20" s="53">
        <f>VLOOKUP($B20,一级属性,AE$1,)</f>
        <v>0</v>
      </c>
      <c r="AF20">
        <v>2900</v>
      </c>
      <c r="AG20">
        <v>1</v>
      </c>
      <c r="AH20">
        <v>1</v>
      </c>
      <c r="AI20" s="38">
        <v>3</v>
      </c>
      <c r="AJ20">
        <v>4</v>
      </c>
      <c r="AK20">
        <v>1</v>
      </c>
      <c r="AL20" s="38">
        <v>3</v>
      </c>
      <c r="AM20" s="53">
        <f>VLOOKUP($B20,一级属性,AM$1,)</f>
        <v>1000</v>
      </c>
      <c r="AN20">
        <v>40000</v>
      </c>
    </row>
    <row r="21" spans="1:40">
      <c r="A21" s="131"/>
      <c r="B21" s="3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5">
        <v>2</v>
      </c>
      <c r="O21" s="4"/>
      <c r="P21" s="4"/>
      <c r="Q21" s="38">
        <v>220</v>
      </c>
      <c r="R21" s="95">
        <v>0</v>
      </c>
      <c r="S21" s="95">
        <v>0</v>
      </c>
      <c r="T21" s="27"/>
      <c r="U21" s="4"/>
      <c r="V21" s="4"/>
      <c r="W21" s="4"/>
      <c r="X21" s="27"/>
      <c r="Y21" s="27"/>
      <c r="Z21" s="4"/>
      <c r="AA21" s="4"/>
      <c r="AB21" s="4"/>
      <c r="AC21" s="4"/>
      <c r="AD21" s="4"/>
      <c r="AE21" s="4"/>
      <c r="AI21" s="38">
        <v>4</v>
      </c>
      <c r="AL21" s="38">
        <v>4</v>
      </c>
      <c r="AM21" s="4"/>
    </row>
    <row r="22" spans="1:40">
      <c r="A22" s="131"/>
      <c r="B22" s="3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5">
        <v>3</v>
      </c>
      <c r="O22" s="4"/>
      <c r="P22" s="4"/>
      <c r="Q22" s="38">
        <v>242</v>
      </c>
      <c r="R22" s="95">
        <v>0</v>
      </c>
      <c r="S22" s="95">
        <v>0</v>
      </c>
      <c r="T22" s="27"/>
      <c r="U22" s="4"/>
      <c r="V22" s="4"/>
      <c r="W22" s="4"/>
      <c r="X22" s="27"/>
      <c r="Y22" s="27"/>
      <c r="Z22" s="4"/>
      <c r="AA22" s="4"/>
      <c r="AB22" s="4"/>
      <c r="AC22" s="4"/>
      <c r="AD22" s="4"/>
      <c r="AE22" s="4"/>
      <c r="AI22" s="38">
        <v>5</v>
      </c>
      <c r="AL22" s="38">
        <v>5</v>
      </c>
      <c r="AM22" s="4"/>
    </row>
    <row r="23" spans="1:40">
      <c r="A23" s="131"/>
      <c r="B23" s="32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5">
        <v>4</v>
      </c>
      <c r="O23" s="4"/>
      <c r="P23" s="4"/>
      <c r="Q23" s="38">
        <v>266</v>
      </c>
      <c r="R23" s="95">
        <v>0</v>
      </c>
      <c r="S23" s="95">
        <v>0</v>
      </c>
      <c r="T23" s="27"/>
      <c r="U23" s="4"/>
      <c r="V23" s="4"/>
      <c r="W23" s="4"/>
      <c r="X23" s="27"/>
      <c r="Y23" s="27"/>
      <c r="Z23" s="4"/>
      <c r="AA23" s="4"/>
      <c r="AB23" s="4"/>
      <c r="AC23" s="4"/>
      <c r="AD23" s="4"/>
      <c r="AE23" s="4"/>
      <c r="AI23" s="38">
        <v>6</v>
      </c>
      <c r="AL23" s="38">
        <v>6</v>
      </c>
      <c r="AM23" s="4"/>
    </row>
    <row r="24" spans="1:40">
      <c r="A24" s="131"/>
      <c r="B24" s="3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5">
        <v>5</v>
      </c>
      <c r="O24" s="4"/>
      <c r="P24" s="4"/>
      <c r="Q24" s="38">
        <v>292</v>
      </c>
      <c r="R24" s="95">
        <v>0</v>
      </c>
      <c r="S24" s="95">
        <v>0</v>
      </c>
      <c r="T24" s="27"/>
      <c r="U24" s="4"/>
      <c r="V24" s="4"/>
      <c r="W24" s="4"/>
      <c r="X24" s="27"/>
      <c r="Y24" s="27"/>
      <c r="Z24" s="4"/>
      <c r="AA24" s="4"/>
      <c r="AB24" s="4"/>
      <c r="AC24" s="4"/>
      <c r="AD24" s="4"/>
      <c r="AE24" s="4"/>
      <c r="AI24" s="38">
        <v>7</v>
      </c>
      <c r="AL24" s="38">
        <v>7</v>
      </c>
      <c r="AM24" s="4"/>
    </row>
    <row r="25" spans="1:40">
      <c r="A25" s="131"/>
      <c r="B25" s="3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5">
        <v>6</v>
      </c>
      <c r="O25" s="4"/>
      <c r="P25" s="4"/>
      <c r="Q25" s="38">
        <v>320</v>
      </c>
      <c r="R25" s="95">
        <v>0</v>
      </c>
      <c r="S25" s="95">
        <v>0</v>
      </c>
      <c r="T25" s="27"/>
      <c r="U25" s="4"/>
      <c r="V25" s="4"/>
      <c r="W25" s="4"/>
      <c r="X25" s="27"/>
      <c r="Y25" s="27"/>
      <c r="Z25" s="4"/>
      <c r="AA25" s="4"/>
      <c r="AB25" s="4"/>
      <c r="AC25" s="4"/>
      <c r="AD25" s="4"/>
      <c r="AE25" s="4"/>
      <c r="AI25" s="38">
        <v>8</v>
      </c>
      <c r="AL25" s="38">
        <v>8</v>
      </c>
      <c r="AM25" s="4"/>
    </row>
    <row r="26" spans="1:40">
      <c r="A26" s="131"/>
      <c r="B26" s="3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5">
        <v>7</v>
      </c>
      <c r="O26" s="4"/>
      <c r="P26" s="4"/>
      <c r="Q26" s="38">
        <v>352</v>
      </c>
      <c r="R26" s="95">
        <v>0</v>
      </c>
      <c r="S26" s="95">
        <v>0</v>
      </c>
      <c r="T26" s="27"/>
      <c r="U26" s="4"/>
      <c r="V26" s="4"/>
      <c r="W26" s="4"/>
      <c r="X26" s="27"/>
      <c r="Y26" s="27"/>
      <c r="Z26" s="4"/>
      <c r="AA26" s="4"/>
      <c r="AB26" s="4"/>
      <c r="AC26" s="4"/>
      <c r="AD26" s="4"/>
      <c r="AE26" s="4"/>
      <c r="AI26" s="38">
        <v>9</v>
      </c>
      <c r="AL26" s="38">
        <v>9</v>
      </c>
      <c r="AM26" s="4"/>
    </row>
    <row r="27" spans="1:40">
      <c r="A27" s="131"/>
      <c r="B27" s="3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5">
        <v>8</v>
      </c>
      <c r="O27" s="4"/>
      <c r="P27" s="4"/>
      <c r="Q27" s="38">
        <v>386</v>
      </c>
      <c r="R27" s="95">
        <v>0</v>
      </c>
      <c r="S27" s="95">
        <v>0</v>
      </c>
      <c r="T27" s="27"/>
      <c r="U27" s="4"/>
      <c r="V27" s="4"/>
      <c r="W27" s="4"/>
      <c r="X27" s="27"/>
      <c r="Y27" s="27"/>
      <c r="Z27" s="4"/>
      <c r="AA27" s="4"/>
      <c r="AB27" s="4"/>
      <c r="AC27" s="4"/>
      <c r="AD27" s="4"/>
      <c r="AE27" s="4"/>
      <c r="AI27" s="38">
        <v>10</v>
      </c>
      <c r="AL27" s="38">
        <v>10</v>
      </c>
      <c r="AM27" s="4"/>
    </row>
    <row r="28" spans="1:40">
      <c r="A28" s="131"/>
      <c r="B28" s="3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5">
        <v>9</v>
      </c>
      <c r="O28" s="4"/>
      <c r="P28" s="4"/>
      <c r="Q28" s="38">
        <v>424</v>
      </c>
      <c r="R28" s="95">
        <v>0</v>
      </c>
      <c r="S28" s="95">
        <v>0</v>
      </c>
      <c r="T28" s="27"/>
      <c r="U28" s="4"/>
      <c r="V28" s="4"/>
      <c r="W28" s="4"/>
      <c r="X28" s="27"/>
      <c r="Y28" s="27"/>
      <c r="Z28" s="4"/>
      <c r="AA28" s="4"/>
      <c r="AB28" s="4"/>
      <c r="AC28" s="4"/>
      <c r="AD28" s="4"/>
      <c r="AE28" s="4"/>
      <c r="AI28" s="38">
        <v>11</v>
      </c>
      <c r="AL28" s="38">
        <v>11</v>
      </c>
      <c r="AM28" s="4"/>
    </row>
    <row r="29" spans="1:40">
      <c r="A29" s="131"/>
      <c r="B29" s="3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5">
        <v>10</v>
      </c>
      <c r="O29" s="4"/>
      <c r="P29" s="4"/>
      <c r="Q29" s="38">
        <v>466</v>
      </c>
      <c r="R29" s="95">
        <v>0</v>
      </c>
      <c r="S29" s="95">
        <v>0</v>
      </c>
      <c r="T29" s="27"/>
      <c r="U29" s="4"/>
      <c r="V29" s="4"/>
      <c r="W29" s="4"/>
      <c r="X29" s="27"/>
      <c r="Y29" s="27"/>
      <c r="Z29" s="4"/>
      <c r="AA29" s="4"/>
      <c r="AB29" s="4"/>
      <c r="AC29" s="4"/>
      <c r="AD29" s="4"/>
      <c r="AE29" s="4"/>
      <c r="AI29" s="38">
        <v>12</v>
      </c>
      <c r="AL29" s="38">
        <v>12</v>
      </c>
      <c r="AM29" s="4"/>
    </row>
    <row r="30" spans="1:40">
      <c r="A30" s="131"/>
      <c r="B30" s="3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5">
        <v>11</v>
      </c>
      <c r="O30" s="4"/>
      <c r="P30" s="4"/>
      <c r="Q30" s="38">
        <v>512</v>
      </c>
      <c r="R30" s="95">
        <v>0</v>
      </c>
      <c r="S30" s="95">
        <v>0</v>
      </c>
      <c r="T30" s="27"/>
      <c r="U30" s="4"/>
      <c r="V30" s="4"/>
      <c r="W30" s="4"/>
      <c r="X30" s="27"/>
      <c r="Y30" s="27"/>
      <c r="Z30" s="4"/>
      <c r="AA30" s="4"/>
      <c r="AB30" s="4"/>
      <c r="AC30" s="4"/>
      <c r="AD30" s="4"/>
      <c r="AE30" s="4"/>
      <c r="AI30" s="38">
        <v>13</v>
      </c>
      <c r="AL30" s="38">
        <v>13</v>
      </c>
      <c r="AM30" s="4"/>
    </row>
    <row r="31" spans="1:40">
      <c r="A31" s="131"/>
      <c r="B31" s="32">
        <v>207</v>
      </c>
      <c r="C31" s="53" t="str">
        <f>VLOOKUP($B31,一级属性,C$1,)</f>
        <v>梅赛德斯中心</v>
      </c>
      <c r="D31" s="53" t="str">
        <f>VLOOKUP($B31,一级属性,D$1,)</f>
        <v>厨房，梅赛德斯在这里集结，每隔几秒就可以带上新鲜的鸡腿冲向敌人。</v>
      </c>
      <c r="E31" s="35"/>
      <c r="F31" s="53">
        <f t="shared" ref="F31:L31" si="5">VLOOKUP($B31,一级属性,F$1,)</f>
        <v>1</v>
      </c>
      <c r="G31" s="53">
        <f t="shared" si="5"/>
        <v>1</v>
      </c>
      <c r="H31" s="53">
        <f t="shared" si="5"/>
        <v>0</v>
      </c>
      <c r="I31" s="53">
        <f t="shared" si="5"/>
        <v>25</v>
      </c>
      <c r="J31" s="53">
        <f t="shared" si="5"/>
        <v>1</v>
      </c>
      <c r="K31" s="53">
        <f t="shared" si="5"/>
        <v>1007</v>
      </c>
      <c r="L31" s="53">
        <f t="shared" si="5"/>
        <v>2007</v>
      </c>
      <c r="M31" s="28">
        <v>0</v>
      </c>
      <c r="N31" s="5">
        <v>1</v>
      </c>
      <c r="O31" s="53">
        <f>VLOOKUP($B31,一级属性,O$1,)</f>
        <v>5</v>
      </c>
      <c r="P31" s="95">
        <v>0</v>
      </c>
      <c r="Q31" s="38">
        <v>700</v>
      </c>
      <c r="R31" s="95">
        <v>0</v>
      </c>
      <c r="S31" s="95">
        <v>0</v>
      </c>
      <c r="T31" s="53">
        <f>VLOOKUP($B31,一级属性,T$1,)</f>
        <v>0</v>
      </c>
      <c r="U31" s="53">
        <f>VLOOKUP($B31,一级属性,U$1,)</f>
        <v>50</v>
      </c>
      <c r="V31" s="53">
        <f>VLOOKUP($B31,一级属性,V$1,)</f>
        <v>4</v>
      </c>
      <c r="W31" s="53">
        <f>VLOOKUP($B31,一级属性,W$1,)</f>
        <v>27</v>
      </c>
      <c r="X31" s="27">
        <v>0</v>
      </c>
      <c r="Y31" s="27">
        <v>0</v>
      </c>
      <c r="Z31" s="53">
        <f>VLOOKUP($B31,一级属性,Z$1,)</f>
        <v>0</v>
      </c>
      <c r="AA31" s="53" t="str">
        <f>VLOOKUP($B31,一级属性,AA$1,)</f>
        <v>2000</v>
      </c>
      <c r="AB31" s="53" t="str">
        <f>VLOOKUP($B31,一级属性,AB$1,)</f>
        <v>0</v>
      </c>
      <c r="AC31" s="53">
        <f>VLOOKUP($B31,一级属性,AC$1,)</f>
        <v>0</v>
      </c>
      <c r="AD31" s="95">
        <v>0</v>
      </c>
      <c r="AE31" s="53">
        <f>VLOOKUP($B31,一级属性,AE$1,)</f>
        <v>0</v>
      </c>
      <c r="AF31">
        <v>4900</v>
      </c>
      <c r="AG31">
        <v>1</v>
      </c>
      <c r="AH31">
        <v>2</v>
      </c>
      <c r="AI31" s="38">
        <v>3</v>
      </c>
      <c r="AJ31" s="95">
        <v>0</v>
      </c>
      <c r="AK31" s="95">
        <v>0</v>
      </c>
      <c r="AL31" s="95">
        <v>0</v>
      </c>
      <c r="AM31" s="53">
        <f>VLOOKUP($B31,一级属性,AM$1,)</f>
        <v>1000</v>
      </c>
      <c r="AN31">
        <v>60000</v>
      </c>
    </row>
    <row r="32" spans="1:40">
      <c r="A32" s="131"/>
      <c r="B32" s="32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5">
        <v>2</v>
      </c>
      <c r="O32" s="4"/>
      <c r="P32" s="4"/>
      <c r="Q32" s="38">
        <v>770</v>
      </c>
      <c r="R32" s="95">
        <v>0</v>
      </c>
      <c r="S32" s="95">
        <v>0</v>
      </c>
      <c r="T32" s="27"/>
      <c r="U32" s="4"/>
      <c r="V32" s="4"/>
      <c r="W32" s="4"/>
      <c r="X32" s="27"/>
      <c r="Y32" s="27"/>
      <c r="Z32" s="4"/>
      <c r="AA32" s="4"/>
      <c r="AB32" s="4"/>
      <c r="AC32" s="4"/>
      <c r="AD32" s="4"/>
      <c r="AE32" s="4"/>
      <c r="AI32" s="38">
        <v>4</v>
      </c>
      <c r="AM32" s="4"/>
    </row>
    <row r="33" spans="1:40">
      <c r="A33" s="131"/>
      <c r="B33" s="32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5">
        <v>3</v>
      </c>
      <c r="O33" s="4"/>
      <c r="P33" s="4"/>
      <c r="Q33" s="38">
        <v>847</v>
      </c>
      <c r="R33" s="95">
        <v>0</v>
      </c>
      <c r="S33" s="95">
        <v>0</v>
      </c>
      <c r="T33" s="27"/>
      <c r="U33" s="4"/>
      <c r="V33" s="4"/>
      <c r="W33" s="4"/>
      <c r="X33" s="27"/>
      <c r="Y33" s="27"/>
      <c r="Z33" s="4"/>
      <c r="AA33" s="4"/>
      <c r="AB33" s="4"/>
      <c r="AC33" s="4"/>
      <c r="AD33" s="4"/>
      <c r="AE33" s="4"/>
      <c r="AI33" s="38">
        <v>5</v>
      </c>
      <c r="AM33" s="4"/>
    </row>
    <row r="34" spans="1:40">
      <c r="A34" s="131"/>
      <c r="B34" s="3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5">
        <v>4</v>
      </c>
      <c r="O34" s="4"/>
      <c r="P34" s="4"/>
      <c r="Q34" s="38">
        <v>931</v>
      </c>
      <c r="R34" s="95">
        <v>0</v>
      </c>
      <c r="S34" s="95">
        <v>0</v>
      </c>
      <c r="T34" s="27"/>
      <c r="U34" s="4"/>
      <c r="V34" s="4"/>
      <c r="W34" s="4"/>
      <c r="X34" s="27"/>
      <c r="Y34" s="27"/>
      <c r="Z34" s="4"/>
      <c r="AA34" s="4"/>
      <c r="AB34" s="4"/>
      <c r="AC34" s="4"/>
      <c r="AD34" s="4"/>
      <c r="AE34" s="4"/>
      <c r="AI34" s="38">
        <v>6</v>
      </c>
      <c r="AM34" s="4"/>
    </row>
    <row r="35" spans="1:40">
      <c r="A35" s="131"/>
      <c r="B35" s="32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5">
        <v>5</v>
      </c>
      <c r="O35" s="4"/>
      <c r="P35" s="4"/>
      <c r="Q35" s="38">
        <v>1022</v>
      </c>
      <c r="R35" s="95">
        <v>0</v>
      </c>
      <c r="S35" s="95">
        <v>0</v>
      </c>
      <c r="T35" s="27"/>
      <c r="U35" s="4"/>
      <c r="V35" s="4"/>
      <c r="W35" s="4"/>
      <c r="X35" s="27"/>
      <c r="Y35" s="27"/>
      <c r="Z35" s="4"/>
      <c r="AA35" s="4"/>
      <c r="AB35" s="4"/>
      <c r="AC35" s="4"/>
      <c r="AD35" s="4"/>
      <c r="AE35" s="4"/>
      <c r="AI35" s="38">
        <v>7</v>
      </c>
      <c r="AM35" s="4"/>
    </row>
    <row r="36" spans="1:40">
      <c r="A36" s="131"/>
      <c r="B36" s="32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5">
        <v>6</v>
      </c>
      <c r="O36" s="4"/>
      <c r="P36" s="4"/>
      <c r="Q36" s="38">
        <v>1120</v>
      </c>
      <c r="R36" s="95">
        <v>0</v>
      </c>
      <c r="S36" s="95">
        <v>0</v>
      </c>
      <c r="T36" s="27"/>
      <c r="U36" s="4"/>
      <c r="V36" s="4"/>
      <c r="W36" s="4"/>
      <c r="X36" s="27"/>
      <c r="Y36" s="27"/>
      <c r="Z36" s="4"/>
      <c r="AA36" s="4"/>
      <c r="AB36" s="4"/>
      <c r="AC36" s="4"/>
      <c r="AD36" s="4"/>
      <c r="AE36" s="4"/>
      <c r="AI36" s="38">
        <v>8</v>
      </c>
      <c r="AM36" s="4"/>
    </row>
    <row r="37" spans="1:40">
      <c r="A37" s="131"/>
      <c r="B37" s="32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5">
        <v>7</v>
      </c>
      <c r="O37" s="4"/>
      <c r="P37" s="4"/>
      <c r="Q37" s="38">
        <v>1232</v>
      </c>
      <c r="R37" s="95">
        <v>0</v>
      </c>
      <c r="S37" s="95">
        <v>0</v>
      </c>
      <c r="T37" s="27"/>
      <c r="U37" s="4"/>
      <c r="V37" s="4"/>
      <c r="W37" s="4"/>
      <c r="X37" s="27"/>
      <c r="Y37" s="27"/>
      <c r="Z37" s="4"/>
      <c r="AA37" s="4"/>
      <c r="AB37" s="4"/>
      <c r="AC37" s="4"/>
      <c r="AD37" s="4"/>
      <c r="AE37" s="4"/>
      <c r="AI37" s="38">
        <v>9</v>
      </c>
      <c r="AM37" s="4"/>
    </row>
    <row r="38" spans="1:40">
      <c r="A38" s="131"/>
      <c r="B38" s="32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5">
        <v>8</v>
      </c>
      <c r="O38" s="4"/>
      <c r="P38" s="4"/>
      <c r="Q38" s="38">
        <v>1351</v>
      </c>
      <c r="R38" s="95">
        <v>0</v>
      </c>
      <c r="S38" s="95">
        <v>0</v>
      </c>
      <c r="T38" s="27"/>
      <c r="U38" s="4"/>
      <c r="V38" s="4"/>
      <c r="W38" s="4"/>
      <c r="X38" s="27"/>
      <c r="Y38" s="27"/>
      <c r="Z38" s="4"/>
      <c r="AA38" s="4"/>
      <c r="AB38" s="4"/>
      <c r="AC38" s="4"/>
      <c r="AD38" s="4"/>
      <c r="AE38" s="4"/>
      <c r="AI38" s="38">
        <v>10</v>
      </c>
      <c r="AM38" s="4"/>
    </row>
    <row r="39" spans="1:40">
      <c r="A39" s="131"/>
      <c r="B39" s="32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5">
        <v>9</v>
      </c>
      <c r="O39" s="4"/>
      <c r="P39" s="4"/>
      <c r="Q39" s="38">
        <v>1484</v>
      </c>
      <c r="R39" s="95">
        <v>0</v>
      </c>
      <c r="S39" s="95">
        <v>0</v>
      </c>
      <c r="T39" s="27"/>
      <c r="U39" s="4"/>
      <c r="V39" s="4"/>
      <c r="W39" s="4"/>
      <c r="X39" s="27"/>
      <c r="Y39" s="27"/>
      <c r="Z39" s="4"/>
      <c r="AA39" s="4"/>
      <c r="AB39" s="4"/>
      <c r="AC39" s="4"/>
      <c r="AD39" s="4"/>
      <c r="AE39" s="4"/>
      <c r="AI39" s="38">
        <v>11</v>
      </c>
      <c r="AM39" s="4"/>
    </row>
    <row r="40" spans="1:40">
      <c r="A40" s="131"/>
      <c r="B40" s="32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5">
        <v>10</v>
      </c>
      <c r="O40" s="4"/>
      <c r="P40" s="4"/>
      <c r="Q40" s="38">
        <v>1631</v>
      </c>
      <c r="R40" s="95">
        <v>0</v>
      </c>
      <c r="S40" s="95">
        <v>0</v>
      </c>
      <c r="T40" s="27"/>
      <c r="U40" s="4"/>
      <c r="V40" s="4"/>
      <c r="W40" s="4"/>
      <c r="X40" s="27"/>
      <c r="Y40" s="27"/>
      <c r="Z40" s="4"/>
      <c r="AA40" s="4"/>
      <c r="AB40" s="4"/>
      <c r="AC40" s="4"/>
      <c r="AD40" s="4"/>
      <c r="AE40" s="4"/>
      <c r="AI40" s="38">
        <v>12</v>
      </c>
      <c r="AM40" s="4"/>
    </row>
    <row r="41" spans="1:40">
      <c r="A41" s="131"/>
      <c r="B41" s="32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5">
        <v>11</v>
      </c>
      <c r="O41" s="4"/>
      <c r="P41" s="4"/>
      <c r="Q41" s="38">
        <v>1792</v>
      </c>
      <c r="R41" s="95">
        <v>0</v>
      </c>
      <c r="S41" s="95">
        <v>0</v>
      </c>
      <c r="T41" s="27"/>
      <c r="U41" s="4"/>
      <c r="V41" s="4"/>
      <c r="W41" s="4"/>
      <c r="X41" s="27"/>
      <c r="Y41" s="27"/>
      <c r="Z41" s="4"/>
      <c r="AA41" s="4"/>
      <c r="AB41" s="4"/>
      <c r="AC41" s="4"/>
      <c r="AD41" s="4"/>
      <c r="AE41" s="4"/>
      <c r="AI41" s="38">
        <v>13</v>
      </c>
      <c r="AM41" s="4"/>
    </row>
    <row r="42" spans="1:40">
      <c r="A42" s="131"/>
      <c r="B42" s="32">
        <v>208</v>
      </c>
      <c r="C42" s="53" t="str">
        <f>VLOOKUP($B42,一级属性,C$1,)</f>
        <v>盖奇小屋</v>
      </c>
      <c r="D42" s="53" t="str">
        <f>VLOOKUP($B42,一级属性,D$1,)</f>
        <v>训练营，每隔数秒盖奇会在这里集合，出发攻击敌人。同时也是V.的化妆间。</v>
      </c>
      <c r="E42" s="5"/>
      <c r="F42" s="53">
        <f t="shared" ref="F42:L42" si="6">VLOOKUP($B42,一级属性,F$1,)</f>
        <v>1</v>
      </c>
      <c r="G42" s="53">
        <f t="shared" si="6"/>
        <v>3</v>
      </c>
      <c r="H42" s="53">
        <f t="shared" si="6"/>
        <v>0</v>
      </c>
      <c r="I42" s="53">
        <f t="shared" si="6"/>
        <v>135</v>
      </c>
      <c r="J42" s="53">
        <f t="shared" si="6"/>
        <v>1</v>
      </c>
      <c r="K42" s="53">
        <f t="shared" si="6"/>
        <v>1009</v>
      </c>
      <c r="L42" s="53">
        <f t="shared" si="6"/>
        <v>2009</v>
      </c>
      <c r="M42" s="28">
        <v>0</v>
      </c>
      <c r="N42" s="5">
        <v>1</v>
      </c>
      <c r="O42" s="53">
        <f>VLOOKUP($B42,一级属性,O$1,)</f>
        <v>7</v>
      </c>
      <c r="P42" s="95">
        <v>0</v>
      </c>
      <c r="Q42" s="104">
        <v>1100</v>
      </c>
      <c r="R42" s="95">
        <v>0</v>
      </c>
      <c r="S42" s="95">
        <v>0</v>
      </c>
      <c r="T42" s="53">
        <f>VLOOKUP($B42,一级属性,T$1,)</f>
        <v>0</v>
      </c>
      <c r="U42" s="53">
        <f>VLOOKUP($B42,一级属性,U$1,)</f>
        <v>50</v>
      </c>
      <c r="V42" s="53">
        <f>VLOOKUP($B42,一级属性,V$1,)</f>
        <v>4</v>
      </c>
      <c r="W42" s="53">
        <f>VLOOKUP($B42,一级属性,W$1,)</f>
        <v>27</v>
      </c>
      <c r="X42" s="27">
        <v>0</v>
      </c>
      <c r="Y42" s="27">
        <v>0</v>
      </c>
      <c r="Z42" s="53">
        <f>VLOOKUP($B42,一级属性,Z$1,)</f>
        <v>0</v>
      </c>
      <c r="AA42" s="53" t="str">
        <f>VLOOKUP($B42,一级属性,AA$1,)</f>
        <v>2000</v>
      </c>
      <c r="AB42" s="53" t="str">
        <f>VLOOKUP($B42,一级属性,AB$1,)</f>
        <v>0</v>
      </c>
      <c r="AC42" s="53">
        <f>VLOOKUP($B42,一级属性,AC$1,)</f>
        <v>0</v>
      </c>
      <c r="AD42" s="95">
        <v>0</v>
      </c>
      <c r="AE42" s="53">
        <f>VLOOKUP($B42,一级属性,AE$1,)</f>
        <v>0</v>
      </c>
      <c r="AF42">
        <v>14000</v>
      </c>
      <c r="AG42">
        <v>2</v>
      </c>
      <c r="AH42">
        <v>8</v>
      </c>
      <c r="AI42" s="38">
        <v>3</v>
      </c>
      <c r="AJ42" s="95">
        <v>0</v>
      </c>
      <c r="AK42" s="95">
        <v>0</v>
      </c>
      <c r="AL42" s="95">
        <v>0</v>
      </c>
      <c r="AM42" s="53">
        <f>VLOOKUP($B42,一级属性,AM$1,)</f>
        <v>1000</v>
      </c>
      <c r="AN42">
        <v>60000</v>
      </c>
    </row>
    <row r="43" spans="1:40">
      <c r="A43" s="131"/>
      <c r="B43" s="32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5">
        <v>2</v>
      </c>
      <c r="O43" s="4"/>
      <c r="P43" s="4"/>
      <c r="Q43" s="104">
        <v>1210</v>
      </c>
      <c r="R43" s="95">
        <v>0</v>
      </c>
      <c r="S43" s="95">
        <v>0</v>
      </c>
      <c r="T43" s="27"/>
      <c r="U43" s="4"/>
      <c r="V43" s="4"/>
      <c r="W43" s="4"/>
      <c r="X43" s="27"/>
      <c r="Y43" s="27"/>
      <c r="Z43" s="4"/>
      <c r="AA43" s="4"/>
      <c r="AB43" s="4"/>
      <c r="AC43" s="4"/>
      <c r="AD43" s="4"/>
      <c r="AE43" s="4"/>
      <c r="AI43" s="38">
        <v>4</v>
      </c>
      <c r="AM43" s="4"/>
    </row>
    <row r="44" spans="1:40">
      <c r="A44" s="131"/>
      <c r="B44" s="32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5">
        <v>3</v>
      </c>
      <c r="O44" s="4"/>
      <c r="P44" s="4"/>
      <c r="Q44" s="104">
        <v>1331</v>
      </c>
      <c r="R44" s="95">
        <v>0</v>
      </c>
      <c r="S44" s="95">
        <v>0</v>
      </c>
      <c r="T44" s="27"/>
      <c r="U44" s="4"/>
      <c r="V44" s="4"/>
      <c r="W44" s="4"/>
      <c r="X44" s="27"/>
      <c r="Y44" s="27"/>
      <c r="Z44" s="4"/>
      <c r="AA44" s="4"/>
      <c r="AB44" s="4"/>
      <c r="AC44" s="4"/>
      <c r="AD44" s="4"/>
      <c r="AE44" s="4"/>
      <c r="AI44" s="38">
        <v>5</v>
      </c>
      <c r="AM44" s="4"/>
    </row>
    <row r="45" spans="1:40">
      <c r="A45" s="131"/>
      <c r="B45" s="32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5">
        <v>4</v>
      </c>
      <c r="O45" s="4"/>
      <c r="P45" s="4"/>
      <c r="Q45" s="104">
        <v>1463</v>
      </c>
      <c r="R45" s="95">
        <v>0</v>
      </c>
      <c r="S45" s="95">
        <v>0</v>
      </c>
      <c r="T45" s="27"/>
      <c r="U45" s="4"/>
      <c r="V45" s="4"/>
      <c r="W45" s="4"/>
      <c r="X45" s="27"/>
      <c r="Y45" s="27"/>
      <c r="Z45" s="4"/>
      <c r="AA45" s="4"/>
      <c r="AB45" s="4"/>
      <c r="AC45" s="4"/>
      <c r="AD45" s="4"/>
      <c r="AE45" s="4"/>
      <c r="AI45" s="38">
        <v>6</v>
      </c>
      <c r="AM45" s="4"/>
    </row>
    <row r="46" spans="1:40">
      <c r="A46" s="131"/>
      <c r="B46" s="32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5">
        <v>5</v>
      </c>
      <c r="O46" s="4"/>
      <c r="P46" s="4"/>
      <c r="Q46" s="104">
        <v>1606</v>
      </c>
      <c r="R46" s="95">
        <v>0</v>
      </c>
      <c r="S46" s="95">
        <v>0</v>
      </c>
      <c r="T46" s="27"/>
      <c r="U46" s="4"/>
      <c r="V46" s="4"/>
      <c r="W46" s="4"/>
      <c r="X46" s="27"/>
      <c r="Y46" s="27"/>
      <c r="Z46" s="4"/>
      <c r="AA46" s="4"/>
      <c r="AB46" s="4"/>
      <c r="AC46" s="4"/>
      <c r="AD46" s="4"/>
      <c r="AE46" s="4"/>
      <c r="AI46" s="38">
        <v>7</v>
      </c>
      <c r="AM46" s="4"/>
    </row>
    <row r="47" spans="1:40">
      <c r="A47" s="131"/>
      <c r="B47" s="32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5">
        <v>6</v>
      </c>
      <c r="O47" s="4"/>
      <c r="P47" s="4"/>
      <c r="Q47" s="104">
        <v>1760</v>
      </c>
      <c r="R47" s="95">
        <v>0</v>
      </c>
      <c r="S47" s="95">
        <v>0</v>
      </c>
      <c r="T47" s="27"/>
      <c r="U47" s="4"/>
      <c r="V47" s="4"/>
      <c r="W47" s="4"/>
      <c r="X47" s="27"/>
      <c r="Y47" s="27"/>
      <c r="Z47" s="4"/>
      <c r="AA47" s="4"/>
      <c r="AB47" s="4"/>
      <c r="AC47" s="4"/>
      <c r="AD47" s="4"/>
      <c r="AE47" s="4"/>
      <c r="AI47" s="38">
        <v>8</v>
      </c>
      <c r="AM47" s="4"/>
    </row>
    <row r="48" spans="1:40">
      <c r="A48" s="131"/>
      <c r="B48" s="32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5">
        <v>7</v>
      </c>
      <c r="O48" s="4"/>
      <c r="P48" s="4"/>
      <c r="Q48" s="104">
        <v>1936</v>
      </c>
      <c r="R48" s="95">
        <v>0</v>
      </c>
      <c r="S48" s="95">
        <v>0</v>
      </c>
      <c r="T48" s="27"/>
      <c r="U48" s="4"/>
      <c r="V48" s="4"/>
      <c r="W48" s="4"/>
      <c r="X48" s="27"/>
      <c r="Y48" s="27"/>
      <c r="Z48" s="4"/>
      <c r="AA48" s="4"/>
      <c r="AB48" s="4"/>
      <c r="AC48" s="4"/>
      <c r="AD48" s="4"/>
      <c r="AE48" s="4"/>
      <c r="AI48" s="38">
        <v>9</v>
      </c>
      <c r="AM48" s="4"/>
    </row>
    <row r="49" spans="1:40">
      <c r="A49" s="131"/>
      <c r="B49" s="32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5">
        <v>8</v>
      </c>
      <c r="O49" s="4"/>
      <c r="P49" s="4"/>
      <c r="Q49" s="104">
        <v>2123</v>
      </c>
      <c r="R49" s="95">
        <v>0</v>
      </c>
      <c r="S49" s="95">
        <v>0</v>
      </c>
      <c r="T49" s="27"/>
      <c r="U49" s="4"/>
      <c r="V49" s="4"/>
      <c r="W49" s="4"/>
      <c r="X49" s="27"/>
      <c r="Y49" s="27"/>
      <c r="Z49" s="4"/>
      <c r="AA49" s="4"/>
      <c r="AB49" s="4"/>
      <c r="AC49" s="4"/>
      <c r="AD49" s="4"/>
      <c r="AE49" s="4"/>
      <c r="AI49" s="38">
        <v>10</v>
      </c>
      <c r="AM49" s="4"/>
    </row>
    <row r="50" spans="1:40">
      <c r="A50" s="131"/>
      <c r="B50" s="32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5">
        <v>9</v>
      </c>
      <c r="O50" s="4"/>
      <c r="P50" s="4"/>
      <c r="Q50" s="104">
        <v>2332</v>
      </c>
      <c r="R50" s="95">
        <v>0</v>
      </c>
      <c r="S50" s="95">
        <v>0</v>
      </c>
      <c r="T50" s="27"/>
      <c r="U50" s="4"/>
      <c r="V50" s="4"/>
      <c r="W50" s="4"/>
      <c r="X50" s="27"/>
      <c r="Y50" s="27"/>
      <c r="Z50" s="4"/>
      <c r="AA50" s="4"/>
      <c r="AB50" s="4"/>
      <c r="AC50" s="4"/>
      <c r="AD50" s="4"/>
      <c r="AE50" s="4"/>
      <c r="AI50" s="38">
        <v>11</v>
      </c>
      <c r="AM50" s="4"/>
    </row>
    <row r="51" spans="1:40">
      <c r="A51" s="131"/>
      <c r="B51" s="32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5">
        <v>10</v>
      </c>
      <c r="O51" s="4"/>
      <c r="P51" s="4"/>
      <c r="Q51" s="104">
        <v>2563</v>
      </c>
      <c r="R51" s="95">
        <v>0</v>
      </c>
      <c r="S51" s="95">
        <v>0</v>
      </c>
      <c r="T51" s="27"/>
      <c r="U51" s="4"/>
      <c r="V51" s="4"/>
      <c r="W51" s="4"/>
      <c r="X51" s="27"/>
      <c r="Y51" s="27"/>
      <c r="Z51" s="4"/>
      <c r="AA51" s="4"/>
      <c r="AB51" s="4"/>
      <c r="AC51" s="4"/>
      <c r="AD51" s="4"/>
      <c r="AE51" s="4"/>
      <c r="AI51" s="38">
        <v>12</v>
      </c>
      <c r="AM51" s="4"/>
    </row>
    <row r="52" spans="1:40">
      <c r="A52" s="131"/>
      <c r="B52" s="32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5">
        <v>11</v>
      </c>
      <c r="O52" s="4"/>
      <c r="P52" s="4"/>
      <c r="Q52" s="104">
        <v>2816</v>
      </c>
      <c r="R52" s="95">
        <v>0</v>
      </c>
      <c r="S52" s="95">
        <v>0</v>
      </c>
      <c r="T52" s="27"/>
      <c r="U52" s="4"/>
      <c r="V52" s="4"/>
      <c r="W52" s="4"/>
      <c r="X52" s="27"/>
      <c r="Y52" s="27"/>
      <c r="Z52" s="4"/>
      <c r="AA52" s="4"/>
      <c r="AB52" s="4"/>
      <c r="AC52" s="4"/>
      <c r="AD52" s="4"/>
      <c r="AE52" s="4"/>
      <c r="AI52" s="38">
        <v>13</v>
      </c>
      <c r="AM52" s="4"/>
    </row>
    <row r="53" spans="1:40">
      <c r="A53" s="131"/>
      <c r="B53" s="32">
        <v>210</v>
      </c>
      <c r="C53" s="53" t="str">
        <f>VLOOKUP($B53,一级属性,C$1,)</f>
        <v>强弩</v>
      </c>
      <c r="D53" s="53" t="str">
        <f>VLOOKUP($B53,一级属性,D$1,)</f>
        <v>小弩怡情,大弩伤身,强弩灰飞烟灭。</v>
      </c>
      <c r="E53" s="5"/>
      <c r="F53" s="53">
        <f t="shared" ref="F53:L53" si="7">VLOOKUP($B53,一级属性,F$1,)</f>
        <v>1</v>
      </c>
      <c r="G53" s="53">
        <f t="shared" si="7"/>
        <v>3</v>
      </c>
      <c r="H53" s="53">
        <f t="shared" si="7"/>
        <v>1</v>
      </c>
      <c r="I53" s="53">
        <f t="shared" si="7"/>
        <v>145</v>
      </c>
      <c r="J53" s="53">
        <f t="shared" si="7"/>
        <v>2</v>
      </c>
      <c r="K53" s="53">
        <f t="shared" si="7"/>
        <v>1001</v>
      </c>
      <c r="L53" s="53">
        <f t="shared" si="7"/>
        <v>2001</v>
      </c>
      <c r="M53" s="28">
        <v>1</v>
      </c>
      <c r="N53" s="5">
        <v>1</v>
      </c>
      <c r="O53" s="53">
        <f>VLOOKUP($B53,一级属性,O$1,)</f>
        <v>6</v>
      </c>
      <c r="P53" s="95">
        <v>0</v>
      </c>
      <c r="Q53" s="38">
        <v>850</v>
      </c>
      <c r="R53" s="38">
        <v>20</v>
      </c>
      <c r="S53" s="95">
        <v>0</v>
      </c>
      <c r="T53" s="53">
        <f>VLOOKUP($B53,一级属性,T$1,)</f>
        <v>300</v>
      </c>
      <c r="U53" s="53">
        <f>VLOOKUP($B53,一级属性,U$1,)</f>
        <v>100</v>
      </c>
      <c r="V53" s="53">
        <f>VLOOKUP($B53,一级属性,V$1,)</f>
        <v>4</v>
      </c>
      <c r="W53" s="53">
        <f>VLOOKUP($B53,一级属性,W$1,)</f>
        <v>27</v>
      </c>
      <c r="X53" s="27">
        <v>0</v>
      </c>
      <c r="Y53" s="27">
        <v>1</v>
      </c>
      <c r="Z53" s="53">
        <f>VLOOKUP($B53,一级属性,Z$1,)</f>
        <v>0</v>
      </c>
      <c r="AA53" s="53" t="str">
        <f>VLOOKUP($B53,一级属性,AA$1,)</f>
        <v>2000</v>
      </c>
      <c r="AB53" s="53">
        <f>VLOOKUP($B53,一级属性,AB$1,)</f>
        <v>330</v>
      </c>
      <c r="AC53" s="53">
        <f>VLOOKUP($B53,一级属性,AC$1,)</f>
        <v>1500</v>
      </c>
      <c r="AD53" s="95">
        <v>0</v>
      </c>
      <c r="AE53" s="53">
        <f>VLOOKUP($B53,一级属性,AE$1,)</f>
        <v>11.5</v>
      </c>
      <c r="AF53" s="95">
        <v>0</v>
      </c>
      <c r="AG53" s="95">
        <v>0</v>
      </c>
      <c r="AH53" s="95">
        <v>0</v>
      </c>
      <c r="AI53" s="95">
        <v>0</v>
      </c>
      <c r="AJ53" s="95">
        <v>0</v>
      </c>
      <c r="AK53" s="95">
        <v>0</v>
      </c>
      <c r="AL53" s="95">
        <v>0</v>
      </c>
      <c r="AM53" s="53">
        <f>VLOOKUP($B53,一级属性,AM$1,)</f>
        <v>5000</v>
      </c>
      <c r="AN53">
        <v>40000</v>
      </c>
    </row>
    <row r="54" spans="1:40">
      <c r="A54" s="131"/>
      <c r="B54" s="32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5">
        <v>2</v>
      </c>
      <c r="O54" s="5"/>
      <c r="P54" s="5"/>
      <c r="Q54" s="38">
        <v>935</v>
      </c>
      <c r="R54" s="38">
        <v>22</v>
      </c>
      <c r="S54" s="95">
        <v>0</v>
      </c>
      <c r="T54" s="27"/>
      <c r="U54" s="4"/>
      <c r="V54" s="4"/>
      <c r="W54" s="4"/>
      <c r="X54" s="27"/>
      <c r="Y54" s="27"/>
      <c r="Z54" s="4"/>
      <c r="AA54" s="4"/>
      <c r="AB54" s="4"/>
      <c r="AC54" s="4"/>
      <c r="AD54" s="4"/>
      <c r="AE54" s="4"/>
      <c r="AM54" s="4"/>
    </row>
    <row r="55" spans="1:40">
      <c r="A55" s="131"/>
      <c r="B55" s="32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5">
        <v>3</v>
      </c>
      <c r="O55" s="5"/>
      <c r="P55" s="5"/>
      <c r="Q55" s="38">
        <v>1028</v>
      </c>
      <c r="R55" s="38">
        <v>24</v>
      </c>
      <c r="S55" s="95">
        <v>0</v>
      </c>
      <c r="T55" s="27"/>
      <c r="U55" s="4"/>
      <c r="V55" s="4"/>
      <c r="W55" s="4"/>
      <c r="X55" s="27"/>
      <c r="Y55" s="27"/>
      <c r="Z55" s="4"/>
      <c r="AA55" s="4"/>
      <c r="AB55" s="4"/>
      <c r="AC55" s="4"/>
      <c r="AD55" s="4"/>
      <c r="AE55" s="4"/>
      <c r="AM55" s="4"/>
    </row>
    <row r="56" spans="1:40">
      <c r="A56" s="131"/>
      <c r="B56" s="32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5">
        <v>4</v>
      </c>
      <c r="O56" s="5"/>
      <c r="P56" s="5"/>
      <c r="Q56" s="38">
        <v>1130</v>
      </c>
      <c r="R56" s="38">
        <v>26</v>
      </c>
      <c r="S56" s="95">
        <v>0</v>
      </c>
      <c r="T56" s="27"/>
      <c r="U56" s="4"/>
      <c r="V56" s="4"/>
      <c r="W56" s="4"/>
      <c r="X56" s="27"/>
      <c r="Y56" s="27"/>
      <c r="Z56" s="4"/>
      <c r="AA56" s="4"/>
      <c r="AB56" s="4"/>
      <c r="AC56" s="4"/>
      <c r="AD56" s="4"/>
      <c r="AE56" s="4"/>
      <c r="AM56" s="4"/>
    </row>
    <row r="57" spans="1:40">
      <c r="A57" s="131"/>
      <c r="B57" s="32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5">
        <v>5</v>
      </c>
      <c r="O57" s="5"/>
      <c r="P57" s="5"/>
      <c r="Q57" s="38">
        <v>1241</v>
      </c>
      <c r="R57" s="38">
        <v>29</v>
      </c>
      <c r="S57" s="95">
        <v>0</v>
      </c>
      <c r="U57" s="4"/>
      <c r="V57" s="4"/>
      <c r="W57" s="4"/>
      <c r="X57" s="27"/>
      <c r="Y57" s="27"/>
      <c r="Z57" s="4"/>
      <c r="AA57" s="4"/>
      <c r="AB57" s="4"/>
      <c r="AC57" s="4"/>
      <c r="AD57" s="4"/>
      <c r="AE57" s="4"/>
      <c r="AM57" s="4"/>
    </row>
    <row r="58" spans="1:40">
      <c r="A58" s="131"/>
      <c r="B58" s="32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5">
        <v>6</v>
      </c>
      <c r="O58" s="5"/>
      <c r="P58" s="5"/>
      <c r="Q58" s="38">
        <v>1360</v>
      </c>
      <c r="R58" s="38">
        <v>32</v>
      </c>
      <c r="S58" s="95">
        <v>0</v>
      </c>
      <c r="U58" s="4"/>
      <c r="V58" s="4"/>
      <c r="W58" s="4"/>
      <c r="X58" s="27"/>
      <c r="Y58" s="27"/>
      <c r="Z58" s="4"/>
      <c r="AA58" s="4"/>
      <c r="AB58" s="4"/>
      <c r="AC58" s="4"/>
      <c r="AD58" s="4"/>
      <c r="AE58" s="4"/>
      <c r="AM58" s="4"/>
    </row>
    <row r="59" spans="1:40">
      <c r="A59" s="131"/>
      <c r="B59" s="32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5">
        <v>7</v>
      </c>
      <c r="O59" s="5"/>
      <c r="P59" s="5"/>
      <c r="Q59" s="38">
        <v>1496</v>
      </c>
      <c r="R59" s="38">
        <v>35</v>
      </c>
      <c r="S59" s="95">
        <v>0</v>
      </c>
      <c r="U59" s="27"/>
      <c r="V59" s="27"/>
      <c r="W59" s="4"/>
      <c r="Z59" s="4"/>
      <c r="AA59" s="4"/>
      <c r="AB59" s="4"/>
      <c r="AC59" s="4"/>
      <c r="AD59" s="4"/>
      <c r="AE59" s="4"/>
      <c r="AM59" s="4"/>
    </row>
    <row r="60" spans="1:40">
      <c r="A60" s="131"/>
      <c r="B60" s="32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5">
        <v>8</v>
      </c>
      <c r="O60" s="5"/>
      <c r="P60" s="5"/>
      <c r="Q60" s="38">
        <v>1640</v>
      </c>
      <c r="R60" s="38">
        <v>38</v>
      </c>
      <c r="S60" s="95">
        <v>0</v>
      </c>
      <c r="U60" s="27"/>
      <c r="V60" s="27"/>
      <c r="W60" s="4"/>
      <c r="Z60" s="4"/>
      <c r="AA60" s="4"/>
      <c r="AB60" s="4"/>
      <c r="AC60" s="4"/>
      <c r="AD60" s="4"/>
      <c r="AE60" s="4"/>
      <c r="AM60" s="4"/>
    </row>
    <row r="61" spans="1:40">
      <c r="A61" s="131"/>
      <c r="B61" s="32">
        <v>205</v>
      </c>
      <c r="C61" s="53" t="str">
        <f>VLOOKUP($B61,一级属性,C$1,)</f>
        <v>恶魔之塔</v>
      </c>
      <c r="D61" s="53" t="str">
        <f>VLOOKUP($B61,一级属性,D$1,)</f>
        <v>防御建筑。给予来犯的敌人持续打击，直至敌人灰飞烟灭。</v>
      </c>
      <c r="E61" s="32"/>
      <c r="F61" s="53">
        <f t="shared" ref="F61:L61" si="8">VLOOKUP($B61,一级属性,F$1,)</f>
        <v>1</v>
      </c>
      <c r="G61" s="53">
        <f t="shared" si="8"/>
        <v>4</v>
      </c>
      <c r="H61" s="53">
        <f t="shared" si="8"/>
        <v>0</v>
      </c>
      <c r="I61" s="53">
        <f t="shared" si="8"/>
        <v>170</v>
      </c>
      <c r="J61" s="53">
        <f t="shared" si="8"/>
        <v>1</v>
      </c>
      <c r="K61" s="53">
        <f t="shared" si="8"/>
        <v>1002</v>
      </c>
      <c r="L61" s="53">
        <f t="shared" si="8"/>
        <v>2002</v>
      </c>
      <c r="M61" s="28">
        <v>1</v>
      </c>
      <c r="N61" s="5">
        <v>1</v>
      </c>
      <c r="O61" s="53">
        <f>VLOOKUP($B61,一级属性,O$1,)</f>
        <v>5</v>
      </c>
      <c r="P61" s="95">
        <v>0</v>
      </c>
      <c r="Q61" s="38">
        <v>800</v>
      </c>
      <c r="R61" s="38">
        <v>20</v>
      </c>
      <c r="S61" s="38">
        <v>400</v>
      </c>
      <c r="T61" s="53">
        <f>VLOOKUP($B61,一级属性,T$1,)</f>
        <v>400</v>
      </c>
      <c r="U61" s="53">
        <f>VLOOKUP($B61,一级属性,U$1,)</f>
        <v>100</v>
      </c>
      <c r="V61" s="53">
        <f>VLOOKUP($B61,一级属性,V$1,)</f>
        <v>4</v>
      </c>
      <c r="W61" s="53">
        <f>VLOOKUP($B61,一级属性,W$1,)</f>
        <v>27</v>
      </c>
      <c r="X61" s="27">
        <v>2</v>
      </c>
      <c r="Y61" s="27">
        <v>1</v>
      </c>
      <c r="Z61" s="53">
        <f>VLOOKUP($B61,一级属性,Z$1,)</f>
        <v>0</v>
      </c>
      <c r="AA61" s="53" t="str">
        <f>VLOOKUP($B61,一级属性,AA$1,)</f>
        <v>2000</v>
      </c>
      <c r="AB61" s="53">
        <f>VLOOKUP($B61,一级属性,AB$1,)</f>
        <v>180</v>
      </c>
      <c r="AC61" s="53">
        <f>VLOOKUP($B61,一级属性,AC$1,)</f>
        <v>1500</v>
      </c>
      <c r="AD61" s="95">
        <v>0</v>
      </c>
      <c r="AE61" s="53">
        <f>VLOOKUP($B61,一级属性,AE$1,)</f>
        <v>6.5</v>
      </c>
      <c r="AF61" s="95">
        <v>0</v>
      </c>
      <c r="AG61" s="95">
        <v>0</v>
      </c>
      <c r="AH61" s="95">
        <v>0</v>
      </c>
      <c r="AI61" s="95">
        <v>0</v>
      </c>
      <c r="AJ61" s="95">
        <v>0</v>
      </c>
      <c r="AK61" s="95">
        <v>0</v>
      </c>
      <c r="AL61" s="95">
        <v>0</v>
      </c>
      <c r="AM61" s="53">
        <f>VLOOKUP($B61,一级属性,AM$1,)</f>
        <v>1000</v>
      </c>
      <c r="AN61">
        <v>40000</v>
      </c>
    </row>
    <row r="62" spans="1:40">
      <c r="A62" s="131"/>
      <c r="B62" s="32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5">
        <v>2</v>
      </c>
      <c r="O62" s="4"/>
      <c r="P62" s="4"/>
      <c r="Q62" s="38">
        <v>880</v>
      </c>
      <c r="R62" s="38">
        <v>22</v>
      </c>
      <c r="S62" s="38">
        <v>440</v>
      </c>
      <c r="T62" s="27"/>
      <c r="U62" s="4"/>
      <c r="V62" s="4"/>
      <c r="W62" s="4"/>
      <c r="X62" s="27"/>
      <c r="Y62" s="27"/>
      <c r="Z62" s="4"/>
      <c r="AA62" s="4"/>
      <c r="AB62" s="4"/>
      <c r="AC62" s="4"/>
      <c r="AD62" s="4"/>
      <c r="AE62" s="4"/>
      <c r="AM62" s="4"/>
    </row>
    <row r="63" spans="1:40">
      <c r="A63" s="131"/>
      <c r="B63" s="32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5">
        <v>3</v>
      </c>
      <c r="O63" s="4"/>
      <c r="P63" s="4"/>
      <c r="Q63" s="38">
        <v>968</v>
      </c>
      <c r="R63" s="38">
        <v>24</v>
      </c>
      <c r="S63" s="38">
        <v>484</v>
      </c>
      <c r="T63" s="27"/>
      <c r="U63" s="4"/>
      <c r="V63" s="4"/>
      <c r="W63" s="4"/>
      <c r="X63" s="27"/>
      <c r="Y63" s="27"/>
      <c r="Z63" s="4"/>
      <c r="AA63" s="4"/>
      <c r="AB63" s="4"/>
      <c r="AC63" s="4"/>
      <c r="AD63" s="4"/>
      <c r="AE63" s="4"/>
      <c r="AM63" s="4"/>
    </row>
    <row r="64" spans="1:40">
      <c r="A64" s="131"/>
      <c r="B64" s="32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5">
        <v>4</v>
      </c>
      <c r="O64" s="4"/>
      <c r="P64" s="4"/>
      <c r="Q64" s="38">
        <v>1064</v>
      </c>
      <c r="R64" s="38">
        <v>26</v>
      </c>
      <c r="S64" s="38">
        <v>532</v>
      </c>
      <c r="T64" s="27"/>
      <c r="U64" s="4"/>
      <c r="V64" s="4"/>
      <c r="W64" s="4"/>
      <c r="X64" s="27"/>
      <c r="Y64" s="27"/>
      <c r="Z64" s="4"/>
      <c r="AA64" s="4"/>
      <c r="AB64" s="4"/>
      <c r="AC64" s="4"/>
      <c r="AD64" s="4"/>
      <c r="AE64" s="4"/>
      <c r="AM64" s="4"/>
    </row>
    <row r="65" spans="1:40">
      <c r="A65" s="131"/>
      <c r="B65" s="32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5">
        <v>5</v>
      </c>
      <c r="O65" s="4"/>
      <c r="P65" s="4"/>
      <c r="Q65" s="38">
        <v>1168</v>
      </c>
      <c r="R65" s="38">
        <v>29</v>
      </c>
      <c r="S65" s="38">
        <v>584</v>
      </c>
      <c r="T65" s="27"/>
      <c r="U65" s="4"/>
      <c r="V65" s="4"/>
      <c r="W65" s="4"/>
      <c r="X65" s="27"/>
      <c r="Y65" s="27"/>
      <c r="Z65" s="4"/>
      <c r="AA65" s="4"/>
      <c r="AB65" s="4"/>
      <c r="AC65" s="4"/>
      <c r="AD65" s="4"/>
      <c r="AE65" s="4"/>
      <c r="AM65" s="4"/>
    </row>
    <row r="66" spans="1:40">
      <c r="A66" s="131"/>
      <c r="B66" s="32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5">
        <v>6</v>
      </c>
      <c r="O66" s="4"/>
      <c r="P66" s="4"/>
      <c r="Q66" s="38">
        <v>1280</v>
      </c>
      <c r="R66" s="38">
        <v>32</v>
      </c>
      <c r="S66" s="38">
        <v>640</v>
      </c>
      <c r="T66" s="27"/>
      <c r="U66" s="4"/>
      <c r="V66" s="4"/>
      <c r="W66" s="4"/>
      <c r="X66" s="27"/>
      <c r="Y66" s="27"/>
      <c r="Z66" s="4"/>
      <c r="AA66" s="4"/>
      <c r="AB66" s="4"/>
      <c r="AC66" s="4"/>
      <c r="AD66" s="4"/>
      <c r="AE66" s="4"/>
      <c r="AM66" s="4"/>
    </row>
    <row r="67" spans="1:40">
      <c r="A67" s="131"/>
      <c r="B67" s="32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5">
        <v>7</v>
      </c>
      <c r="O67" s="4"/>
      <c r="P67" s="4"/>
      <c r="Q67" s="38">
        <v>1408</v>
      </c>
      <c r="R67" s="38">
        <v>35</v>
      </c>
      <c r="S67" s="38">
        <v>704</v>
      </c>
      <c r="T67" s="27"/>
      <c r="U67" s="4"/>
      <c r="V67" s="4"/>
      <c r="W67" s="4"/>
      <c r="X67" s="27"/>
      <c r="Y67" s="27"/>
      <c r="Z67" s="4"/>
      <c r="AA67" s="4"/>
      <c r="AB67" s="4"/>
      <c r="AC67" s="4"/>
      <c r="AD67" s="4"/>
      <c r="AE67" s="4"/>
      <c r="AM67" s="4"/>
    </row>
    <row r="68" spans="1:40">
      <c r="A68" s="131"/>
      <c r="B68" s="32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5">
        <v>8</v>
      </c>
      <c r="O68" s="4"/>
      <c r="P68" s="4"/>
      <c r="Q68" s="38">
        <v>1544</v>
      </c>
      <c r="R68" s="38">
        <v>38</v>
      </c>
      <c r="S68" s="38">
        <v>772</v>
      </c>
      <c r="T68" s="27"/>
      <c r="U68" s="4"/>
      <c r="V68" s="4"/>
      <c r="W68" s="4"/>
      <c r="X68" s="27"/>
      <c r="Y68" s="27"/>
      <c r="Z68" s="4"/>
      <c r="AA68" s="4"/>
      <c r="AB68" s="4"/>
      <c r="AC68" s="4"/>
      <c r="AD68" s="4"/>
      <c r="AE68" s="4"/>
      <c r="AM68" s="4"/>
    </row>
    <row r="69" spans="1:40">
      <c r="A69" s="131"/>
      <c r="B69" s="32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5">
        <v>9</v>
      </c>
      <c r="O69" s="4"/>
      <c r="P69" s="4"/>
      <c r="Q69" s="38">
        <v>1696</v>
      </c>
      <c r="R69" s="38">
        <v>42</v>
      </c>
      <c r="S69" s="38">
        <v>848</v>
      </c>
      <c r="T69" s="27"/>
      <c r="U69" s="4"/>
      <c r="V69" s="4"/>
      <c r="W69" s="4"/>
      <c r="X69" s="27"/>
      <c r="Y69" s="27"/>
      <c r="Z69" s="4"/>
      <c r="AA69" s="4"/>
      <c r="AB69" s="4"/>
      <c r="AC69" s="4"/>
      <c r="AD69" s="4"/>
      <c r="AE69" s="4"/>
      <c r="AM69" s="4"/>
    </row>
    <row r="70" spans="1:40">
      <c r="A70" s="131"/>
      <c r="B70" s="32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5">
        <v>10</v>
      </c>
      <c r="O70" s="4"/>
      <c r="P70" s="4"/>
      <c r="Q70" s="38">
        <v>1864</v>
      </c>
      <c r="R70" s="38">
        <v>46</v>
      </c>
      <c r="S70" s="38">
        <v>932</v>
      </c>
      <c r="T70" s="27"/>
      <c r="U70" s="4"/>
      <c r="V70" s="4"/>
      <c r="W70" s="4"/>
      <c r="X70" s="27"/>
      <c r="Y70" s="27"/>
      <c r="Z70" s="4"/>
      <c r="AA70" s="4"/>
      <c r="AB70" s="4"/>
      <c r="AC70" s="4"/>
      <c r="AD70" s="4"/>
      <c r="AE70" s="4"/>
      <c r="AM70" s="4"/>
    </row>
    <row r="71" spans="1:40">
      <c r="A71" s="131"/>
      <c r="B71" s="32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5">
        <v>11</v>
      </c>
      <c r="O71" s="4"/>
      <c r="P71" s="4"/>
      <c r="Q71" s="38">
        <v>2048</v>
      </c>
      <c r="R71" s="38">
        <v>51</v>
      </c>
      <c r="S71" s="38">
        <v>1024</v>
      </c>
      <c r="T71" s="27"/>
      <c r="U71" s="4"/>
      <c r="V71" s="4"/>
      <c r="W71" s="4"/>
      <c r="X71" s="27"/>
      <c r="Y71" s="27"/>
      <c r="Z71" s="4"/>
      <c r="AA71" s="4"/>
      <c r="AB71" s="4"/>
      <c r="AC71" s="4"/>
      <c r="AD71" s="4"/>
      <c r="AE71" s="4"/>
      <c r="AM71" s="4"/>
    </row>
    <row r="72" spans="1:40">
      <c r="A72" s="131"/>
      <c r="B72" s="32">
        <v>203</v>
      </c>
      <c r="C72" s="53" t="str">
        <f>VLOOKUP($B72,一级属性,C$1,)</f>
        <v>投石机</v>
      </c>
      <c r="D72" s="53" t="str">
        <f>VLOOKUP($B72,一级属性,D$1,)</f>
        <v>投掷出的石块伴随优美的抛物线对远方的敌人造成范围伤害，美中不足的是无法瞄准靠的太近的目标。</v>
      </c>
      <c r="E72" s="5"/>
      <c r="F72" s="53">
        <f t="shared" ref="F72:L72" si="9">VLOOKUP($B72,一级属性,F$1,)</f>
        <v>1</v>
      </c>
      <c r="G72" s="53">
        <f t="shared" si="9"/>
        <v>6</v>
      </c>
      <c r="H72" s="53">
        <f t="shared" si="9"/>
        <v>0</v>
      </c>
      <c r="I72" s="53">
        <f t="shared" si="9"/>
        <v>210</v>
      </c>
      <c r="J72" s="53">
        <f t="shared" si="9"/>
        <v>0</v>
      </c>
      <c r="K72" s="53">
        <f t="shared" si="9"/>
        <v>1005</v>
      </c>
      <c r="L72" s="53">
        <f t="shared" si="9"/>
        <v>2005</v>
      </c>
      <c r="M72" s="28">
        <v>1</v>
      </c>
      <c r="N72" s="5">
        <v>1</v>
      </c>
      <c r="O72" s="53">
        <f>VLOOKUP($B72,一级属性,O$1,)</f>
        <v>4</v>
      </c>
      <c r="P72" s="95">
        <v>0</v>
      </c>
      <c r="Q72" s="104">
        <v>600</v>
      </c>
      <c r="R72" s="104">
        <v>108</v>
      </c>
      <c r="S72" s="95">
        <v>0</v>
      </c>
      <c r="T72" s="53">
        <f t="shared" ref="T72" si="10">VLOOKUP($B72,一级属性,T$1,)</f>
        <v>5000</v>
      </c>
      <c r="U72" s="53">
        <f t="shared" ref="U72:W72" si="11">VLOOKUP($B72,一级属性,U$1,)</f>
        <v>100</v>
      </c>
      <c r="V72" s="53">
        <f t="shared" si="11"/>
        <v>4</v>
      </c>
      <c r="W72" s="53">
        <f t="shared" si="11"/>
        <v>27</v>
      </c>
      <c r="X72" s="27">
        <v>0</v>
      </c>
      <c r="Y72" s="27">
        <v>2</v>
      </c>
      <c r="Z72" s="53">
        <f t="shared" ref="Z72:AE72" si="12">VLOOKUP($B72,一级属性,Z$1,)</f>
        <v>60</v>
      </c>
      <c r="AA72" s="53" t="str">
        <f t="shared" si="12"/>
        <v>2000</v>
      </c>
      <c r="AB72" s="53">
        <f t="shared" si="12"/>
        <v>330</v>
      </c>
      <c r="AC72" s="53">
        <f t="shared" si="12"/>
        <v>350</v>
      </c>
      <c r="AD72" s="105">
        <f>4.5*30-W72</f>
        <v>108</v>
      </c>
      <c r="AE72" s="53">
        <f t="shared" si="12"/>
        <v>11.5</v>
      </c>
      <c r="AF72" s="95">
        <v>0</v>
      </c>
      <c r="AG72" s="95">
        <v>0</v>
      </c>
      <c r="AH72" s="95">
        <v>0</v>
      </c>
      <c r="AI72" s="95">
        <v>0</v>
      </c>
      <c r="AJ72" s="95">
        <v>0</v>
      </c>
      <c r="AK72" s="95">
        <v>0</v>
      </c>
      <c r="AL72" s="95">
        <v>0</v>
      </c>
      <c r="AM72" s="53">
        <f>VLOOKUP($B72,一级属性,AM$1,)</f>
        <v>5000</v>
      </c>
      <c r="AN72">
        <v>30000</v>
      </c>
    </row>
    <row r="73" spans="1:40">
      <c r="A73" s="131"/>
      <c r="B73" s="32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>
        <v>2</v>
      </c>
      <c r="O73" s="5"/>
      <c r="P73" s="5"/>
      <c r="Q73" s="104">
        <v>660</v>
      </c>
      <c r="R73" s="104">
        <v>119</v>
      </c>
      <c r="S73" s="95">
        <v>0</v>
      </c>
      <c r="T73" s="27"/>
      <c r="U73" s="5"/>
      <c r="V73" s="5"/>
      <c r="W73" s="5"/>
      <c r="X73" s="27"/>
      <c r="Y73" s="27"/>
      <c r="Z73" s="5"/>
      <c r="AA73" s="5"/>
      <c r="AB73" s="5"/>
      <c r="AC73" s="5"/>
      <c r="AD73" s="5"/>
      <c r="AE73" s="5"/>
      <c r="AM73" s="5"/>
    </row>
    <row r="74" spans="1:40">
      <c r="A74" s="131"/>
      <c r="B74" s="32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>
        <v>3</v>
      </c>
      <c r="O74" s="5"/>
      <c r="P74" s="5"/>
      <c r="Q74" s="104">
        <v>726</v>
      </c>
      <c r="R74" s="104">
        <v>131</v>
      </c>
      <c r="S74" s="95">
        <v>0</v>
      </c>
      <c r="T74" s="27"/>
      <c r="U74" s="5"/>
      <c r="V74" s="5"/>
      <c r="W74" s="5"/>
      <c r="X74" s="27"/>
      <c r="Y74" s="27"/>
      <c r="Z74" s="5"/>
      <c r="AA74" s="5"/>
      <c r="AB74" s="5"/>
      <c r="AC74" s="5"/>
      <c r="AD74" s="5"/>
      <c r="AE74" s="5"/>
      <c r="AM74" s="5"/>
    </row>
    <row r="75" spans="1:40">
      <c r="A75" s="131"/>
      <c r="B75" s="32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>
        <v>4</v>
      </c>
      <c r="O75" s="5"/>
      <c r="P75" s="5"/>
      <c r="Q75" s="104">
        <v>798</v>
      </c>
      <c r="R75" s="104">
        <v>145</v>
      </c>
      <c r="S75" s="95">
        <v>0</v>
      </c>
      <c r="T75" s="27"/>
      <c r="U75" s="5"/>
      <c r="V75" s="5"/>
      <c r="W75" s="5"/>
      <c r="X75" s="27"/>
      <c r="Y75" s="27"/>
      <c r="Z75" s="5"/>
      <c r="AA75" s="5"/>
      <c r="AB75" s="5"/>
      <c r="AC75" s="5"/>
      <c r="AD75" s="5"/>
      <c r="AE75" s="5"/>
      <c r="AM75" s="5"/>
    </row>
    <row r="76" spans="1:40">
      <c r="A76" s="131"/>
      <c r="B76" s="32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>
        <v>5</v>
      </c>
      <c r="O76" s="5"/>
      <c r="P76" s="5"/>
      <c r="Q76" s="104">
        <v>876</v>
      </c>
      <c r="R76" s="104">
        <v>158</v>
      </c>
      <c r="S76" s="95">
        <v>0</v>
      </c>
      <c r="T76" s="27"/>
      <c r="U76" s="5"/>
      <c r="V76" s="5"/>
      <c r="W76" s="5"/>
      <c r="X76" s="27"/>
      <c r="Y76" s="27"/>
      <c r="Z76" s="5"/>
      <c r="AA76" s="5"/>
      <c r="AB76" s="5"/>
      <c r="AC76" s="5"/>
      <c r="AD76" s="5"/>
      <c r="AE76" s="5"/>
      <c r="AM76" s="5"/>
    </row>
    <row r="77" spans="1:40">
      <c r="A77" s="131"/>
      <c r="B77" s="32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>
        <v>6</v>
      </c>
      <c r="O77" s="5"/>
      <c r="P77" s="5"/>
      <c r="Q77" s="104">
        <v>960</v>
      </c>
      <c r="R77" s="104">
        <v>173</v>
      </c>
      <c r="S77" s="95">
        <v>0</v>
      </c>
      <c r="T77" s="27"/>
      <c r="U77" s="5"/>
      <c r="V77" s="5"/>
      <c r="W77" s="5"/>
      <c r="X77" s="27"/>
      <c r="Y77" s="27"/>
      <c r="Z77" s="5"/>
      <c r="AA77" s="5"/>
      <c r="AD77" s="5"/>
      <c r="AE77" s="5"/>
      <c r="AM77" s="5"/>
    </row>
    <row r="78" spans="1:40">
      <c r="A78" s="131"/>
      <c r="B78" s="32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>
        <v>7</v>
      </c>
      <c r="O78" s="5"/>
      <c r="P78" s="5"/>
      <c r="Q78" s="104">
        <v>1056</v>
      </c>
      <c r="R78" s="104">
        <v>190</v>
      </c>
      <c r="S78" s="95">
        <v>0</v>
      </c>
      <c r="T78" s="27"/>
      <c r="U78" s="5"/>
      <c r="V78" s="5"/>
      <c r="W78" s="5"/>
      <c r="X78" s="27"/>
      <c r="Y78" s="27"/>
      <c r="Z78" s="5"/>
      <c r="AA78" s="5"/>
      <c r="AB78" s="5"/>
      <c r="AC78" s="5"/>
      <c r="AD78" s="5"/>
      <c r="AE78" s="5"/>
      <c r="AM78" s="5"/>
    </row>
    <row r="79" spans="1:40">
      <c r="A79" s="131"/>
      <c r="B79" s="32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>
        <v>8</v>
      </c>
      <c r="O79" s="5"/>
      <c r="P79" s="5"/>
      <c r="Q79" s="104">
        <v>1158</v>
      </c>
      <c r="R79" s="104">
        <v>208</v>
      </c>
      <c r="S79" s="95">
        <v>0</v>
      </c>
      <c r="T79" s="27"/>
      <c r="U79" s="5"/>
      <c r="V79" s="5"/>
      <c r="W79" s="5"/>
      <c r="X79" s="27"/>
      <c r="Y79" s="27"/>
      <c r="Z79" s="5"/>
      <c r="AA79" s="5"/>
      <c r="AB79" s="5"/>
      <c r="AC79" s="5"/>
      <c r="AD79" s="5"/>
      <c r="AE79" s="5"/>
      <c r="AM79" s="5"/>
    </row>
    <row r="80" spans="1:40">
      <c r="A80" s="131"/>
      <c r="B80" s="32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>
        <v>9</v>
      </c>
      <c r="O80" s="5"/>
      <c r="P80" s="5"/>
      <c r="Q80" s="104">
        <v>1272</v>
      </c>
      <c r="R80" s="104">
        <v>229</v>
      </c>
      <c r="S80" s="95">
        <v>0</v>
      </c>
      <c r="T80" s="27"/>
      <c r="U80" s="5"/>
      <c r="V80" s="5"/>
      <c r="W80" s="5"/>
      <c r="X80" s="27"/>
      <c r="Y80" s="27"/>
      <c r="Z80" s="5"/>
      <c r="AA80" s="5"/>
      <c r="AB80" s="5"/>
      <c r="AC80" s="5"/>
      <c r="AD80" s="5"/>
      <c r="AE80" s="5"/>
      <c r="AM80" s="5"/>
    </row>
    <row r="81" spans="1:40">
      <c r="A81" s="131"/>
      <c r="B81" s="32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>
        <v>10</v>
      </c>
      <c r="O81" s="5"/>
      <c r="P81" s="5"/>
      <c r="Q81" s="104">
        <v>1398</v>
      </c>
      <c r="R81" s="104">
        <v>251</v>
      </c>
      <c r="S81" s="95">
        <v>0</v>
      </c>
      <c r="T81" s="27"/>
      <c r="U81" s="5"/>
      <c r="V81" s="5"/>
      <c r="W81" s="5"/>
      <c r="X81" s="27"/>
      <c r="Y81" s="27"/>
      <c r="Z81" s="5"/>
      <c r="AA81" s="5"/>
      <c r="AB81" s="5"/>
      <c r="AC81" s="5"/>
      <c r="AD81" s="5"/>
      <c r="AE81" s="5"/>
      <c r="AM81" s="5"/>
    </row>
    <row r="82" spans="1:40">
      <c r="A82" s="131"/>
      <c r="B82" s="32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>
        <v>11</v>
      </c>
      <c r="O82" s="5"/>
      <c r="P82" s="5"/>
      <c r="Q82" s="104">
        <v>1536</v>
      </c>
      <c r="R82" s="104">
        <v>276</v>
      </c>
      <c r="S82" s="95">
        <v>0</v>
      </c>
      <c r="T82" s="27"/>
      <c r="U82" s="5"/>
      <c r="V82" s="5"/>
      <c r="W82" s="5"/>
      <c r="X82" s="27"/>
      <c r="Y82" s="27"/>
      <c r="Z82" s="5"/>
      <c r="AA82" s="5"/>
      <c r="AB82" s="5"/>
      <c r="AC82" s="5"/>
      <c r="AD82" s="5"/>
      <c r="AE82" s="5"/>
      <c r="AM82" s="5"/>
    </row>
    <row r="83" spans="1:40">
      <c r="A83" s="131"/>
      <c r="B83" s="32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>
        <v>12</v>
      </c>
      <c r="O83" s="5"/>
      <c r="P83" s="5"/>
      <c r="Q83" s="104">
        <v>1686</v>
      </c>
      <c r="R83" s="104">
        <v>303</v>
      </c>
      <c r="S83" s="95">
        <v>0</v>
      </c>
      <c r="T83" s="27"/>
      <c r="U83" s="5"/>
      <c r="V83" s="5"/>
      <c r="W83" s="5"/>
      <c r="X83" s="27"/>
      <c r="Y83" s="27"/>
      <c r="Z83" s="5"/>
      <c r="AA83" s="5"/>
      <c r="AB83" s="5"/>
      <c r="AC83" s="5"/>
      <c r="AD83" s="5"/>
      <c r="AE83" s="5"/>
      <c r="AM83" s="5"/>
    </row>
    <row r="84" spans="1:40">
      <c r="A84" s="131"/>
      <c r="B84" s="32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>
        <v>13</v>
      </c>
      <c r="O84" s="5"/>
      <c r="P84" s="5"/>
      <c r="Q84" s="104">
        <v>1854</v>
      </c>
      <c r="R84" s="104">
        <v>333</v>
      </c>
      <c r="S84" s="95">
        <v>0</v>
      </c>
      <c r="T84" s="27"/>
      <c r="U84" s="5"/>
      <c r="V84" s="5"/>
      <c r="W84" s="5"/>
      <c r="X84" s="27"/>
      <c r="Y84" s="27"/>
      <c r="Z84" s="5"/>
      <c r="AA84" s="5"/>
      <c r="AB84" s="5"/>
      <c r="AC84" s="5"/>
      <c r="AD84" s="5"/>
      <c r="AE84" s="5"/>
      <c r="AM84" s="5"/>
    </row>
    <row r="85" spans="1:40">
      <c r="A85" s="131"/>
      <c r="B85" s="32">
        <v>209</v>
      </c>
      <c r="C85" s="53" t="str">
        <f>VLOOKUP($B85,一级属性,C$1,)</f>
        <v>邦尼堡垒</v>
      </c>
      <c r="D85" s="53" t="str">
        <f>VLOOKUP($B85,一级属性,D$1,)</f>
        <v>站得高，就看的远。炸碎一切来犯的敌人。</v>
      </c>
      <c r="E85" s="5"/>
      <c r="F85" s="53">
        <f t="shared" ref="F85:L85" si="13">VLOOKUP($B85,一级属性,F$1,)</f>
        <v>1</v>
      </c>
      <c r="G85" s="53">
        <f t="shared" si="13"/>
        <v>2</v>
      </c>
      <c r="H85" s="53">
        <f t="shared" si="13"/>
        <v>0</v>
      </c>
      <c r="I85" s="53">
        <f t="shared" si="13"/>
        <v>105</v>
      </c>
      <c r="J85" s="53">
        <f t="shared" si="13"/>
        <v>1</v>
      </c>
      <c r="K85" s="53">
        <f t="shared" si="13"/>
        <v>1006</v>
      </c>
      <c r="L85" s="53">
        <f t="shared" si="13"/>
        <v>2006</v>
      </c>
      <c r="M85" s="28">
        <v>1</v>
      </c>
      <c r="N85" s="5">
        <v>1</v>
      </c>
      <c r="O85" s="53">
        <f>VLOOKUP($B85,一级属性,O$1,)</f>
        <v>5</v>
      </c>
      <c r="P85" s="95">
        <v>0</v>
      </c>
      <c r="Q85" s="104">
        <v>900</v>
      </c>
      <c r="R85" s="104">
        <v>100</v>
      </c>
      <c r="S85" s="95">
        <v>0</v>
      </c>
      <c r="T85" s="53">
        <f>VLOOKUP($B85,一级属性,T$1,)</f>
        <v>1600</v>
      </c>
      <c r="U85" s="53">
        <f>VLOOKUP($B85,一级属性,U$1,)</f>
        <v>166</v>
      </c>
      <c r="V85" s="53">
        <f>VLOOKUP($B85,一级属性,V$1,)</f>
        <v>4</v>
      </c>
      <c r="W85" s="53">
        <f>VLOOKUP($B85,一级属性,W$1,)</f>
        <v>27</v>
      </c>
      <c r="X85" s="27">
        <v>0</v>
      </c>
      <c r="Y85" s="27">
        <v>2</v>
      </c>
      <c r="Z85" s="53">
        <f>VLOOKUP($B85,一级属性,Z$1,)</f>
        <v>45</v>
      </c>
      <c r="AA85" s="53" t="str">
        <f>VLOOKUP($B85,一级属性,AA$1,)</f>
        <v>2000</v>
      </c>
      <c r="AB85" s="53">
        <f>VLOOKUP($B85,一级属性,AB$1,)</f>
        <v>180</v>
      </c>
      <c r="AC85" s="53">
        <f>VLOOKUP($B85,一级属性,AC$1,)</f>
        <v>250</v>
      </c>
      <c r="AD85" s="95">
        <v>0</v>
      </c>
      <c r="AE85" s="53">
        <f>VLOOKUP($B85,一级属性,AE$1,)</f>
        <v>6.5</v>
      </c>
      <c r="AF85" s="95">
        <v>0</v>
      </c>
      <c r="AG85" s="95">
        <v>0</v>
      </c>
      <c r="AH85" s="95">
        <v>0</v>
      </c>
      <c r="AI85" s="95">
        <v>0</v>
      </c>
      <c r="AJ85" s="95">
        <v>0</v>
      </c>
      <c r="AK85" s="95">
        <v>0</v>
      </c>
      <c r="AL85" s="95">
        <v>0</v>
      </c>
      <c r="AM85" s="53">
        <f>VLOOKUP($B85,一级属性,AM$1,)</f>
        <v>1000</v>
      </c>
      <c r="AN85">
        <v>40000</v>
      </c>
    </row>
    <row r="86" spans="1:40">
      <c r="A86" s="131"/>
      <c r="B86" s="32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5">
        <v>2</v>
      </c>
      <c r="O86" s="4"/>
      <c r="P86" s="4"/>
      <c r="Q86" s="104">
        <v>990</v>
      </c>
      <c r="R86" s="104">
        <v>110</v>
      </c>
      <c r="S86" s="95">
        <v>0</v>
      </c>
      <c r="T86" s="27"/>
      <c r="U86" s="4"/>
      <c r="V86" s="4"/>
      <c r="W86" s="4"/>
      <c r="X86" s="27"/>
      <c r="Y86" s="27"/>
      <c r="Z86" s="4"/>
      <c r="AA86" s="4"/>
      <c r="AB86" s="4"/>
      <c r="AC86" s="4"/>
      <c r="AD86" s="4"/>
      <c r="AE86" s="4"/>
      <c r="AM86" s="4"/>
    </row>
    <row r="87" spans="1:40">
      <c r="A87" s="131"/>
      <c r="B87" s="32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5">
        <v>3</v>
      </c>
      <c r="O87" s="4"/>
      <c r="P87" s="4"/>
      <c r="Q87" s="104">
        <v>1089</v>
      </c>
      <c r="R87" s="104">
        <v>121</v>
      </c>
      <c r="S87" s="95">
        <v>0</v>
      </c>
      <c r="T87" s="27"/>
      <c r="U87" s="4"/>
      <c r="V87" s="4"/>
      <c r="W87" s="4"/>
      <c r="X87" s="27"/>
      <c r="Y87" s="27"/>
      <c r="Z87" s="4"/>
      <c r="AA87" s="4"/>
      <c r="AB87" s="4"/>
      <c r="AC87" s="4"/>
      <c r="AD87" s="4"/>
      <c r="AE87" s="4"/>
      <c r="AM87" s="4"/>
    </row>
    <row r="88" spans="1:40">
      <c r="A88" s="131"/>
      <c r="B88" s="32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5">
        <v>4</v>
      </c>
      <c r="O88" s="4"/>
      <c r="P88" s="4"/>
      <c r="Q88" s="104">
        <v>1197</v>
      </c>
      <c r="R88" s="104">
        <v>133</v>
      </c>
      <c r="S88" s="95">
        <v>0</v>
      </c>
      <c r="T88" s="27"/>
      <c r="U88" s="4"/>
      <c r="V88" s="4"/>
      <c r="W88" s="4"/>
      <c r="X88" s="27"/>
      <c r="Y88" s="27"/>
      <c r="Z88" s="4"/>
      <c r="AA88" s="4"/>
      <c r="AB88" s="4"/>
      <c r="AC88" s="4"/>
      <c r="AD88" s="4"/>
      <c r="AE88" s="4"/>
      <c r="AM88" s="4"/>
    </row>
    <row r="89" spans="1:40">
      <c r="A89" s="131"/>
      <c r="B89" s="32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5">
        <v>5</v>
      </c>
      <c r="O89" s="4"/>
      <c r="P89" s="4"/>
      <c r="Q89" s="104">
        <v>1314</v>
      </c>
      <c r="R89" s="104">
        <v>146</v>
      </c>
      <c r="S89" s="95">
        <v>0</v>
      </c>
      <c r="T89" s="27"/>
      <c r="U89" s="4"/>
      <c r="V89" s="4"/>
      <c r="W89" s="4"/>
      <c r="X89" s="27"/>
      <c r="Y89" s="27"/>
      <c r="Z89" s="4"/>
      <c r="AA89" s="4"/>
      <c r="AB89" s="4"/>
      <c r="AC89" s="4"/>
      <c r="AD89" s="4"/>
      <c r="AE89" s="4"/>
      <c r="AM89" s="4"/>
    </row>
    <row r="90" spans="1:40">
      <c r="A90" s="131"/>
      <c r="B90" s="32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5">
        <v>6</v>
      </c>
      <c r="O90" s="4"/>
      <c r="P90" s="4"/>
      <c r="Q90" s="104">
        <v>1440</v>
      </c>
      <c r="R90" s="104">
        <v>160</v>
      </c>
      <c r="S90" s="95">
        <v>0</v>
      </c>
      <c r="T90" s="27"/>
      <c r="U90" s="4"/>
      <c r="V90" s="4"/>
      <c r="W90" s="4"/>
      <c r="X90" s="27"/>
      <c r="Y90" s="27"/>
      <c r="Z90" s="4"/>
      <c r="AA90" s="4"/>
      <c r="AB90" s="4"/>
      <c r="AC90" s="4"/>
      <c r="AD90" s="4"/>
      <c r="AE90" s="4"/>
      <c r="AM90" s="4"/>
    </row>
    <row r="91" spans="1:40">
      <c r="A91" s="131"/>
      <c r="B91" s="32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5">
        <v>7</v>
      </c>
      <c r="O91" s="4"/>
      <c r="P91" s="4"/>
      <c r="Q91" s="104">
        <v>1584</v>
      </c>
      <c r="R91" s="104">
        <v>176</v>
      </c>
      <c r="S91" s="95">
        <v>0</v>
      </c>
      <c r="T91" s="27"/>
      <c r="U91" s="4"/>
      <c r="V91" s="4"/>
      <c r="W91" s="4"/>
      <c r="X91" s="27"/>
      <c r="Y91" s="27"/>
      <c r="Z91" s="4"/>
      <c r="AA91" s="4"/>
      <c r="AB91" s="4"/>
      <c r="AC91" s="4"/>
      <c r="AD91" s="4"/>
      <c r="AE91" s="4"/>
      <c r="AM91" s="4"/>
    </row>
    <row r="92" spans="1:40">
      <c r="A92" s="131"/>
      <c r="B92" s="32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5">
        <v>8</v>
      </c>
      <c r="O92" s="4"/>
      <c r="P92" s="4"/>
      <c r="Q92" s="104">
        <v>1737</v>
      </c>
      <c r="R92" s="104">
        <v>193</v>
      </c>
      <c r="S92" s="95">
        <v>0</v>
      </c>
      <c r="T92" s="27"/>
      <c r="U92" s="4"/>
      <c r="V92" s="4"/>
      <c r="W92" s="4"/>
      <c r="X92" s="27"/>
      <c r="Y92" s="27"/>
      <c r="Z92" s="4"/>
      <c r="AA92" s="4"/>
      <c r="AB92" s="4"/>
      <c r="AC92" s="4"/>
      <c r="AD92" s="4"/>
      <c r="AE92" s="4"/>
      <c r="AM92" s="4"/>
    </row>
    <row r="93" spans="1:40">
      <c r="A93" s="131"/>
      <c r="B93" s="32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5">
        <v>9</v>
      </c>
      <c r="O93" s="4"/>
      <c r="P93" s="4"/>
      <c r="Q93" s="104">
        <v>1908</v>
      </c>
      <c r="R93" s="104">
        <v>212</v>
      </c>
      <c r="S93" s="95">
        <v>0</v>
      </c>
      <c r="T93" s="27"/>
      <c r="U93" s="4"/>
      <c r="V93" s="4"/>
      <c r="W93" s="4"/>
      <c r="X93" s="27"/>
      <c r="Y93" s="27"/>
      <c r="Z93" s="4"/>
      <c r="AA93" s="4"/>
      <c r="AB93" s="4"/>
      <c r="AC93" s="4"/>
      <c r="AD93" s="4"/>
      <c r="AE93" s="4"/>
      <c r="AM93" s="4"/>
    </row>
    <row r="94" spans="1:40">
      <c r="A94" s="131"/>
      <c r="B94" s="32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5">
        <v>10</v>
      </c>
      <c r="O94" s="4"/>
      <c r="P94" s="4"/>
      <c r="Q94" s="104">
        <v>2097</v>
      </c>
      <c r="R94" s="104">
        <v>233</v>
      </c>
      <c r="S94" s="95">
        <v>0</v>
      </c>
      <c r="T94" s="27"/>
      <c r="U94" s="4"/>
      <c r="V94" s="4"/>
      <c r="W94" s="4"/>
      <c r="X94" s="27"/>
      <c r="Y94" s="27"/>
      <c r="Z94" s="4"/>
      <c r="AA94" s="4"/>
      <c r="AB94" s="4"/>
      <c r="AC94" s="4"/>
      <c r="AD94" s="4"/>
      <c r="AE94" s="4"/>
      <c r="AM94" s="4"/>
    </row>
    <row r="95" spans="1:40">
      <c r="A95" s="131"/>
      <c r="B95" s="32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5">
        <v>11</v>
      </c>
      <c r="O95" s="4"/>
      <c r="P95" s="4"/>
      <c r="Q95" s="104">
        <v>2304</v>
      </c>
      <c r="R95" s="104">
        <v>256</v>
      </c>
      <c r="S95" s="95">
        <v>0</v>
      </c>
      <c r="T95" s="27"/>
      <c r="U95" s="4"/>
      <c r="V95" s="4"/>
      <c r="W95" s="4"/>
      <c r="X95" s="27"/>
      <c r="Y95" s="27"/>
      <c r="Z95" s="4"/>
      <c r="AA95" s="4"/>
      <c r="AB95" s="4"/>
      <c r="AC95" s="4"/>
      <c r="AD95" s="4"/>
      <c r="AE95" s="4"/>
      <c r="AM95" s="4"/>
    </row>
    <row r="96" spans="1:40">
      <c r="A96" s="131"/>
      <c r="B96" s="32">
        <v>202</v>
      </c>
      <c r="C96" s="53" t="str">
        <f>VLOOKUP($B96,一级属性,C$1,)</f>
        <v>幽灵之塔</v>
      </c>
      <c r="D96" s="53" t="str">
        <f>VLOOKUP($B96,一级属性,D$1,)</f>
        <v>平时安静的隐藏在地下，只有敌人进入攻击范围时幽灵塔才会一跃而出，发动攻击。</v>
      </c>
      <c r="E96" s="32"/>
      <c r="F96" s="53">
        <f t="shared" ref="F96:L96" si="14">VLOOKUP($B96,一级属性,F$1,)</f>
        <v>1</v>
      </c>
      <c r="G96" s="53">
        <f t="shared" si="14"/>
        <v>4</v>
      </c>
      <c r="H96" s="53">
        <f t="shared" si="14"/>
        <v>0</v>
      </c>
      <c r="I96" s="53">
        <f t="shared" si="14"/>
        <v>160</v>
      </c>
      <c r="J96" s="53">
        <f t="shared" si="14"/>
        <v>0</v>
      </c>
      <c r="K96" s="53">
        <f t="shared" si="14"/>
        <v>1003</v>
      </c>
      <c r="L96" s="53">
        <f t="shared" si="14"/>
        <v>2003</v>
      </c>
      <c r="M96" s="28">
        <v>1</v>
      </c>
      <c r="N96" s="5">
        <v>1</v>
      </c>
      <c r="O96" s="53">
        <f>VLOOKUP($B96,一级属性,O$1,)</f>
        <v>4</v>
      </c>
      <c r="P96" s="95">
        <v>0</v>
      </c>
      <c r="Q96" s="38">
        <v>400</v>
      </c>
      <c r="R96" s="38">
        <v>64</v>
      </c>
      <c r="S96" s="95">
        <v>0</v>
      </c>
      <c r="T96" s="53">
        <f>VLOOKUP($B96,一级属性,T$1,)</f>
        <v>800</v>
      </c>
      <c r="U96" s="53">
        <f>VLOOKUP($B96,一级属性,U$1,)</f>
        <v>500</v>
      </c>
      <c r="V96" s="53">
        <f>VLOOKUP($B96,一级属性,V$1,)</f>
        <v>2</v>
      </c>
      <c r="W96" s="53">
        <f>VLOOKUP($B96,一级属性,W$1,)</f>
        <v>27</v>
      </c>
      <c r="X96" s="27">
        <v>2</v>
      </c>
      <c r="Y96" s="27">
        <v>1</v>
      </c>
      <c r="Z96" s="53">
        <f>VLOOKUP($B96,一级属性,Z$1,)</f>
        <v>0</v>
      </c>
      <c r="AA96" s="53" t="str">
        <f>VLOOKUP($B96,一级属性,AA$1,)</f>
        <v>2000</v>
      </c>
      <c r="AB96" s="53">
        <f>VLOOKUP($B96,一级属性,AB$1,)</f>
        <v>165</v>
      </c>
      <c r="AC96" s="53">
        <f>VLOOKUP($B96,一级属性,AC$1,)</f>
        <v>1500</v>
      </c>
      <c r="AD96" s="95">
        <v>0</v>
      </c>
      <c r="AE96" s="53">
        <f>VLOOKUP($B96,一级属性,AE$1,)</f>
        <v>6</v>
      </c>
      <c r="AF96" s="95">
        <v>0</v>
      </c>
      <c r="AG96" s="95">
        <v>0</v>
      </c>
      <c r="AH96" s="95">
        <v>0</v>
      </c>
      <c r="AI96" s="95">
        <v>0</v>
      </c>
      <c r="AJ96" s="95">
        <v>0</v>
      </c>
      <c r="AK96" s="95">
        <v>0</v>
      </c>
      <c r="AL96" s="95">
        <v>0</v>
      </c>
      <c r="AM96" s="53">
        <f>VLOOKUP($B96,一级属性,AM$1,)</f>
        <v>1000</v>
      </c>
      <c r="AN96">
        <v>40000</v>
      </c>
    </row>
    <row r="97" spans="1:40">
      <c r="A97" s="131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5">
        <v>2</v>
      </c>
      <c r="O97" s="32"/>
      <c r="P97" s="32"/>
      <c r="Q97" s="38">
        <v>440</v>
      </c>
      <c r="R97" s="38">
        <v>70</v>
      </c>
      <c r="S97" s="95">
        <v>0</v>
      </c>
      <c r="T97" s="27"/>
      <c r="U97" s="32"/>
      <c r="V97" s="32"/>
      <c r="W97" s="32"/>
      <c r="X97" s="27"/>
      <c r="Y97" s="27"/>
      <c r="Z97" s="32"/>
      <c r="AA97" s="32"/>
      <c r="AB97" s="32"/>
      <c r="AC97" s="32"/>
      <c r="AD97" s="32"/>
      <c r="AE97" s="32"/>
      <c r="AM97" s="32"/>
    </row>
    <row r="98" spans="1:40">
      <c r="A98" s="131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5">
        <v>3</v>
      </c>
      <c r="O98" s="32"/>
      <c r="P98" s="32"/>
      <c r="Q98" s="38">
        <v>483</v>
      </c>
      <c r="R98" s="38">
        <v>77</v>
      </c>
      <c r="S98" s="95">
        <v>0</v>
      </c>
      <c r="T98" s="27"/>
      <c r="U98" s="32"/>
      <c r="V98" s="32"/>
      <c r="W98" s="32"/>
      <c r="X98" s="27"/>
      <c r="Y98" s="27"/>
      <c r="Z98" s="32"/>
      <c r="AA98" s="32"/>
      <c r="AB98" s="32"/>
      <c r="AC98" s="32"/>
      <c r="AD98" s="32"/>
      <c r="AE98" s="32"/>
      <c r="AM98" s="32"/>
    </row>
    <row r="99" spans="1:40">
      <c r="A99" s="131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5">
        <v>4</v>
      </c>
      <c r="O99" s="32"/>
      <c r="P99" s="32"/>
      <c r="Q99" s="38">
        <v>530</v>
      </c>
      <c r="R99" s="38">
        <v>85</v>
      </c>
      <c r="S99" s="95">
        <v>0</v>
      </c>
      <c r="T99" s="27"/>
      <c r="U99" s="32"/>
      <c r="V99" s="32"/>
      <c r="W99" s="32"/>
      <c r="X99" s="27"/>
      <c r="Y99" s="27"/>
      <c r="Z99" s="32"/>
      <c r="AA99" s="32"/>
      <c r="AB99" s="32"/>
      <c r="AC99" s="32"/>
      <c r="AD99" s="32"/>
      <c r="AE99" s="32"/>
      <c r="AM99" s="32"/>
    </row>
    <row r="100" spans="1:40">
      <c r="A100" s="131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5">
        <v>5</v>
      </c>
      <c r="O100" s="32"/>
      <c r="P100" s="32"/>
      <c r="Q100" s="38">
        <v>584</v>
      </c>
      <c r="R100" s="38">
        <v>93</v>
      </c>
      <c r="S100" s="95">
        <v>0</v>
      </c>
      <c r="T100" s="27"/>
      <c r="U100" s="32"/>
      <c r="V100" s="32"/>
      <c r="W100" s="32"/>
      <c r="X100" s="27"/>
      <c r="Y100" s="27"/>
      <c r="Z100" s="32"/>
      <c r="AA100" s="32"/>
      <c r="AB100" s="32"/>
      <c r="AC100" s="32"/>
      <c r="AD100" s="32"/>
      <c r="AE100" s="32"/>
      <c r="AM100" s="32"/>
    </row>
    <row r="101" spans="1:40">
      <c r="A101" s="131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5">
        <v>6</v>
      </c>
      <c r="O101" s="32"/>
      <c r="P101" s="32"/>
      <c r="Q101" s="38">
        <v>640</v>
      </c>
      <c r="R101" s="38">
        <v>102</v>
      </c>
      <c r="S101" s="95">
        <v>0</v>
      </c>
      <c r="T101" s="27"/>
      <c r="U101" s="32"/>
      <c r="V101" s="32"/>
      <c r="W101" s="32"/>
      <c r="X101" s="27"/>
      <c r="Y101" s="27"/>
      <c r="Z101" s="32"/>
      <c r="AA101" s="32"/>
      <c r="AB101" s="32"/>
      <c r="AC101" s="32"/>
      <c r="AD101" s="32"/>
      <c r="AE101" s="32"/>
      <c r="AM101" s="32"/>
    </row>
    <row r="102" spans="1:40">
      <c r="A102" s="131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5">
        <v>7</v>
      </c>
      <c r="O102" s="32"/>
      <c r="P102" s="32"/>
      <c r="Q102" s="38">
        <v>704</v>
      </c>
      <c r="R102" s="38">
        <v>112</v>
      </c>
      <c r="S102" s="95">
        <v>0</v>
      </c>
      <c r="T102" s="27"/>
      <c r="U102" s="32"/>
      <c r="V102" s="32"/>
      <c r="W102" s="32"/>
      <c r="X102" s="27"/>
      <c r="Y102" s="27"/>
      <c r="Z102" s="32"/>
      <c r="AA102" s="32"/>
      <c r="AB102" s="32"/>
      <c r="AC102" s="32"/>
      <c r="AD102" s="32"/>
      <c r="AE102" s="32"/>
      <c r="AM102" s="32"/>
    </row>
    <row r="103" spans="1:40">
      <c r="A103" s="131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5">
        <v>8</v>
      </c>
      <c r="O103" s="32"/>
      <c r="P103" s="32"/>
      <c r="Q103" s="38">
        <v>772</v>
      </c>
      <c r="R103" s="38">
        <v>123</v>
      </c>
      <c r="S103" s="95">
        <v>0</v>
      </c>
      <c r="T103" s="27"/>
      <c r="U103" s="32"/>
      <c r="V103" s="32"/>
      <c r="W103" s="32"/>
      <c r="X103" s="27"/>
      <c r="Y103" s="27"/>
      <c r="Z103" s="32"/>
      <c r="AA103" s="32"/>
      <c r="AB103" s="32"/>
      <c r="AC103" s="32"/>
      <c r="AD103" s="32"/>
      <c r="AE103" s="32"/>
      <c r="AM103" s="32"/>
    </row>
    <row r="104" spans="1:40">
      <c r="A104" s="131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5">
        <v>9</v>
      </c>
      <c r="O104" s="32"/>
      <c r="P104" s="32"/>
      <c r="Q104" s="38">
        <v>845</v>
      </c>
      <c r="R104" s="38">
        <v>135</v>
      </c>
      <c r="S104" s="95">
        <v>0</v>
      </c>
      <c r="T104" s="27"/>
      <c r="U104" s="32"/>
      <c r="V104" s="32"/>
      <c r="W104" s="32"/>
      <c r="X104" s="27"/>
      <c r="Y104" s="27"/>
      <c r="Z104" s="32"/>
      <c r="AA104" s="32"/>
      <c r="AB104" s="32"/>
      <c r="AC104" s="32"/>
      <c r="AD104" s="32"/>
      <c r="AE104" s="32"/>
      <c r="AM104" s="32"/>
    </row>
    <row r="105" spans="1:40">
      <c r="A105" s="131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5">
        <v>10</v>
      </c>
      <c r="O105" s="32"/>
      <c r="P105" s="32"/>
      <c r="Q105" s="38">
        <v>932</v>
      </c>
      <c r="R105" s="38">
        <v>149</v>
      </c>
      <c r="S105" s="95">
        <v>0</v>
      </c>
      <c r="T105" s="27"/>
      <c r="U105" s="32"/>
      <c r="V105" s="32"/>
      <c r="W105" s="32"/>
      <c r="X105" s="27"/>
      <c r="Y105" s="27"/>
      <c r="Z105" s="32"/>
      <c r="AA105" s="32"/>
      <c r="AB105" s="32"/>
      <c r="AC105" s="32"/>
      <c r="AD105" s="32"/>
      <c r="AE105" s="32"/>
      <c r="AM105" s="32"/>
    </row>
    <row r="106" spans="1:40">
      <c r="A106" s="131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5">
        <v>11</v>
      </c>
      <c r="O106" s="32"/>
      <c r="P106" s="32"/>
      <c r="Q106" s="38">
        <v>1024</v>
      </c>
      <c r="R106" s="38">
        <v>163</v>
      </c>
      <c r="S106" s="95">
        <v>0</v>
      </c>
      <c r="T106" s="27"/>
      <c r="U106" s="32"/>
      <c r="V106" s="32"/>
      <c r="W106" s="32"/>
      <c r="X106" s="27"/>
      <c r="Y106" s="27"/>
      <c r="Z106" s="32"/>
      <c r="AA106" s="32"/>
      <c r="AB106" s="32"/>
      <c r="AC106" s="32"/>
      <c r="AD106" s="32"/>
      <c r="AE106" s="32"/>
      <c r="AM106" s="32"/>
    </row>
    <row r="107" spans="1:40">
      <c r="A107" s="131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5">
        <v>12</v>
      </c>
      <c r="O107" s="32"/>
      <c r="P107" s="32"/>
      <c r="Q107" s="38">
        <v>1124</v>
      </c>
      <c r="R107" s="38">
        <v>179</v>
      </c>
      <c r="S107" s="95">
        <v>0</v>
      </c>
      <c r="T107" s="27"/>
      <c r="U107" s="32"/>
      <c r="V107" s="32"/>
      <c r="W107" s="32"/>
      <c r="X107" s="27"/>
      <c r="Y107" s="27"/>
      <c r="Z107" s="32"/>
      <c r="AA107" s="32"/>
      <c r="AB107" s="32"/>
      <c r="AC107" s="32"/>
      <c r="AD107" s="32"/>
      <c r="AE107" s="32"/>
      <c r="AM107" s="32"/>
    </row>
    <row r="108" spans="1:40">
      <c r="A108" s="131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5">
        <v>13</v>
      </c>
      <c r="O108" s="32"/>
      <c r="P108" s="32"/>
      <c r="Q108" s="38">
        <v>1236</v>
      </c>
      <c r="R108" s="38">
        <v>197</v>
      </c>
      <c r="S108" s="95">
        <v>0</v>
      </c>
      <c r="T108" s="27"/>
      <c r="U108" s="32"/>
      <c r="V108" s="32"/>
      <c r="W108" s="32"/>
      <c r="X108" s="27"/>
      <c r="Y108" s="27"/>
      <c r="Z108" s="32"/>
      <c r="AA108" s="32"/>
      <c r="AB108" s="32"/>
      <c r="AC108" s="32"/>
      <c r="AD108" s="32"/>
      <c r="AE108" s="32"/>
      <c r="AM108" s="32"/>
    </row>
    <row r="109" spans="1:40">
      <c r="A109" s="131"/>
      <c r="B109" s="32">
        <v>206</v>
      </c>
      <c r="C109" s="103" t="str">
        <f>VLOOKUP($B109,一级属性,C$1,)</f>
        <v>原力圣殿</v>
      </c>
      <c r="D109" s="53" t="str">
        <f>VLOOKUP($B109,一级属性,D$1,)</f>
        <v>超自然又无所不在的神秘力量，创造生命源原力的能量场。</v>
      </c>
      <c r="E109" s="32"/>
      <c r="F109" s="53">
        <f t="shared" ref="F109:L109" si="15">VLOOKUP($B109,一级属性,F$1,)</f>
        <v>1</v>
      </c>
      <c r="G109" s="53">
        <f t="shared" si="15"/>
        <v>6</v>
      </c>
      <c r="H109" s="53">
        <f t="shared" si="15"/>
        <v>0</v>
      </c>
      <c r="I109" s="53">
        <f t="shared" si="15"/>
        <v>215</v>
      </c>
      <c r="J109" s="53">
        <f t="shared" si="15"/>
        <v>1</v>
      </c>
      <c r="K109" s="53">
        <f t="shared" si="15"/>
        <v>1010</v>
      </c>
      <c r="L109" s="53">
        <f t="shared" si="15"/>
        <v>2010</v>
      </c>
      <c r="M109" s="28">
        <v>0</v>
      </c>
      <c r="N109" s="5">
        <v>1</v>
      </c>
      <c r="O109" s="53">
        <f>VLOOKUP($B109,一级属性,O$1,)</f>
        <v>5</v>
      </c>
      <c r="P109" s="27">
        <v>9800</v>
      </c>
      <c r="Q109" s="38">
        <v>640</v>
      </c>
      <c r="R109" s="95">
        <v>0</v>
      </c>
      <c r="S109" s="95">
        <v>0</v>
      </c>
      <c r="T109" s="53">
        <f t="shared" ref="T109" si="16">VLOOKUP($B109,一级属性,T$1,)</f>
        <v>0</v>
      </c>
      <c r="U109" s="53">
        <f t="shared" ref="U109:W109" si="17">VLOOKUP($B109,一级属性,U$1,)</f>
        <v>50</v>
      </c>
      <c r="V109" s="53">
        <f t="shared" si="17"/>
        <v>4</v>
      </c>
      <c r="W109" s="53">
        <f t="shared" si="17"/>
        <v>27</v>
      </c>
      <c r="X109" s="27">
        <v>0</v>
      </c>
      <c r="Y109" s="27">
        <v>0</v>
      </c>
      <c r="Z109" s="53">
        <f t="shared" ref="Z109:AE109" si="18">VLOOKUP($B109,一级属性,Z$1,)</f>
        <v>0</v>
      </c>
      <c r="AA109" s="53" t="str">
        <f t="shared" si="18"/>
        <v>2000</v>
      </c>
      <c r="AB109" s="53" t="str">
        <f t="shared" si="18"/>
        <v>0</v>
      </c>
      <c r="AC109" s="53">
        <f t="shared" si="18"/>
        <v>0</v>
      </c>
      <c r="AD109" s="95">
        <v>0</v>
      </c>
      <c r="AE109" s="53">
        <f t="shared" si="18"/>
        <v>0</v>
      </c>
      <c r="AF109" s="95">
        <v>0</v>
      </c>
      <c r="AG109" s="95">
        <v>0</v>
      </c>
      <c r="AH109" s="95">
        <v>0</v>
      </c>
      <c r="AI109" s="95">
        <v>0</v>
      </c>
      <c r="AJ109" s="95">
        <v>0</v>
      </c>
      <c r="AK109" s="95">
        <v>0</v>
      </c>
      <c r="AL109" s="95">
        <v>0</v>
      </c>
      <c r="AM109" s="53">
        <f>VLOOKUP($B109,一级属性,AM$1,)</f>
        <v>1000</v>
      </c>
      <c r="AN109">
        <v>70000</v>
      </c>
    </row>
    <row r="110" spans="1:40">
      <c r="A110" s="131"/>
      <c r="B110" s="32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5">
        <v>2</v>
      </c>
      <c r="O110" s="4"/>
      <c r="P110" s="27">
        <v>9800</v>
      </c>
      <c r="Q110" s="38">
        <v>704</v>
      </c>
      <c r="R110" s="95">
        <v>0</v>
      </c>
      <c r="S110" s="95">
        <v>0</v>
      </c>
      <c r="T110" s="27"/>
      <c r="U110" s="4"/>
      <c r="V110" s="4"/>
      <c r="W110" s="4"/>
      <c r="X110" s="27"/>
      <c r="Y110" s="27"/>
      <c r="Z110" s="4"/>
      <c r="AA110" s="4"/>
      <c r="AB110" s="4"/>
      <c r="AC110" s="4"/>
      <c r="AD110" s="4"/>
      <c r="AE110" s="4"/>
      <c r="AM110" s="4"/>
    </row>
    <row r="111" spans="1:40">
      <c r="A111" s="131"/>
      <c r="B111" s="32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5">
        <v>3</v>
      </c>
      <c r="O111" s="4"/>
      <c r="P111" s="27">
        <v>9800</v>
      </c>
      <c r="Q111" s="38">
        <v>774</v>
      </c>
      <c r="R111" s="95">
        <v>0</v>
      </c>
      <c r="S111" s="95">
        <v>0</v>
      </c>
      <c r="T111" s="27"/>
      <c r="U111" s="4"/>
      <c r="V111" s="4"/>
      <c r="W111" s="4"/>
      <c r="X111" s="27"/>
      <c r="Y111" s="27"/>
      <c r="Z111" s="4"/>
      <c r="AA111" s="4"/>
      <c r="AB111" s="4"/>
      <c r="AC111" s="4"/>
      <c r="AD111" s="4"/>
      <c r="AE111" s="4"/>
      <c r="AM111" s="4"/>
    </row>
    <row r="112" spans="1:40">
      <c r="A112" s="131"/>
      <c r="B112" s="32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5">
        <v>4</v>
      </c>
      <c r="O112" s="4"/>
      <c r="P112" s="27">
        <v>9800</v>
      </c>
      <c r="Q112" s="38">
        <v>851</v>
      </c>
      <c r="R112" s="95">
        <v>0</v>
      </c>
      <c r="S112" s="95">
        <v>0</v>
      </c>
      <c r="T112" s="27"/>
      <c r="U112" s="4"/>
      <c r="V112" s="4"/>
      <c r="W112" s="4"/>
      <c r="X112" s="27"/>
      <c r="Y112" s="27"/>
      <c r="Z112" s="4"/>
      <c r="AA112" s="4"/>
      <c r="AB112" s="4"/>
      <c r="AC112" s="4"/>
      <c r="AD112" s="4"/>
      <c r="AE112" s="4"/>
      <c r="AM112" s="4"/>
    </row>
    <row r="113" spans="1:39">
      <c r="A113" s="131"/>
      <c r="B113" s="32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5">
        <v>5</v>
      </c>
      <c r="O113" s="4"/>
      <c r="P113" s="27">
        <v>9800</v>
      </c>
      <c r="Q113" s="38">
        <v>934</v>
      </c>
      <c r="R113" s="95">
        <v>0</v>
      </c>
      <c r="S113" s="95">
        <v>0</v>
      </c>
      <c r="T113" s="27"/>
      <c r="U113" s="4"/>
      <c r="V113" s="4"/>
      <c r="W113" s="4"/>
      <c r="X113" s="27"/>
      <c r="Y113" s="27"/>
      <c r="Z113" s="4"/>
      <c r="AA113" s="4"/>
      <c r="AB113" s="4"/>
      <c r="AC113" s="4"/>
      <c r="AD113" s="4"/>
      <c r="AE113" s="4"/>
      <c r="AM113" s="4"/>
    </row>
    <row r="114" spans="1:39">
      <c r="A114" s="131"/>
      <c r="B114" s="32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5">
        <v>6</v>
      </c>
      <c r="O114" s="4"/>
      <c r="P114" s="27">
        <v>9800</v>
      </c>
      <c r="Q114" s="38">
        <v>1024</v>
      </c>
      <c r="R114" s="95">
        <v>0</v>
      </c>
      <c r="S114" s="95">
        <v>0</v>
      </c>
      <c r="T114" s="27"/>
      <c r="U114" s="4"/>
      <c r="V114" s="4"/>
      <c r="W114" s="4"/>
      <c r="X114" s="27"/>
      <c r="Y114" s="27"/>
      <c r="Z114" s="4"/>
      <c r="AA114" s="4"/>
      <c r="AB114" s="4"/>
      <c r="AC114" s="4"/>
      <c r="AD114" s="4"/>
      <c r="AE114" s="4"/>
      <c r="AM114" s="4"/>
    </row>
    <row r="115" spans="1:39">
      <c r="A115" s="131"/>
      <c r="B115" s="32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5">
        <v>7</v>
      </c>
      <c r="O115" s="4"/>
      <c r="P115" s="27">
        <v>9800</v>
      </c>
      <c r="Q115" s="38">
        <v>1126</v>
      </c>
      <c r="R115" s="95">
        <v>0</v>
      </c>
      <c r="S115" s="95">
        <v>0</v>
      </c>
      <c r="T115" s="27"/>
      <c r="U115" s="4"/>
      <c r="V115" s="4"/>
      <c r="W115" s="4"/>
      <c r="X115" s="27"/>
      <c r="Y115" s="27"/>
      <c r="Z115" s="4"/>
      <c r="AA115" s="4"/>
      <c r="AB115" s="4"/>
      <c r="AC115" s="4"/>
      <c r="AD115" s="4"/>
      <c r="AE115" s="4"/>
      <c r="AM115" s="4"/>
    </row>
    <row r="116" spans="1:39">
      <c r="A116" s="131"/>
      <c r="B116" s="32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5">
        <v>8</v>
      </c>
      <c r="O116" s="4"/>
      <c r="P116" s="27">
        <v>9800</v>
      </c>
      <c r="Q116" s="38">
        <v>1235</v>
      </c>
      <c r="R116" s="95">
        <v>0</v>
      </c>
      <c r="S116" s="95">
        <v>0</v>
      </c>
      <c r="T116" s="27"/>
      <c r="U116" s="4"/>
      <c r="V116" s="4"/>
      <c r="W116" s="4"/>
      <c r="X116" s="27"/>
      <c r="Y116" s="27"/>
      <c r="Z116" s="4"/>
      <c r="AA116" s="4"/>
      <c r="AB116" s="4"/>
      <c r="AC116" s="4"/>
      <c r="AD116" s="4"/>
      <c r="AE116" s="4"/>
      <c r="AM116" s="4"/>
    </row>
    <row r="117" spans="1:39">
      <c r="A117" s="131"/>
      <c r="B117" s="32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5">
        <v>9</v>
      </c>
      <c r="O117" s="4"/>
      <c r="P117" s="27">
        <v>9800</v>
      </c>
      <c r="Q117" s="38">
        <v>1356</v>
      </c>
      <c r="R117" s="95">
        <v>0</v>
      </c>
      <c r="S117" s="95">
        <v>0</v>
      </c>
      <c r="T117" s="27"/>
      <c r="U117" s="4"/>
      <c r="V117" s="4"/>
      <c r="W117" s="4"/>
      <c r="X117" s="27"/>
      <c r="Y117" s="27"/>
      <c r="Z117" s="4"/>
      <c r="AA117" s="4"/>
      <c r="AB117" s="4"/>
      <c r="AC117" s="4"/>
      <c r="AD117" s="4"/>
      <c r="AE117" s="4"/>
      <c r="AM117" s="4"/>
    </row>
    <row r="118" spans="1:39">
      <c r="A118" s="131"/>
      <c r="B118" s="32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5">
        <v>10</v>
      </c>
      <c r="O118" s="4"/>
      <c r="P118" s="27">
        <v>9800</v>
      </c>
      <c r="Q118" s="38">
        <v>1491</v>
      </c>
      <c r="R118" s="95">
        <v>0</v>
      </c>
      <c r="S118" s="95">
        <v>0</v>
      </c>
      <c r="T118" s="27"/>
      <c r="U118" s="4"/>
      <c r="V118" s="4"/>
      <c r="W118" s="4"/>
      <c r="X118" s="27"/>
      <c r="Y118" s="27"/>
      <c r="Z118" s="4"/>
      <c r="AA118" s="4"/>
      <c r="AB118" s="4"/>
      <c r="AC118" s="4"/>
      <c r="AD118" s="4"/>
      <c r="AE118" s="4"/>
      <c r="AM118" s="4"/>
    </row>
    <row r="119" spans="1:39">
      <c r="A119" s="131">
        <v>2</v>
      </c>
      <c r="B119" s="32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5">
        <v>11</v>
      </c>
      <c r="O119" s="4"/>
      <c r="P119" s="27">
        <v>9800</v>
      </c>
      <c r="Q119" s="38">
        <v>1638</v>
      </c>
      <c r="R119" s="95">
        <v>0</v>
      </c>
      <c r="S119" s="95">
        <v>0</v>
      </c>
      <c r="T119" s="27"/>
      <c r="U119" s="4"/>
      <c r="V119" s="4"/>
      <c r="W119" s="4"/>
      <c r="X119" s="27"/>
      <c r="Y119" s="27"/>
      <c r="Z119" s="4"/>
      <c r="AA119" s="4"/>
      <c r="AB119" s="4"/>
      <c r="AC119" s="4"/>
      <c r="AD119" s="4"/>
      <c r="AE119" s="4"/>
      <c r="AM119" s="4"/>
    </row>
  </sheetData>
  <phoneticPr fontId="1" type="noConversion"/>
  <pageMargins left="0.7" right="0.7" top="0.75" bottom="0.75" header="0.3" footer="0.3"/>
  <ignoredErrors>
    <ignoredError sqref="AD72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2" r:id="rId3" name="Button 18">
              <controlPr defaultSize="0" print="0" autoFill="0" autoPict="0" macro="[0]!export_1">
                <anchor moveWithCells="1" sizeWithCells="1">
                  <from>
                    <xdr:col>2</xdr:col>
                    <xdr:colOff>66675</xdr:colOff>
                    <xdr:row>0</xdr:row>
                    <xdr:rowOff>0</xdr:rowOff>
                  </from>
                  <to>
                    <xdr:col>2</xdr:col>
                    <xdr:colOff>819150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4" name="Button 19">
              <controlPr defaultSize="0" print="0" autoFill="0" autoPict="0" macro="[0]!export_2">
                <anchor moveWithCells="1" sizeWithCells="1">
                  <from>
                    <xdr:col>2</xdr:col>
                    <xdr:colOff>66675</xdr:colOff>
                    <xdr:row>3</xdr:row>
                    <xdr:rowOff>0</xdr:rowOff>
                  </from>
                  <to>
                    <xdr:col>2</xdr:col>
                    <xdr:colOff>819150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K61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H16" sqref="H16"/>
    </sheetView>
  </sheetViews>
  <sheetFormatPr defaultRowHeight="13.5"/>
  <cols>
    <col min="1" max="1" width="2.125" customWidth="1"/>
    <col min="18" max="18" width="9.75" customWidth="1"/>
    <col min="22" max="35" width="5.125" customWidth="1"/>
    <col min="36" max="37" width="5.375" customWidth="1"/>
  </cols>
  <sheetData>
    <row r="1" spans="1:35">
      <c r="A1" s="31"/>
      <c r="B1" s="36" t="s">
        <v>12</v>
      </c>
      <c r="C1" s="53">
        <f>MATCH(C6,一级属性!1:1,)</f>
        <v>2</v>
      </c>
      <c r="D1" s="53">
        <f>MATCH(D6,一级属性!1:1,)</f>
        <v>31</v>
      </c>
      <c r="E1" s="53"/>
      <c r="F1" s="53"/>
      <c r="G1" s="53">
        <f>MATCH(G6,一级属性!1:1,)</f>
        <v>4</v>
      </c>
      <c r="H1" s="53">
        <f>MATCH(H6,一级属性!1:1,)</f>
        <v>5</v>
      </c>
      <c r="I1" s="53">
        <f>MATCH(I6,一级属性!1:1,)</f>
        <v>6</v>
      </c>
      <c r="J1" s="53">
        <f>MATCH(J6,一级属性!1:1,)</f>
        <v>9</v>
      </c>
      <c r="K1" s="53">
        <f>MATCH(K6,一级属性!1:1,)</f>
        <v>7</v>
      </c>
      <c r="L1" s="53">
        <f>MATCH(L6,一级属性!1:1,)</f>
        <v>8</v>
      </c>
      <c r="M1" s="53">
        <f>MATCH(M6,一级属性!1:1,)</f>
        <v>10</v>
      </c>
      <c r="N1" s="53">
        <f>MATCH(N6,一级属性!1:1,)</f>
        <v>11</v>
      </c>
      <c r="O1" s="53"/>
      <c r="P1" s="53"/>
      <c r="Q1" s="53"/>
      <c r="R1" s="53"/>
      <c r="S1" s="53"/>
      <c r="T1" s="53"/>
      <c r="U1" s="53"/>
      <c r="V1" s="53">
        <f>MATCH(V6,一级属性!1:1,)</f>
        <v>18</v>
      </c>
      <c r="W1" s="53">
        <f>MATCH(W6,一级属性!1:1,)</f>
        <v>20</v>
      </c>
      <c r="X1" s="53">
        <f>MATCH(X6,一级属性!1:1,)</f>
        <v>29</v>
      </c>
      <c r="Y1" s="53">
        <f>MATCH(Y6,一级属性!1:1,)</f>
        <v>30</v>
      </c>
      <c r="Z1" s="53">
        <f>MATCH(Z6,一级属性!1:1,)</f>
        <v>25</v>
      </c>
      <c r="AA1" s="53"/>
      <c r="AB1" s="53"/>
      <c r="AC1" s="53">
        <f>MATCH(AC6,一级属性!1:1,)</f>
        <v>19</v>
      </c>
      <c r="AD1" s="53">
        <f>MATCH(AD6,一级属性!1:1,)</f>
        <v>24</v>
      </c>
      <c r="AE1" s="53">
        <f>MATCH(AE6,一级属性!1:1,)</f>
        <v>22</v>
      </c>
      <c r="AF1" s="53"/>
      <c r="AG1" s="53"/>
      <c r="AH1" s="53"/>
      <c r="AI1" s="172" t="s">
        <v>703</v>
      </c>
    </row>
    <row r="2" spans="1:35" ht="14.25">
      <c r="A2" s="4"/>
      <c r="B2" s="2" t="s">
        <v>68</v>
      </c>
      <c r="C2" s="21" t="s">
        <v>25</v>
      </c>
      <c r="D2" s="39" t="s">
        <v>108</v>
      </c>
      <c r="E2" s="39" t="s">
        <v>109</v>
      </c>
      <c r="F2" s="39" t="s">
        <v>737</v>
      </c>
      <c r="G2" s="15" t="s">
        <v>69</v>
      </c>
      <c r="H2" s="15" t="s">
        <v>94</v>
      </c>
      <c r="I2" s="15" t="s">
        <v>70</v>
      </c>
      <c r="J2" s="23" t="s">
        <v>358</v>
      </c>
      <c r="K2" s="15" t="s">
        <v>71</v>
      </c>
      <c r="L2" s="15" t="s">
        <v>89</v>
      </c>
      <c r="M2" s="15" t="s">
        <v>252</v>
      </c>
      <c r="N2" s="15" t="s">
        <v>254</v>
      </c>
      <c r="O2" s="15" t="s">
        <v>828</v>
      </c>
      <c r="P2" s="21" t="s">
        <v>90</v>
      </c>
      <c r="Q2" s="23" t="s">
        <v>810</v>
      </c>
      <c r="R2" s="21" t="s">
        <v>808</v>
      </c>
      <c r="S2" s="21" t="s">
        <v>809</v>
      </c>
      <c r="T2" s="17" t="s">
        <v>27</v>
      </c>
      <c r="U2" s="17" t="s">
        <v>708</v>
      </c>
      <c r="V2" s="26" t="s">
        <v>117</v>
      </c>
      <c r="W2" s="26" t="s">
        <v>118</v>
      </c>
      <c r="X2" s="26" t="s">
        <v>116</v>
      </c>
      <c r="Y2" s="26" t="s">
        <v>394</v>
      </c>
      <c r="Z2" s="26" t="s">
        <v>119</v>
      </c>
      <c r="AA2" s="25" t="s">
        <v>98</v>
      </c>
      <c r="AB2" s="81" t="s">
        <v>368</v>
      </c>
      <c r="AC2" s="26" t="s">
        <v>223</v>
      </c>
      <c r="AD2" s="26" t="s">
        <v>387</v>
      </c>
      <c r="AE2" s="26" t="s">
        <v>276</v>
      </c>
      <c r="AF2" s="26" t="s">
        <v>125</v>
      </c>
      <c r="AG2" s="26" t="s">
        <v>126</v>
      </c>
      <c r="AH2" s="26" t="s">
        <v>127</v>
      </c>
      <c r="AI2" s="26" t="s">
        <v>224</v>
      </c>
    </row>
    <row r="3" spans="1:35" ht="14.25">
      <c r="A3" s="4"/>
      <c r="B3" s="16" t="s">
        <v>14</v>
      </c>
      <c r="C3" s="18" t="s">
        <v>101</v>
      </c>
      <c r="D3" s="39" t="s">
        <v>110</v>
      </c>
      <c r="E3" s="39" t="s">
        <v>111</v>
      </c>
      <c r="F3" s="16" t="s">
        <v>14</v>
      </c>
      <c r="G3" s="16" t="s">
        <v>14</v>
      </c>
      <c r="H3" s="16" t="s">
        <v>14</v>
      </c>
      <c r="I3" s="16" t="s">
        <v>14</v>
      </c>
      <c r="J3" s="18" t="s">
        <v>77</v>
      </c>
      <c r="K3" s="18" t="s">
        <v>76</v>
      </c>
      <c r="L3" s="18" t="s">
        <v>104</v>
      </c>
      <c r="M3" s="39" t="s">
        <v>110</v>
      </c>
      <c r="N3" s="39" t="s">
        <v>110</v>
      </c>
      <c r="O3" t="s">
        <v>91</v>
      </c>
      <c r="P3" s="18" t="s">
        <v>360</v>
      </c>
      <c r="Q3" s="18" t="s">
        <v>360</v>
      </c>
      <c r="R3" s="18" t="s">
        <v>360</v>
      </c>
      <c r="S3" s="18" t="s">
        <v>360</v>
      </c>
      <c r="T3" s="17" t="s">
        <v>699</v>
      </c>
      <c r="U3" s="17" t="s">
        <v>699</v>
      </c>
      <c r="V3" t="s">
        <v>32</v>
      </c>
      <c r="W3" t="s">
        <v>32</v>
      </c>
      <c r="X3" t="s">
        <v>32</v>
      </c>
      <c r="Y3" t="s">
        <v>93</v>
      </c>
      <c r="Z3" t="s">
        <v>32</v>
      </c>
      <c r="AA3" t="s">
        <v>32</v>
      </c>
      <c r="AB3" t="s">
        <v>32</v>
      </c>
      <c r="AC3" t="s">
        <v>32</v>
      </c>
      <c r="AD3" t="s">
        <v>32</v>
      </c>
      <c r="AE3" s="39" t="s">
        <v>110</v>
      </c>
      <c r="AF3" t="s">
        <v>32</v>
      </c>
      <c r="AG3" t="s">
        <v>32</v>
      </c>
      <c r="AH3" t="s">
        <v>14</v>
      </c>
      <c r="AI3" t="s">
        <v>32</v>
      </c>
    </row>
    <row r="4" spans="1:35" ht="14.25">
      <c r="A4" s="4"/>
      <c r="B4" s="17" t="s">
        <v>15</v>
      </c>
      <c r="C4" s="17" t="s">
        <v>15</v>
      </c>
      <c r="D4" s="39"/>
      <c r="E4" s="39"/>
      <c r="F4" s="17" t="s">
        <v>15</v>
      </c>
      <c r="G4" s="17" t="s">
        <v>15</v>
      </c>
      <c r="H4" s="17" t="s">
        <v>15</v>
      </c>
      <c r="I4" s="17" t="s">
        <v>15</v>
      </c>
      <c r="J4" s="17" t="s">
        <v>15</v>
      </c>
      <c r="K4" s="17" t="s">
        <v>15</v>
      </c>
      <c r="L4" s="17" t="s">
        <v>15</v>
      </c>
      <c r="M4" s="17" t="s">
        <v>15</v>
      </c>
      <c r="O4" t="s">
        <v>92</v>
      </c>
      <c r="P4" s="17" t="s">
        <v>15</v>
      </c>
      <c r="Q4" s="17"/>
      <c r="R4" s="17"/>
      <c r="S4" s="17"/>
      <c r="T4" s="17" t="s">
        <v>15</v>
      </c>
      <c r="U4" s="17" t="s">
        <v>15</v>
      </c>
      <c r="V4" t="s">
        <v>92</v>
      </c>
      <c r="W4" t="s">
        <v>92</v>
      </c>
      <c r="X4" t="s">
        <v>92</v>
      </c>
      <c r="Y4" t="s">
        <v>92</v>
      </c>
      <c r="Z4" t="s">
        <v>92</v>
      </c>
      <c r="AA4" t="s">
        <v>92</v>
      </c>
      <c r="AB4" t="s">
        <v>92</v>
      </c>
      <c r="AC4" t="s">
        <v>92</v>
      </c>
      <c r="AD4" t="s">
        <v>92</v>
      </c>
      <c r="AE4" t="s">
        <v>92</v>
      </c>
      <c r="AF4" t="s">
        <v>92</v>
      </c>
      <c r="AG4" t="s">
        <v>92</v>
      </c>
      <c r="AH4" t="s">
        <v>92</v>
      </c>
      <c r="AI4" t="s">
        <v>92</v>
      </c>
    </row>
    <row r="5" spans="1:35" ht="14.25">
      <c r="A5" s="31"/>
      <c r="B5" s="31" t="s">
        <v>16</v>
      </c>
      <c r="C5" s="31" t="s">
        <v>16</v>
      </c>
      <c r="F5" s="31" t="s">
        <v>16</v>
      </c>
      <c r="G5" s="31" t="s">
        <v>16</v>
      </c>
      <c r="H5" s="31" t="s">
        <v>16</v>
      </c>
      <c r="I5" s="31" t="s">
        <v>16</v>
      </c>
      <c r="J5" s="14" t="s">
        <v>16</v>
      </c>
      <c r="K5" s="31" t="s">
        <v>16</v>
      </c>
      <c r="L5" s="31" t="s">
        <v>16</v>
      </c>
      <c r="M5" t="s">
        <v>16</v>
      </c>
      <c r="O5" t="s">
        <v>16</v>
      </c>
      <c r="P5" s="31"/>
      <c r="Q5" s="31"/>
      <c r="R5" s="31"/>
      <c r="S5" s="31"/>
      <c r="T5" s="17"/>
      <c r="U5" s="17"/>
      <c r="V5" t="s">
        <v>16</v>
      </c>
      <c r="W5" t="s">
        <v>385</v>
      </c>
      <c r="X5" t="s">
        <v>16</v>
      </c>
      <c r="Y5" t="s">
        <v>16</v>
      </c>
      <c r="Z5" t="s">
        <v>16</v>
      </c>
      <c r="AA5" t="s">
        <v>16</v>
      </c>
      <c r="AB5" t="s">
        <v>16</v>
      </c>
      <c r="AC5" t="s">
        <v>16</v>
      </c>
      <c r="AD5" t="s">
        <v>16</v>
      </c>
      <c r="AE5" t="s">
        <v>385</v>
      </c>
      <c r="AF5" t="s">
        <v>385</v>
      </c>
      <c r="AG5" t="s">
        <v>16</v>
      </c>
      <c r="AH5" t="s">
        <v>16</v>
      </c>
      <c r="AI5" t="s">
        <v>16</v>
      </c>
    </row>
    <row r="6" spans="1:35" ht="42.75">
      <c r="A6" s="31"/>
      <c r="B6" s="29" t="s">
        <v>68</v>
      </c>
      <c r="C6" s="21" t="s">
        <v>179</v>
      </c>
      <c r="D6" s="21" t="s">
        <v>112</v>
      </c>
      <c r="E6" s="21" t="s">
        <v>114</v>
      </c>
      <c r="F6" s="21" t="s">
        <v>713</v>
      </c>
      <c r="G6" s="22" t="s">
        <v>49</v>
      </c>
      <c r="H6" s="20" t="s">
        <v>50</v>
      </c>
      <c r="I6" s="20" t="s">
        <v>47</v>
      </c>
      <c r="J6" s="21" t="s">
        <v>52</v>
      </c>
      <c r="K6" s="20" t="s">
        <v>51</v>
      </c>
      <c r="L6" s="20" t="s">
        <v>17</v>
      </c>
      <c r="M6" s="20" t="s">
        <v>251</v>
      </c>
      <c r="N6" s="20" t="s">
        <v>253</v>
      </c>
      <c r="O6" s="20" t="s">
        <v>796</v>
      </c>
      <c r="P6" s="21" t="s">
        <v>83</v>
      </c>
      <c r="Q6" s="21" t="s">
        <v>802</v>
      </c>
      <c r="R6" s="21" t="s">
        <v>798</v>
      </c>
      <c r="S6" s="21" t="s">
        <v>797</v>
      </c>
      <c r="T6" s="51" t="s">
        <v>704</v>
      </c>
      <c r="U6" s="51" t="s">
        <v>705</v>
      </c>
      <c r="V6" s="55" t="s">
        <v>38</v>
      </c>
      <c r="W6" s="63" t="s">
        <v>39</v>
      </c>
      <c r="X6" s="63" t="s">
        <v>35</v>
      </c>
      <c r="Y6" s="63" t="s">
        <v>393</v>
      </c>
      <c r="Z6" s="55" t="s">
        <v>40</v>
      </c>
      <c r="AA6" s="63" t="s">
        <v>54</v>
      </c>
      <c r="AB6" s="55" t="s">
        <v>366</v>
      </c>
      <c r="AC6" s="55" t="s">
        <v>369</v>
      </c>
      <c r="AD6" s="55" t="s">
        <v>388</v>
      </c>
      <c r="AE6" s="63" t="s">
        <v>275</v>
      </c>
      <c r="AF6" s="64" t="s">
        <v>371</v>
      </c>
      <c r="AG6" s="63" t="s">
        <v>62</v>
      </c>
      <c r="AH6" s="63" t="s">
        <v>64</v>
      </c>
      <c r="AI6" s="63" t="s">
        <v>352</v>
      </c>
    </row>
    <row r="7" spans="1:35">
      <c r="A7" s="175" t="s">
        <v>87</v>
      </c>
      <c r="B7" s="32">
        <v>301</v>
      </c>
      <c r="C7" s="53" t="str">
        <f>VLOOKUP($B7,一级属性,C$1,)</f>
        <v>酋长塔</v>
      </c>
      <c r="D7" s="53" t="str">
        <f>VLOOKUP($B7,一级属性,D$1,)</f>
        <v>伟大的酋长在年轻的时候可是号称部落有史以来最骁勇善战的战士，这可是名副其实的“最强防线”。</v>
      </c>
      <c r="E7" s="32"/>
      <c r="F7" s="32">
        <v>0</v>
      </c>
      <c r="G7" s="53">
        <f t="shared" ref="G7:N7" si="0">VLOOKUP($B7,一级属性,G$1,)</f>
        <v>1</v>
      </c>
      <c r="H7" s="53">
        <f t="shared" si="0"/>
        <v>0</v>
      </c>
      <c r="I7" s="53">
        <f t="shared" si="0"/>
        <v>0</v>
      </c>
      <c r="J7" s="53">
        <f>VLOOKUP($B7,一级属性,J$1,)</f>
        <v>0</v>
      </c>
      <c r="K7" s="53">
        <f t="shared" si="0"/>
        <v>1</v>
      </c>
      <c r="L7" s="53">
        <f t="shared" si="0"/>
        <v>0</v>
      </c>
      <c r="M7" s="53">
        <f t="shared" si="0"/>
        <v>1601</v>
      </c>
      <c r="N7" s="53">
        <f t="shared" si="0"/>
        <v>2239</v>
      </c>
      <c r="O7" s="32">
        <v>1</v>
      </c>
      <c r="P7" s="5">
        <v>1</v>
      </c>
      <c r="Q7" s="5">
        <v>20000</v>
      </c>
      <c r="R7" s="5">
        <v>109</v>
      </c>
      <c r="S7" s="5">
        <v>1</v>
      </c>
      <c r="T7" s="32">
        <v>2400</v>
      </c>
      <c r="U7" s="32">
        <v>50</v>
      </c>
      <c r="V7" s="53">
        <f>VLOOKUP($B7,一级属性,V$1,)</f>
        <v>55</v>
      </c>
      <c r="W7" s="53">
        <f>VLOOKUP($B7,一级属性,W$1,)</f>
        <v>199</v>
      </c>
      <c r="X7" s="53">
        <f>VLOOKUP($B7,一级属性,X$1,)</f>
        <v>1000</v>
      </c>
      <c r="Y7" s="53">
        <f>VLOOKUP($B7,一级属性,Y$1,)</f>
        <v>50</v>
      </c>
      <c r="Z7" s="53">
        <f>VLOOKUP($B7,一级属性,Z$1,)</f>
        <v>600</v>
      </c>
      <c r="AA7" s="27">
        <v>2</v>
      </c>
      <c r="AB7" s="27">
        <v>1</v>
      </c>
      <c r="AC7" s="53">
        <f>VLOOKUP($B7,一级属性,AC$1,)</f>
        <v>0</v>
      </c>
      <c r="AD7" s="53" t="str">
        <f>VLOOKUP($B7,一级属性,AD$1,)</f>
        <v>2000</v>
      </c>
      <c r="AE7" s="53">
        <f>VLOOKUP($B7,一级属性,AE$1,)</f>
        <v>7</v>
      </c>
      <c r="AF7" s="27">
        <v>0</v>
      </c>
      <c r="AG7" s="27">
        <v>0</v>
      </c>
      <c r="AH7" s="27">
        <v>0</v>
      </c>
      <c r="AI7" s="27">
        <v>0</v>
      </c>
    </row>
    <row r="8" spans="1:35">
      <c r="A8" s="31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5">
        <v>2</v>
      </c>
      <c r="Q8" s="5">
        <v>20000</v>
      </c>
      <c r="R8" s="5">
        <v>109</v>
      </c>
      <c r="S8" s="5">
        <v>2</v>
      </c>
      <c r="T8" s="32">
        <v>2568</v>
      </c>
      <c r="U8" s="32">
        <v>53</v>
      </c>
      <c r="V8" s="34"/>
      <c r="W8" s="53"/>
      <c r="X8" s="5"/>
      <c r="Y8" s="5"/>
      <c r="Z8" s="5"/>
      <c r="AA8" s="27"/>
      <c r="AB8" s="27"/>
      <c r="AC8" s="27"/>
      <c r="AD8" s="27"/>
      <c r="AE8" s="27"/>
      <c r="AF8" s="27"/>
      <c r="AG8" s="27"/>
      <c r="AH8" s="27"/>
      <c r="AI8" s="27"/>
    </row>
    <row r="9" spans="1:35">
      <c r="A9" s="31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5">
        <v>3</v>
      </c>
      <c r="Q9" s="5">
        <v>20000</v>
      </c>
      <c r="R9" s="5">
        <v>109</v>
      </c>
      <c r="S9" s="5">
        <v>3</v>
      </c>
      <c r="T9" s="32">
        <v>2736</v>
      </c>
      <c r="U9" s="32">
        <v>57</v>
      </c>
      <c r="V9" s="34"/>
      <c r="W9" s="53"/>
      <c r="X9" s="5"/>
      <c r="Y9" s="5"/>
      <c r="Z9" s="5"/>
      <c r="AA9" s="27"/>
      <c r="AB9" s="27"/>
      <c r="AC9" s="27"/>
      <c r="AD9" s="27"/>
      <c r="AE9" s="27"/>
      <c r="AF9" s="27"/>
      <c r="AG9" s="27"/>
      <c r="AH9" s="27"/>
      <c r="AI9" s="27"/>
    </row>
    <row r="10" spans="1:35">
      <c r="A10" s="3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5">
        <v>4</v>
      </c>
      <c r="Q10" s="5">
        <v>20000</v>
      </c>
      <c r="R10" s="5">
        <v>109</v>
      </c>
      <c r="S10" s="5">
        <v>4</v>
      </c>
      <c r="T10" s="32">
        <v>2904</v>
      </c>
      <c r="U10" s="32">
        <v>60</v>
      </c>
      <c r="V10" s="34"/>
      <c r="W10" s="53"/>
      <c r="X10" s="5"/>
      <c r="Y10" s="5"/>
      <c r="Z10" s="5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>
      <c r="A11" s="3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5">
        <v>5</v>
      </c>
      <c r="Q11" s="5">
        <v>20000</v>
      </c>
      <c r="R11" s="5">
        <v>109</v>
      </c>
      <c r="S11" s="5">
        <v>5</v>
      </c>
      <c r="T11" s="32">
        <v>3096</v>
      </c>
      <c r="U11" s="32">
        <v>64</v>
      </c>
      <c r="V11" s="34"/>
      <c r="W11" s="53"/>
      <c r="X11" s="5"/>
      <c r="Y11" s="5"/>
      <c r="Z11" s="5"/>
      <c r="AA11" s="27"/>
      <c r="AB11" s="27"/>
      <c r="AC11" s="27"/>
      <c r="AD11" s="27"/>
      <c r="AE11" s="27"/>
      <c r="AF11" s="27"/>
      <c r="AG11" s="27"/>
      <c r="AH11" s="27"/>
      <c r="AI11" s="27"/>
    </row>
    <row r="12" spans="1:35">
      <c r="A12" s="3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5">
        <v>6</v>
      </c>
      <c r="Q12" s="5">
        <v>20000</v>
      </c>
      <c r="R12" s="5">
        <v>109</v>
      </c>
      <c r="S12" s="5">
        <v>6</v>
      </c>
      <c r="T12" s="32">
        <v>3312</v>
      </c>
      <c r="U12" s="32">
        <v>69</v>
      </c>
      <c r="V12" s="34"/>
      <c r="W12" s="53"/>
      <c r="X12" s="5"/>
      <c r="Y12" s="5"/>
      <c r="Z12" s="5"/>
      <c r="AA12" s="27"/>
      <c r="AB12" s="27"/>
      <c r="AC12" s="27"/>
      <c r="AD12" s="27"/>
      <c r="AE12" s="27"/>
      <c r="AF12" s="27"/>
      <c r="AG12" s="27"/>
      <c r="AH12" s="27"/>
      <c r="AI12" s="27"/>
    </row>
    <row r="13" spans="1:35">
      <c r="A13" s="3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5">
        <v>7</v>
      </c>
      <c r="Q13" s="5">
        <v>20000</v>
      </c>
      <c r="R13" s="5">
        <v>109</v>
      </c>
      <c r="S13" s="5">
        <v>7</v>
      </c>
      <c r="T13" s="32">
        <v>3528</v>
      </c>
      <c r="U13" s="32">
        <v>73</v>
      </c>
      <c r="V13" s="34"/>
      <c r="W13" s="53"/>
      <c r="X13" s="5"/>
      <c r="Y13" s="5"/>
      <c r="Z13" s="5"/>
      <c r="AA13" s="27"/>
      <c r="AB13" s="27"/>
      <c r="AC13" s="27"/>
      <c r="AD13" s="27"/>
      <c r="AE13" s="27"/>
      <c r="AF13" s="27"/>
      <c r="AG13" s="27"/>
      <c r="AH13" s="27"/>
      <c r="AI13" s="27"/>
    </row>
    <row r="14" spans="1:35">
      <c r="A14" s="31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5">
        <v>8</v>
      </c>
      <c r="Q14" s="5">
        <v>20000</v>
      </c>
      <c r="R14" s="5">
        <v>109</v>
      </c>
      <c r="S14" s="5">
        <v>8</v>
      </c>
      <c r="T14" s="32">
        <v>3768</v>
      </c>
      <c r="U14" s="32">
        <v>78</v>
      </c>
      <c r="V14" s="34"/>
      <c r="W14" s="53"/>
      <c r="X14" s="5"/>
      <c r="Y14" s="5"/>
      <c r="Z14" s="5"/>
      <c r="AA14" s="27"/>
      <c r="AB14" s="27"/>
      <c r="AC14" s="27"/>
      <c r="AD14" s="27"/>
      <c r="AE14" s="27"/>
      <c r="AF14" s="27"/>
      <c r="AG14" s="27"/>
      <c r="AH14" s="27"/>
      <c r="AI14" s="27"/>
    </row>
    <row r="15" spans="1:35">
      <c r="A15" s="31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5">
        <v>9</v>
      </c>
      <c r="Q15" s="5">
        <v>20000</v>
      </c>
      <c r="R15" s="5">
        <v>109</v>
      </c>
      <c r="S15" s="5">
        <v>8</v>
      </c>
      <c r="T15" s="32">
        <v>4008</v>
      </c>
      <c r="U15" s="32">
        <v>83</v>
      </c>
      <c r="V15" s="34"/>
      <c r="W15" s="53"/>
      <c r="X15" s="5"/>
      <c r="Y15" s="5"/>
      <c r="Z15" s="5"/>
      <c r="AA15" s="27"/>
      <c r="AB15" s="27"/>
      <c r="AC15" s="27"/>
      <c r="AD15" s="27"/>
      <c r="AE15" s="27"/>
      <c r="AF15" s="27"/>
      <c r="AG15" s="27"/>
      <c r="AH15" s="27"/>
      <c r="AI15" s="27"/>
    </row>
    <row r="16" spans="1:35">
      <c r="A16" s="31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5">
        <v>10</v>
      </c>
      <c r="Q16" s="5">
        <v>20000</v>
      </c>
      <c r="R16" s="5">
        <v>109</v>
      </c>
      <c r="S16" s="5">
        <v>8</v>
      </c>
      <c r="T16" s="32">
        <v>4392</v>
      </c>
      <c r="U16" s="32">
        <v>91</v>
      </c>
      <c r="V16" s="34"/>
      <c r="W16" s="53"/>
      <c r="X16" s="5"/>
      <c r="Y16" s="5"/>
      <c r="Z16" s="5"/>
      <c r="AA16" s="27"/>
      <c r="AB16" s="27"/>
      <c r="AC16" s="27"/>
      <c r="AD16" s="27"/>
      <c r="AE16" s="27"/>
      <c r="AF16" s="27"/>
      <c r="AG16" s="27"/>
      <c r="AH16" s="27"/>
      <c r="AI16" s="27"/>
    </row>
    <row r="17" spans="1:37">
      <c r="A17" s="31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5">
        <v>11</v>
      </c>
      <c r="Q17" s="5">
        <v>20000</v>
      </c>
      <c r="R17" s="5">
        <v>109</v>
      </c>
      <c r="S17" s="5">
        <v>8</v>
      </c>
      <c r="T17" s="32">
        <v>4824</v>
      </c>
      <c r="U17" s="32">
        <v>100</v>
      </c>
      <c r="V17" s="34"/>
      <c r="W17" s="53"/>
      <c r="X17" s="5"/>
      <c r="Y17" s="5"/>
      <c r="Z17" s="5"/>
      <c r="AA17" s="27"/>
      <c r="AB17" s="27"/>
      <c r="AC17" s="27"/>
      <c r="AD17" s="27"/>
      <c r="AE17" s="27"/>
      <c r="AF17" s="27"/>
      <c r="AG17" s="27"/>
      <c r="AH17" s="27"/>
      <c r="AI17" s="27"/>
    </row>
    <row r="18" spans="1:37">
      <c r="A18" s="31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5">
        <v>12</v>
      </c>
      <c r="Q18" s="5">
        <v>20000</v>
      </c>
      <c r="R18" s="5">
        <v>109</v>
      </c>
      <c r="S18" s="5">
        <v>8</v>
      </c>
      <c r="T18" s="32">
        <v>5304</v>
      </c>
      <c r="U18" s="32">
        <v>110</v>
      </c>
      <c r="V18" s="34"/>
      <c r="W18" s="53"/>
      <c r="X18" s="5"/>
      <c r="Y18" s="5"/>
      <c r="Z18" s="5"/>
      <c r="AA18" s="27"/>
      <c r="AB18" s="27"/>
      <c r="AC18" s="27"/>
      <c r="AD18" s="27"/>
      <c r="AE18" s="27"/>
      <c r="AF18" s="27"/>
      <c r="AG18" s="27"/>
      <c r="AH18" s="27"/>
      <c r="AI18" s="27"/>
    </row>
    <row r="19" spans="1:37">
      <c r="A19" s="31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5">
        <v>13</v>
      </c>
      <c r="Q19" s="5">
        <v>20000</v>
      </c>
      <c r="R19" s="5">
        <v>109</v>
      </c>
      <c r="S19" s="5">
        <v>8</v>
      </c>
      <c r="T19" s="32">
        <v>5832</v>
      </c>
      <c r="U19" s="32">
        <v>121</v>
      </c>
      <c r="V19" s="34"/>
      <c r="W19" s="53"/>
      <c r="X19" s="5"/>
      <c r="Y19" s="5"/>
      <c r="Z19" s="5"/>
      <c r="AA19" s="27"/>
      <c r="AB19" s="27"/>
      <c r="AC19" s="27"/>
      <c r="AD19" s="27"/>
      <c r="AE19" s="27"/>
      <c r="AF19" s="27"/>
      <c r="AG19" s="27"/>
      <c r="AH19" s="27"/>
      <c r="AI19" s="27"/>
    </row>
    <row r="20" spans="1:37">
      <c r="A20" s="31"/>
      <c r="B20" s="32">
        <v>302</v>
      </c>
      <c r="C20" s="53" t="str">
        <f>VLOOKUP($B20,一级属性,C$1,)</f>
        <v>箭塔</v>
      </c>
      <c r="D20" s="53" t="str">
        <f>VLOOKUP($B20,一级属性,D$1,)</f>
        <v>只有学院里最出色的天才弓箭手，才能担当守住防御塔的重任。</v>
      </c>
      <c r="E20" s="53"/>
      <c r="F20" s="32">
        <v>1</v>
      </c>
      <c r="G20" s="53">
        <f t="shared" ref="G20:N20" si="1">VLOOKUP($B20,一级属性,G$1,)</f>
        <v>1</v>
      </c>
      <c r="H20" s="53">
        <f t="shared" si="1"/>
        <v>0</v>
      </c>
      <c r="I20" s="53">
        <f t="shared" si="1"/>
        <v>0</v>
      </c>
      <c r="J20" s="53">
        <f>VLOOKUP($B20,一级属性,J$1,)</f>
        <v>0</v>
      </c>
      <c r="K20" s="53">
        <f t="shared" si="1"/>
        <v>2</v>
      </c>
      <c r="L20" s="53">
        <f t="shared" si="1"/>
        <v>0</v>
      </c>
      <c r="M20" s="53">
        <f t="shared" si="1"/>
        <v>1602</v>
      </c>
      <c r="N20" s="53">
        <f t="shared" si="1"/>
        <v>2239</v>
      </c>
      <c r="O20" s="32">
        <v>1</v>
      </c>
      <c r="P20" s="5">
        <v>1</v>
      </c>
      <c r="Q20" s="5"/>
      <c r="R20" s="5"/>
      <c r="S20" s="5"/>
      <c r="T20" s="32">
        <v>1400</v>
      </c>
      <c r="U20" s="32">
        <v>50</v>
      </c>
      <c r="V20" s="53">
        <f>VLOOKUP($B20,一级属性,V$1,)</f>
        <v>35</v>
      </c>
      <c r="W20" s="53">
        <f>VLOOKUP($B20,一级属性,W$1,)</f>
        <v>184</v>
      </c>
      <c r="X20" s="53">
        <f>VLOOKUP($B20,一级属性,X$1,)</f>
        <v>800</v>
      </c>
      <c r="Y20" s="53">
        <f>VLOOKUP($B20,一级属性,Y$1,)</f>
        <v>50</v>
      </c>
      <c r="Z20" s="53">
        <f>VLOOKUP($B20,一级属性,Z$1,)</f>
        <v>450</v>
      </c>
      <c r="AA20" s="27">
        <v>2</v>
      </c>
      <c r="AB20" s="27">
        <v>1</v>
      </c>
      <c r="AC20" s="53">
        <f>VLOOKUP($B20,一级属性,AC$1,)</f>
        <v>0</v>
      </c>
      <c r="AD20" s="53" t="str">
        <f>VLOOKUP($B20,一级属性,AD$1,)</f>
        <v>2000</v>
      </c>
      <c r="AE20" s="53">
        <f>VLOOKUP($B20,一级属性,AE$1,)</f>
        <v>6.5</v>
      </c>
      <c r="AF20" s="27">
        <v>0</v>
      </c>
      <c r="AG20" s="27">
        <v>0</v>
      </c>
      <c r="AH20" s="27">
        <v>0</v>
      </c>
      <c r="AI20" s="27">
        <v>0</v>
      </c>
    </row>
    <row r="21" spans="1:37">
      <c r="A21" s="31"/>
      <c r="B21" s="3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5">
        <v>2</v>
      </c>
      <c r="Q21" s="5"/>
      <c r="R21" s="5"/>
      <c r="S21" s="5"/>
      <c r="T21" s="32">
        <v>1512</v>
      </c>
      <c r="U21" s="32">
        <v>54</v>
      </c>
      <c r="V21" s="34"/>
      <c r="W21" s="53"/>
      <c r="X21" s="5"/>
      <c r="Y21" s="5"/>
      <c r="Z21" s="5"/>
      <c r="AA21" s="27"/>
      <c r="AB21" s="27"/>
      <c r="AC21" s="27"/>
      <c r="AD21" s="27"/>
      <c r="AE21" s="27"/>
      <c r="AF21" s="27"/>
      <c r="AG21" s="27"/>
      <c r="AH21" s="27"/>
      <c r="AI21" s="27"/>
    </row>
    <row r="22" spans="1:37">
      <c r="A22" s="31"/>
      <c r="B22" s="3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5">
        <v>3</v>
      </c>
      <c r="Q22" s="5"/>
      <c r="R22" s="5"/>
      <c r="S22" s="5"/>
      <c r="T22" s="32">
        <v>1624</v>
      </c>
      <c r="U22" s="32">
        <v>58</v>
      </c>
      <c r="V22" s="34"/>
      <c r="W22" s="53"/>
      <c r="X22" s="5"/>
      <c r="Y22" s="5"/>
      <c r="Z22" s="5"/>
      <c r="AA22" s="27"/>
      <c r="AB22" s="27"/>
      <c r="AC22" s="27"/>
      <c r="AD22" s="27"/>
      <c r="AE22" s="27"/>
      <c r="AF22" s="27"/>
      <c r="AG22" s="27"/>
      <c r="AH22" s="27"/>
      <c r="AI22" s="27"/>
      <c r="AJ22" s="27">
        <f>1000/X20</f>
        <v>1.25</v>
      </c>
      <c r="AK22" t="s">
        <v>746</v>
      </c>
    </row>
    <row r="23" spans="1:37">
      <c r="A23" s="31"/>
      <c r="B23" s="32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5">
        <v>4</v>
      </c>
      <c r="Q23" s="5"/>
      <c r="R23" s="5"/>
      <c r="S23" s="5"/>
      <c r="T23" s="32">
        <v>1750</v>
      </c>
      <c r="U23" s="32">
        <v>62</v>
      </c>
      <c r="V23" s="34"/>
      <c r="W23" s="53"/>
      <c r="X23" s="5"/>
      <c r="Y23" s="5"/>
      <c r="Z23" s="5"/>
      <c r="AA23" s="27"/>
      <c r="AB23" s="27"/>
      <c r="AC23" s="27"/>
      <c r="AD23" s="27"/>
      <c r="AE23" s="27"/>
      <c r="AF23" s="27"/>
      <c r="AG23" s="27"/>
      <c r="AH23" s="27"/>
      <c r="AI23" s="27"/>
      <c r="AK23" s="27"/>
    </row>
    <row r="24" spans="1:37">
      <c r="A24" s="31"/>
      <c r="B24" s="3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5">
        <v>5</v>
      </c>
      <c r="Q24" s="5"/>
      <c r="R24" s="5"/>
      <c r="S24" s="5"/>
      <c r="T24" s="32">
        <v>1890</v>
      </c>
      <c r="U24" s="32">
        <v>67</v>
      </c>
      <c r="V24" s="34"/>
      <c r="W24" s="53"/>
      <c r="X24" s="5"/>
      <c r="Y24" s="5"/>
      <c r="Z24" s="5"/>
      <c r="AA24" s="27"/>
      <c r="AB24" s="27"/>
      <c r="AC24" s="27"/>
      <c r="AD24" s="27"/>
      <c r="AE24" s="27"/>
      <c r="AF24" s="27"/>
      <c r="AG24" s="27"/>
      <c r="AH24" s="27"/>
      <c r="AI24" s="27"/>
      <c r="AK24">
        <f>U20/X20*1000</f>
        <v>62.5</v>
      </c>
    </row>
    <row r="25" spans="1:37">
      <c r="A25" s="31"/>
      <c r="B25" s="3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5">
        <v>6</v>
      </c>
      <c r="Q25" s="5"/>
      <c r="R25" s="5"/>
      <c r="S25" s="5"/>
      <c r="T25" s="32">
        <v>2030</v>
      </c>
      <c r="U25" s="32">
        <v>72</v>
      </c>
      <c r="V25" s="34"/>
      <c r="W25" s="53"/>
      <c r="X25" s="5"/>
      <c r="Y25" s="5"/>
      <c r="Z25" s="5"/>
      <c r="AA25" s="27"/>
      <c r="AB25" s="27"/>
      <c r="AC25" s="27"/>
      <c r="AD25" s="27"/>
      <c r="AE25" s="27"/>
      <c r="AF25" s="27"/>
      <c r="AG25" s="27"/>
      <c r="AH25" s="27"/>
      <c r="AI25" s="27"/>
    </row>
    <row r="26" spans="1:37">
      <c r="A26" s="31"/>
      <c r="B26" s="3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5">
        <v>7</v>
      </c>
      <c r="Q26" s="5"/>
      <c r="R26" s="5"/>
      <c r="S26" s="5"/>
      <c r="T26" s="32">
        <v>2184</v>
      </c>
      <c r="U26" s="32">
        <v>78</v>
      </c>
      <c r="V26" s="34"/>
      <c r="W26" s="53"/>
      <c r="X26" s="5"/>
      <c r="Y26" s="5"/>
      <c r="Z26" s="5"/>
      <c r="AA26" s="27"/>
      <c r="AB26" s="27"/>
      <c r="AC26" s="27"/>
      <c r="AD26" s="27"/>
      <c r="AE26" s="27"/>
      <c r="AF26" s="27"/>
      <c r="AG26" s="27"/>
      <c r="AH26" s="27"/>
      <c r="AI26" s="27"/>
    </row>
    <row r="27" spans="1:37">
      <c r="A27" s="31"/>
      <c r="B27" s="3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5">
        <v>8</v>
      </c>
      <c r="Q27" s="5"/>
      <c r="R27" s="5"/>
      <c r="S27" s="5"/>
      <c r="T27" s="32">
        <v>2352</v>
      </c>
      <c r="U27" s="32">
        <v>84</v>
      </c>
      <c r="V27" s="34"/>
      <c r="W27" s="53"/>
      <c r="X27" s="5"/>
      <c r="Y27" s="5"/>
      <c r="Z27" s="5"/>
      <c r="AA27" s="27"/>
      <c r="AB27" s="27"/>
      <c r="AC27" s="27"/>
      <c r="AD27" s="27"/>
      <c r="AE27" s="27"/>
      <c r="AF27" s="27"/>
      <c r="AG27" s="27"/>
      <c r="AH27" s="27"/>
      <c r="AI27" s="27"/>
    </row>
    <row r="28" spans="1:37">
      <c r="A28" s="31"/>
      <c r="B28" s="3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5">
        <v>9</v>
      </c>
      <c r="Q28" s="5"/>
      <c r="R28" s="5"/>
      <c r="S28" s="5"/>
      <c r="T28" s="32">
        <v>2534</v>
      </c>
      <c r="U28" s="32">
        <v>90</v>
      </c>
      <c r="V28" s="34"/>
      <c r="W28" s="53"/>
      <c r="X28" s="5"/>
      <c r="Y28" s="5"/>
      <c r="Z28" s="5"/>
      <c r="AA28" s="27"/>
      <c r="AB28" s="27"/>
      <c r="AC28" s="27"/>
      <c r="AD28" s="27"/>
      <c r="AE28" s="27"/>
      <c r="AF28" s="27"/>
      <c r="AG28" s="27"/>
      <c r="AH28" s="27"/>
      <c r="AI28" s="27"/>
    </row>
    <row r="29" spans="1:37">
      <c r="A29" s="31"/>
      <c r="B29" s="3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5">
        <v>10</v>
      </c>
      <c r="Q29" s="5"/>
      <c r="R29" s="5"/>
      <c r="S29" s="5"/>
      <c r="T29" s="32">
        <v>2786</v>
      </c>
      <c r="U29" s="32">
        <v>99</v>
      </c>
      <c r="V29" s="34"/>
      <c r="W29" s="53"/>
      <c r="X29" s="5"/>
      <c r="Y29" s="5"/>
      <c r="Z29" s="5"/>
      <c r="AA29" s="27"/>
      <c r="AB29" s="27"/>
      <c r="AC29" s="27"/>
      <c r="AD29" s="27"/>
      <c r="AE29" s="27"/>
      <c r="AF29" s="27"/>
      <c r="AG29" s="27"/>
      <c r="AH29" s="27"/>
      <c r="AI29" s="27"/>
    </row>
    <row r="30" spans="1:37">
      <c r="A30" s="31"/>
      <c r="B30" s="3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5">
        <v>11</v>
      </c>
      <c r="Q30" s="5"/>
      <c r="R30" s="5"/>
      <c r="S30" s="5"/>
      <c r="T30" s="32">
        <v>3052</v>
      </c>
      <c r="U30" s="32">
        <v>109</v>
      </c>
      <c r="V30" s="34"/>
      <c r="W30" s="53"/>
      <c r="X30" s="5"/>
      <c r="Y30" s="5"/>
      <c r="Z30" s="5"/>
      <c r="AA30" s="27"/>
      <c r="AB30" s="27"/>
      <c r="AC30" s="27"/>
      <c r="AD30" s="27"/>
      <c r="AE30" s="27"/>
      <c r="AF30" s="27"/>
      <c r="AG30" s="27"/>
      <c r="AH30" s="27"/>
      <c r="AI30" s="27"/>
    </row>
    <row r="31" spans="1:37">
      <c r="A31" s="31"/>
      <c r="B31" s="28"/>
      <c r="P31" s="5">
        <v>12</v>
      </c>
      <c r="Q31" s="5"/>
      <c r="R31" s="5"/>
      <c r="S31" s="5"/>
      <c r="T31" s="32">
        <v>3346</v>
      </c>
      <c r="U31" s="32">
        <v>119</v>
      </c>
      <c r="V31" s="34"/>
      <c r="W31" s="53"/>
      <c r="X31" s="5"/>
      <c r="Y31" s="5"/>
      <c r="Z31" s="5"/>
      <c r="AA31" s="27"/>
      <c r="AB31" s="27"/>
      <c r="AC31" s="27"/>
      <c r="AD31" s="27"/>
      <c r="AE31" s="27"/>
      <c r="AF31" s="27"/>
      <c r="AG31" s="27"/>
      <c r="AH31" s="27"/>
      <c r="AI31" s="27"/>
    </row>
    <row r="32" spans="1:37">
      <c r="B32" s="28"/>
      <c r="P32" s="5">
        <v>13</v>
      </c>
      <c r="Q32" s="5"/>
      <c r="R32" s="5"/>
      <c r="S32" s="5"/>
      <c r="T32" s="32">
        <v>3668</v>
      </c>
      <c r="U32" s="32">
        <v>131</v>
      </c>
      <c r="V32" s="34"/>
      <c r="W32" s="53"/>
      <c r="X32" s="5"/>
      <c r="Y32" s="5"/>
      <c r="Z32" s="5"/>
      <c r="AA32" s="27"/>
      <c r="AB32" s="27"/>
      <c r="AC32" s="27"/>
      <c r="AD32" s="27"/>
      <c r="AE32" s="27"/>
      <c r="AF32" s="27"/>
      <c r="AG32" s="27"/>
      <c r="AH32" s="27"/>
      <c r="AI32" s="27"/>
    </row>
    <row r="33" spans="1:37">
      <c r="A33" s="176"/>
      <c r="B33" s="28">
        <v>303</v>
      </c>
      <c r="C33" s="53" t="str">
        <f>VLOOKUP($B33,一级属性,C$1,)</f>
        <v>女巫塔</v>
      </c>
      <c r="D33" s="53" t="str">
        <f>VLOOKUP($B33,一级属性,D$1,)</f>
        <v>布莱尔亲自站在防御塔接指挥战斗，派出自己的骷髅仆从，既鼓舞了士气，又增强了战力。</v>
      </c>
      <c r="E33" s="53"/>
      <c r="F33" s="32">
        <v>1</v>
      </c>
      <c r="G33" s="53">
        <f t="shared" ref="G33:N33" si="2">VLOOKUP($B33,一级属性,G$1,)</f>
        <v>1</v>
      </c>
      <c r="H33" s="53">
        <f t="shared" si="2"/>
        <v>0</v>
      </c>
      <c r="I33" s="53">
        <f t="shared" si="2"/>
        <v>0</v>
      </c>
      <c r="J33" s="53">
        <f>VLOOKUP($B33,一级属性,J$1,)</f>
        <v>0</v>
      </c>
      <c r="K33" s="53">
        <f t="shared" si="2"/>
        <v>3</v>
      </c>
      <c r="L33" s="53">
        <f t="shared" si="2"/>
        <v>0</v>
      </c>
      <c r="M33" s="53">
        <f t="shared" si="2"/>
        <v>1604</v>
      </c>
      <c r="N33" s="53">
        <f t="shared" si="2"/>
        <v>2239</v>
      </c>
      <c r="O33" s="32">
        <v>1</v>
      </c>
      <c r="P33" s="5">
        <v>1</v>
      </c>
      <c r="Q33" s="5"/>
      <c r="R33" s="5"/>
      <c r="S33" s="5"/>
      <c r="T33" s="5">
        <f>INT(T20*$AJ$33)</f>
        <v>1120</v>
      </c>
      <c r="U33" s="5">
        <f>INT(U20*$AK$33)</f>
        <v>32</v>
      </c>
      <c r="V33" s="53">
        <f>VLOOKUP($B33,一级属性,V$1,)</f>
        <v>35</v>
      </c>
      <c r="W33" s="53">
        <f>VLOOKUP($B33,一级属性,W$1,)</f>
        <v>150</v>
      </c>
      <c r="X33" s="53">
        <f>VLOOKUP($B33,一级属性,X$1,)</f>
        <v>800</v>
      </c>
      <c r="Y33" s="53">
        <f>VLOOKUP($B33,一级属性,Y$1,)</f>
        <v>333</v>
      </c>
      <c r="Z33" s="53">
        <f>VLOOKUP($B33,一级属性,Z$1,)</f>
        <v>450</v>
      </c>
      <c r="AA33" s="27">
        <v>2</v>
      </c>
      <c r="AB33" s="27">
        <v>2</v>
      </c>
      <c r="AC33" s="53">
        <f>VLOOKUP($B33,一级属性,AC$1,)</f>
        <v>30</v>
      </c>
      <c r="AD33" s="53" t="str">
        <f>VLOOKUP($B33,一级属性,AD$1,)</f>
        <v>2000</v>
      </c>
      <c r="AE33" s="53">
        <f>VLOOKUP($B33,一级属性,AE$1,)</f>
        <v>5.5</v>
      </c>
      <c r="AF33" s="27">
        <v>7500</v>
      </c>
      <c r="AG33" s="28">
        <v>3</v>
      </c>
      <c r="AH33" s="27">
        <v>1</v>
      </c>
      <c r="AI33" s="28">
        <v>1</v>
      </c>
      <c r="AJ33" s="181">
        <v>0.8</v>
      </c>
      <c r="AK33" s="181">
        <v>0.65</v>
      </c>
    </row>
    <row r="34" spans="1:37">
      <c r="A34" s="176"/>
      <c r="B34" s="28"/>
      <c r="P34" s="5">
        <v>2</v>
      </c>
      <c r="Q34" s="5"/>
      <c r="R34" s="5"/>
      <c r="S34" s="5"/>
      <c r="T34" s="5">
        <f t="shared" ref="T34:T45" si="3">INT(T21*$AJ$33)</f>
        <v>1209</v>
      </c>
      <c r="U34" s="5">
        <f t="shared" ref="U34:U45" si="4">INT(U21*$AK$33)</f>
        <v>35</v>
      </c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>
        <v>2</v>
      </c>
      <c r="AI34" s="27"/>
    </row>
    <row r="35" spans="1:37">
      <c r="A35" s="176"/>
      <c r="B35" s="28"/>
      <c r="P35" s="5">
        <v>3</v>
      </c>
      <c r="Q35" s="5"/>
      <c r="R35" s="5"/>
      <c r="S35" s="5"/>
      <c r="T35" s="5">
        <f t="shared" si="3"/>
        <v>1299</v>
      </c>
      <c r="U35" s="5">
        <f t="shared" si="4"/>
        <v>37</v>
      </c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>
        <v>3</v>
      </c>
      <c r="AI35" s="27"/>
      <c r="AJ35" s="183">
        <f>AJ33*AK33/X33*1000</f>
        <v>0.65</v>
      </c>
      <c r="AK35" t="s">
        <v>747</v>
      </c>
    </row>
    <row r="36" spans="1:37">
      <c r="A36" s="176"/>
      <c r="B36" s="28"/>
      <c r="P36" s="5">
        <v>4</v>
      </c>
      <c r="Q36" s="5"/>
      <c r="R36" s="5"/>
      <c r="S36" s="5"/>
      <c r="T36" s="5">
        <f t="shared" si="3"/>
        <v>1400</v>
      </c>
      <c r="U36" s="5">
        <f t="shared" si="4"/>
        <v>40</v>
      </c>
      <c r="W36" s="27"/>
      <c r="X36" s="27"/>
      <c r="Y36" s="27"/>
      <c r="Z36" s="27"/>
      <c r="AA36" s="27"/>
      <c r="AB36" s="27"/>
      <c r="AC36" s="27"/>
      <c r="AD36" s="27"/>
      <c r="AE36" s="27"/>
      <c r="AG36" s="27"/>
      <c r="AH36" s="27">
        <v>4</v>
      </c>
      <c r="AI36" s="27"/>
    </row>
    <row r="37" spans="1:37">
      <c r="A37" s="176"/>
      <c r="B37" s="28"/>
      <c r="P37" s="5">
        <v>5</v>
      </c>
      <c r="Q37" s="5"/>
      <c r="R37" s="5"/>
      <c r="S37" s="5"/>
      <c r="T37" s="5">
        <f t="shared" si="3"/>
        <v>1512</v>
      </c>
      <c r="U37" s="5">
        <f t="shared" si="4"/>
        <v>43</v>
      </c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>
        <v>5</v>
      </c>
      <c r="AI37" s="27"/>
      <c r="AK37">
        <f>U33/X33*1000</f>
        <v>40</v>
      </c>
    </row>
    <row r="38" spans="1:37">
      <c r="A38" s="176"/>
      <c r="B38" s="28"/>
      <c r="P38" s="5">
        <v>6</v>
      </c>
      <c r="Q38" s="5"/>
      <c r="R38" s="5"/>
      <c r="S38" s="5"/>
      <c r="T38" s="5">
        <f t="shared" si="3"/>
        <v>1624</v>
      </c>
      <c r="U38" s="5">
        <f t="shared" si="4"/>
        <v>46</v>
      </c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>
        <v>6</v>
      </c>
      <c r="AI38" s="27"/>
    </row>
    <row r="39" spans="1:37">
      <c r="A39" s="176"/>
      <c r="B39" s="28"/>
      <c r="P39" s="5">
        <v>7</v>
      </c>
      <c r="Q39" s="5"/>
      <c r="R39" s="5"/>
      <c r="S39" s="5"/>
      <c r="T39" s="5">
        <f t="shared" si="3"/>
        <v>1747</v>
      </c>
      <c r="U39" s="5">
        <f t="shared" si="4"/>
        <v>50</v>
      </c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>
        <v>7</v>
      </c>
      <c r="AI39" s="27"/>
    </row>
    <row r="40" spans="1:37">
      <c r="A40" s="176"/>
      <c r="B40" s="28"/>
      <c r="P40" s="5">
        <v>8</v>
      </c>
      <c r="Q40" s="5"/>
      <c r="R40" s="5"/>
      <c r="S40" s="5"/>
      <c r="T40" s="5">
        <f t="shared" si="3"/>
        <v>1881</v>
      </c>
      <c r="U40" s="5">
        <f t="shared" si="4"/>
        <v>54</v>
      </c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>
        <v>8</v>
      </c>
      <c r="AI40" s="27"/>
    </row>
    <row r="41" spans="1:37">
      <c r="A41" s="176"/>
      <c r="B41" s="28"/>
      <c r="P41" s="5">
        <v>9</v>
      </c>
      <c r="Q41" s="5"/>
      <c r="R41" s="5"/>
      <c r="S41" s="5"/>
      <c r="T41" s="5">
        <f t="shared" si="3"/>
        <v>2027</v>
      </c>
      <c r="U41" s="5">
        <f t="shared" si="4"/>
        <v>58</v>
      </c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>
        <v>9</v>
      </c>
      <c r="AI41" s="27"/>
    </row>
    <row r="42" spans="1:37">
      <c r="A42" s="176"/>
      <c r="B42" s="28"/>
      <c r="P42" s="5">
        <v>10</v>
      </c>
      <c r="Q42" s="5"/>
      <c r="R42" s="5"/>
      <c r="S42" s="5"/>
      <c r="T42" s="5">
        <f t="shared" si="3"/>
        <v>2228</v>
      </c>
      <c r="U42" s="5">
        <f t="shared" si="4"/>
        <v>64</v>
      </c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>
        <v>10</v>
      </c>
      <c r="AI42" s="27"/>
    </row>
    <row r="43" spans="1:37">
      <c r="A43" s="176"/>
      <c r="B43" s="28"/>
      <c r="P43" s="5">
        <v>11</v>
      </c>
      <c r="Q43" s="5"/>
      <c r="R43" s="5"/>
      <c r="S43" s="5"/>
      <c r="T43" s="5">
        <f t="shared" si="3"/>
        <v>2441</v>
      </c>
      <c r="U43" s="5">
        <f t="shared" si="4"/>
        <v>70</v>
      </c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>
        <v>11</v>
      </c>
      <c r="AI43" s="27"/>
    </row>
    <row r="44" spans="1:37">
      <c r="A44" s="176"/>
      <c r="B44" s="28"/>
      <c r="P44" s="5">
        <v>12</v>
      </c>
      <c r="Q44" s="5"/>
      <c r="R44" s="5"/>
      <c r="S44" s="5"/>
      <c r="T44" s="5">
        <f t="shared" si="3"/>
        <v>2676</v>
      </c>
      <c r="U44" s="5">
        <f t="shared" si="4"/>
        <v>77</v>
      </c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>
        <v>12</v>
      </c>
      <c r="AI44" s="27"/>
    </row>
    <row r="45" spans="1:37">
      <c r="A45" s="176"/>
      <c r="B45" s="28"/>
      <c r="P45" s="5">
        <v>13</v>
      </c>
      <c r="Q45" s="5"/>
      <c r="R45" s="5"/>
      <c r="S45" s="5"/>
      <c r="T45" s="5">
        <f t="shared" si="3"/>
        <v>2934</v>
      </c>
      <c r="U45" s="5">
        <f t="shared" si="4"/>
        <v>85</v>
      </c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>
        <v>13</v>
      </c>
      <c r="AI45" s="27"/>
    </row>
    <row r="46" spans="1:37">
      <c r="A46" s="176"/>
      <c r="B46" s="28">
        <v>304</v>
      </c>
      <c r="C46" s="53" t="str">
        <f>VLOOKUP($B46,一级属性,C$1,)</f>
        <v>炸弹塔</v>
      </c>
      <c r="D46" s="53" t="str">
        <f>VLOOKUP($B46,一级属性,D$1,)</f>
        <v>邦尼将它所有的超级萝卜炸弹全部运到了防御塔上，火力全开的邦尼一颗炸弹就能消灭一群敌人。</v>
      </c>
      <c r="E46" s="53"/>
      <c r="F46" s="32">
        <v>1</v>
      </c>
      <c r="G46" s="53">
        <f t="shared" ref="G46:N46" si="5">VLOOKUP($B46,一级属性,G$1,)</f>
        <v>1</v>
      </c>
      <c r="H46" s="53">
        <f t="shared" si="5"/>
        <v>0</v>
      </c>
      <c r="I46" s="53">
        <f t="shared" si="5"/>
        <v>0</v>
      </c>
      <c r="J46" s="53">
        <f>VLOOKUP($B46,一级属性,J$1,)</f>
        <v>0</v>
      </c>
      <c r="K46" s="53">
        <f t="shared" si="5"/>
        <v>4</v>
      </c>
      <c r="L46" s="53">
        <f t="shared" si="5"/>
        <v>0</v>
      </c>
      <c r="M46" s="53">
        <f t="shared" si="5"/>
        <v>1603</v>
      </c>
      <c r="N46" s="53">
        <f t="shared" si="5"/>
        <v>2239</v>
      </c>
      <c r="O46" s="32">
        <v>1</v>
      </c>
      <c r="P46" s="5">
        <v>1</v>
      </c>
      <c r="Q46" s="5"/>
      <c r="R46" s="5"/>
      <c r="S46" s="5"/>
      <c r="T46" s="5">
        <f>INT(T20*$AJ$46)</f>
        <v>1680</v>
      </c>
      <c r="U46" s="5">
        <f>INT(U20*$AK$46)</f>
        <v>60</v>
      </c>
      <c r="V46" s="53">
        <f>VLOOKUP($B46,一级属性,V$1,)</f>
        <v>35</v>
      </c>
      <c r="W46" s="53">
        <f>VLOOKUP($B46,一级属性,W$1,)</f>
        <v>184</v>
      </c>
      <c r="X46" s="53">
        <f>VLOOKUP($B46,一级属性,X$1,)</f>
        <v>1200</v>
      </c>
      <c r="Y46" s="53">
        <f>VLOOKUP($B46,一级属性,Y$1,)</f>
        <v>166</v>
      </c>
      <c r="Z46" s="53">
        <f>VLOOKUP($B46,一级属性,Z$1,)</f>
        <v>250</v>
      </c>
      <c r="AA46" s="27">
        <v>0</v>
      </c>
      <c r="AB46" s="27">
        <v>2</v>
      </c>
      <c r="AC46" s="53">
        <f>VLOOKUP($B46,一级属性,AC$1,)</f>
        <v>45</v>
      </c>
      <c r="AD46" s="53" t="str">
        <f>VLOOKUP($B46,一级属性,AD$1,)</f>
        <v>2000</v>
      </c>
      <c r="AE46" s="53">
        <f>VLOOKUP($B46,一级属性,AE$1,)</f>
        <v>6.5</v>
      </c>
      <c r="AF46" s="27">
        <v>0</v>
      </c>
      <c r="AG46" s="27">
        <v>0</v>
      </c>
      <c r="AH46" s="27">
        <v>0</v>
      </c>
      <c r="AI46" s="27">
        <v>0</v>
      </c>
      <c r="AJ46" s="181">
        <v>1.2</v>
      </c>
      <c r="AK46" s="181">
        <v>1.2</v>
      </c>
    </row>
    <row r="47" spans="1:37">
      <c r="A47" s="176"/>
      <c r="B47" s="28"/>
      <c r="P47" s="5">
        <v>2</v>
      </c>
      <c r="Q47" s="5"/>
      <c r="R47" s="5"/>
      <c r="S47" s="5"/>
      <c r="T47" s="5">
        <f t="shared" ref="T47:T58" si="6">INT(T21*$AJ$46)</f>
        <v>1814</v>
      </c>
      <c r="U47" s="5">
        <f t="shared" ref="U47:U58" si="7">INT(U21*$AK$46)</f>
        <v>64</v>
      </c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</row>
    <row r="48" spans="1:37">
      <c r="A48" s="176"/>
      <c r="B48" s="28"/>
      <c r="P48" s="5">
        <v>3</v>
      </c>
      <c r="Q48" s="5"/>
      <c r="R48" s="5"/>
      <c r="S48" s="5"/>
      <c r="T48" s="5">
        <f t="shared" si="6"/>
        <v>1948</v>
      </c>
      <c r="U48" s="5">
        <f t="shared" si="7"/>
        <v>69</v>
      </c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>
        <f>AJ46*AK46/X46*1000</f>
        <v>1.2</v>
      </c>
      <c r="AK48" t="s">
        <v>748</v>
      </c>
    </row>
    <row r="49" spans="1:37">
      <c r="A49" s="176"/>
      <c r="B49" s="28"/>
      <c r="P49" s="5">
        <v>4</v>
      </c>
      <c r="Q49" s="5"/>
      <c r="R49" s="5"/>
      <c r="S49" s="5"/>
      <c r="T49" s="5">
        <f t="shared" si="6"/>
        <v>2100</v>
      </c>
      <c r="U49" s="5">
        <f t="shared" si="7"/>
        <v>74</v>
      </c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</row>
    <row r="50" spans="1:37">
      <c r="A50" s="176"/>
      <c r="B50" s="28"/>
      <c r="P50" s="5">
        <v>5</v>
      </c>
      <c r="Q50" s="5"/>
      <c r="R50" s="5"/>
      <c r="S50" s="5"/>
      <c r="T50" s="5">
        <f t="shared" si="6"/>
        <v>2268</v>
      </c>
      <c r="U50" s="5">
        <f t="shared" si="7"/>
        <v>80</v>
      </c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K50">
        <f>U46/X46*1000</f>
        <v>50</v>
      </c>
    </row>
    <row r="51" spans="1:37">
      <c r="A51" s="176"/>
      <c r="B51" s="28"/>
      <c r="P51" s="5">
        <v>6</v>
      </c>
      <c r="Q51" s="5"/>
      <c r="R51" s="5"/>
      <c r="S51" s="5"/>
      <c r="T51" s="5">
        <f t="shared" si="6"/>
        <v>2436</v>
      </c>
      <c r="U51" s="5">
        <f t="shared" si="7"/>
        <v>86</v>
      </c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</row>
    <row r="52" spans="1:37">
      <c r="A52" s="176"/>
      <c r="B52" s="28"/>
      <c r="P52" s="5">
        <v>7</v>
      </c>
      <c r="Q52" s="5"/>
      <c r="R52" s="5"/>
      <c r="S52" s="5"/>
      <c r="T52" s="5">
        <f t="shared" si="6"/>
        <v>2620</v>
      </c>
      <c r="U52" s="5">
        <f t="shared" si="7"/>
        <v>93</v>
      </c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</row>
    <row r="53" spans="1:37">
      <c r="A53" s="176"/>
      <c r="P53" s="5">
        <v>8</v>
      </c>
      <c r="Q53" s="5"/>
      <c r="R53" s="5"/>
      <c r="S53" s="5"/>
      <c r="T53" s="5">
        <f t="shared" si="6"/>
        <v>2822</v>
      </c>
      <c r="U53" s="5">
        <f t="shared" si="7"/>
        <v>100</v>
      </c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7">
      <c r="A54" s="31"/>
      <c r="P54" s="5">
        <v>9</v>
      </c>
      <c r="Q54" s="5"/>
      <c r="R54" s="5"/>
      <c r="S54" s="5"/>
      <c r="T54" s="5">
        <f t="shared" si="6"/>
        <v>3040</v>
      </c>
      <c r="U54" s="5">
        <f t="shared" si="7"/>
        <v>108</v>
      </c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</row>
    <row r="55" spans="1:37">
      <c r="A55" s="31"/>
      <c r="P55" s="5">
        <v>10</v>
      </c>
      <c r="Q55" s="5"/>
      <c r="R55" s="5"/>
      <c r="S55" s="5"/>
      <c r="T55" s="5">
        <f t="shared" si="6"/>
        <v>3343</v>
      </c>
      <c r="U55" s="5">
        <f t="shared" si="7"/>
        <v>118</v>
      </c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</row>
    <row r="56" spans="1:37">
      <c r="A56" s="31"/>
      <c r="P56" s="5">
        <v>11</v>
      </c>
      <c r="Q56" s="5"/>
      <c r="R56" s="5"/>
      <c r="S56" s="5"/>
      <c r="T56" s="5">
        <f t="shared" si="6"/>
        <v>3662</v>
      </c>
      <c r="U56" s="5">
        <f t="shared" si="7"/>
        <v>130</v>
      </c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</row>
    <row r="57" spans="1:37">
      <c r="A57" s="176"/>
      <c r="P57" s="5">
        <v>12</v>
      </c>
      <c r="Q57" s="5"/>
      <c r="R57" s="5"/>
      <c r="S57" s="5"/>
      <c r="T57" s="5">
        <f t="shared" si="6"/>
        <v>4015</v>
      </c>
      <c r="U57" s="5">
        <f t="shared" si="7"/>
        <v>142</v>
      </c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</row>
    <row r="58" spans="1:37">
      <c r="A58" s="31">
        <v>2</v>
      </c>
      <c r="P58" s="5">
        <v>13</v>
      </c>
      <c r="Q58" s="5"/>
      <c r="R58" s="5"/>
      <c r="S58" s="5"/>
      <c r="T58" s="5">
        <f t="shared" si="6"/>
        <v>4401</v>
      </c>
      <c r="U58" s="5">
        <f t="shared" si="7"/>
        <v>157</v>
      </c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</row>
    <row r="59" spans="1:37">
      <c r="A59" s="176"/>
      <c r="AJ59" t="s">
        <v>741</v>
      </c>
    </row>
    <row r="60" spans="1:37">
      <c r="A60" s="176"/>
      <c r="AJ60" t="s">
        <v>742</v>
      </c>
    </row>
    <row r="61" spans="1:37">
      <c r="A61" s="176"/>
    </row>
  </sheetData>
  <sortState ref="G42:H79">
    <sortCondition ref="G42"/>
  </sortState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3" name="Button 2">
              <controlPr defaultSize="0" print="0" autoFill="0" autoPict="0" macro="[0]!export_2">
                <anchor moveWithCells="1" sizeWithCells="1">
                  <from>
                    <xdr:col>2</xdr:col>
                    <xdr:colOff>66675</xdr:colOff>
                    <xdr:row>3</xdr:row>
                    <xdr:rowOff>0</xdr:rowOff>
                  </from>
                  <to>
                    <xdr:col>2</xdr:col>
                    <xdr:colOff>819150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D53"/>
  <sheetViews>
    <sheetView workbookViewId="0">
      <selection activeCell="C27" sqref="C27"/>
    </sheetView>
  </sheetViews>
  <sheetFormatPr defaultRowHeight="13.5"/>
  <cols>
    <col min="2" max="2" width="19.25" customWidth="1"/>
    <col min="3" max="3" width="50.25" customWidth="1"/>
  </cols>
  <sheetData>
    <row r="1" spans="1:4">
      <c r="A1" s="38" t="s">
        <v>397</v>
      </c>
      <c r="B1" s="38" t="s">
        <v>444</v>
      </c>
      <c r="C1" s="38" t="s">
        <v>458</v>
      </c>
      <c r="D1" s="38" t="s">
        <v>696</v>
      </c>
    </row>
    <row r="2" spans="1:4">
      <c r="A2">
        <f>一级属性!A2</f>
        <v>1</v>
      </c>
      <c r="B2" t="str">
        <f>一级属性!B2</f>
        <v>骨头</v>
      </c>
      <c r="C2" t="str">
        <f>"&lt;option value="""&amp;A2&amp;"""&gt;"&amp;B2&amp;"&lt;/option&gt;"</f>
        <v>&lt;option value="1"&gt;骨头&lt;/option&gt;</v>
      </c>
    </row>
    <row r="3" spans="1:4">
      <c r="A3">
        <f>一级属性!A3</f>
        <v>17</v>
      </c>
      <c r="B3" t="str">
        <f>一级属性!B3</f>
        <v>骨头兄弟</v>
      </c>
      <c r="C3" t="str">
        <f t="shared" ref="C3:C49" si="0">"&lt;option value="""&amp;A3&amp;"""&gt;"&amp;B3&amp;"&lt;/option&gt;"</f>
        <v>&lt;option value="17"&gt;骨头兄弟&lt;/option&gt;</v>
      </c>
    </row>
    <row r="4" spans="1:4">
      <c r="A4">
        <f>一级属性!A31</f>
        <v>204</v>
      </c>
      <c r="B4" t="str">
        <f>一级属性!B31</f>
        <v>骨头营地</v>
      </c>
      <c r="C4" t="str">
        <f t="shared" si="0"/>
        <v>&lt;option value="204"&gt;骨头营地&lt;/option&gt;</v>
      </c>
    </row>
    <row r="5" spans="1:4">
      <c r="A5">
        <f>一级属性!A4</f>
        <v>3</v>
      </c>
      <c r="B5" t="str">
        <f>一级属性!B4</f>
        <v>哈根达斯</v>
      </c>
      <c r="C5" t="str">
        <f t="shared" si="0"/>
        <v>&lt;option value="3"&gt;哈根达斯&lt;/option&gt;</v>
      </c>
    </row>
    <row r="6" spans="1:4">
      <c r="A6">
        <f>一级属性!A5</f>
        <v>2</v>
      </c>
      <c r="B6" t="str">
        <f>一级属性!B5</f>
        <v>梅赛德斯</v>
      </c>
      <c r="C6" t="str">
        <f t="shared" si="0"/>
        <v>&lt;option value="2"&gt;梅赛德斯&lt;/option&gt;</v>
      </c>
    </row>
    <row r="7" spans="1:4">
      <c r="A7">
        <f>一级属性!A32</f>
        <v>207</v>
      </c>
      <c r="B7" t="str">
        <f>一级属性!B32</f>
        <v>梅赛德斯中心</v>
      </c>
      <c r="C7" t="str">
        <f t="shared" si="0"/>
        <v>&lt;option value="207"&gt;梅赛德斯中心&lt;/option&gt;</v>
      </c>
    </row>
    <row r="8" spans="1:4">
      <c r="A8">
        <f>一级属性!A6</f>
        <v>4</v>
      </c>
      <c r="B8" t="str">
        <f>一级属性!B6</f>
        <v>花椰射手</v>
      </c>
      <c r="C8" t="str">
        <f t="shared" si="0"/>
        <v>&lt;option value="4"&gt;花椰射手&lt;/option&gt;</v>
      </c>
    </row>
    <row r="9" spans="1:4">
      <c r="A9">
        <f>一级属性!A7</f>
        <v>5</v>
      </c>
      <c r="B9" t="str">
        <f>一级属性!B7</f>
        <v>邦尼</v>
      </c>
      <c r="C9" t="str">
        <f t="shared" si="0"/>
        <v>&lt;option value="5"&gt;邦尼&lt;/option&gt;</v>
      </c>
    </row>
    <row r="10" spans="1:4">
      <c r="A10">
        <f>一级属性!A8</f>
        <v>7</v>
      </c>
      <c r="B10" t="str">
        <f>一级属性!B8</f>
        <v>小丸子</v>
      </c>
      <c r="C10" t="str">
        <f t="shared" si="0"/>
        <v>&lt;option value="7"&gt;小丸子&lt;/option&gt;</v>
      </c>
    </row>
    <row r="11" spans="1:4">
      <c r="A11">
        <f>一级属性!A9</f>
        <v>9</v>
      </c>
      <c r="B11" t="str">
        <f>一级属性!B9</f>
        <v>丸子兵团</v>
      </c>
      <c r="C11" t="str">
        <f t="shared" si="0"/>
        <v>&lt;option value="9"&gt;丸子兵团&lt;/option&gt;</v>
      </c>
    </row>
    <row r="12" spans="1:4">
      <c r="A12">
        <f>一级属性!A10</f>
        <v>8</v>
      </c>
      <c r="B12" t="str">
        <f>一级属性!B10</f>
        <v>盖奇</v>
      </c>
      <c r="C12" t="str">
        <f t="shared" si="0"/>
        <v>&lt;option value="8"&gt;盖奇&lt;/option&gt;</v>
      </c>
    </row>
    <row r="13" spans="1:4">
      <c r="A13">
        <f>一级属性!A33</f>
        <v>208</v>
      </c>
      <c r="B13" t="str">
        <f>一级属性!B33</f>
        <v>盖奇小屋</v>
      </c>
      <c r="C13" t="str">
        <f t="shared" si="0"/>
        <v>&lt;option value="208"&gt;盖奇小屋&lt;/option&gt;</v>
      </c>
    </row>
    <row r="14" spans="1:4">
      <c r="A14">
        <f>一级属性!A11</f>
        <v>12</v>
      </c>
      <c r="B14" t="str">
        <f>一级属性!B11</f>
        <v>莫西干战神</v>
      </c>
      <c r="C14" t="str">
        <f t="shared" si="0"/>
        <v>&lt;option value="12"&gt;莫西干战神&lt;/option&gt;</v>
      </c>
    </row>
    <row r="15" spans="1:4">
      <c r="A15">
        <f>一级属性!A12</f>
        <v>13</v>
      </c>
      <c r="B15" t="str">
        <f>一级属性!B12</f>
        <v>大猫</v>
      </c>
      <c r="C15" t="str">
        <f t="shared" si="0"/>
        <v>&lt;option value="13"&gt;大猫&lt;/option&gt;</v>
      </c>
    </row>
    <row r="16" spans="1:4">
      <c r="A16">
        <f>一级属性!A13</f>
        <v>14</v>
      </c>
      <c r="B16" t="str">
        <f>一级属性!B13</f>
        <v>安卡斯</v>
      </c>
      <c r="C16" t="str">
        <f t="shared" si="0"/>
        <v>&lt;option value="14"&gt;安卡斯&lt;/option&gt;</v>
      </c>
    </row>
    <row r="17" spans="1:3">
      <c r="A17">
        <f>一级属性!A14</f>
        <v>28</v>
      </c>
      <c r="B17" t="str">
        <f>一级属性!B14</f>
        <v>安卡斯兄弟</v>
      </c>
      <c r="C17" t="str">
        <f t="shared" si="0"/>
        <v>&lt;option value="28"&gt;安卡斯兄弟&lt;/option&gt;</v>
      </c>
    </row>
    <row r="18" spans="1:3">
      <c r="A18">
        <f>一级属性!A15</f>
        <v>16</v>
      </c>
      <c r="B18" t="str">
        <f>一级属性!B15</f>
        <v>飞龙</v>
      </c>
      <c r="C18" t="str">
        <f t="shared" si="0"/>
        <v>&lt;option value="16"&gt;飞龙&lt;/option&gt;</v>
      </c>
    </row>
    <row r="19" spans="1:3">
      <c r="A19">
        <f>一级属性!A16</f>
        <v>20</v>
      </c>
      <c r="B19" t="str">
        <f>一级属性!B16</f>
        <v>布莱尔</v>
      </c>
      <c r="C19" t="str">
        <f t="shared" si="0"/>
        <v>&lt;option value="20"&gt;布莱尔&lt;/option&gt;</v>
      </c>
    </row>
    <row r="20" spans="1:3">
      <c r="A20">
        <f>一级属性!A17</f>
        <v>22</v>
      </c>
      <c r="B20" t="str">
        <f>一级属性!B17</f>
        <v>战争古树</v>
      </c>
      <c r="C20" t="str">
        <f t="shared" si="0"/>
        <v>&lt;option value="22"&gt;战争古树&lt;/option&gt;</v>
      </c>
    </row>
    <row r="21" spans="1:3">
      <c r="A21">
        <f>一级属性!A18</f>
        <v>23</v>
      </c>
      <c r="B21" t="str">
        <f>一级属性!B18</f>
        <v>泰山</v>
      </c>
      <c r="C21" t="str">
        <f t="shared" si="0"/>
        <v>&lt;option value="23"&gt;泰山&lt;/option&gt;</v>
      </c>
    </row>
    <row r="22" spans="1:3">
      <c r="A22">
        <f>一级属性!A41</f>
        <v>101</v>
      </c>
      <c r="B22" t="str">
        <f>一级属性!B41</f>
        <v>万箭齐发</v>
      </c>
      <c r="C22" t="str">
        <f t="shared" si="0"/>
        <v>&lt;option value="101"&gt;万箭齐发&lt;/option&gt;</v>
      </c>
    </row>
    <row r="23" spans="1:3">
      <c r="A23">
        <f>一级属性!A42</f>
        <v>102</v>
      </c>
      <c r="B23" t="str">
        <f>一级属性!B42</f>
        <v>电击术</v>
      </c>
      <c r="C23" t="str">
        <f t="shared" si="0"/>
        <v>&lt;option value="102"&gt;电击术&lt;/option&gt;</v>
      </c>
    </row>
    <row r="24" spans="1:3">
      <c r="A24">
        <f>一级属性!A44</f>
        <v>106</v>
      </c>
      <c r="B24" t="str">
        <f>一级属性!B44</f>
        <v>冰冻术</v>
      </c>
      <c r="C24" t="str">
        <f t="shared" si="0"/>
        <v>&lt;option value="106"&gt;冰冻术&lt;/option&gt;</v>
      </c>
    </row>
    <row r="25" spans="1:3">
      <c r="A25">
        <f>一级属性!A45</f>
        <v>107</v>
      </c>
      <c r="B25" t="str">
        <f>一级属性!B45</f>
        <v>镜像术</v>
      </c>
      <c r="C25" t="str">
        <f t="shared" si="0"/>
        <v>&lt;option value="107"&gt;镜像术&lt;/option&gt;</v>
      </c>
    </row>
    <row r="26" spans="1:3">
      <c r="A26">
        <f>一级属性!A46</f>
        <v>108</v>
      </c>
      <c r="B26" t="str">
        <f>一级属性!B46</f>
        <v>狂暴术</v>
      </c>
      <c r="C26" t="str">
        <f t="shared" si="0"/>
        <v>&lt;option value="108"&gt;狂暴术&lt;/option&gt;</v>
      </c>
    </row>
    <row r="27" spans="1:3">
      <c r="A27">
        <f>一级属性!A47</f>
        <v>109</v>
      </c>
      <c r="B27" t="str">
        <f>一级属性!B47</f>
        <v>闪电术</v>
      </c>
      <c r="C27" t="str">
        <f t="shared" si="0"/>
        <v>&lt;option value="109"&gt;闪电术&lt;/option&gt;</v>
      </c>
    </row>
    <row r="28" spans="1:3">
      <c r="A28">
        <f>一级属性!A34</f>
        <v>201</v>
      </c>
      <c r="B28" t="str">
        <f>一级属性!B34</f>
        <v>加农炮</v>
      </c>
      <c r="C28" t="str">
        <f t="shared" si="0"/>
        <v>&lt;option value="201"&gt;加农炮&lt;/option&gt;</v>
      </c>
    </row>
    <row r="29" spans="1:3">
      <c r="A29">
        <f>一级属性!A27</f>
        <v>6</v>
      </c>
      <c r="B29" t="str">
        <f>一级属性!B27</f>
        <v>桑切斯</v>
      </c>
      <c r="C29" t="str">
        <f t="shared" si="0"/>
        <v>&lt;option value="6"&gt;桑切斯&lt;/option&gt;</v>
      </c>
    </row>
    <row r="30" spans="1:3">
      <c r="A30">
        <f>一级属性!A58</f>
        <v>11</v>
      </c>
      <c r="B30" t="str">
        <f>一级属性!B58</f>
        <v>迷你皮卡</v>
      </c>
      <c r="C30" t="str">
        <f t="shared" si="0"/>
        <v>&lt;option value="11"&gt;迷你皮卡&lt;/option&gt;</v>
      </c>
    </row>
    <row r="31" spans="1:3">
      <c r="A31">
        <f>一级属性!A20</f>
        <v>15</v>
      </c>
      <c r="B31" t="str">
        <f>一级属性!B20</f>
        <v>烈火陨石</v>
      </c>
      <c r="C31" t="str">
        <f t="shared" si="0"/>
        <v>&lt;option value="15"&gt;烈火陨石&lt;/option&gt;</v>
      </c>
    </row>
    <row r="32" spans="1:3">
      <c r="A32">
        <f>一级属性!A21</f>
        <v>18</v>
      </c>
      <c r="B32" t="str">
        <f>一级属性!B21</f>
        <v>飞艇</v>
      </c>
      <c r="C32" t="str">
        <f t="shared" si="0"/>
        <v>&lt;option value="18"&gt;飞艇&lt;/option&gt;</v>
      </c>
    </row>
    <row r="33" spans="1:3">
      <c r="A33">
        <f>一级属性!A22</f>
        <v>19</v>
      </c>
      <c r="B33" t="str">
        <f>一级属性!B22</f>
        <v>小王子</v>
      </c>
      <c r="C33" t="str">
        <f t="shared" si="0"/>
        <v>&lt;option value="19"&gt;小王子&lt;/option&gt;</v>
      </c>
    </row>
    <row r="34" spans="1:3">
      <c r="A34">
        <f>一级属性!A23</f>
        <v>21</v>
      </c>
      <c r="B34" t="str">
        <f>一级属性!B23</f>
        <v>兀鹰战士</v>
      </c>
      <c r="C34" t="str">
        <f t="shared" si="0"/>
        <v>&lt;option value="21"&gt;兀鹰战士&lt;/option&gt;</v>
      </c>
    </row>
    <row r="35" spans="1:3">
      <c r="A35">
        <f>一级属性!A24</f>
        <v>25</v>
      </c>
      <c r="B35" t="str">
        <f>一级属性!B24</f>
        <v>寒冰陨石</v>
      </c>
      <c r="C35" t="str">
        <f t="shared" si="0"/>
        <v>&lt;option value="25"&gt;寒冰陨石&lt;/option&gt;</v>
      </c>
    </row>
    <row r="36" spans="1:3">
      <c r="A36">
        <f>一级属性!A59</f>
        <v>26</v>
      </c>
      <c r="B36" t="str">
        <f>一级属性!B59</f>
        <v>皇家巨人</v>
      </c>
      <c r="C36" t="str">
        <f t="shared" si="0"/>
        <v>&lt;option value="26"&gt;皇家巨人&lt;/option&gt;</v>
      </c>
    </row>
    <row r="37" spans="1:3">
      <c r="A37">
        <f>一级属性!A25</f>
        <v>10</v>
      </c>
      <c r="B37" t="str">
        <f>一级属性!B25</f>
        <v>哈雷</v>
      </c>
      <c r="C37" t="str">
        <f t="shared" si="0"/>
        <v>&lt;option value="10"&gt;哈雷&lt;/option&gt;</v>
      </c>
    </row>
    <row r="38" spans="1:3">
      <c r="A38">
        <f>一级属性!A60</f>
        <v>27</v>
      </c>
      <c r="B38" t="str">
        <f>一级属性!B60</f>
        <v>黑暗王子</v>
      </c>
      <c r="C38" t="str">
        <f t="shared" si="0"/>
        <v>&lt;option value="27"&gt;黑暗王子&lt;/option&gt;</v>
      </c>
    </row>
    <row r="39" spans="1:3">
      <c r="A39">
        <f>一级属性!A61</f>
        <v>29</v>
      </c>
      <c r="B39" t="str">
        <f>一级属性!B61</f>
        <v>公主</v>
      </c>
      <c r="C39" t="str">
        <f t="shared" si="0"/>
        <v>&lt;option value="29"&gt;公主&lt;/option&gt;</v>
      </c>
    </row>
    <row r="40" spans="1:3">
      <c r="A40">
        <f>一级属性!A26</f>
        <v>30</v>
      </c>
      <c r="B40" t="str">
        <f>一级属性!B26</f>
        <v>法里娅</v>
      </c>
      <c r="C40" t="str">
        <f t="shared" si="0"/>
        <v>&lt;option value="30"&gt;法里娅&lt;/option&gt;</v>
      </c>
    </row>
    <row r="41" spans="1:3">
      <c r="A41">
        <f>一级属性!A49</f>
        <v>103</v>
      </c>
      <c r="B41" t="str">
        <f>一级属性!B49</f>
        <v>飞火流星</v>
      </c>
      <c r="C41" t="str">
        <f t="shared" si="0"/>
        <v>&lt;option value="103"&gt;飞火流星&lt;/option&gt;</v>
      </c>
    </row>
    <row r="42" spans="1:3">
      <c r="A42">
        <f>一级属性!A56</f>
        <v>104</v>
      </c>
      <c r="B42" t="str">
        <f>一级属性!B56</f>
        <v>火箭</v>
      </c>
      <c r="C42" t="str">
        <f t="shared" si="0"/>
        <v>&lt;option value="104"&gt;火箭&lt;/option&gt;</v>
      </c>
    </row>
    <row r="43" spans="1:3">
      <c r="A43">
        <f>一级属性!A57</f>
        <v>112</v>
      </c>
      <c r="B43" t="str">
        <f>一级属性!B57</f>
        <v>哥布林桶</v>
      </c>
      <c r="C43" t="str">
        <f t="shared" si="0"/>
        <v>&lt;option value="112"&gt;哥布林桶&lt;/option&gt;</v>
      </c>
    </row>
    <row r="44" spans="1:3">
      <c r="A44">
        <f>一级属性!A48</f>
        <v>110</v>
      </c>
      <c r="B44" t="str">
        <f>一级属性!B48</f>
        <v>诅咒</v>
      </c>
      <c r="C44" t="str">
        <f t="shared" si="0"/>
        <v>&lt;option value="110"&gt;诅咒&lt;/option&gt;</v>
      </c>
    </row>
    <row r="45" spans="1:3">
      <c r="A45">
        <f>一级属性!A35</f>
        <v>202</v>
      </c>
      <c r="B45" t="str">
        <f>一级属性!B35</f>
        <v>幽灵之塔</v>
      </c>
      <c r="C45" t="str">
        <f t="shared" si="0"/>
        <v>&lt;option value="202"&gt;幽灵之塔&lt;/option&gt;</v>
      </c>
    </row>
    <row r="46" spans="1:3">
      <c r="A46">
        <f>一级属性!A36</f>
        <v>203</v>
      </c>
      <c r="B46" t="str">
        <f>一级属性!B36</f>
        <v>投石机</v>
      </c>
      <c r="C46" t="str">
        <f t="shared" si="0"/>
        <v>&lt;option value="203"&gt;投石机&lt;/option&gt;</v>
      </c>
    </row>
    <row r="47" spans="1:3">
      <c r="A47">
        <f>一级属性!A37</f>
        <v>205</v>
      </c>
      <c r="B47" t="str">
        <f>一级属性!B37</f>
        <v>恶魔之塔</v>
      </c>
      <c r="C47" t="str">
        <f t="shared" si="0"/>
        <v>&lt;option value="205"&gt;恶魔之塔&lt;/option&gt;</v>
      </c>
    </row>
    <row r="48" spans="1:3">
      <c r="A48">
        <f>一级属性!A38</f>
        <v>206</v>
      </c>
      <c r="B48" t="str">
        <f>一级属性!B38</f>
        <v>原力圣殿</v>
      </c>
      <c r="C48" t="str">
        <f t="shared" si="0"/>
        <v>&lt;option value="206"&gt;原力圣殿&lt;/option&gt;</v>
      </c>
    </row>
    <row r="49" spans="1:3">
      <c r="A49">
        <f>一级属性!A39</f>
        <v>209</v>
      </c>
      <c r="B49" t="str">
        <f>一级属性!B39</f>
        <v>邦尼堡垒</v>
      </c>
      <c r="C49" t="str">
        <f t="shared" si="0"/>
        <v>&lt;option value="209"&gt;邦尼堡垒&lt;/option&gt;</v>
      </c>
    </row>
    <row r="50" spans="1:3">
      <c r="A50">
        <f>一级属性!A40</f>
        <v>210</v>
      </c>
      <c r="B50" t="str">
        <f>一级属性!B40</f>
        <v>强弩</v>
      </c>
      <c r="C50" t="str">
        <f t="shared" ref="C50:C53" si="1">"&lt;option value="""&amp;A50&amp;"""&gt;"&amp;B50&amp;"&lt;/option&gt;"</f>
        <v>&lt;option value="210"&gt;强弩&lt;/option&gt;</v>
      </c>
    </row>
    <row r="51" spans="1:3">
      <c r="A51">
        <f>一级属性!A28</f>
        <v>31</v>
      </c>
      <c r="B51" t="str">
        <f>一级属性!B28</f>
        <v>火精灵</v>
      </c>
      <c r="C51" t="str">
        <f t="shared" si="1"/>
        <v>&lt;option value="31"&gt;火精灵&lt;/option&gt;</v>
      </c>
    </row>
    <row r="52" spans="1:3">
      <c r="A52">
        <f>一级属性!A30</f>
        <v>48</v>
      </c>
      <c r="B52" t="str">
        <f>一级属性!B30</f>
        <v>艾斯特</v>
      </c>
      <c r="C52" t="str">
        <f t="shared" si="1"/>
        <v>&lt;option value="48"&gt;艾斯特&lt;/option&gt;</v>
      </c>
    </row>
    <row r="53" spans="1:3">
      <c r="A53">
        <f>一级属性!A50</f>
        <v>105</v>
      </c>
      <c r="B53" t="str">
        <f>一级属性!B50</f>
        <v>宝箱怪</v>
      </c>
      <c r="C53" t="str">
        <f t="shared" si="1"/>
        <v>&lt;option value="105"&gt;宝箱怪&lt;/option&gt;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gm卡牌列表">
                <anchor moveWithCells="1" sizeWithCells="1">
                  <from>
                    <xdr:col>2</xdr:col>
                    <xdr:colOff>1095375</xdr:colOff>
                    <xdr:row>0</xdr:row>
                    <xdr:rowOff>9525</xdr:rowOff>
                  </from>
                  <to>
                    <xdr:col>2</xdr:col>
                    <xdr:colOff>3267075</xdr:colOff>
                    <xdr:row>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7030A0"/>
  </sheetPr>
  <dimension ref="A1:AF104"/>
  <sheetViews>
    <sheetView workbookViewId="0">
      <pane xSplit="2" ySplit="1" topLeftCell="C14" activePane="bottomRight" state="frozen"/>
      <selection pane="topRight" activeCell="C1" sqref="C1"/>
      <selection pane="bottomLeft" activeCell="A2" sqref="A2"/>
      <selection pane="bottomRight" activeCell="B39" sqref="B39:D39"/>
    </sheetView>
  </sheetViews>
  <sheetFormatPr defaultRowHeight="13.5"/>
  <cols>
    <col min="1" max="1" width="5.625" customWidth="1"/>
    <col min="2" max="2" width="11" customWidth="1"/>
    <col min="3" max="3" width="11.5" customWidth="1"/>
    <col min="4" max="4" width="3.75" customWidth="1"/>
    <col min="5" max="5" width="5.625" customWidth="1"/>
    <col min="6" max="6" width="6.875" customWidth="1"/>
    <col min="7" max="7" width="6" customWidth="1"/>
    <col min="9" max="9" width="5.25" customWidth="1"/>
    <col min="10" max="10" width="5.875" customWidth="1"/>
    <col min="11" max="11" width="8.625" customWidth="1"/>
    <col min="12" max="12" width="5.5" customWidth="1"/>
    <col min="13" max="14" width="5.375" customWidth="1"/>
    <col min="15" max="19" width="4.875" customWidth="1"/>
    <col min="20" max="20" width="7.125" customWidth="1"/>
    <col min="21" max="21" width="4.875" customWidth="1"/>
    <col min="22" max="24" width="6.25" customWidth="1"/>
    <col min="25" max="25" width="7.25" customWidth="1"/>
    <col min="27" max="27" width="6.25" customWidth="1"/>
    <col min="28" max="30" width="5.625" customWidth="1"/>
    <col min="31" max="31" width="97.875" customWidth="1"/>
  </cols>
  <sheetData>
    <row r="1" spans="1:32" ht="54">
      <c r="A1" s="29" t="s">
        <v>68</v>
      </c>
      <c r="B1" s="47" t="s">
        <v>135</v>
      </c>
      <c r="C1" s="47" t="s">
        <v>616</v>
      </c>
      <c r="D1" s="52" t="s">
        <v>49</v>
      </c>
      <c r="E1" s="51" t="s">
        <v>50</v>
      </c>
      <c r="F1" s="20" t="s">
        <v>47</v>
      </c>
      <c r="G1" s="52" t="s">
        <v>51</v>
      </c>
      <c r="H1" s="52" t="s">
        <v>17</v>
      </c>
      <c r="I1" s="47" t="s">
        <v>52</v>
      </c>
      <c r="J1" s="52" t="s">
        <v>251</v>
      </c>
      <c r="K1" s="52" t="s">
        <v>253</v>
      </c>
      <c r="L1" s="52" t="s">
        <v>196</v>
      </c>
      <c r="M1" s="52" t="s">
        <v>200</v>
      </c>
      <c r="N1" s="52" t="s">
        <v>416</v>
      </c>
      <c r="O1" s="75" t="s">
        <v>36</v>
      </c>
      <c r="P1" s="75" t="s">
        <v>37</v>
      </c>
      <c r="Q1" s="52" t="s">
        <v>768</v>
      </c>
      <c r="R1" s="75" t="s">
        <v>38</v>
      </c>
      <c r="S1" s="75" t="s">
        <v>370</v>
      </c>
      <c r="T1" s="75" t="s">
        <v>39</v>
      </c>
      <c r="U1" s="75" t="s">
        <v>438</v>
      </c>
      <c r="V1" s="75" t="s">
        <v>275</v>
      </c>
      <c r="W1" s="75" t="s">
        <v>428</v>
      </c>
      <c r="X1" s="75" t="s">
        <v>389</v>
      </c>
      <c r="Y1" s="75" t="s">
        <v>40</v>
      </c>
      <c r="Z1" s="75" t="s">
        <v>41</v>
      </c>
      <c r="AA1" s="75" t="s">
        <v>230</v>
      </c>
      <c r="AB1" s="75" t="s">
        <v>231</v>
      </c>
      <c r="AC1" s="75" t="s">
        <v>596</v>
      </c>
      <c r="AD1" s="75" t="s">
        <v>392</v>
      </c>
      <c r="AE1" s="47" t="s">
        <v>112</v>
      </c>
      <c r="AF1" s="75" t="s">
        <v>249</v>
      </c>
    </row>
    <row r="2" spans="1:32" ht="12.75" customHeight="1">
      <c r="A2" s="135">
        <v>1</v>
      </c>
      <c r="B2" s="136" t="s">
        <v>785</v>
      </c>
      <c r="C2" s="48" t="s">
        <v>617</v>
      </c>
      <c r="D2" s="5">
        <v>1</v>
      </c>
      <c r="E2" s="35">
        <v>2</v>
      </c>
      <c r="F2" s="32"/>
      <c r="G2" s="5">
        <v>100</v>
      </c>
      <c r="H2" s="76">
        <v>0</v>
      </c>
      <c r="I2" s="5">
        <v>1</v>
      </c>
      <c r="J2" s="46">
        <v>1217</v>
      </c>
      <c r="K2" s="46">
        <v>2217</v>
      </c>
      <c r="L2" s="27">
        <v>1000</v>
      </c>
      <c r="M2" s="27" t="s">
        <v>201</v>
      </c>
      <c r="N2" s="28" t="s">
        <v>424</v>
      </c>
      <c r="O2" s="154">
        <f>VLOOKUP(N2,攻击帧数!$E$8:$G$12,3,)</f>
        <v>63</v>
      </c>
      <c r="P2" s="161">
        <v>2</v>
      </c>
      <c r="Q2" s="161" t="s">
        <v>761</v>
      </c>
      <c r="R2" s="155">
        <f>VLOOKUP(Q2,腰围,2,)</f>
        <v>15</v>
      </c>
      <c r="S2" s="125">
        <v>0</v>
      </c>
      <c r="T2" s="117">
        <f t="shared" ref="T2:T10" si="0">INT(U2*30)</f>
        <v>5</v>
      </c>
      <c r="U2" s="78">
        <v>0.18</v>
      </c>
      <c r="V2" s="42" t="s">
        <v>277</v>
      </c>
      <c r="W2" s="153" t="s">
        <v>429</v>
      </c>
      <c r="X2" s="154">
        <f>MAX(VLOOKUP(W2,攻击帧数!$E$2:$F$5,2,),INT(T2*1.2))</f>
        <v>210</v>
      </c>
      <c r="Y2" s="155">
        <v>450</v>
      </c>
      <c r="Z2" s="156">
        <v>30</v>
      </c>
      <c r="AA2" s="77"/>
      <c r="AB2" s="4"/>
      <c r="AC2" s="5">
        <v>1000</v>
      </c>
      <c r="AD2" s="154">
        <f>VLOOKUP(LEFT(K2,4),攻击帧数!$G$16:$H$51,2,)</f>
        <v>166</v>
      </c>
      <c r="AE2" s="140" t="s">
        <v>561</v>
      </c>
    </row>
    <row r="3" spans="1:32" ht="12.75" customHeight="1">
      <c r="A3" s="135">
        <v>17</v>
      </c>
      <c r="B3" s="136" t="s">
        <v>786</v>
      </c>
      <c r="C3" s="48" t="s">
        <v>618</v>
      </c>
      <c r="D3" s="5">
        <v>1</v>
      </c>
      <c r="E3" s="35">
        <v>0</v>
      </c>
      <c r="F3" s="32"/>
      <c r="G3" s="5">
        <v>55</v>
      </c>
      <c r="H3" s="194">
        <v>2</v>
      </c>
      <c r="I3" s="5">
        <v>3</v>
      </c>
      <c r="J3" s="46">
        <v>1224</v>
      </c>
      <c r="K3" s="46">
        <v>2217</v>
      </c>
      <c r="L3" s="27">
        <v>1000</v>
      </c>
      <c r="M3" s="27" t="s">
        <v>201</v>
      </c>
      <c r="N3" s="124" t="str">
        <f t="shared" ref="N3:Y3" si="1">N2</f>
        <v>快</v>
      </c>
      <c r="O3" s="156">
        <f t="shared" si="1"/>
        <v>63</v>
      </c>
      <c r="P3" s="156">
        <f t="shared" si="1"/>
        <v>2</v>
      </c>
      <c r="Q3" s="156" t="str">
        <f t="shared" si="1"/>
        <v>小</v>
      </c>
      <c r="R3" s="156">
        <f t="shared" si="1"/>
        <v>15</v>
      </c>
      <c r="S3" s="124">
        <f t="shared" si="1"/>
        <v>0</v>
      </c>
      <c r="T3" s="124">
        <f t="shared" si="1"/>
        <v>5</v>
      </c>
      <c r="U3" s="124">
        <f t="shared" si="1"/>
        <v>0.18</v>
      </c>
      <c r="V3" s="124" t="str">
        <f t="shared" si="1"/>
        <v>近战</v>
      </c>
      <c r="W3" s="156" t="str">
        <f t="shared" si="1"/>
        <v>大</v>
      </c>
      <c r="X3" s="156">
        <f t="shared" si="1"/>
        <v>210</v>
      </c>
      <c r="Y3" s="156">
        <f t="shared" si="1"/>
        <v>450</v>
      </c>
      <c r="Z3" s="156">
        <f>Z2</f>
        <v>30</v>
      </c>
      <c r="AA3" s="124"/>
      <c r="AB3" s="124"/>
      <c r="AC3" s="124">
        <f>AC2</f>
        <v>1000</v>
      </c>
      <c r="AD3" s="156">
        <f>AD2</f>
        <v>166</v>
      </c>
      <c r="AE3" s="140" t="s">
        <v>562</v>
      </c>
    </row>
    <row r="4" spans="1:32" ht="12.75" customHeight="1">
      <c r="A4" s="135">
        <v>3</v>
      </c>
      <c r="B4" s="137" t="s">
        <v>583</v>
      </c>
      <c r="C4" s="48" t="s">
        <v>620</v>
      </c>
      <c r="D4" s="5">
        <v>1</v>
      </c>
      <c r="E4" s="35">
        <v>1</v>
      </c>
      <c r="F4" s="32"/>
      <c r="G4" s="5">
        <v>5</v>
      </c>
      <c r="H4" s="76">
        <v>0</v>
      </c>
      <c r="I4" s="5">
        <v>2</v>
      </c>
      <c r="J4" s="46">
        <v>1216</v>
      </c>
      <c r="K4" s="46">
        <v>2216</v>
      </c>
      <c r="L4" s="27">
        <v>1000</v>
      </c>
      <c r="M4" s="27" t="s">
        <v>201</v>
      </c>
      <c r="N4" s="28" t="s">
        <v>426</v>
      </c>
      <c r="O4" s="154">
        <f>VLOOKUP(N4,攻击帧数!$E$8:$G$12,3,)</f>
        <v>84</v>
      </c>
      <c r="P4" s="161">
        <v>2</v>
      </c>
      <c r="Q4" s="161" t="s">
        <v>761</v>
      </c>
      <c r="R4" s="155">
        <f t="shared" ref="R4:R8" si="2">VLOOKUP(Q4,腰围,2,)</f>
        <v>15</v>
      </c>
      <c r="S4" s="125">
        <v>0</v>
      </c>
      <c r="T4" s="117">
        <f>INT(U4*30)</f>
        <v>9</v>
      </c>
      <c r="U4" s="78">
        <v>0.3</v>
      </c>
      <c r="V4" s="42" t="s">
        <v>277</v>
      </c>
      <c r="W4" s="153" t="s">
        <v>429</v>
      </c>
      <c r="X4" s="154">
        <f>MAX(VLOOKUP(W4,攻击帧数!$E$2:$F$5,2,),INT(T4*1.3))</f>
        <v>210</v>
      </c>
      <c r="Y4" s="155">
        <v>450</v>
      </c>
      <c r="Z4" s="156">
        <v>30</v>
      </c>
      <c r="AA4" s="78"/>
      <c r="AB4" s="78"/>
      <c r="AC4" s="5">
        <v>1100</v>
      </c>
      <c r="AD4" s="154">
        <f>VLOOKUP(LEFT(K4,4),攻击帧数!$G$16:$H$51,2,)</f>
        <v>200</v>
      </c>
      <c r="AE4" s="140" t="s">
        <v>558</v>
      </c>
    </row>
    <row r="5" spans="1:32" ht="12.75" customHeight="1">
      <c r="A5" s="135">
        <v>2</v>
      </c>
      <c r="B5" s="136" t="s">
        <v>582</v>
      </c>
      <c r="C5" s="48" t="s">
        <v>621</v>
      </c>
      <c r="D5" s="5">
        <v>1</v>
      </c>
      <c r="E5" s="35">
        <v>1</v>
      </c>
      <c r="F5" s="32"/>
      <c r="G5" s="5">
        <v>15</v>
      </c>
      <c r="H5" s="76">
        <v>0</v>
      </c>
      <c r="I5" s="5">
        <v>2</v>
      </c>
      <c r="J5" s="46">
        <v>1215</v>
      </c>
      <c r="K5" s="46">
        <v>2215</v>
      </c>
      <c r="L5" s="27">
        <v>1000</v>
      </c>
      <c r="M5" s="27" t="s">
        <v>201</v>
      </c>
      <c r="N5" s="28" t="s">
        <v>426</v>
      </c>
      <c r="O5" s="154">
        <f>VLOOKUP(N5,攻击帧数!$E$8:$G$12,3,)</f>
        <v>84</v>
      </c>
      <c r="P5" s="161">
        <v>2</v>
      </c>
      <c r="Q5" s="161" t="s">
        <v>761</v>
      </c>
      <c r="R5" s="155">
        <f t="shared" si="2"/>
        <v>15</v>
      </c>
      <c r="S5" s="125">
        <v>0</v>
      </c>
      <c r="T5" s="117">
        <f t="shared" si="0"/>
        <v>150</v>
      </c>
      <c r="U5" s="126">
        <f>V5-0.5</f>
        <v>5</v>
      </c>
      <c r="V5" s="42">
        <v>5.5</v>
      </c>
      <c r="W5" s="153" t="s">
        <v>429</v>
      </c>
      <c r="X5" s="154">
        <f>MAX(VLOOKUP(W5,攻击帧数!$E$2:$F$5,2,),INT(T5*1.3))</f>
        <v>210</v>
      </c>
      <c r="Y5" s="155">
        <v>450</v>
      </c>
      <c r="Z5" s="156">
        <v>30</v>
      </c>
      <c r="AA5" s="78"/>
      <c r="AB5" s="78"/>
      <c r="AC5" s="5">
        <v>1300</v>
      </c>
      <c r="AD5" s="154">
        <f>VLOOKUP(LEFT(K5,4),攻击帧数!$G$16:$H$51,2,)</f>
        <v>200</v>
      </c>
      <c r="AE5" s="140" t="s">
        <v>557</v>
      </c>
    </row>
    <row r="6" spans="1:32" ht="12.75" customHeight="1">
      <c r="A6" s="135">
        <v>4</v>
      </c>
      <c r="B6" s="137" t="s">
        <v>585</v>
      </c>
      <c r="C6" s="48" t="s">
        <v>622</v>
      </c>
      <c r="D6" s="5">
        <v>1</v>
      </c>
      <c r="E6" s="35">
        <v>0</v>
      </c>
      <c r="F6" s="32"/>
      <c r="G6" s="5">
        <v>10</v>
      </c>
      <c r="H6" s="76">
        <v>0</v>
      </c>
      <c r="I6" s="5">
        <v>3</v>
      </c>
      <c r="J6" s="46">
        <v>1213</v>
      </c>
      <c r="K6" s="46">
        <v>2213</v>
      </c>
      <c r="L6" s="27">
        <v>1000</v>
      </c>
      <c r="M6" s="27" t="s">
        <v>201</v>
      </c>
      <c r="N6" s="28" t="s">
        <v>422</v>
      </c>
      <c r="O6" s="154">
        <f>VLOOKUP(N6,攻击帧数!$E$8:$G$12,3,)</f>
        <v>42</v>
      </c>
      <c r="P6" s="161">
        <v>2</v>
      </c>
      <c r="Q6" s="192" t="s">
        <v>779</v>
      </c>
      <c r="R6" s="155">
        <f t="shared" si="2"/>
        <v>20</v>
      </c>
      <c r="S6" s="125">
        <v>0</v>
      </c>
      <c r="T6" s="117">
        <f t="shared" si="0"/>
        <v>150</v>
      </c>
      <c r="U6" s="126">
        <f>V6-0.5</f>
        <v>5</v>
      </c>
      <c r="V6" s="42">
        <v>5.5</v>
      </c>
      <c r="W6" s="153" t="s">
        <v>429</v>
      </c>
      <c r="X6" s="154">
        <f>MAX(VLOOKUP(W6,攻击帧数!$E$2:$F$5,2,),INT(T6*1.3))</f>
        <v>210</v>
      </c>
      <c r="Y6" s="155">
        <v>450</v>
      </c>
      <c r="Z6" s="156">
        <v>30</v>
      </c>
      <c r="AA6" s="78"/>
      <c r="AB6" s="78"/>
      <c r="AC6" s="5">
        <v>1200</v>
      </c>
      <c r="AD6" s="154">
        <f>VLOOKUP(LEFT(K6,4),攻击帧数!$G$16:$H$51,2,)</f>
        <v>200</v>
      </c>
      <c r="AE6" s="140" t="s">
        <v>560</v>
      </c>
    </row>
    <row r="7" spans="1:32" ht="12.75" customHeight="1">
      <c r="A7" s="135">
        <v>5</v>
      </c>
      <c r="B7" s="137" t="s">
        <v>749</v>
      </c>
      <c r="C7" s="48" t="s">
        <v>623</v>
      </c>
      <c r="D7" s="5">
        <v>1</v>
      </c>
      <c r="E7" s="35">
        <v>0</v>
      </c>
      <c r="F7" s="32"/>
      <c r="G7" s="5">
        <v>40</v>
      </c>
      <c r="H7" s="76">
        <v>0</v>
      </c>
      <c r="I7" s="5">
        <v>3</v>
      </c>
      <c r="J7" s="46">
        <v>1201</v>
      </c>
      <c r="K7" s="46">
        <v>2201</v>
      </c>
      <c r="L7" s="27">
        <v>1000</v>
      </c>
      <c r="M7" s="27" t="s">
        <v>201</v>
      </c>
      <c r="N7" s="28" t="s">
        <v>422</v>
      </c>
      <c r="O7" s="154">
        <f>VLOOKUP(N7,攻击帧数!$E$8:$G$12,3,)</f>
        <v>42</v>
      </c>
      <c r="P7" s="161">
        <v>2</v>
      </c>
      <c r="Q7" s="192" t="s">
        <v>779</v>
      </c>
      <c r="R7" s="155">
        <f t="shared" si="2"/>
        <v>20</v>
      </c>
      <c r="S7" s="78">
        <f>1.5*30</f>
        <v>45</v>
      </c>
      <c r="T7" s="117">
        <f t="shared" si="0"/>
        <v>135</v>
      </c>
      <c r="U7" s="126">
        <f>V7-0.5</f>
        <v>4.5</v>
      </c>
      <c r="V7" s="42">
        <v>5</v>
      </c>
      <c r="W7" s="153" t="s">
        <v>429</v>
      </c>
      <c r="X7" s="154">
        <f>MAX(VLOOKUP(W7,攻击帧数!$E$2:$F$5,2,),INT(T7*1.3))</f>
        <v>210</v>
      </c>
      <c r="Y7" s="155">
        <v>250</v>
      </c>
      <c r="Z7" s="156"/>
      <c r="AA7" s="78"/>
      <c r="AB7" s="78"/>
      <c r="AC7" s="5">
        <v>1900</v>
      </c>
      <c r="AD7" s="154">
        <f>VLOOKUP(LEFT(K7,4),攻击帧数!$G$16:$H$51,2,)</f>
        <v>200</v>
      </c>
      <c r="AE7" s="140" t="s">
        <v>750</v>
      </c>
    </row>
    <row r="8" spans="1:32" ht="12.75" customHeight="1">
      <c r="A8" s="135">
        <v>7</v>
      </c>
      <c r="B8" s="136" t="s">
        <v>579</v>
      </c>
      <c r="C8" s="48" t="s">
        <v>624</v>
      </c>
      <c r="D8" s="5">
        <v>1</v>
      </c>
      <c r="E8" s="35">
        <v>2</v>
      </c>
      <c r="F8" s="32"/>
      <c r="G8" s="5">
        <v>95</v>
      </c>
      <c r="H8" s="76">
        <v>0</v>
      </c>
      <c r="I8" s="5">
        <v>3</v>
      </c>
      <c r="J8" s="46">
        <v>1210</v>
      </c>
      <c r="K8" s="46">
        <v>2210</v>
      </c>
      <c r="L8" s="27">
        <v>1000</v>
      </c>
      <c r="M8" s="27" t="s">
        <v>201</v>
      </c>
      <c r="N8" s="28" t="s">
        <v>424</v>
      </c>
      <c r="O8" s="154">
        <f>VLOOKUP(N8,攻击帧数!$E$8:$G$12,3,)</f>
        <v>63</v>
      </c>
      <c r="P8" s="161">
        <v>2</v>
      </c>
      <c r="Q8" s="161" t="s">
        <v>761</v>
      </c>
      <c r="R8" s="155">
        <f t="shared" si="2"/>
        <v>15</v>
      </c>
      <c r="S8" s="125">
        <v>0</v>
      </c>
      <c r="T8" s="117">
        <f t="shared" si="0"/>
        <v>60</v>
      </c>
      <c r="U8" s="126">
        <f>V8-0.5</f>
        <v>2</v>
      </c>
      <c r="V8" s="42">
        <v>2.5</v>
      </c>
      <c r="W8" s="153" t="s">
        <v>429</v>
      </c>
      <c r="X8" s="154">
        <f>MAX(VLOOKUP(W8,攻击帧数!$E$2:$F$5,2,),INT(T8*1.3))</f>
        <v>210</v>
      </c>
      <c r="Y8" s="155">
        <v>450</v>
      </c>
      <c r="Z8" s="156">
        <v>30</v>
      </c>
      <c r="AA8" s="77"/>
      <c r="AB8" s="77"/>
      <c r="AC8" s="5">
        <v>1000</v>
      </c>
      <c r="AD8" s="154">
        <f>VLOOKUP(LEFT(K8,4),攻击帧数!$G$16:$H$51,2,)</f>
        <v>333</v>
      </c>
      <c r="AE8" s="140" t="s">
        <v>554</v>
      </c>
    </row>
    <row r="9" spans="1:32" ht="12.75" customHeight="1">
      <c r="A9" s="135">
        <v>9</v>
      </c>
      <c r="B9" s="136" t="s">
        <v>580</v>
      </c>
      <c r="C9" s="48" t="s">
        <v>43</v>
      </c>
      <c r="D9" s="5">
        <v>1</v>
      </c>
      <c r="E9" s="35">
        <v>4</v>
      </c>
      <c r="F9" s="32"/>
      <c r="G9" s="5">
        <v>155</v>
      </c>
      <c r="H9" s="76">
        <v>0</v>
      </c>
      <c r="I9" s="5">
        <v>5</v>
      </c>
      <c r="J9" s="46">
        <v>1225</v>
      </c>
      <c r="K9" s="46">
        <v>2210</v>
      </c>
      <c r="L9" s="27">
        <v>1000</v>
      </c>
      <c r="M9" s="27" t="s">
        <v>201</v>
      </c>
      <c r="N9" s="124" t="str">
        <f t="shared" ref="N9:Y9" si="3">N8</f>
        <v>快</v>
      </c>
      <c r="O9" s="156">
        <f t="shared" si="3"/>
        <v>63</v>
      </c>
      <c r="P9" s="156">
        <f t="shared" si="3"/>
        <v>2</v>
      </c>
      <c r="Q9" s="156" t="str">
        <f t="shared" si="3"/>
        <v>小</v>
      </c>
      <c r="R9" s="156">
        <f t="shared" si="3"/>
        <v>15</v>
      </c>
      <c r="S9" s="124">
        <f t="shared" si="3"/>
        <v>0</v>
      </c>
      <c r="T9" s="124">
        <f t="shared" si="3"/>
        <v>60</v>
      </c>
      <c r="U9" s="124">
        <f t="shared" si="3"/>
        <v>2</v>
      </c>
      <c r="V9" s="124">
        <f t="shared" si="3"/>
        <v>2.5</v>
      </c>
      <c r="W9" s="156" t="str">
        <f t="shared" si="3"/>
        <v>大</v>
      </c>
      <c r="X9" s="156">
        <f t="shared" si="3"/>
        <v>210</v>
      </c>
      <c r="Y9" s="156">
        <f t="shared" si="3"/>
        <v>450</v>
      </c>
      <c r="Z9" s="156">
        <f>Z8</f>
        <v>30</v>
      </c>
      <c r="AA9" s="124"/>
      <c r="AB9" s="124"/>
      <c r="AC9" s="124">
        <f>AC8</f>
        <v>1000</v>
      </c>
      <c r="AD9" s="156">
        <f>AD8</f>
        <v>333</v>
      </c>
      <c r="AE9" s="140" t="s">
        <v>555</v>
      </c>
    </row>
    <row r="10" spans="1:32" ht="12.75" customHeight="1">
      <c r="A10" s="135">
        <v>8</v>
      </c>
      <c r="B10" s="136" t="s">
        <v>751</v>
      </c>
      <c r="C10" s="48" t="s">
        <v>625</v>
      </c>
      <c r="D10" s="5">
        <v>1</v>
      </c>
      <c r="E10" s="35">
        <v>3</v>
      </c>
      <c r="F10" s="32"/>
      <c r="G10" s="5">
        <v>125</v>
      </c>
      <c r="H10" s="76">
        <v>0</v>
      </c>
      <c r="I10" s="5">
        <v>5</v>
      </c>
      <c r="J10" s="46">
        <v>1214</v>
      </c>
      <c r="K10" s="46">
        <v>2214</v>
      </c>
      <c r="L10" s="27">
        <v>1000</v>
      </c>
      <c r="M10" s="27" t="s">
        <v>201</v>
      </c>
      <c r="N10" s="28" t="s">
        <v>422</v>
      </c>
      <c r="O10" s="154">
        <f>VLOOKUP(N10,攻击帧数!$E$8:$G$12,3,)</f>
        <v>42</v>
      </c>
      <c r="P10" s="161">
        <v>2</v>
      </c>
      <c r="Q10" s="192" t="s">
        <v>779</v>
      </c>
      <c r="R10" s="193">
        <f>INT(VLOOKUP(Q10,腰围,2,)*0.85)</f>
        <v>17</v>
      </c>
      <c r="S10" s="125">
        <v>0</v>
      </c>
      <c r="T10" s="117">
        <f t="shared" si="0"/>
        <v>9</v>
      </c>
      <c r="U10" s="78">
        <v>0.3</v>
      </c>
      <c r="V10" s="42" t="s">
        <v>277</v>
      </c>
      <c r="W10" s="153" t="s">
        <v>429</v>
      </c>
      <c r="X10" s="154">
        <f>MAX(VLOOKUP(W10,攻击帧数!$E$2:$F$5,2,),INT(T10*1.2))</f>
        <v>210</v>
      </c>
      <c r="Y10" s="155">
        <v>450</v>
      </c>
      <c r="Z10" s="156">
        <v>35</v>
      </c>
      <c r="AA10" s="78"/>
      <c r="AB10" s="78"/>
      <c r="AC10" s="5">
        <v>1500</v>
      </c>
      <c r="AD10" s="154">
        <f>VLOOKUP(LEFT(K10,4),攻击帧数!$G$16:$H$51,2,)</f>
        <v>200</v>
      </c>
      <c r="AE10" s="140" t="s">
        <v>752</v>
      </c>
    </row>
    <row r="11" spans="1:32" ht="12.75" customHeight="1">
      <c r="A11" s="135">
        <v>12</v>
      </c>
      <c r="B11" s="137" t="s">
        <v>577</v>
      </c>
      <c r="C11" s="48" t="s">
        <v>627</v>
      </c>
      <c r="D11" s="5">
        <v>1</v>
      </c>
      <c r="E11" s="35">
        <v>1</v>
      </c>
      <c r="F11" s="32"/>
      <c r="G11" s="5">
        <v>20</v>
      </c>
      <c r="H11" s="195">
        <v>1</v>
      </c>
      <c r="I11" s="5">
        <v>4</v>
      </c>
      <c r="J11" s="46">
        <v>1207</v>
      </c>
      <c r="K11" s="46">
        <v>2207</v>
      </c>
      <c r="L11" s="27">
        <v>1000</v>
      </c>
      <c r="M11" s="27" t="s">
        <v>201</v>
      </c>
      <c r="N11" s="28" t="s">
        <v>422</v>
      </c>
      <c r="O11" s="154">
        <f>VLOOKUP(N11,攻击帧数!$E$8:$G$12,3,)</f>
        <v>42</v>
      </c>
      <c r="P11" s="161">
        <v>2</v>
      </c>
      <c r="Q11" s="192" t="s">
        <v>779</v>
      </c>
      <c r="R11" s="155">
        <f>VLOOKUP(Q11,腰围,2,)</f>
        <v>20</v>
      </c>
      <c r="S11" s="128">
        <v>72</v>
      </c>
      <c r="T11" s="117">
        <f>INT(U11*30)</f>
        <v>36</v>
      </c>
      <c r="U11" s="78">
        <v>1.2</v>
      </c>
      <c r="V11" s="42" t="s">
        <v>277</v>
      </c>
      <c r="W11" s="153" t="s">
        <v>429</v>
      </c>
      <c r="X11" s="154">
        <f>MAX(VLOOKUP(W11,攻击帧数!$E$2:$F$5,2,),INT(T11*1.3))</f>
        <v>210</v>
      </c>
      <c r="Y11" s="155">
        <v>450</v>
      </c>
      <c r="Z11" s="156"/>
      <c r="AA11" s="78"/>
      <c r="AB11" s="78"/>
      <c r="AC11" s="5">
        <v>1500</v>
      </c>
      <c r="AD11" s="154">
        <f>VLOOKUP(LEFT(K11,4),攻击帧数!$G$16:$H$51,2,)</f>
        <v>333</v>
      </c>
      <c r="AE11" s="140" t="s">
        <v>552</v>
      </c>
      <c r="AF11" t="s">
        <v>235</v>
      </c>
    </row>
    <row r="12" spans="1:32" ht="12.75" customHeight="1">
      <c r="A12" s="135">
        <v>13</v>
      </c>
      <c r="B12" s="137" t="s">
        <v>576</v>
      </c>
      <c r="C12" s="48" t="s">
        <v>628</v>
      </c>
      <c r="D12" s="5">
        <v>1</v>
      </c>
      <c r="E12" s="35">
        <v>0</v>
      </c>
      <c r="F12" s="32"/>
      <c r="G12" s="5">
        <v>85</v>
      </c>
      <c r="H12" s="195">
        <v>1</v>
      </c>
      <c r="I12" s="5">
        <v>5</v>
      </c>
      <c r="J12" s="46">
        <v>1218</v>
      </c>
      <c r="K12" s="46">
        <v>2218</v>
      </c>
      <c r="L12" s="27">
        <v>1000</v>
      </c>
      <c r="M12" s="27" t="s">
        <v>201</v>
      </c>
      <c r="N12" s="28" t="s">
        <v>420</v>
      </c>
      <c r="O12" s="154">
        <f>VLOOKUP(N12,攻击帧数!$E$8:$G$12,3,)</f>
        <v>31</v>
      </c>
      <c r="P12" s="161">
        <v>2</v>
      </c>
      <c r="Q12" s="170" t="s">
        <v>712</v>
      </c>
      <c r="R12" s="155">
        <f>VLOOKUP(Q12,腰围,2,)</f>
        <v>27</v>
      </c>
      <c r="S12" s="125">
        <v>0</v>
      </c>
      <c r="T12" s="117">
        <f>INT(U12*30)</f>
        <v>15</v>
      </c>
      <c r="U12" s="78">
        <v>0.5</v>
      </c>
      <c r="V12" s="42" t="s">
        <v>277</v>
      </c>
      <c r="W12" s="153" t="s">
        <v>429</v>
      </c>
      <c r="X12" s="154">
        <f>MAX(VLOOKUP(W12,攻击帧数!$E$2:$F$5,2,),INT(T12*1.3))</f>
        <v>210</v>
      </c>
      <c r="Y12" s="155">
        <v>450</v>
      </c>
      <c r="Z12" s="156"/>
      <c r="AA12" s="78"/>
      <c r="AB12" s="78"/>
      <c r="AC12" s="5">
        <v>1500</v>
      </c>
      <c r="AD12" s="154">
        <f>VLOOKUP(LEFT(K12,4),攻击帧数!$G$16:$H$51,2,)</f>
        <v>266</v>
      </c>
      <c r="AE12" s="140" t="s">
        <v>551</v>
      </c>
      <c r="AF12" t="s">
        <v>237</v>
      </c>
    </row>
    <row r="13" spans="1:32" ht="12.75" customHeight="1">
      <c r="A13" s="135">
        <v>14</v>
      </c>
      <c r="B13" s="137" t="s">
        <v>573</v>
      </c>
      <c r="C13" s="48" t="s">
        <v>653</v>
      </c>
      <c r="D13" s="5">
        <v>1</v>
      </c>
      <c r="E13" s="35">
        <v>0</v>
      </c>
      <c r="F13" s="32"/>
      <c r="G13" s="5">
        <v>35</v>
      </c>
      <c r="H13" s="195">
        <v>1</v>
      </c>
      <c r="I13" s="5">
        <v>4</v>
      </c>
      <c r="J13" s="46">
        <v>1227</v>
      </c>
      <c r="K13" s="46">
        <v>2227</v>
      </c>
      <c r="L13" s="27">
        <v>1000</v>
      </c>
      <c r="M13" s="27" t="s">
        <v>201</v>
      </c>
      <c r="N13" s="28" t="s">
        <v>422</v>
      </c>
      <c r="O13" s="154">
        <f>VLOOKUP(N13,攻击帧数!$E$8:$G$12,3,)</f>
        <v>42</v>
      </c>
      <c r="P13" s="161">
        <v>2</v>
      </c>
      <c r="Q13" s="192" t="s">
        <v>779</v>
      </c>
      <c r="R13" s="155">
        <f>VLOOKUP(Q13,腰围,2,)</f>
        <v>20</v>
      </c>
      <c r="S13" s="125">
        <v>0</v>
      </c>
      <c r="T13" s="117">
        <f>INT(U13*30)</f>
        <v>180</v>
      </c>
      <c r="U13" s="126">
        <f>V13-0.5</f>
        <v>6</v>
      </c>
      <c r="V13" s="42">
        <v>6.5</v>
      </c>
      <c r="W13" s="153" t="s">
        <v>429</v>
      </c>
      <c r="X13" s="154">
        <f>MAX(VLOOKUP(W13,攻击帧数!$E$2:$F$5,2,),INT(T13*1.3))</f>
        <v>234</v>
      </c>
      <c r="Y13" s="155">
        <v>1300</v>
      </c>
      <c r="Z13" s="156"/>
      <c r="AA13" s="77"/>
      <c r="AB13" s="77"/>
      <c r="AC13" s="5">
        <v>1100</v>
      </c>
      <c r="AD13" s="154">
        <f>VLOOKUP(LEFT(K13,4),攻击帧数!$G$16:$H$51,2,)</f>
        <v>166</v>
      </c>
      <c r="AE13" s="140" t="s">
        <v>548</v>
      </c>
      <c r="AF13" t="s">
        <v>236</v>
      </c>
    </row>
    <row r="14" spans="1:32" ht="16.5">
      <c r="A14" s="135">
        <v>28</v>
      </c>
      <c r="B14" s="136" t="s">
        <v>574</v>
      </c>
      <c r="C14" s="48" t="s">
        <v>629</v>
      </c>
      <c r="D14" s="5">
        <v>1</v>
      </c>
      <c r="E14" s="35">
        <v>7</v>
      </c>
      <c r="F14" s="32"/>
      <c r="G14" s="5">
        <v>235</v>
      </c>
      <c r="H14" s="195">
        <v>1</v>
      </c>
      <c r="I14" s="5">
        <v>9</v>
      </c>
      <c r="J14" s="46">
        <v>1226</v>
      </c>
      <c r="K14" s="124">
        <f t="shared" ref="K14:R14" si="4">K13</f>
        <v>2227</v>
      </c>
      <c r="L14" s="124">
        <f t="shared" si="4"/>
        <v>1000</v>
      </c>
      <c r="M14" s="124" t="str">
        <f t="shared" si="4"/>
        <v>兵种</v>
      </c>
      <c r="N14" s="124" t="str">
        <f t="shared" si="4"/>
        <v>中等</v>
      </c>
      <c r="O14" s="156">
        <f t="shared" si="4"/>
        <v>42</v>
      </c>
      <c r="P14" s="156">
        <f t="shared" si="4"/>
        <v>2</v>
      </c>
      <c r="Q14" s="156" t="str">
        <f t="shared" si="4"/>
        <v>中</v>
      </c>
      <c r="R14" s="156">
        <f t="shared" si="4"/>
        <v>20</v>
      </c>
      <c r="S14" s="124">
        <v>0</v>
      </c>
      <c r="T14" s="124">
        <f t="shared" ref="T14:Y14" si="5">T13</f>
        <v>180</v>
      </c>
      <c r="U14" s="124">
        <f t="shared" si="5"/>
        <v>6</v>
      </c>
      <c r="V14" s="124">
        <f t="shared" si="5"/>
        <v>6.5</v>
      </c>
      <c r="W14" s="156" t="str">
        <f t="shared" si="5"/>
        <v>大</v>
      </c>
      <c r="X14" s="156">
        <f t="shared" si="5"/>
        <v>234</v>
      </c>
      <c r="Y14" s="156">
        <f t="shared" si="5"/>
        <v>1300</v>
      </c>
      <c r="Z14" s="162">
        <v>35</v>
      </c>
      <c r="AA14" s="124"/>
      <c r="AB14" s="124"/>
      <c r="AC14" s="124">
        <f>AC13</f>
        <v>1100</v>
      </c>
      <c r="AD14" s="156">
        <f>AD13</f>
        <v>166</v>
      </c>
      <c r="AE14" s="140" t="s">
        <v>549</v>
      </c>
    </row>
    <row r="15" spans="1:32" ht="12.75" customHeight="1">
      <c r="A15" s="135">
        <v>16</v>
      </c>
      <c r="B15" s="136" t="s">
        <v>581</v>
      </c>
      <c r="C15" s="48" t="s">
        <v>630</v>
      </c>
      <c r="D15" s="5">
        <v>1</v>
      </c>
      <c r="E15" s="35">
        <v>0</v>
      </c>
      <c r="F15" s="32"/>
      <c r="G15" s="5">
        <v>60</v>
      </c>
      <c r="H15" s="194">
        <v>2</v>
      </c>
      <c r="I15" s="5">
        <v>4</v>
      </c>
      <c r="J15" s="46">
        <v>1211</v>
      </c>
      <c r="K15" s="46">
        <v>2211</v>
      </c>
      <c r="L15" s="27">
        <v>1000</v>
      </c>
      <c r="M15" s="27" t="s">
        <v>201</v>
      </c>
      <c r="N15" s="28" t="s">
        <v>424</v>
      </c>
      <c r="O15" s="154">
        <f>VLOOKUP(N15,攻击帧数!$E$8:$G$12,3,)</f>
        <v>63</v>
      </c>
      <c r="P15" s="161">
        <v>2</v>
      </c>
      <c r="Q15" s="170" t="s">
        <v>712</v>
      </c>
      <c r="R15" s="155">
        <f>VLOOKUP(Q15,腰围,2,)</f>
        <v>27</v>
      </c>
      <c r="S15" s="78">
        <f>ROUNDUP(1.25*30,0)</f>
        <v>38</v>
      </c>
      <c r="T15" s="117">
        <f>INT(U15*30)</f>
        <v>90</v>
      </c>
      <c r="U15" s="126">
        <f>V15-0.5</f>
        <v>3</v>
      </c>
      <c r="V15" s="42">
        <v>3.5</v>
      </c>
      <c r="W15" s="153" t="s">
        <v>429</v>
      </c>
      <c r="X15" s="154">
        <f>MAX(VLOOKUP(W15,攻击帧数!$E$2:$F$5,2,),INT(T15*1.3))</f>
        <v>210</v>
      </c>
      <c r="Y15" s="155">
        <v>450</v>
      </c>
      <c r="Z15" s="156"/>
      <c r="AA15" s="78"/>
      <c r="AB15" s="78"/>
      <c r="AC15" s="5">
        <v>1800</v>
      </c>
      <c r="AD15" s="170">
        <v>353</v>
      </c>
      <c r="AE15" s="140" t="s">
        <v>556</v>
      </c>
    </row>
    <row r="16" spans="1:32" ht="12.75" customHeight="1">
      <c r="A16" s="135">
        <v>20</v>
      </c>
      <c r="B16" s="137" t="s">
        <v>575</v>
      </c>
      <c r="C16" s="48" t="s">
        <v>631</v>
      </c>
      <c r="D16" s="5">
        <v>1</v>
      </c>
      <c r="E16" s="35">
        <v>0</v>
      </c>
      <c r="F16" s="32"/>
      <c r="G16" s="5">
        <v>45</v>
      </c>
      <c r="H16" s="194">
        <v>2</v>
      </c>
      <c r="I16" s="5">
        <v>5</v>
      </c>
      <c r="J16" s="46">
        <v>1204</v>
      </c>
      <c r="K16" s="46">
        <v>2204</v>
      </c>
      <c r="L16" s="27">
        <v>1000</v>
      </c>
      <c r="M16" s="27" t="s">
        <v>201</v>
      </c>
      <c r="N16" s="28" t="s">
        <v>422</v>
      </c>
      <c r="O16" s="154">
        <f>VLOOKUP(N16,攻击帧数!$E$8:$G$12,3,)</f>
        <v>42</v>
      </c>
      <c r="P16" s="161">
        <v>2</v>
      </c>
      <c r="Q16" s="192" t="s">
        <v>779</v>
      </c>
      <c r="R16" s="155">
        <f>VLOOKUP(Q16,腰围,2,)</f>
        <v>20</v>
      </c>
      <c r="S16" s="78">
        <f>1*30</f>
        <v>30</v>
      </c>
      <c r="T16" s="117">
        <f>INT(U16*30)</f>
        <v>150</v>
      </c>
      <c r="U16" s="126">
        <f>V16-0.5</f>
        <v>5</v>
      </c>
      <c r="V16" s="42">
        <v>5.5</v>
      </c>
      <c r="W16" s="153" t="s">
        <v>429</v>
      </c>
      <c r="X16" s="154">
        <f>MAX(VLOOKUP(W16,攻击帧数!$E$2:$F$5,2,),INT(T16*1.3))</f>
        <v>210</v>
      </c>
      <c r="Y16" s="155">
        <v>450</v>
      </c>
      <c r="Z16" s="156"/>
      <c r="AA16" s="78"/>
      <c r="AB16" s="78"/>
      <c r="AC16" s="5">
        <v>700</v>
      </c>
      <c r="AD16" s="154">
        <f>VLOOKUP(LEFT(K16,4),攻击帧数!$G$16:$H$51,2,)</f>
        <v>333</v>
      </c>
      <c r="AE16" s="140" t="s">
        <v>550</v>
      </c>
      <c r="AF16" t="s">
        <v>233</v>
      </c>
    </row>
    <row r="17" spans="1:32" ht="12.75" customHeight="1">
      <c r="A17" s="135">
        <v>22</v>
      </c>
      <c r="B17" s="136" t="s">
        <v>584</v>
      </c>
      <c r="C17" s="48" t="s">
        <v>632</v>
      </c>
      <c r="D17" s="5">
        <v>1</v>
      </c>
      <c r="E17" s="35">
        <v>4</v>
      </c>
      <c r="F17" s="50">
        <v>1</v>
      </c>
      <c r="G17" s="5">
        <v>175</v>
      </c>
      <c r="H17" s="194">
        <v>2</v>
      </c>
      <c r="I17" s="5">
        <v>7</v>
      </c>
      <c r="J17" s="46">
        <v>1219</v>
      </c>
      <c r="K17" s="46">
        <v>2219</v>
      </c>
      <c r="L17" s="27">
        <v>3000</v>
      </c>
      <c r="M17" s="27" t="s">
        <v>201</v>
      </c>
      <c r="N17" s="28" t="s">
        <v>420</v>
      </c>
      <c r="O17" s="154">
        <f>VLOOKUP(N17,攻击帧数!$E$8:$G$12,3,)</f>
        <v>31</v>
      </c>
      <c r="P17" s="161">
        <v>2</v>
      </c>
      <c r="Q17" s="170" t="s">
        <v>712</v>
      </c>
      <c r="R17" s="155">
        <f>VLOOKUP(Q17,腰围,2,)</f>
        <v>27</v>
      </c>
      <c r="S17" s="125">
        <v>0</v>
      </c>
      <c r="T17" s="117">
        <f>INT(U17*30)</f>
        <v>15</v>
      </c>
      <c r="U17" s="78">
        <v>0.5</v>
      </c>
      <c r="V17" s="42" t="s">
        <v>277</v>
      </c>
      <c r="W17" s="153" t="s">
        <v>429</v>
      </c>
      <c r="X17" s="154">
        <f>MAX(VLOOKUP(W17,攻击帧数!$E$2:$F$5,2,),INT(T17*1.3))</f>
        <v>210</v>
      </c>
      <c r="Y17" s="155">
        <v>450</v>
      </c>
      <c r="Z17" s="156"/>
      <c r="AA17" s="78"/>
      <c r="AB17" s="78"/>
      <c r="AC17" s="5">
        <v>1800</v>
      </c>
      <c r="AD17" s="154">
        <f>VLOOKUP(LEFT(K17,4),攻击帧数!$G$16:$H$51,2,)</f>
        <v>433</v>
      </c>
      <c r="AE17" s="140" t="s">
        <v>559</v>
      </c>
    </row>
    <row r="18" spans="1:32" ht="12.75" customHeight="1">
      <c r="A18" s="135">
        <v>23</v>
      </c>
      <c r="B18" s="136" t="s">
        <v>578</v>
      </c>
      <c r="C18" s="48" t="s">
        <v>633</v>
      </c>
      <c r="D18" s="5">
        <v>1</v>
      </c>
      <c r="E18" s="35">
        <v>6</v>
      </c>
      <c r="F18" s="50">
        <v>1</v>
      </c>
      <c r="G18" s="5">
        <v>220</v>
      </c>
      <c r="H18" s="194">
        <v>2</v>
      </c>
      <c r="I18" s="5">
        <v>8</v>
      </c>
      <c r="J18" s="46">
        <v>1221</v>
      </c>
      <c r="K18" s="46">
        <v>2221</v>
      </c>
      <c r="L18" s="27">
        <v>3000</v>
      </c>
      <c r="M18" s="27" t="s">
        <v>201</v>
      </c>
      <c r="N18" s="28" t="s">
        <v>420</v>
      </c>
      <c r="O18" s="154">
        <f>VLOOKUP(N18,攻击帧数!$E$8:$G$12,3,)</f>
        <v>31</v>
      </c>
      <c r="P18" s="161">
        <v>2</v>
      </c>
      <c r="Q18" s="170" t="s">
        <v>712</v>
      </c>
      <c r="R18" s="155">
        <f>VLOOKUP(Q18,腰围,2,)</f>
        <v>27</v>
      </c>
      <c r="S18" s="125">
        <v>0</v>
      </c>
      <c r="T18" s="117">
        <f>INT(U18*30)</f>
        <v>15</v>
      </c>
      <c r="U18" s="78">
        <v>0.5</v>
      </c>
      <c r="V18" s="42" t="s">
        <v>277</v>
      </c>
      <c r="W18" s="153" t="s">
        <v>429</v>
      </c>
      <c r="X18" s="154">
        <f>MAX(VLOOKUP(W18,攻击帧数!$E$2:$F$5,2,),INT(T18*1.3))</f>
        <v>210</v>
      </c>
      <c r="Y18" s="155">
        <v>450</v>
      </c>
      <c r="Z18" s="156"/>
      <c r="AA18" s="78">
        <f>2*30</f>
        <v>60</v>
      </c>
      <c r="AB18" s="78">
        <v>10</v>
      </c>
      <c r="AC18" s="5">
        <v>2500</v>
      </c>
      <c r="AD18" s="154">
        <f>VLOOKUP(LEFT(K18,4),攻击帧数!$G$16:$H$51,2,)</f>
        <v>300</v>
      </c>
      <c r="AE18" s="140" t="s">
        <v>553</v>
      </c>
      <c r="AF18" t="s">
        <v>232</v>
      </c>
    </row>
    <row r="19" spans="1:32" ht="12.75" customHeight="1">
      <c r="A19" s="32">
        <v>24</v>
      </c>
      <c r="B19" s="49" t="s">
        <v>685</v>
      </c>
      <c r="C19" s="48" t="s">
        <v>46</v>
      </c>
      <c r="D19" s="49">
        <v>0</v>
      </c>
      <c r="E19" s="49">
        <v>6</v>
      </c>
      <c r="F19" s="49"/>
      <c r="G19" s="5">
        <v>225</v>
      </c>
      <c r="H19" s="194">
        <v>2</v>
      </c>
      <c r="I19" s="49">
        <v>0</v>
      </c>
      <c r="J19" s="33">
        <v>1204</v>
      </c>
      <c r="K19" s="100" t="s">
        <v>391</v>
      </c>
      <c r="L19" s="59"/>
      <c r="M19" s="27" t="s">
        <v>201</v>
      </c>
      <c r="N19" s="28" t="s">
        <v>420</v>
      </c>
      <c r="O19" s="154">
        <f>VLOOKUP(N19,攻击帧数!$E$8:$G$12,3,)</f>
        <v>31</v>
      </c>
      <c r="P19" s="161">
        <v>2</v>
      </c>
      <c r="Q19" s="192" t="s">
        <v>779</v>
      </c>
      <c r="R19" s="155">
        <f>VLOOKUP(Q19,腰围,2,)</f>
        <v>20</v>
      </c>
      <c r="S19" s="125">
        <v>0</v>
      </c>
      <c r="T19" s="117">
        <f>INT(U19*30)</f>
        <v>9</v>
      </c>
      <c r="U19" s="78">
        <v>0.3</v>
      </c>
      <c r="V19" s="42" t="s">
        <v>277</v>
      </c>
      <c r="W19" s="153" t="s">
        <v>429</v>
      </c>
      <c r="X19" s="154">
        <f>MAX(VLOOKUP(W19,攻击帧数!$E$2:$F$5,2,),INT(T19*1.3))</f>
        <v>210</v>
      </c>
      <c r="Y19" s="155">
        <v>450</v>
      </c>
      <c r="Z19" s="156">
        <v>45</v>
      </c>
      <c r="AA19" s="78">
        <f>2*30</f>
        <v>60</v>
      </c>
      <c r="AB19" s="78">
        <v>10</v>
      </c>
      <c r="AC19" s="5">
        <v>2500</v>
      </c>
      <c r="AD19" s="154">
        <f>VLOOKUP(LEFT(K19,4),攻击帧数!$G$16:$H$51,2,)</f>
        <v>300</v>
      </c>
      <c r="AE19" s="4" t="s">
        <v>442</v>
      </c>
    </row>
    <row r="20" spans="1:32" ht="12.75" customHeight="1">
      <c r="A20" s="135">
        <v>15</v>
      </c>
      <c r="B20" s="136" t="s">
        <v>687</v>
      </c>
      <c r="C20" s="48" t="s">
        <v>44</v>
      </c>
      <c r="D20" s="5">
        <v>1</v>
      </c>
      <c r="E20" s="35">
        <v>5</v>
      </c>
      <c r="F20" s="32"/>
      <c r="G20" s="5">
        <v>190</v>
      </c>
      <c r="H20" s="195">
        <v>1</v>
      </c>
      <c r="I20" s="5">
        <v>5</v>
      </c>
      <c r="J20" s="46">
        <v>1203</v>
      </c>
      <c r="K20" s="46">
        <v>2203</v>
      </c>
      <c r="L20" s="27">
        <v>1000</v>
      </c>
      <c r="M20" s="27" t="s">
        <v>201</v>
      </c>
      <c r="N20" s="28" t="s">
        <v>422</v>
      </c>
      <c r="O20" s="154">
        <f>VLOOKUP(N20,攻击帧数!$E$8:$G$12,3,)</f>
        <v>42</v>
      </c>
      <c r="P20" s="161">
        <v>2</v>
      </c>
      <c r="Q20" s="192" t="s">
        <v>779</v>
      </c>
      <c r="R20" s="155">
        <f t="shared" ref="R20:R26" si="6">VLOOKUP(Q20,腰围,2,)</f>
        <v>20</v>
      </c>
      <c r="S20" s="141">
        <f>ROUNDUP(1.75*30,0)</f>
        <v>53</v>
      </c>
      <c r="T20" s="117">
        <f t="shared" ref="T20" si="7">INT(U20*30)</f>
        <v>150</v>
      </c>
      <c r="U20" s="126">
        <f>V20-0.5</f>
        <v>5</v>
      </c>
      <c r="V20" s="42">
        <v>5.5</v>
      </c>
      <c r="W20" s="153" t="s">
        <v>429</v>
      </c>
      <c r="X20" s="154">
        <f>MAX(VLOOKUP(W20,攻击帧数!$E$2:$F$5,2,),INT(T20*1.3))</f>
        <v>210</v>
      </c>
      <c r="Y20" s="155">
        <v>350</v>
      </c>
      <c r="Z20" s="156"/>
      <c r="AA20" s="78"/>
      <c r="AB20" s="78"/>
      <c r="AC20" s="5">
        <v>1700</v>
      </c>
      <c r="AD20" s="154">
        <f>VLOOKUP(LEFT(K20,4),攻击帧数!$G$16:$H$51,2,)</f>
        <v>266</v>
      </c>
      <c r="AE20" s="164" t="s">
        <v>655</v>
      </c>
    </row>
    <row r="21" spans="1:32" ht="12.75" customHeight="1">
      <c r="A21" s="135">
        <v>18</v>
      </c>
      <c r="B21" s="136" t="s">
        <v>664</v>
      </c>
      <c r="C21" s="48" t="s">
        <v>613</v>
      </c>
      <c r="D21" s="5">
        <v>1</v>
      </c>
      <c r="E21" s="35">
        <v>2</v>
      </c>
      <c r="F21" s="50">
        <v>1</v>
      </c>
      <c r="G21" s="5">
        <v>115</v>
      </c>
      <c r="H21" s="194">
        <v>2</v>
      </c>
      <c r="I21" s="5">
        <v>5</v>
      </c>
      <c r="J21" s="46">
        <v>1212</v>
      </c>
      <c r="K21" s="46">
        <v>2212</v>
      </c>
      <c r="L21" s="27">
        <v>1000</v>
      </c>
      <c r="M21" s="27" t="s">
        <v>201</v>
      </c>
      <c r="N21" s="28" t="s">
        <v>422</v>
      </c>
      <c r="O21" s="154">
        <f>VLOOKUP(N21,攻击帧数!$E$8:$G$12,3,)</f>
        <v>42</v>
      </c>
      <c r="P21" s="161">
        <v>2</v>
      </c>
      <c r="Q21" s="192" t="s">
        <v>779</v>
      </c>
      <c r="R21" s="155">
        <f t="shared" si="6"/>
        <v>20</v>
      </c>
      <c r="S21" s="78">
        <f>1*30</f>
        <v>30</v>
      </c>
      <c r="T21" s="117">
        <f t="shared" ref="T21:T24" si="8">INT(U21*30)</f>
        <v>6</v>
      </c>
      <c r="U21" s="78">
        <v>0.2</v>
      </c>
      <c r="V21" s="42" t="s">
        <v>277</v>
      </c>
      <c r="W21" s="153" t="s">
        <v>429</v>
      </c>
      <c r="X21" s="154">
        <f>MAX(VLOOKUP(W21,攻击帧数!$E$2:$F$5,2,),INT(T21*1.3))</f>
        <v>210</v>
      </c>
      <c r="Y21" s="155">
        <v>350</v>
      </c>
      <c r="Z21" s="156"/>
      <c r="AA21" s="78">
        <f>2*30</f>
        <v>60</v>
      </c>
      <c r="AB21" s="161">
        <v>1000</v>
      </c>
      <c r="AC21" s="5">
        <v>3000</v>
      </c>
      <c r="AD21" s="161">
        <v>400</v>
      </c>
      <c r="AE21" s="164" t="s">
        <v>665</v>
      </c>
    </row>
    <row r="22" spans="1:32" ht="12.75" customHeight="1">
      <c r="A22" s="135">
        <v>19</v>
      </c>
      <c r="B22" s="136" t="s">
        <v>660</v>
      </c>
      <c r="C22" s="48" t="s">
        <v>614</v>
      </c>
      <c r="D22" s="5">
        <v>1</v>
      </c>
      <c r="E22" s="35">
        <v>0</v>
      </c>
      <c r="F22" s="32"/>
      <c r="G22" s="5">
        <v>65</v>
      </c>
      <c r="H22" s="194">
        <v>2</v>
      </c>
      <c r="I22" s="5">
        <v>5</v>
      </c>
      <c r="J22" s="46">
        <v>1209</v>
      </c>
      <c r="K22" s="46">
        <v>2209</v>
      </c>
      <c r="L22" s="27">
        <v>1000</v>
      </c>
      <c r="M22" s="27" t="s">
        <v>201</v>
      </c>
      <c r="N22" s="28" t="s">
        <v>422</v>
      </c>
      <c r="O22" s="154">
        <f>VLOOKUP(N22,攻击帧数!$E$8:$G$12,3,)</f>
        <v>42</v>
      </c>
      <c r="P22" s="161">
        <v>2</v>
      </c>
      <c r="Q22" s="192" t="s">
        <v>779</v>
      </c>
      <c r="R22" s="155">
        <f t="shared" si="6"/>
        <v>20</v>
      </c>
      <c r="S22" s="125">
        <v>0</v>
      </c>
      <c r="T22" s="117">
        <f t="shared" si="8"/>
        <v>30</v>
      </c>
      <c r="U22" s="77">
        <v>1</v>
      </c>
      <c r="V22" s="42" t="s">
        <v>277</v>
      </c>
      <c r="W22" s="153" t="s">
        <v>429</v>
      </c>
      <c r="X22" s="154">
        <f>MAX(VLOOKUP(W22,攻击帧数!$E$2:$F$5,2,),INT(T22*1.3))</f>
        <v>210</v>
      </c>
      <c r="Y22" s="155">
        <v>350</v>
      </c>
      <c r="Z22" s="156"/>
      <c r="AA22" s="78"/>
      <c r="AB22" s="78"/>
      <c r="AC22" s="5">
        <v>1500</v>
      </c>
      <c r="AD22" s="170">
        <v>269</v>
      </c>
      <c r="AE22" s="163" t="s">
        <v>661</v>
      </c>
      <c r="AF22" t="s">
        <v>234</v>
      </c>
    </row>
    <row r="23" spans="1:32" ht="12.75" customHeight="1">
      <c r="A23" s="135">
        <v>21</v>
      </c>
      <c r="B23" s="136" t="s">
        <v>662</v>
      </c>
      <c r="C23" s="48" t="s">
        <v>615</v>
      </c>
      <c r="D23" s="5">
        <v>1</v>
      </c>
      <c r="E23" s="35">
        <v>2</v>
      </c>
      <c r="F23" s="50">
        <v>1</v>
      </c>
      <c r="G23" s="5">
        <v>120</v>
      </c>
      <c r="H23" s="194">
        <v>2</v>
      </c>
      <c r="I23" s="5">
        <v>6</v>
      </c>
      <c r="J23" s="46">
        <v>1220</v>
      </c>
      <c r="K23" s="46">
        <v>2220</v>
      </c>
      <c r="L23" s="27">
        <v>1000</v>
      </c>
      <c r="M23" s="27" t="s">
        <v>201</v>
      </c>
      <c r="N23" s="28" t="s">
        <v>422</v>
      </c>
      <c r="O23" s="154">
        <f>VLOOKUP(N23,攻击帧数!$E$8:$G$12,3,)</f>
        <v>42</v>
      </c>
      <c r="P23" s="161">
        <v>2</v>
      </c>
      <c r="Q23" s="170" t="s">
        <v>712</v>
      </c>
      <c r="R23" s="155">
        <f t="shared" si="6"/>
        <v>27</v>
      </c>
      <c r="S23" s="125">
        <v>0</v>
      </c>
      <c r="T23" s="117">
        <f t="shared" si="8"/>
        <v>15</v>
      </c>
      <c r="U23" s="78">
        <v>0.5</v>
      </c>
      <c r="V23" s="42" t="s">
        <v>277</v>
      </c>
      <c r="W23" s="153" t="s">
        <v>429</v>
      </c>
      <c r="X23" s="154">
        <f>MAX(VLOOKUP(W23,攻击帧数!$E$2:$F$5,2,),INT(T23*1.3))</f>
        <v>210</v>
      </c>
      <c r="Y23" s="155">
        <v>350</v>
      </c>
      <c r="Z23" s="156"/>
      <c r="AA23" s="78">
        <f>3*30</f>
        <v>90</v>
      </c>
      <c r="AB23" s="78">
        <v>3000</v>
      </c>
      <c r="AC23" s="5">
        <v>1500</v>
      </c>
      <c r="AD23" s="170">
        <v>572</v>
      </c>
      <c r="AE23" s="164" t="s">
        <v>663</v>
      </c>
    </row>
    <row r="24" spans="1:32" ht="12.75" customHeight="1">
      <c r="A24" s="135">
        <v>25</v>
      </c>
      <c r="B24" s="136" t="s">
        <v>654</v>
      </c>
      <c r="C24" s="48" t="s">
        <v>398</v>
      </c>
      <c r="D24" s="5">
        <v>1</v>
      </c>
      <c r="E24" s="35">
        <v>5</v>
      </c>
      <c r="F24" s="50">
        <v>1</v>
      </c>
      <c r="G24" s="5">
        <v>205</v>
      </c>
      <c r="H24" s="196">
        <v>3</v>
      </c>
      <c r="I24" s="5">
        <v>3</v>
      </c>
      <c r="J24" s="46">
        <v>1223</v>
      </c>
      <c r="K24" s="46">
        <v>2223</v>
      </c>
      <c r="L24" s="27">
        <v>1000</v>
      </c>
      <c r="M24" s="27" t="s">
        <v>201</v>
      </c>
      <c r="N24" s="28" t="s">
        <v>422</v>
      </c>
      <c r="O24" s="154">
        <f>VLOOKUP(N24,攻击帧数!$E$8:$G$12,3,)</f>
        <v>42</v>
      </c>
      <c r="P24" s="161">
        <v>2</v>
      </c>
      <c r="Q24" s="192" t="s">
        <v>779</v>
      </c>
      <c r="R24" s="155">
        <f t="shared" si="6"/>
        <v>20</v>
      </c>
      <c r="S24" s="78">
        <f>1*30</f>
        <v>30</v>
      </c>
      <c r="T24" s="117">
        <f t="shared" si="8"/>
        <v>165</v>
      </c>
      <c r="U24" s="126">
        <f>V24-0.5</f>
        <v>5.5</v>
      </c>
      <c r="V24" s="42">
        <v>6</v>
      </c>
      <c r="W24" s="153" t="s">
        <v>429</v>
      </c>
      <c r="X24" s="154">
        <f>MAX(VLOOKUP(W24,攻击帧数!$E$2:$F$5,2,),INT(T24*1.3))</f>
        <v>214</v>
      </c>
      <c r="Y24" s="155">
        <v>700</v>
      </c>
      <c r="Z24" s="156"/>
      <c r="AA24" s="78"/>
      <c r="AB24" s="78"/>
      <c r="AC24" s="5">
        <v>1500</v>
      </c>
      <c r="AD24" s="154">
        <f>VLOOKUP(LEFT(K24,4),攻击帧数!$G$16:$H$51,2,)</f>
        <v>333</v>
      </c>
      <c r="AE24" s="163" t="s">
        <v>679</v>
      </c>
    </row>
    <row r="25" spans="1:32" ht="12.75" customHeight="1">
      <c r="A25" s="135">
        <v>10</v>
      </c>
      <c r="B25" s="137" t="s">
        <v>658</v>
      </c>
      <c r="C25" s="48" t="s">
        <v>611</v>
      </c>
      <c r="D25" s="5">
        <v>1</v>
      </c>
      <c r="E25" s="35">
        <v>4</v>
      </c>
      <c r="F25" s="32"/>
      <c r="G25" s="5">
        <v>165</v>
      </c>
      <c r="H25" s="195">
        <v>1</v>
      </c>
      <c r="I25" s="5">
        <v>4</v>
      </c>
      <c r="J25" s="46">
        <v>1208</v>
      </c>
      <c r="K25" s="46">
        <v>2208</v>
      </c>
      <c r="L25" s="27">
        <v>1000</v>
      </c>
      <c r="M25" s="27" t="s">
        <v>201</v>
      </c>
      <c r="N25" s="28" t="s">
        <v>426</v>
      </c>
      <c r="O25" s="154">
        <f>VLOOKUP(N25,攻击帧数!$E$8:$G$12,3,)</f>
        <v>84</v>
      </c>
      <c r="P25" s="161">
        <v>2</v>
      </c>
      <c r="Q25" s="192" t="s">
        <v>779</v>
      </c>
      <c r="R25" s="155">
        <f t="shared" si="6"/>
        <v>20</v>
      </c>
      <c r="S25" s="125">
        <v>0</v>
      </c>
      <c r="T25" s="117">
        <f t="shared" ref="T25:T29" si="9">INT(U25*30)</f>
        <v>9</v>
      </c>
      <c r="U25" s="78">
        <v>0.3</v>
      </c>
      <c r="V25" s="42" t="s">
        <v>277</v>
      </c>
      <c r="W25" s="153" t="s">
        <v>429</v>
      </c>
      <c r="X25" s="154">
        <f>MAX(VLOOKUP(W25,攻击帧数!$E$2:$F$5,2,),INT(T25*1.3))</f>
        <v>210</v>
      </c>
      <c r="Y25" s="155">
        <v>350</v>
      </c>
      <c r="Z25" s="156"/>
      <c r="AA25" s="78"/>
      <c r="AB25" s="78"/>
      <c r="AC25" s="5">
        <v>1500</v>
      </c>
      <c r="AD25" s="161">
        <v>385</v>
      </c>
      <c r="AE25" s="164" t="s">
        <v>659</v>
      </c>
    </row>
    <row r="26" spans="1:32" ht="16.5">
      <c r="A26" s="135">
        <v>30</v>
      </c>
      <c r="B26" s="136" t="s">
        <v>753</v>
      </c>
      <c r="C26" s="48" t="s">
        <v>684</v>
      </c>
      <c r="D26" s="5">
        <v>1</v>
      </c>
      <c r="E26" s="35">
        <v>1</v>
      </c>
      <c r="F26" s="50">
        <v>1</v>
      </c>
      <c r="G26" s="5">
        <v>245</v>
      </c>
      <c r="H26" s="196">
        <v>3</v>
      </c>
      <c r="I26" s="5">
        <v>3</v>
      </c>
      <c r="J26" s="46">
        <v>1202</v>
      </c>
      <c r="K26" s="46">
        <v>2202</v>
      </c>
      <c r="L26" s="27">
        <v>1000</v>
      </c>
      <c r="M26" s="27" t="s">
        <v>201</v>
      </c>
      <c r="N26" s="28" t="s">
        <v>422</v>
      </c>
      <c r="O26" s="154">
        <f>VLOOKUP(N26,攻击帧数!$E$8:$G$12,3,)</f>
        <v>42</v>
      </c>
      <c r="P26" s="161">
        <v>2</v>
      </c>
      <c r="Q26" s="192" t="s">
        <v>779</v>
      </c>
      <c r="R26" s="155">
        <f t="shared" si="6"/>
        <v>20</v>
      </c>
      <c r="S26" s="125">
        <v>0</v>
      </c>
      <c r="T26" s="117">
        <f t="shared" si="9"/>
        <v>270</v>
      </c>
      <c r="U26" s="126">
        <f>V26-0.5</f>
        <v>9</v>
      </c>
      <c r="V26" s="42">
        <v>9.5</v>
      </c>
      <c r="W26" s="153" t="s">
        <v>429</v>
      </c>
      <c r="X26" s="154">
        <f>MAX(VLOOKUP(W26,攻击帧数!$E$2:$F$5,2,),INT(T26*1.3))</f>
        <v>351</v>
      </c>
      <c r="Y26" s="155">
        <f>350*1.2</f>
        <v>420</v>
      </c>
      <c r="Z26" s="156"/>
      <c r="AA26" s="78"/>
      <c r="AB26" s="78"/>
      <c r="AC26" s="5">
        <v>3000</v>
      </c>
      <c r="AD26" s="154">
        <f>VLOOKUP(LEFT(K26,4),攻击帧数!$G$16:$H$51,2,)</f>
        <v>333</v>
      </c>
      <c r="AE26" t="s">
        <v>754</v>
      </c>
    </row>
    <row r="27" spans="1:32" ht="12.75" customHeight="1">
      <c r="A27" s="32">
        <v>6</v>
      </c>
      <c r="B27" s="45" t="s">
        <v>656</v>
      </c>
      <c r="C27" s="48" t="s">
        <v>610</v>
      </c>
      <c r="D27" s="5">
        <v>1</v>
      </c>
      <c r="E27" s="35">
        <v>0</v>
      </c>
      <c r="F27" s="32"/>
      <c r="G27" s="5">
        <v>75</v>
      </c>
      <c r="H27" s="195">
        <v>1</v>
      </c>
      <c r="I27" s="5">
        <v>3</v>
      </c>
      <c r="J27" s="46">
        <v>1205</v>
      </c>
      <c r="K27" s="46">
        <v>2205</v>
      </c>
      <c r="L27" s="27">
        <v>1000</v>
      </c>
      <c r="M27" s="27" t="s">
        <v>201</v>
      </c>
      <c r="N27" s="28" t="s">
        <v>422</v>
      </c>
      <c r="O27" s="154">
        <f>VLOOKUP(N27,攻击帧数!$E$8:$G$12,3,)</f>
        <v>42</v>
      </c>
      <c r="P27" s="161">
        <v>2</v>
      </c>
      <c r="Q27" s="192" t="s">
        <v>779</v>
      </c>
      <c r="R27" s="155">
        <f t="shared" ref="R27:R34" si="10">VLOOKUP(Q27,腰围,2,)</f>
        <v>20</v>
      </c>
      <c r="S27" s="125">
        <v>0</v>
      </c>
      <c r="T27" s="117">
        <f t="shared" si="9"/>
        <v>9</v>
      </c>
      <c r="U27" s="78">
        <v>0.3</v>
      </c>
      <c r="V27" s="42" t="s">
        <v>277</v>
      </c>
      <c r="W27" s="153" t="s">
        <v>429</v>
      </c>
      <c r="X27" s="154">
        <f>MAX(VLOOKUP(W27,攻击帧数!$E$2:$F$5,2,),INT(T27*1.3))</f>
        <v>210</v>
      </c>
      <c r="Y27" s="155">
        <v>350</v>
      </c>
      <c r="Z27" s="156"/>
      <c r="AA27" s="78"/>
      <c r="AB27" s="78"/>
      <c r="AC27" s="5">
        <v>1100</v>
      </c>
      <c r="AD27" s="155">
        <v>470</v>
      </c>
      <c r="AE27" s="164" t="s">
        <v>657</v>
      </c>
    </row>
    <row r="28" spans="1:32" ht="12.75" customHeight="1">
      <c r="A28" s="106">
        <v>31</v>
      </c>
      <c r="B28" s="100" t="s">
        <v>788</v>
      </c>
      <c r="C28" s="48" t="s">
        <v>769</v>
      </c>
      <c r="D28" s="5">
        <v>1</v>
      </c>
      <c r="E28" s="35">
        <v>2</v>
      </c>
      <c r="F28" s="32"/>
      <c r="G28" s="5">
        <v>100</v>
      </c>
      <c r="H28" s="76">
        <v>0</v>
      </c>
      <c r="I28" s="5">
        <v>2</v>
      </c>
      <c r="J28" s="46">
        <v>1236</v>
      </c>
      <c r="K28" s="46">
        <v>2236</v>
      </c>
      <c r="L28" s="27">
        <v>1000</v>
      </c>
      <c r="M28" s="27" t="s">
        <v>201</v>
      </c>
      <c r="N28" s="28" t="s">
        <v>426</v>
      </c>
      <c r="O28" s="154">
        <f>VLOOKUP(N28,攻击帧数!$E$8:$G$12,3,)</f>
        <v>84</v>
      </c>
      <c r="P28" s="161">
        <v>2</v>
      </c>
      <c r="Q28" s="161" t="s">
        <v>761</v>
      </c>
      <c r="R28" s="155">
        <f t="shared" si="10"/>
        <v>15</v>
      </c>
      <c r="S28" s="78">
        <f t="shared" ref="S28:S30" si="11">1.5*30</f>
        <v>45</v>
      </c>
      <c r="T28" s="117">
        <f t="shared" si="9"/>
        <v>60</v>
      </c>
      <c r="U28" s="78">
        <v>2</v>
      </c>
      <c r="V28" s="42">
        <v>2.5</v>
      </c>
      <c r="W28" s="153" t="s">
        <v>429</v>
      </c>
      <c r="X28" s="154">
        <f>MAX(VLOOKUP(W28,攻击帧数!$E$2:$F$5,2,),INT(T28*1.3))</f>
        <v>210</v>
      </c>
      <c r="Y28" s="155">
        <v>200</v>
      </c>
      <c r="Z28" s="156">
        <v>30</v>
      </c>
      <c r="AA28" s="77"/>
      <c r="AB28" s="4"/>
      <c r="AC28" s="5">
        <v>1000</v>
      </c>
      <c r="AD28" s="155">
        <v>50</v>
      </c>
      <c r="AE28" s="140" t="s">
        <v>829</v>
      </c>
    </row>
    <row r="29" spans="1:32" ht="12.75" customHeight="1">
      <c r="A29" s="106">
        <v>32</v>
      </c>
      <c r="B29" s="100" t="s">
        <v>783</v>
      </c>
      <c r="C29" s="48" t="s">
        <v>770</v>
      </c>
      <c r="D29" s="5">
        <v>1</v>
      </c>
      <c r="E29" s="35">
        <v>2</v>
      </c>
      <c r="F29" s="32"/>
      <c r="G29" s="5">
        <v>100</v>
      </c>
      <c r="H29" s="76">
        <v>0</v>
      </c>
      <c r="I29" s="5">
        <v>2</v>
      </c>
      <c r="J29" s="46">
        <v>1237</v>
      </c>
      <c r="K29" s="46">
        <v>2237</v>
      </c>
      <c r="L29" s="27">
        <v>1000</v>
      </c>
      <c r="M29" s="27" t="s">
        <v>201</v>
      </c>
      <c r="N29" s="28" t="s">
        <v>426</v>
      </c>
      <c r="O29" s="154">
        <f>VLOOKUP(N29,攻击帧数!$E$8:$G$12,3,)</f>
        <v>84</v>
      </c>
      <c r="P29" s="161">
        <v>2</v>
      </c>
      <c r="Q29" s="161" t="s">
        <v>761</v>
      </c>
      <c r="R29" s="155">
        <f t="shared" si="10"/>
        <v>15</v>
      </c>
      <c r="S29" s="78">
        <f t="shared" si="11"/>
        <v>45</v>
      </c>
      <c r="T29" s="117">
        <f t="shared" si="9"/>
        <v>60</v>
      </c>
      <c r="U29" s="78">
        <v>2</v>
      </c>
      <c r="V29" s="42">
        <v>2.5</v>
      </c>
      <c r="W29" s="153" t="s">
        <v>429</v>
      </c>
      <c r="X29" s="154">
        <f>MAX(VLOOKUP(W29,攻击帧数!$E$2:$F$5,2,),INT(T29*1.3))</f>
        <v>210</v>
      </c>
      <c r="Y29" s="155">
        <v>200</v>
      </c>
      <c r="Z29" s="156">
        <v>30</v>
      </c>
      <c r="AA29" s="77"/>
      <c r="AB29" s="4"/>
      <c r="AC29" s="5">
        <v>1000</v>
      </c>
      <c r="AD29" s="155">
        <v>50</v>
      </c>
      <c r="AE29" s="140" t="s">
        <v>830</v>
      </c>
    </row>
    <row r="30" spans="1:32" ht="12.75" customHeight="1">
      <c r="A30" s="106">
        <v>48</v>
      </c>
      <c r="B30" s="100" t="s">
        <v>781</v>
      </c>
      <c r="C30" s="48" t="s">
        <v>782</v>
      </c>
      <c r="D30" s="5">
        <v>1</v>
      </c>
      <c r="E30" s="35">
        <v>3</v>
      </c>
      <c r="F30" s="32"/>
      <c r="G30" s="5">
        <v>100</v>
      </c>
      <c r="H30" s="196">
        <v>3</v>
      </c>
      <c r="I30" s="5">
        <v>4</v>
      </c>
      <c r="J30" s="46">
        <v>1241</v>
      </c>
      <c r="K30" s="46">
        <v>2241</v>
      </c>
      <c r="L30" s="27">
        <v>1000</v>
      </c>
      <c r="M30" s="27" t="s">
        <v>201</v>
      </c>
      <c r="N30" s="28" t="s">
        <v>422</v>
      </c>
      <c r="O30" s="154">
        <f>VLOOKUP(N30,攻击帧数!$E$8:$G$12,3,)</f>
        <v>42</v>
      </c>
      <c r="P30" s="161">
        <v>2</v>
      </c>
      <c r="Q30" s="192" t="s">
        <v>779</v>
      </c>
      <c r="R30" s="155">
        <f t="shared" si="10"/>
        <v>20</v>
      </c>
      <c r="S30" s="78">
        <f t="shared" si="11"/>
        <v>45</v>
      </c>
      <c r="T30" s="34">
        <v>200</v>
      </c>
      <c r="U30" s="126">
        <f>V30-0.5</f>
        <v>8</v>
      </c>
      <c r="V30" s="42">
        <v>8.5</v>
      </c>
      <c r="W30" s="153" t="s">
        <v>429</v>
      </c>
      <c r="X30" s="156">
        <v>320</v>
      </c>
      <c r="Y30" s="155">
        <v>200</v>
      </c>
      <c r="Z30" s="156">
        <v>30</v>
      </c>
      <c r="AA30" s="77"/>
      <c r="AB30" s="4"/>
      <c r="AC30" s="5">
        <v>1000</v>
      </c>
      <c r="AD30" s="155">
        <v>50</v>
      </c>
      <c r="AE30" s="140" t="s">
        <v>780</v>
      </c>
    </row>
    <row r="31" spans="1:32" ht="12.75" customHeight="1">
      <c r="A31" s="135">
        <v>204</v>
      </c>
      <c r="B31" s="136" t="s">
        <v>787</v>
      </c>
      <c r="C31" s="48" t="s">
        <v>619</v>
      </c>
      <c r="D31" s="5">
        <v>1</v>
      </c>
      <c r="E31" s="35">
        <v>2</v>
      </c>
      <c r="F31" s="32"/>
      <c r="G31" s="5">
        <v>110</v>
      </c>
      <c r="H31" s="195">
        <v>1</v>
      </c>
      <c r="I31" s="5">
        <v>3</v>
      </c>
      <c r="J31" s="46">
        <v>1008</v>
      </c>
      <c r="K31" s="46">
        <v>2008</v>
      </c>
      <c r="L31" s="27">
        <v>1000</v>
      </c>
      <c r="M31" s="27" t="s">
        <v>202</v>
      </c>
      <c r="N31" s="27"/>
      <c r="O31" s="157" t="s">
        <v>411</v>
      </c>
      <c r="P31" s="161">
        <v>4</v>
      </c>
      <c r="Q31" s="170" t="s">
        <v>712</v>
      </c>
      <c r="R31" s="155">
        <f t="shared" si="10"/>
        <v>27</v>
      </c>
      <c r="S31" s="125">
        <v>0</v>
      </c>
      <c r="T31" s="118" t="s">
        <v>411</v>
      </c>
      <c r="U31" s="125">
        <v>0</v>
      </c>
      <c r="V31" s="125">
        <v>0</v>
      </c>
      <c r="W31" s="157"/>
      <c r="X31" s="156" t="s">
        <v>390</v>
      </c>
      <c r="Y31" s="158">
        <v>0</v>
      </c>
      <c r="Z31" s="155"/>
      <c r="AA31" s="78"/>
      <c r="AB31" s="78"/>
      <c r="AC31" s="5">
        <v>0</v>
      </c>
      <c r="AD31" s="155">
        <v>50</v>
      </c>
      <c r="AE31" s="140" t="s">
        <v>565</v>
      </c>
      <c r="AF31" t="s">
        <v>238</v>
      </c>
    </row>
    <row r="32" spans="1:32" ht="12.75" customHeight="1">
      <c r="A32" s="135">
        <v>207</v>
      </c>
      <c r="B32" s="136" t="s">
        <v>587</v>
      </c>
      <c r="C32" s="48" t="s">
        <v>88</v>
      </c>
      <c r="D32" s="5">
        <v>1</v>
      </c>
      <c r="E32" s="35">
        <v>1</v>
      </c>
      <c r="F32" s="32"/>
      <c r="G32" s="5">
        <v>25</v>
      </c>
      <c r="H32" s="195">
        <v>1</v>
      </c>
      <c r="I32" s="5">
        <v>5</v>
      </c>
      <c r="J32" s="46">
        <v>1007</v>
      </c>
      <c r="K32" s="46">
        <v>2007</v>
      </c>
      <c r="L32" s="27">
        <v>1000</v>
      </c>
      <c r="M32" s="27" t="s">
        <v>202</v>
      </c>
      <c r="N32" s="27"/>
      <c r="O32" s="157" t="s">
        <v>411</v>
      </c>
      <c r="P32" s="161">
        <v>4</v>
      </c>
      <c r="Q32" s="170" t="s">
        <v>712</v>
      </c>
      <c r="R32" s="155">
        <f t="shared" si="10"/>
        <v>27</v>
      </c>
      <c r="S32" s="125">
        <v>0</v>
      </c>
      <c r="T32" s="118" t="s">
        <v>411</v>
      </c>
      <c r="U32" s="125">
        <v>0</v>
      </c>
      <c r="V32" s="125">
        <v>0</v>
      </c>
      <c r="W32" s="157"/>
      <c r="X32" s="156" t="s">
        <v>390</v>
      </c>
      <c r="Y32" s="158">
        <v>0</v>
      </c>
      <c r="Z32" s="155"/>
      <c r="AA32" s="78"/>
      <c r="AB32" s="78"/>
      <c r="AC32" s="5">
        <v>0</v>
      </c>
      <c r="AD32" s="155">
        <v>50</v>
      </c>
      <c r="AE32" s="140" t="s">
        <v>564</v>
      </c>
      <c r="AF32" t="s">
        <v>239</v>
      </c>
    </row>
    <row r="33" spans="1:32" ht="12.75" customHeight="1">
      <c r="A33" s="135">
        <v>208</v>
      </c>
      <c r="B33" s="136" t="s">
        <v>755</v>
      </c>
      <c r="C33" s="48" t="s">
        <v>626</v>
      </c>
      <c r="D33" s="5">
        <v>1</v>
      </c>
      <c r="E33" s="35">
        <v>3</v>
      </c>
      <c r="F33" s="32"/>
      <c r="G33" s="5">
        <v>135</v>
      </c>
      <c r="H33" s="195">
        <v>1</v>
      </c>
      <c r="I33" s="5">
        <v>7</v>
      </c>
      <c r="J33" s="46">
        <v>1009</v>
      </c>
      <c r="K33" s="46">
        <v>2009</v>
      </c>
      <c r="L33" s="27">
        <v>1000</v>
      </c>
      <c r="M33" s="27" t="s">
        <v>202</v>
      </c>
      <c r="N33" s="27"/>
      <c r="O33" s="157" t="s">
        <v>411</v>
      </c>
      <c r="P33" s="161">
        <v>4</v>
      </c>
      <c r="Q33" s="170" t="s">
        <v>712</v>
      </c>
      <c r="R33" s="155">
        <f t="shared" si="10"/>
        <v>27</v>
      </c>
      <c r="S33" s="125">
        <v>0</v>
      </c>
      <c r="T33" s="118" t="s">
        <v>411</v>
      </c>
      <c r="U33" s="125">
        <v>0</v>
      </c>
      <c r="V33" s="125">
        <v>0</v>
      </c>
      <c r="W33" s="157"/>
      <c r="X33" s="156" t="s">
        <v>390</v>
      </c>
      <c r="Y33" s="158">
        <v>0</v>
      </c>
      <c r="Z33" s="155"/>
      <c r="AA33" s="78"/>
      <c r="AB33" s="78"/>
      <c r="AC33" s="5">
        <v>0</v>
      </c>
      <c r="AD33" s="155">
        <v>50</v>
      </c>
      <c r="AE33" s="140" t="s">
        <v>756</v>
      </c>
    </row>
    <row r="34" spans="1:32" ht="12.75" customHeight="1">
      <c r="A34" s="135">
        <v>201</v>
      </c>
      <c r="B34" s="136" t="s">
        <v>160</v>
      </c>
      <c r="C34" s="48" t="s">
        <v>640</v>
      </c>
      <c r="D34" s="5">
        <v>1</v>
      </c>
      <c r="E34" s="35">
        <v>3</v>
      </c>
      <c r="F34" s="32"/>
      <c r="G34" s="5">
        <v>130</v>
      </c>
      <c r="H34" s="76">
        <v>0</v>
      </c>
      <c r="I34" s="5">
        <v>3</v>
      </c>
      <c r="J34" s="46">
        <v>1004</v>
      </c>
      <c r="K34" s="46">
        <v>2004</v>
      </c>
      <c r="L34" s="27">
        <v>1000</v>
      </c>
      <c r="M34" s="27" t="s">
        <v>202</v>
      </c>
      <c r="N34" s="27"/>
      <c r="O34" s="157" t="s">
        <v>411</v>
      </c>
      <c r="P34" s="161">
        <v>4</v>
      </c>
      <c r="Q34" s="170" t="s">
        <v>712</v>
      </c>
      <c r="R34" s="155">
        <f t="shared" si="10"/>
        <v>27</v>
      </c>
      <c r="S34" s="125">
        <v>0</v>
      </c>
      <c r="T34" s="117">
        <f>INT(U34*30)</f>
        <v>165</v>
      </c>
      <c r="U34" s="126">
        <f>V34-0.5</f>
        <v>5.5</v>
      </c>
      <c r="V34" s="127">
        <v>6</v>
      </c>
      <c r="W34" s="159"/>
      <c r="X34" s="156" t="s">
        <v>390</v>
      </c>
      <c r="Y34" s="155">
        <v>5000</v>
      </c>
      <c r="Z34" s="155"/>
      <c r="AA34" s="78"/>
      <c r="AB34" s="78"/>
      <c r="AC34" s="5">
        <v>800</v>
      </c>
      <c r="AD34" s="154">
        <f>VLOOKUP(LEFT(K34,4),攻击帧数!$G$16:$H$51,2,)</f>
        <v>33</v>
      </c>
      <c r="AE34" s="140" t="s">
        <v>563</v>
      </c>
      <c r="AF34" t="s">
        <v>242</v>
      </c>
    </row>
    <row r="35" spans="1:32" ht="12.75" customHeight="1">
      <c r="A35" s="135">
        <v>202</v>
      </c>
      <c r="B35" s="136" t="s">
        <v>670</v>
      </c>
      <c r="C35" s="48" t="s">
        <v>648</v>
      </c>
      <c r="D35" s="5">
        <v>1</v>
      </c>
      <c r="E35" s="35">
        <v>4</v>
      </c>
      <c r="F35" s="32"/>
      <c r="G35" s="5">
        <v>160</v>
      </c>
      <c r="H35" s="76">
        <v>0</v>
      </c>
      <c r="I35" s="5">
        <v>4</v>
      </c>
      <c r="J35" s="46">
        <v>1003</v>
      </c>
      <c r="K35" s="46">
        <v>2003</v>
      </c>
      <c r="L35" s="27">
        <v>1000</v>
      </c>
      <c r="M35" s="27" t="s">
        <v>202</v>
      </c>
      <c r="N35" s="27"/>
      <c r="O35" s="157" t="s">
        <v>411</v>
      </c>
      <c r="P35" s="161">
        <v>2</v>
      </c>
      <c r="Q35" s="170" t="s">
        <v>712</v>
      </c>
      <c r="R35" s="155">
        <f t="shared" ref="R35:R40" si="12">VLOOKUP(Q35,腰围,2,)</f>
        <v>27</v>
      </c>
      <c r="S35" s="125">
        <v>0</v>
      </c>
      <c r="T35" s="117">
        <f t="shared" ref="T35:T36" si="13">INT(U35*30)</f>
        <v>165</v>
      </c>
      <c r="U35" s="126">
        <f>V35-0.5</f>
        <v>5.5</v>
      </c>
      <c r="V35" s="127">
        <v>6</v>
      </c>
      <c r="W35" s="159"/>
      <c r="X35" s="156" t="s">
        <v>390</v>
      </c>
      <c r="Y35" s="155">
        <v>1500</v>
      </c>
      <c r="Z35" s="155"/>
      <c r="AA35" s="78"/>
      <c r="AB35" s="78"/>
      <c r="AC35" s="5">
        <v>800</v>
      </c>
      <c r="AD35" s="161">
        <v>500</v>
      </c>
      <c r="AE35" s="164" t="s">
        <v>671</v>
      </c>
      <c r="AF35" t="s">
        <v>241</v>
      </c>
    </row>
    <row r="36" spans="1:32" ht="12.75" customHeight="1">
      <c r="A36" s="135">
        <v>203</v>
      </c>
      <c r="B36" s="136" t="s">
        <v>672</v>
      </c>
      <c r="C36" s="48" t="s">
        <v>589</v>
      </c>
      <c r="D36" s="5">
        <v>1</v>
      </c>
      <c r="E36" s="35">
        <v>6</v>
      </c>
      <c r="F36" s="32"/>
      <c r="G36" s="5">
        <v>210</v>
      </c>
      <c r="H36" s="76">
        <v>0</v>
      </c>
      <c r="I36" s="5">
        <v>4</v>
      </c>
      <c r="J36" s="46">
        <v>1005</v>
      </c>
      <c r="K36" s="46">
        <v>2005</v>
      </c>
      <c r="L36" s="27">
        <v>5000</v>
      </c>
      <c r="M36" s="27" t="s">
        <v>202</v>
      </c>
      <c r="N36" s="27"/>
      <c r="O36" s="157" t="s">
        <v>411</v>
      </c>
      <c r="P36" s="161">
        <v>4</v>
      </c>
      <c r="Q36" s="170" t="s">
        <v>712</v>
      </c>
      <c r="R36" s="155">
        <f t="shared" si="12"/>
        <v>27</v>
      </c>
      <c r="S36" s="78">
        <f>2*30</f>
        <v>60</v>
      </c>
      <c r="T36" s="117">
        <f t="shared" si="13"/>
        <v>330</v>
      </c>
      <c r="U36" s="126">
        <f>V36-0.5</f>
        <v>11</v>
      </c>
      <c r="V36" s="127">
        <v>11.5</v>
      </c>
      <c r="W36" s="159"/>
      <c r="X36" s="156" t="s">
        <v>390</v>
      </c>
      <c r="Y36" s="155">
        <v>350</v>
      </c>
      <c r="Z36" s="155"/>
      <c r="AA36" s="78"/>
      <c r="AB36" s="78"/>
      <c r="AC36" s="5">
        <v>5000</v>
      </c>
      <c r="AD36" s="154">
        <f>VLOOKUP(LEFT(K36,4),攻击帧数!$G$16:$H$51,2,)</f>
        <v>100</v>
      </c>
      <c r="AE36" s="164" t="s">
        <v>673</v>
      </c>
    </row>
    <row r="37" spans="1:32" ht="12.75" customHeight="1">
      <c r="A37" s="135">
        <v>205</v>
      </c>
      <c r="B37" s="136" t="s">
        <v>668</v>
      </c>
      <c r="C37" s="48" t="s">
        <v>590</v>
      </c>
      <c r="D37" s="5">
        <v>1</v>
      </c>
      <c r="E37" s="35">
        <v>4</v>
      </c>
      <c r="F37" s="32"/>
      <c r="G37" s="5">
        <v>170</v>
      </c>
      <c r="H37" s="195">
        <v>1</v>
      </c>
      <c r="I37" s="5">
        <v>5</v>
      </c>
      <c r="J37" s="46">
        <v>1002</v>
      </c>
      <c r="K37" s="46">
        <v>2002</v>
      </c>
      <c r="L37" s="27">
        <v>1000</v>
      </c>
      <c r="M37" s="27" t="s">
        <v>202</v>
      </c>
      <c r="N37" s="27"/>
      <c r="O37" s="157" t="s">
        <v>411</v>
      </c>
      <c r="P37" s="161">
        <v>4</v>
      </c>
      <c r="Q37" s="170" t="s">
        <v>712</v>
      </c>
      <c r="R37" s="155">
        <f t="shared" si="12"/>
        <v>27</v>
      </c>
      <c r="S37" s="125">
        <v>0</v>
      </c>
      <c r="T37" s="117">
        <f t="shared" ref="T37" si="14">INT(U37*30)</f>
        <v>180</v>
      </c>
      <c r="U37" s="126">
        <f>V37-0.5</f>
        <v>6</v>
      </c>
      <c r="V37" s="127">
        <v>6.5</v>
      </c>
      <c r="W37" s="159"/>
      <c r="X37" s="156" t="s">
        <v>390</v>
      </c>
      <c r="Y37" s="155">
        <v>1500</v>
      </c>
      <c r="Z37" s="155"/>
      <c r="AA37" s="78"/>
      <c r="AB37" s="78"/>
      <c r="AC37" s="5">
        <v>400</v>
      </c>
      <c r="AD37" s="154">
        <f>VLOOKUP(LEFT(K37,4),攻击帧数!$G$16:$H$51,2,)</f>
        <v>100</v>
      </c>
      <c r="AE37" s="164" t="s">
        <v>669</v>
      </c>
      <c r="AF37" t="s">
        <v>240</v>
      </c>
    </row>
    <row r="38" spans="1:32" ht="12.75" customHeight="1">
      <c r="A38" s="135">
        <v>206</v>
      </c>
      <c r="B38" s="136" t="s">
        <v>675</v>
      </c>
      <c r="C38" s="48" t="s">
        <v>649</v>
      </c>
      <c r="D38" s="5">
        <v>1</v>
      </c>
      <c r="E38" s="35">
        <v>6</v>
      </c>
      <c r="F38" s="32"/>
      <c r="G38" s="5">
        <v>215</v>
      </c>
      <c r="H38" s="195">
        <v>1</v>
      </c>
      <c r="I38" s="5">
        <v>5</v>
      </c>
      <c r="J38" s="46">
        <v>1010</v>
      </c>
      <c r="K38" s="46">
        <v>2010</v>
      </c>
      <c r="L38" s="27">
        <v>1000</v>
      </c>
      <c r="M38" s="27" t="s">
        <v>202</v>
      </c>
      <c r="N38" s="27"/>
      <c r="O38" s="157" t="s">
        <v>411</v>
      </c>
      <c r="P38" s="161">
        <v>4</v>
      </c>
      <c r="Q38" s="170" t="s">
        <v>712</v>
      </c>
      <c r="R38" s="155">
        <f t="shared" si="12"/>
        <v>27</v>
      </c>
      <c r="S38" s="125">
        <v>0</v>
      </c>
      <c r="T38" s="118" t="s">
        <v>411</v>
      </c>
      <c r="U38" s="125">
        <v>0</v>
      </c>
      <c r="V38" s="125">
        <v>0</v>
      </c>
      <c r="W38" s="157"/>
      <c r="X38" s="156" t="s">
        <v>390</v>
      </c>
      <c r="Y38" s="158">
        <v>0</v>
      </c>
      <c r="Z38" s="155"/>
      <c r="AA38" s="78"/>
      <c r="AB38" s="78"/>
      <c r="AC38" s="5">
        <v>0</v>
      </c>
      <c r="AD38" s="155">
        <v>50</v>
      </c>
      <c r="AE38" s="164" t="s">
        <v>676</v>
      </c>
    </row>
    <row r="39" spans="1:32" ht="12.75" customHeight="1">
      <c r="A39" s="135">
        <v>209</v>
      </c>
      <c r="B39" s="136" t="s">
        <v>837</v>
      </c>
      <c r="C39" s="48" t="s">
        <v>650</v>
      </c>
      <c r="D39" s="5">
        <v>1</v>
      </c>
      <c r="E39" s="35">
        <v>2</v>
      </c>
      <c r="F39" s="32"/>
      <c r="G39" s="5">
        <v>105</v>
      </c>
      <c r="H39" s="195">
        <v>1</v>
      </c>
      <c r="I39" s="5">
        <v>5</v>
      </c>
      <c r="J39" s="46">
        <v>1006</v>
      </c>
      <c r="K39" s="46">
        <v>2006</v>
      </c>
      <c r="L39" s="27">
        <v>1000</v>
      </c>
      <c r="M39" s="27" t="s">
        <v>202</v>
      </c>
      <c r="N39" s="27"/>
      <c r="O39" s="157" t="s">
        <v>411</v>
      </c>
      <c r="P39" s="161">
        <v>4</v>
      </c>
      <c r="Q39" s="170" t="s">
        <v>712</v>
      </c>
      <c r="R39" s="155">
        <f t="shared" si="12"/>
        <v>27</v>
      </c>
      <c r="S39" s="78">
        <f>1.5*30</f>
        <v>45</v>
      </c>
      <c r="T39" s="117">
        <f t="shared" ref="T39:T40" si="15">INT(U39*30)</f>
        <v>180</v>
      </c>
      <c r="U39" s="126">
        <f>V39-0.5</f>
        <v>6</v>
      </c>
      <c r="V39" s="127">
        <v>6.5</v>
      </c>
      <c r="W39" s="159"/>
      <c r="X39" s="156" t="s">
        <v>390</v>
      </c>
      <c r="Y39" s="158">
        <f>Y7</f>
        <v>250</v>
      </c>
      <c r="Z39" s="155"/>
      <c r="AA39" s="78"/>
      <c r="AB39" s="78"/>
      <c r="AC39" s="5">
        <v>1600</v>
      </c>
      <c r="AD39" s="154">
        <f>VLOOKUP(LEFT(K39,4),攻击帧数!$G$16:$H$51,2,)</f>
        <v>166</v>
      </c>
      <c r="AE39" s="164" t="s">
        <v>674</v>
      </c>
    </row>
    <row r="40" spans="1:32" ht="12.75" customHeight="1">
      <c r="A40" s="135">
        <v>210</v>
      </c>
      <c r="B40" s="136" t="s">
        <v>666</v>
      </c>
      <c r="C40" s="48" t="s">
        <v>591</v>
      </c>
      <c r="D40" s="5">
        <v>1</v>
      </c>
      <c r="E40" s="35">
        <v>3</v>
      </c>
      <c r="F40" s="50">
        <v>1</v>
      </c>
      <c r="G40" s="5">
        <v>145</v>
      </c>
      <c r="H40" s="194">
        <v>2</v>
      </c>
      <c r="I40" s="5">
        <v>6</v>
      </c>
      <c r="J40" s="46">
        <v>1001</v>
      </c>
      <c r="K40" s="46">
        <v>2001</v>
      </c>
      <c r="L40" s="27">
        <v>5000</v>
      </c>
      <c r="M40" s="27" t="s">
        <v>202</v>
      </c>
      <c r="N40" s="27"/>
      <c r="O40" s="157" t="s">
        <v>411</v>
      </c>
      <c r="P40" s="161">
        <v>4</v>
      </c>
      <c r="Q40" s="170" t="s">
        <v>712</v>
      </c>
      <c r="R40" s="155">
        <f t="shared" si="12"/>
        <v>27</v>
      </c>
      <c r="S40" s="125">
        <v>0</v>
      </c>
      <c r="T40" s="117">
        <f t="shared" si="15"/>
        <v>330</v>
      </c>
      <c r="U40" s="126">
        <f>V40-0.5</f>
        <v>11</v>
      </c>
      <c r="V40" s="127">
        <v>11.5</v>
      </c>
      <c r="W40" s="159"/>
      <c r="X40" s="156" t="s">
        <v>390</v>
      </c>
      <c r="Y40" s="155">
        <v>1500</v>
      </c>
      <c r="Z40" s="155"/>
      <c r="AA40" s="78"/>
      <c r="AB40" s="78"/>
      <c r="AC40" s="5">
        <v>300</v>
      </c>
      <c r="AD40" s="154">
        <f>VLOOKUP(LEFT(K40,4),攻击帧数!$G$16:$H$51,2,)</f>
        <v>100</v>
      </c>
      <c r="AE40" s="164" t="s">
        <v>667</v>
      </c>
    </row>
    <row r="41" spans="1:32" ht="12.75" customHeight="1">
      <c r="A41" s="135">
        <v>101</v>
      </c>
      <c r="B41" s="136" t="s">
        <v>447</v>
      </c>
      <c r="C41" s="48" t="s">
        <v>634</v>
      </c>
      <c r="D41" s="5">
        <v>1</v>
      </c>
      <c r="E41" s="35">
        <v>0</v>
      </c>
      <c r="F41" s="32"/>
      <c r="G41" s="5">
        <v>80</v>
      </c>
      <c r="H41" s="76">
        <v>0</v>
      </c>
      <c r="I41" s="5">
        <v>3</v>
      </c>
      <c r="J41" s="46">
        <v>1401</v>
      </c>
      <c r="K41" s="99">
        <v>2207</v>
      </c>
      <c r="L41" s="27"/>
      <c r="M41" s="27" t="s">
        <v>203</v>
      </c>
      <c r="N41" s="28"/>
      <c r="O41" s="155"/>
      <c r="P41" s="161"/>
      <c r="Q41" s="161"/>
      <c r="R41" s="155"/>
      <c r="S41" s="78"/>
      <c r="T41" s="78"/>
      <c r="U41" s="78"/>
      <c r="V41" s="122"/>
      <c r="W41" s="159"/>
      <c r="X41" s="160"/>
      <c r="Y41" s="155"/>
      <c r="Z41" s="155"/>
      <c r="AA41" s="78"/>
      <c r="AB41" s="78"/>
      <c r="AC41" s="78"/>
      <c r="AD41" s="155"/>
      <c r="AE41" s="140" t="s">
        <v>566</v>
      </c>
    </row>
    <row r="42" spans="1:32" ht="12.75" customHeight="1">
      <c r="A42" s="135">
        <v>102</v>
      </c>
      <c r="B42" s="136" t="s">
        <v>448</v>
      </c>
      <c r="C42" s="48" t="s">
        <v>635</v>
      </c>
      <c r="D42" s="5">
        <v>1</v>
      </c>
      <c r="E42" s="35">
        <v>5</v>
      </c>
      <c r="F42" s="32"/>
      <c r="G42" s="5">
        <v>185</v>
      </c>
      <c r="H42" s="76">
        <v>0</v>
      </c>
      <c r="I42" s="5">
        <v>2</v>
      </c>
      <c r="J42" s="46">
        <v>1406</v>
      </c>
      <c r="K42" s="99">
        <v>2207</v>
      </c>
      <c r="L42" s="27"/>
      <c r="M42" s="27" t="s">
        <v>203</v>
      </c>
      <c r="N42" s="28"/>
      <c r="O42" s="155"/>
      <c r="P42" s="161"/>
      <c r="Q42" s="161"/>
      <c r="R42" s="155"/>
      <c r="S42" s="78"/>
      <c r="T42" s="78"/>
      <c r="U42" s="78"/>
      <c r="V42" s="122"/>
      <c r="W42" s="159"/>
      <c r="X42" s="160"/>
      <c r="Y42" s="155"/>
      <c r="Z42" s="155"/>
      <c r="AA42" s="78"/>
      <c r="AB42" s="78"/>
      <c r="AC42" s="78"/>
      <c r="AD42" s="155"/>
      <c r="AE42" s="140" t="s">
        <v>568</v>
      </c>
      <c r="AF42" t="s">
        <v>248</v>
      </c>
    </row>
    <row r="43" spans="1:32" ht="12.75" customHeight="1">
      <c r="A43" s="135">
        <v>111</v>
      </c>
      <c r="B43" s="136" t="s">
        <v>811</v>
      </c>
      <c r="C43" s="48" t="s">
        <v>812</v>
      </c>
      <c r="D43" s="5">
        <v>1</v>
      </c>
      <c r="E43" s="35">
        <v>4</v>
      </c>
      <c r="F43" s="50">
        <v>1</v>
      </c>
      <c r="G43" s="5">
        <v>180</v>
      </c>
      <c r="H43" s="195">
        <v>1</v>
      </c>
      <c r="I43" s="5">
        <v>4</v>
      </c>
      <c r="J43" s="46">
        <v>1404</v>
      </c>
      <c r="K43" s="99">
        <v>2207</v>
      </c>
      <c r="L43" s="27"/>
      <c r="M43" s="27" t="s">
        <v>203</v>
      </c>
      <c r="N43" s="28"/>
      <c r="O43" s="155"/>
      <c r="P43" s="161"/>
      <c r="Q43" s="161"/>
      <c r="R43" s="155"/>
      <c r="S43" s="78"/>
      <c r="T43" s="78"/>
      <c r="U43" s="78"/>
      <c r="V43" s="122"/>
      <c r="W43" s="159"/>
      <c r="X43" s="160"/>
      <c r="Y43" s="155"/>
      <c r="Z43" s="155"/>
      <c r="AA43" s="78"/>
      <c r="AB43" s="78"/>
      <c r="AC43" s="78"/>
      <c r="AD43" s="155"/>
      <c r="AE43" s="140" t="s">
        <v>813</v>
      </c>
    </row>
    <row r="44" spans="1:32" ht="12.75" customHeight="1">
      <c r="A44" s="135">
        <v>106</v>
      </c>
      <c r="B44" s="136" t="s">
        <v>450</v>
      </c>
      <c r="C44" s="48" t="s">
        <v>636</v>
      </c>
      <c r="D44" s="5">
        <v>1</v>
      </c>
      <c r="E44" s="35">
        <v>4</v>
      </c>
      <c r="F44" s="50">
        <v>1</v>
      </c>
      <c r="G44" s="5">
        <v>180</v>
      </c>
      <c r="H44" s="194">
        <v>2</v>
      </c>
      <c r="I44" s="5">
        <v>4</v>
      </c>
      <c r="J44" s="46">
        <v>1404</v>
      </c>
      <c r="K44" s="99">
        <v>2207</v>
      </c>
      <c r="L44" s="27"/>
      <c r="M44" s="27" t="s">
        <v>203</v>
      </c>
      <c r="N44" s="28"/>
      <c r="O44" s="155"/>
      <c r="P44" s="161"/>
      <c r="Q44" s="161"/>
      <c r="R44" s="155"/>
      <c r="S44" s="78"/>
      <c r="T44" s="78"/>
      <c r="U44" s="78"/>
      <c r="V44" s="122"/>
      <c r="W44" s="159"/>
      <c r="X44" s="160"/>
      <c r="Y44" s="155"/>
      <c r="Z44" s="155"/>
      <c r="AA44" s="78"/>
      <c r="AB44" s="78"/>
      <c r="AC44" s="78"/>
      <c r="AD44" s="155"/>
      <c r="AE44" s="140" t="s">
        <v>569</v>
      </c>
      <c r="AF44" t="s">
        <v>246</v>
      </c>
    </row>
    <row r="45" spans="1:32" ht="12.75" customHeight="1">
      <c r="A45" s="135">
        <v>107</v>
      </c>
      <c r="B45" s="136" t="s">
        <v>451</v>
      </c>
      <c r="C45" s="48" t="s">
        <v>637</v>
      </c>
      <c r="D45" s="5">
        <v>1</v>
      </c>
      <c r="E45" s="35">
        <v>5</v>
      </c>
      <c r="F45" s="50">
        <v>1</v>
      </c>
      <c r="G45" s="5">
        <v>200</v>
      </c>
      <c r="H45" s="194">
        <v>2</v>
      </c>
      <c r="I45" s="50">
        <v>998</v>
      </c>
      <c r="J45" s="46">
        <v>1405</v>
      </c>
      <c r="K45" s="99">
        <v>2207</v>
      </c>
      <c r="L45" s="59"/>
      <c r="M45" s="27" t="s">
        <v>203</v>
      </c>
      <c r="N45" s="28"/>
      <c r="O45" s="155"/>
      <c r="P45" s="161"/>
      <c r="Q45" s="161"/>
      <c r="R45" s="155"/>
      <c r="S45" s="78"/>
      <c r="T45" s="78"/>
      <c r="U45" s="78"/>
      <c r="V45" s="122"/>
      <c r="W45" s="159"/>
      <c r="X45" s="160"/>
      <c r="Y45" s="155"/>
      <c r="Z45" s="155"/>
      <c r="AA45" s="78"/>
      <c r="AB45" s="78"/>
      <c r="AC45" s="78"/>
      <c r="AD45" s="155"/>
      <c r="AE45" s="140" t="s">
        <v>570</v>
      </c>
      <c r="AF45" t="s">
        <v>245</v>
      </c>
    </row>
    <row r="46" spans="1:32" ht="12.75" customHeight="1">
      <c r="A46" s="135">
        <v>108</v>
      </c>
      <c r="B46" s="136" t="s">
        <v>452</v>
      </c>
      <c r="C46" s="48" t="s">
        <v>638</v>
      </c>
      <c r="D46" s="5">
        <v>1</v>
      </c>
      <c r="E46" s="35">
        <v>3</v>
      </c>
      <c r="F46" s="50">
        <v>1</v>
      </c>
      <c r="G46" s="5">
        <v>150</v>
      </c>
      <c r="H46" s="194">
        <v>2</v>
      </c>
      <c r="I46" s="5">
        <v>3</v>
      </c>
      <c r="J46" s="46">
        <v>1407</v>
      </c>
      <c r="K46" s="99">
        <v>2207</v>
      </c>
      <c r="L46" s="27"/>
      <c r="M46" s="27" t="s">
        <v>203</v>
      </c>
      <c r="N46" s="28"/>
      <c r="O46" s="155"/>
      <c r="P46" s="161"/>
      <c r="Q46" s="161"/>
      <c r="R46" s="155"/>
      <c r="S46" s="78"/>
      <c r="T46" s="78"/>
      <c r="U46" s="78"/>
      <c r="V46" s="122"/>
      <c r="W46" s="159"/>
      <c r="X46" s="160"/>
      <c r="Y46" s="155"/>
      <c r="Z46" s="155"/>
      <c r="AA46" s="78"/>
      <c r="AB46" s="78"/>
      <c r="AC46" s="78"/>
      <c r="AD46" s="155"/>
      <c r="AE46" s="140" t="s">
        <v>571</v>
      </c>
      <c r="AF46" t="s">
        <v>244</v>
      </c>
    </row>
    <row r="47" spans="1:32" ht="12.75" customHeight="1">
      <c r="A47" s="135">
        <v>109</v>
      </c>
      <c r="B47" s="136" t="s">
        <v>449</v>
      </c>
      <c r="C47" s="48" t="s">
        <v>639</v>
      </c>
      <c r="D47" s="5">
        <v>1</v>
      </c>
      <c r="E47" s="35">
        <v>1</v>
      </c>
      <c r="F47" s="50">
        <v>1</v>
      </c>
      <c r="G47" s="5">
        <v>70</v>
      </c>
      <c r="H47" s="194">
        <v>2</v>
      </c>
      <c r="I47" s="5">
        <v>6</v>
      </c>
      <c r="J47" s="46">
        <v>1403</v>
      </c>
      <c r="K47" s="99">
        <v>2207</v>
      </c>
      <c r="L47" s="27"/>
      <c r="M47" s="27" t="s">
        <v>203</v>
      </c>
      <c r="N47" s="28"/>
      <c r="O47" s="155"/>
      <c r="P47" s="161"/>
      <c r="Q47" s="161"/>
      <c r="R47" s="155"/>
      <c r="S47" s="78"/>
      <c r="T47" s="78"/>
      <c r="U47" s="78"/>
      <c r="V47" s="122"/>
      <c r="W47" s="159"/>
      <c r="X47" s="160"/>
      <c r="Y47" s="155"/>
      <c r="Z47" s="155"/>
      <c r="AA47" s="78"/>
      <c r="AB47" s="78"/>
      <c r="AC47" s="78"/>
      <c r="AD47" s="155"/>
      <c r="AE47" s="140" t="s">
        <v>567</v>
      </c>
      <c r="AF47" t="s">
        <v>243</v>
      </c>
    </row>
    <row r="48" spans="1:32" ht="16.5">
      <c r="A48" s="135">
        <v>110</v>
      </c>
      <c r="B48" s="136" t="s">
        <v>677</v>
      </c>
      <c r="C48" s="48" t="s">
        <v>647</v>
      </c>
      <c r="D48" s="5">
        <v>1</v>
      </c>
      <c r="E48" s="35">
        <v>5</v>
      </c>
      <c r="F48" s="32"/>
      <c r="G48" s="5">
        <v>195</v>
      </c>
      <c r="H48" s="194">
        <v>2</v>
      </c>
      <c r="I48" s="5">
        <v>4</v>
      </c>
      <c r="J48" s="46">
        <v>1412</v>
      </c>
      <c r="K48" s="99">
        <v>2207</v>
      </c>
      <c r="L48" s="27"/>
      <c r="M48" s="27" t="s">
        <v>203</v>
      </c>
      <c r="N48" s="28"/>
      <c r="O48" s="155"/>
      <c r="P48" s="161"/>
      <c r="Q48" s="161"/>
      <c r="R48" s="155"/>
      <c r="S48" s="78"/>
      <c r="T48" s="78"/>
      <c r="U48" s="78"/>
      <c r="V48" s="122"/>
      <c r="W48" s="159"/>
      <c r="X48" s="160"/>
      <c r="Y48" s="155"/>
      <c r="Z48" s="155"/>
      <c r="AA48" s="78"/>
      <c r="AB48" s="78"/>
      <c r="AC48" s="78"/>
      <c r="AD48" s="155"/>
      <c r="AE48" s="164" t="s">
        <v>678</v>
      </c>
    </row>
    <row r="49" spans="1:32" ht="12.75" customHeight="1">
      <c r="A49" s="135">
        <v>103</v>
      </c>
      <c r="B49" s="137" t="s">
        <v>784</v>
      </c>
      <c r="C49" s="48" t="s">
        <v>644</v>
      </c>
      <c r="D49" s="5">
        <v>1</v>
      </c>
      <c r="E49" s="35">
        <v>0</v>
      </c>
      <c r="F49" s="32"/>
      <c r="G49" s="5">
        <v>90</v>
      </c>
      <c r="H49" s="195">
        <v>1</v>
      </c>
      <c r="I49" s="5">
        <v>4</v>
      </c>
      <c r="J49" s="46">
        <v>1402</v>
      </c>
      <c r="K49" s="99">
        <v>2207</v>
      </c>
      <c r="L49" s="27"/>
      <c r="M49" s="27" t="s">
        <v>203</v>
      </c>
      <c r="N49" s="28"/>
      <c r="O49" s="155"/>
      <c r="P49" s="161"/>
      <c r="Q49" s="161"/>
      <c r="R49" s="155"/>
      <c r="S49" s="78"/>
      <c r="T49" s="78"/>
      <c r="U49" s="78"/>
      <c r="V49" s="122"/>
      <c r="W49" s="159"/>
      <c r="X49" s="160"/>
      <c r="Y49" s="155"/>
      <c r="Z49" s="155"/>
      <c r="AA49" s="78"/>
      <c r="AB49" s="78"/>
      <c r="AC49" s="78"/>
      <c r="AD49" s="155"/>
      <c r="AE49" s="54" t="s">
        <v>181</v>
      </c>
    </row>
    <row r="50" spans="1:32" ht="12.75" customHeight="1">
      <c r="A50" s="135">
        <v>105</v>
      </c>
      <c r="B50" s="136" t="s">
        <v>691</v>
      </c>
      <c r="C50" s="48" t="s">
        <v>693</v>
      </c>
      <c r="D50" s="5">
        <v>1</v>
      </c>
      <c r="E50" s="35">
        <v>7</v>
      </c>
      <c r="F50" s="50">
        <v>1</v>
      </c>
      <c r="G50" s="5">
        <v>30</v>
      </c>
      <c r="H50" s="196">
        <v>3</v>
      </c>
      <c r="I50" s="5">
        <v>3</v>
      </c>
      <c r="J50" s="46">
        <v>1239</v>
      </c>
      <c r="K50" s="99">
        <v>2207</v>
      </c>
      <c r="L50" s="27">
        <v>700</v>
      </c>
      <c r="M50" s="27" t="s">
        <v>203</v>
      </c>
      <c r="N50" s="28"/>
      <c r="O50" s="155"/>
      <c r="P50" s="161"/>
      <c r="Q50" s="161"/>
      <c r="R50" s="155"/>
      <c r="S50" s="78"/>
      <c r="T50" s="78"/>
      <c r="U50" s="78"/>
      <c r="V50" s="122"/>
      <c r="W50" s="159"/>
      <c r="X50" s="160"/>
      <c r="Y50" s="155"/>
      <c r="Z50" s="155"/>
      <c r="AA50" s="78"/>
      <c r="AB50" s="78"/>
      <c r="AC50" s="78"/>
      <c r="AD50" s="155"/>
      <c r="AE50" s="54" t="s">
        <v>695</v>
      </c>
    </row>
    <row r="51" spans="1:32" ht="12.75" customHeight="1">
      <c r="A51" s="135">
        <v>33</v>
      </c>
      <c r="B51" s="137" t="s">
        <v>694</v>
      </c>
      <c r="C51" s="48" t="s">
        <v>692</v>
      </c>
      <c r="D51" s="49">
        <v>0</v>
      </c>
      <c r="E51" s="35">
        <v>1</v>
      </c>
      <c r="F51" s="32"/>
      <c r="G51" s="5">
        <v>5</v>
      </c>
      <c r="H51" s="76">
        <v>0</v>
      </c>
      <c r="I51" s="5">
        <v>2</v>
      </c>
      <c r="J51" s="46">
        <v>1239</v>
      </c>
      <c r="K51" s="46">
        <v>2239</v>
      </c>
      <c r="L51" s="27">
        <v>1000</v>
      </c>
      <c r="M51" s="27" t="s">
        <v>201</v>
      </c>
      <c r="N51" s="28" t="s">
        <v>424</v>
      </c>
      <c r="O51" s="154">
        <f>VLOOKUP(N51,攻击帧数!$E$8:$G$12,3,)</f>
        <v>63</v>
      </c>
      <c r="P51" s="161">
        <v>2</v>
      </c>
      <c r="Q51" s="192" t="s">
        <v>779</v>
      </c>
      <c r="R51" s="155">
        <f>VLOOKUP(Q51,腰围,2,)</f>
        <v>20</v>
      </c>
      <c r="S51" s="125">
        <v>0</v>
      </c>
      <c r="T51" s="117">
        <f>INT(U51*30)</f>
        <v>9</v>
      </c>
      <c r="U51" s="78">
        <v>0.3</v>
      </c>
      <c r="V51" s="42" t="s">
        <v>277</v>
      </c>
      <c r="W51" s="153" t="s">
        <v>429</v>
      </c>
      <c r="X51" s="154">
        <f>MAX(VLOOKUP(W51,攻击帧数!$E$2:$F$5,2,),INT(T51*1.3))</f>
        <v>210</v>
      </c>
      <c r="Y51" s="155">
        <v>450</v>
      </c>
      <c r="Z51" s="156">
        <v>30</v>
      </c>
      <c r="AA51" s="78"/>
      <c r="AB51" s="78"/>
      <c r="AC51" s="5">
        <v>1200</v>
      </c>
      <c r="AD51" s="155">
        <v>80</v>
      </c>
      <c r="AE51" s="140" t="s">
        <v>558</v>
      </c>
    </row>
    <row r="52" spans="1:32" ht="12.75" customHeight="1">
      <c r="A52" s="173">
        <v>301</v>
      </c>
      <c r="B52" s="174" t="s">
        <v>745</v>
      </c>
      <c r="C52" s="48" t="s">
        <v>706</v>
      </c>
      <c r="D52" s="5">
        <v>1</v>
      </c>
      <c r="E52" s="35">
        <v>0</v>
      </c>
      <c r="F52" s="32"/>
      <c r="G52" s="5">
        <v>1</v>
      </c>
      <c r="H52" s="76">
        <v>0</v>
      </c>
      <c r="I52" s="5">
        <v>0</v>
      </c>
      <c r="J52" s="46">
        <v>1601</v>
      </c>
      <c r="K52" s="99">
        <v>2239</v>
      </c>
      <c r="L52" s="27">
        <v>0</v>
      </c>
      <c r="M52" s="27" t="s">
        <v>710</v>
      </c>
      <c r="N52" s="28"/>
      <c r="O52" s="154"/>
      <c r="P52" s="161"/>
      <c r="Q52" t="s">
        <v>764</v>
      </c>
      <c r="R52" s="155">
        <f t="shared" ref="R52:R55" si="16">VLOOKUP(Q52,腰围,2,)</f>
        <v>55</v>
      </c>
      <c r="S52" s="125"/>
      <c r="T52" s="117">
        <f t="shared" ref="T52:T53" si="17">INT(U52*30)</f>
        <v>199</v>
      </c>
      <c r="U52" s="184">
        <f>V52-0.35</f>
        <v>6.65</v>
      </c>
      <c r="V52" s="127">
        <v>7</v>
      </c>
      <c r="W52" s="153" t="s">
        <v>429</v>
      </c>
      <c r="X52" s="156" t="s">
        <v>390</v>
      </c>
      <c r="Y52" s="155">
        <v>600</v>
      </c>
      <c r="Z52" s="156"/>
      <c r="AA52" s="78"/>
      <c r="AB52" s="78"/>
      <c r="AC52" s="5">
        <v>1000</v>
      </c>
      <c r="AD52" s="161">
        <v>50</v>
      </c>
      <c r="AE52" s="140" t="s">
        <v>757</v>
      </c>
    </row>
    <row r="53" spans="1:32" ht="12.75" customHeight="1">
      <c r="A53" s="173">
        <v>302</v>
      </c>
      <c r="B53" s="174" t="s">
        <v>744</v>
      </c>
      <c r="C53" s="48" t="s">
        <v>707</v>
      </c>
      <c r="D53" s="5">
        <v>1</v>
      </c>
      <c r="E53" s="35">
        <v>0</v>
      </c>
      <c r="F53" s="32"/>
      <c r="G53" s="5">
        <v>2</v>
      </c>
      <c r="H53" s="76">
        <v>0</v>
      </c>
      <c r="I53" s="5">
        <v>0</v>
      </c>
      <c r="J53" s="46">
        <v>1602</v>
      </c>
      <c r="K53" s="99">
        <v>2239</v>
      </c>
      <c r="L53" s="27">
        <v>0</v>
      </c>
      <c r="M53" s="27" t="s">
        <v>710</v>
      </c>
      <c r="N53" s="28"/>
      <c r="O53" s="154"/>
      <c r="P53" s="161"/>
      <c r="Q53" t="s">
        <v>765</v>
      </c>
      <c r="R53" s="155">
        <f t="shared" si="16"/>
        <v>35</v>
      </c>
      <c r="S53" s="125"/>
      <c r="T53" s="117">
        <f t="shared" si="17"/>
        <v>184</v>
      </c>
      <c r="U53" s="184">
        <f>V53-0.35</f>
        <v>6.15</v>
      </c>
      <c r="V53" s="127">
        <v>6.5</v>
      </c>
      <c r="W53" s="153" t="s">
        <v>429</v>
      </c>
      <c r="X53" s="156" t="s">
        <v>390</v>
      </c>
      <c r="Y53" s="155">
        <v>450</v>
      </c>
      <c r="Z53" s="156"/>
      <c r="AA53" s="78"/>
      <c r="AB53" s="78"/>
      <c r="AC53" s="5">
        <v>800</v>
      </c>
      <c r="AD53" s="161">
        <v>50</v>
      </c>
      <c r="AE53" s="140" t="s">
        <v>758</v>
      </c>
    </row>
    <row r="54" spans="1:32" ht="12.75" customHeight="1">
      <c r="A54" s="173">
        <v>303</v>
      </c>
      <c r="B54" s="174" t="s">
        <v>709</v>
      </c>
      <c r="C54" s="48" t="s">
        <v>709</v>
      </c>
      <c r="D54" s="5">
        <v>1</v>
      </c>
      <c r="E54" s="35">
        <v>0</v>
      </c>
      <c r="F54" s="32"/>
      <c r="G54" s="5">
        <v>3</v>
      </c>
      <c r="H54" s="76">
        <v>0</v>
      </c>
      <c r="I54" s="5">
        <v>0</v>
      </c>
      <c r="J54" s="46">
        <v>1604</v>
      </c>
      <c r="K54" s="99">
        <v>2239</v>
      </c>
      <c r="L54" s="27">
        <v>0</v>
      </c>
      <c r="M54" s="27" t="s">
        <v>711</v>
      </c>
      <c r="N54" s="28"/>
      <c r="O54" s="154"/>
      <c r="P54" s="161"/>
      <c r="Q54" t="s">
        <v>765</v>
      </c>
      <c r="R54" s="155">
        <f t="shared" si="16"/>
        <v>35</v>
      </c>
      <c r="S54" s="78">
        <v>30</v>
      </c>
      <c r="T54" s="117">
        <v>150</v>
      </c>
      <c r="U54" s="126">
        <v>5</v>
      </c>
      <c r="V54" s="42">
        <v>5.5</v>
      </c>
      <c r="W54" s="153" t="s">
        <v>712</v>
      </c>
      <c r="X54" s="156" t="s">
        <v>390</v>
      </c>
      <c r="Y54" s="155">
        <v>450</v>
      </c>
      <c r="Z54" s="156"/>
      <c r="AA54" s="78"/>
      <c r="AB54" s="78"/>
      <c r="AC54" s="5">
        <v>800</v>
      </c>
      <c r="AD54" s="154">
        <v>333</v>
      </c>
      <c r="AE54" s="140" t="s">
        <v>759</v>
      </c>
    </row>
    <row r="55" spans="1:32" ht="12.75" customHeight="1">
      <c r="A55" s="173">
        <v>304</v>
      </c>
      <c r="B55" s="174" t="s">
        <v>650</v>
      </c>
      <c r="C55" s="48" t="s">
        <v>650</v>
      </c>
      <c r="D55" s="5">
        <v>1</v>
      </c>
      <c r="E55" s="35">
        <v>0</v>
      </c>
      <c r="F55" s="32"/>
      <c r="G55" s="5">
        <v>4</v>
      </c>
      <c r="H55" s="76">
        <v>0</v>
      </c>
      <c r="I55" s="5">
        <v>0</v>
      </c>
      <c r="J55" s="46">
        <v>1603</v>
      </c>
      <c r="K55" s="99">
        <v>2239</v>
      </c>
      <c r="L55" s="27">
        <v>0</v>
      </c>
      <c r="M55" s="27" t="s">
        <v>710</v>
      </c>
      <c r="N55" s="28"/>
      <c r="O55" s="157"/>
      <c r="P55" s="161"/>
      <c r="Q55" t="s">
        <v>765</v>
      </c>
      <c r="R55" s="155">
        <f t="shared" si="16"/>
        <v>35</v>
      </c>
      <c r="S55" s="78">
        <f>1.5*30</f>
        <v>45</v>
      </c>
      <c r="T55" s="117">
        <f t="shared" ref="T55" si="18">INT(U55*30)</f>
        <v>184</v>
      </c>
      <c r="U55" s="184">
        <f>V55-0.35</f>
        <v>6.15</v>
      </c>
      <c r="V55" s="127">
        <v>6.5</v>
      </c>
      <c r="W55" s="153" t="s">
        <v>429</v>
      </c>
      <c r="X55" s="156" t="s">
        <v>390</v>
      </c>
      <c r="Y55" s="158">
        <f>Y39</f>
        <v>250</v>
      </c>
      <c r="Z55" s="155"/>
      <c r="AA55" s="78"/>
      <c r="AB55" s="78"/>
      <c r="AC55" s="5">
        <v>1200</v>
      </c>
      <c r="AD55" s="154">
        <v>166</v>
      </c>
      <c r="AE55" s="140" t="s">
        <v>760</v>
      </c>
    </row>
    <row r="56" spans="1:32" ht="12.75" customHeight="1">
      <c r="A56" s="197">
        <v>104</v>
      </c>
      <c r="B56" s="198" t="s">
        <v>162</v>
      </c>
      <c r="C56" s="48" t="s">
        <v>645</v>
      </c>
      <c r="D56" s="5">
        <v>1</v>
      </c>
      <c r="E56" s="35">
        <v>3</v>
      </c>
      <c r="F56" s="32"/>
      <c r="G56" s="5">
        <v>140</v>
      </c>
      <c r="H56" s="195">
        <v>1</v>
      </c>
      <c r="I56" s="5">
        <v>6</v>
      </c>
      <c r="J56" s="46">
        <v>1408</v>
      </c>
      <c r="K56" s="99">
        <v>2207</v>
      </c>
      <c r="L56" s="27"/>
      <c r="M56" s="27" t="s">
        <v>203</v>
      </c>
      <c r="N56" s="28"/>
      <c r="O56" s="155"/>
      <c r="P56" s="161"/>
      <c r="Q56" s="161"/>
      <c r="R56" s="155"/>
      <c r="S56" s="78"/>
      <c r="T56" s="78"/>
      <c r="U56" s="78"/>
      <c r="V56" s="122"/>
      <c r="W56" s="159"/>
      <c r="X56" s="160"/>
      <c r="Y56" s="155"/>
      <c r="Z56" s="155"/>
      <c r="AA56" s="78"/>
      <c r="AB56" s="78"/>
      <c r="AC56" s="78"/>
      <c r="AD56" s="155"/>
      <c r="AE56" s="54" t="s">
        <v>182</v>
      </c>
      <c r="AF56" t="s">
        <v>247</v>
      </c>
    </row>
    <row r="57" spans="1:32" ht="12.75" customHeight="1">
      <c r="A57" s="197">
        <v>112</v>
      </c>
      <c r="B57" s="198" t="s">
        <v>152</v>
      </c>
      <c r="C57" s="48" t="s">
        <v>646</v>
      </c>
      <c r="D57" s="5">
        <v>1</v>
      </c>
      <c r="E57" s="35">
        <v>1</v>
      </c>
      <c r="F57" s="50">
        <v>1</v>
      </c>
      <c r="G57" s="5">
        <v>30</v>
      </c>
      <c r="H57" s="194">
        <v>2</v>
      </c>
      <c r="I57" s="5">
        <v>4</v>
      </c>
      <c r="J57" s="46">
        <v>1409</v>
      </c>
      <c r="K57" s="99">
        <v>2207</v>
      </c>
      <c r="L57" s="27"/>
      <c r="M57" s="27" t="s">
        <v>203</v>
      </c>
      <c r="N57" s="28"/>
      <c r="O57" s="155"/>
      <c r="P57" s="161"/>
      <c r="Q57" s="161"/>
      <c r="R57" s="155"/>
      <c r="S57" s="78"/>
      <c r="T57" s="78"/>
      <c r="U57" s="78"/>
      <c r="V57" s="122"/>
      <c r="W57" s="159"/>
      <c r="X57" s="160"/>
      <c r="Y57" s="155"/>
      <c r="Z57" s="155"/>
      <c r="AA57" s="78"/>
      <c r="AB57" s="78"/>
      <c r="AC57" s="78"/>
      <c r="AD57" s="155"/>
      <c r="AE57" s="54" t="s">
        <v>180</v>
      </c>
    </row>
    <row r="58" spans="1:32" ht="12.75" customHeight="1">
      <c r="A58" s="197">
        <v>11</v>
      </c>
      <c r="B58" s="198" t="s">
        <v>686</v>
      </c>
      <c r="C58" s="48" t="s">
        <v>612</v>
      </c>
      <c r="D58" s="5">
        <v>1</v>
      </c>
      <c r="E58" s="35">
        <v>0</v>
      </c>
      <c r="F58" s="32"/>
      <c r="G58" s="5">
        <v>50</v>
      </c>
      <c r="H58" s="195">
        <v>1</v>
      </c>
      <c r="I58" s="5">
        <v>4</v>
      </c>
      <c r="J58" s="46">
        <v>1206</v>
      </c>
      <c r="K58" s="98" t="s">
        <v>454</v>
      </c>
      <c r="L58" s="27">
        <v>1000</v>
      </c>
      <c r="M58" s="27" t="s">
        <v>201</v>
      </c>
      <c r="N58" s="28" t="s">
        <v>424</v>
      </c>
      <c r="O58" s="154">
        <f>VLOOKUP(N58,攻击帧数!$E$8:$G$12,3,)</f>
        <v>63</v>
      </c>
      <c r="P58" s="161">
        <v>2</v>
      </c>
      <c r="Q58" s="192" t="s">
        <v>779</v>
      </c>
      <c r="R58" s="155">
        <f>VLOOKUP(Q58,腰围,2,)</f>
        <v>20</v>
      </c>
      <c r="S58" s="125">
        <v>0</v>
      </c>
      <c r="T58" s="117">
        <f>INT(U58*30)</f>
        <v>9</v>
      </c>
      <c r="U58" s="78">
        <v>0.3</v>
      </c>
      <c r="V58" s="42" t="s">
        <v>277</v>
      </c>
      <c r="W58" s="153" t="s">
        <v>429</v>
      </c>
      <c r="X58" s="154">
        <f>MAX(VLOOKUP(W58,攻击帧数!$E$2:$F$5,2,),INT(T58*1.3))</f>
        <v>210</v>
      </c>
      <c r="Y58" s="155">
        <v>350</v>
      </c>
      <c r="Z58" s="156"/>
      <c r="AA58" s="78"/>
      <c r="AB58" s="78"/>
      <c r="AC58" s="5">
        <v>1800</v>
      </c>
      <c r="AD58" s="154">
        <f>VLOOKUP(LEFT(K58,4),攻击帧数!$G$16:$H$51,2,)</f>
        <v>433</v>
      </c>
      <c r="AE58" s="54" t="s">
        <v>183</v>
      </c>
    </row>
    <row r="59" spans="1:32" ht="12.75" customHeight="1">
      <c r="A59" s="197">
        <v>26</v>
      </c>
      <c r="B59" s="198" t="s">
        <v>440</v>
      </c>
      <c r="C59" s="48" t="s">
        <v>641</v>
      </c>
      <c r="D59" s="5">
        <v>1</v>
      </c>
      <c r="E59" s="35">
        <v>7</v>
      </c>
      <c r="F59" s="32"/>
      <c r="G59" s="5">
        <v>230</v>
      </c>
      <c r="H59" s="76">
        <v>0</v>
      </c>
      <c r="I59" s="5">
        <v>6</v>
      </c>
      <c r="J59" s="33">
        <v>1204</v>
      </c>
      <c r="K59" s="98">
        <v>2201</v>
      </c>
      <c r="L59" s="27">
        <v>1000</v>
      </c>
      <c r="M59" s="27" t="s">
        <v>201</v>
      </c>
      <c r="N59" s="28" t="s">
        <v>420</v>
      </c>
      <c r="O59" s="154">
        <f>VLOOKUP(N59,攻击帧数!$E$8:$G$12,3,)</f>
        <v>31</v>
      </c>
      <c r="P59" s="161">
        <v>2</v>
      </c>
      <c r="Q59" s="192" t="s">
        <v>779</v>
      </c>
      <c r="R59" s="155">
        <f>VLOOKUP(Q59,腰围,2,)</f>
        <v>20</v>
      </c>
      <c r="S59" s="125">
        <v>0</v>
      </c>
      <c r="T59" s="117">
        <f>INT(U59*30)</f>
        <v>165</v>
      </c>
      <c r="U59" s="126">
        <f>V59-0.5</f>
        <v>5.5</v>
      </c>
      <c r="V59" s="42">
        <v>6</v>
      </c>
      <c r="W59" s="153" t="s">
        <v>429</v>
      </c>
      <c r="X59" s="154">
        <f>MAX(VLOOKUP(W59,攻击帧数!$E$2:$F$5,2,),INT(T59*1.3))</f>
        <v>214</v>
      </c>
      <c r="Y59" s="155">
        <v>350</v>
      </c>
      <c r="Z59" s="156"/>
      <c r="AA59" s="78"/>
      <c r="AB59" s="78"/>
      <c r="AC59" s="5">
        <v>1000</v>
      </c>
      <c r="AD59" s="154">
        <f>VLOOKUP(LEFT(K59,4),攻击帧数!$G$16:$H$51,2,)</f>
        <v>200</v>
      </c>
      <c r="AE59" s="54" t="s">
        <v>439</v>
      </c>
    </row>
    <row r="60" spans="1:32" ht="16.5">
      <c r="A60" s="197">
        <v>27</v>
      </c>
      <c r="B60" s="198" t="s">
        <v>273</v>
      </c>
      <c r="C60" s="48" t="s">
        <v>642</v>
      </c>
      <c r="D60" s="5">
        <v>1</v>
      </c>
      <c r="E60" s="35">
        <v>7</v>
      </c>
      <c r="H60" s="194">
        <v>2</v>
      </c>
      <c r="I60" s="5">
        <v>4</v>
      </c>
      <c r="J60" s="33">
        <v>1204</v>
      </c>
      <c r="K60" s="98">
        <v>2201</v>
      </c>
      <c r="L60" s="27">
        <v>1000</v>
      </c>
      <c r="M60" s="27" t="s">
        <v>201</v>
      </c>
      <c r="N60" s="28" t="s">
        <v>422</v>
      </c>
      <c r="O60" s="154">
        <f>VLOOKUP(N60,攻击帧数!$E$8:$G$12,3,)</f>
        <v>42</v>
      </c>
      <c r="P60" s="161">
        <v>2</v>
      </c>
      <c r="Q60" s="192" t="s">
        <v>779</v>
      </c>
      <c r="R60" s="155">
        <f>VLOOKUP(Q60,腰围,2,)</f>
        <v>20</v>
      </c>
      <c r="S60" s="78">
        <f>1*30</f>
        <v>30</v>
      </c>
      <c r="T60" s="117">
        <f>INT(U60*30)</f>
        <v>30</v>
      </c>
      <c r="U60" s="77">
        <v>1</v>
      </c>
      <c r="V60" s="42" t="s">
        <v>277</v>
      </c>
      <c r="W60" s="153" t="s">
        <v>429</v>
      </c>
      <c r="X60" s="154">
        <f>MAX(VLOOKUP(W60,攻击帧数!$E$2:$F$5,2,),INT(T60*1.3))</f>
        <v>210</v>
      </c>
      <c r="Y60" s="155">
        <v>350</v>
      </c>
      <c r="Z60" s="156"/>
      <c r="AA60" s="4"/>
      <c r="AB60" s="4"/>
      <c r="AC60" s="5">
        <v>1500</v>
      </c>
      <c r="AD60" s="154">
        <f>VLOOKUP(LEFT(K60,4),攻击帧数!$G$16:$H$51,2,)</f>
        <v>200</v>
      </c>
      <c r="AE60" s="54" t="s">
        <v>441</v>
      </c>
    </row>
    <row r="61" spans="1:32" ht="16.5">
      <c r="A61" s="197">
        <v>29</v>
      </c>
      <c r="B61" s="198" t="s">
        <v>272</v>
      </c>
      <c r="C61" s="48" t="s">
        <v>643</v>
      </c>
      <c r="D61" s="5">
        <v>1</v>
      </c>
      <c r="E61" s="35">
        <v>7</v>
      </c>
      <c r="F61" s="50">
        <v>1</v>
      </c>
      <c r="G61" s="5">
        <v>245</v>
      </c>
      <c r="H61" s="196">
        <v>3</v>
      </c>
      <c r="I61" s="5">
        <v>3</v>
      </c>
      <c r="J61" s="46">
        <v>1222</v>
      </c>
      <c r="K61" s="98">
        <v>2201</v>
      </c>
      <c r="L61" s="27">
        <v>1000</v>
      </c>
      <c r="M61" s="27" t="s">
        <v>201</v>
      </c>
      <c r="N61" s="28" t="s">
        <v>422</v>
      </c>
      <c r="O61" s="154">
        <f>VLOOKUP(N61,攻击帧数!$E$8:$G$12,3,)</f>
        <v>42</v>
      </c>
      <c r="P61" s="161">
        <v>2</v>
      </c>
      <c r="Q61" s="192" t="s">
        <v>779</v>
      </c>
      <c r="R61" s="155">
        <f>VLOOKUP(Q61,腰围,2,)</f>
        <v>20</v>
      </c>
      <c r="S61" s="78">
        <f>2.5*30</f>
        <v>75</v>
      </c>
      <c r="T61" s="117">
        <f>INT(U61*30)</f>
        <v>270</v>
      </c>
      <c r="U61" s="126">
        <f>V61-0.5</f>
        <v>9</v>
      </c>
      <c r="V61" s="42">
        <v>9.5</v>
      </c>
      <c r="W61" s="153" t="s">
        <v>429</v>
      </c>
      <c r="X61" s="154">
        <f>MAX(VLOOKUP(W61,攻击帧数!$E$2:$F$5,2,),INT(T61*1.3))</f>
        <v>351</v>
      </c>
      <c r="Y61" s="155">
        <v>350</v>
      </c>
      <c r="Z61" s="156"/>
      <c r="AA61" s="78"/>
      <c r="AB61" s="78"/>
      <c r="AC61" s="5">
        <v>3000</v>
      </c>
      <c r="AD61" s="154">
        <f>VLOOKUP(LEFT(K61,4),攻击帧数!$G$16:$H$51,2,)</f>
        <v>200</v>
      </c>
      <c r="AE61" t="s">
        <v>443</v>
      </c>
    </row>
    <row r="65" spans="1:26">
      <c r="A65">
        <v>34</v>
      </c>
      <c r="B65" t="s">
        <v>586</v>
      </c>
      <c r="C65" t="s">
        <v>256</v>
      </c>
      <c r="D65" s="27" t="s">
        <v>255</v>
      </c>
      <c r="E65" s="9">
        <v>0</v>
      </c>
      <c r="F65" s="11">
        <v>1</v>
      </c>
      <c r="G65" s="73">
        <v>2</v>
      </c>
      <c r="H65" s="72">
        <v>3</v>
      </c>
    </row>
    <row r="66" spans="1:26">
      <c r="A66">
        <v>35</v>
      </c>
      <c r="B66" t="s">
        <v>586</v>
      </c>
      <c r="D66" s="27">
        <v>0</v>
      </c>
      <c r="E66" s="27">
        <f t="shared" ref="E66:H73" si="19">COUNTIFS($E$1:$E$39,$D66,$H$1:$H$39,E$65,$D$1:$D$39,1)</f>
        <v>2</v>
      </c>
      <c r="F66" s="27">
        <f t="shared" si="19"/>
        <v>3</v>
      </c>
      <c r="G66" s="27">
        <f t="shared" si="19"/>
        <v>4</v>
      </c>
      <c r="H66" s="27">
        <f t="shared" si="19"/>
        <v>0</v>
      </c>
    </row>
    <row r="67" spans="1:26">
      <c r="A67">
        <v>36</v>
      </c>
      <c r="B67" t="s">
        <v>586</v>
      </c>
      <c r="D67" s="27">
        <v>1</v>
      </c>
      <c r="E67" s="27">
        <f t="shared" si="19"/>
        <v>2</v>
      </c>
      <c r="F67" s="27">
        <f t="shared" si="19"/>
        <v>2</v>
      </c>
      <c r="G67" s="27">
        <f t="shared" si="19"/>
        <v>0</v>
      </c>
      <c r="H67" s="27">
        <f t="shared" si="19"/>
        <v>1</v>
      </c>
      <c r="M67" s="27"/>
      <c r="N67" s="28" t="s">
        <v>790</v>
      </c>
      <c r="O67" s="27"/>
      <c r="P67" s="27"/>
      <c r="Q67" s="27"/>
    </row>
    <row r="68" spans="1:26">
      <c r="A68">
        <v>37</v>
      </c>
      <c r="B68" t="s">
        <v>586</v>
      </c>
      <c r="D68" s="27">
        <v>2</v>
      </c>
      <c r="E68" s="27">
        <f t="shared" si="19"/>
        <v>4</v>
      </c>
      <c r="F68" s="27">
        <f t="shared" si="19"/>
        <v>2</v>
      </c>
      <c r="G68" s="27">
        <f t="shared" si="19"/>
        <v>2</v>
      </c>
      <c r="H68" s="27">
        <f t="shared" si="19"/>
        <v>0</v>
      </c>
      <c r="M68" s="28" t="s">
        <v>789</v>
      </c>
      <c r="N68" s="27" t="s">
        <v>203</v>
      </c>
      <c r="O68" s="27" t="s">
        <v>202</v>
      </c>
      <c r="P68" s="27" t="s">
        <v>201</v>
      </c>
      <c r="Q68" s="27" t="s">
        <v>711</v>
      </c>
    </row>
    <row r="69" spans="1:26">
      <c r="A69">
        <v>38</v>
      </c>
      <c r="B69" t="s">
        <v>582</v>
      </c>
      <c r="D69" s="27">
        <v>3</v>
      </c>
      <c r="E69" s="27">
        <f t="shared" si="19"/>
        <v>2</v>
      </c>
      <c r="F69" s="27">
        <f t="shared" si="19"/>
        <v>1</v>
      </c>
      <c r="G69" s="27">
        <f t="shared" si="19"/>
        <v>0</v>
      </c>
      <c r="H69" s="27">
        <f t="shared" si="19"/>
        <v>1</v>
      </c>
      <c r="M69" s="76">
        <v>0</v>
      </c>
      <c r="N69" s="27">
        <f>COUNTIFS($H$1:$H$55,$M69,$D$1:$D$55,1,$M$1:$M$55,N$68)</f>
        <v>2</v>
      </c>
      <c r="O69" s="27">
        <f t="shared" ref="O69:Q69" si="20">COUNTIFS($H$1:$H$55,$M69,$D$1:$D$55,1,$M$1:$M$55,O$68)</f>
        <v>3</v>
      </c>
      <c r="P69" s="27">
        <f t="shared" si="20"/>
        <v>10</v>
      </c>
      <c r="Q69" s="27">
        <f t="shared" si="20"/>
        <v>4</v>
      </c>
      <c r="S69" s="27">
        <f>SUM(O69:P69)</f>
        <v>13</v>
      </c>
      <c r="U69" t="s">
        <v>793</v>
      </c>
    </row>
    <row r="70" spans="1:26">
      <c r="A70">
        <v>39</v>
      </c>
      <c r="B70" t="s">
        <v>582</v>
      </c>
      <c r="D70" s="27">
        <v>4</v>
      </c>
      <c r="E70" s="27">
        <f t="shared" si="19"/>
        <v>2</v>
      </c>
      <c r="F70" s="27">
        <f t="shared" si="19"/>
        <v>2</v>
      </c>
      <c r="G70" s="27">
        <f t="shared" si="19"/>
        <v>1</v>
      </c>
      <c r="H70" s="27">
        <f t="shared" si="19"/>
        <v>0</v>
      </c>
      <c r="M70" s="195">
        <v>1</v>
      </c>
      <c r="N70" s="27">
        <f>COUNTIFS($H$1:$H$55,$M70,$D$1:$D$55,1,$M$1:$M$55,N$68)</f>
        <v>2</v>
      </c>
      <c r="O70" s="27">
        <f t="shared" ref="O70:Q72" si="21">COUNTIFS($H$1:$H$55,$M70,$D$1:$D$55,1,$M$1:$M$55,O$68)</f>
        <v>6</v>
      </c>
      <c r="P70" s="27">
        <f t="shared" si="21"/>
        <v>7</v>
      </c>
      <c r="Q70" s="27">
        <f t="shared" si="21"/>
        <v>0</v>
      </c>
      <c r="S70" s="27">
        <f t="shared" ref="S70:S72" si="22">SUM(O70:P70)</f>
        <v>13</v>
      </c>
      <c r="U70" t="s">
        <v>792</v>
      </c>
    </row>
    <row r="71" spans="1:26">
      <c r="A71">
        <v>40</v>
      </c>
      <c r="B71" t="s">
        <v>582</v>
      </c>
      <c r="D71" s="27">
        <v>5</v>
      </c>
      <c r="E71" s="27">
        <f t="shared" si="19"/>
        <v>0</v>
      </c>
      <c r="F71" s="27">
        <f t="shared" si="19"/>
        <v>1</v>
      </c>
      <c r="G71" s="27">
        <f t="shared" si="19"/>
        <v>0</v>
      </c>
      <c r="H71" s="27">
        <f t="shared" si="19"/>
        <v>1</v>
      </c>
      <c r="M71" s="194">
        <v>2</v>
      </c>
      <c r="N71" s="27">
        <f>COUNTIFS($H$1:$H$55,$M71,$D$1:$D$55,1,$M$1:$M$55,N$68)</f>
        <v>5</v>
      </c>
      <c r="O71" s="27">
        <f t="shared" si="21"/>
        <v>1</v>
      </c>
      <c r="P71" s="27">
        <f t="shared" si="21"/>
        <v>8</v>
      </c>
      <c r="Q71" s="27">
        <f t="shared" si="21"/>
        <v>0</v>
      </c>
      <c r="S71" s="27">
        <f t="shared" si="22"/>
        <v>9</v>
      </c>
      <c r="U71" t="s">
        <v>794</v>
      </c>
    </row>
    <row r="72" spans="1:26">
      <c r="A72">
        <v>41</v>
      </c>
      <c r="B72" t="s">
        <v>582</v>
      </c>
      <c r="D72" s="27">
        <v>6</v>
      </c>
      <c r="E72" s="27">
        <f t="shared" si="19"/>
        <v>1</v>
      </c>
      <c r="F72" s="27">
        <f t="shared" si="19"/>
        <v>1</v>
      </c>
      <c r="G72" s="27">
        <f t="shared" si="19"/>
        <v>1</v>
      </c>
      <c r="H72" s="27">
        <f t="shared" si="19"/>
        <v>0</v>
      </c>
      <c r="M72" s="196">
        <v>3</v>
      </c>
      <c r="N72" s="27">
        <f>COUNTIFS($H$1:$H$55,$M72,$D$1:$D$55,1,$M$1:$M$55,N$68)</f>
        <v>1</v>
      </c>
      <c r="O72" s="27">
        <f t="shared" si="21"/>
        <v>0</v>
      </c>
      <c r="P72" s="27">
        <f t="shared" si="21"/>
        <v>3</v>
      </c>
      <c r="Q72" s="27">
        <f t="shared" si="21"/>
        <v>0</v>
      </c>
      <c r="S72" s="27">
        <f t="shared" si="22"/>
        <v>3</v>
      </c>
    </row>
    <row r="73" spans="1:26">
      <c r="A73">
        <v>42</v>
      </c>
      <c r="B73" t="s">
        <v>583</v>
      </c>
      <c r="D73" s="27">
        <v>7</v>
      </c>
      <c r="E73" s="27">
        <f t="shared" si="19"/>
        <v>0</v>
      </c>
      <c r="F73" s="27">
        <f t="shared" si="19"/>
        <v>1</v>
      </c>
      <c r="G73" s="27">
        <f t="shared" si="19"/>
        <v>0</v>
      </c>
      <c r="H73" s="27">
        <f t="shared" si="19"/>
        <v>0</v>
      </c>
      <c r="M73" s="27"/>
      <c r="N73" s="27"/>
      <c r="O73" s="27"/>
      <c r="P73" s="27"/>
      <c r="Q73" s="27"/>
      <c r="Z73" s="155"/>
    </row>
    <row r="74" spans="1:26">
      <c r="A74">
        <v>43</v>
      </c>
      <c r="B74" t="s">
        <v>585</v>
      </c>
      <c r="M74" s="27" t="s">
        <v>791</v>
      </c>
      <c r="N74" s="27">
        <f>SUM(N69:N73)</f>
        <v>10</v>
      </c>
      <c r="O74" s="27">
        <f t="shared" ref="O74:Q74" si="23">SUM(O69:O73)</f>
        <v>10</v>
      </c>
      <c r="P74" s="27">
        <f t="shared" si="23"/>
        <v>28</v>
      </c>
      <c r="Q74" s="27">
        <f t="shared" si="23"/>
        <v>4</v>
      </c>
      <c r="Y74" s="183"/>
      <c r="Z74" s="155"/>
    </row>
    <row r="75" spans="1:26">
      <c r="A75">
        <v>44</v>
      </c>
      <c r="B75" t="s">
        <v>585</v>
      </c>
      <c r="M75" s="27"/>
      <c r="N75" s="27"/>
      <c r="O75" s="27"/>
      <c r="P75" s="27"/>
      <c r="Q75" s="27"/>
      <c r="Y75" s="183"/>
      <c r="Z75" s="155"/>
    </row>
    <row r="76" spans="1:26">
      <c r="A76">
        <v>45</v>
      </c>
      <c r="B76" t="s">
        <v>572</v>
      </c>
      <c r="C76" t="s">
        <v>257</v>
      </c>
      <c r="D76" s="27" t="s">
        <v>255</v>
      </c>
      <c r="E76" s="9">
        <v>0</v>
      </c>
      <c r="F76" s="11">
        <v>1</v>
      </c>
      <c r="G76" s="73">
        <v>2</v>
      </c>
      <c r="H76" s="72">
        <v>3</v>
      </c>
      <c r="Y76" s="183"/>
      <c r="Z76" s="155"/>
    </row>
    <row r="77" spans="1:26">
      <c r="A77">
        <v>46</v>
      </c>
      <c r="B77" t="s">
        <v>572</v>
      </c>
      <c r="D77" s="27">
        <v>0</v>
      </c>
      <c r="E77" s="27">
        <f>E66</f>
        <v>2</v>
      </c>
      <c r="F77" s="27">
        <f t="shared" ref="F77:H77" si="24">F66</f>
        <v>3</v>
      </c>
      <c r="G77" s="27">
        <f t="shared" si="24"/>
        <v>4</v>
      </c>
      <c r="H77" s="27">
        <f t="shared" si="24"/>
        <v>0</v>
      </c>
      <c r="Y77" s="183"/>
      <c r="Z77" s="155"/>
    </row>
    <row r="78" spans="1:26">
      <c r="A78">
        <v>47</v>
      </c>
      <c r="B78" t="s">
        <v>581</v>
      </c>
      <c r="D78" s="27">
        <v>1</v>
      </c>
      <c r="E78" s="27">
        <f>E67+E77</f>
        <v>4</v>
      </c>
      <c r="F78" s="27">
        <f t="shared" ref="F78:H78" si="25">F67+F77</f>
        <v>5</v>
      </c>
      <c r="G78" s="27">
        <f t="shared" si="25"/>
        <v>4</v>
      </c>
      <c r="H78" s="27">
        <f t="shared" si="25"/>
        <v>1</v>
      </c>
      <c r="Y78" s="183"/>
      <c r="Z78" s="155"/>
    </row>
    <row r="79" spans="1:26">
      <c r="D79" s="27">
        <v>2</v>
      </c>
      <c r="E79" s="27">
        <f t="shared" ref="E79:E84" si="26">E68+E78</f>
        <v>8</v>
      </c>
      <c r="F79" s="27">
        <f t="shared" ref="F79:F84" si="27">F68+F78</f>
        <v>7</v>
      </c>
      <c r="G79" s="27">
        <f t="shared" ref="G79:G84" si="28">G68+G78</f>
        <v>6</v>
      </c>
      <c r="H79" s="27">
        <f t="shared" ref="H79:H84" si="29">H68+H78</f>
        <v>1</v>
      </c>
      <c r="Y79" s="183"/>
      <c r="Z79" s="155"/>
    </row>
    <row r="80" spans="1:26">
      <c r="D80" s="27">
        <v>3</v>
      </c>
      <c r="E80" s="27">
        <f t="shared" si="26"/>
        <v>10</v>
      </c>
      <c r="F80" s="27">
        <f t="shared" si="27"/>
        <v>8</v>
      </c>
      <c r="G80" s="27">
        <f t="shared" si="28"/>
        <v>6</v>
      </c>
      <c r="H80" s="27">
        <f t="shared" si="29"/>
        <v>2</v>
      </c>
    </row>
    <row r="81" spans="4:29">
      <c r="D81" s="27">
        <v>4</v>
      </c>
      <c r="E81" s="27">
        <f t="shared" si="26"/>
        <v>12</v>
      </c>
      <c r="F81" s="27">
        <f t="shared" si="27"/>
        <v>10</v>
      </c>
      <c r="G81" s="27">
        <f t="shared" si="28"/>
        <v>7</v>
      </c>
      <c r="H81" s="27">
        <f t="shared" si="29"/>
        <v>2</v>
      </c>
    </row>
    <row r="82" spans="4:29">
      <c r="D82" s="27">
        <v>5</v>
      </c>
      <c r="E82" s="27">
        <f t="shared" si="26"/>
        <v>12</v>
      </c>
      <c r="F82" s="27">
        <f t="shared" si="27"/>
        <v>11</v>
      </c>
      <c r="G82" s="27">
        <f t="shared" si="28"/>
        <v>7</v>
      </c>
      <c r="H82" s="27">
        <f t="shared" si="29"/>
        <v>3</v>
      </c>
    </row>
    <row r="83" spans="4:29">
      <c r="D83" s="27">
        <v>6</v>
      </c>
      <c r="E83" s="27">
        <f t="shared" si="26"/>
        <v>13</v>
      </c>
      <c r="F83" s="27">
        <f t="shared" si="27"/>
        <v>12</v>
      </c>
      <c r="G83" s="27">
        <f t="shared" si="28"/>
        <v>8</v>
      </c>
      <c r="H83" s="27">
        <f t="shared" si="29"/>
        <v>3</v>
      </c>
    </row>
    <row r="84" spans="4:29">
      <c r="D84" s="27">
        <v>7</v>
      </c>
      <c r="E84" s="27">
        <f t="shared" si="26"/>
        <v>13</v>
      </c>
      <c r="F84" s="27">
        <f t="shared" si="27"/>
        <v>13</v>
      </c>
      <c r="G84" s="27">
        <f t="shared" si="28"/>
        <v>8</v>
      </c>
      <c r="H84" s="27">
        <f t="shared" si="29"/>
        <v>3</v>
      </c>
    </row>
    <row r="87" spans="4:29">
      <c r="AC87">
        <v>4</v>
      </c>
    </row>
    <row r="88" spans="4:29">
      <c r="AC88">
        <v>3</v>
      </c>
    </row>
    <row r="89" spans="4:29">
      <c r="AC89">
        <v>4</v>
      </c>
    </row>
    <row r="90" spans="4:29">
      <c r="AC90">
        <v>6</v>
      </c>
    </row>
    <row r="91" spans="4:29">
      <c r="AC91">
        <v>5</v>
      </c>
    </row>
    <row r="92" spans="4:29">
      <c r="AC92">
        <v>3</v>
      </c>
    </row>
    <row r="93" spans="4:29">
      <c r="AC93">
        <v>4</v>
      </c>
    </row>
    <row r="94" spans="4:29">
      <c r="AB94">
        <f>AVERAGE(AC87:AC95)</f>
        <v>3.875</v>
      </c>
      <c r="AC94">
        <v>2</v>
      </c>
    </row>
    <row r="97" spans="21:29">
      <c r="AC97">
        <v>4</v>
      </c>
    </row>
    <row r="98" spans="21:29">
      <c r="U98" s="155"/>
      <c r="AC98">
        <v>3</v>
      </c>
    </row>
    <row r="99" spans="21:29">
      <c r="AC99">
        <v>4</v>
      </c>
    </row>
    <row r="100" spans="21:29">
      <c r="AC100">
        <v>6</v>
      </c>
    </row>
    <row r="101" spans="21:29">
      <c r="AC101">
        <v>5</v>
      </c>
    </row>
    <row r="102" spans="21:29">
      <c r="AC102">
        <v>3</v>
      </c>
    </row>
    <row r="103" spans="21:29">
      <c r="AC103">
        <v>4</v>
      </c>
    </row>
    <row r="104" spans="21:29">
      <c r="AB104">
        <f>AVERAGE(AC97:AC105)</f>
        <v>4.375</v>
      </c>
      <c r="AC104">
        <v>6</v>
      </c>
    </row>
  </sheetData>
  <sortState ref="AC71:AD87">
    <sortCondition ref="AD71"/>
  </sortState>
  <phoneticPr fontId="1" type="noConversion"/>
  <conditionalFormatting sqref="A29">
    <cfRule type="duplicateValues" dxfId="6" priority="4"/>
  </conditionalFormatting>
  <conditionalFormatting sqref="A1:A42 A44:A1048576">
    <cfRule type="duplicateValues" dxfId="5" priority="3"/>
  </conditionalFormatting>
  <conditionalFormatting sqref="A1:A28 A30:A42 A44:A1048576">
    <cfRule type="duplicateValues" dxfId="4" priority="13"/>
  </conditionalFormatting>
  <conditionalFormatting sqref="A43">
    <cfRule type="duplicateValues" dxfId="3" priority="1"/>
  </conditionalFormatting>
  <conditionalFormatting sqref="A43">
    <cfRule type="duplicateValues" dxfId="2" priority="2"/>
  </conditionalFormatting>
  <pageMargins left="0.7" right="0.7" top="0.75" bottom="0.75" header="0.3" footer="0.3"/>
  <ignoredErrors>
    <ignoredError sqref="T38 S36 S39 S62 O35:O40 X35:X40 Z2 Z5 Z6 S7 T7 S6:T6 S8:T8 S5:T5 Z4 V5:W5 V6:W6 V7:W7 V8:W8 Z8 X62:X63 S4:T4 V4:W4 O4:P4 O5:P5 O8:P8 O6:P6 O7:P7" numberStoredAsText="1"/>
    <ignoredError sqref="R14:X14 S21:T24 T20 S10:T10 T11 AA20:AD20 R9:Z9 V10:X10 S12:T13 AA21 AC21 AA24:AD24 AA22:AC23 S15:T19 V15:W19 O11:P19 V20:W24 O20:P24 V11:W13 O9:P10" numberStoredAsText="1" formula="1"/>
    <ignoredError sqref="AA11:AD14 AA16:AD19 AA15:AC15 AA9:AD10" formula="1"/>
  </ignoredError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D2:L42"/>
  <sheetViews>
    <sheetView workbookViewId="0">
      <selection activeCell="L7" sqref="L7"/>
    </sheetView>
  </sheetViews>
  <sheetFormatPr defaultRowHeight="13.5"/>
  <cols>
    <col min="5" max="5" width="21.125" customWidth="1"/>
    <col min="6" max="6" width="10.875" customWidth="1"/>
  </cols>
  <sheetData>
    <row r="2" spans="4:12">
      <c r="E2" t="s">
        <v>430</v>
      </c>
      <c r="F2" t="s">
        <v>431</v>
      </c>
    </row>
    <row r="3" spans="4:12">
      <c r="E3" t="s">
        <v>432</v>
      </c>
      <c r="F3">
        <v>150</v>
      </c>
      <c r="K3" s="28" t="s">
        <v>767</v>
      </c>
      <c r="L3" s="28" t="s">
        <v>766</v>
      </c>
    </row>
    <row r="4" spans="4:12">
      <c r="E4" t="s">
        <v>433</v>
      </c>
      <c r="F4">
        <v>180</v>
      </c>
      <c r="K4" s="27"/>
      <c r="L4" s="155"/>
    </row>
    <row r="5" spans="4:12">
      <c r="E5" t="s">
        <v>434</v>
      </c>
      <c r="F5">
        <v>210</v>
      </c>
      <c r="K5" s="27" t="s">
        <v>762</v>
      </c>
      <c r="L5" s="155">
        <v>15</v>
      </c>
    </row>
    <row r="6" spans="4:12">
      <c r="K6" s="27" t="s">
        <v>433</v>
      </c>
      <c r="L6" s="155">
        <v>20</v>
      </c>
    </row>
    <row r="7" spans="4:12">
      <c r="K7" s="27" t="s">
        <v>763</v>
      </c>
      <c r="L7" s="155">
        <v>27</v>
      </c>
    </row>
    <row r="8" spans="4:12">
      <c r="E8" t="s">
        <v>417</v>
      </c>
      <c r="F8" t="s">
        <v>418</v>
      </c>
      <c r="G8" t="s">
        <v>419</v>
      </c>
      <c r="H8" s="123">
        <v>0.7</v>
      </c>
      <c r="K8" s="27" t="s">
        <v>765</v>
      </c>
      <c r="L8" s="170">
        <v>35</v>
      </c>
    </row>
    <row r="9" spans="4:12">
      <c r="E9" t="s">
        <v>421</v>
      </c>
      <c r="F9" s="27">
        <v>45</v>
      </c>
      <c r="G9" s="27">
        <f>INT(F9*$H$8)</f>
        <v>31</v>
      </c>
      <c r="K9" s="27" t="s">
        <v>764</v>
      </c>
      <c r="L9" s="170">
        <v>55</v>
      </c>
    </row>
    <row r="10" spans="4:12">
      <c r="E10" t="s">
        <v>423</v>
      </c>
      <c r="F10" s="27">
        <v>60</v>
      </c>
      <c r="G10" s="27">
        <f t="shared" ref="G10:G12" si="0">INT(F10*$H$8)</f>
        <v>42</v>
      </c>
    </row>
    <row r="11" spans="4:12">
      <c r="E11" t="s">
        <v>425</v>
      </c>
      <c r="F11" s="27">
        <v>90</v>
      </c>
      <c r="G11" s="27">
        <f t="shared" si="0"/>
        <v>63</v>
      </c>
    </row>
    <row r="12" spans="4:12">
      <c r="E12" t="s">
        <v>427</v>
      </c>
      <c r="F12" s="27">
        <v>120</v>
      </c>
      <c r="G12" s="27">
        <f t="shared" si="0"/>
        <v>84</v>
      </c>
    </row>
    <row r="15" spans="4:12">
      <c r="D15" t="s">
        <v>435</v>
      </c>
    </row>
    <row r="16" spans="4:12" ht="28.5">
      <c r="D16" s="27"/>
      <c r="E16" s="32" t="s">
        <v>113</v>
      </c>
      <c r="F16" s="32" t="s">
        <v>412</v>
      </c>
      <c r="G16" s="51" t="s">
        <v>400</v>
      </c>
      <c r="H16" s="75" t="s">
        <v>392</v>
      </c>
      <c r="I16" s="116" t="s">
        <v>399</v>
      </c>
    </row>
    <row r="17" spans="4:11">
      <c r="D17" s="27">
        <v>1</v>
      </c>
      <c r="E17" t="s">
        <v>401</v>
      </c>
      <c r="F17" s="27">
        <v>2201</v>
      </c>
      <c r="G17" s="27" t="str">
        <f>F17&amp;""</f>
        <v>2201</v>
      </c>
      <c r="H17" s="27">
        <f>INT(I17/30*1000)</f>
        <v>200</v>
      </c>
      <c r="I17" s="27">
        <v>6</v>
      </c>
      <c r="J17" s="27">
        <v>8</v>
      </c>
    </row>
    <row r="18" spans="4:11">
      <c r="D18" s="27">
        <v>1</v>
      </c>
      <c r="E18" t="s">
        <v>651</v>
      </c>
      <c r="F18" s="27">
        <v>2202</v>
      </c>
      <c r="G18" s="27" t="str">
        <f t="shared" ref="G18:G30" si="1">F18&amp;""</f>
        <v>2202</v>
      </c>
      <c r="H18" s="27">
        <f t="shared" ref="H18:H28" si="2">INT(I18/30*1000)</f>
        <v>333</v>
      </c>
      <c r="I18" s="27">
        <v>10</v>
      </c>
      <c r="J18" s="27">
        <v>16</v>
      </c>
    </row>
    <row r="19" spans="4:11">
      <c r="D19" s="27">
        <v>1</v>
      </c>
      <c r="E19" t="s">
        <v>402</v>
      </c>
      <c r="F19" s="27">
        <v>2204</v>
      </c>
      <c r="G19" s="27" t="str">
        <f t="shared" si="1"/>
        <v>2204</v>
      </c>
      <c r="H19" s="27">
        <f t="shared" si="2"/>
        <v>333</v>
      </c>
      <c r="I19" s="27">
        <f t="shared" ref="I19:I27" si="3">J19-1</f>
        <v>10</v>
      </c>
      <c r="J19" s="27">
        <v>11</v>
      </c>
    </row>
    <row r="20" spans="4:11">
      <c r="D20" s="27">
        <v>1</v>
      </c>
      <c r="E20" t="s">
        <v>403</v>
      </c>
      <c r="F20" s="27">
        <v>2207</v>
      </c>
      <c r="G20" s="27" t="str">
        <f t="shared" si="1"/>
        <v>2207</v>
      </c>
      <c r="H20" s="27">
        <f t="shared" si="2"/>
        <v>333</v>
      </c>
      <c r="I20" s="27">
        <v>10</v>
      </c>
      <c r="J20" s="27">
        <v>16</v>
      </c>
    </row>
    <row r="21" spans="4:11">
      <c r="D21" s="27"/>
      <c r="E21" s="119" t="s">
        <v>404</v>
      </c>
      <c r="F21" s="120">
        <v>2209</v>
      </c>
      <c r="G21" s="120" t="str">
        <f t="shared" si="1"/>
        <v>2209</v>
      </c>
      <c r="H21" s="120">
        <f t="shared" si="2"/>
        <v>166</v>
      </c>
      <c r="I21" s="120">
        <f t="shared" si="3"/>
        <v>5</v>
      </c>
      <c r="J21" s="120">
        <v>6</v>
      </c>
      <c r="K21" s="121" t="s">
        <v>414</v>
      </c>
    </row>
    <row r="22" spans="4:11">
      <c r="D22" s="27">
        <v>1</v>
      </c>
      <c r="E22" t="s">
        <v>405</v>
      </c>
      <c r="F22" s="27">
        <v>2210</v>
      </c>
      <c r="G22" s="27" t="str">
        <f t="shared" si="1"/>
        <v>2210</v>
      </c>
      <c r="H22" s="27">
        <f t="shared" si="2"/>
        <v>333</v>
      </c>
      <c r="I22" s="27">
        <v>10</v>
      </c>
      <c r="J22" s="27">
        <v>14</v>
      </c>
    </row>
    <row r="23" spans="4:11">
      <c r="D23" s="27">
        <v>1</v>
      </c>
      <c r="E23" t="s">
        <v>406</v>
      </c>
      <c r="F23" s="27">
        <v>2211</v>
      </c>
      <c r="G23" s="27" t="str">
        <f t="shared" si="1"/>
        <v>2211</v>
      </c>
      <c r="H23" s="27">
        <f t="shared" si="2"/>
        <v>333</v>
      </c>
      <c r="I23" s="27">
        <v>10</v>
      </c>
      <c r="J23" s="27">
        <v>16</v>
      </c>
    </row>
    <row r="24" spans="4:11">
      <c r="D24" s="27">
        <v>2</v>
      </c>
      <c r="E24" t="s">
        <v>407</v>
      </c>
      <c r="F24" s="27">
        <v>2214</v>
      </c>
      <c r="G24" s="27" t="str">
        <f t="shared" si="1"/>
        <v>2214</v>
      </c>
      <c r="H24" s="27">
        <f t="shared" si="2"/>
        <v>200</v>
      </c>
      <c r="I24" s="27">
        <v>6</v>
      </c>
      <c r="J24" s="27">
        <v>6</v>
      </c>
    </row>
    <row r="25" spans="4:11">
      <c r="D25" s="27">
        <v>1</v>
      </c>
      <c r="E25" t="s">
        <v>408</v>
      </c>
      <c r="F25" s="27">
        <v>2215</v>
      </c>
      <c r="G25" s="27" t="str">
        <f t="shared" si="1"/>
        <v>2215</v>
      </c>
      <c r="H25" s="27">
        <f t="shared" si="2"/>
        <v>200</v>
      </c>
      <c r="I25" s="27">
        <v>6</v>
      </c>
      <c r="J25" s="27">
        <v>6</v>
      </c>
    </row>
    <row r="26" spans="4:11">
      <c r="D26" s="27">
        <v>1</v>
      </c>
      <c r="E26" t="s">
        <v>409</v>
      </c>
      <c r="F26" s="27">
        <v>2218</v>
      </c>
      <c r="G26" s="27" t="str">
        <f t="shared" si="1"/>
        <v>2218</v>
      </c>
      <c r="H26" s="27">
        <f t="shared" si="2"/>
        <v>266</v>
      </c>
      <c r="I26" s="27">
        <f t="shared" si="3"/>
        <v>8</v>
      </c>
      <c r="J26" s="27">
        <v>9</v>
      </c>
    </row>
    <row r="27" spans="4:11">
      <c r="D27" s="27">
        <v>2</v>
      </c>
      <c r="E27" t="s">
        <v>410</v>
      </c>
      <c r="F27" s="27">
        <v>2221</v>
      </c>
      <c r="G27" s="27" t="str">
        <f t="shared" si="1"/>
        <v>2221</v>
      </c>
      <c r="H27" s="27">
        <f t="shared" si="2"/>
        <v>300</v>
      </c>
      <c r="I27" s="27">
        <f t="shared" si="3"/>
        <v>9</v>
      </c>
      <c r="J27" s="27">
        <v>10</v>
      </c>
    </row>
    <row r="28" spans="4:11">
      <c r="D28" s="27">
        <v>2</v>
      </c>
      <c r="E28" t="s">
        <v>398</v>
      </c>
      <c r="F28" s="27">
        <v>2223</v>
      </c>
      <c r="G28" s="27" t="str">
        <f t="shared" si="1"/>
        <v>2223</v>
      </c>
      <c r="H28" s="27">
        <f t="shared" si="2"/>
        <v>333</v>
      </c>
      <c r="I28" s="27">
        <v>10</v>
      </c>
      <c r="J28" s="27">
        <v>12</v>
      </c>
    </row>
    <row r="29" spans="4:11">
      <c r="D29" s="27"/>
      <c r="E29" t="s">
        <v>445</v>
      </c>
      <c r="F29" s="27">
        <v>2217</v>
      </c>
      <c r="G29" s="27" t="str">
        <f t="shared" si="1"/>
        <v>2217</v>
      </c>
      <c r="H29" s="120">
        <v>166</v>
      </c>
      <c r="I29" s="120">
        <v>5</v>
      </c>
    </row>
    <row r="30" spans="4:11">
      <c r="D30" s="27"/>
      <c r="E30" t="s">
        <v>446</v>
      </c>
      <c r="F30" s="27">
        <v>2216</v>
      </c>
      <c r="G30" s="27" t="str">
        <f t="shared" si="1"/>
        <v>2216</v>
      </c>
      <c r="H30" s="27">
        <f t="shared" ref="H30" si="4">INT(I30/30*1000)</f>
        <v>200</v>
      </c>
      <c r="I30" s="27">
        <v>6</v>
      </c>
    </row>
    <row r="31" spans="4:11">
      <c r="E31" t="s">
        <v>413</v>
      </c>
      <c r="F31" s="27">
        <v>2004</v>
      </c>
      <c r="G31" s="27" t="str">
        <f t="shared" ref="G31:G36" si="5">F31&amp;""</f>
        <v>2004</v>
      </c>
      <c r="H31" s="27">
        <f t="shared" ref="H31" si="6">INT(I31/30*1000)</f>
        <v>33</v>
      </c>
      <c r="I31" s="27">
        <v>1</v>
      </c>
      <c r="K31" t="s">
        <v>415</v>
      </c>
    </row>
    <row r="32" spans="4:11">
      <c r="E32" t="s">
        <v>436</v>
      </c>
      <c r="F32" s="27"/>
      <c r="G32" s="27"/>
      <c r="H32" s="27"/>
      <c r="I32" s="27"/>
      <c r="K32" t="s">
        <v>437</v>
      </c>
    </row>
    <row r="33" spans="5:11">
      <c r="E33" t="s">
        <v>455</v>
      </c>
      <c r="F33" s="27">
        <v>2219</v>
      </c>
      <c r="G33" s="27" t="str">
        <f t="shared" si="5"/>
        <v>2219</v>
      </c>
      <c r="H33" s="27">
        <f t="shared" ref="H33:H36" si="7">INT(I33/30*1000)</f>
        <v>433</v>
      </c>
      <c r="I33" s="27">
        <f t="shared" ref="I33:I34" si="8">J33-1</f>
        <v>13</v>
      </c>
      <c r="J33" s="27">
        <v>14</v>
      </c>
      <c r="K33" t="s">
        <v>457</v>
      </c>
    </row>
    <row r="34" spans="5:11">
      <c r="E34" t="s">
        <v>456</v>
      </c>
      <c r="F34" s="27">
        <v>2213</v>
      </c>
      <c r="G34" s="27" t="str">
        <f t="shared" si="5"/>
        <v>2213</v>
      </c>
      <c r="H34" s="27">
        <f t="shared" si="7"/>
        <v>200</v>
      </c>
      <c r="I34" s="27">
        <f t="shared" si="8"/>
        <v>6</v>
      </c>
      <c r="J34" s="27">
        <v>7</v>
      </c>
    </row>
    <row r="35" spans="5:11">
      <c r="E35" t="s">
        <v>542</v>
      </c>
      <c r="F35" s="27">
        <v>2220</v>
      </c>
      <c r="G35" s="27" t="str">
        <f t="shared" si="5"/>
        <v>2220</v>
      </c>
      <c r="H35" s="27">
        <f t="shared" si="7"/>
        <v>333</v>
      </c>
      <c r="I35" s="27">
        <v>10</v>
      </c>
      <c r="J35" s="27">
        <v>16</v>
      </c>
    </row>
    <row r="36" spans="5:11">
      <c r="E36" t="s">
        <v>588</v>
      </c>
      <c r="F36" s="27">
        <v>2203</v>
      </c>
      <c r="G36" s="27" t="str">
        <f t="shared" si="5"/>
        <v>2203</v>
      </c>
      <c r="H36" s="27">
        <f t="shared" si="7"/>
        <v>266</v>
      </c>
      <c r="I36" s="27">
        <v>8</v>
      </c>
      <c r="J36" s="27">
        <v>8</v>
      </c>
    </row>
    <row r="37" spans="5:11">
      <c r="E37" t="s">
        <v>589</v>
      </c>
      <c r="F37" s="27">
        <v>2005</v>
      </c>
      <c r="G37" s="27" t="str">
        <f t="shared" ref="G37:G41" si="9">F37&amp;""</f>
        <v>2005</v>
      </c>
      <c r="H37" s="27">
        <f t="shared" ref="H37:H39" si="10">INT(I37/30*1000)</f>
        <v>100</v>
      </c>
      <c r="I37" s="27">
        <v>3</v>
      </c>
      <c r="J37" s="27">
        <v>3</v>
      </c>
    </row>
    <row r="38" spans="5:11">
      <c r="E38" t="s">
        <v>590</v>
      </c>
      <c r="F38" s="27">
        <v>2002</v>
      </c>
      <c r="G38" s="27" t="str">
        <f t="shared" si="9"/>
        <v>2002</v>
      </c>
      <c r="H38" s="27">
        <f t="shared" si="10"/>
        <v>100</v>
      </c>
      <c r="I38" s="27">
        <v>3</v>
      </c>
      <c r="J38" s="27">
        <v>3</v>
      </c>
    </row>
    <row r="39" spans="5:11">
      <c r="E39" t="s">
        <v>591</v>
      </c>
      <c r="F39" s="27">
        <v>2001</v>
      </c>
      <c r="G39" s="27" t="str">
        <f t="shared" si="9"/>
        <v>2001</v>
      </c>
      <c r="H39" s="27">
        <f t="shared" si="10"/>
        <v>100</v>
      </c>
      <c r="I39" s="27">
        <v>3</v>
      </c>
      <c r="J39" s="27">
        <v>3</v>
      </c>
    </row>
    <row r="40" spans="5:11">
      <c r="E40" t="s">
        <v>652</v>
      </c>
      <c r="F40" s="27">
        <v>2227</v>
      </c>
      <c r="G40" s="27" t="str">
        <f t="shared" si="9"/>
        <v>2227</v>
      </c>
      <c r="H40" s="27">
        <f t="shared" ref="H40" si="11">INT(I40/30*1000)</f>
        <v>166</v>
      </c>
      <c r="I40" s="27">
        <v>5</v>
      </c>
      <c r="J40" s="27">
        <v>3</v>
      </c>
    </row>
    <row r="41" spans="5:11">
      <c r="E41" t="s">
        <v>688</v>
      </c>
      <c r="F41">
        <v>2006</v>
      </c>
      <c r="G41" s="27" t="str">
        <f t="shared" si="9"/>
        <v>2006</v>
      </c>
      <c r="H41" s="27">
        <f t="shared" ref="H41" si="12">INT(I41/30*1000)</f>
        <v>166</v>
      </c>
      <c r="I41" s="27">
        <v>5</v>
      </c>
      <c r="J41" s="27">
        <v>3</v>
      </c>
    </row>
    <row r="42" spans="5:11">
      <c r="E42" t="s">
        <v>689</v>
      </c>
      <c r="F42">
        <v>2208</v>
      </c>
      <c r="G42" s="27" t="str">
        <f t="shared" ref="G42" si="13">F42&amp;""</f>
        <v>2208</v>
      </c>
      <c r="H42" s="27">
        <f t="shared" ref="H42" si="14">INT(I42/30*1000)</f>
        <v>166</v>
      </c>
      <c r="I42" s="27">
        <v>5</v>
      </c>
      <c r="J42" s="27">
        <v>3</v>
      </c>
    </row>
  </sheetData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D2:I57"/>
  <sheetViews>
    <sheetView workbookViewId="0">
      <selection activeCell="D20" sqref="D20"/>
    </sheetView>
  </sheetViews>
  <sheetFormatPr defaultRowHeight="13.5"/>
  <cols>
    <col min="4" max="4" width="19.125" customWidth="1"/>
    <col min="7" max="7" width="21" customWidth="1"/>
    <col min="9" max="9" width="21.875" customWidth="1"/>
  </cols>
  <sheetData>
    <row r="2" spans="4:9">
      <c r="G2" t="s">
        <v>176</v>
      </c>
    </row>
    <row r="3" spans="4:9">
      <c r="D3" s="35" t="s">
        <v>142</v>
      </c>
    </row>
    <row r="4" spans="4:9">
      <c r="D4" s="35" t="s">
        <v>143</v>
      </c>
    </row>
    <row r="5" spans="4:9">
      <c r="D5" s="35" t="s">
        <v>136</v>
      </c>
    </row>
    <row r="6" spans="4:9">
      <c r="D6" s="35" t="s">
        <v>137</v>
      </c>
    </row>
    <row r="7" spans="4:9">
      <c r="D7" s="35" t="s">
        <v>138</v>
      </c>
    </row>
    <row r="8" spans="4:9">
      <c r="D8" s="42" t="s">
        <v>139</v>
      </c>
    </row>
    <row r="9" spans="4:9">
      <c r="D9" s="35" t="s">
        <v>140</v>
      </c>
    </row>
    <row r="10" spans="4:9">
      <c r="D10" s="35" t="s">
        <v>141</v>
      </c>
    </row>
    <row r="11" spans="4:9">
      <c r="I11" t="s">
        <v>178</v>
      </c>
    </row>
    <row r="14" spans="4:9">
      <c r="D14" t="s">
        <v>175</v>
      </c>
      <c r="G14" t="s">
        <v>176</v>
      </c>
      <c r="I14" t="s">
        <v>177</v>
      </c>
    </row>
    <row r="16" spans="4:9">
      <c r="D16" s="32" t="s">
        <v>144</v>
      </c>
      <c r="G16" s="35" t="s">
        <v>142</v>
      </c>
      <c r="I16" s="35" t="s">
        <v>142</v>
      </c>
    </row>
    <row r="17" spans="4:9">
      <c r="D17" s="32" t="s">
        <v>145</v>
      </c>
      <c r="G17" s="35" t="s">
        <v>143</v>
      </c>
      <c r="I17" s="35" t="s">
        <v>143</v>
      </c>
    </row>
    <row r="18" spans="4:9">
      <c r="D18" s="43" t="s">
        <v>146</v>
      </c>
      <c r="G18" s="43" t="s">
        <v>151</v>
      </c>
      <c r="I18" s="43" t="s">
        <v>151</v>
      </c>
    </row>
    <row r="19" spans="4:9">
      <c r="D19" s="43" t="s">
        <v>147</v>
      </c>
      <c r="G19" s="32" t="s">
        <v>145</v>
      </c>
      <c r="I19" s="32" t="s">
        <v>145</v>
      </c>
    </row>
    <row r="20" spans="4:9">
      <c r="D20" s="43" t="s">
        <v>148</v>
      </c>
      <c r="G20" s="43" t="s">
        <v>88</v>
      </c>
      <c r="I20" s="43" t="s">
        <v>88</v>
      </c>
    </row>
    <row r="21" spans="4:9">
      <c r="D21" s="43" t="s">
        <v>149</v>
      </c>
      <c r="G21" s="43" t="s">
        <v>152</v>
      </c>
      <c r="I21" s="43" t="s">
        <v>152</v>
      </c>
    </row>
    <row r="22" spans="4:9">
      <c r="D22" s="43" t="s">
        <v>150</v>
      </c>
      <c r="G22" s="32" t="s">
        <v>144</v>
      </c>
      <c r="I22" s="32" t="s">
        <v>144</v>
      </c>
    </row>
    <row r="23" spans="4:9">
      <c r="D23" s="43" t="s">
        <v>151</v>
      </c>
      <c r="G23" s="35" t="s">
        <v>137</v>
      </c>
      <c r="I23" s="35" t="s">
        <v>137</v>
      </c>
    </row>
    <row r="24" spans="4:9">
      <c r="D24" s="43" t="s">
        <v>88</v>
      </c>
      <c r="G24" s="35" t="s">
        <v>141</v>
      </c>
      <c r="I24" s="35" t="s">
        <v>141</v>
      </c>
    </row>
    <row r="25" spans="4:9">
      <c r="D25" s="43" t="s">
        <v>152</v>
      </c>
      <c r="G25" s="43" t="s">
        <v>150</v>
      </c>
      <c r="I25" s="43" t="s">
        <v>150</v>
      </c>
    </row>
    <row r="26" spans="4:9">
      <c r="D26" s="43" t="s">
        <v>153</v>
      </c>
      <c r="G26" s="43" t="s">
        <v>146</v>
      </c>
      <c r="I26" s="43" t="s">
        <v>146</v>
      </c>
    </row>
    <row r="27" spans="4:9">
      <c r="D27" s="43" t="s">
        <v>154</v>
      </c>
      <c r="G27" s="43" t="s">
        <v>147</v>
      </c>
      <c r="I27" s="43" t="s">
        <v>147</v>
      </c>
    </row>
    <row r="28" spans="4:9">
      <c r="D28" s="43" t="s">
        <v>155</v>
      </c>
      <c r="G28" s="43" t="s">
        <v>148</v>
      </c>
      <c r="I28" s="43" t="s">
        <v>148</v>
      </c>
    </row>
    <row r="29" spans="4:9">
      <c r="D29" s="43" t="s">
        <v>156</v>
      </c>
      <c r="G29" s="43" t="s">
        <v>149</v>
      </c>
      <c r="I29" s="43" t="s">
        <v>149</v>
      </c>
    </row>
    <row r="30" spans="4:9">
      <c r="D30" s="43" t="s">
        <v>157</v>
      </c>
      <c r="G30" s="35" t="s">
        <v>136</v>
      </c>
      <c r="I30" s="35" t="s">
        <v>136</v>
      </c>
    </row>
    <row r="31" spans="4:9">
      <c r="D31" s="43" t="s">
        <v>158</v>
      </c>
      <c r="G31" s="42" t="s">
        <v>139</v>
      </c>
      <c r="I31" s="42" t="s">
        <v>139</v>
      </c>
    </row>
    <row r="32" spans="4:9">
      <c r="D32" s="43" t="s">
        <v>159</v>
      </c>
      <c r="G32" s="35" t="s">
        <v>140</v>
      </c>
      <c r="I32" s="35" t="s">
        <v>140</v>
      </c>
    </row>
    <row r="33" spans="4:9">
      <c r="D33" s="43" t="s">
        <v>160</v>
      </c>
      <c r="G33" s="35" t="s">
        <v>138</v>
      </c>
      <c r="I33" s="35" t="s">
        <v>138</v>
      </c>
    </row>
    <row r="34" spans="4:9">
      <c r="D34" s="43" t="s">
        <v>161</v>
      </c>
      <c r="G34" s="43" t="s">
        <v>153</v>
      </c>
      <c r="I34" s="43" t="s">
        <v>153</v>
      </c>
    </row>
    <row r="35" spans="4:9">
      <c r="D35" s="32" t="s">
        <v>162</v>
      </c>
      <c r="G35" s="43" t="s">
        <v>154</v>
      </c>
      <c r="I35" s="43" t="s">
        <v>154</v>
      </c>
    </row>
    <row r="36" spans="4:9">
      <c r="D36" s="43" t="s">
        <v>163</v>
      </c>
      <c r="G36" s="43" t="s">
        <v>155</v>
      </c>
      <c r="I36" s="43" t="s">
        <v>155</v>
      </c>
    </row>
    <row r="37" spans="4:9">
      <c r="D37" s="43" t="s">
        <v>164</v>
      </c>
      <c r="G37" s="43" t="s">
        <v>156</v>
      </c>
      <c r="I37" s="43" t="s">
        <v>156</v>
      </c>
    </row>
    <row r="38" spans="4:9">
      <c r="D38" s="43" t="s">
        <v>43</v>
      </c>
      <c r="G38" s="43" t="s">
        <v>157</v>
      </c>
      <c r="I38" s="43" t="s">
        <v>157</v>
      </c>
    </row>
    <row r="39" spans="4:9">
      <c r="D39" s="43" t="s">
        <v>165</v>
      </c>
      <c r="G39" s="43" t="s">
        <v>158</v>
      </c>
      <c r="I39" s="43" t="s">
        <v>158</v>
      </c>
    </row>
    <row r="40" spans="4:9">
      <c r="D40" s="32" t="s">
        <v>166</v>
      </c>
      <c r="I40" s="43" t="s">
        <v>159</v>
      </c>
    </row>
    <row r="41" spans="4:9">
      <c r="D41" s="43" t="s">
        <v>167</v>
      </c>
      <c r="I41" s="43" t="s">
        <v>160</v>
      </c>
    </row>
    <row r="42" spans="4:9">
      <c r="D42" s="43" t="s">
        <v>168</v>
      </c>
      <c r="I42" s="43" t="s">
        <v>161</v>
      </c>
    </row>
    <row r="43" spans="4:9">
      <c r="D43" s="43" t="s">
        <v>169</v>
      </c>
      <c r="I43" s="32" t="s">
        <v>162</v>
      </c>
    </row>
    <row r="44" spans="4:9">
      <c r="D44" s="43" t="s">
        <v>170</v>
      </c>
      <c r="I44" s="43" t="s">
        <v>163</v>
      </c>
    </row>
    <row r="45" spans="4:9">
      <c r="D45" s="43" t="s">
        <v>44</v>
      </c>
      <c r="I45" s="43" t="s">
        <v>164</v>
      </c>
    </row>
    <row r="46" spans="4:9">
      <c r="D46" s="43" t="s">
        <v>171</v>
      </c>
      <c r="I46" s="43" t="s">
        <v>43</v>
      </c>
    </row>
    <row r="47" spans="4:9">
      <c r="D47" s="43" t="s">
        <v>172</v>
      </c>
      <c r="I47" s="43" t="s">
        <v>165</v>
      </c>
    </row>
    <row r="48" spans="4:9">
      <c r="D48" s="43" t="s">
        <v>173</v>
      </c>
      <c r="I48" s="32" t="s">
        <v>166</v>
      </c>
    </row>
    <row r="49" spans="4:9">
      <c r="D49" s="43" t="s">
        <v>174</v>
      </c>
      <c r="I49" s="43" t="s">
        <v>167</v>
      </c>
    </row>
    <row r="50" spans="4:9">
      <c r="D50" s="44"/>
      <c r="I50" s="43" t="s">
        <v>168</v>
      </c>
    </row>
    <row r="51" spans="4:9">
      <c r="D51" s="44"/>
      <c r="I51" s="43" t="s">
        <v>169</v>
      </c>
    </row>
    <row r="52" spans="4:9">
      <c r="I52" s="43" t="s">
        <v>170</v>
      </c>
    </row>
    <row r="53" spans="4:9">
      <c r="I53" s="43" t="s">
        <v>44</v>
      </c>
    </row>
    <row r="54" spans="4:9">
      <c r="I54" s="43" t="s">
        <v>171</v>
      </c>
    </row>
    <row r="55" spans="4:9">
      <c r="I55" s="43" t="s">
        <v>172</v>
      </c>
    </row>
    <row r="56" spans="4:9">
      <c r="I56" s="43" t="s">
        <v>173</v>
      </c>
    </row>
    <row r="57" spans="4:9">
      <c r="I57" s="43" t="s">
        <v>174</v>
      </c>
    </row>
  </sheetData>
  <phoneticPr fontId="1" type="noConversion"/>
  <conditionalFormatting sqref="I16:I57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N119"/>
  <sheetViews>
    <sheetView workbookViewId="0">
      <selection activeCell="M2" sqref="M2"/>
    </sheetView>
  </sheetViews>
  <sheetFormatPr defaultRowHeight="13.5"/>
  <sheetData>
    <row r="1" spans="1:40">
      <c r="B1" t="s">
        <v>12</v>
      </c>
      <c r="C1">
        <v>2</v>
      </c>
      <c r="D1">
        <v>31</v>
      </c>
      <c r="F1">
        <v>4</v>
      </c>
      <c r="G1">
        <v>5</v>
      </c>
      <c r="H1">
        <v>6</v>
      </c>
      <c r="I1">
        <v>7</v>
      </c>
      <c r="J1">
        <v>8</v>
      </c>
      <c r="K1">
        <v>10</v>
      </c>
      <c r="L1">
        <v>11</v>
      </c>
      <c r="O1">
        <v>9</v>
      </c>
      <c r="T1">
        <v>29</v>
      </c>
      <c r="U1">
        <v>30</v>
      </c>
      <c r="V1">
        <v>16</v>
      </c>
      <c r="W1">
        <v>18</v>
      </c>
      <c r="Z1">
        <v>19</v>
      </c>
      <c r="AA1">
        <v>24</v>
      </c>
      <c r="AB1">
        <v>20</v>
      </c>
      <c r="AC1">
        <v>25</v>
      </c>
      <c r="AE1">
        <v>22</v>
      </c>
      <c r="AM1">
        <v>12</v>
      </c>
      <c r="AN1" t="s">
        <v>13</v>
      </c>
    </row>
    <row r="2" spans="1:40">
      <c r="B2" t="s">
        <v>397</v>
      </c>
      <c r="C2" t="s">
        <v>25</v>
      </c>
      <c r="D2" t="s">
        <v>715</v>
      </c>
      <c r="E2" t="s">
        <v>718</v>
      </c>
      <c r="F2" t="s">
        <v>2</v>
      </c>
      <c r="G2" t="s">
        <v>720</v>
      </c>
      <c r="H2" t="s">
        <v>722</v>
      </c>
      <c r="I2" t="s">
        <v>724</v>
      </c>
      <c r="J2" t="s">
        <v>544</v>
      </c>
      <c r="K2" t="s">
        <v>726</v>
      </c>
      <c r="L2" t="s">
        <v>728</v>
      </c>
      <c r="M2" t="s">
        <v>795</v>
      </c>
      <c r="N2" t="s">
        <v>546</v>
      </c>
      <c r="O2" t="s">
        <v>26</v>
      </c>
      <c r="P2" t="s">
        <v>841</v>
      </c>
      <c r="Q2" t="s">
        <v>27</v>
      </c>
      <c r="R2" t="s">
        <v>28</v>
      </c>
      <c r="S2" t="s">
        <v>843</v>
      </c>
      <c r="T2" t="s">
        <v>817</v>
      </c>
      <c r="U2" t="s">
        <v>818</v>
      </c>
      <c r="V2" t="s">
        <v>30</v>
      </c>
      <c r="W2" t="s">
        <v>815</v>
      </c>
      <c r="X2" t="s">
        <v>820</v>
      </c>
      <c r="Y2" t="s">
        <v>368</v>
      </c>
      <c r="Z2" t="s">
        <v>730</v>
      </c>
      <c r="AA2" t="s">
        <v>823</v>
      </c>
      <c r="AB2" t="s">
        <v>816</v>
      </c>
      <c r="AC2" t="s">
        <v>819</v>
      </c>
      <c r="AD2" t="s">
        <v>847</v>
      </c>
      <c r="AE2" t="s">
        <v>825</v>
      </c>
      <c r="AF2" t="s">
        <v>827</v>
      </c>
      <c r="AG2" t="s">
        <v>731</v>
      </c>
      <c r="AH2" t="s">
        <v>735</v>
      </c>
      <c r="AI2" t="s">
        <v>733</v>
      </c>
      <c r="AJ2" t="s">
        <v>831</v>
      </c>
      <c r="AK2" t="s">
        <v>832</v>
      </c>
      <c r="AL2" t="s">
        <v>834</v>
      </c>
      <c r="AM2" t="s">
        <v>836</v>
      </c>
      <c r="AN2" t="s">
        <v>851</v>
      </c>
    </row>
    <row r="3" spans="1:40">
      <c r="B3" t="s">
        <v>14</v>
      </c>
      <c r="C3" t="s">
        <v>714</v>
      </c>
      <c r="D3" t="s">
        <v>716</v>
      </c>
      <c r="E3" t="s">
        <v>543</v>
      </c>
      <c r="F3" t="s">
        <v>14</v>
      </c>
      <c r="G3" t="s">
        <v>14</v>
      </c>
      <c r="H3" t="s">
        <v>14</v>
      </c>
      <c r="I3" t="s">
        <v>14</v>
      </c>
      <c r="J3" t="s">
        <v>543</v>
      </c>
      <c r="K3" t="s">
        <v>716</v>
      </c>
      <c r="L3" t="s">
        <v>716</v>
      </c>
      <c r="M3" t="s">
        <v>32</v>
      </c>
      <c r="N3" t="s">
        <v>32</v>
      </c>
      <c r="O3" t="s">
        <v>32</v>
      </c>
      <c r="P3" t="s">
        <v>32</v>
      </c>
      <c r="Q3" t="s">
        <v>699</v>
      </c>
      <c r="R3" t="s">
        <v>699</v>
      </c>
      <c r="S3" t="s">
        <v>699</v>
      </c>
      <c r="T3" t="s">
        <v>32</v>
      </c>
      <c r="U3" t="s">
        <v>699</v>
      </c>
      <c r="V3" t="s">
        <v>32</v>
      </c>
      <c r="W3" t="s">
        <v>32</v>
      </c>
      <c r="X3" t="s">
        <v>32</v>
      </c>
      <c r="Y3" t="s">
        <v>32</v>
      </c>
      <c r="Z3" t="s">
        <v>32</v>
      </c>
      <c r="AA3" t="s">
        <v>32</v>
      </c>
      <c r="AB3" t="s">
        <v>32</v>
      </c>
      <c r="AC3" t="s">
        <v>32</v>
      </c>
      <c r="AD3" t="s">
        <v>32</v>
      </c>
      <c r="AE3" t="s">
        <v>716</v>
      </c>
      <c r="AF3" t="s">
        <v>32</v>
      </c>
      <c r="AG3" t="s">
        <v>32</v>
      </c>
      <c r="AH3" t="s">
        <v>32</v>
      </c>
      <c r="AI3" t="s">
        <v>14</v>
      </c>
      <c r="AJ3" t="s">
        <v>32</v>
      </c>
      <c r="AK3" t="s">
        <v>14</v>
      </c>
      <c r="AL3" t="s">
        <v>32</v>
      </c>
      <c r="AM3" t="s">
        <v>32</v>
      </c>
      <c r="AN3" t="s">
        <v>32</v>
      </c>
    </row>
    <row r="4" spans="1:40">
      <c r="B4" t="s">
        <v>15</v>
      </c>
      <c r="C4" t="s">
        <v>15</v>
      </c>
      <c r="F4" t="s">
        <v>15</v>
      </c>
      <c r="G4" t="s">
        <v>15</v>
      </c>
      <c r="H4" t="s">
        <v>15</v>
      </c>
      <c r="I4" t="s">
        <v>15</v>
      </c>
      <c r="J4" t="s">
        <v>15</v>
      </c>
      <c r="K4" t="s">
        <v>15</v>
      </c>
      <c r="M4" t="s">
        <v>15</v>
      </c>
      <c r="N4" t="s">
        <v>15</v>
      </c>
      <c r="O4" t="s">
        <v>15</v>
      </c>
      <c r="Q4" t="s">
        <v>15</v>
      </c>
      <c r="R4" t="s">
        <v>15</v>
      </c>
      <c r="S4" t="s">
        <v>15</v>
      </c>
      <c r="T4" t="s">
        <v>15</v>
      </c>
      <c r="U4" t="s">
        <v>15</v>
      </c>
      <c r="V4" t="s">
        <v>15</v>
      </c>
      <c r="W4" t="s">
        <v>15</v>
      </c>
      <c r="X4" t="s">
        <v>15</v>
      </c>
      <c r="Y4" t="s">
        <v>15</v>
      </c>
      <c r="Z4" t="s">
        <v>15</v>
      </c>
      <c r="AA4" t="s">
        <v>15</v>
      </c>
      <c r="AB4" t="s">
        <v>15</v>
      </c>
      <c r="AC4" t="s">
        <v>15</v>
      </c>
      <c r="AD4" t="s">
        <v>15</v>
      </c>
      <c r="AE4" t="s">
        <v>15</v>
      </c>
      <c r="AF4" t="s">
        <v>15</v>
      </c>
      <c r="AG4" t="s">
        <v>15</v>
      </c>
      <c r="AH4" t="s">
        <v>15</v>
      </c>
      <c r="AI4" t="s">
        <v>15</v>
      </c>
      <c r="AJ4" t="s">
        <v>15</v>
      </c>
      <c r="AK4" t="s">
        <v>15</v>
      </c>
      <c r="AL4" t="s">
        <v>15</v>
      </c>
      <c r="AM4" t="s">
        <v>15</v>
      </c>
      <c r="AN4" t="s">
        <v>15</v>
      </c>
    </row>
    <row r="5" spans="1:40">
      <c r="B5" t="s">
        <v>16</v>
      </c>
      <c r="C5" t="s">
        <v>16</v>
      </c>
      <c r="F5" t="s">
        <v>16</v>
      </c>
      <c r="G5" t="s">
        <v>16</v>
      </c>
      <c r="H5" t="s">
        <v>16</v>
      </c>
      <c r="I5" t="s">
        <v>16</v>
      </c>
      <c r="J5" t="s">
        <v>16</v>
      </c>
      <c r="K5" t="s">
        <v>16</v>
      </c>
      <c r="M5" t="s">
        <v>16</v>
      </c>
      <c r="O5" t="s">
        <v>16</v>
      </c>
      <c r="Q5" t="s">
        <v>16</v>
      </c>
      <c r="R5" t="s">
        <v>16</v>
      </c>
      <c r="S5" t="s">
        <v>16</v>
      </c>
      <c r="T5" t="s">
        <v>16</v>
      </c>
      <c r="U5" t="s">
        <v>16</v>
      </c>
      <c r="V5" t="s">
        <v>16</v>
      </c>
      <c r="W5" t="s">
        <v>16</v>
      </c>
      <c r="X5" t="s">
        <v>16</v>
      </c>
      <c r="Y5" t="s">
        <v>16</v>
      </c>
      <c r="Z5" t="s">
        <v>16</v>
      </c>
      <c r="AA5" t="s">
        <v>16</v>
      </c>
      <c r="AB5" t="s">
        <v>16</v>
      </c>
      <c r="AC5" t="s">
        <v>16</v>
      </c>
      <c r="AD5" t="s">
        <v>16</v>
      </c>
      <c r="AE5" t="s">
        <v>16</v>
      </c>
      <c r="AF5" t="s">
        <v>16</v>
      </c>
      <c r="AG5" t="s">
        <v>16</v>
      </c>
      <c r="AH5" t="s">
        <v>16</v>
      </c>
      <c r="AI5" t="s">
        <v>16</v>
      </c>
      <c r="AJ5" t="s">
        <v>16</v>
      </c>
      <c r="AK5" t="s">
        <v>16</v>
      </c>
      <c r="AL5" t="s">
        <v>16</v>
      </c>
      <c r="AM5" t="s">
        <v>16</v>
      </c>
      <c r="AN5" t="s">
        <v>16</v>
      </c>
    </row>
    <row r="6" spans="1:40" ht="27">
      <c r="B6" t="s">
        <v>397</v>
      </c>
      <c r="C6" t="s">
        <v>135</v>
      </c>
      <c r="D6" t="s">
        <v>717</v>
      </c>
      <c r="E6" t="s">
        <v>719</v>
      </c>
      <c r="F6" t="s">
        <v>4</v>
      </c>
      <c r="G6" t="s">
        <v>721</v>
      </c>
      <c r="H6" t="s">
        <v>723</v>
      </c>
      <c r="I6" t="s">
        <v>725</v>
      </c>
      <c r="J6" t="s">
        <v>545</v>
      </c>
      <c r="K6" t="s">
        <v>727</v>
      </c>
      <c r="L6" t="s">
        <v>729</v>
      </c>
      <c r="M6" t="s">
        <v>807</v>
      </c>
      <c r="N6" t="s">
        <v>547</v>
      </c>
      <c r="O6" t="s">
        <v>740</v>
      </c>
      <c r="P6" t="s">
        <v>842</v>
      </c>
      <c r="Q6" t="s">
        <v>33</v>
      </c>
      <c r="R6" t="s">
        <v>34</v>
      </c>
      <c r="S6" t="s">
        <v>844</v>
      </c>
      <c r="T6" t="s">
        <v>35</v>
      </c>
      <c r="U6" t="s">
        <v>392</v>
      </c>
      <c r="V6" t="s">
        <v>37</v>
      </c>
      <c r="W6" t="s">
        <v>38</v>
      </c>
      <c r="X6" t="s">
        <v>821</v>
      </c>
      <c r="Y6" t="s">
        <v>822</v>
      </c>
      <c r="Z6" t="s">
        <v>370</v>
      </c>
      <c r="AA6" t="s">
        <v>824</v>
      </c>
      <c r="AB6" t="s">
        <v>39</v>
      </c>
      <c r="AC6" t="s">
        <v>40</v>
      </c>
      <c r="AD6" t="s">
        <v>848</v>
      </c>
      <c r="AE6" t="s">
        <v>826</v>
      </c>
      <c r="AF6" s="202" t="s">
        <v>849</v>
      </c>
      <c r="AG6" t="s">
        <v>732</v>
      </c>
      <c r="AH6" t="s">
        <v>736</v>
      </c>
      <c r="AI6" t="s">
        <v>734</v>
      </c>
      <c r="AJ6" s="202" t="s">
        <v>850</v>
      </c>
      <c r="AK6" t="s">
        <v>833</v>
      </c>
      <c r="AL6" t="s">
        <v>835</v>
      </c>
      <c r="AM6" t="s">
        <v>196</v>
      </c>
      <c r="AN6" t="s">
        <v>852</v>
      </c>
    </row>
    <row r="7" spans="1:40">
      <c r="A7" t="s">
        <v>22</v>
      </c>
      <c r="B7">
        <v>201</v>
      </c>
      <c r="C7" t="s">
        <v>640</v>
      </c>
      <c r="D7" t="s">
        <v>563</v>
      </c>
      <c r="F7">
        <v>1</v>
      </c>
      <c r="G7">
        <v>3</v>
      </c>
      <c r="H7">
        <v>0</v>
      </c>
      <c r="I7">
        <v>130</v>
      </c>
      <c r="J7">
        <v>0</v>
      </c>
      <c r="K7">
        <v>1004</v>
      </c>
      <c r="L7">
        <v>2004</v>
      </c>
      <c r="M7">
        <v>1</v>
      </c>
      <c r="N7">
        <v>1</v>
      </c>
      <c r="O7">
        <v>3</v>
      </c>
      <c r="P7">
        <v>0</v>
      </c>
      <c r="Q7">
        <v>400</v>
      </c>
      <c r="R7">
        <v>60</v>
      </c>
      <c r="S7">
        <v>0</v>
      </c>
      <c r="T7">
        <v>800</v>
      </c>
      <c r="U7">
        <v>33</v>
      </c>
      <c r="V7">
        <v>4</v>
      </c>
      <c r="W7">
        <v>27</v>
      </c>
      <c r="X7">
        <v>0</v>
      </c>
      <c r="Y7">
        <v>1</v>
      </c>
      <c r="Z7">
        <v>0</v>
      </c>
      <c r="AA7" t="s">
        <v>845</v>
      </c>
      <c r="AB7">
        <v>165</v>
      </c>
      <c r="AC7">
        <v>5000</v>
      </c>
      <c r="AD7">
        <v>0</v>
      </c>
      <c r="AE7">
        <v>6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1000</v>
      </c>
      <c r="AN7">
        <v>30000</v>
      </c>
    </row>
    <row r="8" spans="1:40">
      <c r="N8">
        <v>2</v>
      </c>
      <c r="Q8">
        <v>440</v>
      </c>
      <c r="R8">
        <v>66</v>
      </c>
      <c r="S8">
        <v>0</v>
      </c>
    </row>
    <row r="9" spans="1:40">
      <c r="N9">
        <v>3</v>
      </c>
      <c r="Q9">
        <v>484</v>
      </c>
      <c r="R9">
        <v>72</v>
      </c>
      <c r="S9">
        <v>0</v>
      </c>
    </row>
    <row r="10" spans="1:40">
      <c r="N10">
        <v>4</v>
      </c>
      <c r="Q10">
        <v>532</v>
      </c>
      <c r="R10">
        <v>79</v>
      </c>
      <c r="S10">
        <v>0</v>
      </c>
    </row>
    <row r="11" spans="1:40">
      <c r="N11">
        <v>5</v>
      </c>
      <c r="Q11">
        <v>584</v>
      </c>
      <c r="R11">
        <v>85</v>
      </c>
      <c r="S11">
        <v>0</v>
      </c>
    </row>
    <row r="12" spans="1:40">
      <c r="N12">
        <v>6</v>
      </c>
      <c r="Q12">
        <v>640</v>
      </c>
      <c r="R12">
        <v>96</v>
      </c>
      <c r="S12">
        <v>0</v>
      </c>
    </row>
    <row r="13" spans="1:40">
      <c r="N13">
        <v>7</v>
      </c>
      <c r="Q13">
        <v>704</v>
      </c>
      <c r="R13">
        <v>105</v>
      </c>
      <c r="S13">
        <v>0</v>
      </c>
    </row>
    <row r="14" spans="1:40">
      <c r="N14">
        <v>8</v>
      </c>
      <c r="Q14">
        <v>772</v>
      </c>
      <c r="R14">
        <v>115</v>
      </c>
      <c r="S14">
        <v>0</v>
      </c>
    </row>
    <row r="15" spans="1:40">
      <c r="N15">
        <v>9</v>
      </c>
      <c r="Q15">
        <v>848</v>
      </c>
      <c r="R15">
        <v>127</v>
      </c>
      <c r="S15">
        <v>0</v>
      </c>
    </row>
    <row r="16" spans="1:40">
      <c r="N16">
        <v>10</v>
      </c>
      <c r="Q16">
        <v>932</v>
      </c>
      <c r="R16">
        <v>139</v>
      </c>
      <c r="S16">
        <v>0</v>
      </c>
    </row>
    <row r="17" spans="2:40">
      <c r="N17">
        <v>11</v>
      </c>
      <c r="Q17">
        <v>1024</v>
      </c>
      <c r="R17">
        <v>153</v>
      </c>
      <c r="S17">
        <v>0</v>
      </c>
    </row>
    <row r="18" spans="2:40">
      <c r="N18">
        <v>12</v>
      </c>
      <c r="Q18">
        <v>1124</v>
      </c>
      <c r="R18">
        <v>168</v>
      </c>
      <c r="S18">
        <v>0</v>
      </c>
    </row>
    <row r="19" spans="2:40">
      <c r="N19">
        <v>13</v>
      </c>
      <c r="Q19">
        <v>1236</v>
      </c>
      <c r="R19">
        <v>185</v>
      </c>
      <c r="S19">
        <v>0</v>
      </c>
    </row>
    <row r="20" spans="2:40">
      <c r="B20">
        <v>204</v>
      </c>
      <c r="C20" t="s">
        <v>838</v>
      </c>
      <c r="D20" t="s">
        <v>565</v>
      </c>
      <c r="F20">
        <v>1</v>
      </c>
      <c r="G20">
        <v>2</v>
      </c>
      <c r="H20">
        <v>0</v>
      </c>
      <c r="I20">
        <v>110</v>
      </c>
      <c r="J20">
        <v>1</v>
      </c>
      <c r="K20">
        <v>1008</v>
      </c>
      <c r="L20">
        <v>2008</v>
      </c>
      <c r="M20">
        <v>0</v>
      </c>
      <c r="N20">
        <v>1</v>
      </c>
      <c r="O20">
        <v>3</v>
      </c>
      <c r="P20">
        <v>0</v>
      </c>
      <c r="Q20">
        <v>200</v>
      </c>
      <c r="R20">
        <v>0</v>
      </c>
      <c r="S20">
        <v>0</v>
      </c>
      <c r="T20">
        <v>0</v>
      </c>
      <c r="U20">
        <v>50</v>
      </c>
      <c r="V20">
        <v>4</v>
      </c>
      <c r="W20">
        <v>27</v>
      </c>
      <c r="X20">
        <v>0</v>
      </c>
      <c r="Y20">
        <v>0</v>
      </c>
      <c r="Z20">
        <v>0</v>
      </c>
      <c r="AA20" t="s">
        <v>845</v>
      </c>
      <c r="AB20" t="s">
        <v>846</v>
      </c>
      <c r="AC20">
        <v>0</v>
      </c>
      <c r="AD20">
        <v>0</v>
      </c>
      <c r="AE20">
        <v>0</v>
      </c>
      <c r="AF20">
        <v>2900</v>
      </c>
      <c r="AG20">
        <v>1</v>
      </c>
      <c r="AH20">
        <v>1</v>
      </c>
      <c r="AI20">
        <v>3</v>
      </c>
      <c r="AJ20">
        <v>4</v>
      </c>
      <c r="AK20">
        <v>1</v>
      </c>
      <c r="AL20">
        <v>3</v>
      </c>
      <c r="AM20">
        <v>1000</v>
      </c>
      <c r="AN20">
        <v>40000</v>
      </c>
    </row>
    <row r="21" spans="2:40">
      <c r="N21">
        <v>2</v>
      </c>
      <c r="Q21">
        <v>220</v>
      </c>
      <c r="R21">
        <v>0</v>
      </c>
      <c r="S21">
        <v>0</v>
      </c>
      <c r="AI21">
        <v>4</v>
      </c>
      <c r="AL21">
        <v>4</v>
      </c>
    </row>
    <row r="22" spans="2:40">
      <c r="N22">
        <v>3</v>
      </c>
      <c r="Q22">
        <v>242</v>
      </c>
      <c r="R22">
        <v>0</v>
      </c>
      <c r="S22">
        <v>0</v>
      </c>
      <c r="AI22">
        <v>5</v>
      </c>
      <c r="AL22">
        <v>5</v>
      </c>
    </row>
    <row r="23" spans="2:40">
      <c r="N23">
        <v>4</v>
      </c>
      <c r="Q23">
        <v>266</v>
      </c>
      <c r="R23">
        <v>0</v>
      </c>
      <c r="S23">
        <v>0</v>
      </c>
      <c r="AI23">
        <v>6</v>
      </c>
      <c r="AL23">
        <v>6</v>
      </c>
    </row>
    <row r="24" spans="2:40">
      <c r="N24">
        <v>5</v>
      </c>
      <c r="Q24">
        <v>292</v>
      </c>
      <c r="R24">
        <v>0</v>
      </c>
      <c r="S24">
        <v>0</v>
      </c>
      <c r="AI24">
        <v>7</v>
      </c>
      <c r="AL24">
        <v>7</v>
      </c>
    </row>
    <row r="25" spans="2:40">
      <c r="N25">
        <v>6</v>
      </c>
      <c r="Q25">
        <v>320</v>
      </c>
      <c r="R25">
        <v>0</v>
      </c>
      <c r="S25">
        <v>0</v>
      </c>
      <c r="AI25">
        <v>8</v>
      </c>
      <c r="AL25">
        <v>8</v>
      </c>
    </row>
    <row r="26" spans="2:40">
      <c r="N26">
        <v>7</v>
      </c>
      <c r="Q26">
        <v>352</v>
      </c>
      <c r="R26">
        <v>0</v>
      </c>
      <c r="S26">
        <v>0</v>
      </c>
      <c r="AI26">
        <v>9</v>
      </c>
      <c r="AL26">
        <v>9</v>
      </c>
    </row>
    <row r="27" spans="2:40">
      <c r="N27">
        <v>8</v>
      </c>
      <c r="Q27">
        <v>386</v>
      </c>
      <c r="R27">
        <v>0</v>
      </c>
      <c r="S27">
        <v>0</v>
      </c>
      <c r="AI27">
        <v>10</v>
      </c>
      <c r="AL27">
        <v>10</v>
      </c>
    </row>
    <row r="28" spans="2:40">
      <c r="N28">
        <v>9</v>
      </c>
      <c r="Q28">
        <v>424</v>
      </c>
      <c r="R28">
        <v>0</v>
      </c>
      <c r="S28">
        <v>0</v>
      </c>
      <c r="AI28">
        <v>11</v>
      </c>
      <c r="AL28">
        <v>11</v>
      </c>
    </row>
    <row r="29" spans="2:40">
      <c r="N29">
        <v>10</v>
      </c>
      <c r="Q29">
        <v>466</v>
      </c>
      <c r="R29">
        <v>0</v>
      </c>
      <c r="S29">
        <v>0</v>
      </c>
      <c r="AI29">
        <v>12</v>
      </c>
      <c r="AL29">
        <v>12</v>
      </c>
    </row>
    <row r="30" spans="2:40">
      <c r="N30">
        <v>11</v>
      </c>
      <c r="Q30">
        <v>512</v>
      </c>
      <c r="R30">
        <v>0</v>
      </c>
      <c r="S30">
        <v>0</v>
      </c>
      <c r="AI30">
        <v>13</v>
      </c>
      <c r="AL30">
        <v>13</v>
      </c>
    </row>
    <row r="31" spans="2:40">
      <c r="B31">
        <v>207</v>
      </c>
      <c r="C31" t="s">
        <v>587</v>
      </c>
      <c r="D31" t="s">
        <v>564</v>
      </c>
      <c r="F31">
        <v>1</v>
      </c>
      <c r="G31">
        <v>1</v>
      </c>
      <c r="H31">
        <v>0</v>
      </c>
      <c r="I31">
        <v>25</v>
      </c>
      <c r="J31">
        <v>1</v>
      </c>
      <c r="K31">
        <v>1007</v>
      </c>
      <c r="L31">
        <v>2007</v>
      </c>
      <c r="M31">
        <v>0</v>
      </c>
      <c r="N31">
        <v>1</v>
      </c>
      <c r="O31">
        <v>5</v>
      </c>
      <c r="P31">
        <v>0</v>
      </c>
      <c r="Q31">
        <v>700</v>
      </c>
      <c r="R31">
        <v>0</v>
      </c>
      <c r="S31">
        <v>0</v>
      </c>
      <c r="T31">
        <v>0</v>
      </c>
      <c r="U31">
        <v>50</v>
      </c>
      <c r="V31">
        <v>4</v>
      </c>
      <c r="W31">
        <v>27</v>
      </c>
      <c r="X31">
        <v>0</v>
      </c>
      <c r="Y31">
        <v>0</v>
      </c>
      <c r="Z31">
        <v>0</v>
      </c>
      <c r="AA31" t="s">
        <v>845</v>
      </c>
      <c r="AB31" t="s">
        <v>846</v>
      </c>
      <c r="AC31">
        <v>0</v>
      </c>
      <c r="AD31">
        <v>0</v>
      </c>
      <c r="AE31">
        <v>0</v>
      </c>
      <c r="AF31">
        <v>4900</v>
      </c>
      <c r="AG31">
        <v>1</v>
      </c>
      <c r="AH31">
        <v>2</v>
      </c>
      <c r="AI31">
        <v>3</v>
      </c>
      <c r="AJ31">
        <v>0</v>
      </c>
      <c r="AK31">
        <v>0</v>
      </c>
      <c r="AL31">
        <v>0</v>
      </c>
      <c r="AM31">
        <v>1000</v>
      </c>
      <c r="AN31">
        <v>60000</v>
      </c>
    </row>
    <row r="32" spans="2:40">
      <c r="N32">
        <v>2</v>
      </c>
      <c r="Q32">
        <v>770</v>
      </c>
      <c r="R32">
        <v>0</v>
      </c>
      <c r="S32">
        <v>0</v>
      </c>
      <c r="AI32">
        <v>4</v>
      </c>
    </row>
    <row r="33" spans="2:40">
      <c r="N33">
        <v>3</v>
      </c>
      <c r="Q33">
        <v>847</v>
      </c>
      <c r="R33">
        <v>0</v>
      </c>
      <c r="S33">
        <v>0</v>
      </c>
      <c r="AI33">
        <v>5</v>
      </c>
    </row>
    <row r="34" spans="2:40">
      <c r="N34">
        <v>4</v>
      </c>
      <c r="Q34">
        <v>931</v>
      </c>
      <c r="R34">
        <v>0</v>
      </c>
      <c r="S34">
        <v>0</v>
      </c>
      <c r="AI34">
        <v>6</v>
      </c>
    </row>
    <row r="35" spans="2:40">
      <c r="N35">
        <v>5</v>
      </c>
      <c r="Q35">
        <v>1022</v>
      </c>
      <c r="R35">
        <v>0</v>
      </c>
      <c r="S35">
        <v>0</v>
      </c>
      <c r="AI35">
        <v>7</v>
      </c>
    </row>
    <row r="36" spans="2:40">
      <c r="N36">
        <v>6</v>
      </c>
      <c r="Q36">
        <v>1120</v>
      </c>
      <c r="R36">
        <v>0</v>
      </c>
      <c r="S36">
        <v>0</v>
      </c>
      <c r="AI36">
        <v>8</v>
      </c>
    </row>
    <row r="37" spans="2:40">
      <c r="N37">
        <v>7</v>
      </c>
      <c r="Q37">
        <v>1232</v>
      </c>
      <c r="R37">
        <v>0</v>
      </c>
      <c r="S37">
        <v>0</v>
      </c>
      <c r="AI37">
        <v>9</v>
      </c>
    </row>
    <row r="38" spans="2:40">
      <c r="N38">
        <v>8</v>
      </c>
      <c r="Q38">
        <v>1351</v>
      </c>
      <c r="R38">
        <v>0</v>
      </c>
      <c r="S38">
        <v>0</v>
      </c>
      <c r="AI38">
        <v>10</v>
      </c>
    </row>
    <row r="39" spans="2:40">
      <c r="N39">
        <v>9</v>
      </c>
      <c r="Q39">
        <v>1484</v>
      </c>
      <c r="R39">
        <v>0</v>
      </c>
      <c r="S39">
        <v>0</v>
      </c>
      <c r="AI39">
        <v>11</v>
      </c>
    </row>
    <row r="40" spans="2:40">
      <c r="N40">
        <v>10</v>
      </c>
      <c r="Q40">
        <v>1631</v>
      </c>
      <c r="R40">
        <v>0</v>
      </c>
      <c r="S40">
        <v>0</v>
      </c>
      <c r="AI40">
        <v>12</v>
      </c>
    </row>
    <row r="41" spans="2:40">
      <c r="N41">
        <v>11</v>
      </c>
      <c r="Q41">
        <v>1792</v>
      </c>
      <c r="R41">
        <v>0</v>
      </c>
      <c r="S41">
        <v>0</v>
      </c>
      <c r="AI41">
        <v>13</v>
      </c>
    </row>
    <row r="42" spans="2:40">
      <c r="B42">
        <v>208</v>
      </c>
      <c r="C42" t="s">
        <v>839</v>
      </c>
      <c r="D42" t="s">
        <v>840</v>
      </c>
      <c r="F42">
        <v>1</v>
      </c>
      <c r="G42">
        <v>3</v>
      </c>
      <c r="H42">
        <v>0</v>
      </c>
      <c r="I42">
        <v>135</v>
      </c>
      <c r="J42">
        <v>1</v>
      </c>
      <c r="K42">
        <v>1009</v>
      </c>
      <c r="L42">
        <v>2009</v>
      </c>
      <c r="M42">
        <v>0</v>
      </c>
      <c r="N42">
        <v>1</v>
      </c>
      <c r="O42">
        <v>7</v>
      </c>
      <c r="P42">
        <v>0</v>
      </c>
      <c r="Q42">
        <v>1100</v>
      </c>
      <c r="R42">
        <v>0</v>
      </c>
      <c r="S42">
        <v>0</v>
      </c>
      <c r="T42">
        <v>0</v>
      </c>
      <c r="U42">
        <v>50</v>
      </c>
      <c r="V42">
        <v>4</v>
      </c>
      <c r="W42">
        <v>27</v>
      </c>
      <c r="X42">
        <v>0</v>
      </c>
      <c r="Y42">
        <v>0</v>
      </c>
      <c r="Z42">
        <v>0</v>
      </c>
      <c r="AA42" t="s">
        <v>845</v>
      </c>
      <c r="AB42" t="s">
        <v>846</v>
      </c>
      <c r="AC42">
        <v>0</v>
      </c>
      <c r="AD42">
        <v>0</v>
      </c>
      <c r="AE42">
        <v>0</v>
      </c>
      <c r="AF42">
        <v>14000</v>
      </c>
      <c r="AG42">
        <v>2</v>
      </c>
      <c r="AH42">
        <v>8</v>
      </c>
      <c r="AI42">
        <v>3</v>
      </c>
      <c r="AJ42">
        <v>0</v>
      </c>
      <c r="AK42">
        <v>0</v>
      </c>
      <c r="AL42">
        <v>0</v>
      </c>
      <c r="AM42">
        <v>1000</v>
      </c>
      <c r="AN42">
        <v>60000</v>
      </c>
    </row>
    <row r="43" spans="2:40">
      <c r="N43">
        <v>2</v>
      </c>
      <c r="Q43">
        <v>1210</v>
      </c>
      <c r="R43">
        <v>0</v>
      </c>
      <c r="S43">
        <v>0</v>
      </c>
      <c r="AI43">
        <v>4</v>
      </c>
    </row>
    <row r="44" spans="2:40">
      <c r="N44">
        <v>3</v>
      </c>
      <c r="Q44">
        <v>1331</v>
      </c>
      <c r="R44">
        <v>0</v>
      </c>
      <c r="S44">
        <v>0</v>
      </c>
      <c r="AI44">
        <v>5</v>
      </c>
    </row>
    <row r="45" spans="2:40">
      <c r="N45">
        <v>4</v>
      </c>
      <c r="Q45">
        <v>1463</v>
      </c>
      <c r="R45">
        <v>0</v>
      </c>
      <c r="S45">
        <v>0</v>
      </c>
      <c r="AI45">
        <v>6</v>
      </c>
    </row>
    <row r="46" spans="2:40">
      <c r="N46">
        <v>5</v>
      </c>
      <c r="Q46">
        <v>1606</v>
      </c>
      <c r="R46">
        <v>0</v>
      </c>
      <c r="S46">
        <v>0</v>
      </c>
      <c r="AI46">
        <v>7</v>
      </c>
    </row>
    <row r="47" spans="2:40">
      <c r="N47">
        <v>6</v>
      </c>
      <c r="Q47">
        <v>1760</v>
      </c>
      <c r="R47">
        <v>0</v>
      </c>
      <c r="S47">
        <v>0</v>
      </c>
      <c r="AI47">
        <v>8</v>
      </c>
    </row>
    <row r="48" spans="2:40">
      <c r="N48">
        <v>7</v>
      </c>
      <c r="Q48">
        <v>1936</v>
      </c>
      <c r="R48">
        <v>0</v>
      </c>
      <c r="S48">
        <v>0</v>
      </c>
      <c r="AI48">
        <v>9</v>
      </c>
    </row>
    <row r="49" spans="2:40">
      <c r="N49">
        <v>8</v>
      </c>
      <c r="Q49">
        <v>2123</v>
      </c>
      <c r="R49">
        <v>0</v>
      </c>
      <c r="S49">
        <v>0</v>
      </c>
      <c r="AI49">
        <v>10</v>
      </c>
    </row>
    <row r="50" spans="2:40">
      <c r="N50">
        <v>9</v>
      </c>
      <c r="Q50">
        <v>2332</v>
      </c>
      <c r="R50">
        <v>0</v>
      </c>
      <c r="S50">
        <v>0</v>
      </c>
      <c r="AI50">
        <v>11</v>
      </c>
    </row>
    <row r="51" spans="2:40">
      <c r="N51">
        <v>10</v>
      </c>
      <c r="Q51">
        <v>2563</v>
      </c>
      <c r="R51">
        <v>0</v>
      </c>
      <c r="S51">
        <v>0</v>
      </c>
      <c r="AI51">
        <v>12</v>
      </c>
    </row>
    <row r="52" spans="2:40">
      <c r="N52">
        <v>11</v>
      </c>
      <c r="Q52">
        <v>2816</v>
      </c>
      <c r="R52">
        <v>0</v>
      </c>
      <c r="S52">
        <v>0</v>
      </c>
      <c r="AI52">
        <v>13</v>
      </c>
    </row>
    <row r="53" spans="2:40">
      <c r="B53">
        <v>210</v>
      </c>
      <c r="C53" t="s">
        <v>666</v>
      </c>
      <c r="D53" t="s">
        <v>667</v>
      </c>
      <c r="F53">
        <v>1</v>
      </c>
      <c r="G53">
        <v>3</v>
      </c>
      <c r="H53">
        <v>1</v>
      </c>
      <c r="I53">
        <v>145</v>
      </c>
      <c r="J53">
        <v>2</v>
      </c>
      <c r="K53">
        <v>1001</v>
      </c>
      <c r="L53">
        <v>2001</v>
      </c>
      <c r="M53">
        <v>1</v>
      </c>
      <c r="N53">
        <v>1</v>
      </c>
      <c r="O53">
        <v>6</v>
      </c>
      <c r="P53">
        <v>0</v>
      </c>
      <c r="Q53">
        <v>850</v>
      </c>
      <c r="R53">
        <v>20</v>
      </c>
      <c r="S53">
        <v>0</v>
      </c>
      <c r="T53">
        <v>300</v>
      </c>
      <c r="U53">
        <v>100</v>
      </c>
      <c r="V53">
        <v>4</v>
      </c>
      <c r="W53">
        <v>27</v>
      </c>
      <c r="X53">
        <v>0</v>
      </c>
      <c r="Y53">
        <v>1</v>
      </c>
      <c r="Z53">
        <v>0</v>
      </c>
      <c r="AA53" t="s">
        <v>845</v>
      </c>
      <c r="AB53">
        <v>330</v>
      </c>
      <c r="AC53">
        <v>1500</v>
      </c>
      <c r="AD53">
        <v>0</v>
      </c>
      <c r="AE53">
        <v>11.5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5000</v>
      </c>
      <c r="AN53">
        <v>40000</v>
      </c>
    </row>
    <row r="54" spans="2:40">
      <c r="N54">
        <v>2</v>
      </c>
      <c r="Q54">
        <v>935</v>
      </c>
      <c r="R54">
        <v>22</v>
      </c>
      <c r="S54">
        <v>0</v>
      </c>
    </row>
    <row r="55" spans="2:40">
      <c r="N55">
        <v>3</v>
      </c>
      <c r="Q55">
        <v>1028</v>
      </c>
      <c r="R55">
        <v>24</v>
      </c>
      <c r="S55">
        <v>0</v>
      </c>
    </row>
    <row r="56" spans="2:40">
      <c r="N56">
        <v>4</v>
      </c>
      <c r="Q56">
        <v>1130</v>
      </c>
      <c r="R56">
        <v>26</v>
      </c>
      <c r="S56">
        <v>0</v>
      </c>
    </row>
    <row r="57" spans="2:40">
      <c r="N57">
        <v>5</v>
      </c>
      <c r="Q57">
        <v>1241</v>
      </c>
      <c r="R57">
        <v>29</v>
      </c>
      <c r="S57">
        <v>0</v>
      </c>
    </row>
    <row r="58" spans="2:40">
      <c r="N58">
        <v>6</v>
      </c>
      <c r="Q58">
        <v>1360</v>
      </c>
      <c r="R58">
        <v>32</v>
      </c>
      <c r="S58">
        <v>0</v>
      </c>
    </row>
    <row r="59" spans="2:40">
      <c r="N59">
        <v>7</v>
      </c>
      <c r="Q59">
        <v>1496</v>
      </c>
      <c r="R59">
        <v>35</v>
      </c>
      <c r="S59">
        <v>0</v>
      </c>
    </row>
    <row r="60" spans="2:40">
      <c r="N60">
        <v>8</v>
      </c>
      <c r="Q60">
        <v>1640</v>
      </c>
      <c r="R60">
        <v>38</v>
      </c>
      <c r="S60">
        <v>0</v>
      </c>
    </row>
    <row r="61" spans="2:40">
      <c r="B61">
        <v>205</v>
      </c>
      <c r="C61" t="s">
        <v>668</v>
      </c>
      <c r="D61" t="s">
        <v>669</v>
      </c>
      <c r="F61">
        <v>1</v>
      </c>
      <c r="G61">
        <v>4</v>
      </c>
      <c r="H61">
        <v>0</v>
      </c>
      <c r="I61">
        <v>170</v>
      </c>
      <c r="J61">
        <v>1</v>
      </c>
      <c r="K61">
        <v>1002</v>
      </c>
      <c r="L61">
        <v>2002</v>
      </c>
      <c r="M61">
        <v>1</v>
      </c>
      <c r="N61">
        <v>1</v>
      </c>
      <c r="O61">
        <v>5</v>
      </c>
      <c r="P61">
        <v>0</v>
      </c>
      <c r="Q61">
        <v>800</v>
      </c>
      <c r="R61">
        <v>20</v>
      </c>
      <c r="S61">
        <v>400</v>
      </c>
      <c r="T61">
        <v>400</v>
      </c>
      <c r="U61">
        <v>100</v>
      </c>
      <c r="V61">
        <v>4</v>
      </c>
      <c r="W61">
        <v>27</v>
      </c>
      <c r="X61">
        <v>2</v>
      </c>
      <c r="Y61">
        <v>1</v>
      </c>
      <c r="Z61">
        <v>0</v>
      </c>
      <c r="AA61" t="s">
        <v>845</v>
      </c>
      <c r="AB61">
        <v>180</v>
      </c>
      <c r="AC61">
        <v>1500</v>
      </c>
      <c r="AD61">
        <v>0</v>
      </c>
      <c r="AE61">
        <v>6.5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1000</v>
      </c>
      <c r="AN61">
        <v>40000</v>
      </c>
    </row>
    <row r="62" spans="2:40">
      <c r="N62">
        <v>2</v>
      </c>
      <c r="Q62">
        <v>880</v>
      </c>
      <c r="R62">
        <v>22</v>
      </c>
      <c r="S62">
        <v>440</v>
      </c>
    </row>
    <row r="63" spans="2:40">
      <c r="N63">
        <v>3</v>
      </c>
      <c r="Q63">
        <v>968</v>
      </c>
      <c r="R63">
        <v>24</v>
      </c>
      <c r="S63">
        <v>484</v>
      </c>
    </row>
    <row r="64" spans="2:40">
      <c r="N64">
        <v>4</v>
      </c>
      <c r="Q64">
        <v>1064</v>
      </c>
      <c r="R64">
        <v>26</v>
      </c>
      <c r="S64">
        <v>532</v>
      </c>
    </row>
    <row r="65" spans="2:40">
      <c r="N65">
        <v>5</v>
      </c>
      <c r="Q65">
        <v>1168</v>
      </c>
      <c r="R65">
        <v>29</v>
      </c>
      <c r="S65">
        <v>584</v>
      </c>
    </row>
    <row r="66" spans="2:40">
      <c r="N66">
        <v>6</v>
      </c>
      <c r="Q66">
        <v>1280</v>
      </c>
      <c r="R66">
        <v>32</v>
      </c>
      <c r="S66">
        <v>640</v>
      </c>
    </row>
    <row r="67" spans="2:40">
      <c r="N67">
        <v>7</v>
      </c>
      <c r="Q67">
        <v>1408</v>
      </c>
      <c r="R67">
        <v>35</v>
      </c>
      <c r="S67">
        <v>704</v>
      </c>
    </row>
    <row r="68" spans="2:40">
      <c r="N68">
        <v>8</v>
      </c>
      <c r="Q68">
        <v>1544</v>
      </c>
      <c r="R68">
        <v>38</v>
      </c>
      <c r="S68">
        <v>772</v>
      </c>
    </row>
    <row r="69" spans="2:40">
      <c r="N69">
        <v>9</v>
      </c>
      <c r="Q69">
        <v>1696</v>
      </c>
      <c r="R69">
        <v>42</v>
      </c>
      <c r="S69">
        <v>848</v>
      </c>
    </row>
    <row r="70" spans="2:40">
      <c r="N70">
        <v>10</v>
      </c>
      <c r="Q70">
        <v>1864</v>
      </c>
      <c r="R70">
        <v>46</v>
      </c>
      <c r="S70">
        <v>932</v>
      </c>
    </row>
    <row r="71" spans="2:40">
      <c r="N71">
        <v>11</v>
      </c>
      <c r="Q71">
        <v>2048</v>
      </c>
      <c r="R71">
        <v>51</v>
      </c>
      <c r="S71">
        <v>1024</v>
      </c>
    </row>
    <row r="72" spans="2:40">
      <c r="B72">
        <v>203</v>
      </c>
      <c r="C72" t="s">
        <v>672</v>
      </c>
      <c r="D72" t="s">
        <v>673</v>
      </c>
      <c r="F72">
        <v>1</v>
      </c>
      <c r="G72">
        <v>6</v>
      </c>
      <c r="H72">
        <v>0</v>
      </c>
      <c r="I72">
        <v>210</v>
      </c>
      <c r="J72">
        <v>0</v>
      </c>
      <c r="K72">
        <v>1005</v>
      </c>
      <c r="L72">
        <v>2005</v>
      </c>
      <c r="M72">
        <v>1</v>
      </c>
      <c r="N72">
        <v>1</v>
      </c>
      <c r="O72">
        <v>4</v>
      </c>
      <c r="P72">
        <v>0</v>
      </c>
      <c r="Q72">
        <v>600</v>
      </c>
      <c r="R72">
        <v>108</v>
      </c>
      <c r="S72">
        <v>0</v>
      </c>
      <c r="T72">
        <v>5000</v>
      </c>
      <c r="U72">
        <v>100</v>
      </c>
      <c r="V72">
        <v>4</v>
      </c>
      <c r="W72">
        <v>27</v>
      </c>
      <c r="X72">
        <v>0</v>
      </c>
      <c r="Y72">
        <v>2</v>
      </c>
      <c r="Z72">
        <v>60</v>
      </c>
      <c r="AA72" t="s">
        <v>845</v>
      </c>
      <c r="AB72">
        <v>330</v>
      </c>
      <c r="AC72">
        <v>350</v>
      </c>
      <c r="AD72">
        <v>108</v>
      </c>
      <c r="AE72">
        <v>11.5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5000</v>
      </c>
      <c r="AN72">
        <v>30000</v>
      </c>
    </row>
    <row r="73" spans="2:40">
      <c r="N73">
        <v>2</v>
      </c>
      <c r="Q73">
        <v>660</v>
      </c>
      <c r="R73">
        <v>119</v>
      </c>
      <c r="S73">
        <v>0</v>
      </c>
    </row>
    <row r="74" spans="2:40">
      <c r="N74">
        <v>3</v>
      </c>
      <c r="Q74">
        <v>726</v>
      </c>
      <c r="R74">
        <v>131</v>
      </c>
      <c r="S74">
        <v>0</v>
      </c>
    </row>
    <row r="75" spans="2:40">
      <c r="N75">
        <v>4</v>
      </c>
      <c r="Q75">
        <v>798</v>
      </c>
      <c r="R75">
        <v>145</v>
      </c>
      <c r="S75">
        <v>0</v>
      </c>
    </row>
    <row r="76" spans="2:40">
      <c r="N76">
        <v>5</v>
      </c>
      <c r="Q76">
        <v>876</v>
      </c>
      <c r="R76">
        <v>158</v>
      </c>
      <c r="S76">
        <v>0</v>
      </c>
    </row>
    <row r="77" spans="2:40">
      <c r="N77">
        <v>6</v>
      </c>
      <c r="Q77">
        <v>960</v>
      </c>
      <c r="R77">
        <v>173</v>
      </c>
      <c r="S77">
        <v>0</v>
      </c>
    </row>
    <row r="78" spans="2:40">
      <c r="N78">
        <v>7</v>
      </c>
      <c r="Q78">
        <v>1056</v>
      </c>
      <c r="R78">
        <v>190</v>
      </c>
      <c r="S78">
        <v>0</v>
      </c>
    </row>
    <row r="79" spans="2:40">
      <c r="N79">
        <v>8</v>
      </c>
      <c r="Q79">
        <v>1158</v>
      </c>
      <c r="R79">
        <v>208</v>
      </c>
      <c r="S79">
        <v>0</v>
      </c>
    </row>
    <row r="80" spans="2:40">
      <c r="N80">
        <v>9</v>
      </c>
      <c r="Q80">
        <v>1272</v>
      </c>
      <c r="R80">
        <v>229</v>
      </c>
      <c r="S80">
        <v>0</v>
      </c>
    </row>
    <row r="81" spans="2:40">
      <c r="N81">
        <v>10</v>
      </c>
      <c r="Q81">
        <v>1398</v>
      </c>
      <c r="R81">
        <v>251</v>
      </c>
      <c r="S81">
        <v>0</v>
      </c>
    </row>
    <row r="82" spans="2:40">
      <c r="N82">
        <v>11</v>
      </c>
      <c r="Q82">
        <v>1536</v>
      </c>
      <c r="R82">
        <v>276</v>
      </c>
      <c r="S82">
        <v>0</v>
      </c>
    </row>
    <row r="83" spans="2:40">
      <c r="N83">
        <v>12</v>
      </c>
      <c r="Q83">
        <v>1686</v>
      </c>
      <c r="R83">
        <v>303</v>
      </c>
      <c r="S83">
        <v>0</v>
      </c>
    </row>
    <row r="84" spans="2:40">
      <c r="N84">
        <v>13</v>
      </c>
      <c r="Q84">
        <v>1854</v>
      </c>
      <c r="R84">
        <v>333</v>
      </c>
      <c r="S84">
        <v>0</v>
      </c>
    </row>
    <row r="85" spans="2:40">
      <c r="B85">
        <v>209</v>
      </c>
      <c r="C85" t="s">
        <v>837</v>
      </c>
      <c r="D85" t="s">
        <v>674</v>
      </c>
      <c r="F85">
        <v>1</v>
      </c>
      <c r="G85">
        <v>2</v>
      </c>
      <c r="H85">
        <v>0</v>
      </c>
      <c r="I85">
        <v>105</v>
      </c>
      <c r="J85">
        <v>1</v>
      </c>
      <c r="K85">
        <v>1006</v>
      </c>
      <c r="L85">
        <v>2006</v>
      </c>
      <c r="M85">
        <v>1</v>
      </c>
      <c r="N85">
        <v>1</v>
      </c>
      <c r="O85">
        <v>5</v>
      </c>
      <c r="P85">
        <v>0</v>
      </c>
      <c r="Q85">
        <v>900</v>
      </c>
      <c r="R85">
        <v>100</v>
      </c>
      <c r="S85">
        <v>0</v>
      </c>
      <c r="T85">
        <v>1600</v>
      </c>
      <c r="U85">
        <v>166</v>
      </c>
      <c r="V85">
        <v>4</v>
      </c>
      <c r="W85">
        <v>27</v>
      </c>
      <c r="X85">
        <v>0</v>
      </c>
      <c r="Y85">
        <v>2</v>
      </c>
      <c r="Z85">
        <v>45</v>
      </c>
      <c r="AA85" t="s">
        <v>845</v>
      </c>
      <c r="AB85">
        <v>180</v>
      </c>
      <c r="AC85">
        <v>250</v>
      </c>
      <c r="AD85">
        <v>0</v>
      </c>
      <c r="AE85">
        <v>6.5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1000</v>
      </c>
      <c r="AN85">
        <v>40000</v>
      </c>
    </row>
    <row r="86" spans="2:40">
      <c r="N86">
        <v>2</v>
      </c>
      <c r="Q86">
        <v>990</v>
      </c>
      <c r="R86">
        <v>110</v>
      </c>
      <c r="S86">
        <v>0</v>
      </c>
    </row>
    <row r="87" spans="2:40">
      <c r="N87">
        <v>3</v>
      </c>
      <c r="Q87">
        <v>1089</v>
      </c>
      <c r="R87">
        <v>121</v>
      </c>
      <c r="S87">
        <v>0</v>
      </c>
    </row>
    <row r="88" spans="2:40">
      <c r="N88">
        <v>4</v>
      </c>
      <c r="Q88">
        <v>1197</v>
      </c>
      <c r="R88">
        <v>133</v>
      </c>
      <c r="S88">
        <v>0</v>
      </c>
    </row>
    <row r="89" spans="2:40">
      <c r="N89">
        <v>5</v>
      </c>
      <c r="Q89">
        <v>1314</v>
      </c>
      <c r="R89">
        <v>146</v>
      </c>
      <c r="S89">
        <v>0</v>
      </c>
    </row>
    <row r="90" spans="2:40">
      <c r="N90">
        <v>6</v>
      </c>
      <c r="Q90">
        <v>1440</v>
      </c>
      <c r="R90">
        <v>160</v>
      </c>
      <c r="S90">
        <v>0</v>
      </c>
    </row>
    <row r="91" spans="2:40">
      <c r="N91">
        <v>7</v>
      </c>
      <c r="Q91">
        <v>1584</v>
      </c>
      <c r="R91">
        <v>176</v>
      </c>
      <c r="S91">
        <v>0</v>
      </c>
    </row>
    <row r="92" spans="2:40">
      <c r="N92">
        <v>8</v>
      </c>
      <c r="Q92">
        <v>1737</v>
      </c>
      <c r="R92">
        <v>193</v>
      </c>
      <c r="S92">
        <v>0</v>
      </c>
    </row>
    <row r="93" spans="2:40">
      <c r="N93">
        <v>9</v>
      </c>
      <c r="Q93">
        <v>1908</v>
      </c>
      <c r="R93">
        <v>212</v>
      </c>
      <c r="S93">
        <v>0</v>
      </c>
    </row>
    <row r="94" spans="2:40">
      <c r="N94">
        <v>10</v>
      </c>
      <c r="Q94">
        <v>2097</v>
      </c>
      <c r="R94">
        <v>233</v>
      </c>
      <c r="S94">
        <v>0</v>
      </c>
    </row>
    <row r="95" spans="2:40">
      <c r="N95">
        <v>11</v>
      </c>
      <c r="Q95">
        <v>2304</v>
      </c>
      <c r="R95">
        <v>256</v>
      </c>
      <c r="S95">
        <v>0</v>
      </c>
    </row>
    <row r="96" spans="2:40">
      <c r="B96">
        <v>202</v>
      </c>
      <c r="C96" t="s">
        <v>670</v>
      </c>
      <c r="D96" t="s">
        <v>671</v>
      </c>
      <c r="F96">
        <v>1</v>
      </c>
      <c r="G96">
        <v>4</v>
      </c>
      <c r="H96">
        <v>0</v>
      </c>
      <c r="I96">
        <v>160</v>
      </c>
      <c r="J96">
        <v>0</v>
      </c>
      <c r="K96">
        <v>1003</v>
      </c>
      <c r="L96">
        <v>2003</v>
      </c>
      <c r="M96">
        <v>1</v>
      </c>
      <c r="N96">
        <v>1</v>
      </c>
      <c r="O96">
        <v>4</v>
      </c>
      <c r="P96">
        <v>0</v>
      </c>
      <c r="Q96">
        <v>400</v>
      </c>
      <c r="R96">
        <v>64</v>
      </c>
      <c r="S96">
        <v>0</v>
      </c>
      <c r="T96">
        <v>800</v>
      </c>
      <c r="U96">
        <v>500</v>
      </c>
      <c r="V96">
        <v>2</v>
      </c>
      <c r="W96">
        <v>27</v>
      </c>
      <c r="X96">
        <v>2</v>
      </c>
      <c r="Y96">
        <v>1</v>
      </c>
      <c r="Z96">
        <v>0</v>
      </c>
      <c r="AA96" t="s">
        <v>845</v>
      </c>
      <c r="AB96">
        <v>165</v>
      </c>
      <c r="AC96">
        <v>1500</v>
      </c>
      <c r="AD96">
        <v>0</v>
      </c>
      <c r="AE96">
        <v>6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1000</v>
      </c>
      <c r="AN96">
        <v>40000</v>
      </c>
    </row>
    <row r="97" spans="2:40">
      <c r="N97">
        <v>2</v>
      </c>
      <c r="Q97">
        <v>440</v>
      </c>
      <c r="R97">
        <v>70</v>
      </c>
      <c r="S97">
        <v>0</v>
      </c>
    </row>
    <row r="98" spans="2:40">
      <c r="N98">
        <v>3</v>
      </c>
      <c r="Q98">
        <v>483</v>
      </c>
      <c r="R98">
        <v>77</v>
      </c>
      <c r="S98">
        <v>0</v>
      </c>
    </row>
    <row r="99" spans="2:40">
      <c r="N99">
        <v>4</v>
      </c>
      <c r="Q99">
        <v>530</v>
      </c>
      <c r="R99">
        <v>85</v>
      </c>
      <c r="S99">
        <v>0</v>
      </c>
    </row>
    <row r="100" spans="2:40">
      <c r="N100">
        <v>5</v>
      </c>
      <c r="Q100">
        <v>584</v>
      </c>
      <c r="R100">
        <v>93</v>
      </c>
      <c r="S100">
        <v>0</v>
      </c>
    </row>
    <row r="101" spans="2:40">
      <c r="N101">
        <v>6</v>
      </c>
      <c r="Q101">
        <v>640</v>
      </c>
      <c r="R101">
        <v>102</v>
      </c>
      <c r="S101">
        <v>0</v>
      </c>
    </row>
    <row r="102" spans="2:40">
      <c r="N102">
        <v>7</v>
      </c>
      <c r="Q102">
        <v>704</v>
      </c>
      <c r="R102">
        <v>112</v>
      </c>
      <c r="S102">
        <v>0</v>
      </c>
    </row>
    <row r="103" spans="2:40">
      <c r="N103">
        <v>8</v>
      </c>
      <c r="Q103">
        <v>772</v>
      </c>
      <c r="R103">
        <v>123</v>
      </c>
      <c r="S103">
        <v>0</v>
      </c>
    </row>
    <row r="104" spans="2:40">
      <c r="N104">
        <v>9</v>
      </c>
      <c r="Q104">
        <v>845</v>
      </c>
      <c r="R104">
        <v>135</v>
      </c>
      <c r="S104">
        <v>0</v>
      </c>
    </row>
    <row r="105" spans="2:40">
      <c r="N105">
        <v>10</v>
      </c>
      <c r="Q105">
        <v>932</v>
      </c>
      <c r="R105">
        <v>149</v>
      </c>
      <c r="S105">
        <v>0</v>
      </c>
    </row>
    <row r="106" spans="2:40">
      <c r="N106">
        <v>11</v>
      </c>
      <c r="Q106">
        <v>1024</v>
      </c>
      <c r="R106">
        <v>163</v>
      </c>
      <c r="S106">
        <v>0</v>
      </c>
    </row>
    <row r="107" spans="2:40">
      <c r="N107">
        <v>12</v>
      </c>
      <c r="Q107">
        <v>1124</v>
      </c>
      <c r="R107">
        <v>179</v>
      </c>
      <c r="S107">
        <v>0</v>
      </c>
    </row>
    <row r="108" spans="2:40">
      <c r="N108">
        <v>13</v>
      </c>
      <c r="Q108">
        <v>1236</v>
      </c>
      <c r="R108">
        <v>197</v>
      </c>
      <c r="S108">
        <v>0</v>
      </c>
    </row>
    <row r="109" spans="2:40">
      <c r="B109">
        <v>206</v>
      </c>
      <c r="C109" t="s">
        <v>675</v>
      </c>
      <c r="D109" t="s">
        <v>676</v>
      </c>
      <c r="F109">
        <v>1</v>
      </c>
      <c r="G109">
        <v>6</v>
      </c>
      <c r="H109">
        <v>0</v>
      </c>
      <c r="I109">
        <v>215</v>
      </c>
      <c r="J109">
        <v>1</v>
      </c>
      <c r="K109">
        <v>1010</v>
      </c>
      <c r="L109">
        <v>2010</v>
      </c>
      <c r="M109">
        <v>0</v>
      </c>
      <c r="N109">
        <v>1</v>
      </c>
      <c r="O109">
        <v>5</v>
      </c>
      <c r="P109">
        <v>9800</v>
      </c>
      <c r="Q109">
        <v>640</v>
      </c>
      <c r="R109">
        <v>0</v>
      </c>
      <c r="S109">
        <v>0</v>
      </c>
      <c r="T109">
        <v>0</v>
      </c>
      <c r="U109">
        <v>50</v>
      </c>
      <c r="V109">
        <v>4</v>
      </c>
      <c r="W109">
        <v>27</v>
      </c>
      <c r="X109">
        <v>0</v>
      </c>
      <c r="Y109">
        <v>0</v>
      </c>
      <c r="Z109">
        <v>0</v>
      </c>
      <c r="AA109" t="s">
        <v>845</v>
      </c>
      <c r="AB109" t="s">
        <v>846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1000</v>
      </c>
      <c r="AN109">
        <v>70000</v>
      </c>
    </row>
    <row r="110" spans="2:40">
      <c r="N110">
        <v>2</v>
      </c>
      <c r="P110">
        <v>9800</v>
      </c>
      <c r="Q110">
        <v>704</v>
      </c>
      <c r="R110">
        <v>0</v>
      </c>
      <c r="S110">
        <v>0</v>
      </c>
    </row>
    <row r="111" spans="2:40">
      <c r="N111">
        <v>3</v>
      </c>
      <c r="P111">
        <v>9800</v>
      </c>
      <c r="Q111">
        <v>774</v>
      </c>
      <c r="R111">
        <v>0</v>
      </c>
      <c r="S111">
        <v>0</v>
      </c>
    </row>
    <row r="112" spans="2:40">
      <c r="N112">
        <v>4</v>
      </c>
      <c r="P112">
        <v>9800</v>
      </c>
      <c r="Q112">
        <v>851</v>
      </c>
      <c r="R112">
        <v>0</v>
      </c>
      <c r="S112">
        <v>0</v>
      </c>
    </row>
    <row r="113" spans="1:19">
      <c r="N113">
        <v>5</v>
      </c>
      <c r="P113">
        <v>9800</v>
      </c>
      <c r="Q113">
        <v>934</v>
      </c>
      <c r="R113">
        <v>0</v>
      </c>
      <c r="S113">
        <v>0</v>
      </c>
    </row>
    <row r="114" spans="1:19">
      <c r="N114">
        <v>6</v>
      </c>
      <c r="P114">
        <v>9800</v>
      </c>
      <c r="Q114">
        <v>1024</v>
      </c>
      <c r="R114">
        <v>0</v>
      </c>
      <c r="S114">
        <v>0</v>
      </c>
    </row>
    <row r="115" spans="1:19">
      <c r="N115">
        <v>7</v>
      </c>
      <c r="P115">
        <v>9800</v>
      </c>
      <c r="Q115">
        <v>1126</v>
      </c>
      <c r="R115">
        <v>0</v>
      </c>
      <c r="S115">
        <v>0</v>
      </c>
    </row>
    <row r="116" spans="1:19">
      <c r="N116">
        <v>8</v>
      </c>
      <c r="P116">
        <v>9800</v>
      </c>
      <c r="Q116">
        <v>1235</v>
      </c>
      <c r="R116">
        <v>0</v>
      </c>
      <c r="S116">
        <v>0</v>
      </c>
    </row>
    <row r="117" spans="1:19">
      <c r="N117">
        <v>9</v>
      </c>
      <c r="P117">
        <v>9800</v>
      </c>
      <c r="Q117">
        <v>1356</v>
      </c>
      <c r="R117">
        <v>0</v>
      </c>
      <c r="S117">
        <v>0</v>
      </c>
    </row>
    <row r="118" spans="1:19">
      <c r="N118">
        <v>10</v>
      </c>
      <c r="P118">
        <v>9800</v>
      </c>
      <c r="Q118">
        <v>1491</v>
      </c>
      <c r="R118">
        <v>0</v>
      </c>
      <c r="S118">
        <v>0</v>
      </c>
    </row>
    <row r="119" spans="1:19">
      <c r="A119" t="s">
        <v>24</v>
      </c>
      <c r="N119">
        <v>11</v>
      </c>
      <c r="P119">
        <v>9800</v>
      </c>
      <c r="Q119">
        <v>1638</v>
      </c>
      <c r="R119">
        <v>0</v>
      </c>
      <c r="S119"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topLeftCell="A4" workbookViewId="0">
      <selection activeCell="P34" sqref="P34"/>
    </sheetView>
  </sheetViews>
  <sheetFormatPr defaultRowHeight="13.5"/>
  <sheetData/>
  <phoneticPr fontId="1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G56"/>
  <sheetViews>
    <sheetView workbookViewId="0">
      <selection activeCell="B30" sqref="B30"/>
    </sheetView>
  </sheetViews>
  <sheetFormatPr defaultRowHeight="13.5"/>
  <cols>
    <col min="1" max="1" width="40.75" customWidth="1"/>
    <col min="2" max="2" width="12.75" customWidth="1"/>
    <col min="3" max="3" width="9.875" customWidth="1"/>
    <col min="4" max="4" width="11.75" customWidth="1"/>
    <col min="5" max="5" width="11.25" customWidth="1"/>
    <col min="6" max="6" width="14" customWidth="1"/>
    <col min="7" max="7" width="91" customWidth="1"/>
    <col min="9" max="9" width="11.75" customWidth="1"/>
  </cols>
  <sheetData>
    <row r="1" spans="1:7">
      <c r="A1" s="28" t="s">
        <v>459</v>
      </c>
      <c r="B1" s="138" t="s">
        <v>135</v>
      </c>
      <c r="C1" s="28" t="s">
        <v>460</v>
      </c>
      <c r="D1" s="28" t="s">
        <v>461</v>
      </c>
      <c r="E1" s="138" t="s">
        <v>539</v>
      </c>
      <c r="F1" s="28" t="s">
        <v>592</v>
      </c>
      <c r="G1" s="28" t="s">
        <v>606</v>
      </c>
    </row>
    <row r="2" spans="1:7" ht="14.25">
      <c r="A2" s="142" t="s">
        <v>462</v>
      </c>
      <c r="B2" s="142" t="s">
        <v>463</v>
      </c>
      <c r="C2" s="143" t="s">
        <v>507</v>
      </c>
      <c r="D2" s="142"/>
      <c r="E2" s="142" t="s">
        <v>601</v>
      </c>
      <c r="F2" s="149" t="s">
        <v>597</v>
      </c>
      <c r="G2" s="142" t="s">
        <v>593</v>
      </c>
    </row>
    <row r="3" spans="1:7" ht="14.25">
      <c r="A3" s="142" t="s">
        <v>472</v>
      </c>
      <c r="B3" s="142" t="s">
        <v>473</v>
      </c>
      <c r="C3" s="143" t="s">
        <v>507</v>
      </c>
      <c r="D3" s="142"/>
      <c r="E3" s="142" t="s">
        <v>601</v>
      </c>
      <c r="F3" s="149" t="s">
        <v>598</v>
      </c>
      <c r="G3" s="142" t="s">
        <v>593</v>
      </c>
    </row>
    <row r="4" spans="1:7" ht="14.25">
      <c r="A4" s="142" t="s">
        <v>468</v>
      </c>
      <c r="B4" s="142" t="s">
        <v>469</v>
      </c>
      <c r="C4" s="143" t="s">
        <v>507</v>
      </c>
      <c r="D4" s="142"/>
      <c r="E4" s="142" t="s">
        <v>601</v>
      </c>
      <c r="F4" s="149" t="s">
        <v>597</v>
      </c>
      <c r="G4" s="142" t="s">
        <v>593</v>
      </c>
    </row>
    <row r="5" spans="1:7" ht="14.25">
      <c r="A5" s="142" t="s">
        <v>492</v>
      </c>
      <c r="B5" s="142" t="s">
        <v>493</v>
      </c>
      <c r="C5" s="143" t="s">
        <v>507</v>
      </c>
      <c r="D5" s="142"/>
      <c r="E5" s="142" t="s">
        <v>601</v>
      </c>
      <c r="F5" s="149" t="s">
        <v>599</v>
      </c>
      <c r="G5" s="142" t="s">
        <v>593</v>
      </c>
    </row>
    <row r="6" spans="1:7" ht="14.25">
      <c r="A6" s="142" t="s">
        <v>474</v>
      </c>
      <c r="B6" s="142" t="s">
        <v>475</v>
      </c>
      <c r="C6" s="143" t="s">
        <v>507</v>
      </c>
      <c r="D6" s="142"/>
      <c r="E6" s="142" t="s">
        <v>601</v>
      </c>
      <c r="F6" s="149" t="s">
        <v>597</v>
      </c>
      <c r="G6" s="142" t="s">
        <v>593</v>
      </c>
    </row>
    <row r="7" spans="1:7" ht="14.25">
      <c r="A7" s="142" t="s">
        <v>471</v>
      </c>
      <c r="B7" s="142" t="s">
        <v>273</v>
      </c>
      <c r="C7" s="143" t="s">
        <v>507</v>
      </c>
      <c r="D7" s="142"/>
      <c r="E7" s="144">
        <v>27</v>
      </c>
      <c r="F7" s="149" t="s">
        <v>597</v>
      </c>
      <c r="G7" s="142" t="s">
        <v>593</v>
      </c>
    </row>
    <row r="8" spans="1:7" ht="14.25">
      <c r="A8" s="142" t="s">
        <v>476</v>
      </c>
      <c r="B8" s="142" t="s">
        <v>477</v>
      </c>
      <c r="C8" s="143" t="s">
        <v>507</v>
      </c>
      <c r="D8" s="142"/>
      <c r="E8" s="144">
        <v>26</v>
      </c>
      <c r="F8" s="149" t="s">
        <v>597</v>
      </c>
      <c r="G8" s="142" t="s">
        <v>593</v>
      </c>
    </row>
    <row r="9" spans="1:7" ht="14.25">
      <c r="A9" s="145" t="s">
        <v>467</v>
      </c>
      <c r="B9" s="145" t="s">
        <v>272</v>
      </c>
      <c r="C9" s="146" t="s">
        <v>507</v>
      </c>
      <c r="D9" s="145"/>
      <c r="E9" s="147">
        <v>29</v>
      </c>
      <c r="F9" s="150" t="s">
        <v>597</v>
      </c>
      <c r="G9" s="145" t="s">
        <v>593</v>
      </c>
    </row>
    <row r="10" spans="1:7" ht="14.25">
      <c r="A10" t="s">
        <v>464</v>
      </c>
      <c r="B10" t="s">
        <v>228</v>
      </c>
      <c r="C10" s="27" t="s">
        <v>507</v>
      </c>
      <c r="D10" s="32">
        <v>25</v>
      </c>
      <c r="E10" t="s">
        <v>601</v>
      </c>
      <c r="F10" s="151" t="s">
        <v>597</v>
      </c>
      <c r="G10" t="s">
        <v>593</v>
      </c>
    </row>
    <row r="11" spans="1:7" ht="14.25">
      <c r="A11" t="s">
        <v>465</v>
      </c>
      <c r="B11" t="s">
        <v>466</v>
      </c>
      <c r="C11" s="27" t="s">
        <v>507</v>
      </c>
      <c r="D11" s="135">
        <v>16</v>
      </c>
      <c r="E11" t="s">
        <v>601</v>
      </c>
      <c r="F11" s="151" t="s">
        <v>597</v>
      </c>
      <c r="G11" t="s">
        <v>593</v>
      </c>
    </row>
    <row r="12" spans="1:7" ht="14.25">
      <c r="A12" t="s">
        <v>470</v>
      </c>
      <c r="B12" t="s">
        <v>168</v>
      </c>
      <c r="C12" s="27" t="s">
        <v>507</v>
      </c>
      <c r="D12" s="135">
        <v>22</v>
      </c>
      <c r="E12" t="s">
        <v>601</v>
      </c>
      <c r="F12" s="151" t="s">
        <v>597</v>
      </c>
      <c r="G12" t="s">
        <v>602</v>
      </c>
    </row>
    <row r="13" spans="1:7" ht="14.25">
      <c r="A13" t="s">
        <v>478</v>
      </c>
      <c r="B13" t="s">
        <v>150</v>
      </c>
      <c r="C13" s="27" t="s">
        <v>507</v>
      </c>
      <c r="D13" s="32">
        <v>11</v>
      </c>
      <c r="E13" t="s">
        <v>601</v>
      </c>
      <c r="F13" s="151" t="s">
        <v>597</v>
      </c>
      <c r="G13" t="s">
        <v>602</v>
      </c>
    </row>
    <row r="14" spans="1:7" ht="14.25">
      <c r="A14" t="s">
        <v>479</v>
      </c>
      <c r="B14" t="s">
        <v>166</v>
      </c>
      <c r="C14" s="27" t="s">
        <v>507</v>
      </c>
      <c r="D14" s="32">
        <v>10</v>
      </c>
      <c r="E14" t="s">
        <v>601</v>
      </c>
      <c r="F14" s="151" t="s">
        <v>597</v>
      </c>
      <c r="G14" t="s">
        <v>602</v>
      </c>
    </row>
    <row r="15" spans="1:7" ht="14.25">
      <c r="A15" t="s">
        <v>480</v>
      </c>
      <c r="B15" t="s">
        <v>174</v>
      </c>
      <c r="C15" s="27" t="s">
        <v>507</v>
      </c>
      <c r="D15" s="135">
        <v>23</v>
      </c>
      <c r="E15" t="s">
        <v>601</v>
      </c>
      <c r="F15" s="151" t="s">
        <v>597</v>
      </c>
      <c r="G15" t="s">
        <v>594</v>
      </c>
    </row>
    <row r="16" spans="1:7" ht="14.25">
      <c r="A16" t="s">
        <v>480</v>
      </c>
      <c r="B16" s="139" t="s">
        <v>46</v>
      </c>
      <c r="C16" s="27" t="s">
        <v>507</v>
      </c>
      <c r="D16" s="32">
        <v>24</v>
      </c>
      <c r="E16" t="s">
        <v>601</v>
      </c>
      <c r="F16" s="151" t="s">
        <v>597</v>
      </c>
      <c r="G16" t="s">
        <v>595</v>
      </c>
    </row>
    <row r="17" spans="1:7" ht="14.25">
      <c r="A17" t="s">
        <v>481</v>
      </c>
      <c r="B17" t="s">
        <v>482</v>
      </c>
      <c r="C17" s="27" t="s">
        <v>507</v>
      </c>
      <c r="D17" s="32">
        <v>15</v>
      </c>
      <c r="E17" t="s">
        <v>601</v>
      </c>
      <c r="F17" s="151" t="s">
        <v>597</v>
      </c>
      <c r="G17" t="s">
        <v>593</v>
      </c>
    </row>
    <row r="18" spans="1:7" ht="14.25">
      <c r="A18" t="s">
        <v>483</v>
      </c>
      <c r="B18" t="s">
        <v>148</v>
      </c>
      <c r="C18" s="27" t="s">
        <v>507</v>
      </c>
      <c r="D18" s="32">
        <v>19</v>
      </c>
      <c r="E18" t="s">
        <v>601</v>
      </c>
      <c r="F18" s="151" t="s">
        <v>597</v>
      </c>
      <c r="G18" t="s">
        <v>602</v>
      </c>
    </row>
    <row r="19" spans="1:7" ht="14.25">
      <c r="A19" t="s">
        <v>484</v>
      </c>
      <c r="B19" t="s">
        <v>485</v>
      </c>
      <c r="C19" s="27" t="s">
        <v>507</v>
      </c>
      <c r="D19" s="135">
        <v>9</v>
      </c>
      <c r="E19" t="s">
        <v>601</v>
      </c>
      <c r="F19" s="151" t="s">
        <v>597</v>
      </c>
      <c r="G19" t="s">
        <v>602</v>
      </c>
    </row>
    <row r="20" spans="1:7" ht="14.25">
      <c r="A20" t="s">
        <v>486</v>
      </c>
      <c r="B20" t="s">
        <v>159</v>
      </c>
      <c r="C20" s="27" t="s">
        <v>507</v>
      </c>
      <c r="D20" s="135">
        <v>8</v>
      </c>
      <c r="E20" t="s">
        <v>601</v>
      </c>
      <c r="F20" s="151" t="s">
        <v>597</v>
      </c>
      <c r="G20" t="s">
        <v>602</v>
      </c>
    </row>
    <row r="21" spans="1:7" ht="14.25">
      <c r="A21" t="s">
        <v>487</v>
      </c>
      <c r="B21" t="s">
        <v>144</v>
      </c>
      <c r="C21" s="27" t="s">
        <v>507</v>
      </c>
      <c r="D21" s="135">
        <v>20</v>
      </c>
      <c r="E21" t="s">
        <v>601</v>
      </c>
      <c r="F21" s="151" t="s">
        <v>597</v>
      </c>
      <c r="G21" t="s">
        <v>593</v>
      </c>
    </row>
    <row r="22" spans="1:7" ht="14.25">
      <c r="A22" t="s">
        <v>488</v>
      </c>
      <c r="B22" t="s">
        <v>489</v>
      </c>
      <c r="C22" s="27" t="s">
        <v>507</v>
      </c>
      <c r="D22" s="32">
        <v>18</v>
      </c>
      <c r="E22" t="s">
        <v>601</v>
      </c>
      <c r="F22" s="151" t="s">
        <v>597</v>
      </c>
      <c r="G22" t="s">
        <v>603</v>
      </c>
    </row>
    <row r="23" spans="1:7" ht="14.25">
      <c r="A23" t="s">
        <v>490</v>
      </c>
      <c r="B23" t="s">
        <v>491</v>
      </c>
      <c r="C23" s="27" t="s">
        <v>507</v>
      </c>
      <c r="D23" s="135">
        <v>28</v>
      </c>
      <c r="E23" t="s">
        <v>601</v>
      </c>
      <c r="F23" s="151" t="s">
        <v>597</v>
      </c>
      <c r="G23" t="s">
        <v>602</v>
      </c>
    </row>
    <row r="24" spans="1:7" ht="14.25">
      <c r="A24" t="s">
        <v>494</v>
      </c>
      <c r="B24" t="s">
        <v>140</v>
      </c>
      <c r="C24" s="27" t="s">
        <v>507</v>
      </c>
      <c r="D24" s="135">
        <v>13</v>
      </c>
      <c r="E24" t="s">
        <v>601</v>
      </c>
      <c r="F24" s="151" t="s">
        <v>597</v>
      </c>
      <c r="G24" t="s">
        <v>602</v>
      </c>
    </row>
    <row r="25" spans="1:7" ht="14.25">
      <c r="A25" t="s">
        <v>495</v>
      </c>
      <c r="B25" t="s">
        <v>158</v>
      </c>
      <c r="C25" s="27" t="s">
        <v>507</v>
      </c>
      <c r="D25" s="32">
        <v>21</v>
      </c>
      <c r="E25" t="s">
        <v>601</v>
      </c>
      <c r="F25" s="151" t="s">
        <v>597</v>
      </c>
      <c r="G25" t="s">
        <v>603</v>
      </c>
    </row>
    <row r="26" spans="1:7" ht="14.25">
      <c r="A26" t="s">
        <v>496</v>
      </c>
      <c r="B26" t="s">
        <v>136</v>
      </c>
      <c r="C26" s="27" t="s">
        <v>507</v>
      </c>
      <c r="D26" s="32">
        <v>6</v>
      </c>
      <c r="E26" t="s">
        <v>601</v>
      </c>
      <c r="F26" s="151" t="s">
        <v>597</v>
      </c>
      <c r="G26" t="s">
        <v>602</v>
      </c>
    </row>
    <row r="27" spans="1:7" ht="14.25">
      <c r="A27" t="s">
        <v>497</v>
      </c>
      <c r="B27" t="s">
        <v>141</v>
      </c>
      <c r="C27" s="27" t="s">
        <v>507</v>
      </c>
      <c r="D27" s="135">
        <v>14</v>
      </c>
      <c r="E27" t="s">
        <v>601</v>
      </c>
      <c r="F27" s="151" t="s">
        <v>597</v>
      </c>
      <c r="G27" t="s">
        <v>602</v>
      </c>
    </row>
    <row r="28" spans="1:7" ht="14.25">
      <c r="A28" t="s">
        <v>498</v>
      </c>
      <c r="B28" t="s">
        <v>145</v>
      </c>
      <c r="C28" s="27" t="s">
        <v>507</v>
      </c>
      <c r="D28" s="135">
        <v>12</v>
      </c>
      <c r="E28" t="s">
        <v>601</v>
      </c>
      <c r="F28" s="151" t="s">
        <v>597</v>
      </c>
      <c r="G28" t="s">
        <v>593</v>
      </c>
    </row>
    <row r="29" spans="1:7" ht="14.25">
      <c r="A29" t="s">
        <v>499</v>
      </c>
      <c r="B29" t="s">
        <v>146</v>
      </c>
      <c r="C29" s="27" t="s">
        <v>507</v>
      </c>
      <c r="D29" s="135">
        <v>17</v>
      </c>
      <c r="E29" t="s">
        <v>601</v>
      </c>
      <c r="F29" s="151" t="s">
        <v>597</v>
      </c>
      <c r="G29" t="s">
        <v>602</v>
      </c>
    </row>
    <row r="30" spans="1:7" ht="14.25">
      <c r="A30" t="s">
        <v>500</v>
      </c>
      <c r="B30" t="s">
        <v>143</v>
      </c>
      <c r="C30" s="27" t="s">
        <v>507</v>
      </c>
      <c r="D30" s="135">
        <v>4</v>
      </c>
      <c r="E30" t="s">
        <v>601</v>
      </c>
      <c r="F30" s="151" t="s">
        <v>597</v>
      </c>
      <c r="G30" t="s">
        <v>602</v>
      </c>
    </row>
    <row r="31" spans="1:7" ht="14.25">
      <c r="A31" t="s">
        <v>501</v>
      </c>
      <c r="B31" t="s">
        <v>142</v>
      </c>
      <c r="C31" s="27" t="s">
        <v>507</v>
      </c>
      <c r="D31" s="135">
        <v>3</v>
      </c>
      <c r="E31" t="s">
        <v>601</v>
      </c>
      <c r="F31" s="151" t="s">
        <v>597</v>
      </c>
      <c r="G31" t="s">
        <v>602</v>
      </c>
    </row>
    <row r="32" spans="1:7" ht="14.25">
      <c r="A32" t="s">
        <v>502</v>
      </c>
      <c r="B32" t="s">
        <v>137</v>
      </c>
      <c r="C32" s="27" t="s">
        <v>507</v>
      </c>
      <c r="D32" s="135">
        <v>5</v>
      </c>
      <c r="E32" t="s">
        <v>601</v>
      </c>
      <c r="F32" s="151" t="s">
        <v>597</v>
      </c>
      <c r="G32" t="s">
        <v>593</v>
      </c>
    </row>
    <row r="33" spans="1:7" ht="14.25">
      <c r="A33" t="s">
        <v>503</v>
      </c>
      <c r="B33" t="s">
        <v>154</v>
      </c>
      <c r="C33" s="27" t="s">
        <v>507</v>
      </c>
      <c r="D33" s="135">
        <v>1</v>
      </c>
      <c r="E33" t="s">
        <v>601</v>
      </c>
      <c r="F33" s="151" t="s">
        <v>597</v>
      </c>
      <c r="G33" t="s">
        <v>602</v>
      </c>
    </row>
    <row r="34" spans="1:7" ht="14.25">
      <c r="A34" t="s">
        <v>504</v>
      </c>
      <c r="B34" t="s">
        <v>505</v>
      </c>
      <c r="C34" s="27" t="s">
        <v>507</v>
      </c>
      <c r="D34" s="135">
        <v>2</v>
      </c>
      <c r="E34" t="s">
        <v>601</v>
      </c>
      <c r="F34" s="151" t="s">
        <v>597</v>
      </c>
      <c r="G34" t="s">
        <v>602</v>
      </c>
    </row>
    <row r="35" spans="1:7" ht="14.25">
      <c r="A35" t="s">
        <v>506</v>
      </c>
      <c r="B35" t="s">
        <v>153</v>
      </c>
      <c r="C35" s="27" t="s">
        <v>507</v>
      </c>
      <c r="D35" s="135">
        <v>7</v>
      </c>
      <c r="E35" t="s">
        <v>601</v>
      </c>
      <c r="F35" s="151" t="s">
        <v>597</v>
      </c>
      <c r="G35" t="s">
        <v>602</v>
      </c>
    </row>
    <row r="36" spans="1:7" ht="14.25">
      <c r="A36" t="s">
        <v>512</v>
      </c>
      <c r="B36" t="s">
        <v>199</v>
      </c>
      <c r="C36" s="27" t="s">
        <v>508</v>
      </c>
      <c r="D36" s="32">
        <v>110</v>
      </c>
      <c r="E36" t="s">
        <v>601</v>
      </c>
      <c r="F36" s="152" t="s">
        <v>600</v>
      </c>
      <c r="G36" s="148" t="s">
        <v>608</v>
      </c>
    </row>
    <row r="37" spans="1:7" ht="14.25">
      <c r="A37" t="s">
        <v>516</v>
      </c>
      <c r="B37" t="s">
        <v>162</v>
      </c>
      <c r="C37" s="27" t="s">
        <v>508</v>
      </c>
      <c r="E37" s="32">
        <v>104</v>
      </c>
      <c r="F37" s="152" t="s">
        <v>600</v>
      </c>
      <c r="G37" s="148" t="s">
        <v>605</v>
      </c>
    </row>
    <row r="38" spans="1:7" ht="14.25">
      <c r="A38" t="s">
        <v>518</v>
      </c>
      <c r="B38" t="s">
        <v>152</v>
      </c>
      <c r="C38" s="27" t="s">
        <v>508</v>
      </c>
      <c r="D38" s="32">
        <v>105</v>
      </c>
      <c r="E38" t="s">
        <v>601</v>
      </c>
      <c r="F38" s="151" t="s">
        <v>598</v>
      </c>
      <c r="G38" s="148" t="s">
        <v>605</v>
      </c>
    </row>
    <row r="39" spans="1:7" ht="14.25">
      <c r="A39" t="s">
        <v>513</v>
      </c>
      <c r="B39" t="s">
        <v>138</v>
      </c>
      <c r="C39" s="27" t="s">
        <v>508</v>
      </c>
      <c r="E39" s="32">
        <v>103</v>
      </c>
      <c r="F39" s="152" t="s">
        <v>600</v>
      </c>
      <c r="G39" s="148" t="s">
        <v>605</v>
      </c>
    </row>
    <row r="40" spans="1:7" ht="14.25">
      <c r="A40" t="s">
        <v>509</v>
      </c>
      <c r="B40" t="s">
        <v>171</v>
      </c>
      <c r="C40" s="27" t="s">
        <v>508</v>
      </c>
      <c r="D40" s="135">
        <v>107</v>
      </c>
      <c r="E40" t="s">
        <v>601</v>
      </c>
      <c r="F40" s="152"/>
      <c r="G40" t="s">
        <v>604</v>
      </c>
    </row>
    <row r="41" spans="1:7" ht="14.25">
      <c r="A41" t="s">
        <v>510</v>
      </c>
      <c r="B41" t="s">
        <v>511</v>
      </c>
      <c r="C41" s="27" t="s">
        <v>508</v>
      </c>
      <c r="D41" s="135">
        <v>102</v>
      </c>
      <c r="E41" t="s">
        <v>601</v>
      </c>
      <c r="F41" s="152" t="s">
        <v>600</v>
      </c>
      <c r="G41" s="148" t="s">
        <v>605</v>
      </c>
    </row>
    <row r="42" spans="1:7" ht="14.25">
      <c r="A42" t="s">
        <v>514</v>
      </c>
      <c r="B42" t="s">
        <v>515</v>
      </c>
      <c r="C42" s="27" t="s">
        <v>508</v>
      </c>
      <c r="D42" s="135">
        <v>108</v>
      </c>
      <c r="E42" t="s">
        <v>601</v>
      </c>
      <c r="F42" s="152" t="s">
        <v>600</v>
      </c>
      <c r="G42" t="s">
        <v>607</v>
      </c>
    </row>
    <row r="43" spans="1:7" ht="14.25">
      <c r="A43" t="s">
        <v>517</v>
      </c>
      <c r="B43" t="s">
        <v>169</v>
      </c>
      <c r="C43" s="27" t="s">
        <v>508</v>
      </c>
      <c r="D43" s="135">
        <v>106</v>
      </c>
      <c r="E43" t="s">
        <v>601</v>
      </c>
      <c r="F43" s="152" t="s">
        <v>600</v>
      </c>
      <c r="G43" t="s">
        <v>607</v>
      </c>
    </row>
    <row r="44" spans="1:7" ht="14.25">
      <c r="A44" t="s">
        <v>520</v>
      </c>
      <c r="B44" t="s">
        <v>521</v>
      </c>
      <c r="C44" s="27" t="s">
        <v>508</v>
      </c>
      <c r="D44" s="135">
        <v>109</v>
      </c>
      <c r="E44" t="s">
        <v>601</v>
      </c>
      <c r="F44" s="152" t="s">
        <v>600</v>
      </c>
      <c r="G44" s="148" t="s">
        <v>605</v>
      </c>
    </row>
    <row r="45" spans="1:7" ht="14.25">
      <c r="A45" t="s">
        <v>519</v>
      </c>
      <c r="B45" t="s">
        <v>139</v>
      </c>
      <c r="C45" s="27" t="s">
        <v>508</v>
      </c>
      <c r="D45" s="135">
        <v>101</v>
      </c>
      <c r="E45" t="s">
        <v>601</v>
      </c>
      <c r="F45" s="152" t="s">
        <v>600</v>
      </c>
      <c r="G45" s="148" t="s">
        <v>605</v>
      </c>
    </row>
    <row r="46" spans="1:7" ht="14.25">
      <c r="A46" t="s">
        <v>523</v>
      </c>
      <c r="B46" t="s">
        <v>524</v>
      </c>
      <c r="C46" s="27" t="s">
        <v>522</v>
      </c>
      <c r="D46" s="32">
        <v>206</v>
      </c>
      <c r="E46" t="s">
        <v>601</v>
      </c>
      <c r="F46" s="151" t="s">
        <v>599</v>
      </c>
      <c r="G46" t="s">
        <v>609</v>
      </c>
    </row>
    <row r="47" spans="1:7" ht="14.25">
      <c r="A47" t="s">
        <v>525</v>
      </c>
      <c r="B47" t="s">
        <v>163</v>
      </c>
      <c r="C47" s="27" t="s">
        <v>522</v>
      </c>
      <c r="D47" s="32">
        <v>210</v>
      </c>
      <c r="E47" t="s">
        <v>601</v>
      </c>
      <c r="F47" s="151" t="s">
        <v>597</v>
      </c>
      <c r="G47" t="s">
        <v>602</v>
      </c>
    </row>
    <row r="48" spans="1:7" ht="14.25">
      <c r="A48" t="s">
        <v>526</v>
      </c>
      <c r="B48" t="s">
        <v>167</v>
      </c>
      <c r="C48" s="27" t="s">
        <v>522</v>
      </c>
      <c r="D48" s="32">
        <v>205</v>
      </c>
      <c r="E48" t="s">
        <v>601</v>
      </c>
      <c r="F48" s="151" t="s">
        <v>597</v>
      </c>
      <c r="G48" t="s">
        <v>602</v>
      </c>
    </row>
    <row r="49" spans="1:7" ht="14.25">
      <c r="A49" t="s">
        <v>527</v>
      </c>
      <c r="B49" t="s">
        <v>528</v>
      </c>
      <c r="C49" s="27" t="s">
        <v>522</v>
      </c>
      <c r="D49" s="32">
        <v>202</v>
      </c>
      <c r="E49" t="s">
        <v>601</v>
      </c>
      <c r="F49" s="151" t="s">
        <v>597</v>
      </c>
      <c r="G49" t="s">
        <v>602</v>
      </c>
    </row>
    <row r="50" spans="1:7" ht="14.25">
      <c r="A50" t="s">
        <v>529</v>
      </c>
      <c r="B50" t="s">
        <v>530</v>
      </c>
      <c r="C50" s="27" t="s">
        <v>522</v>
      </c>
      <c r="E50" t="s">
        <v>601</v>
      </c>
      <c r="F50" s="151" t="s">
        <v>599</v>
      </c>
      <c r="G50" t="s">
        <v>609</v>
      </c>
    </row>
    <row r="51" spans="1:7" ht="14.25">
      <c r="A51" t="s">
        <v>531</v>
      </c>
      <c r="B51" t="s">
        <v>172</v>
      </c>
      <c r="C51" s="27" t="s">
        <v>522</v>
      </c>
      <c r="D51" s="32">
        <v>203</v>
      </c>
      <c r="E51" t="s">
        <v>601</v>
      </c>
      <c r="F51" s="151" t="s">
        <v>597</v>
      </c>
      <c r="G51" t="s">
        <v>593</v>
      </c>
    </row>
    <row r="52" spans="1:7" ht="14.25">
      <c r="A52" t="s">
        <v>532</v>
      </c>
      <c r="B52" t="s">
        <v>160</v>
      </c>
      <c r="C52" s="27" t="s">
        <v>522</v>
      </c>
      <c r="D52" s="135">
        <v>201</v>
      </c>
      <c r="E52" t="s">
        <v>601</v>
      </c>
      <c r="F52" s="151" t="s">
        <v>597</v>
      </c>
      <c r="G52" t="s">
        <v>602</v>
      </c>
    </row>
    <row r="53" spans="1:7" ht="14.25">
      <c r="A53" t="s">
        <v>533</v>
      </c>
      <c r="B53" t="s">
        <v>453</v>
      </c>
      <c r="C53" s="27" t="s">
        <v>522</v>
      </c>
      <c r="D53" s="135">
        <v>204</v>
      </c>
      <c r="E53" t="s">
        <v>601</v>
      </c>
      <c r="F53" s="151" t="s">
        <v>599</v>
      </c>
      <c r="G53" t="s">
        <v>609</v>
      </c>
    </row>
    <row r="54" spans="1:7" ht="14.25">
      <c r="A54" t="s">
        <v>534</v>
      </c>
      <c r="B54" t="s">
        <v>535</v>
      </c>
      <c r="C54" s="27" t="s">
        <v>522</v>
      </c>
      <c r="D54" s="135">
        <v>207</v>
      </c>
      <c r="E54" t="s">
        <v>601</v>
      </c>
      <c r="F54" s="151" t="s">
        <v>599</v>
      </c>
      <c r="G54" t="s">
        <v>609</v>
      </c>
    </row>
    <row r="55" spans="1:7" ht="14.25">
      <c r="A55" t="s">
        <v>536</v>
      </c>
      <c r="B55" t="s">
        <v>537</v>
      </c>
      <c r="C55" s="27" t="s">
        <v>522</v>
      </c>
      <c r="D55" s="135">
        <v>208</v>
      </c>
      <c r="E55" t="s">
        <v>601</v>
      </c>
      <c r="F55" s="151" t="s">
        <v>599</v>
      </c>
      <c r="G55" t="s">
        <v>609</v>
      </c>
    </row>
    <row r="56" spans="1:7" ht="14.25">
      <c r="A56" t="s">
        <v>538</v>
      </c>
      <c r="B56" t="s">
        <v>155</v>
      </c>
      <c r="C56" s="27" t="s">
        <v>522</v>
      </c>
      <c r="D56" s="32">
        <v>209</v>
      </c>
      <c r="E56" t="s">
        <v>601</v>
      </c>
      <c r="F56" s="151" t="s">
        <v>597</v>
      </c>
      <c r="G56" t="s">
        <v>593</v>
      </c>
    </row>
  </sheetData>
  <phoneticPr fontId="1" type="noConversion"/>
  <conditionalFormatting sqref="B16">
    <cfRule type="duplicateValues" dxfId="0" priority="2"/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2</vt:i4>
      </vt:variant>
    </vt:vector>
  </HeadingPairs>
  <TitlesOfParts>
    <vt:vector size="17" baseType="lpstr">
      <vt:lpstr>更新</vt:lpstr>
      <vt:lpstr>卡牌显示属性</vt:lpstr>
      <vt:lpstr>备注</vt:lpstr>
      <vt:lpstr>CardLevel</vt:lpstr>
      <vt:lpstr>Troop</vt:lpstr>
      <vt:lpstr>Spell</vt:lpstr>
      <vt:lpstr>Building</vt:lpstr>
      <vt:lpstr>Tower</vt:lpstr>
      <vt:lpstr>GM卡牌</vt:lpstr>
      <vt:lpstr>一级属性</vt:lpstr>
      <vt:lpstr>攻击帧数</vt:lpstr>
      <vt:lpstr>卡牌顺序</vt:lpstr>
      <vt:lpstr>导出CSV</vt:lpstr>
      <vt:lpstr>角色比例</vt:lpstr>
      <vt:lpstr>wiki</vt:lpstr>
      <vt:lpstr>腰围</vt:lpstr>
      <vt:lpstr>一级属性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ZL</cp:lastModifiedBy>
  <dcterms:created xsi:type="dcterms:W3CDTF">2006-09-16T00:00:00Z</dcterms:created>
  <dcterms:modified xsi:type="dcterms:W3CDTF">2016-11-09T08:47:27Z</dcterms:modified>
</cp:coreProperties>
</file>