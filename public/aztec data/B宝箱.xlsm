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fishluv_svn_repository\Aztec\trunk\public\app_data\xls\"/>
    </mc:Choice>
  </mc:AlternateContent>
  <bookViews>
    <workbookView xWindow="0" yWindow="0" windowWidth="22965" windowHeight="10155" activeTab="2"/>
  </bookViews>
  <sheets>
    <sheet name="更新" sheetId="7" r:id="rId1"/>
    <sheet name="备注" sheetId="2" r:id="rId2"/>
    <sheet name="Chest" sheetId="3" r:id="rId3"/>
    <sheet name="导出CSV" sheetId="4" r:id="rId4"/>
    <sheet name="产出卡牌概率" sheetId="6" r:id="rId5"/>
    <sheet name="计算" sheetId="8" r:id="rId6"/>
    <sheet name="概率分布" sheetId="9" r:id="rId7"/>
    <sheet name="性价比" sheetId="10" r:id="rId8"/>
  </sheets>
  <externalReferences>
    <externalReference r:id="rId9"/>
    <externalReference r:id="rId10"/>
  </externalReferences>
  <definedNames>
    <definedName name="产出卡牌概率">产出卡牌概率!$A$1:$B$46</definedName>
    <definedName name="官职属性比例">[1]属性投放!$P$23:$P$33</definedName>
    <definedName name="官职属性系数">[1]属性投放!$Q$24:$Q$33</definedName>
    <definedName name="武将">[1]武将!$A$2:$AE$90</definedName>
    <definedName name="性价比">性价比!$B$5:$N$10</definedName>
    <definedName name="引用美术资源">#REF!</definedName>
    <definedName name="引用武将详细数据">#REF!</definedName>
  </definedNames>
  <calcPr calcId="152511" concurrentCalc="0"/>
</workbook>
</file>

<file path=xl/calcChain.xml><?xml version="1.0" encoding="utf-8"?>
<calcChain xmlns="http://schemas.openxmlformats.org/spreadsheetml/2006/main">
  <c r="N35" i="3" l="1"/>
  <c r="N36" i="3"/>
  <c r="N37" i="3"/>
  <c r="N38" i="3"/>
  <c r="N39" i="3"/>
  <c r="N40" i="3"/>
  <c r="N41" i="3"/>
  <c r="N42" i="3"/>
  <c r="M35" i="3"/>
  <c r="M36" i="3"/>
  <c r="M37" i="3"/>
  <c r="M38" i="3"/>
  <c r="M39" i="3"/>
  <c r="M40" i="3"/>
  <c r="M41" i="3"/>
  <c r="M42" i="3"/>
  <c r="L35" i="3"/>
  <c r="L36" i="3"/>
  <c r="L37" i="3"/>
  <c r="L38" i="3"/>
  <c r="L39" i="3"/>
  <c r="L40" i="3"/>
  <c r="L41" i="3"/>
  <c r="L42" i="3"/>
  <c r="K35" i="3"/>
  <c r="K36" i="3"/>
  <c r="K37" i="3"/>
  <c r="K38" i="3"/>
  <c r="K39" i="3"/>
  <c r="K40" i="3"/>
  <c r="K41" i="3"/>
  <c r="K42" i="3"/>
  <c r="J35" i="3"/>
  <c r="J36" i="3"/>
  <c r="J37" i="3"/>
  <c r="J38" i="3"/>
  <c r="J39" i="3"/>
  <c r="J40" i="3"/>
  <c r="J41" i="3"/>
  <c r="J42" i="3"/>
  <c r="I35" i="3"/>
  <c r="I36" i="3"/>
  <c r="I37" i="3"/>
  <c r="I38" i="3"/>
  <c r="I39" i="3"/>
  <c r="I40" i="3"/>
  <c r="I41" i="3"/>
  <c r="I42" i="3"/>
  <c r="N26" i="3"/>
  <c r="N27" i="3"/>
  <c r="N28" i="3"/>
  <c r="N29" i="3"/>
  <c r="N30" i="3"/>
  <c r="N31" i="3"/>
  <c r="N32" i="3"/>
  <c r="N33" i="3"/>
  <c r="M26" i="3"/>
  <c r="M27" i="3"/>
  <c r="M28" i="3"/>
  <c r="M29" i="3"/>
  <c r="M30" i="3"/>
  <c r="M31" i="3"/>
  <c r="M32" i="3"/>
  <c r="M33" i="3"/>
  <c r="L26" i="3"/>
  <c r="L27" i="3"/>
  <c r="L28" i="3"/>
  <c r="L29" i="3"/>
  <c r="L30" i="3"/>
  <c r="L31" i="3"/>
  <c r="L32" i="3"/>
  <c r="L33" i="3"/>
  <c r="K26" i="3"/>
  <c r="K27" i="3"/>
  <c r="K28" i="3"/>
  <c r="K29" i="3"/>
  <c r="K30" i="3"/>
  <c r="K31" i="3"/>
  <c r="K32" i="3"/>
  <c r="K33" i="3"/>
  <c r="J26" i="3"/>
  <c r="J27" i="3"/>
  <c r="J28" i="3"/>
  <c r="J29" i="3"/>
  <c r="J30" i="3"/>
  <c r="J31" i="3"/>
  <c r="J32" i="3"/>
  <c r="J33" i="3"/>
  <c r="I26" i="3"/>
  <c r="I27" i="3"/>
  <c r="I28" i="3"/>
  <c r="I29" i="3"/>
  <c r="I30" i="3"/>
  <c r="I31" i="3"/>
  <c r="I32" i="3"/>
  <c r="I33" i="3"/>
  <c r="N17" i="3"/>
  <c r="N18" i="3"/>
  <c r="N19" i="3"/>
  <c r="N20" i="3"/>
  <c r="N21" i="3"/>
  <c r="N22" i="3"/>
  <c r="N23" i="3"/>
  <c r="N24" i="3"/>
  <c r="M17" i="3"/>
  <c r="M18" i="3"/>
  <c r="M19" i="3"/>
  <c r="M20" i="3"/>
  <c r="M21" i="3"/>
  <c r="M22" i="3"/>
  <c r="M23" i="3"/>
  <c r="M24" i="3"/>
  <c r="L17" i="3"/>
  <c r="L18" i="3"/>
  <c r="L19" i="3"/>
  <c r="L20" i="3"/>
  <c r="L21" i="3"/>
  <c r="L22" i="3"/>
  <c r="L23" i="3"/>
  <c r="L24" i="3"/>
  <c r="K17" i="3"/>
  <c r="K18" i="3"/>
  <c r="K19" i="3"/>
  <c r="K20" i="3"/>
  <c r="K21" i="3"/>
  <c r="K22" i="3"/>
  <c r="K23" i="3"/>
  <c r="K24" i="3"/>
  <c r="J17" i="3"/>
  <c r="J18" i="3"/>
  <c r="J19" i="3"/>
  <c r="J20" i="3"/>
  <c r="J21" i="3"/>
  <c r="J22" i="3"/>
  <c r="J23" i="3"/>
  <c r="J24" i="3"/>
  <c r="I17" i="3"/>
  <c r="I18" i="3"/>
  <c r="I19" i="3"/>
  <c r="I20" i="3"/>
  <c r="I21" i="3"/>
  <c r="I22" i="3"/>
  <c r="I23" i="3"/>
  <c r="I24" i="3"/>
  <c r="I8" i="3"/>
  <c r="J8" i="3"/>
  <c r="K8" i="3"/>
  <c r="L8" i="3"/>
  <c r="M8" i="3"/>
  <c r="N8" i="3"/>
  <c r="I9" i="3"/>
  <c r="J9" i="3"/>
  <c r="K9" i="3"/>
  <c r="L9" i="3"/>
  <c r="M9" i="3"/>
  <c r="N9" i="3"/>
  <c r="I10" i="3"/>
  <c r="J10" i="3"/>
  <c r="K10" i="3"/>
  <c r="L10" i="3"/>
  <c r="M10" i="3"/>
  <c r="N10" i="3"/>
  <c r="I11" i="3"/>
  <c r="J11" i="3"/>
  <c r="K11" i="3"/>
  <c r="L11" i="3"/>
  <c r="M11" i="3"/>
  <c r="N11" i="3"/>
  <c r="I12" i="3"/>
  <c r="J12" i="3"/>
  <c r="K12" i="3"/>
  <c r="L12" i="3"/>
  <c r="M12" i="3"/>
  <c r="N12" i="3"/>
  <c r="I13" i="3"/>
  <c r="J13" i="3"/>
  <c r="K13" i="3"/>
  <c r="L13" i="3"/>
  <c r="M13" i="3"/>
  <c r="N13" i="3"/>
  <c r="I14" i="3"/>
  <c r="J14" i="3"/>
  <c r="K14" i="3"/>
  <c r="L14" i="3"/>
  <c r="M14" i="3"/>
  <c r="N14" i="3"/>
  <c r="I15" i="3"/>
  <c r="J15" i="3"/>
  <c r="K15" i="3"/>
  <c r="L15" i="3"/>
  <c r="M15" i="3"/>
  <c r="N15" i="3"/>
  <c r="AB42" i="3"/>
  <c r="AA42" i="3"/>
  <c r="Z42" i="3"/>
  <c r="Y42" i="3"/>
  <c r="X42" i="3"/>
  <c r="U42" i="3"/>
  <c r="T42" i="3"/>
  <c r="S42" i="3"/>
  <c r="AB41" i="3"/>
  <c r="AA41" i="3"/>
  <c r="Z41" i="3"/>
  <c r="Y41" i="3"/>
  <c r="X41" i="3"/>
  <c r="U41" i="3"/>
  <c r="T41" i="3"/>
  <c r="S41" i="3"/>
  <c r="AB40" i="3"/>
  <c r="AA40" i="3"/>
  <c r="Z40" i="3"/>
  <c r="Y40" i="3"/>
  <c r="X40" i="3"/>
  <c r="U40" i="3"/>
  <c r="T40" i="3"/>
  <c r="S40" i="3"/>
  <c r="AB39" i="3"/>
  <c r="AA39" i="3"/>
  <c r="Z39" i="3"/>
  <c r="Y39" i="3"/>
  <c r="X39" i="3"/>
  <c r="U39" i="3"/>
  <c r="T39" i="3"/>
  <c r="S39" i="3"/>
  <c r="AB38" i="3"/>
  <c r="AA38" i="3"/>
  <c r="Z38" i="3"/>
  <c r="Y38" i="3"/>
  <c r="X38" i="3"/>
  <c r="U38" i="3"/>
  <c r="T38" i="3"/>
  <c r="S38" i="3"/>
  <c r="AB37" i="3"/>
  <c r="AA37" i="3"/>
  <c r="Z37" i="3"/>
  <c r="Y37" i="3"/>
  <c r="X37" i="3"/>
  <c r="U37" i="3"/>
  <c r="T37" i="3"/>
  <c r="S37" i="3"/>
  <c r="AB36" i="3"/>
  <c r="AA36" i="3"/>
  <c r="Z36" i="3"/>
  <c r="Y36" i="3"/>
  <c r="X36" i="3"/>
  <c r="U36" i="3"/>
  <c r="T36" i="3"/>
  <c r="S36" i="3"/>
  <c r="AB35" i="3"/>
  <c r="AA35" i="3"/>
  <c r="Z35" i="3"/>
  <c r="Y35" i="3"/>
  <c r="X35" i="3"/>
  <c r="U35" i="3"/>
  <c r="T35" i="3"/>
  <c r="S35" i="3"/>
  <c r="AB33" i="3"/>
  <c r="AA33" i="3"/>
  <c r="Z33" i="3"/>
  <c r="Y33" i="3"/>
  <c r="X33" i="3"/>
  <c r="U33" i="3"/>
  <c r="T33" i="3"/>
  <c r="S33" i="3"/>
  <c r="AB32" i="3"/>
  <c r="AA32" i="3"/>
  <c r="Z32" i="3"/>
  <c r="Y32" i="3"/>
  <c r="X32" i="3"/>
  <c r="U32" i="3"/>
  <c r="T32" i="3"/>
  <c r="S32" i="3"/>
  <c r="AB31" i="3"/>
  <c r="AA31" i="3"/>
  <c r="Z31" i="3"/>
  <c r="Y31" i="3"/>
  <c r="X31" i="3"/>
  <c r="U31" i="3"/>
  <c r="T31" i="3"/>
  <c r="S31" i="3"/>
  <c r="AB30" i="3"/>
  <c r="AA30" i="3"/>
  <c r="Z30" i="3"/>
  <c r="Y30" i="3"/>
  <c r="X30" i="3"/>
  <c r="U30" i="3"/>
  <c r="T30" i="3"/>
  <c r="S30" i="3"/>
  <c r="AB29" i="3"/>
  <c r="AA29" i="3"/>
  <c r="Z29" i="3"/>
  <c r="Y29" i="3"/>
  <c r="X29" i="3"/>
  <c r="U29" i="3"/>
  <c r="T29" i="3"/>
  <c r="S29" i="3"/>
  <c r="AB28" i="3"/>
  <c r="AA28" i="3"/>
  <c r="Z28" i="3"/>
  <c r="Y28" i="3"/>
  <c r="X28" i="3"/>
  <c r="U28" i="3"/>
  <c r="T28" i="3"/>
  <c r="S28" i="3"/>
  <c r="AB27" i="3"/>
  <c r="AA27" i="3"/>
  <c r="Z27" i="3"/>
  <c r="Y27" i="3"/>
  <c r="X27" i="3"/>
  <c r="U27" i="3"/>
  <c r="T27" i="3"/>
  <c r="S27" i="3"/>
  <c r="AB26" i="3"/>
  <c r="AA26" i="3"/>
  <c r="Z26" i="3"/>
  <c r="Y26" i="3"/>
  <c r="X26" i="3"/>
  <c r="U26" i="3"/>
  <c r="T26" i="3"/>
  <c r="S26" i="3"/>
  <c r="AB24" i="3"/>
  <c r="AA24" i="3"/>
  <c r="Z24" i="3"/>
  <c r="Y24" i="3"/>
  <c r="X24" i="3"/>
  <c r="U24" i="3"/>
  <c r="T24" i="3"/>
  <c r="S24" i="3"/>
  <c r="AB23" i="3"/>
  <c r="AA23" i="3"/>
  <c r="Z23" i="3"/>
  <c r="Y23" i="3"/>
  <c r="X23" i="3"/>
  <c r="U23" i="3"/>
  <c r="T23" i="3"/>
  <c r="S23" i="3"/>
  <c r="AB22" i="3"/>
  <c r="AA22" i="3"/>
  <c r="Z22" i="3"/>
  <c r="Y22" i="3"/>
  <c r="X22" i="3"/>
  <c r="U22" i="3"/>
  <c r="T22" i="3"/>
  <c r="S22" i="3"/>
  <c r="AB21" i="3"/>
  <c r="AA21" i="3"/>
  <c r="Z21" i="3"/>
  <c r="Y21" i="3"/>
  <c r="X21" i="3"/>
  <c r="U21" i="3"/>
  <c r="T21" i="3"/>
  <c r="S21" i="3"/>
  <c r="AB20" i="3"/>
  <c r="AA20" i="3"/>
  <c r="Z20" i="3"/>
  <c r="Y20" i="3"/>
  <c r="X20" i="3"/>
  <c r="U20" i="3"/>
  <c r="T20" i="3"/>
  <c r="S20" i="3"/>
  <c r="AB19" i="3"/>
  <c r="AA19" i="3"/>
  <c r="Z19" i="3"/>
  <c r="Y19" i="3"/>
  <c r="X19" i="3"/>
  <c r="U19" i="3"/>
  <c r="T19" i="3"/>
  <c r="S19" i="3"/>
  <c r="AB18" i="3"/>
  <c r="AA18" i="3"/>
  <c r="Z18" i="3"/>
  <c r="Y18" i="3"/>
  <c r="X18" i="3"/>
  <c r="U18" i="3"/>
  <c r="T18" i="3"/>
  <c r="S18" i="3"/>
  <c r="AB17" i="3"/>
  <c r="AA17" i="3"/>
  <c r="Z17" i="3"/>
  <c r="Y17" i="3"/>
  <c r="X17" i="3"/>
  <c r="U17" i="3"/>
  <c r="T17" i="3"/>
  <c r="S17" i="3"/>
  <c r="AB15" i="3"/>
  <c r="AA15" i="3"/>
  <c r="Z15" i="3"/>
  <c r="Y15" i="3"/>
  <c r="X15" i="3"/>
  <c r="U15" i="3"/>
  <c r="T15" i="3"/>
  <c r="S15" i="3"/>
  <c r="AB14" i="3"/>
  <c r="AA14" i="3"/>
  <c r="Z14" i="3"/>
  <c r="Y14" i="3"/>
  <c r="X14" i="3"/>
  <c r="U14" i="3"/>
  <c r="T14" i="3"/>
  <c r="S14" i="3"/>
  <c r="AB13" i="3"/>
  <c r="AA13" i="3"/>
  <c r="Z13" i="3"/>
  <c r="Y13" i="3"/>
  <c r="X13" i="3"/>
  <c r="U13" i="3"/>
  <c r="T13" i="3"/>
  <c r="S13" i="3"/>
  <c r="AB12" i="3"/>
  <c r="AA12" i="3"/>
  <c r="Z12" i="3"/>
  <c r="Y12" i="3"/>
  <c r="X12" i="3"/>
  <c r="U12" i="3"/>
  <c r="T12" i="3"/>
  <c r="S12" i="3"/>
  <c r="AB11" i="3"/>
  <c r="AA11" i="3"/>
  <c r="Z11" i="3"/>
  <c r="Y11" i="3"/>
  <c r="X11" i="3"/>
  <c r="U11" i="3"/>
  <c r="T11" i="3"/>
  <c r="S11" i="3"/>
  <c r="AB10" i="3"/>
  <c r="AA10" i="3"/>
  <c r="Z10" i="3"/>
  <c r="Y10" i="3"/>
  <c r="X10" i="3"/>
  <c r="U10" i="3"/>
  <c r="T10" i="3"/>
  <c r="S10" i="3"/>
  <c r="AB9" i="3"/>
  <c r="AA9" i="3"/>
  <c r="Z9" i="3"/>
  <c r="Y9" i="3"/>
  <c r="X9" i="3"/>
  <c r="U9" i="3"/>
  <c r="T9" i="3"/>
  <c r="S9" i="3"/>
  <c r="AB8" i="3"/>
  <c r="AA8" i="3"/>
  <c r="Z8" i="3"/>
  <c r="Y8" i="3"/>
  <c r="X8" i="3"/>
  <c r="U8" i="3"/>
  <c r="T8" i="3"/>
  <c r="S8" i="3"/>
  <c r="S70" i="3"/>
  <c r="T70" i="3"/>
  <c r="U70" i="3"/>
  <c r="S71" i="3"/>
  <c r="T71" i="3"/>
  <c r="U71" i="3"/>
  <c r="S72" i="3"/>
  <c r="T72" i="3"/>
  <c r="U72" i="3"/>
  <c r="S73" i="3"/>
  <c r="T73" i="3"/>
  <c r="U73" i="3"/>
  <c r="S74" i="3"/>
  <c r="T74" i="3"/>
  <c r="U74" i="3"/>
  <c r="S75" i="3"/>
  <c r="T75" i="3"/>
  <c r="U75" i="3"/>
  <c r="S76" i="3"/>
  <c r="T76" i="3"/>
  <c r="U76" i="3"/>
  <c r="S77" i="3"/>
  <c r="T77" i="3"/>
  <c r="U77" i="3"/>
  <c r="S78" i="3"/>
  <c r="T78" i="3"/>
  <c r="U78" i="3"/>
  <c r="S79" i="3"/>
  <c r="T79" i="3"/>
  <c r="U79" i="3"/>
  <c r="S80" i="3"/>
  <c r="T80" i="3"/>
  <c r="U80" i="3"/>
  <c r="S81" i="3"/>
  <c r="T81" i="3"/>
  <c r="U81" i="3"/>
  <c r="S82" i="3"/>
  <c r="T82" i="3"/>
  <c r="U82" i="3"/>
  <c r="S83" i="3"/>
  <c r="T83" i="3"/>
  <c r="U83" i="3"/>
  <c r="S84" i="3"/>
  <c r="T84" i="3"/>
  <c r="U84" i="3"/>
  <c r="S85" i="3"/>
  <c r="T85" i="3"/>
  <c r="U85" i="3"/>
  <c r="S86" i="3"/>
  <c r="T86" i="3"/>
  <c r="U86" i="3"/>
  <c r="S87" i="3"/>
  <c r="T87" i="3"/>
  <c r="U87" i="3"/>
  <c r="S88" i="3"/>
  <c r="T88" i="3"/>
  <c r="U88" i="3"/>
  <c r="S89" i="3"/>
  <c r="T89" i="3"/>
  <c r="U89" i="3"/>
  <c r="S90" i="3"/>
  <c r="T90" i="3"/>
  <c r="U90" i="3"/>
  <c r="S91" i="3"/>
  <c r="T91" i="3"/>
  <c r="U91" i="3"/>
  <c r="S92" i="3"/>
  <c r="T92" i="3"/>
  <c r="U92" i="3"/>
  <c r="S93" i="3"/>
  <c r="T93" i="3"/>
  <c r="U93" i="3"/>
  <c r="S94" i="3"/>
  <c r="T94" i="3"/>
  <c r="U94" i="3"/>
  <c r="S95" i="3"/>
  <c r="T95" i="3"/>
  <c r="U95" i="3"/>
  <c r="S96" i="3"/>
  <c r="T96" i="3"/>
  <c r="U96" i="3"/>
  <c r="U105" i="3"/>
  <c r="T105" i="3"/>
  <c r="S105" i="3"/>
  <c r="U104" i="3"/>
  <c r="T104" i="3"/>
  <c r="S104" i="3"/>
  <c r="U103" i="3"/>
  <c r="T103" i="3"/>
  <c r="S103" i="3"/>
  <c r="U102" i="3"/>
  <c r="T102" i="3"/>
  <c r="S102" i="3"/>
  <c r="U101" i="3"/>
  <c r="T101" i="3"/>
  <c r="S101" i="3"/>
  <c r="U100" i="3"/>
  <c r="T100" i="3"/>
  <c r="S100" i="3"/>
  <c r="U99" i="3"/>
  <c r="T99" i="3"/>
  <c r="S99" i="3"/>
  <c r="U98" i="3"/>
  <c r="T98" i="3"/>
  <c r="S98" i="3"/>
  <c r="U97" i="3"/>
  <c r="T97" i="3"/>
  <c r="S97" i="3"/>
  <c r="P98" i="3"/>
  <c r="Q98" i="3"/>
  <c r="R98" i="3"/>
  <c r="P99" i="3"/>
  <c r="Q99" i="3"/>
  <c r="R99" i="3"/>
  <c r="P100" i="3"/>
  <c r="Q100" i="3"/>
  <c r="R100" i="3"/>
  <c r="P101" i="3"/>
  <c r="Q101" i="3"/>
  <c r="R101" i="3"/>
  <c r="P102" i="3"/>
  <c r="Q102" i="3"/>
  <c r="R102" i="3"/>
  <c r="P103" i="3"/>
  <c r="Q103" i="3"/>
  <c r="R103" i="3"/>
  <c r="P104" i="3"/>
  <c r="Q104" i="3"/>
  <c r="R104" i="3"/>
  <c r="P105" i="3"/>
  <c r="Q105" i="3"/>
  <c r="R105" i="3"/>
  <c r="O97" i="3"/>
  <c r="P97" i="3"/>
  <c r="Q97" i="3"/>
  <c r="R97" i="3"/>
  <c r="S61" i="3"/>
  <c r="T61" i="3"/>
  <c r="U61" i="3"/>
  <c r="S62" i="3"/>
  <c r="T62" i="3"/>
  <c r="U62" i="3"/>
  <c r="S63" i="3"/>
  <c r="T63" i="3"/>
  <c r="U63" i="3"/>
  <c r="S64" i="3"/>
  <c r="T64" i="3"/>
  <c r="U64" i="3"/>
  <c r="S65" i="3"/>
  <c r="T65" i="3"/>
  <c r="U65" i="3"/>
  <c r="S66" i="3"/>
  <c r="T66" i="3"/>
  <c r="U66" i="3"/>
  <c r="S67" i="3"/>
  <c r="T67" i="3"/>
  <c r="U67" i="3"/>
  <c r="S68" i="3"/>
  <c r="T68" i="3"/>
  <c r="U68" i="3"/>
  <c r="S69" i="3"/>
  <c r="T69" i="3"/>
  <c r="U69" i="3"/>
  <c r="S52" i="3"/>
  <c r="T52" i="3"/>
  <c r="U52" i="3"/>
  <c r="S53" i="3"/>
  <c r="T53" i="3"/>
  <c r="U53" i="3"/>
  <c r="S54" i="3"/>
  <c r="T54" i="3"/>
  <c r="U54" i="3"/>
  <c r="S55" i="3"/>
  <c r="T55" i="3"/>
  <c r="U55" i="3"/>
  <c r="S56" i="3"/>
  <c r="T56" i="3"/>
  <c r="U56" i="3"/>
  <c r="S57" i="3"/>
  <c r="T57" i="3"/>
  <c r="U57" i="3"/>
  <c r="S58" i="3"/>
  <c r="T58" i="3"/>
  <c r="U58" i="3"/>
  <c r="S59" i="3"/>
  <c r="T59" i="3"/>
  <c r="U59" i="3"/>
  <c r="S60" i="3"/>
  <c r="T60" i="3"/>
  <c r="U60" i="3"/>
  <c r="S7" i="3"/>
  <c r="T7" i="3"/>
  <c r="U7" i="3"/>
  <c r="S16" i="3"/>
  <c r="T16" i="3"/>
  <c r="U16" i="3"/>
  <c r="S25" i="3"/>
  <c r="T25" i="3"/>
  <c r="U25" i="3"/>
  <c r="S34" i="3"/>
  <c r="T34" i="3"/>
  <c r="U34" i="3"/>
  <c r="S43" i="3"/>
  <c r="T43" i="3"/>
  <c r="U43" i="3"/>
  <c r="S44" i="3"/>
  <c r="T44" i="3"/>
  <c r="U44" i="3"/>
  <c r="S45" i="3"/>
  <c r="T45" i="3"/>
  <c r="U45" i="3"/>
  <c r="S46" i="3"/>
  <c r="T46" i="3"/>
  <c r="U46" i="3"/>
  <c r="S47" i="3"/>
  <c r="T47" i="3"/>
  <c r="U47" i="3"/>
  <c r="S48" i="3"/>
  <c r="T48" i="3"/>
  <c r="U48" i="3"/>
  <c r="S49" i="3"/>
  <c r="T49" i="3"/>
  <c r="U49" i="3"/>
  <c r="S50" i="3"/>
  <c r="T50" i="3"/>
  <c r="U50" i="3"/>
  <c r="S51" i="3"/>
  <c r="T51" i="3"/>
  <c r="U51" i="3"/>
  <c r="B19" i="6"/>
  <c r="B17" i="6"/>
  <c r="B15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B13" i="6"/>
  <c r="D20" i="6"/>
  <c r="C19" i="6"/>
  <c r="D18" i="6"/>
  <c r="C17" i="6"/>
  <c r="D16" i="6"/>
  <c r="C15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D14" i="6"/>
  <c r="C13" i="6"/>
  <c r="Z7" i="3"/>
  <c r="AA7" i="3"/>
  <c r="AB7" i="3"/>
  <c r="Z16" i="3"/>
  <c r="AA16" i="3"/>
  <c r="AB16" i="3"/>
  <c r="Z25" i="3"/>
  <c r="AA25" i="3"/>
  <c r="AB25" i="3"/>
  <c r="Z34" i="3"/>
  <c r="AA34" i="3"/>
  <c r="AB34" i="3"/>
  <c r="Z43" i="3"/>
  <c r="AA43" i="3"/>
  <c r="AB43" i="3"/>
  <c r="Z44" i="3"/>
  <c r="AA44" i="3"/>
  <c r="AB44" i="3"/>
  <c r="Z45" i="3"/>
  <c r="AA45" i="3"/>
  <c r="AB45" i="3"/>
  <c r="Z46" i="3"/>
  <c r="AA46" i="3"/>
  <c r="AB46" i="3"/>
  <c r="Z47" i="3"/>
  <c r="AA47" i="3"/>
  <c r="AB47" i="3"/>
  <c r="Z48" i="3"/>
  <c r="AA48" i="3"/>
  <c r="AB48" i="3"/>
  <c r="Z49" i="3"/>
  <c r="AA49" i="3"/>
  <c r="AB49" i="3"/>
  <c r="Z50" i="3"/>
  <c r="AA50" i="3"/>
  <c r="AB50" i="3"/>
  <c r="Z51" i="3"/>
  <c r="AA51" i="3"/>
  <c r="AB51" i="3"/>
  <c r="Z52" i="3"/>
  <c r="AA52" i="3"/>
  <c r="AB52" i="3"/>
  <c r="Z53" i="3"/>
  <c r="AA53" i="3"/>
  <c r="AB53" i="3"/>
  <c r="Z54" i="3"/>
  <c r="AA54" i="3"/>
  <c r="AB54" i="3"/>
  <c r="Z55" i="3"/>
  <c r="AA55" i="3"/>
  <c r="AB55" i="3"/>
  <c r="Z56" i="3"/>
  <c r="AA56" i="3"/>
  <c r="AB56" i="3"/>
  <c r="Z57" i="3"/>
  <c r="AA57" i="3"/>
  <c r="AB57" i="3"/>
  <c r="Z58" i="3"/>
  <c r="AA58" i="3"/>
  <c r="AB58" i="3"/>
  <c r="Z59" i="3"/>
  <c r="AA59" i="3"/>
  <c r="AB59" i="3"/>
  <c r="Z60" i="3"/>
  <c r="AA60" i="3"/>
  <c r="AB60" i="3"/>
  <c r="Z61" i="3"/>
  <c r="AA61" i="3"/>
  <c r="AB61" i="3"/>
  <c r="Z62" i="3"/>
  <c r="AA62" i="3"/>
  <c r="AB62" i="3"/>
  <c r="Z63" i="3"/>
  <c r="AA63" i="3"/>
  <c r="AB63" i="3"/>
  <c r="Z64" i="3"/>
  <c r="AA64" i="3"/>
  <c r="AB64" i="3"/>
  <c r="Z65" i="3"/>
  <c r="AA65" i="3"/>
  <c r="AB65" i="3"/>
  <c r="Z66" i="3"/>
  <c r="AA66" i="3"/>
  <c r="AB66" i="3"/>
  <c r="Z67" i="3"/>
  <c r="AA67" i="3"/>
  <c r="AB67" i="3"/>
  <c r="Z68" i="3"/>
  <c r="AA68" i="3"/>
  <c r="AB68" i="3"/>
  <c r="Z69" i="3"/>
  <c r="AA69" i="3"/>
  <c r="AB69" i="3"/>
  <c r="Z70" i="3"/>
  <c r="AA70" i="3"/>
  <c r="AB70" i="3"/>
  <c r="Z71" i="3"/>
  <c r="AA71" i="3"/>
  <c r="AB71" i="3"/>
  <c r="Z72" i="3"/>
  <c r="AA72" i="3"/>
  <c r="AB72" i="3"/>
  <c r="Z73" i="3"/>
  <c r="AA73" i="3"/>
  <c r="AB73" i="3"/>
  <c r="Z74" i="3"/>
  <c r="AA74" i="3"/>
  <c r="AB74" i="3"/>
  <c r="Z75" i="3"/>
  <c r="AA75" i="3"/>
  <c r="AB75" i="3"/>
  <c r="Z76" i="3"/>
  <c r="AA76" i="3"/>
  <c r="AB76" i="3"/>
  <c r="Z77" i="3"/>
  <c r="AA77" i="3"/>
  <c r="AB77" i="3"/>
  <c r="Z78" i="3"/>
  <c r="AA78" i="3"/>
  <c r="AB78" i="3"/>
  <c r="Z79" i="3"/>
  <c r="AA79" i="3"/>
  <c r="AB79" i="3"/>
  <c r="Z80" i="3"/>
  <c r="AA80" i="3"/>
  <c r="AB80" i="3"/>
  <c r="Z81" i="3"/>
  <c r="AA81" i="3"/>
  <c r="AB81" i="3"/>
  <c r="Z82" i="3"/>
  <c r="AA82" i="3"/>
  <c r="AB82" i="3"/>
  <c r="Z83" i="3"/>
  <c r="AA83" i="3"/>
  <c r="AB83" i="3"/>
  <c r="Z84" i="3"/>
  <c r="AA84" i="3"/>
  <c r="AB84" i="3"/>
  <c r="Z85" i="3"/>
  <c r="AA85" i="3"/>
  <c r="AB85" i="3"/>
  <c r="Z86" i="3"/>
  <c r="AA86" i="3"/>
  <c r="AB86" i="3"/>
  <c r="Z87" i="3"/>
  <c r="AA87" i="3"/>
  <c r="AB87" i="3"/>
  <c r="Z88" i="3"/>
  <c r="AA88" i="3"/>
  <c r="AB88" i="3"/>
  <c r="Z89" i="3"/>
  <c r="AA89" i="3"/>
  <c r="AB89" i="3"/>
  <c r="Z90" i="3"/>
  <c r="AA90" i="3"/>
  <c r="AB90" i="3"/>
  <c r="Z91" i="3"/>
  <c r="AA91" i="3"/>
  <c r="AB91" i="3"/>
  <c r="Z92" i="3"/>
  <c r="AA92" i="3"/>
  <c r="AB92" i="3"/>
  <c r="Z93" i="3"/>
  <c r="AA93" i="3"/>
  <c r="AB93" i="3"/>
  <c r="Z94" i="3"/>
  <c r="AA94" i="3"/>
  <c r="AB94" i="3"/>
  <c r="Z95" i="3"/>
  <c r="AA95" i="3"/>
  <c r="AB95" i="3"/>
  <c r="Z96" i="3"/>
  <c r="AA96" i="3"/>
  <c r="AB96" i="3"/>
  <c r="M97" i="3"/>
  <c r="Z97" i="3"/>
  <c r="N97" i="3"/>
  <c r="AA97" i="3"/>
  <c r="AB97" i="3"/>
  <c r="M98" i="3"/>
  <c r="Z98" i="3"/>
  <c r="N98" i="3"/>
  <c r="AA98" i="3"/>
  <c r="AB98" i="3"/>
  <c r="M99" i="3"/>
  <c r="Z99" i="3"/>
  <c r="N99" i="3"/>
  <c r="AA99" i="3"/>
  <c r="AB99" i="3"/>
  <c r="M100" i="3"/>
  <c r="Z100" i="3"/>
  <c r="N100" i="3"/>
  <c r="AA100" i="3"/>
  <c r="AB100" i="3"/>
  <c r="M101" i="3"/>
  <c r="Z101" i="3"/>
  <c r="N101" i="3"/>
  <c r="AA101" i="3"/>
  <c r="AB101" i="3"/>
  <c r="M102" i="3"/>
  <c r="Z102" i="3"/>
  <c r="N102" i="3"/>
  <c r="AA102" i="3"/>
  <c r="AB102" i="3"/>
  <c r="M103" i="3"/>
  <c r="Z103" i="3"/>
  <c r="N103" i="3"/>
  <c r="AA103" i="3"/>
  <c r="AB103" i="3"/>
  <c r="M104" i="3"/>
  <c r="Z104" i="3"/>
  <c r="N104" i="3"/>
  <c r="AA104" i="3"/>
  <c r="AB104" i="3"/>
  <c r="M105" i="3"/>
  <c r="Z105" i="3"/>
  <c r="N105" i="3"/>
  <c r="AA105" i="3"/>
  <c r="AB105" i="3"/>
  <c r="Z106" i="3"/>
  <c r="AA106" i="3"/>
  <c r="AB106" i="3"/>
  <c r="Z107" i="3"/>
  <c r="AA107" i="3"/>
  <c r="AB107" i="3"/>
  <c r="Z108" i="3"/>
  <c r="AA108" i="3"/>
  <c r="AB108" i="3"/>
  <c r="Z109" i="3"/>
  <c r="AA109" i="3"/>
  <c r="AB109" i="3"/>
  <c r="Z110" i="3"/>
  <c r="AA110" i="3"/>
  <c r="AB110" i="3"/>
  <c r="Z111" i="3"/>
  <c r="AA111" i="3"/>
  <c r="AB111" i="3"/>
  <c r="Z112" i="3"/>
  <c r="AA112" i="3"/>
  <c r="AB112" i="3"/>
  <c r="Z113" i="3"/>
  <c r="AA113" i="3"/>
  <c r="AB113" i="3"/>
  <c r="Z114" i="3"/>
  <c r="AA114" i="3"/>
  <c r="AB114" i="3"/>
  <c r="L105" i="3"/>
  <c r="B11" i="6"/>
  <c r="Y105" i="3"/>
  <c r="I105" i="3"/>
  <c r="J105" i="3"/>
  <c r="X105" i="3"/>
  <c r="L104" i="3"/>
  <c r="Y104" i="3"/>
  <c r="I104" i="3"/>
  <c r="J104" i="3"/>
  <c r="X104" i="3"/>
  <c r="L103" i="3"/>
  <c r="Y103" i="3"/>
  <c r="I103" i="3"/>
  <c r="J103" i="3"/>
  <c r="X103" i="3"/>
  <c r="L102" i="3"/>
  <c r="Y102" i="3"/>
  <c r="I102" i="3"/>
  <c r="J102" i="3"/>
  <c r="X102" i="3"/>
  <c r="L101" i="3"/>
  <c r="Y101" i="3"/>
  <c r="I101" i="3"/>
  <c r="J101" i="3"/>
  <c r="X101" i="3"/>
  <c r="L100" i="3"/>
  <c r="Y100" i="3"/>
  <c r="I100" i="3"/>
  <c r="J100" i="3"/>
  <c r="X100" i="3"/>
  <c r="L99" i="3"/>
  <c r="Y99" i="3"/>
  <c r="I99" i="3"/>
  <c r="J99" i="3"/>
  <c r="X99" i="3"/>
  <c r="L98" i="3"/>
  <c r="Y98" i="3"/>
  <c r="I98" i="3"/>
  <c r="J98" i="3"/>
  <c r="X98" i="3"/>
  <c r="L97" i="3"/>
  <c r="Y97" i="3"/>
  <c r="I97" i="3"/>
  <c r="J97" i="3"/>
  <c r="X97" i="3"/>
  <c r="Y96" i="3"/>
  <c r="X96" i="3"/>
  <c r="Y95" i="3"/>
  <c r="X95" i="3"/>
  <c r="Y94" i="3"/>
  <c r="X94" i="3"/>
  <c r="Y93" i="3"/>
  <c r="X93" i="3"/>
  <c r="Y92" i="3"/>
  <c r="X92" i="3"/>
  <c r="Y91" i="3"/>
  <c r="X91" i="3"/>
  <c r="Y90" i="3"/>
  <c r="X90" i="3"/>
  <c r="Y89" i="3"/>
  <c r="X89" i="3"/>
  <c r="Y88" i="3"/>
  <c r="X88" i="3"/>
  <c r="Y87" i="3"/>
  <c r="X87" i="3"/>
  <c r="Y86" i="3"/>
  <c r="X86" i="3"/>
  <c r="Y85" i="3"/>
  <c r="X85" i="3"/>
  <c r="Y84" i="3"/>
  <c r="X84" i="3"/>
  <c r="Y83" i="3"/>
  <c r="X83" i="3"/>
  <c r="Y82" i="3"/>
  <c r="X82" i="3"/>
  <c r="Y81" i="3"/>
  <c r="X81" i="3"/>
  <c r="Y80" i="3"/>
  <c r="X80" i="3"/>
  <c r="Y79" i="3"/>
  <c r="X79" i="3"/>
  <c r="Y78" i="3"/>
  <c r="X78" i="3"/>
  <c r="Y77" i="3"/>
  <c r="X77" i="3"/>
  <c r="Y76" i="3"/>
  <c r="X76" i="3"/>
  <c r="Y75" i="3"/>
  <c r="X75" i="3"/>
  <c r="Y74" i="3"/>
  <c r="X74" i="3"/>
  <c r="Y73" i="3"/>
  <c r="X73" i="3"/>
  <c r="Y72" i="3"/>
  <c r="X72" i="3"/>
  <c r="Y71" i="3"/>
  <c r="X71" i="3"/>
  <c r="Y70" i="3"/>
  <c r="X70" i="3"/>
  <c r="Y69" i="3"/>
  <c r="X69" i="3"/>
  <c r="Y68" i="3"/>
  <c r="X68" i="3"/>
  <c r="Y67" i="3"/>
  <c r="X67" i="3"/>
  <c r="Y66" i="3"/>
  <c r="X66" i="3"/>
  <c r="Y65" i="3"/>
  <c r="X65" i="3"/>
  <c r="Y64" i="3"/>
  <c r="X64" i="3"/>
  <c r="Y63" i="3"/>
  <c r="X63" i="3"/>
  <c r="Y62" i="3"/>
  <c r="X62" i="3"/>
  <c r="Y61" i="3"/>
  <c r="X61" i="3"/>
  <c r="Y60" i="3"/>
  <c r="X60" i="3"/>
  <c r="Y59" i="3"/>
  <c r="X59" i="3"/>
  <c r="Y58" i="3"/>
  <c r="X58" i="3"/>
  <c r="Y57" i="3"/>
  <c r="X57" i="3"/>
  <c r="Y56" i="3"/>
  <c r="X56" i="3"/>
  <c r="Y55" i="3"/>
  <c r="X55" i="3"/>
  <c r="Y54" i="3"/>
  <c r="X54" i="3"/>
  <c r="Y53" i="3"/>
  <c r="X53" i="3"/>
  <c r="Y52" i="3"/>
  <c r="X52" i="3"/>
  <c r="Y51" i="3"/>
  <c r="X51" i="3"/>
  <c r="Y50" i="3"/>
  <c r="X50" i="3"/>
  <c r="Y49" i="3"/>
  <c r="X49" i="3"/>
  <c r="Y48" i="3"/>
  <c r="X48" i="3"/>
  <c r="Y47" i="3"/>
  <c r="X47" i="3"/>
  <c r="Y46" i="3"/>
  <c r="X46" i="3"/>
  <c r="Y45" i="3"/>
  <c r="X45" i="3"/>
  <c r="Y44" i="3"/>
  <c r="X44" i="3"/>
  <c r="Y43" i="3"/>
  <c r="X43" i="3"/>
  <c r="Y34" i="3"/>
  <c r="X34" i="3"/>
  <c r="Y25" i="3"/>
  <c r="X25" i="3"/>
  <c r="Y16" i="3"/>
  <c r="X16" i="3"/>
  <c r="Y7" i="3"/>
  <c r="X7" i="3"/>
  <c r="B31" i="6"/>
  <c r="B41" i="6"/>
  <c r="B39" i="6"/>
  <c r="B37" i="6"/>
  <c r="B33" i="6"/>
  <c r="B35" i="6"/>
  <c r="B29" i="6"/>
  <c r="B27" i="6"/>
  <c r="B25" i="6"/>
  <c r="B23" i="6"/>
  <c r="B21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F36" i="6"/>
  <c r="G36" i="6"/>
  <c r="H36" i="6"/>
  <c r="I36" i="6"/>
  <c r="J36" i="6"/>
  <c r="D36" i="6"/>
  <c r="C35" i="6"/>
  <c r="F34" i="6"/>
  <c r="G34" i="6"/>
  <c r="H34" i="6"/>
  <c r="I34" i="6"/>
  <c r="J34" i="6"/>
  <c r="D34" i="6"/>
  <c r="C33" i="6"/>
  <c r="F32" i="6"/>
  <c r="G32" i="6"/>
  <c r="H32" i="6"/>
  <c r="I32" i="6"/>
  <c r="J32" i="6"/>
  <c r="D32" i="6"/>
  <c r="C31" i="6"/>
  <c r="F30" i="6"/>
  <c r="G30" i="6"/>
  <c r="H30" i="6"/>
  <c r="I30" i="6"/>
  <c r="J30" i="6"/>
  <c r="D30" i="6"/>
  <c r="C29" i="6"/>
  <c r="F28" i="6"/>
  <c r="G28" i="6"/>
  <c r="H28" i="6"/>
  <c r="I28" i="6"/>
  <c r="J28" i="6"/>
  <c r="K28" i="6"/>
  <c r="L28" i="6"/>
  <c r="D28" i="6"/>
  <c r="C27" i="6"/>
  <c r="F26" i="6"/>
  <c r="G26" i="6"/>
  <c r="H26" i="6"/>
  <c r="I26" i="6"/>
  <c r="J26" i="6"/>
  <c r="K26" i="6"/>
  <c r="L26" i="6"/>
  <c r="D26" i="6"/>
  <c r="C25" i="6"/>
  <c r="F24" i="6"/>
  <c r="G24" i="6"/>
  <c r="H24" i="6"/>
  <c r="I24" i="6"/>
  <c r="J24" i="6"/>
  <c r="K24" i="6"/>
  <c r="L24" i="6"/>
  <c r="M24" i="6"/>
  <c r="N24" i="6"/>
  <c r="D24" i="6"/>
  <c r="C23" i="6"/>
  <c r="D22" i="6"/>
  <c r="C21" i="6"/>
  <c r="F38" i="6"/>
  <c r="G38" i="6"/>
  <c r="H38" i="6"/>
  <c r="I38" i="6"/>
  <c r="D38" i="6"/>
  <c r="C37" i="6"/>
  <c r="F40" i="6"/>
  <c r="G40" i="6"/>
  <c r="H40" i="6"/>
  <c r="D40" i="6"/>
  <c r="C39" i="6"/>
  <c r="F42" i="6"/>
  <c r="G42" i="6"/>
  <c r="H42" i="6"/>
  <c r="D42" i="6"/>
  <c r="C41" i="6"/>
  <c r="X106" i="3"/>
  <c r="X107" i="3"/>
  <c r="X108" i="3"/>
  <c r="X109" i="3"/>
  <c r="X110" i="3"/>
  <c r="X111" i="3"/>
  <c r="X112" i="3"/>
  <c r="X113" i="3"/>
  <c r="X114" i="3"/>
  <c r="Y106" i="3"/>
  <c r="Y107" i="3"/>
  <c r="Y108" i="3"/>
  <c r="Y109" i="3"/>
  <c r="Y110" i="3"/>
  <c r="Y111" i="3"/>
  <c r="Y112" i="3"/>
  <c r="Y113" i="3"/>
  <c r="Y114" i="3"/>
  <c r="K89" i="3"/>
  <c r="K90" i="3"/>
  <c r="K91" i="3"/>
  <c r="K92" i="3"/>
  <c r="K93" i="3"/>
  <c r="K94" i="3"/>
  <c r="K95" i="3"/>
  <c r="K96" i="3"/>
  <c r="K71" i="3"/>
  <c r="K72" i="3"/>
  <c r="K73" i="3"/>
  <c r="K74" i="3"/>
  <c r="K75" i="3"/>
  <c r="K76" i="3"/>
  <c r="K77" i="3"/>
  <c r="K78" i="3"/>
  <c r="K105" i="3"/>
  <c r="H105" i="3"/>
  <c r="K80" i="3"/>
  <c r="K81" i="3"/>
  <c r="K82" i="3"/>
  <c r="K83" i="3"/>
  <c r="K84" i="3"/>
  <c r="K85" i="3"/>
  <c r="K86" i="3"/>
  <c r="K87" i="3"/>
  <c r="K62" i="3"/>
  <c r="K63" i="3"/>
  <c r="K64" i="3"/>
  <c r="K65" i="3"/>
  <c r="K66" i="3"/>
  <c r="K67" i="3"/>
  <c r="K68" i="3"/>
  <c r="K69" i="3"/>
  <c r="K58" i="3"/>
  <c r="K59" i="3"/>
  <c r="K60" i="3"/>
  <c r="G104" i="3"/>
  <c r="G103" i="3"/>
  <c r="G102" i="3"/>
  <c r="G101" i="3"/>
  <c r="G100" i="3"/>
  <c r="G99" i="3"/>
  <c r="G98" i="3"/>
  <c r="G97" i="3"/>
  <c r="H104" i="3"/>
  <c r="H103" i="3"/>
  <c r="H102" i="3"/>
  <c r="H101" i="3"/>
  <c r="H100" i="3"/>
  <c r="H99" i="3"/>
  <c r="H98" i="3"/>
  <c r="H97" i="3"/>
  <c r="K97" i="3"/>
  <c r="J30" i="10"/>
  <c r="I30" i="10"/>
  <c r="H30" i="10"/>
  <c r="G30" i="10"/>
  <c r="J29" i="10"/>
  <c r="I29" i="10"/>
  <c r="H29" i="10"/>
  <c r="G29" i="10"/>
  <c r="J28" i="10"/>
  <c r="I28" i="10"/>
  <c r="H28" i="10"/>
  <c r="G28" i="10"/>
  <c r="H19" i="10"/>
  <c r="I19" i="10"/>
  <c r="J19" i="10"/>
  <c r="H20" i="10"/>
  <c r="I20" i="10"/>
  <c r="J20" i="10"/>
  <c r="H21" i="10"/>
  <c r="I21" i="10"/>
  <c r="J21" i="10"/>
  <c r="H22" i="10"/>
  <c r="I22" i="10"/>
  <c r="J22" i="10"/>
  <c r="G20" i="10"/>
  <c r="G21" i="10"/>
  <c r="G22" i="10"/>
  <c r="G19" i="10"/>
  <c r="N7" i="10"/>
  <c r="N8" i="10"/>
  <c r="N9" i="10"/>
  <c r="N10" i="10"/>
  <c r="N6" i="10"/>
  <c r="D7" i="10"/>
  <c r="D8" i="10"/>
  <c r="D9" i="10"/>
  <c r="D6" i="10"/>
  <c r="G7" i="10"/>
  <c r="G8" i="10"/>
  <c r="G10" i="10"/>
  <c r="G9" i="10"/>
  <c r="G6" i="10"/>
  <c r="K53" i="3"/>
  <c r="K54" i="3"/>
  <c r="K55" i="3"/>
  <c r="K56" i="3"/>
  <c r="K107" i="3"/>
  <c r="K98" i="3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1" i="9"/>
  <c r="F190" i="9"/>
  <c r="F189" i="9"/>
  <c r="F188" i="9"/>
  <c r="F187" i="9"/>
  <c r="F186" i="9"/>
  <c r="F185" i="9"/>
  <c r="F184" i="9"/>
  <c r="F183" i="9"/>
  <c r="F182" i="9"/>
  <c r="F181" i="9"/>
  <c r="F180" i="9"/>
  <c r="F179" i="9"/>
  <c r="F178" i="9"/>
  <c r="F177" i="9"/>
  <c r="F176" i="9"/>
  <c r="F175" i="9"/>
  <c r="F174" i="9"/>
  <c r="F173" i="9"/>
  <c r="F172" i="9"/>
  <c r="F171" i="9"/>
  <c r="F170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I8" i="9"/>
  <c r="H7" i="9"/>
  <c r="J7" i="9"/>
  <c r="K99" i="3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H8" i="9"/>
  <c r="L8" i="9"/>
  <c r="L7" i="9"/>
  <c r="K100" i="3"/>
  <c r="J8" i="9"/>
  <c r="K101" i="3"/>
  <c r="H9" i="9"/>
  <c r="L9" i="9"/>
  <c r="J9" i="9"/>
  <c r="K102" i="3"/>
  <c r="H10" i="9"/>
  <c r="L10" i="9"/>
  <c r="N21" i="8"/>
  <c r="H4" i="8"/>
  <c r="H5" i="8"/>
  <c r="H6" i="8"/>
  <c r="H7" i="8"/>
  <c r="H8" i="8"/>
  <c r="K104" i="3"/>
  <c r="K103" i="3"/>
  <c r="J10" i="9"/>
  <c r="R17" i="8"/>
  <c r="Q17" i="8"/>
  <c r="P17" i="8"/>
  <c r="O17" i="8"/>
  <c r="H11" i="9"/>
  <c r="L11" i="9"/>
  <c r="J12" i="8"/>
  <c r="K12" i="8"/>
  <c r="L12" i="8"/>
  <c r="M12" i="8"/>
  <c r="J13" i="8"/>
  <c r="K13" i="8"/>
  <c r="L13" i="8"/>
  <c r="M13" i="8"/>
  <c r="I13" i="8"/>
  <c r="I12" i="8"/>
  <c r="J4" i="8"/>
  <c r="K4" i="8"/>
  <c r="P4" i="8"/>
  <c r="L4" i="8"/>
  <c r="Q4" i="8"/>
  <c r="M4" i="8"/>
  <c r="J5" i="8"/>
  <c r="K5" i="8"/>
  <c r="L5" i="8"/>
  <c r="Q5" i="8"/>
  <c r="M5" i="8"/>
  <c r="R5" i="8"/>
  <c r="J6" i="8"/>
  <c r="K6" i="8"/>
  <c r="L6" i="8"/>
  <c r="M6" i="8"/>
  <c r="J7" i="8"/>
  <c r="K7" i="8"/>
  <c r="L7" i="8"/>
  <c r="M7" i="8"/>
  <c r="J8" i="8"/>
  <c r="K8" i="8"/>
  <c r="L8" i="8"/>
  <c r="M8" i="8"/>
  <c r="I8" i="8"/>
  <c r="I7" i="8"/>
  <c r="H21" i="8"/>
  <c r="I21" i="8"/>
  <c r="J21" i="8"/>
  <c r="I6" i="8"/>
  <c r="I5" i="8"/>
  <c r="I4" i="8"/>
  <c r="G8" i="8"/>
  <c r="J11" i="9"/>
  <c r="N6" i="8"/>
  <c r="P7" i="8"/>
  <c r="H35" i="8"/>
  <c r="I35" i="8"/>
  <c r="J35" i="8"/>
  <c r="P6" i="8"/>
  <c r="H36" i="8"/>
  <c r="I36" i="8"/>
  <c r="J36" i="8"/>
  <c r="N4" i="8"/>
  <c r="O4" i="8"/>
  <c r="N5" i="8"/>
  <c r="O5" i="8"/>
  <c r="Q6" i="8"/>
  <c r="H32" i="8"/>
  <c r="I32" i="8"/>
  <c r="J32" i="8"/>
  <c r="P8" i="8"/>
  <c r="H37" i="8"/>
  <c r="I37" i="8"/>
  <c r="J37" i="8"/>
  <c r="Q8" i="8"/>
  <c r="H33" i="8"/>
  <c r="I33" i="8"/>
  <c r="J33" i="8"/>
  <c r="N8" i="8"/>
  <c r="Q7" i="8"/>
  <c r="N7" i="8"/>
  <c r="H31" i="8"/>
  <c r="I31" i="8"/>
  <c r="J31" i="8"/>
  <c r="R6" i="8"/>
  <c r="H28" i="8"/>
  <c r="I28" i="8"/>
  <c r="J28" i="8"/>
  <c r="R7" i="8"/>
  <c r="H27" i="8"/>
  <c r="I27" i="8"/>
  <c r="J27" i="8"/>
  <c r="H23" i="8"/>
  <c r="I23" i="8"/>
  <c r="J23" i="8"/>
  <c r="H25" i="8"/>
  <c r="I25" i="8"/>
  <c r="J25" i="8"/>
  <c r="H29" i="8"/>
  <c r="R8" i="8"/>
  <c r="P5" i="8"/>
  <c r="R4" i="8"/>
  <c r="E7" i="8"/>
  <c r="G7" i="8"/>
  <c r="E6" i="8"/>
  <c r="G6" i="8"/>
  <c r="E5" i="8"/>
  <c r="G5" i="8"/>
  <c r="E4" i="8"/>
  <c r="G4" i="8"/>
  <c r="H12" i="9"/>
  <c r="L12" i="9"/>
  <c r="O6" i="8"/>
  <c r="H40" i="8"/>
  <c r="I40" i="8"/>
  <c r="J40" i="8"/>
  <c r="I29" i="8"/>
  <c r="J29" i="8"/>
  <c r="H41" i="8"/>
  <c r="I41" i="8"/>
  <c r="J41" i="8"/>
  <c r="O8" i="8"/>
  <c r="H39" i="8"/>
  <c r="I39" i="8"/>
  <c r="J39" i="8"/>
  <c r="O7" i="8"/>
  <c r="G9" i="8"/>
  <c r="F13" i="8"/>
  <c r="J12" i="9"/>
  <c r="F12" i="8"/>
  <c r="O12" i="8"/>
  <c r="G10" i="8"/>
  <c r="O2" i="8"/>
  <c r="R12" i="8"/>
  <c r="Q13" i="8"/>
  <c r="O13" i="8"/>
  <c r="P13" i="8"/>
  <c r="R13" i="8"/>
  <c r="H13" i="9"/>
  <c r="L13" i="9"/>
  <c r="P12" i="8"/>
  <c r="P15" i="8"/>
  <c r="P19" i="8"/>
  <c r="Q12" i="8"/>
  <c r="Q15" i="8"/>
  <c r="Q19" i="8"/>
  <c r="M15" i="8"/>
  <c r="O15" i="8"/>
  <c r="O19" i="8"/>
  <c r="R15" i="8"/>
  <c r="R19" i="8"/>
  <c r="J13" i="9"/>
  <c r="H14" i="9"/>
  <c r="L14" i="9"/>
  <c r="J14" i="9"/>
  <c r="H15" i="9"/>
  <c r="L15" i="9"/>
  <c r="J15" i="9"/>
  <c r="H16" i="9"/>
  <c r="L16" i="9"/>
  <c r="J16" i="9"/>
  <c r="H17" i="9"/>
  <c r="L17" i="9"/>
  <c r="J17" i="9"/>
  <c r="H18" i="9"/>
  <c r="L18" i="9"/>
  <c r="J18" i="9"/>
  <c r="H19" i="9"/>
  <c r="L19" i="9"/>
  <c r="J19" i="9"/>
  <c r="H20" i="9"/>
  <c r="L20" i="9"/>
  <c r="J20" i="9"/>
  <c r="H21" i="9"/>
  <c r="L21" i="9"/>
  <c r="J21" i="9"/>
  <c r="H22" i="9"/>
  <c r="L22" i="9"/>
  <c r="J22" i="9"/>
  <c r="H23" i="9"/>
  <c r="L23" i="9"/>
  <c r="J23" i="9"/>
  <c r="H24" i="9"/>
  <c r="L24" i="9"/>
  <c r="J24" i="9"/>
  <c r="H25" i="9"/>
  <c r="L25" i="9"/>
  <c r="J25" i="9"/>
  <c r="H26" i="9"/>
  <c r="L26" i="9"/>
  <c r="J26" i="9"/>
  <c r="H27" i="9"/>
  <c r="L27" i="9"/>
  <c r="J27" i="9"/>
  <c r="H28" i="9"/>
  <c r="L28" i="9"/>
  <c r="J28" i="9"/>
  <c r="H29" i="9"/>
  <c r="L29" i="9"/>
  <c r="J29" i="9"/>
  <c r="H30" i="9"/>
  <c r="L30" i="9"/>
  <c r="J30" i="9"/>
  <c r="H31" i="9"/>
  <c r="L31" i="9"/>
  <c r="J31" i="9"/>
  <c r="H32" i="9"/>
  <c r="L32" i="9"/>
  <c r="J32" i="9"/>
  <c r="H33" i="9"/>
  <c r="L33" i="9"/>
  <c r="J33" i="9"/>
  <c r="H34" i="9"/>
  <c r="L34" i="9"/>
  <c r="J34" i="9"/>
  <c r="H35" i="9"/>
  <c r="L35" i="9"/>
  <c r="J35" i="9"/>
  <c r="H36" i="9"/>
  <c r="L36" i="9"/>
  <c r="J36" i="9"/>
  <c r="H37" i="9"/>
  <c r="L37" i="9"/>
  <c r="J37" i="9"/>
  <c r="H38" i="9"/>
  <c r="L38" i="9"/>
  <c r="J38" i="9"/>
  <c r="H39" i="9"/>
  <c r="L39" i="9"/>
  <c r="J39" i="9"/>
  <c r="H40" i="9"/>
  <c r="L40" i="9"/>
  <c r="J40" i="9"/>
  <c r="H41" i="9"/>
  <c r="L41" i="9"/>
  <c r="J41" i="9"/>
  <c r="H42" i="9"/>
  <c r="L42" i="9"/>
  <c r="J42" i="9"/>
  <c r="H43" i="9"/>
  <c r="L43" i="9"/>
  <c r="J43" i="9"/>
  <c r="H44" i="9"/>
  <c r="L44" i="9"/>
  <c r="J44" i="9"/>
  <c r="H45" i="9"/>
  <c r="L45" i="9"/>
  <c r="J45" i="9"/>
  <c r="H46" i="9"/>
  <c r="L46" i="9"/>
  <c r="J46" i="9"/>
  <c r="H47" i="9"/>
  <c r="L47" i="9"/>
  <c r="J47" i="9"/>
  <c r="H48" i="9"/>
  <c r="L48" i="9"/>
  <c r="J48" i="9"/>
  <c r="H49" i="9"/>
  <c r="L49" i="9"/>
  <c r="J49" i="9"/>
  <c r="H50" i="9"/>
  <c r="L50" i="9"/>
  <c r="J50" i="9"/>
  <c r="H51" i="9"/>
  <c r="L51" i="9"/>
  <c r="J51" i="9"/>
  <c r="H52" i="9"/>
  <c r="L52" i="9"/>
  <c r="J52" i="9"/>
  <c r="H53" i="9"/>
  <c r="L53" i="9"/>
  <c r="J53" i="9"/>
  <c r="H54" i="9"/>
  <c r="L54" i="9"/>
  <c r="J54" i="9"/>
  <c r="H55" i="9"/>
  <c r="L55" i="9"/>
  <c r="J55" i="9"/>
  <c r="H56" i="9"/>
  <c r="L56" i="9"/>
  <c r="J56" i="9"/>
  <c r="H57" i="9"/>
  <c r="L57" i="9"/>
  <c r="J57" i="9"/>
  <c r="H58" i="9"/>
  <c r="L58" i="9"/>
  <c r="J58" i="9"/>
  <c r="H59" i="9"/>
  <c r="L59" i="9"/>
  <c r="J59" i="9"/>
  <c r="H60" i="9"/>
  <c r="L60" i="9"/>
  <c r="J60" i="9"/>
  <c r="H61" i="9"/>
  <c r="L61" i="9"/>
  <c r="J61" i="9"/>
  <c r="H62" i="9"/>
  <c r="L62" i="9"/>
  <c r="J62" i="9"/>
  <c r="H63" i="9"/>
  <c r="L63" i="9"/>
  <c r="J63" i="9"/>
  <c r="H64" i="9"/>
  <c r="L64" i="9"/>
  <c r="J64" i="9"/>
  <c r="H65" i="9"/>
  <c r="L65" i="9"/>
  <c r="J65" i="9"/>
  <c r="H66" i="9"/>
  <c r="L66" i="9"/>
  <c r="J66" i="9"/>
  <c r="H67" i="9"/>
  <c r="L67" i="9"/>
  <c r="J67" i="9"/>
  <c r="H68" i="9"/>
  <c r="L68" i="9"/>
  <c r="J68" i="9"/>
  <c r="H69" i="9"/>
  <c r="L69" i="9"/>
  <c r="J69" i="9"/>
  <c r="H70" i="9"/>
  <c r="L70" i="9"/>
  <c r="J70" i="9"/>
  <c r="H71" i="9"/>
  <c r="L71" i="9"/>
  <c r="J71" i="9"/>
  <c r="H72" i="9"/>
  <c r="L72" i="9"/>
  <c r="J72" i="9"/>
  <c r="H73" i="9"/>
  <c r="L73" i="9"/>
  <c r="J73" i="9"/>
  <c r="H74" i="9"/>
  <c r="L74" i="9"/>
  <c r="J74" i="9"/>
  <c r="H75" i="9"/>
  <c r="L75" i="9"/>
  <c r="J75" i="9"/>
  <c r="H76" i="9"/>
  <c r="L76" i="9"/>
  <c r="J76" i="9"/>
  <c r="H77" i="9"/>
  <c r="L77" i="9"/>
  <c r="J77" i="9"/>
  <c r="H78" i="9"/>
  <c r="L78" i="9"/>
  <c r="J78" i="9"/>
  <c r="H79" i="9"/>
  <c r="L79" i="9"/>
  <c r="J79" i="9"/>
  <c r="H80" i="9"/>
  <c r="L80" i="9"/>
  <c r="J80" i="9"/>
  <c r="H81" i="9"/>
  <c r="L81" i="9"/>
  <c r="J81" i="9"/>
  <c r="H82" i="9"/>
  <c r="L82" i="9"/>
  <c r="J82" i="9"/>
  <c r="H83" i="9"/>
  <c r="L83" i="9"/>
  <c r="J83" i="9"/>
  <c r="H84" i="9"/>
  <c r="L84" i="9"/>
  <c r="J84" i="9"/>
  <c r="H85" i="9"/>
  <c r="L85" i="9"/>
  <c r="J85" i="9"/>
  <c r="H86" i="9"/>
  <c r="L86" i="9"/>
  <c r="J86" i="9"/>
  <c r="H87" i="9"/>
  <c r="L87" i="9"/>
  <c r="J87" i="9"/>
  <c r="H88" i="9"/>
  <c r="L88" i="9"/>
  <c r="J88" i="9"/>
  <c r="H89" i="9"/>
  <c r="L89" i="9"/>
  <c r="J89" i="9"/>
  <c r="H90" i="9"/>
  <c r="L90" i="9"/>
  <c r="J90" i="9"/>
  <c r="H91" i="9"/>
  <c r="L91" i="9"/>
  <c r="J91" i="9"/>
  <c r="H92" i="9"/>
  <c r="L92" i="9"/>
  <c r="J92" i="9"/>
  <c r="H93" i="9"/>
  <c r="L93" i="9"/>
  <c r="J93" i="9"/>
  <c r="H94" i="9"/>
  <c r="L94" i="9"/>
  <c r="J94" i="9"/>
  <c r="H95" i="9"/>
  <c r="L95" i="9"/>
  <c r="J95" i="9"/>
  <c r="H96" i="9"/>
  <c r="L96" i="9"/>
  <c r="J96" i="9"/>
  <c r="H97" i="9"/>
  <c r="L97" i="9"/>
  <c r="J97" i="9"/>
  <c r="H98" i="9"/>
  <c r="L98" i="9"/>
  <c r="J98" i="9"/>
  <c r="H99" i="9"/>
  <c r="L99" i="9"/>
  <c r="J99" i="9"/>
  <c r="H100" i="9"/>
  <c r="L100" i="9"/>
  <c r="J100" i="9"/>
  <c r="H101" i="9"/>
  <c r="L101" i="9"/>
  <c r="J101" i="9"/>
  <c r="H102" i="9"/>
  <c r="L102" i="9"/>
  <c r="J102" i="9"/>
  <c r="H103" i="9"/>
  <c r="L103" i="9"/>
  <c r="J103" i="9"/>
  <c r="H104" i="9"/>
  <c r="L104" i="9"/>
  <c r="J104" i="9"/>
  <c r="H105" i="9"/>
  <c r="L105" i="9"/>
  <c r="J105" i="9"/>
  <c r="H106" i="9"/>
  <c r="L106" i="9"/>
  <c r="J106" i="9"/>
  <c r="H107" i="9"/>
  <c r="L107" i="9"/>
  <c r="J107" i="9"/>
  <c r="H108" i="9"/>
  <c r="L108" i="9"/>
  <c r="J108" i="9"/>
  <c r="H109" i="9"/>
  <c r="L109" i="9"/>
  <c r="J109" i="9"/>
  <c r="H110" i="9"/>
  <c r="L110" i="9"/>
  <c r="J110" i="9"/>
  <c r="H111" i="9"/>
  <c r="L111" i="9"/>
  <c r="J111" i="9"/>
  <c r="H112" i="9"/>
  <c r="L112" i="9"/>
  <c r="J112" i="9"/>
  <c r="H113" i="9"/>
  <c r="L113" i="9"/>
  <c r="J113" i="9"/>
  <c r="H114" i="9"/>
  <c r="L114" i="9"/>
  <c r="J114" i="9"/>
  <c r="H115" i="9"/>
  <c r="L115" i="9"/>
  <c r="J115" i="9"/>
  <c r="H116" i="9"/>
  <c r="L116" i="9"/>
  <c r="J116" i="9"/>
  <c r="H117" i="9"/>
  <c r="L117" i="9"/>
  <c r="J117" i="9"/>
  <c r="H118" i="9"/>
  <c r="L118" i="9"/>
  <c r="J118" i="9"/>
  <c r="H119" i="9"/>
  <c r="L119" i="9"/>
  <c r="J119" i="9"/>
  <c r="H120" i="9"/>
  <c r="L120" i="9"/>
  <c r="J120" i="9"/>
  <c r="H121" i="9"/>
  <c r="L121" i="9"/>
  <c r="J121" i="9"/>
  <c r="H122" i="9"/>
  <c r="L122" i="9"/>
  <c r="J122" i="9"/>
  <c r="H123" i="9"/>
  <c r="L123" i="9"/>
  <c r="J123" i="9"/>
  <c r="H124" i="9"/>
  <c r="L124" i="9"/>
  <c r="J124" i="9"/>
  <c r="H125" i="9"/>
  <c r="L125" i="9"/>
  <c r="J125" i="9"/>
  <c r="H126" i="9"/>
  <c r="L126" i="9"/>
  <c r="J126" i="9"/>
  <c r="H127" i="9"/>
  <c r="L127" i="9"/>
  <c r="J127" i="9"/>
  <c r="H128" i="9"/>
  <c r="L128" i="9"/>
  <c r="J128" i="9"/>
  <c r="H129" i="9"/>
  <c r="L129" i="9"/>
  <c r="J129" i="9"/>
  <c r="H130" i="9"/>
  <c r="L130" i="9"/>
  <c r="J130" i="9"/>
  <c r="H131" i="9"/>
  <c r="L131" i="9"/>
  <c r="J131" i="9"/>
  <c r="H132" i="9"/>
  <c r="L132" i="9"/>
  <c r="J132" i="9"/>
  <c r="H133" i="9"/>
  <c r="L133" i="9"/>
  <c r="J133" i="9"/>
  <c r="H134" i="9"/>
  <c r="L134" i="9"/>
  <c r="J134" i="9"/>
  <c r="H135" i="9"/>
  <c r="L135" i="9"/>
  <c r="J135" i="9"/>
  <c r="H136" i="9"/>
  <c r="L136" i="9"/>
  <c r="J136" i="9"/>
  <c r="H137" i="9"/>
  <c r="L137" i="9"/>
  <c r="J137" i="9"/>
  <c r="H138" i="9"/>
  <c r="L138" i="9"/>
  <c r="J138" i="9"/>
  <c r="H139" i="9"/>
  <c r="L139" i="9"/>
  <c r="J139" i="9"/>
  <c r="H140" i="9"/>
  <c r="L140" i="9"/>
  <c r="J140" i="9"/>
  <c r="H141" i="9"/>
  <c r="L141" i="9"/>
  <c r="J141" i="9"/>
  <c r="H142" i="9"/>
  <c r="L142" i="9"/>
  <c r="J142" i="9"/>
  <c r="H143" i="9"/>
  <c r="L143" i="9"/>
  <c r="J143" i="9"/>
  <c r="H144" i="9"/>
  <c r="L144" i="9"/>
  <c r="J144" i="9"/>
  <c r="H145" i="9"/>
  <c r="L145" i="9"/>
  <c r="J145" i="9"/>
  <c r="H146" i="9"/>
  <c r="L146" i="9"/>
  <c r="J146" i="9"/>
  <c r="H147" i="9"/>
  <c r="L147" i="9"/>
  <c r="J147" i="9"/>
  <c r="H148" i="9"/>
  <c r="L148" i="9"/>
  <c r="J148" i="9"/>
  <c r="H149" i="9"/>
  <c r="L149" i="9"/>
  <c r="J149" i="9"/>
  <c r="H150" i="9"/>
  <c r="L150" i="9"/>
  <c r="J150" i="9"/>
  <c r="H151" i="9"/>
  <c r="L151" i="9"/>
  <c r="J151" i="9"/>
  <c r="H152" i="9"/>
  <c r="L152" i="9"/>
  <c r="J152" i="9"/>
  <c r="H153" i="9"/>
  <c r="L153" i="9"/>
  <c r="J153" i="9"/>
  <c r="H154" i="9"/>
  <c r="L154" i="9"/>
  <c r="J154" i="9"/>
  <c r="H155" i="9"/>
  <c r="L155" i="9"/>
  <c r="J155" i="9"/>
  <c r="H156" i="9"/>
  <c r="L156" i="9"/>
  <c r="J156" i="9"/>
  <c r="H157" i="9"/>
  <c r="L157" i="9"/>
  <c r="J157" i="9"/>
  <c r="H158" i="9"/>
  <c r="L158" i="9"/>
  <c r="J158" i="9"/>
  <c r="H159" i="9"/>
  <c r="L159" i="9"/>
  <c r="J159" i="9"/>
  <c r="H160" i="9"/>
  <c r="L160" i="9"/>
  <c r="J160" i="9"/>
  <c r="H161" i="9"/>
  <c r="L161" i="9"/>
  <c r="J161" i="9"/>
  <c r="H162" i="9"/>
  <c r="L162" i="9"/>
  <c r="J162" i="9"/>
  <c r="H163" i="9"/>
  <c r="L163" i="9"/>
  <c r="J163" i="9"/>
  <c r="H164" i="9"/>
  <c r="L164" i="9"/>
  <c r="J164" i="9"/>
  <c r="H165" i="9"/>
  <c r="L165" i="9"/>
  <c r="J165" i="9"/>
  <c r="H166" i="9"/>
  <c r="L166" i="9"/>
  <c r="J166" i="9"/>
  <c r="H167" i="9"/>
  <c r="L167" i="9"/>
  <c r="J167" i="9"/>
  <c r="H168" i="9"/>
  <c r="L168" i="9"/>
  <c r="J168" i="9"/>
  <c r="H169" i="9"/>
  <c r="L169" i="9"/>
  <c r="J169" i="9"/>
  <c r="H170" i="9"/>
  <c r="L170" i="9"/>
  <c r="J170" i="9"/>
  <c r="H171" i="9"/>
  <c r="L171" i="9"/>
  <c r="J171" i="9"/>
  <c r="H172" i="9"/>
  <c r="L172" i="9"/>
  <c r="J172" i="9"/>
  <c r="H173" i="9"/>
  <c r="L173" i="9"/>
  <c r="J173" i="9"/>
  <c r="H174" i="9"/>
  <c r="L174" i="9"/>
  <c r="J174" i="9"/>
  <c r="H175" i="9"/>
  <c r="L175" i="9"/>
  <c r="J175" i="9"/>
  <c r="H176" i="9"/>
  <c r="L176" i="9"/>
  <c r="J176" i="9"/>
  <c r="H177" i="9"/>
  <c r="L177" i="9"/>
  <c r="J177" i="9"/>
  <c r="H178" i="9"/>
  <c r="L178" i="9"/>
  <c r="J178" i="9"/>
  <c r="H179" i="9"/>
  <c r="L179" i="9"/>
  <c r="J179" i="9"/>
  <c r="H180" i="9"/>
  <c r="L180" i="9"/>
  <c r="J180" i="9"/>
  <c r="H181" i="9"/>
  <c r="L181" i="9"/>
  <c r="J181" i="9"/>
  <c r="H182" i="9"/>
  <c r="L182" i="9"/>
  <c r="J182" i="9"/>
  <c r="H183" i="9"/>
  <c r="L183" i="9"/>
  <c r="J183" i="9"/>
  <c r="H184" i="9"/>
  <c r="L184" i="9"/>
  <c r="J184" i="9"/>
  <c r="H185" i="9"/>
  <c r="L185" i="9"/>
  <c r="J185" i="9"/>
  <c r="H186" i="9"/>
  <c r="L186" i="9"/>
  <c r="J186" i="9"/>
  <c r="H187" i="9"/>
  <c r="L187" i="9"/>
  <c r="J187" i="9"/>
  <c r="H188" i="9"/>
  <c r="L188" i="9"/>
  <c r="J188" i="9"/>
  <c r="H189" i="9"/>
  <c r="L189" i="9"/>
  <c r="J189" i="9"/>
  <c r="H190" i="9"/>
  <c r="L190" i="9"/>
  <c r="J190" i="9"/>
  <c r="H191" i="9"/>
  <c r="L191" i="9"/>
  <c r="J191" i="9"/>
  <c r="H192" i="9"/>
  <c r="L192" i="9"/>
  <c r="J192" i="9"/>
  <c r="H193" i="9"/>
  <c r="L193" i="9"/>
  <c r="J193" i="9"/>
  <c r="H194" i="9"/>
  <c r="L194" i="9"/>
  <c r="J194" i="9"/>
  <c r="H195" i="9"/>
  <c r="L195" i="9"/>
  <c r="J195" i="9"/>
  <c r="H196" i="9"/>
  <c r="L196" i="9"/>
  <c r="J196" i="9"/>
  <c r="H197" i="9"/>
  <c r="L197" i="9"/>
  <c r="J197" i="9"/>
  <c r="H198" i="9"/>
  <c r="L198" i="9"/>
  <c r="J198" i="9"/>
  <c r="H199" i="9"/>
  <c r="L199" i="9"/>
  <c r="J199" i="9"/>
  <c r="H200" i="9"/>
  <c r="L200" i="9"/>
  <c r="J200" i="9"/>
  <c r="H201" i="9"/>
  <c r="L201" i="9"/>
  <c r="J201" i="9"/>
  <c r="H202" i="9"/>
  <c r="L202" i="9"/>
  <c r="J202" i="9"/>
  <c r="H203" i="9"/>
  <c r="L203" i="9"/>
  <c r="J203" i="9"/>
  <c r="H204" i="9"/>
  <c r="L204" i="9"/>
  <c r="J204" i="9"/>
  <c r="H205" i="9"/>
  <c r="L205" i="9"/>
  <c r="J205" i="9"/>
  <c r="H206" i="9"/>
  <c r="L206" i="9"/>
  <c r="L6" i="9"/>
  <c r="L5" i="9"/>
  <c r="J206" i="9"/>
  <c r="D12" i="6"/>
  <c r="C11" i="6"/>
</calcChain>
</file>

<file path=xl/comments1.xml><?xml version="1.0" encoding="utf-8"?>
<comments xmlns="http://schemas.openxmlformats.org/spreadsheetml/2006/main">
  <authors>
    <author>ZL</author>
  </authors>
  <commentLis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箱子ID不能重复,且连续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数组长度不超过255（否则存储数据太大）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T6" authorId="0" shapeId="0">
      <text>
        <r>
          <rPr>
            <b/>
            <sz val="9"/>
            <color indexed="81"/>
            <rFont val="宋体"/>
            <family val="3"/>
            <charset val="134"/>
          </rPr>
          <t>数组长度不超过255（否则存储数据太大）</t>
        </r>
      </text>
    </comment>
    <comment ref="U6" authorId="0" shapeId="0">
      <text>
        <r>
          <rPr>
            <b/>
            <sz val="9"/>
            <color indexed="81"/>
            <rFont val="宋体"/>
            <family val="3"/>
            <charset val="134"/>
          </rPr>
          <t>数组长度不超过255（否则存储数据太大）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97" authorId="0" shapeId="0">
      <text>
        <r>
          <rPr>
            <b/>
            <sz val="9"/>
            <color indexed="81"/>
            <rFont val="宋体"/>
            <family val="3"/>
            <charset val="134"/>
          </rPr>
          <t>和10 魔法宝箱相同</t>
        </r>
      </text>
    </comment>
  </commentList>
</comments>
</file>

<file path=xl/comments2.xml><?xml version="1.0" encoding="utf-8"?>
<comments xmlns="http://schemas.openxmlformats.org/spreadsheetml/2006/main">
  <authors>
    <author>ZL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数组长度不超过255（否则存储数据太大）</t>
        </r>
      </text>
    </comment>
  </commentList>
</comments>
</file>

<file path=xl/comments3.xml><?xml version="1.0" encoding="utf-8"?>
<comments xmlns="http://schemas.openxmlformats.org/spreadsheetml/2006/main">
  <authors>
    <author>ZL</author>
  </authors>
  <commentList>
    <comment ref="D21" authorId="0" shapeId="0">
      <text>
        <r>
          <rPr>
            <b/>
            <sz val="9"/>
            <color indexed="81"/>
            <rFont val="宋体"/>
            <family val="3"/>
            <charset val="134"/>
          </rPr>
          <t>ZL:</t>
        </r>
        <r>
          <rPr>
            <sz val="9"/>
            <color indexed="81"/>
            <rFont val="宋体"/>
            <family val="3"/>
            <charset val="134"/>
          </rPr>
          <t xml:space="preserve">
没算不随机到同一张卡的情况。实际会比这个贵很多</t>
        </r>
      </text>
    </comment>
    <comment ref="N21" authorId="0" shapeId="0">
      <text>
        <r>
          <rPr>
            <b/>
            <sz val="9"/>
            <color indexed="81"/>
            <rFont val="宋体"/>
            <family val="3"/>
            <charset val="134"/>
          </rPr>
          <t>全局配置是数组，引用麻烦。直接在这里手动填写的。如果充值价格有改动记得手动修改。</t>
        </r>
      </text>
    </comment>
    <comment ref="D25" authorId="0" shapeId="0">
      <text>
        <r>
          <rPr>
            <b/>
            <sz val="9"/>
            <color indexed="81"/>
            <rFont val="宋体"/>
            <family val="3"/>
            <charset val="134"/>
          </rPr>
          <t>ZL:</t>
        </r>
        <r>
          <rPr>
            <sz val="9"/>
            <color indexed="81"/>
            <rFont val="宋体"/>
            <family val="3"/>
            <charset val="134"/>
          </rPr>
          <t xml:space="preserve">
没算不随机到同一张卡的情况。实际会比这个贵很多</t>
        </r>
      </text>
    </comment>
  </commentList>
</comments>
</file>

<file path=xl/comments4.xml><?xml version="1.0" encoding="utf-8"?>
<comments xmlns="http://schemas.openxmlformats.org/spreadsheetml/2006/main">
  <authors>
    <author>ZL</author>
  </authors>
  <commentLis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和10 魔法宝箱相同</t>
        </r>
      </text>
    </comment>
    <comment ref="F22" authorId="0" shapeId="0">
      <text>
        <r>
          <rPr>
            <b/>
            <sz val="9"/>
            <color indexed="81"/>
            <rFont val="宋体"/>
            <family val="3"/>
            <charset val="134"/>
          </rPr>
          <t>和10 魔法宝箱相同</t>
        </r>
      </text>
    </comment>
    <comment ref="F29" authorId="0" shapeId="0">
      <text>
        <r>
          <rPr>
            <b/>
            <sz val="9"/>
            <color indexed="81"/>
            <rFont val="宋体"/>
            <family val="3"/>
            <charset val="134"/>
          </rPr>
          <t>和10 魔法宝箱相同</t>
        </r>
      </text>
    </comment>
  </commentList>
</comments>
</file>

<file path=xl/sharedStrings.xml><?xml version="1.0" encoding="utf-8"?>
<sst xmlns="http://schemas.openxmlformats.org/spreadsheetml/2006/main" count="1171" uniqueCount="335">
  <si>
    <t>begin</t>
  </si>
  <si>
    <t>uint16</t>
  </si>
  <si>
    <t>string</t>
  </si>
  <si>
    <t>notNull</t>
  </si>
  <si>
    <t>Chest</t>
  </si>
  <si>
    <t>B</t>
    <phoneticPr fontId="3" type="noConversion"/>
  </si>
  <si>
    <t>宝箱造型</t>
    <phoneticPr fontId="7" type="noConversion"/>
  </si>
  <si>
    <t>宝箱等级</t>
    <phoneticPr fontId="7" type="noConversion"/>
  </si>
  <si>
    <t>钻石价格</t>
    <phoneticPr fontId="7" type="noConversion"/>
  </si>
  <si>
    <t>金币min</t>
    <phoneticPr fontId="7" type="noConversion"/>
  </si>
  <si>
    <t>金币max</t>
    <phoneticPr fontId="7" type="noConversion"/>
  </si>
  <si>
    <t>卡牌总数</t>
    <phoneticPr fontId="7" type="noConversion"/>
  </si>
  <si>
    <t>保底橙卡</t>
    <phoneticPr fontId="7" type="noConversion"/>
  </si>
  <si>
    <t>保底紫卡</t>
    <phoneticPr fontId="7" type="noConversion"/>
  </si>
  <si>
    <t>新手训练2</t>
  </si>
  <si>
    <t>新手训练3</t>
  </si>
  <si>
    <t>新手训练4</t>
  </si>
  <si>
    <t>魔法宝箱</t>
    <phoneticPr fontId="7" type="noConversion"/>
  </si>
  <si>
    <t>X Gold, X Gems, amount of cards equal to a Golden Chest of your Arena level.</t>
    <phoneticPr fontId="7" type="noConversion"/>
  </si>
  <si>
    <t>X Gold, 2-4 Gems, 4 random cards - plus 1 per Arena level.</t>
    <phoneticPr fontId="7" type="noConversion"/>
  </si>
  <si>
    <t>备注</t>
    <phoneticPr fontId="3" type="noConversion"/>
  </si>
  <si>
    <t>解锁时间</t>
    <phoneticPr fontId="7" type="noConversion"/>
  </si>
  <si>
    <t>id</t>
    <phoneticPr fontId="3" type="noConversion"/>
  </si>
  <si>
    <t>说明</t>
    <phoneticPr fontId="3" type="noConversion"/>
  </si>
  <si>
    <t>id</t>
  </si>
  <si>
    <t>prevToNext</t>
  </si>
  <si>
    <r>
      <t>u</t>
    </r>
    <r>
      <rPr>
        <sz val="11"/>
        <color indexed="8"/>
        <rFont val="宋体"/>
        <family val="3"/>
        <charset val="134"/>
      </rPr>
      <t>nlockT</t>
    </r>
    <r>
      <rPr>
        <sz val="11"/>
        <color indexed="8"/>
        <rFont val="宋体"/>
        <family val="3"/>
        <charset val="134"/>
      </rPr>
      <t>ime</t>
    </r>
    <phoneticPr fontId="3" type="noConversion"/>
  </si>
  <si>
    <t>model</t>
    <phoneticPr fontId="3" type="noConversion"/>
  </si>
  <si>
    <t>price</t>
    <phoneticPr fontId="3" type="noConversion"/>
  </si>
  <si>
    <t>goldMin</t>
    <phoneticPr fontId="3" type="noConversion"/>
  </si>
  <si>
    <t>goldMax</t>
    <phoneticPr fontId="3" type="noConversion"/>
  </si>
  <si>
    <t>固定卡牌数组
(卡牌总数包含固定卡牌)</t>
    <phoneticPr fontId="7" type="noConversion"/>
  </si>
  <si>
    <t>guaranteedCard</t>
    <phoneticPr fontId="3" type="noConversion"/>
  </si>
  <si>
    <t>cardNumber</t>
    <phoneticPr fontId="3" type="noConversion"/>
  </si>
  <si>
    <t>rareNumber</t>
    <phoneticPr fontId="3" type="noConversion"/>
  </si>
  <si>
    <t>epicNumber</t>
    <phoneticPr fontId="3" type="noConversion"/>
  </si>
  <si>
    <r>
      <t>uint16</t>
    </r>
    <r>
      <rPr>
        <sz val="11"/>
        <color indexed="8"/>
        <rFont val="宋体"/>
        <family val="3"/>
        <charset val="134"/>
      </rPr>
      <t>[]</t>
    </r>
    <phoneticPr fontId="3" type="noConversion"/>
  </si>
  <si>
    <t>保底Musketeer</t>
    <phoneticPr fontId="3" type="noConversion"/>
  </si>
  <si>
    <t>保底Goblins</t>
    <phoneticPr fontId="3" type="noConversion"/>
  </si>
  <si>
    <t>level</t>
    <phoneticPr fontId="3" type="noConversion"/>
  </si>
  <si>
    <r>
      <t>i</t>
    </r>
    <r>
      <rPr>
        <sz val="11"/>
        <color indexed="8"/>
        <rFont val="宋体"/>
        <family val="3"/>
        <charset val="134"/>
      </rPr>
      <t>nt32</t>
    </r>
    <phoneticPr fontId="3" type="noConversion"/>
  </si>
  <si>
    <t>E</t>
    <phoneticPr fontId="3" type="noConversion"/>
  </si>
  <si>
    <t>end</t>
    <phoneticPr fontId="3" type="noConversion"/>
  </si>
  <si>
    <t>B</t>
  </si>
  <si>
    <t>E</t>
  </si>
  <si>
    <t>新手训练1</t>
  </si>
  <si>
    <t>unlockTime</t>
  </si>
  <si>
    <t>解锁时间</t>
  </si>
  <si>
    <t>model</t>
  </si>
  <si>
    <t>宝箱造型</t>
  </si>
  <si>
    <t>level</t>
  </si>
  <si>
    <t>int32</t>
  </si>
  <si>
    <t>宝箱等级</t>
  </si>
  <si>
    <t>price</t>
  </si>
  <si>
    <t>钻石价格</t>
  </si>
  <si>
    <t>goldMin</t>
  </si>
  <si>
    <t>金币min</t>
  </si>
  <si>
    <t>goldMax</t>
  </si>
  <si>
    <t>金币max</t>
  </si>
  <si>
    <t>cardNumber</t>
  </si>
  <si>
    <t>卡牌总数</t>
  </si>
  <si>
    <t>rareNumber</t>
  </si>
  <si>
    <t>epicNumber</t>
  </si>
  <si>
    <t>end</t>
  </si>
  <si>
    <t>guaranteedCard</t>
  </si>
  <si>
    <t>uint16[]</t>
  </si>
  <si>
    <t>固定卡牌数组
(卡牌总数包含固定卡牌)</t>
  </si>
  <si>
    <t>金币</t>
    <phoneticPr fontId="3" type="noConversion"/>
  </si>
  <si>
    <t>商店-超大宝箱</t>
    <phoneticPr fontId="3" type="noConversion"/>
  </si>
  <si>
    <t>增加第8级的宝箱（竞技场增加了第8级）</t>
    <phoneticPr fontId="3" type="noConversion"/>
  </si>
  <si>
    <t>白银宝箱</t>
    <phoneticPr fontId="7" type="noConversion"/>
  </si>
  <si>
    <t>黄金宝箱</t>
    <phoneticPr fontId="7" type="noConversion"/>
  </si>
  <si>
    <t>商店-超级魔法宝箱</t>
  </si>
  <si>
    <t>不同卡牌数</t>
    <phoneticPr fontId="3" type="noConversion"/>
  </si>
  <si>
    <t>differentCards</t>
    <phoneticPr fontId="3" type="noConversion"/>
  </si>
  <si>
    <t>增加字段：不同卡牌数 differentCards</t>
    <phoneticPr fontId="3" type="noConversion"/>
  </si>
  <si>
    <t>金币：</t>
    <phoneticPr fontId="3" type="noConversion"/>
  </si>
  <si>
    <t>钻石：</t>
    <phoneticPr fontId="3" type="noConversion"/>
  </si>
  <si>
    <t>卡牌：</t>
    <phoneticPr fontId="3" type="noConversion"/>
  </si>
  <si>
    <t>differentCards</t>
  </si>
  <si>
    <t>超大宝箱</t>
    <phoneticPr fontId="3" type="noConversion"/>
  </si>
  <si>
    <t>枚举</t>
    <phoneticPr fontId="3" type="noConversion"/>
  </si>
  <si>
    <t>免费宝箱按chest_free_diamonds序列依次获得钻石。超出数组长度后按此数组循环。  （值可能是0）</t>
    <phoneticPr fontId="3" type="noConversion"/>
  </si>
  <si>
    <t>任务宝箱按chest_crown_diamonds序列依次获得钻石。超出数组长度后按此数组循环。 （值可能是0）</t>
    <phoneticPr fontId="3" type="noConversion"/>
  </si>
  <si>
    <t>保底传说卡</t>
    <phoneticPr fontId="3" type="noConversion"/>
  </si>
  <si>
    <t>小时</t>
    <phoneticPr fontId="3" type="noConversion"/>
  </si>
  <si>
    <t>宝箱种类</t>
    <phoneticPr fontId="3" type="noConversion"/>
  </si>
  <si>
    <t>循环数量</t>
    <phoneticPr fontId="3" type="noConversion"/>
  </si>
  <si>
    <t>总小时</t>
    <phoneticPr fontId="3" type="noConversion"/>
  </si>
  <si>
    <t>免费宝箱</t>
    <phoneticPr fontId="3" type="noConversion"/>
  </si>
  <si>
    <t>任务宝箱</t>
    <phoneticPr fontId="3" type="noConversion"/>
  </si>
  <si>
    <t>普卡</t>
    <phoneticPr fontId="3" type="noConversion"/>
  </si>
  <si>
    <t>橙卡</t>
    <phoneticPr fontId="3" type="noConversion"/>
  </si>
  <si>
    <t>紫卡</t>
    <phoneticPr fontId="3" type="noConversion"/>
  </si>
  <si>
    <t>传说卡</t>
    <phoneticPr fontId="3" type="noConversion"/>
  </si>
  <si>
    <t>满级需要卡牌数量：</t>
    <phoneticPr fontId="3" type="noConversion"/>
  </si>
  <si>
    <t>免费获得/满级数：</t>
    <phoneticPr fontId="3" type="noConversion"/>
  </si>
  <si>
    <t>购买超大宝箱，满级一张普卡：</t>
    <phoneticPr fontId="3" type="noConversion"/>
  </si>
  <si>
    <t>购买超级魔法宝箱，满级一张紫卡：</t>
    <phoneticPr fontId="3" type="noConversion"/>
  </si>
  <si>
    <t>宝箱数量</t>
    <phoneticPr fontId="3" type="noConversion"/>
  </si>
  <si>
    <t>钻石价格</t>
    <phoneticPr fontId="3" type="noConversion"/>
  </si>
  <si>
    <t>人民币</t>
    <phoneticPr fontId="3" type="noConversion"/>
  </si>
  <si>
    <t>1元购买钻石：</t>
    <phoneticPr fontId="3" type="noConversion"/>
  </si>
  <si>
    <t>购买超级魔法宝箱，满级一张传说卡：</t>
    <phoneticPr fontId="3" type="noConversion"/>
  </si>
  <si>
    <t>购买超级魔法宝箱，获得一张传说卡：</t>
    <phoneticPr fontId="3" type="noConversion"/>
  </si>
  <si>
    <t>购买超大宝箱，获得一张传说卡：</t>
    <phoneticPr fontId="3" type="noConversion"/>
  </si>
  <si>
    <t>购买魔法宝箱，获得一张传说卡：</t>
    <phoneticPr fontId="3" type="noConversion"/>
  </si>
  <si>
    <t>购买超大宝箱，获得一张紫卡：</t>
    <phoneticPr fontId="3" type="noConversion"/>
  </si>
  <si>
    <t>购买魔法宝箱，获得一张紫卡：</t>
    <phoneticPr fontId="3" type="noConversion"/>
  </si>
  <si>
    <t>购买超级魔法宝箱，获得一张紫卡：</t>
    <phoneticPr fontId="3" type="noConversion"/>
  </si>
  <si>
    <t>购买超大宝箱，获得一张橙卡：</t>
    <phoneticPr fontId="3" type="noConversion"/>
  </si>
  <si>
    <t>购买魔法宝箱，获得一张橙卡：</t>
    <phoneticPr fontId="3" type="noConversion"/>
  </si>
  <si>
    <t>购买超级魔法宝箱，获得一张橙卡：</t>
    <phoneticPr fontId="3" type="noConversion"/>
  </si>
  <si>
    <t>购买超大宝箱，获得一张普卡：</t>
    <phoneticPr fontId="3" type="noConversion"/>
  </si>
  <si>
    <t>购买魔法宝箱，获得一张普卡：</t>
    <phoneticPr fontId="3" type="noConversion"/>
  </si>
  <si>
    <t>购买超级魔法宝箱，获得一张普卡：</t>
    <phoneticPr fontId="3" type="noConversion"/>
  </si>
  <si>
    <t>普卡张数</t>
    <phoneticPr fontId="3" type="noConversion"/>
  </si>
  <si>
    <t>legendaryNumber</t>
  </si>
  <si>
    <t>宝箱随机奖励需求  （不是具体算法）</t>
    <phoneticPr fontId="3" type="noConversion"/>
  </si>
  <si>
    <t>固定出橙卡数</t>
    <phoneticPr fontId="7" type="noConversion"/>
  </si>
  <si>
    <t>固定出紫卡数</t>
    <phoneticPr fontId="7" type="noConversion"/>
  </si>
  <si>
    <t>固定出传说卡数</t>
    <phoneticPr fontId="3" type="noConversion"/>
  </si>
  <si>
    <t>紫卡概率数组（分母=1万）</t>
    <phoneticPr fontId="7" type="noConversion"/>
  </si>
  <si>
    <t>rareProbabilityList</t>
    <phoneticPr fontId="3" type="noConversion"/>
  </si>
  <si>
    <t>epicProbabilityList</t>
    <phoneticPr fontId="3" type="noConversion"/>
  </si>
  <si>
    <t>legendaryProbabilityList</t>
    <phoneticPr fontId="3" type="noConversion"/>
  </si>
  <si>
    <t>宝箱卡牌字段：</t>
    <phoneticPr fontId="3" type="noConversion"/>
  </si>
  <si>
    <t>固定卡牌：</t>
    <phoneticPr fontId="3" type="noConversion"/>
  </si>
  <si>
    <r>
      <t>guaranteedCard</t>
    </r>
    <r>
      <rPr>
        <sz val="11"/>
        <color indexed="8"/>
        <rFont val="宋体"/>
        <family val="3"/>
        <charset val="134"/>
      </rPr>
      <t xml:space="preserve"> 数组不为空时，产出固定的卡牌。</t>
    </r>
    <phoneticPr fontId="3" type="noConversion"/>
  </si>
  <si>
    <t>legendaryNumber</t>
    <phoneticPr fontId="3" type="noConversion"/>
  </si>
  <si>
    <t>传说卡：</t>
    <phoneticPr fontId="3" type="noConversion"/>
  </si>
  <si>
    <t>紫卡：</t>
    <phoneticPr fontId="3" type="noConversion"/>
  </si>
  <si>
    <t>橙卡：</t>
    <phoneticPr fontId="3" type="noConversion"/>
  </si>
  <si>
    <t xml:space="preserve">legendaryProbabilityList不为空时： </t>
    <phoneticPr fontId="3" type="noConversion"/>
  </si>
  <si>
    <t>固定卡牌数组(卡牌总数包含这个数组里的牌)</t>
    <phoneticPr fontId="7" type="noConversion"/>
  </si>
  <si>
    <t>次数</t>
    <phoneticPr fontId="7" type="noConversion"/>
  </si>
  <si>
    <t>本次抽中概率</t>
    <phoneticPr fontId="7" type="noConversion"/>
  </si>
  <si>
    <t>出卡概率</t>
    <phoneticPr fontId="7" type="noConversion"/>
  </si>
  <si>
    <t>剩余概率</t>
    <phoneticPr fontId="7" type="noConversion"/>
  </si>
  <si>
    <t>2-50</t>
    <phoneticPr fontId="7" type="noConversion"/>
  </si>
  <si>
    <t>51-100</t>
    <phoneticPr fontId="7" type="noConversion"/>
  </si>
  <si>
    <t>101-150</t>
    <phoneticPr fontId="7" type="noConversion"/>
  </si>
  <si>
    <t>150-200</t>
    <phoneticPr fontId="7" type="noConversion"/>
  </si>
  <si>
    <t xml:space="preserve">规则和传说卡相同。  配置字段为 epicNumber  epicProbabilityList </t>
    <phoneticPr fontId="3" type="noConversion"/>
  </si>
  <si>
    <t xml:space="preserve">规则和传说卡相同。  配置字段为 rareNumber  rareProbabilityList </t>
    <phoneticPr fontId="3" type="noConversion"/>
  </si>
  <si>
    <t>普卡：</t>
    <phoneticPr fontId="3" type="noConversion"/>
  </si>
  <si>
    <t>这个概率数组，可以使实际结果接近正态分布，用户体验更好一些。（比如10%概率，那么第10次获得的概率最大，越往10次两边偏移，实际概率越小）</t>
    <phoneticPr fontId="3" type="noConversion"/>
  </si>
  <si>
    <t>其他宝箱不会获得钻石。</t>
    <phoneticPr fontId="3" type="noConversion"/>
  </si>
  <si>
    <t>在 goldMin 到 goldMax 之间随机得出金币值。（Min和Max有可能相等）</t>
    <phoneticPr fontId="3" type="noConversion"/>
  </si>
  <si>
    <t>不同卡牌数</t>
    <phoneticPr fontId="3" type="noConversion"/>
  </si>
  <si>
    <t>随机张数</t>
    <phoneticPr fontId="3" type="noConversion"/>
  </si>
  <si>
    <t>传说卡的张数 = 随机张数 + legendaryNumber</t>
    <phoneticPr fontId="3" type="noConversion"/>
  </si>
  <si>
    <r>
      <rPr>
        <b/>
        <sz val="11"/>
        <color indexed="8"/>
        <rFont val="宋体"/>
        <family val="3"/>
        <charset val="134"/>
      </rPr>
      <t>普卡的张数</t>
    </r>
    <r>
      <rPr>
        <sz val="11"/>
        <color indexed="8"/>
        <rFont val="宋体"/>
        <family val="3"/>
        <charset val="134"/>
      </rPr>
      <t xml:space="preserve"> = cardNumber 减去 固定卡牌、传说卡、紫卡、橙卡的数量</t>
    </r>
    <phoneticPr fontId="3" type="noConversion"/>
  </si>
  <si>
    <t>如果品质数≥种类数：</t>
    <phoneticPr fontId="3" type="noConversion"/>
  </si>
  <si>
    <t>如果品质数＜种类数：</t>
    <phoneticPr fontId="3" type="noConversion"/>
  </si>
  <si>
    <t>以上过程，已得出：</t>
    <phoneticPr fontId="3" type="noConversion"/>
  </si>
  <si>
    <t>传说卡实际张数</t>
    <phoneticPr fontId="3" type="noConversion"/>
  </si>
  <si>
    <t>紫卡实际张数</t>
    <phoneticPr fontId="3" type="noConversion"/>
  </si>
  <si>
    <t>橙卡实际张数</t>
    <phoneticPr fontId="3" type="noConversion"/>
  </si>
  <si>
    <t>普卡实际张数</t>
    <phoneticPr fontId="3" type="noConversion"/>
  </si>
  <si>
    <t>固定卡（种类、张数都已确定）</t>
    <phoneticPr fontId="3" type="noConversion"/>
  </si>
  <si>
    <t xml:space="preserve">品质数=实际张数大于0的卡牌品质数（不算固定卡）。   最小为1。最多为4：普卡、橙卡、紫卡、传说卡。   </t>
    <phoneticPr fontId="3" type="noConversion"/>
  </si>
  <si>
    <t>每张卡牌是1种，卡牌张数=1</t>
    <phoneticPr fontId="3" type="noConversion"/>
  </si>
  <si>
    <t>每个品质卡牌是1种， 卡牌张数=该品质的实际张数</t>
    <phoneticPr fontId="3" type="noConversion"/>
  </si>
  <si>
    <t>如果 种类数＜张数</t>
    <phoneticPr fontId="3" type="noConversion"/>
  </si>
  <si>
    <t>如果 种类数≥张数</t>
    <phoneticPr fontId="3" type="noConversion"/>
  </si>
  <si>
    <t>配置必须符合：  品质数≤张数</t>
    <phoneticPr fontId="3" type="noConversion"/>
  </si>
  <si>
    <t>第1步：</t>
    <phoneticPr fontId="3" type="noConversion"/>
  </si>
  <si>
    <t>第2步：</t>
  </si>
  <si>
    <t>举例子：  紫卡张数=1  橙卡张数=2  普卡张数=10   种类数=7</t>
    <phoneticPr fontId="3" type="noConversion"/>
  </si>
  <si>
    <t>紫卡种类=最大值，只能分配给橙卡或普卡。假设分配给了普卡。</t>
    <phoneticPr fontId="3" type="noConversion"/>
  </si>
  <si>
    <t>紫卡种类=1   橙卡种类=1  普卡张数=2</t>
    <phoneticPr fontId="3" type="noConversion"/>
  </si>
  <si>
    <t>种类数=4-1=3</t>
    <phoneticPr fontId="3" type="noConversion"/>
  </si>
  <si>
    <t>紫卡种类=最大值，只能分配给橙卡或普卡。假设分配给了橙卡。</t>
    <phoneticPr fontId="3" type="noConversion"/>
  </si>
  <si>
    <t>紫卡种类=1   橙卡种类=2  普卡张数=2</t>
    <phoneticPr fontId="3" type="noConversion"/>
  </si>
  <si>
    <t>那么剩下的2都分给普卡</t>
    <phoneticPr fontId="3" type="noConversion"/>
  </si>
  <si>
    <t>最后</t>
    <phoneticPr fontId="3" type="noConversion"/>
  </si>
  <si>
    <t>剩余的种类数平均概率分配给  种类数没有到达最大值的品质  直到分完为止，或者只剩一个品质没到最大值，那把剩下的都分给这个品质。</t>
    <phoneticPr fontId="3" type="noConversion"/>
  </si>
  <si>
    <t>紫卡种类=1   橙卡种类=1  普卡张数=1</t>
    <phoneticPr fontId="3" type="noConversion"/>
  </si>
  <si>
    <t>种类数=7-3=4</t>
    <phoneticPr fontId="3" type="noConversion"/>
  </si>
  <si>
    <t xml:space="preserve">此时  </t>
    <phoneticPr fontId="3" type="noConversion"/>
  </si>
  <si>
    <t>这时候橙卡种类=最大值  ，只剩下普卡可以分配了</t>
    <phoneticPr fontId="3" type="noConversion"/>
  </si>
  <si>
    <t>各个品质卡牌种类数   最小值=1  最大值=实际张数。</t>
    <phoneticPr fontId="3" type="noConversion"/>
  </si>
  <si>
    <t>第3步：</t>
  </si>
  <si>
    <t>由第2步确定了 各个品质卡牌的种类数。  如果种类数＞1，要继续确定每个种类的张数。</t>
    <phoneticPr fontId="3" type="noConversion"/>
  </si>
  <si>
    <t>给张数＞0的品质，种类数基础值=1</t>
    <phoneticPr fontId="3" type="noConversion"/>
  </si>
  <si>
    <r>
      <t xml:space="preserve">（此时 </t>
    </r>
    <r>
      <rPr>
        <sz val="11"/>
        <color indexed="8"/>
        <rFont val="宋体"/>
        <family val="3"/>
        <charset val="134"/>
      </rPr>
      <t xml:space="preserve"> 张数必然≥种类数）</t>
    </r>
    <phoneticPr fontId="3" type="noConversion"/>
  </si>
  <si>
    <t>1  确定各个品质卡牌张数</t>
    <phoneticPr fontId="3" type="noConversion"/>
  </si>
  <si>
    <t>2  确定卡牌的种类数和张数：</t>
    <phoneticPr fontId="3" type="noConversion"/>
  </si>
  <si>
    <t>3  确定各个种类的卡牌ID</t>
    <phoneticPr fontId="3" type="noConversion"/>
  </si>
  <si>
    <t>根据当前宝箱等级（或者当前竞技场等级），在对应品质的卡牌中平均概率随机卡牌ID。</t>
    <phoneticPr fontId="3" type="noConversion"/>
  </si>
  <si>
    <t>第3.1步：</t>
    <phoneticPr fontId="3" type="noConversion"/>
  </si>
  <si>
    <t>第3.2步：</t>
  </si>
  <si>
    <r>
      <t>各个种类的张数=</t>
    </r>
    <r>
      <rPr>
        <sz val="11"/>
        <color indexed="8"/>
        <rFont val="宋体"/>
        <family val="3"/>
        <charset val="134"/>
      </rPr>
      <t>1</t>
    </r>
    <phoneticPr fontId="3" type="noConversion"/>
  </si>
  <si>
    <r>
      <t>循环 总张数</t>
    </r>
    <r>
      <rPr>
        <sz val="11"/>
        <color indexed="8"/>
        <rFont val="宋体"/>
        <family val="3"/>
        <charset val="134"/>
      </rPr>
      <t>-种类数 次：  每次平均概率 某个种类的张数加1</t>
    </r>
    <phoneticPr fontId="3" type="noConversion"/>
  </si>
  <si>
    <t>循环结束后即可得出每个种类的卡牌张数</t>
    <phoneticPr fontId="3" type="noConversion"/>
  </si>
  <si>
    <t>《备注》标签页里新增了 宝箱随机规则</t>
    <phoneticPr fontId="3" type="noConversion"/>
  </si>
  <si>
    <t>最屌的</t>
    <phoneticPr fontId="3" type="noConversion"/>
  </si>
  <si>
    <t>免费的</t>
    <phoneticPr fontId="3" type="noConversion"/>
  </si>
  <si>
    <t>奖励略比魔法宝箱弱，但是普卡给的更多，金币给的更多</t>
    <phoneticPr fontId="3" type="noConversion"/>
  </si>
  <si>
    <t>备注</t>
    <phoneticPr fontId="3" type="noConversion"/>
  </si>
  <si>
    <t>橙卡概率数组（分母=1万）</t>
    <phoneticPr fontId="7" type="noConversion"/>
  </si>
  <si>
    <t>传说卡概率数组（分母=1万）</t>
    <phoneticPr fontId="3" type="noConversion"/>
  </si>
  <si>
    <r>
      <t>第</t>
    </r>
    <r>
      <rPr>
        <b/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次使用数组第</t>
    </r>
    <r>
      <rPr>
        <b/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个值作为概率，计算是否获得一张卡牌。</t>
    </r>
    <phoneticPr fontId="3" type="noConversion"/>
  </si>
  <si>
    <r>
      <t>如果获得卡牌，则下次再从第</t>
    </r>
    <r>
      <rPr>
        <b/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个值读取。 如果未获得，则下次读取数组</t>
    </r>
    <r>
      <rPr>
        <b/>
        <sz val="11"/>
        <color indexed="8"/>
        <rFont val="宋体"/>
        <family val="3"/>
        <charset val="134"/>
      </rPr>
      <t>下一个值</t>
    </r>
    <r>
      <rPr>
        <sz val="11"/>
        <color indexed="8"/>
        <rFont val="宋体"/>
        <family val="3"/>
        <charset val="134"/>
      </rPr>
      <t>；如果下一个值超出数组长度则从第</t>
    </r>
    <r>
      <rPr>
        <b/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个值开始读取。</t>
    </r>
    <phoneticPr fontId="3" type="noConversion"/>
  </si>
  <si>
    <t>获得卡牌的概率数组，最后一个不能必须是1万。因为普通箱子给传说卡，不能必然给，否则这个数组会非常非常长</t>
    <phoneticPr fontId="3" type="noConversion"/>
  </si>
  <si>
    <t>14</t>
  </si>
  <si>
    <t>14</t>
    <phoneticPr fontId="3" type="noConversion"/>
  </si>
  <si>
    <t/>
  </si>
  <si>
    <t>rareProbabilityList</t>
  </si>
  <si>
    <t>epicProbabilityList</t>
  </si>
  <si>
    <t>legendaryProbabilityList</t>
  </si>
  <si>
    <t>商店</t>
  </si>
  <si>
    <t>商店</t>
    <phoneticPr fontId="3" type="noConversion"/>
  </si>
  <si>
    <t>魔法宝箱</t>
    <phoneticPr fontId="3" type="noConversion"/>
  </si>
  <si>
    <t>超级魔法宝箱</t>
    <phoneticPr fontId="7" type="noConversion"/>
  </si>
  <si>
    <t>卡牌总数</t>
    <phoneticPr fontId="3" type="noConversion"/>
  </si>
  <si>
    <r>
      <t>n</t>
    </r>
    <r>
      <rPr>
        <sz val="11"/>
        <color indexed="8"/>
        <rFont val="宋体"/>
        <family val="3"/>
        <charset val="134"/>
      </rPr>
      <t>ame</t>
    </r>
    <phoneticPr fontId="3" type="noConversion"/>
  </si>
  <si>
    <t>name</t>
  </si>
  <si>
    <t>这个参数里面算了固定卡牌</t>
    <phoneticPr fontId="3" type="noConversion"/>
  </si>
  <si>
    <t>其他参数，都不算固定卡牌</t>
    <phoneticPr fontId="3" type="noConversion"/>
  </si>
  <si>
    <t>differentCards</t>
    <phoneticPr fontId="3" type="noConversion"/>
  </si>
  <si>
    <t>特例： 如果其中随机的卡牌ID相同，则合并成一种卡牌，给客户端</t>
    <phoneticPr fontId="3" type="noConversion"/>
  </si>
  <si>
    <t>种类数=differentCards（宝箱配置）</t>
    <phoneticPr fontId="3" type="noConversion"/>
  </si>
  <si>
    <t>紫卡种类=1   橙卡种类=2  普卡种类数=4</t>
    <phoneticPr fontId="3" type="noConversion"/>
  </si>
  <si>
    <t>int32[]</t>
  </si>
  <si>
    <t>int32[]</t>
    <phoneticPr fontId="3" type="noConversion"/>
  </si>
  <si>
    <t>int32[]</t>
    <phoneticPr fontId="3" type="noConversion"/>
  </si>
  <si>
    <t>int32[]</t>
    <phoneticPr fontId="3" type="noConversion"/>
  </si>
  <si>
    <r>
      <t>和薛刚讨论。宝箱I</t>
    </r>
    <r>
      <rPr>
        <sz val="11"/>
        <color indexed="8"/>
        <rFont val="宋体"/>
        <family val="3"/>
        <charset val="134"/>
      </rPr>
      <t>D需要连续，概率数组长度不超过255.这样存储数据能小一些。否则太大了。</t>
    </r>
    <phoneticPr fontId="3" type="noConversion"/>
  </si>
  <si>
    <t>只认箱子等级从1开始的箱子,</t>
  </si>
  <si>
    <t>如果箱子等级从0开始, 我就认为这个箱子只会有一级</t>
  </si>
  <si>
    <t>新手箱子我就直接忽略掉了概率数组</t>
  </si>
  <si>
    <t>卡牌稀有度</t>
  </si>
  <si>
    <t>稀有卡的稀有程度相当于普通卡的10倍；</t>
  </si>
  <si>
    <t>史诗卡的稀有程度相当于稀有卡的20倍；</t>
  </si>
  <si>
    <t>传奇卡的稀有程度相当于史诗卡的20倍。</t>
  </si>
  <si>
    <t>加速价格</t>
    <phoneticPr fontId="3" type="noConversion"/>
  </si>
  <si>
    <t>白卡</t>
    <phoneticPr fontId="3" type="noConversion"/>
  </si>
  <si>
    <t>购买箱子，1钻石获得</t>
    <phoneticPr fontId="3" type="noConversion"/>
  </si>
  <si>
    <t>加速箱子，1钻石获得</t>
    <phoneticPr fontId="3" type="noConversion"/>
  </si>
  <si>
    <t>白银卡包</t>
  </si>
  <si>
    <t>黄金卡包</t>
  </si>
  <si>
    <t>魔法卡包</t>
  </si>
  <si>
    <t>超大卡包</t>
  </si>
  <si>
    <t>超级魔法卡包</t>
  </si>
  <si>
    <t>任务卡包</t>
  </si>
  <si>
    <t>免费卡包</t>
  </si>
  <si>
    <t>普通名字</t>
  </si>
  <si>
    <t>普通名字</t>
    <phoneticPr fontId="3" type="noConversion"/>
  </si>
  <si>
    <t>名字</t>
  </si>
  <si>
    <t>名字</t>
    <phoneticPr fontId="3" type="noConversion"/>
  </si>
  <si>
    <t>基础卡包</t>
  </si>
  <si>
    <t>基础卡包</t>
    <phoneticPr fontId="7" type="noConversion"/>
  </si>
  <si>
    <t>新手卡包</t>
  </si>
  <si>
    <t>新手卡包</t>
    <phoneticPr fontId="7" type="noConversion"/>
  </si>
  <si>
    <t>高级卡包</t>
  </si>
  <si>
    <t>高级卡包</t>
    <phoneticPr fontId="3" type="noConversion"/>
  </si>
  <si>
    <t>101</t>
  </si>
  <si>
    <t>101</t>
    <phoneticPr fontId="3" type="noConversion"/>
  </si>
  <si>
    <r>
      <rPr>
        <sz val="11"/>
        <color rgb="FFFF0000"/>
        <rFont val="宋体"/>
        <family val="3"/>
        <charset val="134"/>
      </rPr>
      <t>保底Knight6</t>
    </r>
    <r>
      <rPr>
        <sz val="11"/>
        <color indexed="8"/>
        <rFont val="宋体"/>
        <family val="3"/>
        <charset val="134"/>
      </rPr>
      <t>,,Arrows</t>
    </r>
    <phoneticPr fontId="3" type="noConversion"/>
  </si>
  <si>
    <t>高级卡包</t>
    <phoneticPr fontId="3" type="noConversion"/>
  </si>
  <si>
    <t>魔法卡包</t>
    <phoneticPr fontId="3" type="noConversion"/>
  </si>
  <si>
    <t>超大卡包</t>
    <phoneticPr fontId="3" type="noConversion"/>
  </si>
  <si>
    <t>baiyin_0</t>
  </si>
  <si>
    <t>chaoda_0</t>
  </si>
  <si>
    <t>mianfei_0</t>
  </si>
  <si>
    <t>mofa_0</t>
  </si>
  <si>
    <t>huangjin_0</t>
  </si>
  <si>
    <t>chaoji_0</t>
  </si>
  <si>
    <t>任务宝箱renwu_0</t>
    <phoneticPr fontId="3" type="noConversion"/>
  </si>
  <si>
    <t>新手卡包</t>
    <phoneticPr fontId="3" type="noConversion"/>
  </si>
  <si>
    <t>基础卡包</t>
    <phoneticPr fontId="3" type="noConversion"/>
  </si>
  <si>
    <t>解锁时间：3小时</t>
    <phoneticPr fontId="3" type="noConversion"/>
  </si>
  <si>
    <t>4小时免费获得一个，最多累计2个。</t>
    <phoneticPr fontId="3" type="noConversion"/>
  </si>
  <si>
    <t>解锁时间：8小时</t>
    <phoneticPr fontId="3" type="noConversion"/>
  </si>
  <si>
    <t>解锁时间：12小时</t>
    <phoneticPr fontId="3" type="noConversion"/>
  </si>
  <si>
    <t>解锁时间：24小时</t>
    <phoneticPr fontId="3" type="noConversion"/>
  </si>
  <si>
    <t>品质0</t>
    <phoneticPr fontId="7" type="noConversion"/>
  </si>
  <si>
    <t>品质1</t>
  </si>
  <si>
    <t>品质2</t>
  </si>
  <si>
    <t>品质3</t>
  </si>
  <si>
    <t>概率数组（分母=1万）</t>
    <phoneticPr fontId="7" type="noConversion"/>
  </si>
  <si>
    <t>平均概率</t>
    <phoneticPr fontId="3" type="noConversion"/>
  </si>
  <si>
    <t>概率数组</t>
    <phoneticPr fontId="3" type="noConversion"/>
  </si>
  <si>
    <t>实际概率</t>
    <phoneticPr fontId="3" type="noConversion"/>
  </si>
  <si>
    <t>品质2概率数组（分母=1万）</t>
    <phoneticPr fontId="7" type="noConversion"/>
  </si>
  <si>
    <t>品质3概率数组（分母=1万）</t>
    <phoneticPr fontId="3" type="noConversion"/>
  </si>
  <si>
    <t>固定出品质1数</t>
    <phoneticPr fontId="7" type="noConversion"/>
  </si>
  <si>
    <t>固定出品质2数</t>
    <phoneticPr fontId="7" type="noConversion"/>
  </si>
  <si>
    <t>固定出品质3数</t>
    <phoneticPr fontId="3" type="noConversion"/>
  </si>
  <si>
    <t>不同卡牌种类数</t>
    <phoneticPr fontId="3" type="noConversion"/>
  </si>
  <si>
    <t>平均金币</t>
    <phoneticPr fontId="3" type="noConversion"/>
  </si>
  <si>
    <t>不同卡牌种类数</t>
  </si>
  <si>
    <t>固定出品质1数</t>
  </si>
  <si>
    <t>固定出品质2数</t>
  </si>
  <si>
    <t>固定出品质3数</t>
  </si>
  <si>
    <t>品质1概率数组（分母=1万）</t>
  </si>
  <si>
    <t>品质2概率数组（分母=1万）</t>
  </si>
  <si>
    <t>品质3概率数组（分母=1万）</t>
  </si>
  <si>
    <t>平均获取次数</t>
    <phoneticPr fontId="3" type="noConversion"/>
  </si>
  <si>
    <t>次数：</t>
    <phoneticPr fontId="3" type="noConversion"/>
  </si>
  <si>
    <t>品质1概率数组（分母=1万）</t>
    <phoneticPr fontId="7" type="noConversion"/>
  </si>
  <si>
    <t>获得卡牌平均数</t>
    <phoneticPr fontId="3" type="noConversion"/>
  </si>
  <si>
    <t>200</t>
    <phoneticPr fontId="3" type="noConversion"/>
  </si>
  <si>
    <t>100</t>
    <phoneticPr fontId="3" type="noConversion"/>
  </si>
  <si>
    <r>
      <rPr>
        <sz val="11"/>
        <color indexed="8"/>
        <rFont val="宋体"/>
        <family val="3"/>
        <charset val="134"/>
      </rPr>
      <t>50</t>
    </r>
    <phoneticPr fontId="3" type="noConversion"/>
  </si>
  <si>
    <r>
      <rPr>
        <sz val="11"/>
        <color indexed="8"/>
        <rFont val="宋体"/>
        <family val="3"/>
        <charset val="134"/>
      </rPr>
      <t>10</t>
    </r>
    <phoneticPr fontId="3" type="noConversion"/>
  </si>
  <si>
    <r>
      <rPr>
        <sz val="11"/>
        <color indexed="8"/>
        <rFont val="宋体"/>
        <family val="3"/>
        <charset val="134"/>
      </rPr>
      <t>1</t>
    </r>
    <phoneticPr fontId="3" type="noConversion"/>
  </si>
  <si>
    <t>5</t>
    <phoneticPr fontId="3" type="noConversion"/>
  </si>
  <si>
    <t>20</t>
    <phoneticPr fontId="3" type="noConversion"/>
  </si>
  <si>
    <t>300</t>
    <phoneticPr fontId="3" type="noConversion"/>
  </si>
  <si>
    <t>平均概率</t>
    <phoneticPr fontId="3" type="noConversion"/>
  </si>
  <si>
    <t>获得卡牌的平均概率</t>
    <phoneticPr fontId="3" type="noConversion"/>
  </si>
  <si>
    <t>获得卡牌的平均概率</t>
  </si>
  <si>
    <t>780,780,780,780,780,780,780,780,10000</t>
  </si>
  <si>
    <t>700,750,750,750,750,10000</t>
  </si>
  <si>
    <t>1125,1125,1125,1125,10000</t>
  </si>
  <si>
    <t>1200,1200,1200,10000</t>
  </si>
  <si>
    <t>1770,1770,10000</t>
  </si>
  <si>
    <t>5900,2000,2000,10000</t>
  </si>
  <si>
    <t>7270,2000,2000,10000</t>
  </si>
  <si>
    <t>450,450,450,450,450,450,450,450,450,450,450,450,10000</t>
  </si>
  <si>
    <t>100</t>
  </si>
  <si>
    <t>200</t>
  </si>
  <si>
    <t>300</t>
  </si>
  <si>
    <t>200,200,200,200,200,200,200,200,200,200,200,200,200,200,200,200,200,200,200,200,200,200,200,200,10000</t>
  </si>
  <si>
    <t>200,200,200,200,200,200,200,200,200,200,200,200,200,200,200,200,200,200,200,10000</t>
  </si>
  <si>
    <t>370,370,370,370,370,370,370,370,370,370,370,370,370,370,370,370,370,370,370,10000</t>
  </si>
  <si>
    <t>530,530,530,530,530,530,530,530,530,530,530,530,530,530,530,530,530,530,530,10000</t>
  </si>
  <si>
    <t>1</t>
  </si>
  <si>
    <t>5</t>
  </si>
  <si>
    <t>680,680,680,680,680,680,680,680,680,680,680,680,680,680,680,680,680,680,680,10000</t>
  </si>
  <si>
    <t>高级新手卡包</t>
  </si>
  <si>
    <t>高级新手卡包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</si>
</sst>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"/>
    <numFmt numFmtId="177" formatCode="0&quot;天&quot;"/>
    <numFmt numFmtId="178" formatCode="0.0000"/>
    <numFmt numFmtId="179" formatCode="0.0%"/>
    <numFmt numFmtId="180" formatCode="0.000%"/>
    <numFmt numFmtId="181" formatCode="0.00000%"/>
    <numFmt numFmtId="182" formatCode="0.000"/>
  </numFmts>
  <fonts count="40">
    <font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0" tint="-0.499984740745262"/>
      <name val="宋体"/>
      <family val="3"/>
      <charset val="134"/>
      <scheme val="minor"/>
    </font>
    <font>
      <b/>
      <sz val="11"/>
      <color rgb="FF7030A0"/>
      <name val="宋体"/>
      <family val="3"/>
      <charset val="134"/>
    </font>
    <font>
      <b/>
      <sz val="11"/>
      <color theme="9" tint="-0.249977111117893"/>
      <name val="宋体"/>
      <family val="3"/>
      <charset val="134"/>
    </font>
    <font>
      <b/>
      <sz val="11"/>
      <color theme="0" tint="-0.499984740745262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C00000"/>
      <name val="宋体"/>
      <family val="3"/>
      <charset val="134"/>
      <scheme val="minor"/>
    </font>
    <font>
      <b/>
      <sz val="1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theme="0" tint="-0.499984740745262"/>
      <name val="宋体"/>
      <family val="3"/>
      <charset val="134"/>
      <scheme val="minor"/>
    </font>
    <font>
      <b/>
      <sz val="11"/>
      <color rgb="FF00B0F0"/>
      <name val="宋体"/>
      <family val="3"/>
      <charset val="134"/>
    </font>
    <font>
      <sz val="11"/>
      <color rgb="FF00B0F0"/>
      <name val="宋体"/>
      <family val="3"/>
      <charset val="134"/>
    </font>
    <font>
      <sz val="11"/>
      <color rgb="FF00B050"/>
      <name val="宋体"/>
      <family val="3"/>
      <charset val="134"/>
    </font>
    <font>
      <sz val="12"/>
      <color rgb="FF858585"/>
      <name val="Roboto_slabregular"/>
      <family val="2"/>
    </font>
    <font>
      <sz val="11"/>
      <color theme="0" tint="-0.249977111117893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</font>
    <font>
      <strike/>
      <sz val="11"/>
      <color theme="0" tint="-0.499984740745262"/>
      <name val="宋体"/>
      <family val="3"/>
      <charset val="134"/>
    </font>
    <font>
      <b/>
      <strike/>
      <sz val="11"/>
      <color theme="0" tint="-0.499984740745262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b/>
      <sz val="11"/>
      <color rgb="FF7030A0"/>
      <name val="宋体"/>
      <family val="3"/>
      <charset val="134"/>
      <scheme val="minor"/>
    </font>
    <font>
      <sz val="11"/>
      <color rgb="FF0000FF"/>
      <name val="宋体"/>
      <family val="3"/>
      <charset val="134"/>
    </font>
    <font>
      <b/>
      <sz val="11"/>
      <color rgb="FF0000FF"/>
      <name val="宋体"/>
      <family val="3"/>
      <charset val="134"/>
    </font>
    <font>
      <b/>
      <sz val="11"/>
      <color rgb="FF0000FF"/>
      <name val="宋体"/>
      <family val="3"/>
      <charset val="134"/>
      <scheme val="minor"/>
    </font>
    <font>
      <sz val="11"/>
      <color rgb="FF0000FF"/>
      <name val="宋体"/>
      <family val="3"/>
      <charset val="134"/>
      <scheme val="minor"/>
    </font>
    <font>
      <sz val="11"/>
      <color theme="0" tint="-0.34998626667073579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9" fontId="21" fillId="0" borderId="0" applyFont="0" applyFill="0" applyBorder="0" applyAlignment="0" applyProtection="0">
      <alignment vertical="center"/>
    </xf>
  </cellStyleXfs>
  <cellXfs count="1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1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2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179" fontId="0" fillId="0" borderId="0" xfId="2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23" fillId="0" borderId="0" xfId="0" applyFo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0" fillId="0" borderId="0" xfId="0" applyAlignment="1"/>
    <xf numFmtId="179" fontId="5" fillId="0" borderId="0" xfId="2" applyNumberFormat="1" applyFont="1" applyAlignment="1"/>
    <xf numFmtId="0" fontId="0" fillId="0" borderId="0" xfId="0" applyAlignment="1">
      <alignment horizontal="center"/>
    </xf>
    <xf numFmtId="1" fontId="5" fillId="0" borderId="0" xfId="0" applyNumberFormat="1" applyFont="1" applyAlignment="1"/>
    <xf numFmtId="9" fontId="0" fillId="0" borderId="0" xfId="0" applyNumberFormat="1" applyAlignment="1"/>
    <xf numFmtId="10" fontId="5" fillId="0" borderId="0" xfId="0" applyNumberFormat="1" applyFont="1" applyAlignment="1">
      <alignment horizontal="center"/>
    </xf>
    <xf numFmtId="10" fontId="8" fillId="0" borderId="0" xfId="0" applyNumberFormat="1" applyFont="1" applyAlignment="1"/>
    <xf numFmtId="180" fontId="0" fillId="0" borderId="0" xfId="0" applyNumberFormat="1" applyAlignment="1"/>
    <xf numFmtId="9" fontId="0" fillId="0" borderId="0" xfId="0" applyNumberFormat="1" applyAlignment="1">
      <alignment horizontal="center"/>
    </xf>
    <xf numFmtId="181" fontId="0" fillId="0" borderId="0" xfId="0" applyNumberFormat="1" applyAlignment="1"/>
    <xf numFmtId="179" fontId="0" fillId="0" borderId="0" xfId="0" applyNumberFormat="1" applyAlignment="1"/>
    <xf numFmtId="0" fontId="22" fillId="0" borderId="0" xfId="0" applyFont="1">
      <alignment vertical="center"/>
    </xf>
    <xf numFmtId="0" fontId="25" fillId="0" borderId="0" xfId="0" applyFo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>
      <alignment vertical="center"/>
    </xf>
    <xf numFmtId="0" fontId="1" fillId="3" borderId="0" xfId="0" applyFont="1" applyFill="1">
      <alignment vertical="center"/>
    </xf>
    <xf numFmtId="0" fontId="0" fillId="3" borderId="0" xfId="0" applyFill="1">
      <alignment vertical="center"/>
    </xf>
    <xf numFmtId="0" fontId="27" fillId="0" borderId="0" xfId="0" applyFont="1">
      <alignment vertical="center"/>
    </xf>
    <xf numFmtId="0" fontId="19" fillId="0" borderId="0" xfId="0" applyFont="1">
      <alignment vertical="center"/>
    </xf>
    <xf numFmtId="0" fontId="0" fillId="4" borderId="0" xfId="0" applyFill="1">
      <alignment vertical="center"/>
    </xf>
    <xf numFmtId="0" fontId="1" fillId="4" borderId="0" xfId="0" applyFont="1" applyFill="1">
      <alignment vertical="center"/>
    </xf>
    <xf numFmtId="0" fontId="25" fillId="4" borderId="0" xfId="0" applyFont="1" applyFill="1">
      <alignment vertical="center"/>
    </xf>
    <xf numFmtId="0" fontId="1" fillId="4" borderId="0" xfId="0" applyFont="1" applyFill="1" applyAlignment="1">
      <alignment vertical="center"/>
    </xf>
    <xf numFmtId="0" fontId="16" fillId="0" borderId="0" xfId="0" quotePrefix="1" applyFont="1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4" borderId="0" xfId="0" applyFont="1" applyFill="1">
      <alignment vertical="center"/>
    </xf>
    <xf numFmtId="0" fontId="28" fillId="0" borderId="0" xfId="0" applyFont="1">
      <alignment vertical="center"/>
    </xf>
    <xf numFmtId="0" fontId="8" fillId="0" borderId="0" xfId="0" applyFont="1" applyAlignment="1">
      <alignment horizontal="right" vertical="center"/>
    </xf>
    <xf numFmtId="1" fontId="8" fillId="0" borderId="0" xfId="0" applyNumberFormat="1" applyFon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3" fontId="23" fillId="0" borderId="0" xfId="0" quotePrefix="1" applyNumberFormat="1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>
      <alignment vertical="center"/>
    </xf>
    <xf numFmtId="0" fontId="1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2" fillId="6" borderId="0" xfId="0" applyFont="1" applyFill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2" fillId="6" borderId="0" xfId="0" applyFont="1" applyFill="1">
      <alignment vertical="center"/>
    </xf>
    <xf numFmtId="0" fontId="33" fillId="7" borderId="0" xfId="0" applyNumberFormat="1" applyFont="1" applyFill="1" applyAlignment="1">
      <alignment horizontal="center" vertical="center"/>
    </xf>
    <xf numFmtId="0" fontId="34" fillId="8" borderId="0" xfId="0" applyNumberFormat="1" applyFont="1" applyFill="1" applyAlignment="1">
      <alignment horizontal="center" vertical="center"/>
    </xf>
    <xf numFmtId="0" fontId="5" fillId="9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" fillId="5" borderId="0" xfId="0" quotePrefix="1" applyFont="1" applyFill="1" applyAlignment="1">
      <alignment horizontal="left" vertical="center"/>
    </xf>
    <xf numFmtId="0" fontId="8" fillId="5" borderId="0" xfId="0" applyFont="1" applyFill="1" applyAlignment="1">
      <alignment vertical="center"/>
    </xf>
    <xf numFmtId="176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8" fillId="5" borderId="0" xfId="0" applyFont="1" applyFill="1" applyAlignment="1">
      <alignment horizontal="center" vertical="center"/>
    </xf>
    <xf numFmtId="9" fontId="17" fillId="0" borderId="0" xfId="0" applyNumberFormat="1" applyFont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9" fontId="1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76" fontId="35" fillId="0" borderId="0" xfId="0" applyNumberFormat="1" applyFont="1" applyAlignment="1">
      <alignment horizontal="center" vertical="center"/>
    </xf>
    <xf numFmtId="176" fontId="36" fillId="0" borderId="0" xfId="0" applyNumberFormat="1" applyFont="1" applyAlignment="1">
      <alignment horizontal="center" vertical="center"/>
    </xf>
    <xf numFmtId="179" fontId="1" fillId="0" borderId="0" xfId="2" applyNumberFormat="1" applyFont="1" applyAlignment="1">
      <alignment horizontal="center" vertical="center"/>
    </xf>
    <xf numFmtId="179" fontId="0" fillId="0" borderId="0" xfId="2" applyNumberFormat="1" applyFont="1">
      <alignment vertical="center"/>
    </xf>
    <xf numFmtId="0" fontId="2" fillId="0" borderId="0" xfId="0" quotePrefix="1" applyFont="1">
      <alignment vertical="center"/>
    </xf>
    <xf numFmtId="179" fontId="19" fillId="0" borderId="0" xfId="0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0" fontId="35" fillId="0" borderId="0" xfId="0" applyFont="1">
      <alignment vertical="center"/>
    </xf>
    <xf numFmtId="10" fontId="36" fillId="0" borderId="0" xfId="0" applyNumberFormat="1" applyFont="1" applyAlignment="1">
      <alignment horizontal="center" vertical="center"/>
    </xf>
    <xf numFmtId="179" fontId="36" fillId="0" borderId="0" xfId="0" applyNumberFormat="1" applyFont="1" applyAlignment="1">
      <alignment horizontal="center" vertical="center"/>
    </xf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9" fontId="38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34" fillId="8" borderId="0" xfId="0" applyNumberFormat="1" applyFont="1" applyFill="1" applyAlignment="1">
      <alignment horizontal="center" vertical="center" wrapText="1"/>
    </xf>
    <xf numFmtId="0" fontId="33" fillId="7" borderId="0" xfId="0" applyNumberFormat="1" applyFont="1" applyFill="1" applyAlignment="1">
      <alignment horizontal="center" vertical="center" wrapText="1"/>
    </xf>
    <xf numFmtId="0" fontId="5" fillId="9" borderId="0" xfId="0" applyNumberFormat="1" applyFont="1" applyFill="1" applyAlignment="1">
      <alignment horizontal="center" vertical="center" wrapText="1"/>
    </xf>
  </cellXfs>
  <cellStyles count="3">
    <cellStyle name="百分比" xfId="2" builtinId="5"/>
    <cellStyle name="常规" xfId="0" builtinId="0"/>
    <cellStyle name="常规 3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概率分布!$H$6</c:f>
              <c:strCache>
                <c:ptCount val="1"/>
                <c:pt idx="0">
                  <c:v>本次抽中概率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概率分布!$H$7:$H$206</c:f>
              <c:numCache>
                <c:formatCode>0.000%</c:formatCode>
                <c:ptCount val="200"/>
                <c:pt idx="0" formatCode="0%">
                  <c:v>5.9999999999999995E-4</c:v>
                </c:pt>
                <c:pt idx="1">
                  <c:v>5.9963999999999992E-4</c:v>
                </c:pt>
                <c:pt idx="2">
                  <c:v>7.9904028799999993E-4</c:v>
                </c:pt>
                <c:pt idx="3">
                  <c:v>9.9800131971200003E-4</c:v>
                </c:pt>
                <c:pt idx="4">
                  <c:v>1.1964039820707457E-3</c:v>
                </c:pt>
                <c:pt idx="5">
                  <c:v>1.3941296801743043E-3</c:v>
                </c:pt>
                <c:pt idx="6">
                  <c:v>1.591060455568069E-3</c:v>
                </c:pt>
                <c:pt idx="7">
                  <c:v>1.7870791036940551E-3</c:v>
                </c:pt>
                <c:pt idx="8">
                  <c:v>1.9820692903415619E-3</c:v>
                </c:pt>
                <c:pt idx="9">
                  <c:v>2.1759156669369666E-3</c:v>
                </c:pt>
                <c:pt idx="10">
                  <c:v>2.3685039845124057E-3</c:v>
                </c:pt>
                <c:pt idx="11">
                  <c:v>2.5597212061953742E-3</c:v>
                </c:pt>
                <c:pt idx="12">
                  <c:v>2.749455618063825E-3</c:v>
                </c:pt>
                <c:pt idx="13">
                  <c:v>2.9375969382141928E-3</c:v>
                </c:pt>
                <c:pt idx="14">
                  <c:v>3.1240364238928533E-3</c:v>
                </c:pt>
                <c:pt idx="15" formatCode="0.00000%">
                  <c:v>3.3086669765449214E-3</c:v>
                </c:pt>
                <c:pt idx="16" formatCode="0.00000%">
                  <c:v>3.491383244637884E-3</c:v>
                </c:pt>
                <c:pt idx="17" formatCode="0.00000%">
                  <c:v>3.6720817241214757E-3</c:v>
                </c:pt>
                <c:pt idx="18" formatCode="0.00000%">
                  <c:v>3.8506608563892777E-3</c:v>
                </c:pt>
                <c:pt idx="19" formatCode="0.00000%">
                  <c:v>4.0270211236119059E-3</c:v>
                </c:pt>
                <c:pt idx="20" formatCode="0.00000%">
                  <c:v>4.2010651413161995E-3</c:v>
                </c:pt>
                <c:pt idx="21" formatCode="0.00000%">
                  <c:v>4.3726977480896085E-3</c:v>
                </c:pt>
                <c:pt idx="22" formatCode="0.00000%">
                  <c:v>4.5418260922939786E-3</c:v>
                </c:pt>
                <c:pt idx="23" formatCode="0.00000%">
                  <c:v>4.7083597156780902E-3</c:v>
                </c:pt>
                <c:pt idx="24" formatCode="0.00000%">
                  <c:v>4.8722106337836879E-3</c:v>
                </c:pt>
                <c:pt idx="25" formatCode="0.00000%">
                  <c:v>5.0332934130452433E-3</c:v>
                </c:pt>
                <c:pt idx="26" formatCode="0.00000%">
                  <c:v>5.1915252444894207E-3</c:v>
                </c:pt>
                <c:pt idx="27" formatCode="0.00000%">
                  <c:v>5.3468260139460039E-3</c:v>
                </c:pt>
                <c:pt idx="28" formatCode="0.00000%">
                  <c:v>5.4991183686880522E-3</c:v>
                </c:pt>
                <c:pt idx="29" formatCode="0.00000%">
                  <c:v>5.6483277804251211E-3</c:v>
                </c:pt>
                <c:pt idx="30" formatCode="0.00000%">
                  <c:v>5.7943826045795972E-3</c:v>
                </c:pt>
                <c:pt idx="31" formatCode="0.00000%">
                  <c:v>5.9372141357824839E-3</c:v>
                </c:pt>
                <c:pt idx="32" formatCode="0.00000%">
                  <c:v>6.0767566595313592E-3</c:v>
                </c:pt>
                <c:pt idx="33" formatCode="0.00000%">
                  <c:v>6.2129474999596795E-3</c:v>
                </c:pt>
                <c:pt idx="34" formatCode="0.00000%">
                  <c:v>6.345727063673103E-3</c:v>
                </c:pt>
                <c:pt idx="35" formatCode="0.00000%">
                  <c:v>6.4750388796150637E-3</c:v>
                </c:pt>
                <c:pt idx="36" formatCode="0.00000%">
                  <c:v>6.6008296349303964E-3</c:v>
                </c:pt>
                <c:pt idx="37" formatCode="0.00000%">
                  <c:v>6.7230492068024233E-3</c:v>
                </c:pt>
                <c:pt idx="38" formatCode="0.00000%">
                  <c:v>6.8416506902455026E-3</c:v>
                </c:pt>
                <c:pt idx="39" formatCode="0.00000%">
                  <c:v>6.9565904218416279E-3</c:v>
                </c:pt>
                <c:pt idx="40" formatCode="0.00000%">
                  <c:v>7.0678279994162473E-3</c:v>
                </c:pt>
                <c:pt idx="41" formatCode="0.00000%">
                  <c:v>7.1753262976549876E-3</c:v>
                </c:pt>
                <c:pt idx="42" formatCode="0.00000%">
                  <c:v>7.2790514796694621E-3</c:v>
                </c:pt>
                <c:pt idx="43" formatCode="0.00000%">
                  <c:v>7.3789730045267432E-3</c:v>
                </c:pt>
                <c:pt idx="44" formatCode="0.00000%">
                  <c:v>7.4750636307634698E-3</c:v>
                </c:pt>
                <c:pt idx="45" formatCode="0.00000%">
                  <c:v>7.5672994159117612E-3</c:v>
                </c:pt>
                <c:pt idx="46" formatCode="0.00000%">
                  <c:v>7.6556597120703224E-3</c:v>
                </c:pt>
                <c:pt idx="47" formatCode="0.00000%">
                  <c:v>7.7401271575601666E-3</c:v>
                </c:pt>
                <c:pt idx="48" formatCode="0.00000%">
                  <c:v>7.8206876647102831E-3</c:v>
                </c:pt>
                <c:pt idx="49" formatCode="0.00000%">
                  <c:v>7.8973304038244437E-3</c:v>
                </c:pt>
                <c:pt idx="50" formatCode="0.00000%">
                  <c:v>8.0466828582261823E-3</c:v>
                </c:pt>
                <c:pt idx="51" formatCode="0.00000%">
                  <c:v>8.1896839078780884E-3</c:v>
                </c:pt>
                <c:pt idx="52" formatCode="0.00000%">
                  <c:v>8.3262696361639209E-3</c:v>
                </c:pt>
                <c:pt idx="53" formatCode="0.00000%">
                  <c:v>8.4563844768025687E-3</c:v>
                </c:pt>
                <c:pt idx="54" formatCode="0.00000%">
                  <c:v>8.5799812120240463E-3</c:v>
                </c:pt>
                <c:pt idx="55" formatCode="0.00000%">
                  <c:v>8.6970209557367846E-3</c:v>
                </c:pt>
                <c:pt idx="56" formatCode="0.00000%">
                  <c:v>8.807473121874642E-3</c:v>
                </c:pt>
                <c:pt idx="57" formatCode="0.00000%">
                  <c:v>8.9113153781457191E-3</c:v>
                </c:pt>
                <c:pt idx="58" formatCode="0.00000%">
                  <c:v>9.0085335854377755E-3</c:v>
                </c:pt>
                <c:pt idx="59" formatCode="0.00000%">
                  <c:v>9.0991217231666897E-3</c:v>
                </c:pt>
                <c:pt idx="60" formatCode="0.00000%">
                  <c:v>9.1830818008849999E-3</c:v>
                </c:pt>
                <c:pt idx="61" formatCode="0.00000%">
                  <c:v>9.2604237564968984E-3</c:v>
                </c:pt>
                <c:pt idx="62" formatCode="0.00000%">
                  <c:v>9.3311653414541364E-3</c:v>
                </c:pt>
                <c:pt idx="63" formatCode="0.00000%">
                  <c:v>9.3953319933340936E-3</c:v>
                </c:pt>
                <c:pt idx="64" formatCode="0.00000%">
                  <c:v>9.4529566962265419E-3</c:v>
                </c:pt>
                <c:pt idx="65" formatCode="0.00000%">
                  <c:v>9.5040798293796035E-3</c:v>
                </c:pt>
                <c:pt idx="66" formatCode="0.00000%">
                  <c:v>9.5487490045776877E-3</c:v>
                </c:pt>
                <c:pt idx="67" formatCode="0.00000%">
                  <c:v>9.5870188927450542E-3</c:v>
                </c:pt>
                <c:pt idx="68" formatCode="0.00000%">
                  <c:v>9.6189510402878136E-3</c:v>
                </c:pt>
                <c:pt idx="69" formatCode="0.00000%">
                  <c:v>9.6446136757047333E-3</c:v>
                </c:pt>
                <c:pt idx="70" formatCode="0.00000%">
                  <c:v>9.6640815070131031E-3</c:v>
                </c:pt>
                <c:pt idx="71" formatCode="0.00000%">
                  <c:v>9.6774355105500674E-3</c:v>
                </c:pt>
                <c:pt idx="72" formatCode="0.00000%">
                  <c:v>9.6847627117223403E-3</c:v>
                </c:pt>
                <c:pt idx="73" formatCode="0.00000%">
                  <c:v>9.6861559582878867E-3</c:v>
                </c:pt>
                <c:pt idx="74" formatCode="0.00000%">
                  <c:v>9.6817136867621886E-3</c:v>
                </c:pt>
                <c:pt idx="75" formatCode="0.00000%">
                  <c:v>9.6715396825489824E-3</c:v>
                </c:pt>
                <c:pt idx="76" formatCode="0.00000%">
                  <c:v>9.6557428344008194E-3</c:v>
                </c:pt>
                <c:pt idx="77" formatCode="0.00000%">
                  <c:v>9.6344368838186829E-3</c:v>
                </c:pt>
                <c:pt idx="78" formatCode="0.00000%">
                  <c:v>9.6077401700019084E-3</c:v>
                </c:pt>
                <c:pt idx="79" formatCode="0.00000%">
                  <c:v>9.5757753709601236E-3</c:v>
                </c:pt>
                <c:pt idx="80" formatCode="0.00000%">
                  <c:v>9.538669241397655E-3</c:v>
                </c:pt>
                <c:pt idx="81" formatCode="0.00000%">
                  <c:v>9.4965523479779452E-3</c:v>
                </c:pt>
                <c:pt idx="82" formatCode="0.00000%">
                  <c:v>9.4495588025711331E-3</c:v>
                </c:pt>
                <c:pt idx="83" formatCode="0.00000%">
                  <c:v>9.3978259940818328E-3</c:v>
                </c:pt>
                <c:pt idx="84" formatCode="0.00000%">
                  <c:v>9.3414943194467179E-3</c:v>
                </c:pt>
                <c:pt idx="85" formatCode="0.00000%">
                  <c:v>9.280706914382493E-3</c:v>
                </c:pt>
                <c:pt idx="86" formatCode="0.00000%">
                  <c:v>9.2156093844544679E-3</c:v>
                </c:pt>
                <c:pt idx="87" formatCode="0.00000%">
                  <c:v>9.1463495370242582E-3</c:v>
                </c:pt>
                <c:pt idx="88" formatCode="0.00000%">
                  <c:v>9.0730771146220971E-3</c:v>
                </c:pt>
                <c:pt idx="89" formatCode="0.00000%">
                  <c:v>8.9959435302750506E-3</c:v>
                </c:pt>
                <c:pt idx="90" formatCode="0.00000%">
                  <c:v>8.9151016053070388E-3</c:v>
                </c:pt>
                <c:pt idx="91" formatCode="0.00000%">
                  <c:v>8.8307053101101315E-3</c:v>
                </c:pt>
                <c:pt idx="92" formatCode="0.00000%">
                  <c:v>8.7429095083690882E-3</c:v>
                </c:pt>
                <c:pt idx="93" formatCode="0.00000%">
                  <c:v>8.6518697052027204E-3</c:v>
                </c:pt>
                <c:pt idx="94" formatCode="0.00000%">
                  <c:v>8.5577417996663737E-3</c:v>
                </c:pt>
                <c:pt idx="95" formatCode="0.00000%">
                  <c:v>8.4606818420397776E-3</c:v>
                </c:pt>
                <c:pt idx="96" formatCode="0.00000%">
                  <c:v>8.3608457963037074E-3</c:v>
                </c:pt>
                <c:pt idx="97" formatCode="0.00000%">
                  <c:v>8.258389308187522E-3</c:v>
                </c:pt>
                <c:pt idx="98" formatCode="0.00000%">
                  <c:v>8.153467479147648E-3</c:v>
                </c:pt>
                <c:pt idx="99" formatCode="0.00000%">
                  <c:v>8.0462346466146657E-3</c:v>
                </c:pt>
                <c:pt idx="100" formatCode="0.00000%">
                  <c:v>7.9679690499250538E-3</c:v>
                </c:pt>
                <c:pt idx="101" formatCode="0.00000%">
                  <c:v>7.8853013710320809E-3</c:v>
                </c:pt>
                <c:pt idx="102" formatCode="0.00000%">
                  <c:v>7.7984417436219424E-3</c:v>
                </c:pt>
                <c:pt idx="103" formatCode="0.00000%">
                  <c:v>7.7076017131295707E-3</c:v>
                </c:pt>
                <c:pt idx="104" formatCode="0.00000%">
                  <c:v>7.6129937780716932E-3</c:v>
                </c:pt>
                <c:pt idx="105" formatCode="0.00000%">
                  <c:v>7.5148309406509097E-3</c:v>
                </c:pt>
                <c:pt idx="106" formatCode="0.00000%">
                  <c:v>7.4133262676554504E-3</c:v>
                </c:pt>
                <c:pt idx="107" formatCode="0.00000%">
                  <c:v>7.308692462620542E-3</c:v>
                </c:pt>
                <c:pt idx="108" formatCode="0.00000%">
                  <c:v>7.2011414501565139E-3</c:v>
                </c:pt>
                <c:pt idx="109" formatCode="0.00000%">
                  <c:v>7.0908839732863388E-3</c:v>
                </c:pt>
                <c:pt idx="110" formatCode="0.00000%">
                  <c:v>6.9781292045713967E-3</c:v>
                </c:pt>
                <c:pt idx="111" formatCode="0.00000%">
                  <c:v>6.8630843717392732E-3</c:v>
                </c:pt>
                <c:pt idx="112" formatCode="0.00000%">
                  <c:v>6.7459543984615894E-3</c:v>
                </c:pt>
                <c:pt idx="113" formatCode="0.00000%">
                  <c:v>6.6269415608634667E-3</c:v>
                </c:pt>
                <c:pt idx="114" formatCode="0.00000%">
                  <c:v>6.5062451602796358E-3</c:v>
                </c:pt>
                <c:pt idx="115" formatCode="0.00000%">
                  <c:v>6.3840612127055631E-3</c:v>
                </c:pt>
                <c:pt idx="116" formatCode="0.00000%">
                  <c:v>6.2605821553256358E-3</c:v>
                </c:pt>
                <c:pt idx="117" formatCode="0.00000%">
                  <c:v>6.1359965704346556E-3</c:v>
                </c:pt>
                <c:pt idx="118" formatCode="0.00000%">
                  <c:v>6.0104889270038379E-3</c:v>
                </c:pt>
                <c:pt idx="119" formatCode="0.00000%">
                  <c:v>5.8842393400785759E-3</c:v>
                </c:pt>
                <c:pt idx="120" formatCode="0.00000%">
                  <c:v>5.757423348132399E-3</c:v>
                </c:pt>
                <c:pt idx="121" formatCode="0.00000%">
                  <c:v>5.6302117084403303E-3</c:v>
                </c:pt>
                <c:pt idx="122" formatCode="0.00000%">
                  <c:v>5.5027702104751622E-3</c:v>
                </c:pt>
                <c:pt idx="123" formatCode="0.00000%">
                  <c:v>5.3752595072724301E-3</c:v>
                </c:pt>
                <c:pt idx="124" formatCode="0.00000%">
                  <c:v>5.2478349646540544E-3</c:v>
                </c:pt>
                <c:pt idx="125" formatCode="0.00000%">
                  <c:v>5.1206465281470742E-3</c:v>
                </c:pt>
                <c:pt idx="126" formatCode="0.00000%">
                  <c:v>4.9938386073826221E-3</c:v>
                </c:pt>
                <c:pt idx="127" formatCode="0.00000%">
                  <c:v>4.8675499777114783E-3</c:v>
                </c:pt>
                <c:pt idx="128" formatCode="0.00000%">
                  <c:v>4.741913698726328E-3</c:v>
                </c:pt>
                <c:pt idx="129" formatCode="0.00000%">
                  <c:v>4.6170570493372547E-3</c:v>
                </c:pt>
                <c:pt idx="130" formatCode="0.00000%">
                  <c:v>4.4931014790062307E-3</c:v>
                </c:pt>
                <c:pt idx="131" formatCode="0.00000%">
                  <c:v>4.3701625747083143E-3</c:v>
                </c:pt>
                <c:pt idx="132" formatCode="0.00000%">
                  <c:v>4.2483500431522341E-3</c:v>
                </c:pt>
                <c:pt idx="133" formatCode="0.00000%">
                  <c:v>4.1277677077607624E-3</c:v>
                </c:pt>
                <c:pt idx="134" formatCode="0.00000%">
                  <c:v>4.0085135198821157E-3</c:v>
                </c:pt>
                <c:pt idx="135" formatCode="0.00000%">
                  <c:v>3.8906795836772539E-3</c:v>
                </c:pt>
                <c:pt idx="136" formatCode="0.00000%">
                  <c:v>3.774352194104681E-3</c:v>
                </c:pt>
                <c:pt idx="137" formatCode="0.00000%">
                  <c:v>3.6596118874038983E-3</c:v>
                </c:pt>
                <c:pt idx="138" formatCode="0.00000%">
                  <c:v>3.5465335034612243E-3</c:v>
                </c:pt>
                <c:pt idx="139" formatCode="0.00000%">
                  <c:v>3.4351862594270651E-3</c:v>
                </c:pt>
                <c:pt idx="140" formatCode="0.00000%">
                  <c:v>3.3256338339419577E-3</c:v>
                </c:pt>
                <c:pt idx="141" formatCode="0.00000%">
                  <c:v>3.2179344613196834E-3</c:v>
                </c:pt>
                <c:pt idx="142" formatCode="0.00000%">
                  <c:v>3.11214103502944E-3</c:v>
                </c:pt>
                <c:pt idx="143" formatCode="0.00000%">
                  <c:v>3.0083012198153635E-3</c:v>
                </c:pt>
                <c:pt idx="144" formatCode="0.00000%">
                  <c:v>2.9064575717905111E-3</c:v>
                </c:pt>
                <c:pt idx="145" formatCode="0.00000%">
                  <c:v>2.8066476658436903E-3</c:v>
                </c:pt>
                <c:pt idx="146" formatCode="0.00000%">
                  <c:v>2.7089042297010974E-3</c:v>
                </c:pt>
                <c:pt idx="147" formatCode="0.00000%">
                  <c:v>2.6132552839905603E-3</c:v>
                </c:pt>
                <c:pt idx="148" formatCode="0.00000%">
                  <c:v>2.5197242876640945E-3</c:v>
                </c:pt>
                <c:pt idx="149" formatCode="0.00000%">
                  <c:v>2.4283302881443923E-3</c:v>
                </c:pt>
                <c:pt idx="150" formatCode="0.00000%">
                  <c:v>2.3185697591202657E-3</c:v>
                </c:pt>
                <c:pt idx="151" formatCode="0.00000%">
                  <c:v>2.21377040600803E-3</c:v>
                </c:pt>
                <c:pt idx="152" formatCode="0.00000%">
                  <c:v>2.1137079836564669E-3</c:v>
                </c:pt>
                <c:pt idx="153" formatCode="0.00000%">
                  <c:v>2.0181683827951947E-3</c:v>
                </c:pt>
                <c:pt idx="154" formatCode="0.00000%">
                  <c:v>1.926947171892852E-3</c:v>
                </c:pt>
                <c:pt idx="155" formatCode="0.00000%">
                  <c:v>1.8398491597232951E-3</c:v>
                </c:pt>
                <c:pt idx="156" formatCode="0.00000%">
                  <c:v>1.7566879777038023E-3</c:v>
                </c:pt>
                <c:pt idx="157" formatCode="0.00000%">
                  <c:v>1.6772856811115905E-3</c:v>
                </c:pt>
                <c:pt idx="158" formatCode="0.00000%">
                  <c:v>1.6014723683253466E-3</c:v>
                </c:pt>
                <c:pt idx="159" formatCode="0.00000%">
                  <c:v>1.5290858172770409E-3</c:v>
                </c:pt>
                <c:pt idx="160" formatCode="0.00000%">
                  <c:v>1.4599711383361184E-3</c:v>
                </c:pt>
                <c:pt idx="161" formatCode="0.00000%">
                  <c:v>1.3939804428833259E-3</c:v>
                </c:pt>
                <c:pt idx="162" formatCode="0.00000%">
                  <c:v>1.3309725268649997E-3</c:v>
                </c:pt>
                <c:pt idx="163" formatCode="0.00000%">
                  <c:v>1.2708125686507017E-3</c:v>
                </c:pt>
                <c:pt idx="164" formatCode="0.00000%">
                  <c:v>1.21337184054769E-3</c:v>
                </c:pt>
                <c:pt idx="165" formatCode="0.00000%">
                  <c:v>1.1585274333549345E-3</c:v>
                </c:pt>
                <c:pt idx="166" formatCode="0.00000%">
                  <c:v>1.1061619933672915E-3</c:v>
                </c:pt>
                <c:pt idx="167" formatCode="0.00000%">
                  <c:v>1.0561634712670897E-3</c:v>
                </c:pt>
                <c:pt idx="168" formatCode="0.00000%">
                  <c:v>1.0084248823658173E-3</c:v>
                </c:pt>
                <c:pt idx="169" formatCode="0.00000%">
                  <c:v>9.6284407768288251E-4</c:v>
                </c:pt>
                <c:pt idx="170" formatCode="0.00000%">
                  <c:v>9.1932352537161621E-4</c:v>
                </c:pt>
                <c:pt idx="171" formatCode="0.00000%">
                  <c:v>8.777701020248192E-4</c:v>
                </c:pt>
                <c:pt idx="172" formatCode="0.00000%">
                  <c:v>8.3809489341329739E-4</c:v>
                </c:pt>
                <c:pt idx="173" formatCode="0.00000%">
                  <c:v>8.0021300423101639E-4</c:v>
                </c:pt>
                <c:pt idx="174" formatCode="0.00000%">
                  <c:v>7.6404337643977448E-4</c:v>
                </c:pt>
                <c:pt idx="175" formatCode="0.00000%">
                  <c:v>7.2950861582469671E-4</c:v>
                </c:pt>
                <c:pt idx="176" formatCode="0.00000%">
                  <c:v>6.9653482638942039E-4</c:v>
                </c:pt>
                <c:pt idx="177" formatCode="0.00000%">
                  <c:v>6.6505145223661865E-4</c:v>
                </c:pt>
                <c:pt idx="178" formatCode="0.00000%">
                  <c:v>6.3499112659552346E-4</c:v>
                </c:pt>
                <c:pt idx="179" formatCode="0.00000%">
                  <c:v>6.0628952767340571E-4</c:v>
                </c:pt>
                <c:pt idx="180" formatCode="0.00000%">
                  <c:v>5.788852410225678E-4</c:v>
                </c:pt>
                <c:pt idx="181" formatCode="0.00000%">
                  <c:v>5.5271962812834775E-4</c:v>
                </c:pt>
                <c:pt idx="182" formatCode="0.00000%">
                  <c:v>5.277367009369464E-4</c:v>
                </c:pt>
                <c:pt idx="183" formatCode="0.00000%">
                  <c:v>5.0388300205459651E-4</c:v>
                </c:pt>
                <c:pt idx="184" formatCode="0.00000%">
                  <c:v>4.8110749036172875E-4</c:v>
                </c:pt>
                <c:pt idx="185" formatCode="0.00000%">
                  <c:v>4.593614317973786E-4</c:v>
                </c:pt>
                <c:pt idx="186" formatCode="0.00000%">
                  <c:v>4.3859829508013709E-4</c:v>
                </c:pt>
                <c:pt idx="187" formatCode="0.00000%">
                  <c:v>4.1877365214251485E-4</c:v>
                </c:pt>
                <c:pt idx="188" formatCode="0.00000%">
                  <c:v>3.9984508306567323E-4</c:v>
                </c:pt>
                <c:pt idx="189" formatCode="0.00000%">
                  <c:v>3.8177208531110481E-4</c:v>
                </c:pt>
                <c:pt idx="190" formatCode="0.00000%">
                  <c:v>3.6451598705504289E-4</c:v>
                </c:pt>
                <c:pt idx="191" formatCode="0.00000%">
                  <c:v>3.4803986444015495E-4</c:v>
                </c:pt>
                <c:pt idx="192" formatCode="0.00000%">
                  <c:v>3.3230846256745999E-4</c:v>
                </c:pt>
                <c:pt idx="193" formatCode="0.00000%">
                  <c:v>3.1728812005941081E-4</c:v>
                </c:pt>
                <c:pt idx="194" formatCode="0.00000%">
                  <c:v>3.0294669703272544E-4</c:v>
                </c:pt>
                <c:pt idx="195" formatCode="0.00000%">
                  <c:v>2.8925350632684623E-4</c:v>
                </c:pt>
                <c:pt idx="196" formatCode="0.00000%">
                  <c:v>2.7617924784087281E-4</c:v>
                </c:pt>
                <c:pt idx="197" formatCode="0.00000%">
                  <c:v>2.6369594583846537E-4</c:v>
                </c:pt>
                <c:pt idx="198" formatCode="0.00000%">
                  <c:v>2.5177688908656673E-4</c:v>
                </c:pt>
                <c:pt idx="199" formatCode="0.00000%">
                  <c:v>5.318508267695885E-3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605992"/>
        <c:axId val="406606384"/>
      </c:scatterChart>
      <c:valAx>
        <c:axId val="406605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6606384"/>
        <c:crosses val="autoZero"/>
        <c:crossBetween val="midCat"/>
      </c:valAx>
      <c:valAx>
        <c:axId val="40660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660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概率分布!$J$6</c:f>
              <c:strCache>
                <c:ptCount val="1"/>
                <c:pt idx="0">
                  <c:v>剩余概率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概率分布!$J$7:$J$206</c:f>
              <c:numCache>
                <c:formatCode>0%</c:formatCode>
                <c:ptCount val="200"/>
                <c:pt idx="0">
                  <c:v>0.99939999999999996</c:v>
                </c:pt>
                <c:pt idx="1">
                  <c:v>0.99880035999999994</c:v>
                </c:pt>
                <c:pt idx="2">
                  <c:v>0.9980013197119999</c:v>
                </c:pt>
                <c:pt idx="3">
                  <c:v>0.99700331839228795</c:v>
                </c:pt>
                <c:pt idx="4">
                  <c:v>0.99580691441021718</c:v>
                </c:pt>
                <c:pt idx="5">
                  <c:v>0.99441278473004291</c:v>
                </c:pt>
                <c:pt idx="6">
                  <c:v>0.99282172427447479</c:v>
                </c:pt>
                <c:pt idx="7">
                  <c:v>0.99103464517078077</c:v>
                </c:pt>
                <c:pt idx="8">
                  <c:v>0.98905257588043916</c:v>
                </c:pt>
                <c:pt idx="9">
                  <c:v>0.98687666021350218</c:v>
                </c:pt>
                <c:pt idx="10">
                  <c:v>0.98450815622898979</c:v>
                </c:pt>
                <c:pt idx="11">
                  <c:v>0.98194843502279439</c:v>
                </c:pt>
                <c:pt idx="12">
                  <c:v>0.97919897940473055</c:v>
                </c:pt>
                <c:pt idx="13">
                  <c:v>0.97626138246651639</c:v>
                </c:pt>
                <c:pt idx="14">
                  <c:v>0.97313734604262359</c:v>
                </c:pt>
                <c:pt idx="15" formatCode="0.0%">
                  <c:v>0.96982867906607861</c:v>
                </c:pt>
                <c:pt idx="16" formatCode="0.0%">
                  <c:v>0.96633729582144068</c:v>
                </c:pt>
                <c:pt idx="17" formatCode="0.0%">
                  <c:v>0.9626652140973192</c:v>
                </c:pt>
                <c:pt idx="18" formatCode="0.0%">
                  <c:v>0.9588145532409299</c:v>
                </c:pt>
                <c:pt idx="19" formatCode="0.0%">
                  <c:v>0.95478753211731804</c:v>
                </c:pt>
                <c:pt idx="20" formatCode="0.0%">
                  <c:v>0.9505864669760018</c:v>
                </c:pt>
                <c:pt idx="21" formatCode="0.0%">
                  <c:v>0.94621376922791223</c:v>
                </c:pt>
                <c:pt idx="22" formatCode="0.0%">
                  <c:v>0.94167194313561819</c:v>
                </c:pt>
                <c:pt idx="23" formatCode="0.0%">
                  <c:v>0.93696358341994013</c:v>
                </c:pt>
                <c:pt idx="24" formatCode="0.0%">
                  <c:v>0.93209137278615639</c:v>
                </c:pt>
                <c:pt idx="25" formatCode="0.0%">
                  <c:v>0.92705807937311113</c:v>
                </c:pt>
                <c:pt idx="26" formatCode="0.0%">
                  <c:v>0.92186655412862173</c:v>
                </c:pt>
                <c:pt idx="27" formatCode="0.0%">
                  <c:v>0.91651972811467575</c:v>
                </c:pt>
                <c:pt idx="28" formatCode="0.0%">
                  <c:v>0.91102060974598764</c:v>
                </c:pt>
                <c:pt idx="29" formatCode="0.0%">
                  <c:v>0.90537228196556252</c:v>
                </c:pt>
                <c:pt idx="30" formatCode="0.0%">
                  <c:v>0.89957789936098287</c:v>
                </c:pt>
                <c:pt idx="31" formatCode="0.0%">
                  <c:v>0.89364068522520035</c:v>
                </c:pt>
                <c:pt idx="32" formatCode="0.0%">
                  <c:v>0.88756392856566901</c:v>
                </c:pt>
                <c:pt idx="33" formatCode="0.0%">
                  <c:v>0.8813509810657093</c:v>
                </c:pt>
                <c:pt idx="34" formatCode="0.0%">
                  <c:v>0.87500525400203621</c:v>
                </c:pt>
                <c:pt idx="35" formatCode="0.0%">
                  <c:v>0.86853021512242112</c:v>
                </c:pt>
                <c:pt idx="36" formatCode="0.0%">
                  <c:v>0.86192938548749076</c:v>
                </c:pt>
                <c:pt idx="37" formatCode="0.0%">
                  <c:v>0.85520633628068832</c:v>
                </c:pt>
                <c:pt idx="38" formatCode="0.0%">
                  <c:v>0.84836468559044287</c:v>
                </c:pt>
                <c:pt idx="39" formatCode="0.0%">
                  <c:v>0.84140809516860127</c:v>
                </c:pt>
                <c:pt idx="40" formatCode="0.0%">
                  <c:v>0.83434026716918497</c:v>
                </c:pt>
                <c:pt idx="41" formatCode="0.0%">
                  <c:v>0.82716494087153003</c:v>
                </c:pt>
                <c:pt idx="42" formatCode="0.0%">
                  <c:v>0.81988588939186058</c:v>
                </c:pt>
                <c:pt idx="43" formatCode="0.0%">
                  <c:v>0.81250691638733386</c:v>
                </c:pt>
                <c:pt idx="44" formatCode="0.0%">
                  <c:v>0.80503185275657041</c:v>
                </c:pt>
                <c:pt idx="45" formatCode="0.0%">
                  <c:v>0.79746455334065869</c:v>
                </c:pt>
                <c:pt idx="46" formatCode="0.0%">
                  <c:v>0.78980889362858842</c:v>
                </c:pt>
                <c:pt idx="47" formatCode="0.0%">
                  <c:v>0.7820687664710283</c:v>
                </c:pt>
                <c:pt idx="48" formatCode="0.0%">
                  <c:v>0.77424807880631796</c:v>
                </c:pt>
                <c:pt idx="49" formatCode="0.0%">
                  <c:v>0.76635074840249351</c:v>
                </c:pt>
                <c:pt idx="50" formatCode="0.0%">
                  <c:v>0.75830406554426733</c:v>
                </c:pt>
                <c:pt idx="51" formatCode="0.0%">
                  <c:v>0.75011438163638922</c:v>
                </c:pt>
                <c:pt idx="52" formatCode="0.0%">
                  <c:v>0.74178811200022532</c:v>
                </c:pt>
                <c:pt idx="53" formatCode="0.0%">
                  <c:v>0.73333172752342279</c:v>
                </c:pt>
                <c:pt idx="54" formatCode="0.0%">
                  <c:v>0.72475174631139871</c:v>
                </c:pt>
                <c:pt idx="55" formatCode="0.0%">
                  <c:v>0.71605472535566195</c:v>
                </c:pt>
                <c:pt idx="56" formatCode="0.0%">
                  <c:v>0.70724725223378726</c:v>
                </c:pt>
                <c:pt idx="57" formatCode="0.0%">
                  <c:v>0.69833593685564155</c:v>
                </c:pt>
                <c:pt idx="58" formatCode="0.0%">
                  <c:v>0.68932740327020381</c:v>
                </c:pt>
                <c:pt idx="59" formatCode="0.0%">
                  <c:v>0.68022828154703707</c:v>
                </c:pt>
                <c:pt idx="60" formatCode="0.0%">
                  <c:v>0.67104519974615207</c:v>
                </c:pt>
                <c:pt idx="61" formatCode="0.0%">
                  <c:v>0.66178477598965513</c:v>
                </c:pt>
                <c:pt idx="62" formatCode="0.0%">
                  <c:v>0.65245361064820095</c:v>
                </c:pt>
                <c:pt idx="63" formatCode="0.0%">
                  <c:v>0.64305827865486687</c:v>
                </c:pt>
                <c:pt idx="64" formatCode="0.0%">
                  <c:v>0.63360532195864028</c:v>
                </c:pt>
                <c:pt idx="65" formatCode="0.0%">
                  <c:v>0.62410124212926066</c:v>
                </c:pt>
                <c:pt idx="66" formatCode="0.0%">
                  <c:v>0.61455249312468296</c:v>
                </c:pt>
                <c:pt idx="67" formatCode="0.0%">
                  <c:v>0.60496547423193792</c:v>
                </c:pt>
                <c:pt idx="68" formatCode="0.0%">
                  <c:v>0.59534652319165016</c:v>
                </c:pt>
                <c:pt idx="69" formatCode="0.0%">
                  <c:v>0.58570190951594547</c:v>
                </c:pt>
                <c:pt idx="70" formatCode="0.0%">
                  <c:v>0.57603782800893233</c:v>
                </c:pt>
                <c:pt idx="71" formatCode="0.0%">
                  <c:v>0.56636039249838221</c:v>
                </c:pt>
                <c:pt idx="72" formatCode="0.0%">
                  <c:v>0.55667562978665985</c:v>
                </c:pt>
                <c:pt idx="73" formatCode="0.0%">
                  <c:v>0.54698947382837193</c:v>
                </c:pt>
                <c:pt idx="74" formatCode="0.0%">
                  <c:v>0.53730776014160975</c:v>
                </c:pt>
                <c:pt idx="75" formatCode="0.0%">
                  <c:v>0.52763622045906078</c:v>
                </c:pt>
                <c:pt idx="76" formatCode="0.0%">
                  <c:v>0.51798047762465993</c:v>
                </c:pt>
                <c:pt idx="77" formatCode="0.0%">
                  <c:v>0.50834604074084122</c:v>
                </c:pt>
                <c:pt idx="78" formatCode="0.0%">
                  <c:v>0.49873830057083929</c:v>
                </c:pt>
                <c:pt idx="79" formatCode="0.0%">
                  <c:v>0.48916252519987918</c:v>
                </c:pt>
                <c:pt idx="80" formatCode="0.0%">
                  <c:v>0.4796238559584815</c:v>
                </c:pt>
                <c:pt idx="81" formatCode="0.0%">
                  <c:v>0.47012730361050353</c:v>
                </c:pt>
                <c:pt idx="82" formatCode="0.0%">
                  <c:v>0.46067774480793239</c:v>
                </c:pt>
                <c:pt idx="83" formatCode="0.0%">
                  <c:v>0.45127991881385054</c:v>
                </c:pt>
                <c:pt idx="84" formatCode="0.0%">
                  <c:v>0.44193842449440385</c:v>
                </c:pt>
                <c:pt idx="85" formatCode="0.0%">
                  <c:v>0.43265771758002136</c:v>
                </c:pt>
                <c:pt idx="86" formatCode="0.0%">
                  <c:v>0.42344210819556688</c:v>
                </c:pt>
                <c:pt idx="87" formatCode="0.0%">
                  <c:v>0.41429575865854262</c:v>
                </c:pt>
                <c:pt idx="88" formatCode="0.0%">
                  <c:v>0.40522268154392055</c:v>
                </c:pt>
                <c:pt idx="89" formatCode="0.0%">
                  <c:v>0.3962267380136455</c:v>
                </c:pt>
                <c:pt idx="90" formatCode="0.0%">
                  <c:v>0.38731163640833843</c:v>
                </c:pt>
                <c:pt idx="91" formatCode="0.0%">
                  <c:v>0.37848093109822828</c:v>
                </c:pt>
                <c:pt idx="92" formatCode="0.0%">
                  <c:v>0.36973802158985919</c:v>
                </c:pt>
                <c:pt idx="93" formatCode="0.0%">
                  <c:v>0.36108615188465648</c:v>
                </c:pt>
                <c:pt idx="94" formatCode="0.0%">
                  <c:v>0.35252841008499008</c:v>
                </c:pt>
                <c:pt idx="95" formatCode="0.0%">
                  <c:v>0.34406772824295029</c:v>
                </c:pt>
                <c:pt idx="96" formatCode="0.0%">
                  <c:v>0.33570688244664659</c:v>
                </c:pt>
                <c:pt idx="97" formatCode="0.0%">
                  <c:v>0.32744849313845908</c:v>
                </c:pt>
                <c:pt idx="98" formatCode="0.0%">
                  <c:v>0.31929502565931145</c:v>
                </c:pt>
                <c:pt idx="99" formatCode="0.0%">
                  <c:v>0.31124879101269676</c:v>
                </c:pt>
                <c:pt idx="100" formatCode="0.0%">
                  <c:v>0.30328082196277173</c:v>
                </c:pt>
                <c:pt idx="101" formatCode="0.0%">
                  <c:v>0.29539552059173962</c:v>
                </c:pt>
                <c:pt idx="102" formatCode="0.0%">
                  <c:v>0.28759707884811769</c:v>
                </c:pt>
                <c:pt idx="103" formatCode="0.0%">
                  <c:v>0.27988947713498813</c:v>
                </c:pt>
                <c:pt idx="104" formatCode="0.0%">
                  <c:v>0.27227648335691645</c:v>
                </c:pt>
                <c:pt idx="105" formatCode="0.0%">
                  <c:v>0.26476165241626554</c:v>
                </c:pt>
                <c:pt idx="106" formatCode="0.0%">
                  <c:v>0.25734832614861008</c:v>
                </c:pt>
                <c:pt idx="107" formatCode="0.0%">
                  <c:v>0.25003963368598953</c:v>
                </c:pt>
                <c:pt idx="108" formatCode="0.0%">
                  <c:v>0.24283849223583301</c:v>
                </c:pt>
                <c:pt idx="109" formatCode="0.0%">
                  <c:v>0.23574760826254668</c:v>
                </c:pt>
                <c:pt idx="110" formatCode="0.0%">
                  <c:v>0.22876947905797529</c:v>
                </c:pt>
                <c:pt idx="111" formatCode="0.0%">
                  <c:v>0.22190639468623602</c:v>
                </c:pt>
                <c:pt idx="112" formatCode="0.0%">
                  <c:v>0.21516044028777442</c:v>
                </c:pt>
                <c:pt idx="113" formatCode="0.0%">
                  <c:v>0.20853349872691096</c:v>
                </c:pt>
                <c:pt idx="114" formatCode="0.0%">
                  <c:v>0.20202725356663132</c:v>
                </c:pt>
                <c:pt idx="115" formatCode="0.0%">
                  <c:v>0.19564319235392574</c:v>
                </c:pt>
                <c:pt idx="116" formatCode="0.0%">
                  <c:v>0.18938261019860012</c:v>
                </c:pt>
                <c:pt idx="117" formatCode="0.0%">
                  <c:v>0.18324661362816547</c:v>
                </c:pt>
                <c:pt idx="118" formatCode="0.0%">
                  <c:v>0.17723612470116162</c:v>
                </c:pt>
                <c:pt idx="119" formatCode="0.0%">
                  <c:v>0.17135188536108303</c:v>
                </c:pt>
                <c:pt idx="120" formatCode="0.0%">
                  <c:v>0.16559446201295064</c:v>
                </c:pt>
                <c:pt idx="121" formatCode="0.0%">
                  <c:v>0.15996425030451031</c:v>
                </c:pt>
                <c:pt idx="122" formatCode="0.0%">
                  <c:v>0.15446148009403515</c:v>
                </c:pt>
                <c:pt idx="123" formatCode="0.0%">
                  <c:v>0.14908622058676271</c:v>
                </c:pt>
                <c:pt idx="124" formatCode="0.0%">
                  <c:v>0.14383838562210866</c:v>
                </c:pt>
                <c:pt idx="125" formatCode="0.0%">
                  <c:v>0.13871773909396157</c:v>
                </c:pt>
                <c:pt idx="126" formatCode="0.0%">
                  <c:v>0.13372390048657895</c:v>
                </c:pt>
                <c:pt idx="127" formatCode="0.0%">
                  <c:v>0.12885635050886748</c:v>
                </c:pt>
                <c:pt idx="128" formatCode="0.0%">
                  <c:v>0.12411443681014116</c:v>
                </c:pt>
                <c:pt idx="129" formatCode="0.0%">
                  <c:v>0.11949737976080391</c:v>
                </c:pt>
                <c:pt idx="130" formatCode="0.0%">
                  <c:v>0.11500427828179767</c:v>
                </c:pt>
                <c:pt idx="131" formatCode="0.0%">
                  <c:v>0.11063411570708935</c:v>
                </c:pt>
                <c:pt idx="132" formatCode="0.0%">
                  <c:v>0.10638576566393712</c:v>
                </c:pt>
                <c:pt idx="133" formatCode="0.0%">
                  <c:v>0.10225799795617636</c:v>
                </c:pt>
                <c:pt idx="134" formatCode="0.0%">
                  <c:v>9.8249484436294249E-2</c:v>
                </c:pt>
                <c:pt idx="135" formatCode="0.0%">
                  <c:v>9.4358804852616995E-2</c:v>
                </c:pt>
                <c:pt idx="136" formatCode="0.0%">
                  <c:v>9.058445265851231E-2</c:v>
                </c:pt>
                <c:pt idx="137" formatCode="0.0%">
                  <c:v>8.6924840771108416E-2</c:v>
                </c:pt>
                <c:pt idx="138" formatCode="0.0%">
                  <c:v>8.3378307267647195E-2</c:v>
                </c:pt>
                <c:pt idx="139" formatCode="0.0%">
                  <c:v>7.9943121008220125E-2</c:v>
                </c:pt>
                <c:pt idx="140" formatCode="0.0%">
                  <c:v>7.6617487174278173E-2</c:v>
                </c:pt>
                <c:pt idx="141" formatCode="0.0%">
                  <c:v>7.3399552712958491E-2</c:v>
                </c:pt>
                <c:pt idx="142" formatCode="0.0%">
                  <c:v>7.0287411677929054E-2</c:v>
                </c:pt>
                <c:pt idx="143" formatCode="0.0%">
                  <c:v>6.7279110458113689E-2</c:v>
                </c:pt>
                <c:pt idx="144" formatCode="0.0%">
                  <c:v>6.4372652886323184E-2</c:v>
                </c:pt>
                <c:pt idx="145" formatCode="0.0%">
                  <c:v>6.1566005220479496E-2</c:v>
                </c:pt>
                <c:pt idx="146" formatCode="0.0%">
                  <c:v>5.8857100990778399E-2</c:v>
                </c:pt>
                <c:pt idx="147" formatCode="0.0%">
                  <c:v>5.6243845706787837E-2</c:v>
                </c:pt>
                <c:pt idx="148" formatCode="0.0%">
                  <c:v>5.3724121419123742E-2</c:v>
                </c:pt>
                <c:pt idx="149" formatCode="0.0%">
                  <c:v>5.1295791130979353E-2</c:v>
                </c:pt>
                <c:pt idx="150" formatCode="0.0%">
                  <c:v>4.8977221371859087E-2</c:v>
                </c:pt>
                <c:pt idx="151" formatCode="0.0%">
                  <c:v>4.6763450965851057E-2</c:v>
                </c:pt>
                <c:pt idx="152" formatCode="0.0%">
                  <c:v>4.4649742982194589E-2</c:v>
                </c:pt>
                <c:pt idx="153" formatCode="0.0%">
                  <c:v>4.2631574599399397E-2</c:v>
                </c:pt>
                <c:pt idx="154" formatCode="0.0%">
                  <c:v>4.0704627427506544E-2</c:v>
                </c:pt>
                <c:pt idx="155" formatCode="0.0%">
                  <c:v>3.886477826778325E-2</c:v>
                </c:pt>
                <c:pt idx="156" formatCode="0.0%">
                  <c:v>3.710809029007945E-2</c:v>
                </c:pt>
                <c:pt idx="157" formatCode="0.0%">
                  <c:v>3.5430804608967859E-2</c:v>
                </c:pt>
                <c:pt idx="158" formatCode="0.0%">
                  <c:v>3.382933224064251E-2</c:v>
                </c:pt>
                <c:pt idx="159" formatCode="0.0%">
                  <c:v>3.2300246423365465E-2</c:v>
                </c:pt>
                <c:pt idx="160" formatCode="0.0%">
                  <c:v>3.0840275285029348E-2</c:v>
                </c:pt>
                <c:pt idx="161" formatCode="0.0%">
                  <c:v>2.9446294842146021E-2</c:v>
                </c:pt>
                <c:pt idx="162" formatCode="0.0%">
                  <c:v>2.8115322315281022E-2</c:v>
                </c:pt>
                <c:pt idx="163" formatCode="0.0%">
                  <c:v>2.6844509746630319E-2</c:v>
                </c:pt>
                <c:pt idx="164" formatCode="0.0%">
                  <c:v>2.5631137906082631E-2</c:v>
                </c:pt>
                <c:pt idx="165" formatCode="0.0%">
                  <c:v>2.4472610472727696E-2</c:v>
                </c:pt>
                <c:pt idx="166" formatCode="0.0%">
                  <c:v>2.3366448479360404E-2</c:v>
                </c:pt>
                <c:pt idx="167" formatCode="0.0%">
                  <c:v>2.2310285008093313E-2</c:v>
                </c:pt>
                <c:pt idx="168" formatCode="0.0%">
                  <c:v>2.1301860125727497E-2</c:v>
                </c:pt>
                <c:pt idx="169" formatCode="0.0%">
                  <c:v>2.0339016048044615E-2</c:v>
                </c:pt>
                <c:pt idx="170" formatCode="0.0%">
                  <c:v>1.9419692522672997E-2</c:v>
                </c:pt>
                <c:pt idx="171" formatCode="0.0%">
                  <c:v>1.8541922420648178E-2</c:v>
                </c:pt>
                <c:pt idx="172" formatCode="0.0%">
                  <c:v>1.7703827527234883E-2</c:v>
                </c:pt>
                <c:pt idx="173" formatCode="0.0%">
                  <c:v>1.6903614523003867E-2</c:v>
                </c:pt>
                <c:pt idx="174" formatCode="0.0%">
                  <c:v>1.6139571146564093E-2</c:v>
                </c:pt>
                <c:pt idx="175" formatCode="0.0%">
                  <c:v>1.5410062530739396E-2</c:v>
                </c:pt>
                <c:pt idx="176" formatCode="0.0%">
                  <c:v>1.4713527704349975E-2</c:v>
                </c:pt>
                <c:pt idx="177" formatCode="0.0%">
                  <c:v>1.4048476252113355E-2</c:v>
                </c:pt>
                <c:pt idx="178" formatCode="0.0%">
                  <c:v>1.3413485125517832E-2</c:v>
                </c:pt>
                <c:pt idx="179" formatCode="0.0%">
                  <c:v>1.2807195597844425E-2</c:v>
                </c:pt>
                <c:pt idx="180" formatCode="0.0%">
                  <c:v>1.2228310356821858E-2</c:v>
                </c:pt>
                <c:pt idx="181" formatCode="0.0%">
                  <c:v>1.167559072869351E-2</c:v>
                </c:pt>
                <c:pt idx="182" formatCode="0.0%">
                  <c:v>1.1147854027756563E-2</c:v>
                </c:pt>
                <c:pt idx="183" formatCode="0.0%">
                  <c:v>1.0643971025701967E-2</c:v>
                </c:pt>
                <c:pt idx="184" formatCode="0.0%">
                  <c:v>1.0162863535340239E-2</c:v>
                </c:pt>
                <c:pt idx="185" formatCode="0.0%">
                  <c:v>9.7035021035428593E-3</c:v>
                </c:pt>
                <c:pt idx="186" formatCode="0.0%">
                  <c:v>9.2649038084627218E-3</c:v>
                </c:pt>
                <c:pt idx="187" formatCode="0.0%">
                  <c:v>8.8461301563202074E-3</c:v>
                </c:pt>
                <c:pt idx="188" formatCode="0.0%">
                  <c:v>8.4462850732545339E-3</c:v>
                </c:pt>
                <c:pt idx="189" formatCode="0.0%">
                  <c:v>8.0645129879434296E-3</c:v>
                </c:pt>
                <c:pt idx="190" formatCode="0.0%">
                  <c:v>7.6999970008883867E-3</c:v>
                </c:pt>
                <c:pt idx="191" formatCode="0.0%">
                  <c:v>7.3519571364482322E-3</c:v>
                </c:pt>
                <c:pt idx="192" formatCode="0.0%">
                  <c:v>7.0196486738807722E-3</c:v>
                </c:pt>
                <c:pt idx="193" formatCode="0.0%">
                  <c:v>6.7023605538213613E-3</c:v>
                </c:pt>
                <c:pt idx="194" formatCode="0.0%">
                  <c:v>6.3994138567886362E-3</c:v>
                </c:pt>
                <c:pt idx="195" formatCode="0.0%">
                  <c:v>6.1101603504617897E-3</c:v>
                </c:pt>
                <c:pt idx="196" formatCode="0.0%">
                  <c:v>5.8339811026209172E-3</c:v>
                </c:pt>
                <c:pt idx="197" formatCode="0.0%">
                  <c:v>5.5702851567824519E-3</c:v>
                </c:pt>
                <c:pt idx="198" formatCode="0.0%">
                  <c:v>5.318508267695885E-3</c:v>
                </c:pt>
                <c:pt idx="199" formatCode="0.0%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607168"/>
        <c:axId val="406607560"/>
      </c:scatterChart>
      <c:valAx>
        <c:axId val="40660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6607560"/>
        <c:crosses val="autoZero"/>
        <c:crossBetween val="midCat"/>
      </c:valAx>
      <c:valAx>
        <c:axId val="40660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660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114300</xdr:colOff>
      <xdr:row>12</xdr:row>
      <xdr:rowOff>38100</xdr:rowOff>
    </xdr:from>
    <xdr:to>
      <xdr:col>4</xdr:col>
      <xdr:colOff>495300</xdr:colOff>
      <xdr:row>12</xdr:row>
      <xdr:rowOff>504265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0" y="2762250"/>
          <a:ext cx="381000" cy="466165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104775</xdr:colOff>
      <xdr:row>14</xdr:row>
      <xdr:rowOff>28575</xdr:rowOff>
    </xdr:from>
    <xdr:to>
      <xdr:col>4</xdr:col>
      <xdr:colOff>468282</xdr:colOff>
      <xdr:row>14</xdr:row>
      <xdr:rowOff>495300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7975" y="3305175"/>
          <a:ext cx="363507" cy="466725"/>
        </a:xfrm>
        <a:prstGeom prst="rect">
          <a:avLst/>
        </a:prstGeom>
      </xdr:spPr>
    </xdr:pic>
    <xdr:clientData/>
  </xdr:twoCellAnchor>
  <xdr:twoCellAnchor editAs="oneCell">
    <xdr:from>
      <xdr:col>4</xdr:col>
      <xdr:colOff>114300</xdr:colOff>
      <xdr:row>13</xdr:row>
      <xdr:rowOff>66675</xdr:rowOff>
    </xdr:from>
    <xdr:to>
      <xdr:col>4</xdr:col>
      <xdr:colOff>474195</xdr:colOff>
      <xdr:row>13</xdr:row>
      <xdr:rowOff>514350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7500" y="2790825"/>
          <a:ext cx="359895" cy="447675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104775</xdr:colOff>
      <xdr:row>11</xdr:row>
      <xdr:rowOff>47625</xdr:rowOff>
    </xdr:from>
    <xdr:to>
      <xdr:col>4</xdr:col>
      <xdr:colOff>486233</xdr:colOff>
      <xdr:row>11</xdr:row>
      <xdr:rowOff>514350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7975" y="3876675"/>
          <a:ext cx="381458" cy="466725"/>
        </a:xfrm>
        <a:prstGeom prst="rect">
          <a:avLst/>
        </a:prstGeom>
      </xdr:spPr>
    </xdr:pic>
    <xdr:clientData/>
  </xdr:twoCellAnchor>
  <xdr:twoCellAnchor editAs="oneCell">
    <xdr:from>
      <xdr:col>4</xdr:col>
      <xdr:colOff>114300</xdr:colOff>
      <xdr:row>15</xdr:row>
      <xdr:rowOff>38101</xdr:rowOff>
    </xdr:from>
    <xdr:to>
      <xdr:col>4</xdr:col>
      <xdr:colOff>503431</xdr:colOff>
      <xdr:row>15</xdr:row>
      <xdr:rowOff>514351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7500" y="4972051"/>
          <a:ext cx="389131" cy="476250"/>
        </a:xfrm>
        <a:prstGeom prst="rect">
          <a:avLst/>
        </a:prstGeom>
      </xdr:spPr>
    </xdr:pic>
    <xdr:clientData/>
  </xdr:twoCellAnchor>
  <xdr:twoCellAnchor editAs="oneCell">
    <xdr:from>
      <xdr:col>4</xdr:col>
      <xdr:colOff>85726</xdr:colOff>
      <xdr:row>10</xdr:row>
      <xdr:rowOff>28576</xdr:rowOff>
    </xdr:from>
    <xdr:to>
      <xdr:col>4</xdr:col>
      <xdr:colOff>485776</xdr:colOff>
      <xdr:row>10</xdr:row>
      <xdr:rowOff>519236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28926" y="2200276"/>
          <a:ext cx="400050" cy="490660"/>
        </a:xfrm>
        <a:prstGeom prst="rect">
          <a:avLst/>
        </a:prstGeom>
      </xdr:spPr>
    </xdr:pic>
    <xdr:clientData/>
  </xdr:twoCellAnchor>
  <xdr:oneCellAnchor>
    <xdr:from>
      <xdr:col>4</xdr:col>
      <xdr:colOff>114300</xdr:colOff>
      <xdr:row>19</xdr:row>
      <xdr:rowOff>38100</xdr:rowOff>
    </xdr:from>
    <xdr:ext cx="381000" cy="466165"/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0" y="3314700"/>
          <a:ext cx="381000" cy="466165"/>
        </a:xfrm>
        <a:prstGeom prst="rect">
          <a:avLst/>
        </a:prstGeom>
      </xdr:spPr>
    </xdr:pic>
    <xdr:clientData/>
  </xdr:oneCellAnchor>
  <xdr:oneCellAnchor>
    <xdr:from>
      <xdr:col>4</xdr:col>
      <xdr:colOff>104775</xdr:colOff>
      <xdr:row>21</xdr:row>
      <xdr:rowOff>28575</xdr:rowOff>
    </xdr:from>
    <xdr:ext cx="363507" cy="466725"/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7975" y="4410075"/>
          <a:ext cx="363507" cy="466725"/>
        </a:xfrm>
        <a:prstGeom prst="rect">
          <a:avLst/>
        </a:prstGeom>
      </xdr:spPr>
    </xdr:pic>
    <xdr:clientData/>
  </xdr:oneCellAnchor>
  <xdr:oneCellAnchor>
    <xdr:from>
      <xdr:col>4</xdr:col>
      <xdr:colOff>114300</xdr:colOff>
      <xdr:row>20</xdr:row>
      <xdr:rowOff>66675</xdr:rowOff>
    </xdr:from>
    <xdr:ext cx="359895" cy="447675"/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7500" y="3895725"/>
          <a:ext cx="359895" cy="447675"/>
        </a:xfrm>
        <a:prstGeom prst="rect">
          <a:avLst/>
        </a:prstGeom>
      </xdr:spPr>
    </xdr:pic>
    <xdr:clientData/>
  </xdr:oneCellAnchor>
  <xdr:oneCellAnchor>
    <xdr:from>
      <xdr:col>4</xdr:col>
      <xdr:colOff>104775</xdr:colOff>
      <xdr:row>18</xdr:row>
      <xdr:rowOff>47625</xdr:rowOff>
    </xdr:from>
    <xdr:ext cx="381458" cy="466725"/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7975" y="2771775"/>
          <a:ext cx="381458" cy="466725"/>
        </a:xfrm>
        <a:prstGeom prst="rect">
          <a:avLst/>
        </a:prstGeom>
      </xdr:spPr>
    </xdr:pic>
    <xdr:clientData/>
  </xdr:oneCellAnchor>
  <xdr:oneCellAnchor>
    <xdr:from>
      <xdr:col>4</xdr:col>
      <xdr:colOff>114300</xdr:colOff>
      <xdr:row>22</xdr:row>
      <xdr:rowOff>38101</xdr:rowOff>
    </xdr:from>
    <xdr:ext cx="389131" cy="476250"/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7500" y="4972051"/>
          <a:ext cx="389131" cy="476250"/>
        </a:xfrm>
        <a:prstGeom prst="rect">
          <a:avLst/>
        </a:prstGeom>
      </xdr:spPr>
    </xdr:pic>
    <xdr:clientData/>
  </xdr:oneCellAnchor>
  <xdr:oneCellAnchor>
    <xdr:from>
      <xdr:col>4</xdr:col>
      <xdr:colOff>85726</xdr:colOff>
      <xdr:row>17</xdr:row>
      <xdr:rowOff>28576</xdr:rowOff>
    </xdr:from>
    <xdr:ext cx="400050" cy="490660"/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28926" y="2200276"/>
          <a:ext cx="400050" cy="4906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0</xdr:row>
          <xdr:rowOff>9525</xdr:rowOff>
        </xdr:from>
        <xdr:to>
          <xdr:col>3</xdr:col>
          <xdr:colOff>1009650</xdr:colOff>
          <xdr:row>1</xdr:row>
          <xdr:rowOff>19050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29</xdr:row>
      <xdr:rowOff>66675</xdr:rowOff>
    </xdr:from>
    <xdr:to>
      <xdr:col>20</xdr:col>
      <xdr:colOff>47625</xdr:colOff>
      <xdr:row>39</xdr:row>
      <xdr:rowOff>76200</xdr:rowOff>
    </xdr:to>
    <xdr:sp macro="" textlink="">
      <xdr:nvSpPr>
        <xdr:cNvPr id="3" name="圆角矩形 2"/>
        <xdr:cNvSpPr/>
      </xdr:nvSpPr>
      <xdr:spPr>
        <a:xfrm>
          <a:off x="7496175" y="2466975"/>
          <a:ext cx="4352925" cy="1724025"/>
        </a:xfrm>
        <a:prstGeom prst="roundRect">
          <a:avLst>
            <a:gd name="adj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概率数组</a:t>
          </a:r>
          <a:endParaRPr lang="en-US" altLang="zh-CN" sz="1100" b="1"/>
        </a:p>
        <a:p>
          <a:pPr algn="l"/>
          <a:endParaRPr lang="en-US" altLang="zh-CN" sz="1100"/>
        </a:p>
        <a:p>
          <a:pPr algn="l"/>
          <a:r>
            <a:rPr lang="zh-CN" altLang="en-US" sz="1100"/>
            <a:t>保证抽取</a:t>
          </a:r>
          <a:r>
            <a:rPr lang="en-US" altLang="zh-CN" sz="1100"/>
            <a:t>N</a:t>
          </a:r>
          <a:r>
            <a:rPr lang="zh-CN" altLang="en-US" sz="1100"/>
            <a:t>次必然获得一张卡牌（保底概率）</a:t>
          </a:r>
          <a:endParaRPr lang="en-US" altLang="zh-CN" sz="1100"/>
        </a:p>
        <a:p>
          <a:pPr algn="l"/>
          <a:r>
            <a:rPr lang="zh-CN" altLang="en-US" sz="1100"/>
            <a:t>保证玩家的体验比较相似。玩家运气不会特别差（有保底）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1%</a:t>
          </a:r>
          <a:r>
            <a:rPr lang="zh-CN" altLang="en-US" sz="1100"/>
            <a:t>、</a:t>
          </a:r>
          <a:r>
            <a:rPr lang="en-US" altLang="zh-CN" sz="1100"/>
            <a:t>2%</a:t>
          </a:r>
          <a:r>
            <a:rPr lang="zh-CN" altLang="en-US" sz="1100"/>
            <a:t>这种非常低的概率就不保底了。因为即使保底也会导致概率分布非常稀疏。因为总的值太低了。</a:t>
          </a:r>
          <a:endParaRPr lang="en-US" altLang="zh-C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404812</xdr:colOff>
      <xdr:row>4</xdr:row>
      <xdr:rowOff>57150</xdr:rowOff>
    </xdr:from>
    <xdr:to>
      <xdr:col>19</xdr:col>
      <xdr:colOff>176212</xdr:colOff>
      <xdr:row>20</xdr:row>
      <xdr:rowOff>57150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395287</xdr:colOff>
      <xdr:row>21</xdr:row>
      <xdr:rowOff>38100</xdr:rowOff>
    </xdr:from>
    <xdr:to>
      <xdr:col>19</xdr:col>
      <xdr:colOff>166687</xdr:colOff>
      <xdr:row>37</xdr:row>
      <xdr:rowOff>38100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orkspace_sg3\app_data\xls\K&#26694;&#2655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K&#21345;&#292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界面功能"/>
      <sheetName val="配置文件"/>
      <sheetName val="工作进度"/>
      <sheetName val="玩家属性"/>
      <sheetName val="武将属性表"/>
      <sheetName val="框架图"/>
      <sheetName val="目录"/>
      <sheetName val="修改"/>
      <sheetName val="系统"/>
      <sheetName val="引导"/>
      <sheetName val="属性"/>
      <sheetName val="产出种类"/>
      <sheetName val="曲线"/>
      <sheetName val="VIP"/>
      <sheetName val="升级"/>
      <sheetName val="金币"/>
      <sheetName val="问题"/>
      <sheetName val="技能策略回收站"/>
      <sheetName val="属性投放"/>
      <sheetName val="武将"/>
      <sheetName val="军队"/>
      <sheetName val="技能"/>
      <sheetName val="组合技"/>
      <sheetName val="天赋"/>
      <sheetName val="人物天赋"/>
      <sheetName val="材料"/>
      <sheetName val="系统框架"/>
      <sheetName val="Sheet1"/>
      <sheetName val="布阵废弃"/>
      <sheetName val="武将技能废弃"/>
      <sheetName val="装备"/>
      <sheetName val="人物装备"/>
      <sheetName val="装备合成"/>
      <sheetName val="征战产出"/>
      <sheetName val="战斗时间"/>
      <sheetName val="名将产出"/>
      <sheetName val="强化消耗"/>
      <sheetName val="竞技场"/>
      <sheetName val="签到"/>
      <sheetName val="成就"/>
      <sheetName val="抽奖"/>
      <sheetName val="K框架"/>
    </sheetNames>
    <sheetDataSet>
      <sheetData sheetId="0">
        <row r="2">
          <cell r="A2" t="str">
            <v>登录</v>
          </cell>
        </row>
      </sheetData>
      <sheetData sheetId="1">
        <row r="4">
          <cell r="B4" t="str">
            <v>涉及系统</v>
          </cell>
        </row>
      </sheetData>
      <sheetData sheetId="2">
        <row r="2">
          <cell r="G2" t="str">
            <v>冒险</v>
          </cell>
        </row>
      </sheetData>
      <sheetData sheetId="3">
        <row r="2">
          <cell r="A2" t="str">
            <v>所属系统</v>
          </cell>
        </row>
      </sheetData>
      <sheetData sheetId="4">
        <row r="2">
          <cell r="B2" t="str">
            <v>战斗/休息</v>
          </cell>
        </row>
      </sheetData>
      <sheetData sheetId="5">
        <row r="49">
          <cell r="B49" t="str">
            <v>核心玩法：冒险、挖矿、竞技场</v>
          </cell>
        </row>
      </sheetData>
      <sheetData sheetId="6">
        <row r="2">
          <cell r="C2" t="str">
            <v xml:space="preserve">标签管理  </v>
          </cell>
        </row>
      </sheetData>
      <sheetData sheetId="7">
        <row r="2">
          <cell r="A2">
            <v>41919</v>
          </cell>
        </row>
      </sheetData>
      <sheetData sheetId="8">
        <row r="2">
          <cell r="A2" t="str">
            <v>1
战斗演示</v>
          </cell>
        </row>
      </sheetData>
      <sheetData sheetId="9">
        <row r="4">
          <cell r="B4" t="str">
            <v>需要引导玩家，让玩家产生目标感：</v>
          </cell>
        </row>
      </sheetData>
      <sheetData sheetId="10">
        <row r="4">
          <cell r="D4" t="str">
            <v>升星需要等级</v>
          </cell>
        </row>
      </sheetData>
      <sheetData sheetId="11">
        <row r="3">
          <cell r="B3" t="str">
            <v>月签到</v>
          </cell>
        </row>
      </sheetData>
      <sheetData sheetId="12">
        <row r="2">
          <cell r="A2" t="str">
            <v>常数C</v>
          </cell>
        </row>
      </sheetData>
      <sheetData sheetId="13">
        <row r="2">
          <cell r="A2">
            <v>0</v>
          </cell>
        </row>
      </sheetData>
      <sheetData sheetId="14">
        <row r="2">
          <cell r="H2" t="str">
            <v>获得经验</v>
          </cell>
        </row>
      </sheetData>
      <sheetData sheetId="15">
        <row r="4">
          <cell r="A4" t="str">
            <v>金币消耗</v>
          </cell>
        </row>
      </sheetData>
      <sheetData sheetId="16">
        <row r="2">
          <cell r="D2" t="str">
            <v>主界面（如要改主界面就删，如不用改主界面就不删。）</v>
          </cell>
        </row>
      </sheetData>
      <sheetData sheetId="17">
        <row r="2">
          <cell r="H2" t="str">
            <v>新公式</v>
          </cell>
        </row>
      </sheetData>
      <sheetData sheetId="18">
        <row r="4">
          <cell r="B4" t="str">
            <v>远近</v>
          </cell>
        </row>
        <row r="23">
          <cell r="P23">
            <v>8.1645339317120494E-3</v>
          </cell>
        </row>
        <row r="24">
          <cell r="P24">
            <v>1.7708775547334587E-2</v>
          </cell>
          <cell r="Q24">
            <v>2.1689879294336123</v>
          </cell>
        </row>
        <row r="25">
          <cell r="P25">
            <v>2.8951118927770025E-2</v>
          </cell>
          <cell r="Q25">
            <v>1.6348458904109586</v>
          </cell>
        </row>
        <row r="26">
          <cell r="P26">
            <v>4.2209958153920799E-2</v>
          </cell>
          <cell r="Q26">
            <v>1.4579732914375492</v>
          </cell>
        </row>
        <row r="27">
          <cell r="P27">
            <v>5.7803687306689305E-2</v>
          </cell>
          <cell r="Q27">
            <v>1.3694324712643677</v>
          </cell>
        </row>
        <row r="28">
          <cell r="P28">
            <v>7.6050700466977983E-2</v>
          </cell>
          <cell r="Q28">
            <v>1.315672131147541</v>
          </cell>
        </row>
        <row r="29">
          <cell r="P29">
            <v>9.7269391715689241E-2</v>
          </cell>
          <cell r="Q29">
            <v>1.2790071770334928</v>
          </cell>
        </row>
        <row r="30">
          <cell r="P30">
            <v>0.1217781551337255</v>
          </cell>
          <cell r="Q30">
            <v>1.2519678902657627</v>
          </cell>
        </row>
        <row r="31">
          <cell r="P31">
            <v>0.14989538480198922</v>
          </cell>
          <cell r="Q31">
            <v>1.2308889442231077</v>
          </cell>
        </row>
        <row r="32">
          <cell r="P32">
            <v>0.18193947480138273</v>
          </cell>
          <cell r="Q32">
            <v>1.2137763617053556</v>
          </cell>
        </row>
        <row r="33">
          <cell r="P33">
            <v>0.21822881921280851</v>
          </cell>
          <cell r="Q33">
            <v>1.1994583333333333</v>
          </cell>
        </row>
      </sheetData>
      <sheetData sheetId="19">
        <row r="2">
          <cell r="A2" t="str">
            <v>武将名</v>
          </cell>
          <cell r="B2" t="str">
            <v>职业</v>
          </cell>
          <cell r="C2" t="str">
            <v>品质</v>
          </cell>
          <cell r="D2" t="str">
            <v>显示颜色</v>
          </cell>
          <cell r="E2" t="str">
            <v>射程</v>
          </cell>
          <cell r="F2" t="str">
            <v>类</v>
          </cell>
          <cell r="G2" t="str">
            <v>具体威力</v>
          </cell>
          <cell r="H2" t="str">
            <v>额外血攻比</v>
          </cell>
          <cell r="I2" t="str">
            <v>血量系数</v>
          </cell>
          <cell r="J2" t="str">
            <v>攻击系数</v>
          </cell>
          <cell r="K2" t="str">
            <v>士兵血量系数</v>
          </cell>
          <cell r="L2" t="str">
            <v>士兵攻击系数</v>
          </cell>
          <cell r="M2" t="str">
            <v>兵种</v>
          </cell>
          <cell r="N2" t="str">
            <v>组合技</v>
          </cell>
          <cell r="O2" t="str">
            <v>升级消耗</v>
          </cell>
          <cell r="P2" t="str">
            <v>升星消耗碎片</v>
          </cell>
          <cell r="Q2" t="str">
            <v>升1星消耗货币</v>
          </cell>
          <cell r="R2" t="str">
            <v>升2星消耗货币</v>
          </cell>
          <cell r="S2" t="str">
            <v>升3星消耗货币</v>
          </cell>
          <cell r="T2" t="str">
            <v>升4星消耗货币</v>
          </cell>
          <cell r="U2" t="str">
            <v>升5星消耗货币</v>
          </cell>
          <cell r="V2" t="str">
            <v>合成需要碎片</v>
          </cell>
          <cell r="W2" t="str">
            <v>武将转化碎片</v>
          </cell>
          <cell r="X2" t="str">
            <v>兵种ID（引用）</v>
          </cell>
          <cell r="Z2" t="str">
            <v>初始血量</v>
          </cell>
          <cell r="AA2" t="str">
            <v>血量成长</v>
          </cell>
          <cell r="AB2" t="str">
            <v>初始攻击</v>
          </cell>
          <cell r="AC2" t="str">
            <v>攻击成长</v>
          </cell>
          <cell r="AD2" t="str">
            <v>武将元宝价值</v>
          </cell>
          <cell r="AE2" t="str">
            <v>碎片元宝价值</v>
          </cell>
        </row>
        <row r="3">
          <cell r="A3" t="str">
            <v>诸葛亮</v>
          </cell>
          <cell r="B3">
            <v>2</v>
          </cell>
          <cell r="C3">
            <v>6</v>
          </cell>
          <cell r="D3">
            <v>3</v>
          </cell>
          <cell r="E3">
            <v>0</v>
          </cell>
          <cell r="F3" t="str">
            <v>文官-杀兵</v>
          </cell>
          <cell r="G3">
            <v>1.03</v>
          </cell>
          <cell r="H3">
            <v>1</v>
          </cell>
          <cell r="I3">
            <v>72.521563342318046</v>
          </cell>
          <cell r="J3">
            <v>139.58625336927224</v>
          </cell>
          <cell r="K3">
            <v>5.5</v>
          </cell>
          <cell r="L3">
            <v>7.5</v>
          </cell>
          <cell r="M3" t="str">
            <v>法兵</v>
          </cell>
          <cell r="N3" t="str">
            <v>12017,12019</v>
          </cell>
          <cell r="O3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3" t="str">
            <v>10,20,40,60,80</v>
          </cell>
          <cell r="Q3" t="str">
            <v>4,330,0,0,0,0</v>
          </cell>
          <cell r="R3" t="str">
            <v>4,480,5,420,0,0</v>
          </cell>
          <cell r="S3" t="str">
            <v>4,660,5,560,6,500</v>
          </cell>
          <cell r="T3" t="str">
            <v>4,840,5,720,6,620</v>
          </cell>
          <cell r="U3" t="str">
            <v>4,990,5,860,6,740</v>
          </cell>
          <cell r="V3">
            <v>30</v>
          </cell>
          <cell r="W3">
            <v>10</v>
          </cell>
          <cell r="X3">
            <v>21512</v>
          </cell>
          <cell r="Z3">
            <v>1221.4285714285711</v>
          </cell>
          <cell r="AA3">
            <v>145.40816326530609</v>
          </cell>
          <cell r="AB3">
            <v>91.207161040764376</v>
          </cell>
          <cell r="AC3">
            <v>10.85799536199576</v>
          </cell>
          <cell r="AD3">
            <v>2318.181818181818</v>
          </cell>
          <cell r="AE3">
            <v>212.5</v>
          </cell>
        </row>
        <row r="4">
          <cell r="A4" t="str">
            <v>小乔</v>
          </cell>
          <cell r="B4">
            <v>2</v>
          </cell>
          <cell r="C4">
            <v>6</v>
          </cell>
          <cell r="D4">
            <v>3</v>
          </cell>
          <cell r="E4">
            <v>0</v>
          </cell>
          <cell r="F4" t="str">
            <v>文官-杀兵</v>
          </cell>
          <cell r="G4">
            <v>1.02</v>
          </cell>
          <cell r="H4">
            <v>1</v>
          </cell>
          <cell r="I4">
            <v>77.0154986522911</v>
          </cell>
          <cell r="J4">
            <v>147.34164420485175</v>
          </cell>
          <cell r="K4">
            <v>4.7250000000000005</v>
          </cell>
          <cell r="L4">
            <v>6.7249999999999988</v>
          </cell>
          <cell r="M4" t="str">
            <v>法兵</v>
          </cell>
          <cell r="N4">
            <v>12011</v>
          </cell>
          <cell r="O4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4" t="str">
            <v>10,20,40,60,80</v>
          </cell>
          <cell r="Q4" t="str">
            <v>4,330,0,0,0,0</v>
          </cell>
          <cell r="R4" t="str">
            <v>4,480,5,420,0,0</v>
          </cell>
          <cell r="S4" t="str">
            <v>4,660,5,560,6,500</v>
          </cell>
          <cell r="T4" t="str">
            <v>4,840,5,720,6,620</v>
          </cell>
          <cell r="U4" t="str">
            <v>4,990,5,860,6,740</v>
          </cell>
          <cell r="V4">
            <v>30</v>
          </cell>
          <cell r="W4">
            <v>10</v>
          </cell>
          <cell r="X4">
            <v>21512</v>
          </cell>
          <cell r="Z4">
            <v>1221.4285714285711</v>
          </cell>
          <cell r="AA4">
            <v>145.40816326530609</v>
          </cell>
          <cell r="AB4">
            <v>91.207161040764376</v>
          </cell>
          <cell r="AC4">
            <v>10.85799536199576</v>
          </cell>
          <cell r="AD4">
            <v>2000</v>
          </cell>
          <cell r="AE4">
            <v>183.33333333333334</v>
          </cell>
        </row>
        <row r="5">
          <cell r="A5" t="str">
            <v>黄月英</v>
          </cell>
          <cell r="B5">
            <v>2</v>
          </cell>
          <cell r="C5">
            <v>6</v>
          </cell>
          <cell r="D5">
            <v>3</v>
          </cell>
          <cell r="E5">
            <v>0</v>
          </cell>
          <cell r="F5" t="str">
            <v>文官-杀兵</v>
          </cell>
          <cell r="G5">
            <v>1.01</v>
          </cell>
          <cell r="H5">
            <v>1</v>
          </cell>
          <cell r="I5">
            <v>79.419811320754718</v>
          </cell>
          <cell r="J5">
            <v>139.06266846361189</v>
          </cell>
          <cell r="K5">
            <v>4.875</v>
          </cell>
          <cell r="L5">
            <v>6.8749999999999991</v>
          </cell>
          <cell r="M5" t="str">
            <v>法兵</v>
          </cell>
          <cell r="N5" t="str">
            <v>12005,12019</v>
          </cell>
          <cell r="O5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5" t="str">
            <v>10,20,40,60,80</v>
          </cell>
          <cell r="Q5" t="str">
            <v>4,330,0,0,0,0</v>
          </cell>
          <cell r="R5" t="str">
            <v>4,480,5,420,0,0</v>
          </cell>
          <cell r="S5" t="str">
            <v>4,660,5,560,6,500</v>
          </cell>
          <cell r="T5" t="str">
            <v>4,840,5,720,6,620</v>
          </cell>
          <cell r="U5" t="str">
            <v>4,990,5,860,6,740</v>
          </cell>
          <cell r="V5">
            <v>30</v>
          </cell>
          <cell r="W5">
            <v>10</v>
          </cell>
          <cell r="X5">
            <v>21512</v>
          </cell>
          <cell r="Z5">
            <v>1221.4285714285711</v>
          </cell>
          <cell r="AA5">
            <v>145.40816326530609</v>
          </cell>
          <cell r="AB5">
            <v>91.207161040764376</v>
          </cell>
          <cell r="AC5">
            <v>10.85799536199576</v>
          </cell>
          <cell r="AD5">
            <v>1545.4545454545455</v>
          </cell>
          <cell r="AE5">
            <v>141.66666666666666</v>
          </cell>
        </row>
        <row r="6">
          <cell r="A6" t="str">
            <v>大乔</v>
          </cell>
          <cell r="B6">
            <v>2</v>
          </cell>
          <cell r="C6">
            <v>6</v>
          </cell>
          <cell r="D6">
            <v>3</v>
          </cell>
          <cell r="E6">
            <v>0</v>
          </cell>
          <cell r="F6" t="str">
            <v>文官-杀兵</v>
          </cell>
          <cell r="G6">
            <v>1</v>
          </cell>
          <cell r="H6">
            <v>1</v>
          </cell>
          <cell r="I6">
            <v>85.920485175202145</v>
          </cell>
          <cell r="J6">
            <v>122.19407008086255</v>
          </cell>
          <cell r="K6">
            <v>5.0250000000000004</v>
          </cell>
          <cell r="L6">
            <v>7.0249999999999986</v>
          </cell>
          <cell r="M6" t="str">
            <v>法兵</v>
          </cell>
          <cell r="N6">
            <v>12011</v>
          </cell>
          <cell r="O6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6" t="str">
            <v>10,20,40,60,80</v>
          </cell>
          <cell r="Q6" t="str">
            <v>4,330,0,0,0,0</v>
          </cell>
          <cell r="R6" t="str">
            <v>4,480,5,420,0,0</v>
          </cell>
          <cell r="S6" t="str">
            <v>4,660,5,560,6,500</v>
          </cell>
          <cell r="T6" t="str">
            <v>4,840,5,720,6,620</v>
          </cell>
          <cell r="U6" t="str">
            <v>4,990,5,860,6,740</v>
          </cell>
          <cell r="V6">
            <v>30</v>
          </cell>
          <cell r="W6">
            <v>10</v>
          </cell>
          <cell r="X6">
            <v>21512</v>
          </cell>
          <cell r="Z6">
            <v>1221.4285714285711</v>
          </cell>
          <cell r="AA6">
            <v>145.40816326530609</v>
          </cell>
          <cell r="AB6">
            <v>91.207161040764376</v>
          </cell>
          <cell r="AC6">
            <v>10.85799536199576</v>
          </cell>
          <cell r="AD6">
            <v>1090.909090909091</v>
          </cell>
          <cell r="AE6">
            <v>100</v>
          </cell>
        </row>
        <row r="7">
          <cell r="A7" t="str">
            <v>郭嘉</v>
          </cell>
          <cell r="B7">
            <v>2</v>
          </cell>
          <cell r="C7">
            <v>5</v>
          </cell>
          <cell r="D7">
            <v>3</v>
          </cell>
          <cell r="E7">
            <v>0</v>
          </cell>
          <cell r="F7" t="str">
            <v>文官-招兵</v>
          </cell>
          <cell r="G7">
            <v>1.07</v>
          </cell>
          <cell r="H7">
            <v>1</v>
          </cell>
          <cell r="I7">
            <v>93.526954177897551</v>
          </cell>
          <cell r="J7">
            <v>104.30053908355795</v>
          </cell>
          <cell r="K7">
            <v>4.75</v>
          </cell>
          <cell r="L7">
            <v>6.7499999999999991</v>
          </cell>
          <cell r="M7" t="str">
            <v>法兵</v>
          </cell>
          <cell r="N7">
            <v>12020</v>
          </cell>
          <cell r="O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7" t="str">
            <v>10,20,40,60,80</v>
          </cell>
          <cell r="Q7" t="str">
            <v>4,330,0,0,0,0</v>
          </cell>
          <cell r="R7" t="str">
            <v>4,480,5,420,0,0</v>
          </cell>
          <cell r="S7" t="str">
            <v>4,660,5,560,6,500</v>
          </cell>
          <cell r="T7" t="str">
            <v>4,840,5,720,6,620</v>
          </cell>
          <cell r="U7" t="str">
            <v>4,990,5,860,6,740</v>
          </cell>
          <cell r="V7">
            <v>30</v>
          </cell>
          <cell r="W7">
            <v>10</v>
          </cell>
          <cell r="X7">
            <v>21512</v>
          </cell>
          <cell r="Z7">
            <v>1157.1428571428569</v>
          </cell>
          <cell r="AA7">
            <v>137.7551020408163</v>
          </cell>
          <cell r="AB7">
            <v>86.406784143882049</v>
          </cell>
          <cell r="AC7">
            <v>10.286521921890721</v>
          </cell>
          <cell r="AD7">
            <v>630</v>
          </cell>
          <cell r="AE7">
            <v>57.75</v>
          </cell>
        </row>
        <row r="8">
          <cell r="A8" t="str">
            <v>貂蝉</v>
          </cell>
          <cell r="B8">
            <v>2</v>
          </cell>
          <cell r="C8">
            <v>5</v>
          </cell>
          <cell r="D8">
            <v>3</v>
          </cell>
          <cell r="E8">
            <v>0</v>
          </cell>
          <cell r="F8" t="str">
            <v>文官-杀兵</v>
          </cell>
          <cell r="G8">
            <v>1.05</v>
          </cell>
          <cell r="H8">
            <v>1</v>
          </cell>
          <cell r="I8">
            <v>98.80795148247978</v>
          </cell>
          <cell r="J8">
            <v>100.86051212938004</v>
          </cell>
          <cell r="K8">
            <v>4.3499999999999996</v>
          </cell>
          <cell r="L8">
            <v>6.35</v>
          </cell>
          <cell r="M8" t="str">
            <v>法兵</v>
          </cell>
          <cell r="N8" t="str">
            <v>12005,12016</v>
          </cell>
          <cell r="O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8" t="str">
            <v>10,20,40,60,80</v>
          </cell>
          <cell r="Q8" t="str">
            <v>4,330,0,0,0,0</v>
          </cell>
          <cell r="R8" t="str">
            <v>4,480,5,420,0,0</v>
          </cell>
          <cell r="S8" t="str">
            <v>4,660,5,560,6,500</v>
          </cell>
          <cell r="T8" t="str">
            <v>4,840,5,720,6,620</v>
          </cell>
          <cell r="U8" t="str">
            <v>4,990,5,860,6,740</v>
          </cell>
          <cell r="V8">
            <v>30</v>
          </cell>
          <cell r="W8">
            <v>10</v>
          </cell>
          <cell r="X8">
            <v>21512</v>
          </cell>
          <cell r="Z8">
            <v>1157.1428571428569</v>
          </cell>
          <cell r="AA8">
            <v>137.7551020408163</v>
          </cell>
          <cell r="AB8">
            <v>86.406784143882049</v>
          </cell>
          <cell r="AC8">
            <v>10.286521921890721</v>
          </cell>
          <cell r="AD8">
            <v>350</v>
          </cell>
          <cell r="AE8">
            <v>32.083333333333336</v>
          </cell>
        </row>
        <row r="9">
          <cell r="A9" t="str">
            <v>甄姬</v>
          </cell>
          <cell r="B9">
            <v>2</v>
          </cell>
          <cell r="C9">
            <v>5</v>
          </cell>
          <cell r="D9">
            <v>3</v>
          </cell>
          <cell r="E9">
            <v>0</v>
          </cell>
          <cell r="F9" t="str">
            <v>文官-招兵</v>
          </cell>
          <cell r="G9">
            <v>1.04</v>
          </cell>
          <cell r="H9">
            <v>1</v>
          </cell>
          <cell r="I9">
            <v>102.17520215633422</v>
          </cell>
          <cell r="J9">
            <v>101.41913746630728</v>
          </cell>
          <cell r="K9">
            <v>4.8249999999999993</v>
          </cell>
          <cell r="L9">
            <v>6.8249999999999984</v>
          </cell>
          <cell r="M9" t="str">
            <v>法兵</v>
          </cell>
          <cell r="N9">
            <v>12005</v>
          </cell>
          <cell r="O9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9" t="str">
            <v>10,20,40,60,80</v>
          </cell>
          <cell r="Q9" t="str">
            <v>4,330,0,0,0,0</v>
          </cell>
          <cell r="R9" t="str">
            <v>4,480,5,420,0,0</v>
          </cell>
          <cell r="S9" t="str">
            <v>4,660,5,560,6,500</v>
          </cell>
          <cell r="T9" t="str">
            <v>4,840,5,720,6,620</v>
          </cell>
          <cell r="U9" t="str">
            <v>4,990,5,860,6,740</v>
          </cell>
          <cell r="V9">
            <v>30</v>
          </cell>
          <cell r="W9">
            <v>10</v>
          </cell>
          <cell r="X9">
            <v>21512</v>
          </cell>
          <cell r="Z9">
            <v>1157.1428571428569</v>
          </cell>
          <cell r="AA9">
            <v>137.7551020408163</v>
          </cell>
          <cell r="AB9">
            <v>86.406784143882049</v>
          </cell>
          <cell r="AC9">
            <v>10.286521921890721</v>
          </cell>
          <cell r="AD9">
            <v>250</v>
          </cell>
          <cell r="AE9">
            <v>22.916666666666668</v>
          </cell>
        </row>
        <row r="10">
          <cell r="A10" t="str">
            <v>贾诩</v>
          </cell>
          <cell r="B10">
            <v>2</v>
          </cell>
          <cell r="C10">
            <v>5</v>
          </cell>
          <cell r="D10">
            <v>3</v>
          </cell>
          <cell r="E10">
            <v>0</v>
          </cell>
          <cell r="F10" t="str">
            <v>文官-招兵</v>
          </cell>
          <cell r="G10">
            <v>1.03</v>
          </cell>
          <cell r="H10">
            <v>1</v>
          </cell>
          <cell r="I10">
            <v>92.599730458221003</v>
          </cell>
          <cell r="J10">
            <v>101.18194070080862</v>
          </cell>
          <cell r="K10">
            <v>5.15</v>
          </cell>
          <cell r="L10">
            <v>7.1499999999999995</v>
          </cell>
          <cell r="M10" t="str">
            <v>法兵</v>
          </cell>
          <cell r="N10">
            <v>12036</v>
          </cell>
          <cell r="O10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0" t="str">
            <v>10,20,40,60,80</v>
          </cell>
          <cell r="Q10" t="str">
            <v>4,330,0,0,0,0</v>
          </cell>
          <cell r="R10" t="str">
            <v>4,480,5,420,0,0</v>
          </cell>
          <cell r="S10" t="str">
            <v>4,660,5,560,6,500</v>
          </cell>
          <cell r="T10" t="str">
            <v>4,840,5,720,6,620</v>
          </cell>
          <cell r="U10" t="str">
            <v>4,990,5,860,6,740</v>
          </cell>
          <cell r="V10">
            <v>30</v>
          </cell>
          <cell r="W10">
            <v>10</v>
          </cell>
          <cell r="X10">
            <v>21512</v>
          </cell>
          <cell r="Z10">
            <v>1157.1428571428569</v>
          </cell>
          <cell r="AA10">
            <v>137.7551020408163</v>
          </cell>
          <cell r="AB10">
            <v>86.406784143882049</v>
          </cell>
          <cell r="AC10">
            <v>10.286521921890721</v>
          </cell>
          <cell r="AD10">
            <v>240</v>
          </cell>
          <cell r="AE10">
            <v>22</v>
          </cell>
        </row>
        <row r="11">
          <cell r="A11" t="str">
            <v>张角</v>
          </cell>
          <cell r="B11">
            <v>2</v>
          </cell>
          <cell r="C11">
            <v>5</v>
          </cell>
          <cell r="D11">
            <v>3</v>
          </cell>
          <cell r="E11">
            <v>0</v>
          </cell>
          <cell r="F11" t="str">
            <v>文官-杀兵</v>
          </cell>
          <cell r="G11">
            <v>1.02</v>
          </cell>
          <cell r="H11">
            <v>1</v>
          </cell>
          <cell r="I11">
            <v>91.06738544474392</v>
          </cell>
          <cell r="J11">
            <v>101.18194070080862</v>
          </cell>
          <cell r="K11">
            <v>5.15</v>
          </cell>
          <cell r="L11">
            <v>7.1499999999999995</v>
          </cell>
          <cell r="M11" t="str">
            <v>法兵</v>
          </cell>
          <cell r="N11" t="str">
            <v>12007,12018</v>
          </cell>
          <cell r="O11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1" t="str">
            <v>10,20,40,60,80</v>
          </cell>
          <cell r="Q11" t="str">
            <v>4,330,0,0,0,0</v>
          </cell>
          <cell r="R11" t="str">
            <v>4,480,5,420,0,0</v>
          </cell>
          <cell r="S11" t="str">
            <v>4,660,5,560,6,500</v>
          </cell>
          <cell r="T11" t="str">
            <v>4,840,5,720,6,620</v>
          </cell>
          <cell r="U11" t="str">
            <v>4,990,5,860,6,740</v>
          </cell>
          <cell r="V11">
            <v>30</v>
          </cell>
          <cell r="W11">
            <v>10</v>
          </cell>
          <cell r="X11">
            <v>21512</v>
          </cell>
          <cell r="Z11">
            <v>1157.1428571428569</v>
          </cell>
          <cell r="AA11">
            <v>137.7551020408163</v>
          </cell>
          <cell r="AB11">
            <v>86.406784143882049</v>
          </cell>
          <cell r="AC11">
            <v>10.286521921890721</v>
          </cell>
          <cell r="AD11">
            <v>230</v>
          </cell>
          <cell r="AE11">
            <v>21.083333333333332</v>
          </cell>
        </row>
        <row r="12">
          <cell r="A12" t="str">
            <v>陆逊</v>
          </cell>
          <cell r="B12">
            <v>2</v>
          </cell>
          <cell r="C12">
            <v>5</v>
          </cell>
          <cell r="D12">
            <v>3</v>
          </cell>
          <cell r="E12">
            <v>0</v>
          </cell>
          <cell r="F12" t="str">
            <v>文官-杀兵</v>
          </cell>
          <cell r="G12">
            <v>1.01</v>
          </cell>
          <cell r="H12">
            <v>1</v>
          </cell>
          <cell r="I12">
            <v>94.099730458221003</v>
          </cell>
          <cell r="J12">
            <v>101.18194070080862</v>
          </cell>
          <cell r="K12">
            <v>4.75</v>
          </cell>
          <cell r="L12">
            <v>6.7499999999999991</v>
          </cell>
          <cell r="M12" t="str">
            <v>法兵</v>
          </cell>
          <cell r="N12" t="str">
            <v>12003,12038</v>
          </cell>
          <cell r="O12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2" t="str">
            <v>10,20,40,60,80</v>
          </cell>
          <cell r="Q12" t="str">
            <v>4,330,0,0,0,0</v>
          </cell>
          <cell r="R12" t="str">
            <v>4,480,5,420,0,0</v>
          </cell>
          <cell r="S12" t="str">
            <v>4,660,5,560,6,500</v>
          </cell>
          <cell r="T12" t="str">
            <v>4,840,5,720,6,620</v>
          </cell>
          <cell r="U12" t="str">
            <v>4,990,5,860,6,740</v>
          </cell>
          <cell r="V12">
            <v>30</v>
          </cell>
          <cell r="W12">
            <v>10</v>
          </cell>
          <cell r="X12">
            <v>21512</v>
          </cell>
          <cell r="Z12">
            <v>1157.1428571428569</v>
          </cell>
          <cell r="AA12">
            <v>137.7551020408163</v>
          </cell>
          <cell r="AB12">
            <v>86.406784143882049</v>
          </cell>
          <cell r="AC12">
            <v>10.286521921890721</v>
          </cell>
          <cell r="AD12">
            <v>220</v>
          </cell>
          <cell r="AE12">
            <v>20.166666666666668</v>
          </cell>
        </row>
        <row r="13">
          <cell r="A13" t="str">
            <v>于吉</v>
          </cell>
          <cell r="B13">
            <v>2</v>
          </cell>
          <cell r="C13">
            <v>5</v>
          </cell>
          <cell r="D13">
            <v>3</v>
          </cell>
          <cell r="E13">
            <v>0</v>
          </cell>
          <cell r="F13" t="str">
            <v>文官-杀兵</v>
          </cell>
          <cell r="G13">
            <v>1</v>
          </cell>
          <cell r="H13">
            <v>1</v>
          </cell>
          <cell r="I13">
            <v>102.17520215633421</v>
          </cell>
          <cell r="J13">
            <v>101.18194070080862</v>
          </cell>
          <cell r="K13">
            <v>4.5749999999999993</v>
          </cell>
          <cell r="L13">
            <v>6.5749999999999984</v>
          </cell>
          <cell r="M13" t="str">
            <v>法兵</v>
          </cell>
          <cell r="N13">
            <v>12018</v>
          </cell>
          <cell r="O13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3" t="str">
            <v>10,20,40,60,80</v>
          </cell>
          <cell r="Q13" t="str">
            <v>4,330,0,0,0,0</v>
          </cell>
          <cell r="R13" t="str">
            <v>4,480,5,420,0,0</v>
          </cell>
          <cell r="S13" t="str">
            <v>4,660,5,560,6,500</v>
          </cell>
          <cell r="T13" t="str">
            <v>4,840,5,720,6,620</v>
          </cell>
          <cell r="U13" t="str">
            <v>4,990,5,860,6,740</v>
          </cell>
          <cell r="V13">
            <v>30</v>
          </cell>
          <cell r="W13">
            <v>10</v>
          </cell>
          <cell r="X13">
            <v>21512</v>
          </cell>
          <cell r="Z13">
            <v>1157.1428571428569</v>
          </cell>
          <cell r="AA13">
            <v>137.7551020408163</v>
          </cell>
          <cell r="AB13">
            <v>86.406784143882049</v>
          </cell>
          <cell r="AC13">
            <v>10.286521921890721</v>
          </cell>
          <cell r="AD13">
            <v>210</v>
          </cell>
          <cell r="AE13">
            <v>19.25</v>
          </cell>
        </row>
        <row r="14">
          <cell r="A14" t="str">
            <v>鲁肃</v>
          </cell>
          <cell r="B14">
            <v>2</v>
          </cell>
          <cell r="C14">
            <v>4</v>
          </cell>
          <cell r="D14">
            <v>3</v>
          </cell>
          <cell r="E14">
            <v>0</v>
          </cell>
          <cell r="F14" t="str">
            <v>文官-招兵</v>
          </cell>
          <cell r="G14">
            <v>1</v>
          </cell>
          <cell r="H14">
            <v>1</v>
          </cell>
          <cell r="I14">
            <v>85.712129380053909</v>
          </cell>
          <cell r="J14">
            <v>85.490296495956869</v>
          </cell>
          <cell r="K14">
            <v>4.3249999999999993</v>
          </cell>
          <cell r="L14">
            <v>6.3249999999999993</v>
          </cell>
          <cell r="M14" t="str">
            <v>法兵</v>
          </cell>
          <cell r="N14" t="str">
            <v>12003,12033,12034</v>
          </cell>
          <cell r="O14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14" t="str">
            <v>10,20,40,60,80</v>
          </cell>
          <cell r="Q14" t="str">
            <v>4,330,0,0,0,0</v>
          </cell>
          <cell r="R14" t="str">
            <v>4,480,5,420,0,0</v>
          </cell>
          <cell r="S14" t="str">
            <v>4,660,5,560,6,500</v>
          </cell>
          <cell r="T14" t="str">
            <v>4,840,5,720,6,620</v>
          </cell>
          <cell r="U14" t="str">
            <v>4,990,5,860,6,740</v>
          </cell>
          <cell r="V14">
            <v>30</v>
          </cell>
          <cell r="W14">
            <v>10</v>
          </cell>
          <cell r="X14">
            <v>21512</v>
          </cell>
          <cell r="Z14">
            <v>1092.8571428571424</v>
          </cell>
          <cell r="AA14">
            <v>130.10204081632648</v>
          </cell>
          <cell r="AB14">
            <v>81.606407246999709</v>
          </cell>
          <cell r="AC14">
            <v>9.715048481785681</v>
          </cell>
          <cell r="AD14">
            <v>180</v>
          </cell>
          <cell r="AE14">
            <v>12.5</v>
          </cell>
        </row>
        <row r="15">
          <cell r="A15" t="str">
            <v>吕布</v>
          </cell>
          <cell r="B15">
            <v>0</v>
          </cell>
          <cell r="C15">
            <v>7</v>
          </cell>
          <cell r="D15">
            <v>3</v>
          </cell>
          <cell r="E15">
            <v>1</v>
          </cell>
          <cell r="F15" t="str">
            <v>武官-杀将</v>
          </cell>
          <cell r="G15">
            <v>1.01</v>
          </cell>
          <cell r="H15">
            <v>1</v>
          </cell>
          <cell r="I15">
            <v>223.92048517520212</v>
          </cell>
          <cell r="J15">
            <v>75.153638814016176</v>
          </cell>
          <cell r="K15">
            <v>6.05</v>
          </cell>
          <cell r="L15">
            <v>3.2</v>
          </cell>
          <cell r="M15" t="str">
            <v>枪兵</v>
          </cell>
          <cell r="N15" t="str">
            <v>12015,12016</v>
          </cell>
          <cell r="O15" t="str">
            <v>47,51,57,66,78,94,115,140,171,207,250,299,356,421,493,575,665,765,876,997,1129,1273,1429,1598,1779,1975,2184,2408,2647,2901,3171,3458,3762,4083,4423,4780,5157,5553,5969,6405,6862,7340,7841,8363,8909,9478,10070,10687,11328,11995,12688,13406,14152,14924,15724,16553,17410,18296,19212,20157,21134,22141,23180,24252,25355,26492,27662,28866,30105,31378,32687,34032,35414,36832,38288,39781,41313,42884,44494,46144</v>
          </cell>
          <cell r="P15" t="str">
            <v>10,20,40,60,80</v>
          </cell>
          <cell r="Q15" t="str">
            <v>4,330,0,0,0,0</v>
          </cell>
          <cell r="R15" t="str">
            <v>4,480,5,420,0,0</v>
          </cell>
          <cell r="S15" t="str">
            <v>4,660,5,560,6,500</v>
          </cell>
          <cell r="T15" t="str">
            <v>4,840,5,720,6,620</v>
          </cell>
          <cell r="U15" t="str">
            <v>4,990,5,860,6,740</v>
          </cell>
          <cell r="V15">
            <v>30</v>
          </cell>
          <cell r="W15">
            <v>10</v>
          </cell>
          <cell r="X15">
            <v>21506</v>
          </cell>
          <cell r="Z15">
            <v>2571.4285714285706</v>
          </cell>
          <cell r="AA15">
            <v>306.12244897959175</v>
          </cell>
          <cell r="AB15">
            <v>73.851952259728236</v>
          </cell>
          <cell r="AC15">
            <v>8.7918990785390765</v>
          </cell>
          <cell r="AD15">
            <v>4545.454545454545</v>
          </cell>
          <cell r="AE15">
            <v>416.66666666666669</v>
          </cell>
        </row>
        <row r="16">
          <cell r="A16" t="str">
            <v>关羽</v>
          </cell>
          <cell r="B16">
            <v>0</v>
          </cell>
          <cell r="C16">
            <v>7</v>
          </cell>
          <cell r="D16">
            <v>3</v>
          </cell>
          <cell r="E16">
            <v>0</v>
          </cell>
          <cell r="F16" t="str">
            <v>武官-杀将</v>
          </cell>
          <cell r="G16">
            <v>1</v>
          </cell>
          <cell r="H16">
            <v>1</v>
          </cell>
          <cell r="I16">
            <v>213.57574123989221</v>
          </cell>
          <cell r="J16">
            <v>74.353638814016165</v>
          </cell>
          <cell r="K16">
            <v>6.5</v>
          </cell>
          <cell r="L16">
            <v>3.6500000000000004</v>
          </cell>
          <cell r="M16" t="str">
            <v>弓兵</v>
          </cell>
          <cell r="N16" t="str">
            <v>12001,12006</v>
          </cell>
          <cell r="O16" t="str">
            <v>47,51,57,66,78,94,115,140,171,207,250,299,356,421,493,575,665,765,876,997,1129,1273,1429,1598,1779,1975,2184,2408,2647,2901,3171,3458,3762,4083,4423,4780,5157,5553,5969,6405,6862,7340,7841,8363,8909,9478,10070,10687,11328,11995,12688,13406,14152,14924,15724,16553,17410,18296,19212,20157,21134,22141,23180,24252,25355,26492,27662,28866,30105,31378,32687,34032,35414,36832,38288,39781,41313,42884,44494,46144</v>
          </cell>
          <cell r="P16" t="str">
            <v>10,20,40,60,80</v>
          </cell>
          <cell r="Q16" t="str">
            <v>4,330,0,0,0,0</v>
          </cell>
          <cell r="R16" t="str">
            <v>4,480,5,420,0,0</v>
          </cell>
          <cell r="S16" t="str">
            <v>4,660,5,560,6,500</v>
          </cell>
          <cell r="T16" t="str">
            <v>4,840,5,720,6,620</v>
          </cell>
          <cell r="U16" t="str">
            <v>4,990,5,860,6,740</v>
          </cell>
          <cell r="V16">
            <v>30</v>
          </cell>
          <cell r="W16">
            <v>10</v>
          </cell>
          <cell r="X16">
            <v>21509</v>
          </cell>
          <cell r="Z16">
            <v>2571.4285714285706</v>
          </cell>
          <cell r="AA16">
            <v>306.12244897959175</v>
          </cell>
          <cell r="AB16">
            <v>73.851952259728236</v>
          </cell>
          <cell r="AC16">
            <v>8.7918990785390765</v>
          </cell>
          <cell r="AD16">
            <v>3636.3636363636365</v>
          </cell>
          <cell r="AE16">
            <v>333.33333333333331</v>
          </cell>
        </row>
        <row r="17">
          <cell r="A17" t="str">
            <v>马超</v>
          </cell>
          <cell r="B17">
            <v>0</v>
          </cell>
          <cell r="C17">
            <v>6</v>
          </cell>
          <cell r="D17">
            <v>3</v>
          </cell>
          <cell r="E17">
            <v>1</v>
          </cell>
          <cell r="F17" t="str">
            <v>武官-杀将</v>
          </cell>
          <cell r="G17">
            <v>1.05</v>
          </cell>
          <cell r="H17">
            <v>1</v>
          </cell>
          <cell r="I17">
            <v>198.21590296495961</v>
          </cell>
          <cell r="J17">
            <v>72.439892183288407</v>
          </cell>
          <cell r="K17">
            <v>5.3749999999999991</v>
          </cell>
          <cell r="L17">
            <v>2.7249999999999996</v>
          </cell>
          <cell r="M17" t="str">
            <v>枪兵</v>
          </cell>
          <cell r="N17">
            <v>12001</v>
          </cell>
          <cell r="O17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7" t="str">
            <v>10,20,40,60,80</v>
          </cell>
          <cell r="Q17" t="str">
            <v>4,330,0,0,0,0</v>
          </cell>
          <cell r="R17" t="str">
            <v>4,480,5,420,0,0</v>
          </cell>
          <cell r="S17" t="str">
            <v>4,660,5,560,6,500</v>
          </cell>
          <cell r="T17" t="str">
            <v>4,840,5,720,6,620</v>
          </cell>
          <cell r="U17" t="str">
            <v>4,990,5,860,6,740</v>
          </cell>
          <cell r="V17">
            <v>30</v>
          </cell>
          <cell r="W17">
            <v>10</v>
          </cell>
          <cell r="X17">
            <v>21506</v>
          </cell>
          <cell r="Z17">
            <v>2442.8571428571422</v>
          </cell>
          <cell r="AA17">
            <v>290.81632653061217</v>
          </cell>
          <cell r="AB17">
            <v>70.159354646741818</v>
          </cell>
          <cell r="AC17">
            <v>8.3523041246121217</v>
          </cell>
          <cell r="AD17">
            <v>2954.5454545454545</v>
          </cell>
          <cell r="AE17">
            <v>270.83333333333331</v>
          </cell>
        </row>
        <row r="18">
          <cell r="A18" t="str">
            <v>典韦</v>
          </cell>
          <cell r="B18">
            <v>0</v>
          </cell>
          <cell r="C18">
            <v>6</v>
          </cell>
          <cell r="D18">
            <v>3</v>
          </cell>
          <cell r="E18">
            <v>1</v>
          </cell>
          <cell r="F18" t="str">
            <v>武官-杀将</v>
          </cell>
          <cell r="G18">
            <v>1.04</v>
          </cell>
          <cell r="H18">
            <v>1</v>
          </cell>
          <cell r="I18">
            <v>196.83288409703508</v>
          </cell>
          <cell r="J18">
            <v>70.79245283018868</v>
          </cell>
          <cell r="K18">
            <v>5.5749999999999993</v>
          </cell>
          <cell r="L18">
            <v>2.9249999999999998</v>
          </cell>
          <cell r="M18" t="str">
            <v>枪兵</v>
          </cell>
          <cell r="N18">
            <v>12009</v>
          </cell>
          <cell r="O18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8" t="str">
            <v>10,20,40,60,80</v>
          </cell>
          <cell r="Q18" t="str">
            <v>4,330,0,0,0,0</v>
          </cell>
          <cell r="R18" t="str">
            <v>4,480,5,420,0,0</v>
          </cell>
          <cell r="S18" t="str">
            <v>4,660,5,560,6,500</v>
          </cell>
          <cell r="T18" t="str">
            <v>4,840,5,720,6,620</v>
          </cell>
          <cell r="U18" t="str">
            <v>4,990,5,860,6,740</v>
          </cell>
          <cell r="V18">
            <v>30</v>
          </cell>
          <cell r="W18">
            <v>10</v>
          </cell>
          <cell r="X18">
            <v>21506</v>
          </cell>
          <cell r="Z18">
            <v>2442.8571428571422</v>
          </cell>
          <cell r="AA18">
            <v>290.81632653061217</v>
          </cell>
          <cell r="AB18">
            <v>70.159354646741818</v>
          </cell>
          <cell r="AC18">
            <v>8.3523041246121217</v>
          </cell>
          <cell r="AD18">
            <v>2636.3636363636365</v>
          </cell>
          <cell r="AE18">
            <v>241.66666666666666</v>
          </cell>
        </row>
        <row r="19">
          <cell r="A19" t="str">
            <v>张飞</v>
          </cell>
          <cell r="B19">
            <v>0</v>
          </cell>
          <cell r="C19">
            <v>6</v>
          </cell>
          <cell r="D19">
            <v>3</v>
          </cell>
          <cell r="E19">
            <v>1</v>
          </cell>
          <cell r="F19" t="str">
            <v>武官-杀将</v>
          </cell>
          <cell r="G19">
            <v>1.04</v>
          </cell>
          <cell r="H19">
            <v>1.05</v>
          </cell>
          <cell r="I19">
            <v>235.62021563342321</v>
          </cell>
          <cell r="J19">
            <v>64.159568733153648</v>
          </cell>
          <cell r="K19">
            <v>4.625</v>
          </cell>
          <cell r="L19">
            <v>2.4249999999999998</v>
          </cell>
          <cell r="M19" t="str">
            <v>步兵</v>
          </cell>
          <cell r="N19" t="str">
            <v>12001,12006</v>
          </cell>
          <cell r="O19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9" t="str">
            <v>10,20,40,60,80</v>
          </cell>
          <cell r="Q19" t="str">
            <v>4,330,0,0,0,0</v>
          </cell>
          <cell r="R19" t="str">
            <v>4,480,5,420,0,0</v>
          </cell>
          <cell r="S19" t="str">
            <v>4,660,5,560,6,500</v>
          </cell>
          <cell r="T19" t="str">
            <v>4,840,5,720,6,620</v>
          </cell>
          <cell r="U19" t="str">
            <v>4,990,5,860,6,740</v>
          </cell>
          <cell r="V19">
            <v>30</v>
          </cell>
          <cell r="W19">
            <v>10</v>
          </cell>
          <cell r="X19">
            <v>21503</v>
          </cell>
          <cell r="Z19">
            <v>2564.9999999999995</v>
          </cell>
          <cell r="AA19">
            <v>305.35714285714283</v>
          </cell>
          <cell r="AB19">
            <v>66.818432996896973</v>
          </cell>
          <cell r="AC19">
            <v>7.9545753567734501</v>
          </cell>
          <cell r="AD19">
            <v>2636.3636363636365</v>
          </cell>
          <cell r="AE19">
            <v>241.66666666666666</v>
          </cell>
        </row>
        <row r="20">
          <cell r="A20" t="str">
            <v>曹操</v>
          </cell>
          <cell r="B20">
            <v>0</v>
          </cell>
          <cell r="C20">
            <v>6</v>
          </cell>
          <cell r="D20">
            <v>3</v>
          </cell>
          <cell r="E20">
            <v>1</v>
          </cell>
          <cell r="F20" t="str">
            <v>武官-砍将</v>
          </cell>
          <cell r="G20">
            <v>1.03</v>
          </cell>
          <cell r="H20">
            <v>1</v>
          </cell>
          <cell r="I20">
            <v>198.84150943396227</v>
          </cell>
          <cell r="J20">
            <v>68.869002695417791</v>
          </cell>
          <cell r="K20">
            <v>6.1249999999999991</v>
          </cell>
          <cell r="L20">
            <v>3.4749999999999996</v>
          </cell>
          <cell r="M20" t="str">
            <v>枪兵</v>
          </cell>
          <cell r="N20" t="str">
            <v>12004,12020</v>
          </cell>
          <cell r="O20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0" t="str">
            <v>10,20,40,60,80</v>
          </cell>
          <cell r="Q20" t="str">
            <v>4,330,0,0,0,0</v>
          </cell>
          <cell r="R20" t="str">
            <v>4,480,5,420,0,0</v>
          </cell>
          <cell r="S20" t="str">
            <v>4,660,5,560,6,500</v>
          </cell>
          <cell r="T20" t="str">
            <v>4,840,5,720,6,620</v>
          </cell>
          <cell r="U20" t="str">
            <v>4,990,5,860,6,740</v>
          </cell>
          <cell r="V20">
            <v>30</v>
          </cell>
          <cell r="W20">
            <v>10</v>
          </cell>
          <cell r="X20">
            <v>21506</v>
          </cell>
          <cell r="Z20">
            <v>2442.8571428571422</v>
          </cell>
          <cell r="AA20">
            <v>290.81632653061217</v>
          </cell>
          <cell r="AB20">
            <v>70.159354646741818</v>
          </cell>
          <cell r="AC20">
            <v>8.3523041246121217</v>
          </cell>
          <cell r="AD20">
            <v>2318.181818181818</v>
          </cell>
          <cell r="AE20">
            <v>212.5</v>
          </cell>
        </row>
        <row r="21">
          <cell r="A21" t="str">
            <v>刘备</v>
          </cell>
          <cell r="B21">
            <v>0</v>
          </cell>
          <cell r="C21">
            <v>6</v>
          </cell>
          <cell r="D21">
            <v>3</v>
          </cell>
          <cell r="E21">
            <v>1</v>
          </cell>
          <cell r="F21" t="str">
            <v>武官-砍将</v>
          </cell>
          <cell r="G21">
            <v>1.03</v>
          </cell>
          <cell r="H21">
            <v>1.05</v>
          </cell>
          <cell r="I21">
            <v>230.97331536388145</v>
          </cell>
          <cell r="J21">
            <v>40.763342318059301</v>
          </cell>
          <cell r="K21">
            <v>5.375</v>
          </cell>
          <cell r="L21">
            <v>3.1749999999999998</v>
          </cell>
          <cell r="M21" t="str">
            <v>步兵</v>
          </cell>
          <cell r="N21" t="str">
            <v>12004,12006</v>
          </cell>
          <cell r="O21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1" t="str">
            <v>10,20,40,60,80</v>
          </cell>
          <cell r="Q21" t="str">
            <v>4,330,0,0,0,0</v>
          </cell>
          <cell r="R21" t="str">
            <v>4,480,5,420,0,0</v>
          </cell>
          <cell r="S21" t="str">
            <v>4,660,5,560,6,500</v>
          </cell>
          <cell r="T21" t="str">
            <v>4,840,5,720,6,620</v>
          </cell>
          <cell r="U21" t="str">
            <v>4,990,5,860,6,740</v>
          </cell>
          <cell r="V21">
            <v>30</v>
          </cell>
          <cell r="W21">
            <v>10</v>
          </cell>
          <cell r="X21">
            <v>21503</v>
          </cell>
          <cell r="Z21">
            <v>2564.9999999999995</v>
          </cell>
          <cell r="AA21">
            <v>305.35714285714283</v>
          </cell>
          <cell r="AB21">
            <v>66.818432996896973</v>
          </cell>
          <cell r="AC21">
            <v>7.9545753567734501</v>
          </cell>
          <cell r="AD21">
            <v>2318.181818181818</v>
          </cell>
          <cell r="AE21">
            <v>212.5</v>
          </cell>
        </row>
        <row r="22">
          <cell r="A22" t="str">
            <v>孙权</v>
          </cell>
          <cell r="B22">
            <v>0</v>
          </cell>
          <cell r="C22">
            <v>6</v>
          </cell>
          <cell r="D22">
            <v>3</v>
          </cell>
          <cell r="E22">
            <v>1</v>
          </cell>
          <cell r="F22" t="str">
            <v>武官-砍将</v>
          </cell>
          <cell r="G22">
            <v>1.02</v>
          </cell>
          <cell r="H22">
            <v>1</v>
          </cell>
          <cell r="I22">
            <v>190.49919137466304</v>
          </cell>
          <cell r="J22">
            <v>81.464690026954173</v>
          </cell>
          <cell r="K22">
            <v>5.6249999999999991</v>
          </cell>
          <cell r="L22">
            <v>3.4249999999999998</v>
          </cell>
          <cell r="M22" t="str">
            <v>枪兵</v>
          </cell>
          <cell r="N22" t="str">
            <v>12004,12010</v>
          </cell>
          <cell r="O22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2" t="str">
            <v>10,20,40,60,80</v>
          </cell>
          <cell r="Q22" t="str">
            <v>4,330,0,0,0,0</v>
          </cell>
          <cell r="R22" t="str">
            <v>4,480,5,420,0,0</v>
          </cell>
          <cell r="S22" t="str">
            <v>4,660,5,560,6,500</v>
          </cell>
          <cell r="T22" t="str">
            <v>4,840,5,720,6,620</v>
          </cell>
          <cell r="U22" t="str">
            <v>4,990,5,860,6,740</v>
          </cell>
          <cell r="V22">
            <v>30</v>
          </cell>
          <cell r="W22">
            <v>10</v>
          </cell>
          <cell r="X22">
            <v>21506</v>
          </cell>
          <cell r="Z22">
            <v>2442.8571428571422</v>
          </cell>
          <cell r="AA22">
            <v>290.81632653061217</v>
          </cell>
          <cell r="AB22">
            <v>70.159354646741818</v>
          </cell>
          <cell r="AC22">
            <v>8.3523041246121217</v>
          </cell>
          <cell r="AD22">
            <v>2000</v>
          </cell>
          <cell r="AE22">
            <v>183.33333333333334</v>
          </cell>
        </row>
        <row r="23">
          <cell r="A23" t="str">
            <v>吕绮玲</v>
          </cell>
          <cell r="B23">
            <v>0</v>
          </cell>
          <cell r="C23">
            <v>6</v>
          </cell>
          <cell r="D23">
            <v>3</v>
          </cell>
          <cell r="E23">
            <v>1</v>
          </cell>
          <cell r="F23" t="str">
            <v>武官-杀将</v>
          </cell>
          <cell r="G23">
            <v>1.01</v>
          </cell>
          <cell r="H23">
            <v>1</v>
          </cell>
          <cell r="I23">
            <v>186.7509433962264</v>
          </cell>
          <cell r="J23">
            <v>78.245822102425876</v>
          </cell>
          <cell r="K23">
            <v>5.4249999999999998</v>
          </cell>
          <cell r="L23">
            <v>3.2250000000000005</v>
          </cell>
          <cell r="M23" t="str">
            <v>枪兵</v>
          </cell>
          <cell r="N23" t="str">
            <v>12005,12015</v>
          </cell>
          <cell r="O23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3" t="str">
            <v>10,20,40,60,80</v>
          </cell>
          <cell r="Q23" t="str">
            <v>4,330,0,0,0,0</v>
          </cell>
          <cell r="R23" t="str">
            <v>4,480,5,420,0,0</v>
          </cell>
          <cell r="S23" t="str">
            <v>4,660,5,560,6,500</v>
          </cell>
          <cell r="T23" t="str">
            <v>4,840,5,720,6,620</v>
          </cell>
          <cell r="U23" t="str">
            <v>4,990,5,860,6,740</v>
          </cell>
          <cell r="V23">
            <v>30</v>
          </cell>
          <cell r="W23">
            <v>10</v>
          </cell>
          <cell r="X23">
            <v>21506</v>
          </cell>
          <cell r="Z23">
            <v>2442.8571428571422</v>
          </cell>
          <cell r="AA23">
            <v>290.81632653061217</v>
          </cell>
          <cell r="AB23">
            <v>70.159354646741818</v>
          </cell>
          <cell r="AC23">
            <v>8.3523041246121217</v>
          </cell>
          <cell r="AD23">
            <v>1545.4545454545455</v>
          </cell>
          <cell r="AE23">
            <v>141.66666666666666</v>
          </cell>
        </row>
        <row r="24">
          <cell r="A24" t="str">
            <v>太史慈</v>
          </cell>
          <cell r="B24">
            <v>0</v>
          </cell>
          <cell r="C24">
            <v>6</v>
          </cell>
          <cell r="D24">
            <v>3</v>
          </cell>
          <cell r="E24">
            <v>1</v>
          </cell>
          <cell r="F24" t="str">
            <v>武官-杀将</v>
          </cell>
          <cell r="G24">
            <v>1</v>
          </cell>
          <cell r="H24">
            <v>1</v>
          </cell>
          <cell r="I24">
            <v>198.82884097035046</v>
          </cell>
          <cell r="J24">
            <v>73.665768194070083</v>
          </cell>
          <cell r="K24">
            <v>5.3749999999999991</v>
          </cell>
          <cell r="L24">
            <v>2.7249999999999996</v>
          </cell>
          <cell r="M24" t="str">
            <v>枪兵</v>
          </cell>
          <cell r="N24" t="str">
            <v>12003,12008</v>
          </cell>
          <cell r="O24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4" t="str">
            <v>10,20,40,60,80</v>
          </cell>
          <cell r="Q24" t="str">
            <v>4,330,0,0,0,0</v>
          </cell>
          <cell r="R24" t="str">
            <v>4,480,5,420,0,0</v>
          </cell>
          <cell r="S24" t="str">
            <v>4,660,5,560,6,500</v>
          </cell>
          <cell r="T24" t="str">
            <v>4,840,5,720,6,620</v>
          </cell>
          <cell r="U24" t="str">
            <v>4,990,5,860,6,740</v>
          </cell>
          <cell r="V24">
            <v>30</v>
          </cell>
          <cell r="W24">
            <v>10</v>
          </cell>
          <cell r="X24">
            <v>21506</v>
          </cell>
          <cell r="Z24">
            <v>2442.8571428571422</v>
          </cell>
          <cell r="AA24">
            <v>290.81632653061217</v>
          </cell>
          <cell r="AB24">
            <v>70.159354646741818</v>
          </cell>
          <cell r="AC24">
            <v>8.3523041246121217</v>
          </cell>
          <cell r="AD24">
            <v>1090.909090909091</v>
          </cell>
          <cell r="AE24">
            <v>100</v>
          </cell>
        </row>
        <row r="25">
          <cell r="A25" t="str">
            <v>周瑜</v>
          </cell>
          <cell r="B25">
            <v>0</v>
          </cell>
          <cell r="C25">
            <v>5</v>
          </cell>
          <cell r="D25">
            <v>3</v>
          </cell>
          <cell r="E25">
            <v>0</v>
          </cell>
          <cell r="F25" t="str">
            <v>武官-杀将</v>
          </cell>
          <cell r="G25">
            <v>1.06</v>
          </cell>
          <cell r="H25">
            <v>1</v>
          </cell>
          <cell r="I25">
            <v>150.29703504043124</v>
          </cell>
          <cell r="J25">
            <v>69.21940700808625</v>
          </cell>
          <cell r="K25">
            <v>5.8249999999999993</v>
          </cell>
          <cell r="L25">
            <v>3.2750000000000004</v>
          </cell>
          <cell r="M25" t="str">
            <v>步兵</v>
          </cell>
          <cell r="N25" t="str">
            <v>12003,12012</v>
          </cell>
          <cell r="O25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5" t="str">
            <v>10,20,40,60,80</v>
          </cell>
          <cell r="Q25" t="str">
            <v>4,330,0,0,0,0</v>
          </cell>
          <cell r="R25" t="str">
            <v>4,480,5,420,0,0</v>
          </cell>
          <cell r="S25" t="str">
            <v>4,660,5,560,6,500</v>
          </cell>
          <cell r="T25" t="str">
            <v>4,840,5,720,6,620</v>
          </cell>
          <cell r="U25" t="str">
            <v>4,990,5,860,6,740</v>
          </cell>
          <cell r="V25">
            <v>30</v>
          </cell>
          <cell r="W25">
            <v>10</v>
          </cell>
          <cell r="X25">
            <v>21503</v>
          </cell>
          <cell r="Z25">
            <v>2314.2857142857138</v>
          </cell>
          <cell r="AA25">
            <v>275.51020408163259</v>
          </cell>
          <cell r="AB25">
            <v>66.466757033755414</v>
          </cell>
          <cell r="AC25">
            <v>7.9127091706851687</v>
          </cell>
          <cell r="AD25">
            <v>450</v>
          </cell>
          <cell r="AE25">
            <v>41.25</v>
          </cell>
        </row>
        <row r="26">
          <cell r="A26" t="str">
            <v>张辽</v>
          </cell>
          <cell r="B26">
            <v>0</v>
          </cell>
          <cell r="C26">
            <v>5</v>
          </cell>
          <cell r="D26">
            <v>3</v>
          </cell>
          <cell r="E26">
            <v>1</v>
          </cell>
          <cell r="F26" t="str">
            <v>武官-杀将</v>
          </cell>
          <cell r="G26">
            <v>1.03</v>
          </cell>
          <cell r="H26">
            <v>1</v>
          </cell>
          <cell r="I26">
            <v>164.42884097035042</v>
          </cell>
          <cell r="J26">
            <v>64.181132075471695</v>
          </cell>
          <cell r="K26">
            <v>5.5249999999999995</v>
          </cell>
          <cell r="L26">
            <v>2.9750000000000005</v>
          </cell>
          <cell r="M26" t="str">
            <v>枪兵</v>
          </cell>
          <cell r="N26" t="str">
            <v>12002,12037</v>
          </cell>
          <cell r="O26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6" t="str">
            <v>10,20,40,60,80</v>
          </cell>
          <cell r="Q26" t="str">
            <v>4,330,0,0,0,0</v>
          </cell>
          <cell r="R26" t="str">
            <v>4,480,5,420,0,0</v>
          </cell>
          <cell r="S26" t="str">
            <v>4,660,5,560,6,500</v>
          </cell>
          <cell r="T26" t="str">
            <v>4,840,5,720,6,620</v>
          </cell>
          <cell r="U26" t="str">
            <v>4,990,5,860,6,740</v>
          </cell>
          <cell r="V26">
            <v>30</v>
          </cell>
          <cell r="W26">
            <v>10</v>
          </cell>
          <cell r="X26">
            <v>21506</v>
          </cell>
          <cell r="Z26">
            <v>2314.2857142857138</v>
          </cell>
          <cell r="AA26">
            <v>275.51020408163259</v>
          </cell>
          <cell r="AB26">
            <v>66.466757033755414</v>
          </cell>
          <cell r="AC26">
            <v>7.9127091706851687</v>
          </cell>
          <cell r="AD26">
            <v>240</v>
          </cell>
          <cell r="AE26">
            <v>22</v>
          </cell>
        </row>
        <row r="27">
          <cell r="A27" t="str">
            <v>夏侯惇</v>
          </cell>
          <cell r="B27">
            <v>0</v>
          </cell>
          <cell r="C27">
            <v>5</v>
          </cell>
          <cell r="D27">
            <v>3</v>
          </cell>
          <cell r="E27">
            <v>1</v>
          </cell>
          <cell r="F27" t="str">
            <v>武官-杀将</v>
          </cell>
          <cell r="G27">
            <v>1.03</v>
          </cell>
          <cell r="H27">
            <v>1.05</v>
          </cell>
          <cell r="I27">
            <v>220.0080862533693</v>
          </cell>
          <cell r="J27">
            <v>48.520215633423184</v>
          </cell>
          <cell r="K27">
            <v>4.7</v>
          </cell>
          <cell r="L27">
            <v>2.1500000000000004</v>
          </cell>
          <cell r="M27" t="str">
            <v>步兵</v>
          </cell>
          <cell r="N27">
            <v>12014</v>
          </cell>
          <cell r="O2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7" t="str">
            <v>10,20,40,60,80</v>
          </cell>
          <cell r="Q27" t="str">
            <v>4,330,0,0,0,0</v>
          </cell>
          <cell r="R27" t="str">
            <v>4,480,5,420,0,0</v>
          </cell>
          <cell r="S27" t="str">
            <v>4,660,5,560,6,500</v>
          </cell>
          <cell r="T27" t="str">
            <v>4,840,5,720,6,620</v>
          </cell>
          <cell r="U27" t="str">
            <v>4,990,5,860,6,740</v>
          </cell>
          <cell r="V27">
            <v>30</v>
          </cell>
          <cell r="W27">
            <v>10</v>
          </cell>
          <cell r="X27">
            <v>21503</v>
          </cell>
          <cell r="Z27">
            <v>2429.9999999999995</v>
          </cell>
          <cell r="AA27">
            <v>289.28571428571428</v>
          </cell>
          <cell r="AB27">
            <v>63.301673365481342</v>
          </cell>
          <cell r="AC27">
            <v>7.5359134958906369</v>
          </cell>
          <cell r="AD27">
            <v>240</v>
          </cell>
          <cell r="AE27">
            <v>22</v>
          </cell>
        </row>
        <row r="28">
          <cell r="A28" t="str">
            <v>姜维</v>
          </cell>
          <cell r="B28">
            <v>0</v>
          </cell>
          <cell r="C28">
            <v>5</v>
          </cell>
          <cell r="D28">
            <v>3</v>
          </cell>
          <cell r="E28">
            <v>1</v>
          </cell>
          <cell r="F28" t="str">
            <v>武官-杀将</v>
          </cell>
          <cell r="G28">
            <v>1.02</v>
          </cell>
          <cell r="H28">
            <v>1</v>
          </cell>
          <cell r="I28">
            <v>148.27789757412398</v>
          </cell>
          <cell r="J28">
            <v>76.776819407008077</v>
          </cell>
          <cell r="K28">
            <v>5.5249999999999995</v>
          </cell>
          <cell r="L28">
            <v>2.9750000000000005</v>
          </cell>
          <cell r="M28" t="str">
            <v>枪兵</v>
          </cell>
          <cell r="N28" t="str">
            <v>12017,12038</v>
          </cell>
          <cell r="O2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8" t="str">
            <v>10,20,40,60,80</v>
          </cell>
          <cell r="Q28" t="str">
            <v>4,330,0,0,0,0</v>
          </cell>
          <cell r="R28" t="str">
            <v>4,480,5,420,0,0</v>
          </cell>
          <cell r="S28" t="str">
            <v>4,660,5,560,6,500</v>
          </cell>
          <cell r="T28" t="str">
            <v>4,840,5,720,6,620</v>
          </cell>
          <cell r="U28" t="str">
            <v>4,990,5,860,6,740</v>
          </cell>
          <cell r="V28">
            <v>30</v>
          </cell>
          <cell r="W28">
            <v>10</v>
          </cell>
          <cell r="X28">
            <v>21506</v>
          </cell>
          <cell r="Z28">
            <v>2314.2857142857138</v>
          </cell>
          <cell r="AA28">
            <v>275.51020408163259</v>
          </cell>
          <cell r="AB28">
            <v>66.466757033755414</v>
          </cell>
          <cell r="AC28">
            <v>7.9127091706851687</v>
          </cell>
          <cell r="AD28">
            <v>230</v>
          </cell>
          <cell r="AE28">
            <v>21.083333333333332</v>
          </cell>
        </row>
        <row r="29">
          <cell r="A29" t="str">
            <v>孙坚</v>
          </cell>
          <cell r="B29">
            <v>0</v>
          </cell>
          <cell r="C29">
            <v>5</v>
          </cell>
          <cell r="D29">
            <v>3</v>
          </cell>
          <cell r="E29">
            <v>1</v>
          </cell>
          <cell r="F29" t="str">
            <v>武官-杀将</v>
          </cell>
          <cell r="G29">
            <v>1.02</v>
          </cell>
          <cell r="H29">
            <v>1.05</v>
          </cell>
          <cell r="I29">
            <v>210.91051212938004</v>
          </cell>
          <cell r="J29">
            <v>50.443665768194073</v>
          </cell>
          <cell r="K29">
            <v>4.8499999999999996</v>
          </cell>
          <cell r="L29">
            <v>2.2999999999999998</v>
          </cell>
          <cell r="M29" t="str">
            <v>步兵</v>
          </cell>
          <cell r="N29">
            <v>12010</v>
          </cell>
          <cell r="O29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9" t="str">
            <v>10,20,40,60,80</v>
          </cell>
          <cell r="Q29" t="str">
            <v>4,330,0,0,0,0</v>
          </cell>
          <cell r="R29" t="str">
            <v>4,480,5,420,0,0</v>
          </cell>
          <cell r="S29" t="str">
            <v>4,660,5,560,6,500</v>
          </cell>
          <cell r="T29" t="str">
            <v>4,840,5,720,6,620</v>
          </cell>
          <cell r="U29" t="str">
            <v>4,990,5,860,6,740</v>
          </cell>
          <cell r="V29">
            <v>30</v>
          </cell>
          <cell r="W29">
            <v>10</v>
          </cell>
          <cell r="X29">
            <v>21503</v>
          </cell>
          <cell r="Z29">
            <v>2429.9999999999995</v>
          </cell>
          <cell r="AA29">
            <v>289.28571428571428</v>
          </cell>
          <cell r="AB29">
            <v>63.301673365481342</v>
          </cell>
          <cell r="AC29">
            <v>7.5359134958906369</v>
          </cell>
          <cell r="AD29">
            <v>230</v>
          </cell>
          <cell r="AE29">
            <v>21.083333333333332</v>
          </cell>
        </row>
        <row r="30">
          <cell r="A30" t="str">
            <v>孙策</v>
          </cell>
          <cell r="B30">
            <v>0</v>
          </cell>
          <cell r="C30">
            <v>5</v>
          </cell>
          <cell r="D30">
            <v>3</v>
          </cell>
          <cell r="E30">
            <v>1</v>
          </cell>
          <cell r="F30" t="str">
            <v>武官-砍将</v>
          </cell>
          <cell r="G30">
            <v>1.01</v>
          </cell>
          <cell r="H30">
            <v>1</v>
          </cell>
          <cell r="I30">
            <v>150.29703504043124</v>
          </cell>
          <cell r="J30">
            <v>69.21940700808625</v>
          </cell>
          <cell r="K30">
            <v>5.8249999999999993</v>
          </cell>
          <cell r="L30">
            <v>3.2750000000000004</v>
          </cell>
          <cell r="M30" t="str">
            <v>枪兵</v>
          </cell>
          <cell r="N30" t="str">
            <v>12008,12010</v>
          </cell>
          <cell r="O30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0" t="str">
            <v>10,20,40,60,80</v>
          </cell>
          <cell r="Q30" t="str">
            <v>4,330,0,0,0,0</v>
          </cell>
          <cell r="R30" t="str">
            <v>4,480,5,420,0,0</v>
          </cell>
          <cell r="S30" t="str">
            <v>4,660,5,560,6,500</v>
          </cell>
          <cell r="T30" t="str">
            <v>4,840,5,720,6,620</v>
          </cell>
          <cell r="U30" t="str">
            <v>4,990,5,860,6,740</v>
          </cell>
          <cell r="V30">
            <v>30</v>
          </cell>
          <cell r="W30">
            <v>10</v>
          </cell>
          <cell r="X30">
            <v>21506</v>
          </cell>
          <cell r="Z30">
            <v>2314.2857142857138</v>
          </cell>
          <cell r="AA30">
            <v>275.51020408163259</v>
          </cell>
          <cell r="AB30">
            <v>66.466757033755414</v>
          </cell>
          <cell r="AC30">
            <v>7.9127091706851687</v>
          </cell>
          <cell r="AD30">
            <v>220</v>
          </cell>
          <cell r="AE30">
            <v>20.166666666666668</v>
          </cell>
        </row>
        <row r="31">
          <cell r="A31" t="str">
            <v>袁绍</v>
          </cell>
          <cell r="B31">
            <v>0</v>
          </cell>
          <cell r="C31">
            <v>5</v>
          </cell>
          <cell r="D31">
            <v>3</v>
          </cell>
          <cell r="E31">
            <v>1</v>
          </cell>
          <cell r="F31" t="str">
            <v>武官-杀将</v>
          </cell>
          <cell r="G31">
            <v>1</v>
          </cell>
          <cell r="H31">
            <v>1</v>
          </cell>
          <cell r="I31">
            <v>142.63099730458219</v>
          </cell>
          <cell r="J31">
            <v>68.47762803234501</v>
          </cell>
          <cell r="K31">
            <v>5.8749999999999991</v>
          </cell>
          <cell r="L31">
            <v>3.3250000000000002</v>
          </cell>
          <cell r="M31" t="str">
            <v>枪兵</v>
          </cell>
          <cell r="N31" t="str">
            <v>12030,12031</v>
          </cell>
          <cell r="O31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1" t="str">
            <v>10,20,40,60,80</v>
          </cell>
          <cell r="Q31" t="str">
            <v>4,330,0,0,0,0</v>
          </cell>
          <cell r="R31" t="str">
            <v>4,480,5,420,0,0</v>
          </cell>
          <cell r="S31" t="str">
            <v>4,660,5,560,6,500</v>
          </cell>
          <cell r="T31" t="str">
            <v>4,840,5,720,6,620</v>
          </cell>
          <cell r="U31" t="str">
            <v>4,990,5,860,6,740</v>
          </cell>
          <cell r="V31">
            <v>30</v>
          </cell>
          <cell r="W31">
            <v>10</v>
          </cell>
          <cell r="X31">
            <v>21506</v>
          </cell>
          <cell r="Z31">
            <v>2314.2857142857138</v>
          </cell>
          <cell r="AA31">
            <v>275.51020408163259</v>
          </cell>
          <cell r="AB31">
            <v>66.466757033755414</v>
          </cell>
          <cell r="AC31">
            <v>7.9127091706851687</v>
          </cell>
          <cell r="AD31">
            <v>210</v>
          </cell>
          <cell r="AE31">
            <v>19.25</v>
          </cell>
        </row>
        <row r="32">
          <cell r="A32" t="str">
            <v>赵云</v>
          </cell>
          <cell r="B32">
            <v>0</v>
          </cell>
          <cell r="C32">
            <v>4</v>
          </cell>
          <cell r="D32">
            <v>3</v>
          </cell>
          <cell r="E32">
            <v>1</v>
          </cell>
          <cell r="F32" t="str">
            <v>武官-杀将</v>
          </cell>
          <cell r="G32">
            <v>1.03</v>
          </cell>
          <cell r="H32">
            <v>1</v>
          </cell>
          <cell r="I32">
            <v>148.20673854447438</v>
          </cell>
          <cell r="J32">
            <v>69.21940700808625</v>
          </cell>
          <cell r="K32">
            <v>5.7249999999999996</v>
          </cell>
          <cell r="L32">
            <v>3.1749999999999998</v>
          </cell>
          <cell r="M32" t="str">
            <v>枪兵</v>
          </cell>
          <cell r="N32" t="str">
            <v>12001,12013</v>
          </cell>
          <cell r="O32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2" t="str">
            <v>10,20,40,60,80</v>
          </cell>
          <cell r="Q32" t="str">
            <v>4,330,0,0,0,0</v>
          </cell>
          <cell r="R32" t="str">
            <v>4,480,5,420,0,0</v>
          </cell>
          <cell r="S32" t="str">
            <v>4,660,5,560,6,500</v>
          </cell>
          <cell r="T32" t="str">
            <v>4,840,5,720,6,620</v>
          </cell>
          <cell r="U32" t="str">
            <v>4,990,5,860,6,740</v>
          </cell>
          <cell r="V32">
            <v>30</v>
          </cell>
          <cell r="W32">
            <v>10</v>
          </cell>
          <cell r="X32">
            <v>21506</v>
          </cell>
          <cell r="Z32">
            <v>2185.7142857142849</v>
          </cell>
          <cell r="AA32">
            <v>260.20408163265296</v>
          </cell>
          <cell r="AB32">
            <v>62.774159420768996</v>
          </cell>
          <cell r="AC32">
            <v>7.4731142167582139</v>
          </cell>
          <cell r="AD32">
            <v>200</v>
          </cell>
          <cell r="AE32">
            <v>18.333333333333332</v>
          </cell>
        </row>
        <row r="33">
          <cell r="A33" t="str">
            <v>许褚</v>
          </cell>
          <cell r="B33">
            <v>0</v>
          </cell>
          <cell r="C33">
            <v>4</v>
          </cell>
          <cell r="D33">
            <v>3</v>
          </cell>
          <cell r="E33">
            <v>1</v>
          </cell>
          <cell r="F33" t="str">
            <v>武官-杀将</v>
          </cell>
          <cell r="G33">
            <v>1.03</v>
          </cell>
          <cell r="H33">
            <v>1.05</v>
          </cell>
          <cell r="I33">
            <v>199.16010781671162</v>
          </cell>
          <cell r="J33">
            <v>50.269002695417782</v>
          </cell>
          <cell r="K33">
            <v>4.95</v>
          </cell>
          <cell r="L33">
            <v>2.3999999999999995</v>
          </cell>
          <cell r="M33" t="str">
            <v>步兵</v>
          </cell>
          <cell r="N33" t="str">
            <v>12009,12013</v>
          </cell>
          <cell r="O33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3" t="str">
            <v>10,20,40,60,80</v>
          </cell>
          <cell r="Q33" t="str">
            <v>4,330,0,0,0,0</v>
          </cell>
          <cell r="R33" t="str">
            <v>4,480,5,420,0,0</v>
          </cell>
          <cell r="S33" t="str">
            <v>4,660,5,560,6,500</v>
          </cell>
          <cell r="T33" t="str">
            <v>4,840,5,720,6,620</v>
          </cell>
          <cell r="U33" t="str">
            <v>4,990,5,860,6,740</v>
          </cell>
          <cell r="V33">
            <v>30</v>
          </cell>
          <cell r="W33">
            <v>10</v>
          </cell>
          <cell r="X33">
            <v>21503</v>
          </cell>
          <cell r="Z33">
            <v>2294.9999999999991</v>
          </cell>
          <cell r="AA33">
            <v>273.21428571428561</v>
          </cell>
          <cell r="AB33">
            <v>59.784913734065711</v>
          </cell>
          <cell r="AC33">
            <v>7.1172516350078228</v>
          </cell>
          <cell r="AD33">
            <v>200</v>
          </cell>
          <cell r="AE33">
            <v>18.333333333333332</v>
          </cell>
        </row>
        <row r="34">
          <cell r="A34" t="str">
            <v>张郃</v>
          </cell>
          <cell r="B34">
            <v>0</v>
          </cell>
          <cell r="C34">
            <v>4</v>
          </cell>
          <cell r="D34">
            <v>3</v>
          </cell>
          <cell r="E34">
            <v>1</v>
          </cell>
          <cell r="F34" t="str">
            <v>武官-杀将</v>
          </cell>
          <cell r="G34">
            <v>1</v>
          </cell>
          <cell r="H34">
            <v>1</v>
          </cell>
          <cell r="I34">
            <v>151.10269541778973</v>
          </cell>
          <cell r="J34">
            <v>45.898113207547169</v>
          </cell>
          <cell r="K34">
            <v>5.7749999999999986</v>
          </cell>
          <cell r="L34">
            <v>3.3249999999999997</v>
          </cell>
          <cell r="M34" t="str">
            <v>枪兵</v>
          </cell>
          <cell r="N34" t="str">
            <v>12002,12031</v>
          </cell>
          <cell r="O34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4" t="str">
            <v>10,20,40,60,80</v>
          </cell>
          <cell r="Q34" t="str">
            <v>4,330,0,0,0,0</v>
          </cell>
          <cell r="R34" t="str">
            <v>4,480,5,420,0,0</v>
          </cell>
          <cell r="S34" t="str">
            <v>4,660,5,560,6,500</v>
          </cell>
          <cell r="T34" t="str">
            <v>4,840,5,720,6,620</v>
          </cell>
          <cell r="U34" t="str">
            <v>4,990,5,860,6,740</v>
          </cell>
          <cell r="V34">
            <v>30</v>
          </cell>
          <cell r="W34">
            <v>10</v>
          </cell>
          <cell r="X34">
            <v>21506</v>
          </cell>
          <cell r="Z34">
            <v>2185.7142857142849</v>
          </cell>
          <cell r="AA34">
            <v>260.20408163265296</v>
          </cell>
          <cell r="AB34">
            <v>62.774159420768996</v>
          </cell>
          <cell r="AC34">
            <v>7.4731142167582139</v>
          </cell>
          <cell r="AD34">
            <v>180</v>
          </cell>
          <cell r="AE34">
            <v>12.5</v>
          </cell>
        </row>
        <row r="35">
          <cell r="A35" t="str">
            <v>徐晃</v>
          </cell>
          <cell r="B35">
            <v>0</v>
          </cell>
          <cell r="C35">
            <v>4</v>
          </cell>
          <cell r="D35">
            <v>3</v>
          </cell>
          <cell r="E35">
            <v>1</v>
          </cell>
          <cell r="F35" t="str">
            <v>武官-杀将</v>
          </cell>
          <cell r="G35">
            <v>1</v>
          </cell>
          <cell r="H35">
            <v>1.05</v>
          </cell>
          <cell r="I35">
            <v>233.30512129380057</v>
          </cell>
          <cell r="J35">
            <v>40.81239892183288</v>
          </cell>
          <cell r="K35">
            <v>4.7</v>
          </cell>
          <cell r="L35">
            <v>2.1500000000000004</v>
          </cell>
          <cell r="M35" t="str">
            <v>步兵</v>
          </cell>
          <cell r="N35" t="str">
            <v>12002,12037</v>
          </cell>
          <cell r="O35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5" t="str">
            <v>10,20,40,60,80</v>
          </cell>
          <cell r="Q35" t="str">
            <v>4,330,0,0,0,0</v>
          </cell>
          <cell r="R35" t="str">
            <v>4,480,5,420,0,0</v>
          </cell>
          <cell r="S35" t="str">
            <v>4,660,5,560,6,500</v>
          </cell>
          <cell r="T35" t="str">
            <v>4,840,5,720,6,620</v>
          </cell>
          <cell r="U35" t="str">
            <v>4,990,5,860,6,740</v>
          </cell>
          <cell r="V35">
            <v>30</v>
          </cell>
          <cell r="W35">
            <v>10</v>
          </cell>
          <cell r="X35">
            <v>21503</v>
          </cell>
          <cell r="Z35">
            <v>2294.9999999999991</v>
          </cell>
          <cell r="AA35">
            <v>273.21428571428561</v>
          </cell>
          <cell r="AB35">
            <v>59.784913734065711</v>
          </cell>
          <cell r="AC35">
            <v>7.1172516350078228</v>
          </cell>
          <cell r="AD35">
            <v>180</v>
          </cell>
          <cell r="AE35">
            <v>12.5</v>
          </cell>
        </row>
        <row r="36">
          <cell r="A36" t="str">
            <v>黄忠</v>
          </cell>
          <cell r="B36">
            <v>1</v>
          </cell>
          <cell r="C36">
            <v>6</v>
          </cell>
          <cell r="D36">
            <v>3</v>
          </cell>
          <cell r="E36">
            <v>0</v>
          </cell>
          <cell r="F36" t="str">
            <v>射手-杀将</v>
          </cell>
          <cell r="G36">
            <v>1</v>
          </cell>
          <cell r="H36">
            <v>1</v>
          </cell>
          <cell r="I36">
            <v>185.7366576819407</v>
          </cell>
          <cell r="J36">
            <v>78.67412398921833</v>
          </cell>
          <cell r="K36">
            <v>3.8250000000000002</v>
          </cell>
          <cell r="L36">
            <v>4.9249999999999998</v>
          </cell>
          <cell r="M36" t="str">
            <v>弓兵</v>
          </cell>
          <cell r="N36">
            <v>12001</v>
          </cell>
          <cell r="O36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36" t="str">
            <v>10,20,40,60,80</v>
          </cell>
          <cell r="Q36" t="str">
            <v>4,330,0,0,0,0</v>
          </cell>
          <cell r="R36" t="str">
            <v>4,480,5,420,0,0</v>
          </cell>
          <cell r="S36" t="str">
            <v>4,660,5,560,6,500</v>
          </cell>
          <cell r="T36" t="str">
            <v>4,840,5,720,6,620</v>
          </cell>
          <cell r="U36" t="str">
            <v>4,990,5,860,6,740</v>
          </cell>
          <cell r="V36">
            <v>30</v>
          </cell>
          <cell r="W36">
            <v>10</v>
          </cell>
          <cell r="X36">
            <v>21509</v>
          </cell>
          <cell r="Z36">
            <v>1465.7142857142853</v>
          </cell>
          <cell r="AA36">
            <v>174.48979591836732</v>
          </cell>
          <cell r="AB36">
            <v>94.715128773101455</v>
          </cell>
          <cell r="AC36">
            <v>11.275610568226364</v>
          </cell>
          <cell r="AD36">
            <v>1090.909090909091</v>
          </cell>
          <cell r="AE36">
            <v>100</v>
          </cell>
        </row>
        <row r="37">
          <cell r="A37" t="str">
            <v>夏侯渊</v>
          </cell>
          <cell r="B37">
            <v>1</v>
          </cell>
          <cell r="C37">
            <v>5</v>
          </cell>
          <cell r="D37">
            <v>3</v>
          </cell>
          <cell r="E37">
            <v>0</v>
          </cell>
          <cell r="F37" t="str">
            <v>射手-杀将</v>
          </cell>
          <cell r="G37">
            <v>1.01</v>
          </cell>
          <cell r="H37">
            <v>1</v>
          </cell>
          <cell r="I37">
            <v>149.81644204851753</v>
          </cell>
          <cell r="J37">
            <v>75.866037735849048</v>
          </cell>
          <cell r="K37">
            <v>6</v>
          </cell>
          <cell r="L37">
            <v>3.4500000000000006</v>
          </cell>
          <cell r="M37" t="str">
            <v>弓兵</v>
          </cell>
          <cell r="N37" t="str">
            <v>12014,12037</v>
          </cell>
          <cell r="O3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7" t="str">
            <v>10,20,40,60,80</v>
          </cell>
          <cell r="Q37" t="str">
            <v>4,330,0,0,0,0</v>
          </cell>
          <cell r="R37" t="str">
            <v>4,480,5,420,0,0</v>
          </cell>
          <cell r="S37" t="str">
            <v>4,660,5,560,6,500</v>
          </cell>
          <cell r="T37" t="str">
            <v>4,840,5,720,6,620</v>
          </cell>
          <cell r="U37" t="str">
            <v>4,990,5,860,6,740</v>
          </cell>
          <cell r="V37">
            <v>30</v>
          </cell>
          <cell r="W37">
            <v>10</v>
          </cell>
          <cell r="X37">
            <v>21509</v>
          </cell>
          <cell r="Z37">
            <v>1388.5714285714282</v>
          </cell>
          <cell r="AA37">
            <v>165.30612244897955</v>
          </cell>
          <cell r="AB37">
            <v>89.730121995569817</v>
          </cell>
          <cell r="AC37">
            <v>10.682157380424979</v>
          </cell>
          <cell r="AD37">
            <v>220</v>
          </cell>
          <cell r="AE37">
            <v>20.166666666666668</v>
          </cell>
        </row>
        <row r="38">
          <cell r="A38" t="str">
            <v>甘宁</v>
          </cell>
          <cell r="B38">
            <v>1</v>
          </cell>
          <cell r="C38">
            <v>5</v>
          </cell>
          <cell r="D38">
            <v>3</v>
          </cell>
          <cell r="E38">
            <v>0</v>
          </cell>
          <cell r="F38" t="str">
            <v>武官-杀将</v>
          </cell>
          <cell r="G38">
            <v>1</v>
          </cell>
          <cell r="H38">
            <v>1</v>
          </cell>
          <cell r="I38">
            <v>150.44649595687332</v>
          </cell>
          <cell r="J38">
            <v>76.566172506738539</v>
          </cell>
          <cell r="K38">
            <v>5.4999999999999991</v>
          </cell>
          <cell r="L38">
            <v>2.9499999999999997</v>
          </cell>
          <cell r="M38" t="str">
            <v>弓兵</v>
          </cell>
          <cell r="N38" t="str">
            <v>12003,12032</v>
          </cell>
          <cell r="O3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8" t="str">
            <v>10,20,40,60,80</v>
          </cell>
          <cell r="Q38" t="str">
            <v>4,330,0,0,0,0</v>
          </cell>
          <cell r="R38" t="str">
            <v>4,480,5,420,0,0</v>
          </cell>
          <cell r="S38" t="str">
            <v>4,660,5,560,6,500</v>
          </cell>
          <cell r="T38" t="str">
            <v>4,840,5,720,6,620</v>
          </cell>
          <cell r="U38" t="str">
            <v>4,990,5,860,6,740</v>
          </cell>
          <cell r="V38">
            <v>30</v>
          </cell>
          <cell r="W38">
            <v>10</v>
          </cell>
          <cell r="X38">
            <v>21509</v>
          </cell>
          <cell r="Z38">
            <v>1388.5714285714282</v>
          </cell>
          <cell r="AA38">
            <v>165.30612244897955</v>
          </cell>
          <cell r="AB38">
            <v>89.730121995569817</v>
          </cell>
          <cell r="AC38">
            <v>10.682157380424979</v>
          </cell>
          <cell r="AD38">
            <v>210</v>
          </cell>
          <cell r="AE38">
            <v>19.25</v>
          </cell>
        </row>
        <row r="39">
          <cell r="A39" t="str">
            <v>孙尚香</v>
          </cell>
          <cell r="B39">
            <v>1</v>
          </cell>
          <cell r="C39">
            <v>4</v>
          </cell>
          <cell r="D39">
            <v>3</v>
          </cell>
          <cell r="E39">
            <v>0</v>
          </cell>
          <cell r="F39" t="str">
            <v>射手-杀将</v>
          </cell>
          <cell r="G39">
            <v>1.03</v>
          </cell>
          <cell r="H39">
            <v>1</v>
          </cell>
          <cell r="I39">
            <v>147.49932614555257</v>
          </cell>
          <cell r="J39">
            <v>87.535714285714292</v>
          </cell>
          <cell r="K39">
            <v>5.7250000000000005</v>
          </cell>
          <cell r="L39">
            <v>3.1749999999999998</v>
          </cell>
          <cell r="M39" t="str">
            <v>弓兵</v>
          </cell>
          <cell r="N39" t="str">
            <v>12010,12013</v>
          </cell>
          <cell r="O39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9" t="str">
            <v>10,20,40,60,80</v>
          </cell>
          <cell r="Q39" t="str">
            <v>4,330,0,0,0,0</v>
          </cell>
          <cell r="R39" t="str">
            <v>4,480,5,420,0,0</v>
          </cell>
          <cell r="S39" t="str">
            <v>4,660,5,560,6,500</v>
          </cell>
          <cell r="T39" t="str">
            <v>4,840,5,720,6,620</v>
          </cell>
          <cell r="U39" t="str">
            <v>4,990,5,860,6,740</v>
          </cell>
          <cell r="V39">
            <v>30</v>
          </cell>
          <cell r="W39">
            <v>10</v>
          </cell>
          <cell r="X39">
            <v>21509</v>
          </cell>
          <cell r="Z39">
            <v>1311.4285714285711</v>
          </cell>
          <cell r="AA39">
            <v>156.12244897959181</v>
          </cell>
          <cell r="AB39">
            <v>84.745115218038151</v>
          </cell>
          <cell r="AC39">
            <v>10.08870419262359</v>
          </cell>
          <cell r="AD39">
            <v>200</v>
          </cell>
          <cell r="AE39">
            <v>18.333333333333332</v>
          </cell>
        </row>
        <row r="40">
          <cell r="A40" t="str">
            <v>于禁</v>
          </cell>
          <cell r="B40">
            <v>1</v>
          </cell>
          <cell r="C40">
            <v>4</v>
          </cell>
          <cell r="D40">
            <v>3</v>
          </cell>
          <cell r="E40">
            <v>0</v>
          </cell>
          <cell r="F40" t="str">
            <v>武官-杀将</v>
          </cell>
          <cell r="G40">
            <v>1.01</v>
          </cell>
          <cell r="H40">
            <v>1</v>
          </cell>
          <cell r="I40">
            <v>154.74312668463611</v>
          </cell>
          <cell r="J40">
            <v>43.23288409703504</v>
          </cell>
          <cell r="K40">
            <v>5.8249999999999993</v>
          </cell>
          <cell r="L40">
            <v>3.3749999999999996</v>
          </cell>
          <cell r="M40" t="str">
            <v>弓兵</v>
          </cell>
          <cell r="N40" t="str">
            <v>12002,12035,12039</v>
          </cell>
          <cell r="O40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40" t="str">
            <v>10,20,40,60,80</v>
          </cell>
          <cell r="Q40" t="str">
            <v>4,330,0,0,0,0</v>
          </cell>
          <cell r="R40" t="str">
            <v>4,480,5,420,0,0</v>
          </cell>
          <cell r="S40" t="str">
            <v>4,660,5,560,6,500</v>
          </cell>
          <cell r="T40" t="str">
            <v>4,840,5,720,6,620</v>
          </cell>
          <cell r="U40" t="str">
            <v>4,990,5,860,6,740</v>
          </cell>
          <cell r="V40">
            <v>30</v>
          </cell>
          <cell r="W40">
            <v>10</v>
          </cell>
          <cell r="X40">
            <v>21509</v>
          </cell>
          <cell r="Z40">
            <v>1311.4285714285711</v>
          </cell>
          <cell r="AA40">
            <v>156.12244897959181</v>
          </cell>
          <cell r="AB40">
            <v>84.745115218038151</v>
          </cell>
          <cell r="AC40">
            <v>10.08870419262359</v>
          </cell>
          <cell r="AD40">
            <v>190</v>
          </cell>
          <cell r="AE40">
            <v>17.416666666666668</v>
          </cell>
        </row>
        <row r="41">
          <cell r="A41" t="str">
            <v>乐进</v>
          </cell>
          <cell r="B41">
            <v>1</v>
          </cell>
          <cell r="C41">
            <v>4</v>
          </cell>
          <cell r="D41">
            <v>3</v>
          </cell>
          <cell r="E41">
            <v>0</v>
          </cell>
          <cell r="G41">
            <v>1</v>
          </cell>
          <cell r="H41">
            <v>1</v>
          </cell>
          <cell r="I41">
            <v>150.87021563342319</v>
          </cell>
          <cell r="J41">
            <v>77.413611859838269</v>
          </cell>
          <cell r="K41">
            <v>5.4999999999999991</v>
          </cell>
          <cell r="L41">
            <v>2.9499999999999997</v>
          </cell>
          <cell r="M41" t="str">
            <v>弓兵</v>
          </cell>
          <cell r="N41" t="str">
            <v>12002,12039</v>
          </cell>
          <cell r="O41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41" t="str">
            <v>10,20,40,60,80</v>
          </cell>
          <cell r="Q41" t="str">
            <v>4,330,0,0,0,0</v>
          </cell>
          <cell r="R41" t="str">
            <v>4,480,5,420,0,0</v>
          </cell>
          <cell r="S41" t="str">
            <v>4,660,5,560,6,500</v>
          </cell>
          <cell r="T41" t="str">
            <v>4,840,5,720,6,620</v>
          </cell>
          <cell r="U41" t="str">
            <v>4,990,5,860,6,740</v>
          </cell>
          <cell r="V41">
            <v>30</v>
          </cell>
          <cell r="W41">
            <v>10</v>
          </cell>
          <cell r="X41">
            <v>21509</v>
          </cell>
          <cell r="Z41">
            <v>1311.4285714285711</v>
          </cell>
          <cell r="AA41">
            <v>156.12244897959181</v>
          </cell>
          <cell r="AB41">
            <v>84.745115218038151</v>
          </cell>
          <cell r="AC41">
            <v>10.08870419262359</v>
          </cell>
          <cell r="AD41">
            <v>180</v>
          </cell>
          <cell r="AE41">
            <v>12.5</v>
          </cell>
        </row>
        <row r="42">
          <cell r="A42" t="str">
            <v>陈宫</v>
          </cell>
          <cell r="B42">
            <v>2</v>
          </cell>
          <cell r="C42">
            <v>3</v>
          </cell>
          <cell r="D42">
            <v>2</v>
          </cell>
          <cell r="E42">
            <v>0</v>
          </cell>
          <cell r="F42" t="str">
            <v>文官-杀兵</v>
          </cell>
          <cell r="G42">
            <v>1.05</v>
          </cell>
          <cell r="H42">
            <v>1</v>
          </cell>
          <cell r="I42">
            <v>82.241778975741241</v>
          </cell>
          <cell r="J42">
            <v>79.549595687331532</v>
          </cell>
          <cell r="K42">
            <v>4.4249999999999998</v>
          </cell>
          <cell r="L42">
            <v>6.4249999999999998</v>
          </cell>
          <cell r="M42" t="str">
            <v>法兵</v>
          </cell>
          <cell r="N42" t="str">
            <v>12022,12023</v>
          </cell>
          <cell r="O42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2" t="str">
            <v>10,20,40,60,80</v>
          </cell>
          <cell r="Q42" t="str">
            <v>4,150,0,0,0,0</v>
          </cell>
          <cell r="R42" t="str">
            <v>4,240,5,200,0,0</v>
          </cell>
          <cell r="S42" t="str">
            <v>4,330,5,280,6,240</v>
          </cell>
          <cell r="T42" t="str">
            <v>4,420,5,360,6,300</v>
          </cell>
          <cell r="U42" t="str">
            <v>4,480,5,420,6,360</v>
          </cell>
          <cell r="V42">
            <v>20</v>
          </cell>
          <cell r="W42">
            <v>8</v>
          </cell>
          <cell r="X42">
            <v>21511</v>
          </cell>
          <cell r="Z42">
            <v>1028.5714285714282</v>
          </cell>
          <cell r="AA42">
            <v>122.4489795918367</v>
          </cell>
          <cell r="AB42">
            <v>76.806030350117382</v>
          </cell>
          <cell r="AC42">
            <v>9.1435750416806414</v>
          </cell>
          <cell r="AD42">
            <v>20.183486238532112</v>
          </cell>
          <cell r="AE42">
            <v>2.3913043478260869</v>
          </cell>
        </row>
        <row r="43">
          <cell r="A43" t="str">
            <v>公孙婷</v>
          </cell>
          <cell r="B43">
            <v>2</v>
          </cell>
          <cell r="C43">
            <v>3</v>
          </cell>
          <cell r="D43">
            <v>2</v>
          </cell>
          <cell r="E43">
            <v>0</v>
          </cell>
          <cell r="G43">
            <v>1.04</v>
          </cell>
          <cell r="H43">
            <v>1</v>
          </cell>
          <cell r="I43">
            <v>75.580053908355794</v>
          </cell>
          <cell r="J43">
            <v>93.844743935309964</v>
          </cell>
          <cell r="K43">
            <v>4.3499999999999996</v>
          </cell>
          <cell r="L43">
            <v>6.35</v>
          </cell>
          <cell r="M43" t="str">
            <v>法兵</v>
          </cell>
          <cell r="N43">
            <v>12027</v>
          </cell>
          <cell r="O43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3" t="str">
            <v>10,20,40,60,80</v>
          </cell>
          <cell r="Q43" t="str">
            <v>4,150,0,0,0,0</v>
          </cell>
          <cell r="R43" t="str">
            <v>4,240,5,200,0,0</v>
          </cell>
          <cell r="S43" t="str">
            <v>4,330,5,280,6,240</v>
          </cell>
          <cell r="T43" t="str">
            <v>4,420,5,360,6,300</v>
          </cell>
          <cell r="U43" t="str">
            <v>4,480,5,420,6,360</v>
          </cell>
          <cell r="V43">
            <v>20</v>
          </cell>
          <cell r="W43">
            <v>8</v>
          </cell>
          <cell r="X43">
            <v>21511</v>
          </cell>
          <cell r="Z43">
            <v>1028.5714285714282</v>
          </cell>
          <cell r="AA43">
            <v>122.4489795918367</v>
          </cell>
          <cell r="AB43">
            <v>76.806030350117382</v>
          </cell>
          <cell r="AC43">
            <v>9.1435750416806414</v>
          </cell>
          <cell r="AD43">
            <v>18.348623853211009</v>
          </cell>
          <cell r="AE43">
            <v>2.1739130434782608</v>
          </cell>
        </row>
        <row r="44">
          <cell r="A44" t="str">
            <v>徐庶</v>
          </cell>
          <cell r="B44">
            <v>2</v>
          </cell>
          <cell r="C44">
            <v>3</v>
          </cell>
          <cell r="D44">
            <v>2</v>
          </cell>
          <cell r="E44">
            <v>0</v>
          </cell>
          <cell r="F44" t="str">
            <v>文官-杀兵</v>
          </cell>
          <cell r="G44">
            <v>1.03</v>
          </cell>
          <cell r="H44">
            <v>1</v>
          </cell>
          <cell r="I44">
            <v>85.712129380053909</v>
          </cell>
          <cell r="J44">
            <v>81.614285714285714</v>
          </cell>
          <cell r="K44">
            <v>4.5249999999999995</v>
          </cell>
          <cell r="L44">
            <v>6.5249999999999995</v>
          </cell>
          <cell r="M44" t="str">
            <v>法兵</v>
          </cell>
          <cell r="N44" t="str">
            <v>12029,12033</v>
          </cell>
          <cell r="O4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4" t="str">
            <v>10,20,40,60,80</v>
          </cell>
          <cell r="Q44" t="str">
            <v>4,150,0,0,0,0</v>
          </cell>
          <cell r="R44" t="str">
            <v>4,240,5,200,0,0</v>
          </cell>
          <cell r="S44" t="str">
            <v>4,330,5,280,6,240</v>
          </cell>
          <cell r="T44" t="str">
            <v>4,420,5,360,6,300</v>
          </cell>
          <cell r="U44" t="str">
            <v>4,480,5,420,6,360</v>
          </cell>
          <cell r="V44">
            <v>20</v>
          </cell>
          <cell r="W44">
            <v>8</v>
          </cell>
          <cell r="X44">
            <v>21511</v>
          </cell>
          <cell r="Z44">
            <v>1028.5714285714282</v>
          </cell>
          <cell r="AA44">
            <v>122.4489795918367</v>
          </cell>
          <cell r="AB44">
            <v>76.806030350117382</v>
          </cell>
          <cell r="AC44">
            <v>9.1435750416806414</v>
          </cell>
          <cell r="AD44">
            <v>16.513761467889907</v>
          </cell>
          <cell r="AE44">
            <v>1.9565217391304348</v>
          </cell>
        </row>
        <row r="45">
          <cell r="A45" t="str">
            <v>张梁</v>
          </cell>
          <cell r="B45">
            <v>2</v>
          </cell>
          <cell r="C45">
            <v>3</v>
          </cell>
          <cell r="D45">
            <v>2</v>
          </cell>
          <cell r="E45">
            <v>0</v>
          </cell>
          <cell r="G45">
            <v>1.02</v>
          </cell>
          <cell r="H45">
            <v>1</v>
          </cell>
          <cell r="I45">
            <v>77.020754716981131</v>
          </cell>
          <cell r="J45">
            <v>89.298921832884091</v>
          </cell>
          <cell r="K45">
            <v>4.4000000000000004</v>
          </cell>
          <cell r="L45">
            <v>6.3999999999999986</v>
          </cell>
          <cell r="M45" t="str">
            <v>法兵</v>
          </cell>
          <cell r="N45">
            <v>12007</v>
          </cell>
          <cell r="O4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5" t="str">
            <v>10,20,40,60,80</v>
          </cell>
          <cell r="Q45" t="str">
            <v>4,150,0,0,0,0</v>
          </cell>
          <cell r="R45" t="str">
            <v>4,240,5,200,0,0</v>
          </cell>
          <cell r="S45" t="str">
            <v>4,330,5,280,6,240</v>
          </cell>
          <cell r="T45" t="str">
            <v>4,420,5,360,6,300</v>
          </cell>
          <cell r="U45" t="str">
            <v>4,480,5,420,6,360</v>
          </cell>
          <cell r="V45">
            <v>20</v>
          </cell>
          <cell r="W45">
            <v>8</v>
          </cell>
          <cell r="X45">
            <v>21511</v>
          </cell>
          <cell r="Z45">
            <v>1028.5714285714282</v>
          </cell>
          <cell r="AA45">
            <v>122.4489795918367</v>
          </cell>
          <cell r="AB45">
            <v>76.806030350117382</v>
          </cell>
          <cell r="AC45">
            <v>9.1435750416806414</v>
          </cell>
          <cell r="AD45">
            <v>14.678899082568808</v>
          </cell>
          <cell r="AE45">
            <v>1.7391304347826086</v>
          </cell>
        </row>
        <row r="46">
          <cell r="A46" t="str">
            <v>李儒</v>
          </cell>
          <cell r="B46">
            <v>2</v>
          </cell>
          <cell r="C46">
            <v>3</v>
          </cell>
          <cell r="D46">
            <v>2</v>
          </cell>
          <cell r="E46">
            <v>0</v>
          </cell>
          <cell r="F46" t="str">
            <v>文官-杀兵</v>
          </cell>
          <cell r="G46">
            <v>1.01</v>
          </cell>
          <cell r="H46">
            <v>1</v>
          </cell>
          <cell r="I46">
            <v>77.636657681940704</v>
          </cell>
          <cell r="J46">
            <v>85.490296495956869</v>
          </cell>
          <cell r="K46">
            <v>4.55</v>
          </cell>
          <cell r="L46">
            <v>6.55</v>
          </cell>
          <cell r="M46" t="str">
            <v>法兵</v>
          </cell>
          <cell r="N46" t="str">
            <v>12023,12026,12034</v>
          </cell>
          <cell r="O46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6" t="str">
            <v>10,20,40,60,80</v>
          </cell>
          <cell r="Q46" t="str">
            <v>4,150,0,0,0,0</v>
          </cell>
          <cell r="R46" t="str">
            <v>4,240,5,200,0,0</v>
          </cell>
          <cell r="S46" t="str">
            <v>4,330,5,280,6,240</v>
          </cell>
          <cell r="T46" t="str">
            <v>4,420,5,360,6,300</v>
          </cell>
          <cell r="U46" t="str">
            <v>4,480,5,420,6,360</v>
          </cell>
          <cell r="V46">
            <v>20</v>
          </cell>
          <cell r="W46">
            <v>8</v>
          </cell>
          <cell r="X46">
            <v>21511</v>
          </cell>
          <cell r="Z46">
            <v>1028.5714285714282</v>
          </cell>
          <cell r="AA46">
            <v>122.4489795918367</v>
          </cell>
          <cell r="AB46">
            <v>76.806030350117382</v>
          </cell>
          <cell r="AC46">
            <v>9.1435750416806414</v>
          </cell>
          <cell r="AD46">
            <v>12.844036697247706</v>
          </cell>
          <cell r="AE46">
            <v>1.5217391304347827</v>
          </cell>
        </row>
        <row r="47">
          <cell r="A47" t="str">
            <v>张昭</v>
          </cell>
          <cell r="B47">
            <v>2</v>
          </cell>
          <cell r="C47">
            <v>3</v>
          </cell>
          <cell r="D47">
            <v>2</v>
          </cell>
          <cell r="E47">
            <v>0</v>
          </cell>
          <cell r="F47" t="str">
            <v>文官-招兵</v>
          </cell>
          <cell r="G47">
            <v>1</v>
          </cell>
          <cell r="H47">
            <v>1</v>
          </cell>
          <cell r="I47">
            <v>87.271428571428558</v>
          </cell>
          <cell r="J47">
            <v>84.490296495956869</v>
          </cell>
          <cell r="K47">
            <v>4.4249999999999989</v>
          </cell>
          <cell r="L47">
            <v>6.4249999999999989</v>
          </cell>
          <cell r="M47" t="str">
            <v>法兵</v>
          </cell>
          <cell r="N47" t="str">
            <v>12022,12034</v>
          </cell>
          <cell r="O47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7" t="str">
            <v>10,20,40,60,80</v>
          </cell>
          <cell r="Q47" t="str">
            <v>4,150,0,0,0,0</v>
          </cell>
          <cell r="R47" t="str">
            <v>4,240,5,200,0,0</v>
          </cell>
          <cell r="S47" t="str">
            <v>4,330,5,280,6,240</v>
          </cell>
          <cell r="T47" t="str">
            <v>4,420,5,360,6,300</v>
          </cell>
          <cell r="U47" t="str">
            <v>4,480,5,420,6,360</v>
          </cell>
          <cell r="V47">
            <v>20</v>
          </cell>
          <cell r="W47">
            <v>8</v>
          </cell>
          <cell r="X47">
            <v>21511</v>
          </cell>
          <cell r="Z47">
            <v>1028.5714285714282</v>
          </cell>
          <cell r="AA47">
            <v>122.4489795918367</v>
          </cell>
          <cell r="AB47">
            <v>76.806030350117382</v>
          </cell>
          <cell r="AC47">
            <v>9.1435750416806414</v>
          </cell>
          <cell r="AD47">
            <v>11.009174311926605</v>
          </cell>
          <cell r="AE47">
            <v>1.3043478260869565</v>
          </cell>
        </row>
        <row r="48">
          <cell r="A48" t="str">
            <v>李肃</v>
          </cell>
          <cell r="B48">
            <v>2</v>
          </cell>
          <cell r="C48">
            <v>2</v>
          </cell>
          <cell r="D48">
            <v>1</v>
          </cell>
          <cell r="E48">
            <v>0</v>
          </cell>
          <cell r="F48" t="str">
            <v>射手-杀将</v>
          </cell>
          <cell r="G48">
            <v>1.05</v>
          </cell>
          <cell r="H48">
            <v>1</v>
          </cell>
          <cell r="I48">
            <v>69.887331536388146</v>
          </cell>
          <cell r="J48">
            <v>73.991644204851752</v>
          </cell>
          <cell r="K48">
            <v>3.9999999999999996</v>
          </cell>
          <cell r="L48">
            <v>5.3999999999999986</v>
          </cell>
          <cell r="M48" t="str">
            <v>法兵</v>
          </cell>
          <cell r="N48" t="str">
            <v/>
          </cell>
          <cell r="O48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48" t="str">
            <v>10,20,40,60,80</v>
          </cell>
          <cell r="Q48" t="str">
            <v>4,120,0,0,0,0</v>
          </cell>
          <cell r="R48" t="str">
            <v>4,180,5,160,0,0</v>
          </cell>
          <cell r="S48" t="str">
            <v>4,270,5,220,6,200</v>
          </cell>
          <cell r="T48" t="str">
            <v>4,330,5,280,6,240</v>
          </cell>
          <cell r="U48" t="str">
            <v>4,390,5,340,6,300</v>
          </cell>
          <cell r="V48">
            <v>10</v>
          </cell>
          <cell r="W48">
            <v>6</v>
          </cell>
          <cell r="X48">
            <v>21510</v>
          </cell>
          <cell r="Z48">
            <v>964.28571428571399</v>
          </cell>
          <cell r="AA48">
            <v>114.79591836734691</v>
          </cell>
          <cell r="AB48">
            <v>72.005653453235041</v>
          </cell>
          <cell r="AC48">
            <v>8.5721016015756</v>
          </cell>
          <cell r="AD48">
            <v>4.166666666666667</v>
          </cell>
          <cell r="AE48">
            <v>0.68181818181818177</v>
          </cell>
        </row>
        <row r="49">
          <cell r="A49" t="str">
            <v>蔡夫人</v>
          </cell>
          <cell r="B49">
            <v>2</v>
          </cell>
          <cell r="C49">
            <v>2</v>
          </cell>
          <cell r="D49">
            <v>1</v>
          </cell>
          <cell r="E49">
            <v>0</v>
          </cell>
          <cell r="F49" t="str">
            <v>文官-招兵</v>
          </cell>
          <cell r="G49">
            <v>1.04</v>
          </cell>
          <cell r="H49">
            <v>1</v>
          </cell>
          <cell r="I49">
            <v>66.416981132075477</v>
          </cell>
          <cell r="J49">
            <v>78.800269541778974</v>
          </cell>
          <cell r="K49">
            <v>3.8499999999999996</v>
          </cell>
          <cell r="L49">
            <v>5.2499999999999991</v>
          </cell>
          <cell r="M49" t="str">
            <v>法兵</v>
          </cell>
          <cell r="N49">
            <v>12021</v>
          </cell>
          <cell r="O49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49" t="str">
            <v>10,20,40,60,80</v>
          </cell>
          <cell r="Q49" t="str">
            <v>4,120,0,0,0,0</v>
          </cell>
          <cell r="R49" t="str">
            <v>4,180,5,160,0,0</v>
          </cell>
          <cell r="S49" t="str">
            <v>4,270,5,220,6,200</v>
          </cell>
          <cell r="T49" t="str">
            <v>4,330,5,280,6,240</v>
          </cell>
          <cell r="U49" t="str">
            <v>4,390,5,340,6,300</v>
          </cell>
          <cell r="V49">
            <v>10</v>
          </cell>
          <cell r="W49">
            <v>6</v>
          </cell>
          <cell r="X49">
            <v>21510</v>
          </cell>
          <cell r="Z49">
            <v>964.28571428571399</v>
          </cell>
          <cell r="AA49">
            <v>114.79591836734691</v>
          </cell>
          <cell r="AB49">
            <v>72.005653453235041</v>
          </cell>
          <cell r="AC49">
            <v>8.5721016015756</v>
          </cell>
          <cell r="AD49">
            <v>3.6111111111111112</v>
          </cell>
          <cell r="AE49">
            <v>0.59090909090909094</v>
          </cell>
        </row>
        <row r="50">
          <cell r="A50" t="str">
            <v>许攸</v>
          </cell>
          <cell r="B50">
            <v>2</v>
          </cell>
          <cell r="C50">
            <v>2</v>
          </cell>
          <cell r="D50">
            <v>1</v>
          </cell>
          <cell r="E50">
            <v>0</v>
          </cell>
          <cell r="F50" t="str">
            <v>文官-杀兵</v>
          </cell>
          <cell r="G50">
            <v>1.03</v>
          </cell>
          <cell r="H50">
            <v>1</v>
          </cell>
          <cell r="I50">
            <v>64.01266846361186</v>
          </cell>
          <cell r="J50">
            <v>78.800269541778974</v>
          </cell>
          <cell r="K50">
            <v>4.25</v>
          </cell>
          <cell r="L50">
            <v>5.6499999999999986</v>
          </cell>
          <cell r="M50" t="str">
            <v>法兵</v>
          </cell>
          <cell r="N50" t="str">
            <v/>
          </cell>
          <cell r="O50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0" t="str">
            <v>10,20,40,60,80</v>
          </cell>
          <cell r="Q50" t="str">
            <v>4,120,0,0,0,0</v>
          </cell>
          <cell r="R50" t="str">
            <v>4,180,5,160,0,0</v>
          </cell>
          <cell r="S50" t="str">
            <v>4,270,5,220,6,200</v>
          </cell>
          <cell r="T50" t="str">
            <v>4,330,5,280,6,240</v>
          </cell>
          <cell r="U50" t="str">
            <v>4,390,5,340,6,300</v>
          </cell>
          <cell r="V50">
            <v>10</v>
          </cell>
          <cell r="W50">
            <v>6</v>
          </cell>
          <cell r="X50">
            <v>21510</v>
          </cell>
          <cell r="Z50">
            <v>964.28571428571399</v>
          </cell>
          <cell r="AA50">
            <v>114.79591836734691</v>
          </cell>
          <cell r="AB50">
            <v>72.005653453235041</v>
          </cell>
          <cell r="AC50">
            <v>8.5721016015756</v>
          </cell>
          <cell r="AD50">
            <v>3.0555555555555554</v>
          </cell>
          <cell r="AE50">
            <v>0.5</v>
          </cell>
        </row>
        <row r="51">
          <cell r="A51" t="str">
            <v>袁术</v>
          </cell>
          <cell r="B51">
            <v>2</v>
          </cell>
          <cell r="C51">
            <v>2</v>
          </cell>
          <cell r="D51">
            <v>1</v>
          </cell>
          <cell r="E51">
            <v>0</v>
          </cell>
          <cell r="F51" t="str">
            <v>文官-招兵</v>
          </cell>
          <cell r="G51">
            <v>1.02</v>
          </cell>
          <cell r="H51">
            <v>1</v>
          </cell>
          <cell r="I51">
            <v>65.357681940700814</v>
          </cell>
          <cell r="J51">
            <v>73.991644204851752</v>
          </cell>
          <cell r="K51">
            <v>4.05</v>
          </cell>
          <cell r="L51">
            <v>5.4499999999999993</v>
          </cell>
          <cell r="M51" t="str">
            <v>法兵</v>
          </cell>
          <cell r="N51">
            <v>12030</v>
          </cell>
          <cell r="O51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1" t="str">
            <v>10,20,40,60,80</v>
          </cell>
          <cell r="Q51" t="str">
            <v>4,120,0,0,0,0</v>
          </cell>
          <cell r="R51" t="str">
            <v>4,180,5,160,0,0</v>
          </cell>
          <cell r="S51" t="str">
            <v>4,270,5,220,6,200</v>
          </cell>
          <cell r="T51" t="str">
            <v>4,330,5,280,6,240</v>
          </cell>
          <cell r="U51" t="str">
            <v>4,390,5,340,6,300</v>
          </cell>
          <cell r="V51">
            <v>10</v>
          </cell>
          <cell r="W51">
            <v>6</v>
          </cell>
          <cell r="X51">
            <v>21510</v>
          </cell>
          <cell r="Z51">
            <v>964.28571428571399</v>
          </cell>
          <cell r="AA51">
            <v>114.79591836734691</v>
          </cell>
          <cell r="AB51">
            <v>72.005653453235041</v>
          </cell>
          <cell r="AC51">
            <v>8.5721016015756</v>
          </cell>
          <cell r="AD51">
            <v>2.5</v>
          </cell>
          <cell r="AE51">
            <v>0.40909090909090912</v>
          </cell>
        </row>
        <row r="52">
          <cell r="A52" t="str">
            <v>刘表</v>
          </cell>
          <cell r="B52">
            <v>2</v>
          </cell>
          <cell r="C52">
            <v>2</v>
          </cell>
          <cell r="D52">
            <v>1</v>
          </cell>
          <cell r="E52">
            <v>0</v>
          </cell>
          <cell r="F52" t="str">
            <v>文官-招兵</v>
          </cell>
          <cell r="G52">
            <v>1.01</v>
          </cell>
          <cell r="H52">
            <v>1</v>
          </cell>
          <cell r="I52">
            <v>66.416981132075477</v>
          </cell>
          <cell r="J52">
            <v>73.991644204851752</v>
          </cell>
          <cell r="K52">
            <v>4.25</v>
          </cell>
          <cell r="L52">
            <v>5.6499999999999986</v>
          </cell>
          <cell r="M52" t="str">
            <v>法兵</v>
          </cell>
          <cell r="N52">
            <v>12021</v>
          </cell>
          <cell r="O52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2" t="str">
            <v>10,20,40,60,80</v>
          </cell>
          <cell r="Q52" t="str">
            <v>4,120,0,0,0,0</v>
          </cell>
          <cell r="R52" t="str">
            <v>4,180,5,160,0,0</v>
          </cell>
          <cell r="S52" t="str">
            <v>4,270,5,220,6,200</v>
          </cell>
          <cell r="T52" t="str">
            <v>4,330,5,280,6,240</v>
          </cell>
          <cell r="U52" t="str">
            <v>4,390,5,340,6,300</v>
          </cell>
          <cell r="V52">
            <v>10</v>
          </cell>
          <cell r="W52">
            <v>6</v>
          </cell>
          <cell r="X52">
            <v>21510</v>
          </cell>
          <cell r="Z52">
            <v>964.28571428571399</v>
          </cell>
          <cell r="AA52">
            <v>114.79591836734691</v>
          </cell>
          <cell r="AB52">
            <v>72.005653453235041</v>
          </cell>
          <cell r="AC52">
            <v>8.5721016015756</v>
          </cell>
          <cell r="AD52">
            <v>1.9444444444444444</v>
          </cell>
          <cell r="AE52">
            <v>0.31818181818181818</v>
          </cell>
        </row>
        <row r="53">
          <cell r="A53" t="str">
            <v>简雍</v>
          </cell>
          <cell r="B53">
            <v>2</v>
          </cell>
          <cell r="C53">
            <v>2</v>
          </cell>
          <cell r="D53">
            <v>1</v>
          </cell>
          <cell r="E53">
            <v>0</v>
          </cell>
          <cell r="G53">
            <v>1</v>
          </cell>
          <cell r="H53">
            <v>1</v>
          </cell>
          <cell r="I53">
            <v>66.916981132075477</v>
          </cell>
          <cell r="J53">
            <v>72.991644204851752</v>
          </cell>
          <cell r="K53">
            <v>4.05</v>
          </cell>
          <cell r="L53">
            <v>5.4499999999999993</v>
          </cell>
          <cell r="M53" t="str">
            <v>法兵</v>
          </cell>
          <cell r="N53" t="str">
            <v/>
          </cell>
          <cell r="O53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3" t="str">
            <v>10,20,40,60,80</v>
          </cell>
          <cell r="Q53" t="str">
            <v>4,120,0,0,0,0</v>
          </cell>
          <cell r="R53" t="str">
            <v>4,180,5,160,0,0</v>
          </cell>
          <cell r="S53" t="str">
            <v>4,270,5,220,6,200</v>
          </cell>
          <cell r="T53" t="str">
            <v>4,330,5,280,6,240</v>
          </cell>
          <cell r="U53" t="str">
            <v>4,390,5,340,6,300</v>
          </cell>
          <cell r="V53">
            <v>10</v>
          </cell>
          <cell r="W53">
            <v>6</v>
          </cell>
          <cell r="X53">
            <v>21510</v>
          </cell>
          <cell r="Z53">
            <v>964.28571428571399</v>
          </cell>
          <cell r="AA53">
            <v>114.79591836734691</v>
          </cell>
          <cell r="AB53">
            <v>72.005653453235041</v>
          </cell>
          <cell r="AC53">
            <v>8.5721016015756</v>
          </cell>
          <cell r="AD53">
            <v>1.3888888888888888</v>
          </cell>
          <cell r="AE53">
            <v>0.22727272727272727</v>
          </cell>
        </row>
        <row r="54">
          <cell r="A54" t="str">
            <v>伦直</v>
          </cell>
          <cell r="B54">
            <v>2</v>
          </cell>
          <cell r="C54">
            <v>1</v>
          </cell>
          <cell r="D54">
            <v>0</v>
          </cell>
          <cell r="E54">
            <v>0</v>
          </cell>
          <cell r="G54">
            <v>1.04</v>
          </cell>
          <cell r="H54">
            <v>1</v>
          </cell>
          <cell r="I54">
            <v>73.874663072776286</v>
          </cell>
          <cell r="J54">
            <v>59.824797843665763</v>
          </cell>
          <cell r="K54">
            <v>3.3499999999999996</v>
          </cell>
          <cell r="L54">
            <v>2.6499999999999995</v>
          </cell>
          <cell r="M54" t="str">
            <v>法兵</v>
          </cell>
          <cell r="N54" t="str">
            <v/>
          </cell>
          <cell r="O54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4" t="str">
            <v>10,20,40,60,80</v>
          </cell>
          <cell r="Q54" t="str">
            <v>4,90,0,0,0,0</v>
          </cell>
          <cell r="R54" t="str">
            <v>4,150,5,120,0,0</v>
          </cell>
          <cell r="S54" t="str">
            <v>4,180,5,160,6,140</v>
          </cell>
          <cell r="T54" t="str">
            <v>4,240,5,200,6,180</v>
          </cell>
          <cell r="U54" t="str">
            <v>4,300,5,240,6,220</v>
          </cell>
          <cell r="V54">
            <v>1</v>
          </cell>
          <cell r="W54">
            <v>4</v>
          </cell>
          <cell r="X54">
            <v>21510</v>
          </cell>
          <cell r="Z54">
            <v>899.99999999999966</v>
          </cell>
          <cell r="AA54">
            <v>107.14285714285711</v>
          </cell>
          <cell r="AB54">
            <v>67.2052765563527</v>
          </cell>
          <cell r="AC54">
            <v>8.0006281614705603</v>
          </cell>
          <cell r="AD54">
            <v>0.37383177570093457</v>
          </cell>
          <cell r="AE54">
            <v>9.4786729857819899E-2</v>
          </cell>
        </row>
        <row r="55">
          <cell r="A55" t="str">
            <v>何植</v>
          </cell>
          <cell r="B55">
            <v>2</v>
          </cell>
          <cell r="C55">
            <v>1</v>
          </cell>
          <cell r="D55">
            <v>0</v>
          </cell>
          <cell r="E55">
            <v>0</v>
          </cell>
          <cell r="G55">
            <v>1.03</v>
          </cell>
          <cell r="H55">
            <v>1</v>
          </cell>
          <cell r="I55">
            <v>72.315363881401623</v>
          </cell>
          <cell r="J55">
            <v>60.415094339622641</v>
          </cell>
          <cell r="K55">
            <v>3.3499999999999996</v>
          </cell>
          <cell r="L55">
            <v>2.6499999999999995</v>
          </cell>
          <cell r="M55" t="str">
            <v>法兵</v>
          </cell>
          <cell r="N55" t="str">
            <v/>
          </cell>
          <cell r="O55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5" t="str">
            <v>10,20,40,60,80</v>
          </cell>
          <cell r="Q55" t="str">
            <v>4,90,0,0,0,0</v>
          </cell>
          <cell r="R55" t="str">
            <v>4,150,5,120,0,0</v>
          </cell>
          <cell r="S55" t="str">
            <v>4,180,5,160,6,140</v>
          </cell>
          <cell r="T55" t="str">
            <v>4,240,5,200,6,180</v>
          </cell>
          <cell r="U55" t="str">
            <v>4,300,5,240,6,220</v>
          </cell>
          <cell r="V55">
            <v>1</v>
          </cell>
          <cell r="W55">
            <v>4</v>
          </cell>
          <cell r="X55">
            <v>21510</v>
          </cell>
          <cell r="Z55">
            <v>899.99999999999966</v>
          </cell>
          <cell r="AA55">
            <v>107.14285714285711</v>
          </cell>
          <cell r="AB55">
            <v>67.2052765563527</v>
          </cell>
          <cell r="AC55">
            <v>8.0006281614705603</v>
          </cell>
          <cell r="AD55">
            <v>0.3364485981308411</v>
          </cell>
          <cell r="AE55">
            <v>8.5308056872037921E-2</v>
          </cell>
        </row>
        <row r="56">
          <cell r="A56" t="str">
            <v>韩玄</v>
          </cell>
          <cell r="B56">
            <v>2</v>
          </cell>
          <cell r="C56">
            <v>1</v>
          </cell>
          <cell r="D56">
            <v>0</v>
          </cell>
          <cell r="E56">
            <v>0</v>
          </cell>
          <cell r="G56">
            <v>1.02</v>
          </cell>
          <cell r="H56">
            <v>1</v>
          </cell>
          <cell r="I56">
            <v>68.845013477088955</v>
          </cell>
          <cell r="J56">
            <v>56.706199460916437</v>
          </cell>
          <cell r="K56">
            <v>3.8499999999999996</v>
          </cell>
          <cell r="L56">
            <v>3.1499999999999995</v>
          </cell>
          <cell r="M56" t="str">
            <v>法兵</v>
          </cell>
          <cell r="N56" t="str">
            <v/>
          </cell>
          <cell r="O56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6" t="str">
            <v>10,20,40,60,80</v>
          </cell>
          <cell r="Q56" t="str">
            <v>4,90,0,0,0,0</v>
          </cell>
          <cell r="R56" t="str">
            <v>4,150,5,120,0,0</v>
          </cell>
          <cell r="S56" t="str">
            <v>4,180,5,160,6,140</v>
          </cell>
          <cell r="T56" t="str">
            <v>4,240,5,200,6,180</v>
          </cell>
          <cell r="U56" t="str">
            <v>4,300,5,240,6,220</v>
          </cell>
          <cell r="V56">
            <v>1</v>
          </cell>
          <cell r="W56">
            <v>4</v>
          </cell>
          <cell r="X56">
            <v>21510</v>
          </cell>
          <cell r="Z56">
            <v>899.99999999999966</v>
          </cell>
          <cell r="AA56">
            <v>107.14285714285711</v>
          </cell>
          <cell r="AB56">
            <v>67.2052765563527</v>
          </cell>
          <cell r="AC56">
            <v>8.0006281614705603</v>
          </cell>
          <cell r="AD56">
            <v>0.29906542056074764</v>
          </cell>
          <cell r="AE56">
            <v>7.582938388625593E-2</v>
          </cell>
        </row>
        <row r="57">
          <cell r="A57" t="str">
            <v>王祥</v>
          </cell>
          <cell r="B57">
            <v>2</v>
          </cell>
          <cell r="C57">
            <v>1</v>
          </cell>
          <cell r="D57">
            <v>0</v>
          </cell>
          <cell r="E57">
            <v>0</v>
          </cell>
          <cell r="G57">
            <v>1.01</v>
          </cell>
          <cell r="H57">
            <v>1</v>
          </cell>
          <cell r="I57">
            <v>72.315363881401623</v>
          </cell>
          <cell r="J57">
            <v>56.706199460916437</v>
          </cell>
          <cell r="K57">
            <v>3.7499999999999996</v>
          </cell>
          <cell r="L57">
            <v>3.0499999999999994</v>
          </cell>
          <cell r="M57" t="str">
            <v>法兵</v>
          </cell>
          <cell r="N57" t="str">
            <v/>
          </cell>
          <cell r="O57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7" t="str">
            <v>10,20,40,60,80</v>
          </cell>
          <cell r="Q57" t="str">
            <v>4,90,0,0,0,0</v>
          </cell>
          <cell r="R57" t="str">
            <v>4,150,5,120,0,0</v>
          </cell>
          <cell r="S57" t="str">
            <v>4,180,5,160,6,140</v>
          </cell>
          <cell r="T57" t="str">
            <v>4,240,5,200,6,180</v>
          </cell>
          <cell r="U57" t="str">
            <v>4,300,5,240,6,220</v>
          </cell>
          <cell r="V57">
            <v>1</v>
          </cell>
          <cell r="W57">
            <v>4</v>
          </cell>
          <cell r="X57">
            <v>21510</v>
          </cell>
          <cell r="Z57">
            <v>899.99999999999966</v>
          </cell>
          <cell r="AA57">
            <v>107.14285714285711</v>
          </cell>
          <cell r="AB57">
            <v>67.2052765563527</v>
          </cell>
          <cell r="AC57">
            <v>8.0006281614705603</v>
          </cell>
          <cell r="AD57">
            <v>0.26168224299065418</v>
          </cell>
          <cell r="AE57">
            <v>6.6350710900473939E-2</v>
          </cell>
        </row>
        <row r="58">
          <cell r="A58" t="str">
            <v>孙乾</v>
          </cell>
          <cell r="B58">
            <v>2</v>
          </cell>
          <cell r="C58">
            <v>1</v>
          </cell>
          <cell r="D58">
            <v>0</v>
          </cell>
          <cell r="E58">
            <v>0</v>
          </cell>
          <cell r="G58">
            <v>1</v>
          </cell>
          <cell r="H58">
            <v>1</v>
          </cell>
          <cell r="I58">
            <v>71.815363881401623</v>
          </cell>
          <cell r="J58">
            <v>59.824797843665763</v>
          </cell>
          <cell r="K58">
            <v>3.65</v>
          </cell>
          <cell r="L58">
            <v>2.9499999999999997</v>
          </cell>
          <cell r="M58" t="str">
            <v>法兵</v>
          </cell>
          <cell r="N58" t="str">
            <v/>
          </cell>
          <cell r="O5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8" t="str">
            <v>10,20,40,60,80</v>
          </cell>
          <cell r="Q58" t="str">
            <v>4,90,0,0,0,0</v>
          </cell>
          <cell r="R58" t="str">
            <v>4,150,5,120,0,0</v>
          </cell>
          <cell r="S58" t="str">
            <v>4,180,5,160,6,140</v>
          </cell>
          <cell r="T58" t="str">
            <v>4,240,5,200,6,180</v>
          </cell>
          <cell r="U58" t="str">
            <v>4,300,5,240,6,220</v>
          </cell>
          <cell r="V58">
            <v>1</v>
          </cell>
          <cell r="W58">
            <v>4</v>
          </cell>
          <cell r="X58">
            <v>21510</v>
          </cell>
          <cell r="Z58">
            <v>899.99999999999966</v>
          </cell>
          <cell r="AA58">
            <v>107.14285714285711</v>
          </cell>
          <cell r="AB58">
            <v>67.2052765563527</v>
          </cell>
          <cell r="AC58">
            <v>8.0006281614705603</v>
          </cell>
          <cell r="AD58">
            <v>0.22429906542056074</v>
          </cell>
          <cell r="AE58">
            <v>5.6872037914691941E-2</v>
          </cell>
        </row>
        <row r="59">
          <cell r="A59" t="str">
            <v>曹洪</v>
          </cell>
          <cell r="B59">
            <v>0</v>
          </cell>
          <cell r="C59">
            <v>3</v>
          </cell>
          <cell r="D59">
            <v>2</v>
          </cell>
          <cell r="E59">
            <v>1</v>
          </cell>
          <cell r="F59" t="str">
            <v>武官-砍将</v>
          </cell>
          <cell r="G59">
            <v>1.06</v>
          </cell>
          <cell r="H59">
            <v>1</v>
          </cell>
          <cell r="I59">
            <v>156.37008086253368</v>
          </cell>
          <cell r="J59">
            <v>44.885714285714286</v>
          </cell>
          <cell r="K59">
            <v>5.7249999999999988</v>
          </cell>
          <cell r="L59">
            <v>3.2749999999999999</v>
          </cell>
          <cell r="M59" t="str">
            <v>枪兵</v>
          </cell>
          <cell r="N59">
            <v>12028</v>
          </cell>
          <cell r="O59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59" t="str">
            <v>10,20,40,60,80</v>
          </cell>
          <cell r="Q59" t="str">
            <v>4,150,0,0,0,0</v>
          </cell>
          <cell r="R59" t="str">
            <v>4,240,5,200,0,0</v>
          </cell>
          <cell r="S59" t="str">
            <v>4,330,5,280,6,240</v>
          </cell>
          <cell r="T59" t="str">
            <v>4,420,5,360,6,300</v>
          </cell>
          <cell r="U59" t="str">
            <v>4,480,5,420,6,360</v>
          </cell>
          <cell r="V59">
            <v>20</v>
          </cell>
          <cell r="W59">
            <v>8</v>
          </cell>
          <cell r="X59">
            <v>21505</v>
          </cell>
          <cell r="Z59">
            <v>2057.1428571428564</v>
          </cell>
          <cell r="AA59">
            <v>244.89795918367341</v>
          </cell>
          <cell r="AB59">
            <v>59.081561807782592</v>
          </cell>
          <cell r="AC59">
            <v>7.0335192628312617</v>
          </cell>
          <cell r="AD59">
            <v>22.01834862385321</v>
          </cell>
          <cell r="AE59">
            <v>2.6086956521739131</v>
          </cell>
        </row>
        <row r="60">
          <cell r="A60" t="str">
            <v>曹仁</v>
          </cell>
          <cell r="B60">
            <v>0</v>
          </cell>
          <cell r="C60">
            <v>3</v>
          </cell>
          <cell r="D60">
            <v>2</v>
          </cell>
          <cell r="E60">
            <v>1</v>
          </cell>
          <cell r="F60" t="str">
            <v>武官-砍将</v>
          </cell>
          <cell r="G60">
            <v>1.06</v>
          </cell>
          <cell r="H60">
            <v>1.05</v>
          </cell>
          <cell r="I60">
            <v>208.4609164420485</v>
          </cell>
          <cell r="J60">
            <v>27.466307277628033</v>
          </cell>
          <cell r="K60">
            <v>5.0749999999999993</v>
          </cell>
          <cell r="L60">
            <v>2.625</v>
          </cell>
          <cell r="M60" t="str">
            <v>步兵</v>
          </cell>
          <cell r="N60" t="str">
            <v>12028,12035</v>
          </cell>
          <cell r="O60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0" t="str">
            <v>10,20,40,60,80</v>
          </cell>
          <cell r="Q60" t="str">
            <v>4,150,0,0,0,0</v>
          </cell>
          <cell r="R60" t="str">
            <v>4,240,5,200,0,0</v>
          </cell>
          <cell r="S60" t="str">
            <v>4,330,5,280,6,240</v>
          </cell>
          <cell r="T60" t="str">
            <v>4,420,5,360,6,300</v>
          </cell>
          <cell r="U60" t="str">
            <v>4,480,5,420,6,360</v>
          </cell>
          <cell r="V60">
            <v>20</v>
          </cell>
          <cell r="W60">
            <v>8</v>
          </cell>
          <cell r="X60">
            <v>21502</v>
          </cell>
          <cell r="Z60">
            <v>2159.9999999999995</v>
          </cell>
          <cell r="AA60">
            <v>257.14285714285711</v>
          </cell>
          <cell r="AB60">
            <v>56.268154102650087</v>
          </cell>
          <cell r="AC60">
            <v>6.6985897741250104</v>
          </cell>
          <cell r="AD60">
            <v>22.01834862385321</v>
          </cell>
          <cell r="AE60">
            <v>2.6086956521739131</v>
          </cell>
        </row>
        <row r="61">
          <cell r="A61" t="str">
            <v>潘凤</v>
          </cell>
          <cell r="B61">
            <v>0</v>
          </cell>
          <cell r="C61">
            <v>3</v>
          </cell>
          <cell r="D61">
            <v>2</v>
          </cell>
          <cell r="E61">
            <v>1</v>
          </cell>
          <cell r="F61" t="str">
            <v>武官-砍将</v>
          </cell>
          <cell r="G61">
            <v>1.05</v>
          </cell>
          <cell r="H61">
            <v>1.05</v>
          </cell>
          <cell r="I61">
            <v>184.26576819407009</v>
          </cell>
          <cell r="J61">
            <v>41.585444743935312</v>
          </cell>
          <cell r="K61">
            <v>5.5749999999999993</v>
          </cell>
          <cell r="L61">
            <v>3.1249999999999996</v>
          </cell>
          <cell r="M61" t="str">
            <v>步兵</v>
          </cell>
          <cell r="N61" t="str">
            <v/>
          </cell>
          <cell r="O61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1" t="str">
            <v>10,20,40,60,80</v>
          </cell>
          <cell r="Q61" t="str">
            <v>4,150,0,0,0,0</v>
          </cell>
          <cell r="R61" t="str">
            <v>4,240,5,200,0,0</v>
          </cell>
          <cell r="S61" t="str">
            <v>4,330,5,280,6,240</v>
          </cell>
          <cell r="T61" t="str">
            <v>4,420,5,360,6,300</v>
          </cell>
          <cell r="U61" t="str">
            <v>4,480,5,420,6,360</v>
          </cell>
          <cell r="V61">
            <v>20</v>
          </cell>
          <cell r="W61">
            <v>8</v>
          </cell>
          <cell r="X61">
            <v>21502</v>
          </cell>
          <cell r="Z61">
            <v>2159.9999999999995</v>
          </cell>
          <cell r="AA61">
            <v>257.14285714285711</v>
          </cell>
          <cell r="AB61">
            <v>56.268154102650087</v>
          </cell>
          <cell r="AC61">
            <v>6.6985897741250104</v>
          </cell>
          <cell r="AD61">
            <v>20.183486238532112</v>
          </cell>
          <cell r="AE61">
            <v>2.3913043478260869</v>
          </cell>
        </row>
        <row r="62">
          <cell r="A62" t="str">
            <v>华雄</v>
          </cell>
          <cell r="B62">
            <v>0</v>
          </cell>
          <cell r="C62">
            <v>3</v>
          </cell>
          <cell r="D62">
            <v>2</v>
          </cell>
          <cell r="E62">
            <v>1</v>
          </cell>
          <cell r="F62" t="str">
            <v>武官-杀将</v>
          </cell>
          <cell r="G62">
            <v>1.04</v>
          </cell>
          <cell r="H62">
            <v>1.05</v>
          </cell>
          <cell r="I62">
            <v>184.51940700808623</v>
          </cell>
          <cell r="J62">
            <v>36.947169811320755</v>
          </cell>
          <cell r="K62">
            <v>5.3749999999999991</v>
          </cell>
          <cell r="L62">
            <v>2.9249999999999998</v>
          </cell>
          <cell r="M62" t="str">
            <v>步兵</v>
          </cell>
          <cell r="N62" t="str">
            <v>12024,12026</v>
          </cell>
          <cell r="O62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2" t="str">
            <v>10,20,40,60,80</v>
          </cell>
          <cell r="Q62" t="str">
            <v>4,150,0,0,0,0</v>
          </cell>
          <cell r="R62" t="str">
            <v>4,240,5,200,0,0</v>
          </cell>
          <cell r="S62" t="str">
            <v>4,330,5,280,6,240</v>
          </cell>
          <cell r="T62" t="str">
            <v>4,420,5,360,6,300</v>
          </cell>
          <cell r="U62" t="str">
            <v>4,480,5,420,6,360</v>
          </cell>
          <cell r="V62">
            <v>20</v>
          </cell>
          <cell r="W62">
            <v>8</v>
          </cell>
          <cell r="X62">
            <v>21502</v>
          </cell>
          <cell r="Z62">
            <v>2159.9999999999995</v>
          </cell>
          <cell r="AA62">
            <v>257.14285714285711</v>
          </cell>
          <cell r="AB62">
            <v>56.268154102650087</v>
          </cell>
          <cell r="AC62">
            <v>6.6985897741250104</v>
          </cell>
          <cell r="AD62">
            <v>18.348623853211009</v>
          </cell>
          <cell r="AE62">
            <v>2.1739130434782608</v>
          </cell>
        </row>
        <row r="63">
          <cell r="A63" t="str">
            <v>颜良</v>
          </cell>
          <cell r="B63">
            <v>0</v>
          </cell>
          <cell r="C63">
            <v>3</v>
          </cell>
          <cell r="D63">
            <v>2</v>
          </cell>
          <cell r="E63">
            <v>1</v>
          </cell>
          <cell r="F63" t="str">
            <v>武官-杀将</v>
          </cell>
          <cell r="G63">
            <v>1.03</v>
          </cell>
          <cell r="H63">
            <v>1</v>
          </cell>
          <cell r="I63">
            <v>156.97008086253368</v>
          </cell>
          <cell r="J63">
            <v>44.085714285714282</v>
          </cell>
          <cell r="K63">
            <v>5.8249999999999993</v>
          </cell>
          <cell r="L63">
            <v>3.3749999999999996</v>
          </cell>
          <cell r="M63" t="str">
            <v>枪兵</v>
          </cell>
          <cell r="N63">
            <v>12025</v>
          </cell>
          <cell r="O63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3" t="str">
            <v>10,20,40,60,80</v>
          </cell>
          <cell r="Q63" t="str">
            <v>4,150,0,0,0,0</v>
          </cell>
          <cell r="R63" t="str">
            <v>4,240,5,200,0,0</v>
          </cell>
          <cell r="S63" t="str">
            <v>4,330,5,280,6,240</v>
          </cell>
          <cell r="T63" t="str">
            <v>4,420,5,360,6,300</v>
          </cell>
          <cell r="U63" t="str">
            <v>4,480,5,420,6,360</v>
          </cell>
          <cell r="V63">
            <v>20</v>
          </cell>
          <cell r="W63">
            <v>8</v>
          </cell>
          <cell r="X63">
            <v>21505</v>
          </cell>
          <cell r="Z63">
            <v>2057.1428571428564</v>
          </cell>
          <cell r="AA63">
            <v>244.89795918367341</v>
          </cell>
          <cell r="AB63">
            <v>59.081561807782592</v>
          </cell>
          <cell r="AC63">
            <v>7.0335192628312617</v>
          </cell>
          <cell r="AD63">
            <v>16.513761467889907</v>
          </cell>
          <cell r="AE63">
            <v>1.9565217391304348</v>
          </cell>
        </row>
        <row r="64">
          <cell r="A64" t="str">
            <v>文丑</v>
          </cell>
          <cell r="B64">
            <v>0</v>
          </cell>
          <cell r="C64">
            <v>3</v>
          </cell>
          <cell r="D64">
            <v>2</v>
          </cell>
          <cell r="E64">
            <v>1</v>
          </cell>
          <cell r="F64" t="str">
            <v>武官-杀将</v>
          </cell>
          <cell r="G64">
            <v>1.03</v>
          </cell>
          <cell r="H64">
            <v>1.05</v>
          </cell>
          <cell r="I64">
            <v>176.79999999999998</v>
          </cell>
          <cell r="J64">
            <v>41.985444743935311</v>
          </cell>
          <cell r="K64">
            <v>5.3749999999999991</v>
          </cell>
          <cell r="L64">
            <v>2.9249999999999998</v>
          </cell>
          <cell r="M64" t="str">
            <v>步兵</v>
          </cell>
          <cell r="N64">
            <v>12025</v>
          </cell>
          <cell r="O6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4" t="str">
            <v>10,20,40,60,80</v>
          </cell>
          <cell r="Q64" t="str">
            <v>4,150,0,0,0,0</v>
          </cell>
          <cell r="R64" t="str">
            <v>4,240,5,200,0,0</v>
          </cell>
          <cell r="S64" t="str">
            <v>4,330,5,280,6,240</v>
          </cell>
          <cell r="T64" t="str">
            <v>4,420,5,360,6,300</v>
          </cell>
          <cell r="U64" t="str">
            <v>4,480,5,420,6,360</v>
          </cell>
          <cell r="V64">
            <v>20</v>
          </cell>
          <cell r="W64">
            <v>8</v>
          </cell>
          <cell r="X64">
            <v>21502</v>
          </cell>
          <cell r="Z64">
            <v>2159.9999999999995</v>
          </cell>
          <cell r="AA64">
            <v>257.14285714285711</v>
          </cell>
          <cell r="AB64">
            <v>56.268154102650087</v>
          </cell>
          <cell r="AC64">
            <v>6.6985897741250104</v>
          </cell>
          <cell r="AD64">
            <v>16.513761467889907</v>
          </cell>
          <cell r="AE64">
            <v>1.9565217391304348</v>
          </cell>
        </row>
        <row r="65">
          <cell r="A65" t="str">
            <v>张绣</v>
          </cell>
          <cell r="B65">
            <v>0</v>
          </cell>
          <cell r="C65">
            <v>3</v>
          </cell>
          <cell r="D65">
            <v>2</v>
          </cell>
          <cell r="E65">
            <v>1</v>
          </cell>
          <cell r="F65" t="str">
            <v>武官-杀将</v>
          </cell>
          <cell r="G65">
            <v>1.02</v>
          </cell>
          <cell r="H65">
            <v>1</v>
          </cell>
          <cell r="I65">
            <v>155.78382749326141</v>
          </cell>
          <cell r="J65">
            <v>46.422102425876012</v>
          </cell>
          <cell r="K65">
            <v>5.7249999999999988</v>
          </cell>
          <cell r="L65">
            <v>3.2749999999999999</v>
          </cell>
          <cell r="M65" t="str">
            <v>枪兵</v>
          </cell>
          <cell r="N65">
            <v>12023</v>
          </cell>
          <cell r="O6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5" t="str">
            <v>10,20,40,60,80</v>
          </cell>
          <cell r="Q65" t="str">
            <v>4,150,0,0,0,0</v>
          </cell>
          <cell r="R65" t="str">
            <v>4,240,5,200,0,0</v>
          </cell>
          <cell r="S65" t="str">
            <v>4,330,5,280,6,240</v>
          </cell>
          <cell r="T65" t="str">
            <v>4,420,5,360,6,300</v>
          </cell>
          <cell r="U65" t="str">
            <v>4,480,5,420,6,360</v>
          </cell>
          <cell r="V65">
            <v>20</v>
          </cell>
          <cell r="W65">
            <v>8</v>
          </cell>
          <cell r="X65">
            <v>21505</v>
          </cell>
          <cell r="Z65">
            <v>2057.1428571428564</v>
          </cell>
          <cell r="AA65">
            <v>244.89795918367341</v>
          </cell>
          <cell r="AB65">
            <v>59.081561807782592</v>
          </cell>
          <cell r="AC65">
            <v>7.0335192628312617</v>
          </cell>
          <cell r="AD65">
            <v>14.678899082568808</v>
          </cell>
          <cell r="AE65">
            <v>1.7391304347826086</v>
          </cell>
        </row>
        <row r="66">
          <cell r="A66" t="str">
            <v>黄盖</v>
          </cell>
          <cell r="B66">
            <v>0</v>
          </cell>
          <cell r="C66">
            <v>3</v>
          </cell>
          <cell r="D66">
            <v>2</v>
          </cell>
          <cell r="E66">
            <v>1</v>
          </cell>
          <cell r="F66" t="str">
            <v>武官-砍将</v>
          </cell>
          <cell r="G66">
            <v>1.02</v>
          </cell>
          <cell r="H66">
            <v>1.05</v>
          </cell>
          <cell r="I66">
            <v>199.20862533692721</v>
          </cell>
          <cell r="J66">
            <v>35.023719676549867</v>
          </cell>
          <cell r="K66">
            <v>5.3749999999999991</v>
          </cell>
          <cell r="L66">
            <v>2.9249999999999998</v>
          </cell>
          <cell r="M66" t="str">
            <v>步兵</v>
          </cell>
          <cell r="N66" t="str">
            <v>12012,12032</v>
          </cell>
          <cell r="O66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6" t="str">
            <v>10,20,40,60,80</v>
          </cell>
          <cell r="Q66" t="str">
            <v>4,150,0,0,0,0</v>
          </cell>
          <cell r="R66" t="str">
            <v>4,240,5,200,0,0</v>
          </cell>
          <cell r="S66" t="str">
            <v>4,330,5,280,6,240</v>
          </cell>
          <cell r="T66" t="str">
            <v>4,420,5,360,6,300</v>
          </cell>
          <cell r="U66" t="str">
            <v>4,480,5,420,6,360</v>
          </cell>
          <cell r="V66">
            <v>20</v>
          </cell>
          <cell r="W66">
            <v>8</v>
          </cell>
          <cell r="X66">
            <v>21502</v>
          </cell>
          <cell r="Z66">
            <v>2159.9999999999995</v>
          </cell>
          <cell r="AA66">
            <v>257.14285714285711</v>
          </cell>
          <cell r="AB66">
            <v>56.268154102650087</v>
          </cell>
          <cell r="AC66">
            <v>6.6985897741250104</v>
          </cell>
          <cell r="AD66">
            <v>14.678899082568808</v>
          </cell>
          <cell r="AE66">
            <v>1.7391304347826086</v>
          </cell>
        </row>
        <row r="67">
          <cell r="A67" t="str">
            <v>张宝</v>
          </cell>
          <cell r="B67">
            <v>0</v>
          </cell>
          <cell r="C67">
            <v>3</v>
          </cell>
          <cell r="D67">
            <v>2</v>
          </cell>
          <cell r="E67">
            <v>1</v>
          </cell>
          <cell r="G67">
            <v>1.01</v>
          </cell>
          <cell r="H67">
            <v>1.05</v>
          </cell>
          <cell r="I67">
            <v>197.5574123989218</v>
          </cell>
          <cell r="J67">
            <v>39.661994609164417</v>
          </cell>
          <cell r="K67">
            <v>5.5749999999999993</v>
          </cell>
          <cell r="L67">
            <v>3.1249999999999996</v>
          </cell>
          <cell r="M67" t="str">
            <v>步兵</v>
          </cell>
          <cell r="N67">
            <v>12007</v>
          </cell>
          <cell r="O67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7" t="str">
            <v>10,20,40,60,80</v>
          </cell>
          <cell r="Q67" t="str">
            <v>4,150,0,0,0,0</v>
          </cell>
          <cell r="R67" t="str">
            <v>4,240,5,200,0,0</v>
          </cell>
          <cell r="S67" t="str">
            <v>4,330,5,280,6,240</v>
          </cell>
          <cell r="T67" t="str">
            <v>4,420,5,360,6,300</v>
          </cell>
          <cell r="U67" t="str">
            <v>4,480,5,420,6,360</v>
          </cell>
          <cell r="V67">
            <v>20</v>
          </cell>
          <cell r="W67">
            <v>8</v>
          </cell>
          <cell r="X67">
            <v>21502</v>
          </cell>
          <cell r="Z67">
            <v>2159.9999999999995</v>
          </cell>
          <cell r="AA67">
            <v>257.14285714285711</v>
          </cell>
          <cell r="AB67">
            <v>56.268154102650087</v>
          </cell>
          <cell r="AC67">
            <v>6.6985897741250104</v>
          </cell>
          <cell r="AD67">
            <v>12.844036697247706</v>
          </cell>
          <cell r="AE67">
            <v>1.5217391304347827</v>
          </cell>
        </row>
        <row r="68">
          <cell r="A68" t="str">
            <v>董卓</v>
          </cell>
          <cell r="B68">
            <v>0</v>
          </cell>
          <cell r="C68">
            <v>3</v>
          </cell>
          <cell r="D68">
            <v>2</v>
          </cell>
          <cell r="E68">
            <v>1</v>
          </cell>
          <cell r="F68" t="str">
            <v>武官-杀将</v>
          </cell>
          <cell r="G68">
            <v>1</v>
          </cell>
          <cell r="H68">
            <v>1.05</v>
          </cell>
          <cell r="I68">
            <v>192.1622641509434</v>
          </cell>
          <cell r="J68">
            <v>34.170889487870618</v>
          </cell>
          <cell r="K68">
            <v>5.3749999999999991</v>
          </cell>
          <cell r="L68">
            <v>2.9249999999999998</v>
          </cell>
          <cell r="M68" t="str">
            <v>步兵</v>
          </cell>
          <cell r="N68" t="str">
            <v>12024,12026,12036</v>
          </cell>
          <cell r="O68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8" t="str">
            <v>10,20,40,60,80</v>
          </cell>
          <cell r="Q68" t="str">
            <v>4,150,0,0,0,0</v>
          </cell>
          <cell r="R68" t="str">
            <v>4,240,5,200,0,0</v>
          </cell>
          <cell r="S68" t="str">
            <v>4,330,5,280,6,240</v>
          </cell>
          <cell r="T68" t="str">
            <v>4,420,5,360,6,300</v>
          </cell>
          <cell r="U68" t="str">
            <v>4,480,5,420,6,360</v>
          </cell>
          <cell r="V68">
            <v>20</v>
          </cell>
          <cell r="W68">
            <v>8</v>
          </cell>
          <cell r="X68">
            <v>21502</v>
          </cell>
          <cell r="Z68">
            <v>2159.9999999999995</v>
          </cell>
          <cell r="AA68">
            <v>257.14285714285711</v>
          </cell>
          <cell r="AB68">
            <v>56.268154102650087</v>
          </cell>
          <cell r="AC68">
            <v>6.6985897741250104</v>
          </cell>
          <cell r="AD68">
            <v>11.009174311926605</v>
          </cell>
          <cell r="AE68">
            <v>1.3043478260869565</v>
          </cell>
        </row>
        <row r="69">
          <cell r="A69" t="str">
            <v>蔡瑁</v>
          </cell>
          <cell r="B69">
            <v>0</v>
          </cell>
          <cell r="C69">
            <v>2</v>
          </cell>
          <cell r="D69">
            <v>1</v>
          </cell>
          <cell r="E69">
            <v>1</v>
          </cell>
          <cell r="F69" t="str">
            <v>武官-杀将</v>
          </cell>
          <cell r="G69">
            <v>1.04</v>
          </cell>
          <cell r="H69">
            <v>1</v>
          </cell>
          <cell r="I69">
            <v>163.71293800539087</v>
          </cell>
          <cell r="J69">
            <v>32.374663072776279</v>
          </cell>
          <cell r="K69">
            <v>3.6749999999999998</v>
          </cell>
          <cell r="L69">
            <v>2.2750000000000004</v>
          </cell>
          <cell r="M69" t="str">
            <v>枪兵</v>
          </cell>
          <cell r="N69" t="str">
            <v/>
          </cell>
          <cell r="O69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69" t="str">
            <v>10,20,40,60,80</v>
          </cell>
          <cell r="Q69" t="str">
            <v>4,120,0,0,0,0</v>
          </cell>
          <cell r="R69" t="str">
            <v>4,180,5,160,0,0</v>
          </cell>
          <cell r="S69" t="str">
            <v>4,270,5,220,6,200</v>
          </cell>
          <cell r="T69" t="str">
            <v>4,330,5,280,6,240</v>
          </cell>
          <cell r="U69" t="str">
            <v>4,390,5,340,6,300</v>
          </cell>
          <cell r="V69">
            <v>10</v>
          </cell>
          <cell r="W69">
            <v>6</v>
          </cell>
          <cell r="X69">
            <v>21504</v>
          </cell>
          <cell r="Z69">
            <v>1928.571428571428</v>
          </cell>
          <cell r="AA69">
            <v>229.59183673469383</v>
          </cell>
          <cell r="AB69">
            <v>55.388964194796174</v>
          </cell>
          <cell r="AC69">
            <v>6.5939243089043069</v>
          </cell>
          <cell r="AD69">
            <v>3.6111111111111112</v>
          </cell>
          <cell r="AE69">
            <v>0.59090909090909094</v>
          </cell>
        </row>
        <row r="70">
          <cell r="A70" t="str">
            <v>纪灵</v>
          </cell>
          <cell r="B70">
            <v>0</v>
          </cell>
          <cell r="C70">
            <v>2</v>
          </cell>
          <cell r="D70">
            <v>1</v>
          </cell>
          <cell r="E70">
            <v>1</v>
          </cell>
          <cell r="F70" t="str">
            <v>武官-杀将</v>
          </cell>
          <cell r="G70">
            <v>1.03</v>
          </cell>
          <cell r="H70">
            <v>1</v>
          </cell>
          <cell r="I70">
            <v>160.7180592991914</v>
          </cell>
          <cell r="J70">
            <v>33.622102425876008</v>
          </cell>
          <cell r="K70">
            <v>3.7749999999999995</v>
          </cell>
          <cell r="L70">
            <v>2.3750000000000004</v>
          </cell>
          <cell r="M70" t="str">
            <v>枪兵</v>
          </cell>
          <cell r="N70" t="str">
            <v/>
          </cell>
          <cell r="O70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0" t="str">
            <v>10,20,40,60,80</v>
          </cell>
          <cell r="Q70" t="str">
            <v>4,120,0,0,0,0</v>
          </cell>
          <cell r="R70" t="str">
            <v>4,180,5,160,0,0</v>
          </cell>
          <cell r="S70" t="str">
            <v>4,270,5,220,6,200</v>
          </cell>
          <cell r="T70" t="str">
            <v>4,330,5,280,6,240</v>
          </cell>
          <cell r="U70" t="str">
            <v>4,390,5,340,6,300</v>
          </cell>
          <cell r="V70">
            <v>10</v>
          </cell>
          <cell r="W70">
            <v>6</v>
          </cell>
          <cell r="X70">
            <v>21504</v>
          </cell>
          <cell r="Z70">
            <v>1928.571428571428</v>
          </cell>
          <cell r="AA70">
            <v>229.59183673469383</v>
          </cell>
          <cell r="AB70">
            <v>55.388964194796174</v>
          </cell>
          <cell r="AC70">
            <v>6.5939243089043069</v>
          </cell>
          <cell r="AD70">
            <v>3.0555555555555554</v>
          </cell>
          <cell r="AE70">
            <v>0.5</v>
          </cell>
        </row>
        <row r="71">
          <cell r="A71" t="str">
            <v>李典</v>
          </cell>
          <cell r="B71">
            <v>0</v>
          </cell>
          <cell r="C71">
            <v>2</v>
          </cell>
          <cell r="D71">
            <v>1</v>
          </cell>
          <cell r="E71">
            <v>1</v>
          </cell>
          <cell r="G71">
            <v>1.03</v>
          </cell>
          <cell r="H71">
            <v>1.05</v>
          </cell>
          <cell r="I71">
            <v>209.50161725067386</v>
          </cell>
          <cell r="J71">
            <v>14.337466307277628</v>
          </cell>
          <cell r="K71">
            <v>3.2750000000000004</v>
          </cell>
          <cell r="L71">
            <v>1.8750000000000004</v>
          </cell>
          <cell r="M71" t="str">
            <v>步兵</v>
          </cell>
          <cell r="N71" t="str">
            <v/>
          </cell>
          <cell r="O71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1" t="str">
            <v>10,20,40,60,80</v>
          </cell>
          <cell r="Q71" t="str">
            <v>4,120,0,0,0,0</v>
          </cell>
          <cell r="R71" t="str">
            <v>4,180,5,160,0,0</v>
          </cell>
          <cell r="S71" t="str">
            <v>4,270,5,220,6,200</v>
          </cell>
          <cell r="T71" t="str">
            <v>4,330,5,280,6,240</v>
          </cell>
          <cell r="U71" t="str">
            <v>4,390,5,340,6,300</v>
          </cell>
          <cell r="V71">
            <v>10</v>
          </cell>
          <cell r="W71">
            <v>6</v>
          </cell>
          <cell r="X71">
            <v>21501</v>
          </cell>
          <cell r="Z71">
            <v>2024.9999999999995</v>
          </cell>
          <cell r="AA71">
            <v>241.07142857142853</v>
          </cell>
          <cell r="AB71">
            <v>52.751394471234448</v>
          </cell>
          <cell r="AC71">
            <v>6.2799279132421963</v>
          </cell>
          <cell r="AD71">
            <v>3.0555555555555554</v>
          </cell>
          <cell r="AE71">
            <v>0.5</v>
          </cell>
        </row>
        <row r="72">
          <cell r="A72" t="str">
            <v>管亥</v>
          </cell>
          <cell r="B72">
            <v>0</v>
          </cell>
          <cell r="C72">
            <v>2</v>
          </cell>
          <cell r="D72">
            <v>1</v>
          </cell>
          <cell r="E72">
            <v>1</v>
          </cell>
          <cell r="F72" t="str">
            <v>武官-杀将</v>
          </cell>
          <cell r="G72">
            <v>1.02</v>
          </cell>
          <cell r="H72">
            <v>1</v>
          </cell>
          <cell r="I72">
            <v>162.1536388140162</v>
          </cell>
          <cell r="J72">
            <v>32.374663072776279</v>
          </cell>
          <cell r="K72">
            <v>3.7749999999999999</v>
          </cell>
          <cell r="L72">
            <v>2.3750000000000004</v>
          </cell>
          <cell r="M72" t="str">
            <v>枪兵</v>
          </cell>
          <cell r="N72" t="str">
            <v/>
          </cell>
          <cell r="O72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2" t="str">
            <v>10,20,40,60,80</v>
          </cell>
          <cell r="Q72" t="str">
            <v>4,120,0,0,0,0</v>
          </cell>
          <cell r="R72" t="str">
            <v>4,180,5,160,0,0</v>
          </cell>
          <cell r="S72" t="str">
            <v>4,270,5,220,6,200</v>
          </cell>
          <cell r="T72" t="str">
            <v>4,330,5,280,6,240</v>
          </cell>
          <cell r="U72" t="str">
            <v>4,390,5,340,6,300</v>
          </cell>
          <cell r="V72">
            <v>10</v>
          </cell>
          <cell r="W72">
            <v>6</v>
          </cell>
          <cell r="X72">
            <v>21504</v>
          </cell>
          <cell r="Z72">
            <v>1928.571428571428</v>
          </cell>
          <cell r="AA72">
            <v>229.59183673469383</v>
          </cell>
          <cell r="AB72">
            <v>55.388964194796174</v>
          </cell>
          <cell r="AC72">
            <v>6.5939243089043069</v>
          </cell>
          <cell r="AD72">
            <v>2.5</v>
          </cell>
          <cell r="AE72">
            <v>0.40909090909090912</v>
          </cell>
        </row>
        <row r="73">
          <cell r="A73" t="str">
            <v>曹豹</v>
          </cell>
          <cell r="B73">
            <v>0</v>
          </cell>
          <cell r="C73">
            <v>2</v>
          </cell>
          <cell r="D73">
            <v>1</v>
          </cell>
          <cell r="E73">
            <v>1</v>
          </cell>
          <cell r="F73" t="str">
            <v>武官-砍将</v>
          </cell>
          <cell r="G73">
            <v>1.02</v>
          </cell>
          <cell r="H73">
            <v>1.05</v>
          </cell>
          <cell r="I73">
            <v>186.73072776280324</v>
          </cell>
          <cell r="J73">
            <v>26.933153638814016</v>
          </cell>
          <cell r="K73">
            <v>3.2750000000000004</v>
          </cell>
          <cell r="L73">
            <v>1.8750000000000004</v>
          </cell>
          <cell r="M73" t="str">
            <v>步兵</v>
          </cell>
          <cell r="N73" t="str">
            <v/>
          </cell>
          <cell r="O73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3" t="str">
            <v>10,20,40,60,80</v>
          </cell>
          <cell r="Q73" t="str">
            <v>4,120,0,0,0,0</v>
          </cell>
          <cell r="R73" t="str">
            <v>4,180,5,160,0,0</v>
          </cell>
          <cell r="S73" t="str">
            <v>4,270,5,220,6,200</v>
          </cell>
          <cell r="T73" t="str">
            <v>4,330,5,280,6,240</v>
          </cell>
          <cell r="U73" t="str">
            <v>4,390,5,340,6,300</v>
          </cell>
          <cell r="V73">
            <v>10</v>
          </cell>
          <cell r="W73">
            <v>6</v>
          </cell>
          <cell r="X73">
            <v>21501</v>
          </cell>
          <cell r="Z73">
            <v>2024.9999999999995</v>
          </cell>
          <cell r="AA73">
            <v>241.07142857142853</v>
          </cell>
          <cell r="AB73">
            <v>52.751394471234448</v>
          </cell>
          <cell r="AC73">
            <v>6.2799279132421963</v>
          </cell>
          <cell r="AD73">
            <v>2.5</v>
          </cell>
          <cell r="AE73">
            <v>0.40909090909090912</v>
          </cell>
        </row>
        <row r="74">
          <cell r="A74" t="str">
            <v>闵贡</v>
          </cell>
          <cell r="B74">
            <v>0</v>
          </cell>
          <cell r="C74">
            <v>2</v>
          </cell>
          <cell r="D74">
            <v>1</v>
          </cell>
          <cell r="E74">
            <v>1</v>
          </cell>
          <cell r="F74" t="str">
            <v>武官-杀将</v>
          </cell>
          <cell r="G74">
            <v>1.01</v>
          </cell>
          <cell r="H74">
            <v>1</v>
          </cell>
          <cell r="I74">
            <v>161.59433962264151</v>
          </cell>
          <cell r="J74">
            <v>32.374663072776279</v>
          </cell>
          <cell r="K74">
            <v>3.6749999999999998</v>
          </cell>
          <cell r="L74">
            <v>2.2750000000000004</v>
          </cell>
          <cell r="M74" t="str">
            <v>枪兵</v>
          </cell>
          <cell r="N74" t="str">
            <v/>
          </cell>
          <cell r="O74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4" t="str">
            <v>10,20,40,60,80</v>
          </cell>
          <cell r="Q74" t="str">
            <v>4,120,0,0,0,0</v>
          </cell>
          <cell r="R74" t="str">
            <v>4,180,5,160,0,0</v>
          </cell>
          <cell r="S74" t="str">
            <v>4,270,5,220,6,200</v>
          </cell>
          <cell r="T74" t="str">
            <v>4,330,5,280,6,240</v>
          </cell>
          <cell r="U74" t="str">
            <v>4,390,5,340,6,300</v>
          </cell>
          <cell r="V74">
            <v>10</v>
          </cell>
          <cell r="W74">
            <v>6</v>
          </cell>
          <cell r="X74">
            <v>21504</v>
          </cell>
          <cell r="Z74">
            <v>1928.571428571428</v>
          </cell>
          <cell r="AA74">
            <v>229.59183673469383</v>
          </cell>
          <cell r="AB74">
            <v>55.388964194796174</v>
          </cell>
          <cell r="AC74">
            <v>6.5939243089043069</v>
          </cell>
          <cell r="AD74">
            <v>1.9444444444444444</v>
          </cell>
          <cell r="AE74">
            <v>0.31818181818181818</v>
          </cell>
        </row>
        <row r="75">
          <cell r="A75" t="str">
            <v>蔡阳</v>
          </cell>
          <cell r="B75">
            <v>0</v>
          </cell>
          <cell r="C75">
            <v>2</v>
          </cell>
          <cell r="D75">
            <v>1</v>
          </cell>
          <cell r="E75">
            <v>1</v>
          </cell>
          <cell r="F75" t="str">
            <v>武官-杀将</v>
          </cell>
          <cell r="G75">
            <v>1.01</v>
          </cell>
          <cell r="H75">
            <v>1.05</v>
          </cell>
          <cell r="I75">
            <v>195.47978436657684</v>
          </cell>
          <cell r="J75">
            <v>28.180592991913748</v>
          </cell>
          <cell r="K75">
            <v>3.1750000000000003</v>
          </cell>
          <cell r="L75">
            <v>1.7750000000000004</v>
          </cell>
          <cell r="M75" t="str">
            <v>步兵</v>
          </cell>
          <cell r="N75" t="str">
            <v/>
          </cell>
          <cell r="O75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5" t="str">
            <v>10,20,40,60,80</v>
          </cell>
          <cell r="Q75" t="str">
            <v>4,120,0,0,0,0</v>
          </cell>
          <cell r="R75" t="str">
            <v>4,180,5,160,0,0</v>
          </cell>
          <cell r="S75" t="str">
            <v>4,270,5,220,6,200</v>
          </cell>
          <cell r="T75" t="str">
            <v>4,330,5,280,6,240</v>
          </cell>
          <cell r="U75" t="str">
            <v>4,390,5,340,6,300</v>
          </cell>
          <cell r="V75">
            <v>10</v>
          </cell>
          <cell r="W75">
            <v>6</v>
          </cell>
          <cell r="X75">
            <v>21501</v>
          </cell>
          <cell r="Z75">
            <v>2024.9999999999995</v>
          </cell>
          <cell r="AA75">
            <v>241.07142857142853</v>
          </cell>
          <cell r="AB75">
            <v>52.751394471234448</v>
          </cell>
          <cell r="AC75">
            <v>6.2799279132421963</v>
          </cell>
          <cell r="AD75">
            <v>1.9444444444444444</v>
          </cell>
          <cell r="AE75">
            <v>0.31818181818181818</v>
          </cell>
        </row>
        <row r="76">
          <cell r="A76" t="str">
            <v>张闿</v>
          </cell>
          <cell r="B76">
            <v>0</v>
          </cell>
          <cell r="C76">
            <v>2</v>
          </cell>
          <cell r="D76">
            <v>1</v>
          </cell>
          <cell r="E76">
            <v>1</v>
          </cell>
          <cell r="F76" t="str">
            <v>武官-杀将</v>
          </cell>
          <cell r="G76">
            <v>1</v>
          </cell>
          <cell r="H76">
            <v>1</v>
          </cell>
          <cell r="I76">
            <v>163.01293800539085</v>
          </cell>
          <cell r="J76">
            <v>31.974663072776281</v>
          </cell>
          <cell r="K76">
            <v>3.9749999999999996</v>
          </cell>
          <cell r="L76">
            <v>2.5750000000000002</v>
          </cell>
          <cell r="M76" t="str">
            <v>枪兵</v>
          </cell>
          <cell r="N76" t="str">
            <v/>
          </cell>
          <cell r="O76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6" t="str">
            <v>10,20,40,60,80</v>
          </cell>
          <cell r="Q76" t="str">
            <v>4,120,0,0,0,0</v>
          </cell>
          <cell r="R76" t="str">
            <v>4,180,5,160,0,0</v>
          </cell>
          <cell r="S76" t="str">
            <v>4,270,5,220,6,200</v>
          </cell>
          <cell r="T76" t="str">
            <v>4,330,5,280,6,240</v>
          </cell>
          <cell r="U76" t="str">
            <v>4,390,5,340,6,300</v>
          </cell>
          <cell r="V76">
            <v>10</v>
          </cell>
          <cell r="W76">
            <v>6</v>
          </cell>
          <cell r="X76">
            <v>21504</v>
          </cell>
          <cell r="Z76">
            <v>1928.571428571428</v>
          </cell>
          <cell r="AA76">
            <v>229.59183673469383</v>
          </cell>
          <cell r="AB76">
            <v>55.388964194796174</v>
          </cell>
          <cell r="AC76">
            <v>6.5939243089043069</v>
          </cell>
          <cell r="AD76">
            <v>1.3888888888888888</v>
          </cell>
          <cell r="AE76">
            <v>0.22727272727272727</v>
          </cell>
        </row>
        <row r="77">
          <cell r="A77" t="str">
            <v>高览</v>
          </cell>
          <cell r="B77">
            <v>0</v>
          </cell>
          <cell r="C77">
            <v>2</v>
          </cell>
          <cell r="D77">
            <v>1</v>
          </cell>
          <cell r="E77">
            <v>1</v>
          </cell>
          <cell r="F77" t="str">
            <v>武官-杀将</v>
          </cell>
          <cell r="G77">
            <v>1</v>
          </cell>
          <cell r="H77">
            <v>1.05</v>
          </cell>
          <cell r="I77">
            <v>193.09784366576821</v>
          </cell>
          <cell r="J77">
            <v>26.427493261455524</v>
          </cell>
          <cell r="K77">
            <v>3.2750000000000004</v>
          </cell>
          <cell r="L77">
            <v>1.8750000000000004</v>
          </cell>
          <cell r="M77" t="str">
            <v>步兵</v>
          </cell>
          <cell r="N77" t="str">
            <v/>
          </cell>
          <cell r="O77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7" t="str">
            <v>10,20,40,60,80</v>
          </cell>
          <cell r="Q77" t="str">
            <v>4,120,0,0,0,0</v>
          </cell>
          <cell r="R77" t="str">
            <v>4,180,5,160,0,0</v>
          </cell>
          <cell r="S77" t="str">
            <v>4,270,5,220,6,200</v>
          </cell>
          <cell r="T77" t="str">
            <v>4,330,5,280,6,240</v>
          </cell>
          <cell r="U77" t="str">
            <v>4,390,5,340,6,300</v>
          </cell>
          <cell r="V77">
            <v>10</v>
          </cell>
          <cell r="W77">
            <v>6</v>
          </cell>
          <cell r="X77">
            <v>21501</v>
          </cell>
          <cell r="Z77">
            <v>2024.9999999999995</v>
          </cell>
          <cell r="AA77">
            <v>241.07142857142853</v>
          </cell>
          <cell r="AB77">
            <v>52.751394471234448</v>
          </cell>
          <cell r="AC77">
            <v>6.2799279132421963</v>
          </cell>
          <cell r="AD77">
            <v>1.3888888888888888</v>
          </cell>
          <cell r="AE77">
            <v>0.22727272727272727</v>
          </cell>
        </row>
        <row r="78">
          <cell r="A78" t="str">
            <v>李严</v>
          </cell>
          <cell r="B78">
            <v>0</v>
          </cell>
          <cell r="C78">
            <v>1</v>
          </cell>
          <cell r="D78">
            <v>0</v>
          </cell>
          <cell r="E78">
            <v>1</v>
          </cell>
          <cell r="G78">
            <v>1.02</v>
          </cell>
          <cell r="H78">
            <v>1</v>
          </cell>
          <cell r="I78">
            <v>130.5530997304582</v>
          </cell>
          <cell r="J78">
            <v>16.928301886792454</v>
          </cell>
          <cell r="K78">
            <v>3.2499999999999996</v>
          </cell>
          <cell r="L78">
            <v>2.5499999999999998</v>
          </cell>
          <cell r="M78" t="str">
            <v>枪兵</v>
          </cell>
          <cell r="N78" t="str">
            <v/>
          </cell>
          <cell r="O7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78" t="str">
            <v>10,20,40,60,80</v>
          </cell>
          <cell r="Q78" t="str">
            <v>4,90,0,0,0,0</v>
          </cell>
          <cell r="R78" t="str">
            <v>4,150,5,120,0,0</v>
          </cell>
          <cell r="S78" t="str">
            <v>4,180,5,160,6,140</v>
          </cell>
          <cell r="T78" t="str">
            <v>4,240,5,200,6,180</v>
          </cell>
          <cell r="U78" t="str">
            <v>4,300,5,240,6,220</v>
          </cell>
          <cell r="V78">
            <v>1</v>
          </cell>
          <cell r="W78">
            <v>4</v>
          </cell>
          <cell r="X78">
            <v>21504</v>
          </cell>
          <cell r="Z78">
            <v>1799.9999999999993</v>
          </cell>
          <cell r="AA78">
            <v>214.28571428571422</v>
          </cell>
          <cell r="AB78">
            <v>51.696366581809762</v>
          </cell>
          <cell r="AC78">
            <v>6.154329354977353</v>
          </cell>
          <cell r="AD78">
            <v>0.29906542056074764</v>
          </cell>
          <cell r="AE78">
            <v>7.582938388625593E-2</v>
          </cell>
        </row>
        <row r="79">
          <cell r="A79" t="str">
            <v>严白虎</v>
          </cell>
          <cell r="B79">
            <v>0</v>
          </cell>
          <cell r="C79">
            <v>1</v>
          </cell>
          <cell r="D79">
            <v>0</v>
          </cell>
          <cell r="E79">
            <v>1</v>
          </cell>
          <cell r="G79">
            <v>1.02</v>
          </cell>
          <cell r="H79">
            <v>1.05</v>
          </cell>
          <cell r="I79">
            <v>173.67412398921834</v>
          </cell>
          <cell r="J79">
            <v>29.70943396226415</v>
          </cell>
          <cell r="K79">
            <v>3.4</v>
          </cell>
          <cell r="L79">
            <v>2.0000000000000004</v>
          </cell>
          <cell r="M79" t="str">
            <v>步兵</v>
          </cell>
          <cell r="N79" t="str">
            <v/>
          </cell>
          <cell r="O79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79" t="str">
            <v>10,20,40,60,80</v>
          </cell>
          <cell r="Q79" t="str">
            <v>4,90,0,0,0,0</v>
          </cell>
          <cell r="R79" t="str">
            <v>4,150,5,120,0,0</v>
          </cell>
          <cell r="S79" t="str">
            <v>4,180,5,160,6,140</v>
          </cell>
          <cell r="T79" t="str">
            <v>4,240,5,200,6,180</v>
          </cell>
          <cell r="U79" t="str">
            <v>4,300,5,240,6,220</v>
          </cell>
          <cell r="V79">
            <v>1</v>
          </cell>
          <cell r="W79">
            <v>4</v>
          </cell>
          <cell r="X79">
            <v>21501</v>
          </cell>
          <cell r="Z79">
            <v>1889.9999999999993</v>
          </cell>
          <cell r="AA79">
            <v>224.99999999999994</v>
          </cell>
          <cell r="AB79">
            <v>49.234634839818817</v>
          </cell>
          <cell r="AC79">
            <v>5.8612660523593831</v>
          </cell>
          <cell r="AD79">
            <v>0.29906542056074764</v>
          </cell>
          <cell r="AE79">
            <v>7.582938388625593E-2</v>
          </cell>
        </row>
        <row r="80">
          <cell r="A80" t="str">
            <v>王门</v>
          </cell>
          <cell r="B80">
            <v>0</v>
          </cell>
          <cell r="C80">
            <v>1</v>
          </cell>
          <cell r="D80">
            <v>0</v>
          </cell>
          <cell r="E80">
            <v>1</v>
          </cell>
          <cell r="G80">
            <v>1.01</v>
          </cell>
          <cell r="H80">
            <v>1</v>
          </cell>
          <cell r="I80">
            <v>129.75309973045822</v>
          </cell>
          <cell r="J80">
            <v>17.328301886792453</v>
          </cell>
          <cell r="K80">
            <v>3.2499999999999996</v>
          </cell>
          <cell r="L80">
            <v>2.5499999999999998</v>
          </cell>
          <cell r="M80" t="str">
            <v>枪兵</v>
          </cell>
          <cell r="N80" t="str">
            <v/>
          </cell>
          <cell r="O80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0" t="str">
            <v>10,20,40,60,80</v>
          </cell>
          <cell r="Q80" t="str">
            <v>4,90,0,0,0,0</v>
          </cell>
          <cell r="R80" t="str">
            <v>4,150,5,120,0,0</v>
          </cell>
          <cell r="S80" t="str">
            <v>4,180,5,160,6,140</v>
          </cell>
          <cell r="T80" t="str">
            <v>4,240,5,200,6,180</v>
          </cell>
          <cell r="U80" t="str">
            <v>4,300,5,240,6,220</v>
          </cell>
          <cell r="V80">
            <v>1</v>
          </cell>
          <cell r="W80">
            <v>4</v>
          </cell>
          <cell r="X80">
            <v>21504</v>
          </cell>
          <cell r="Z80">
            <v>1799.9999999999993</v>
          </cell>
          <cell r="AA80">
            <v>214.28571428571422</v>
          </cell>
          <cell r="AB80">
            <v>51.696366581809762</v>
          </cell>
          <cell r="AC80">
            <v>6.154329354977353</v>
          </cell>
          <cell r="AD80">
            <v>0.26168224299065418</v>
          </cell>
          <cell r="AE80">
            <v>6.6350710900473939E-2</v>
          </cell>
        </row>
        <row r="81">
          <cell r="A81" t="str">
            <v>程远志</v>
          </cell>
          <cell r="B81">
            <v>0</v>
          </cell>
          <cell r="C81">
            <v>1</v>
          </cell>
          <cell r="D81">
            <v>0</v>
          </cell>
          <cell r="E81">
            <v>1</v>
          </cell>
          <cell r="G81">
            <v>1.01</v>
          </cell>
          <cell r="H81">
            <v>1.05</v>
          </cell>
          <cell r="I81">
            <v>174.49218328840973</v>
          </cell>
          <cell r="J81">
            <v>26.933153638814016</v>
          </cell>
          <cell r="K81">
            <v>3.55</v>
          </cell>
          <cell r="L81">
            <v>2.1500000000000004</v>
          </cell>
          <cell r="M81" t="str">
            <v>步兵</v>
          </cell>
          <cell r="N81" t="str">
            <v/>
          </cell>
          <cell r="O81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1" t="str">
            <v>10,20,40,60,80</v>
          </cell>
          <cell r="Q81" t="str">
            <v>4,90,0,0,0,0</v>
          </cell>
          <cell r="R81" t="str">
            <v>4,150,5,120,0,0</v>
          </cell>
          <cell r="S81" t="str">
            <v>4,180,5,160,6,140</v>
          </cell>
          <cell r="T81" t="str">
            <v>4,240,5,200,6,180</v>
          </cell>
          <cell r="U81" t="str">
            <v>4,300,5,240,6,220</v>
          </cell>
          <cell r="V81">
            <v>1</v>
          </cell>
          <cell r="W81">
            <v>4</v>
          </cell>
          <cell r="X81">
            <v>21501</v>
          </cell>
          <cell r="Z81">
            <v>1889.9999999999993</v>
          </cell>
          <cell r="AA81">
            <v>224.99999999999994</v>
          </cell>
          <cell r="AB81">
            <v>49.234634839818817</v>
          </cell>
          <cell r="AC81">
            <v>5.8612660523593831</v>
          </cell>
          <cell r="AD81">
            <v>0.26168224299065418</v>
          </cell>
          <cell r="AE81">
            <v>6.6350710900473939E-2</v>
          </cell>
        </row>
        <row r="82">
          <cell r="A82" t="str">
            <v>马铁</v>
          </cell>
          <cell r="B82">
            <v>0</v>
          </cell>
          <cell r="C82">
            <v>1</v>
          </cell>
          <cell r="D82">
            <v>0</v>
          </cell>
          <cell r="E82">
            <v>1</v>
          </cell>
          <cell r="G82">
            <v>1</v>
          </cell>
          <cell r="H82">
            <v>1</v>
          </cell>
          <cell r="I82">
            <v>130.5530997304582</v>
          </cell>
          <cell r="J82">
            <v>16.928301886792454</v>
          </cell>
          <cell r="K82">
            <v>3.2499999999999996</v>
          </cell>
          <cell r="L82">
            <v>2.5499999999999998</v>
          </cell>
          <cell r="M82" t="str">
            <v>枪兵</v>
          </cell>
          <cell r="N82" t="str">
            <v/>
          </cell>
          <cell r="O82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2" t="str">
            <v>10,20,40,60,80</v>
          </cell>
          <cell r="Q82" t="str">
            <v>4,90,0,0,0,0</v>
          </cell>
          <cell r="R82" t="str">
            <v>4,150,5,120,0,0</v>
          </cell>
          <cell r="S82" t="str">
            <v>4,180,5,160,6,140</v>
          </cell>
          <cell r="T82" t="str">
            <v>4,240,5,200,6,180</v>
          </cell>
          <cell r="U82" t="str">
            <v>4,300,5,240,6,220</v>
          </cell>
          <cell r="V82">
            <v>1</v>
          </cell>
          <cell r="W82">
            <v>4</v>
          </cell>
          <cell r="X82">
            <v>21504</v>
          </cell>
          <cell r="Z82">
            <v>1799.9999999999993</v>
          </cell>
          <cell r="AA82">
            <v>214.28571428571422</v>
          </cell>
          <cell r="AB82">
            <v>51.696366581809762</v>
          </cell>
          <cell r="AC82">
            <v>6.154329354977353</v>
          </cell>
          <cell r="AD82">
            <v>0.22429906542056074</v>
          </cell>
          <cell r="AE82">
            <v>5.6872037914691941E-2</v>
          </cell>
        </row>
        <row r="83">
          <cell r="A83" t="str">
            <v>张横</v>
          </cell>
          <cell r="B83">
            <v>0</v>
          </cell>
          <cell r="C83">
            <v>1</v>
          </cell>
          <cell r="D83">
            <v>0</v>
          </cell>
          <cell r="E83">
            <v>1</v>
          </cell>
          <cell r="G83">
            <v>1</v>
          </cell>
          <cell r="H83">
            <v>1.05</v>
          </cell>
          <cell r="I83">
            <v>177.0824797843666</v>
          </cell>
          <cell r="J83">
            <v>26.933153638814016</v>
          </cell>
          <cell r="K83">
            <v>3.55</v>
          </cell>
          <cell r="L83">
            <v>2.1500000000000004</v>
          </cell>
          <cell r="M83" t="str">
            <v>步兵</v>
          </cell>
          <cell r="N83" t="str">
            <v/>
          </cell>
          <cell r="O83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3" t="str">
            <v>10,20,40,60,80</v>
          </cell>
          <cell r="Q83" t="str">
            <v>4,90,0,0,0,0</v>
          </cell>
          <cell r="R83" t="str">
            <v>4,150,5,120,0,0</v>
          </cell>
          <cell r="S83" t="str">
            <v>4,180,5,160,6,140</v>
          </cell>
          <cell r="T83" t="str">
            <v>4,240,5,200,6,180</v>
          </cell>
          <cell r="U83" t="str">
            <v>4,300,5,240,6,220</v>
          </cell>
          <cell r="V83">
            <v>1</v>
          </cell>
          <cell r="W83">
            <v>4</v>
          </cell>
          <cell r="X83">
            <v>21501</v>
          </cell>
          <cell r="Z83">
            <v>1889.9999999999993</v>
          </cell>
          <cell r="AA83">
            <v>224.99999999999994</v>
          </cell>
          <cell r="AB83">
            <v>49.234634839818817</v>
          </cell>
          <cell r="AC83">
            <v>5.8612660523593831</v>
          </cell>
          <cell r="AD83">
            <v>0.22429906542056074</v>
          </cell>
          <cell r="AE83">
            <v>5.6872037914691941E-2</v>
          </cell>
        </row>
        <row r="84">
          <cell r="A84" t="str">
            <v>马云禄</v>
          </cell>
          <cell r="B84">
            <v>1</v>
          </cell>
          <cell r="C84">
            <v>3</v>
          </cell>
          <cell r="D84">
            <v>2</v>
          </cell>
          <cell r="E84">
            <v>0</v>
          </cell>
          <cell r="F84" t="str">
            <v>武官-杀将</v>
          </cell>
          <cell r="G84">
            <v>1.01</v>
          </cell>
          <cell r="H84">
            <v>1</v>
          </cell>
          <cell r="I84">
            <v>128.79123989218328</v>
          </cell>
          <cell r="J84">
            <v>64.314959568733158</v>
          </cell>
          <cell r="K84">
            <v>3.85</v>
          </cell>
          <cell r="L84">
            <v>5.8499999999999988</v>
          </cell>
          <cell r="M84" t="str">
            <v>弓兵</v>
          </cell>
          <cell r="N84">
            <v>12027</v>
          </cell>
          <cell r="O8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84" t="str">
            <v>10,20,40,60,80</v>
          </cell>
          <cell r="Q84" t="str">
            <v>4,150,0,0,0,0</v>
          </cell>
          <cell r="R84" t="str">
            <v>4,240,5,200,0,0</v>
          </cell>
          <cell r="S84" t="str">
            <v>4,330,5,280,6,240</v>
          </cell>
          <cell r="T84" t="str">
            <v>4,420,5,360,6,300</v>
          </cell>
          <cell r="U84" t="str">
            <v>4,480,5,420,6,360</v>
          </cell>
          <cell r="V84">
            <v>20</v>
          </cell>
          <cell r="W84">
            <v>8</v>
          </cell>
          <cell r="X84">
            <v>21508</v>
          </cell>
          <cell r="Z84">
            <v>1234.285714285714</v>
          </cell>
          <cell r="AA84">
            <v>146.93877551020407</v>
          </cell>
          <cell r="AB84">
            <v>79.7601084405065</v>
          </cell>
          <cell r="AC84">
            <v>9.4952510048222027</v>
          </cell>
          <cell r="AD84">
            <v>12.844036697247706</v>
          </cell>
          <cell r="AE84">
            <v>1.5217391304347827</v>
          </cell>
        </row>
        <row r="85">
          <cell r="A85" t="str">
            <v>庞德</v>
          </cell>
          <cell r="B85">
            <v>1</v>
          </cell>
          <cell r="C85">
            <v>3</v>
          </cell>
          <cell r="D85">
            <v>2</v>
          </cell>
          <cell r="E85">
            <v>0</v>
          </cell>
          <cell r="F85" t="str">
            <v>武官-杀将</v>
          </cell>
          <cell r="G85">
            <v>1</v>
          </cell>
          <cell r="H85">
            <v>1</v>
          </cell>
          <cell r="I85">
            <v>134.7420485175202</v>
          </cell>
          <cell r="J85">
            <v>68.183557951482484</v>
          </cell>
          <cell r="K85">
            <v>3.4499999999999997</v>
          </cell>
          <cell r="L85">
            <v>5.4499999999999993</v>
          </cell>
          <cell r="M85" t="str">
            <v>弓兵</v>
          </cell>
          <cell r="N85">
            <v>12029</v>
          </cell>
          <cell r="O8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85" t="str">
            <v>10,20,40,60,80</v>
          </cell>
          <cell r="Q85" t="str">
            <v>4,150,0,0,0,0</v>
          </cell>
          <cell r="R85" t="str">
            <v>4,240,5,200,0,0</v>
          </cell>
          <cell r="S85" t="str">
            <v>4,330,5,280,6,240</v>
          </cell>
          <cell r="T85" t="str">
            <v>4,420,5,360,6,300</v>
          </cell>
          <cell r="U85" t="str">
            <v>4,480,5,420,6,360</v>
          </cell>
          <cell r="V85">
            <v>20</v>
          </cell>
          <cell r="W85">
            <v>8</v>
          </cell>
          <cell r="X85">
            <v>21508</v>
          </cell>
          <cell r="Z85">
            <v>1234.285714285714</v>
          </cell>
          <cell r="AA85">
            <v>146.93877551020407</v>
          </cell>
          <cell r="AB85">
            <v>79.7601084405065</v>
          </cell>
          <cell r="AC85">
            <v>9.4952510048222027</v>
          </cell>
          <cell r="AD85">
            <v>11.009174311926605</v>
          </cell>
          <cell r="AE85">
            <v>1.3043478260869565</v>
          </cell>
        </row>
        <row r="86">
          <cell r="A86" t="str">
            <v>丁仪</v>
          </cell>
          <cell r="B86">
            <v>1</v>
          </cell>
          <cell r="C86">
            <v>2</v>
          </cell>
          <cell r="D86">
            <v>1</v>
          </cell>
          <cell r="E86">
            <v>0</v>
          </cell>
          <cell r="G86">
            <v>1.01</v>
          </cell>
          <cell r="H86">
            <v>1</v>
          </cell>
          <cell r="I86">
            <v>126.94123989218328</v>
          </cell>
          <cell r="J86">
            <v>57.643935309973045</v>
          </cell>
          <cell r="K86">
            <v>2.2750000000000004</v>
          </cell>
          <cell r="L86">
            <v>3.6749999999999998</v>
          </cell>
          <cell r="M86" t="str">
            <v>弓兵</v>
          </cell>
          <cell r="N86" t="str">
            <v/>
          </cell>
          <cell r="O86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86" t="str">
            <v>10,20,40,60,80</v>
          </cell>
          <cell r="Q86" t="str">
            <v>4,120,0,0,0,0</v>
          </cell>
          <cell r="R86" t="str">
            <v>4,180,5,160,0,0</v>
          </cell>
          <cell r="S86" t="str">
            <v>4,270,5,220,6,200</v>
          </cell>
          <cell r="T86" t="str">
            <v>4,330,5,280,6,240</v>
          </cell>
          <cell r="U86" t="str">
            <v>4,390,5,340,6,300</v>
          </cell>
          <cell r="V86">
            <v>10</v>
          </cell>
          <cell r="W86">
            <v>6</v>
          </cell>
          <cell r="X86">
            <v>21507</v>
          </cell>
          <cell r="Z86">
            <v>1157.1428571428569</v>
          </cell>
          <cell r="AA86">
            <v>137.7551020408163</v>
          </cell>
          <cell r="AB86">
            <v>74.775101662974834</v>
          </cell>
          <cell r="AC86">
            <v>8.9017978170208139</v>
          </cell>
          <cell r="AD86">
            <v>1.9444444444444444</v>
          </cell>
          <cell r="AE86">
            <v>0.31818181818181818</v>
          </cell>
        </row>
        <row r="87">
          <cell r="A87" t="str">
            <v>逢纪</v>
          </cell>
          <cell r="B87">
            <v>1</v>
          </cell>
          <cell r="C87">
            <v>2</v>
          </cell>
          <cell r="D87">
            <v>1</v>
          </cell>
          <cell r="E87">
            <v>0</v>
          </cell>
          <cell r="G87">
            <v>1</v>
          </cell>
          <cell r="H87">
            <v>1</v>
          </cell>
          <cell r="I87">
            <v>110.29029649595687</v>
          </cell>
          <cell r="J87">
            <v>70.239622641509442</v>
          </cell>
          <cell r="K87">
            <v>2.3750000000000004</v>
          </cell>
          <cell r="L87">
            <v>3.7749999999999995</v>
          </cell>
          <cell r="M87" t="str">
            <v>弓兵</v>
          </cell>
          <cell r="N87" t="str">
            <v/>
          </cell>
          <cell r="O87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87" t="str">
            <v>10,20,40,60,80</v>
          </cell>
          <cell r="Q87" t="str">
            <v>4,120,0,0,0,0</v>
          </cell>
          <cell r="R87" t="str">
            <v>4,180,5,160,0,0</v>
          </cell>
          <cell r="S87" t="str">
            <v>4,270,5,220,6,200</v>
          </cell>
          <cell r="T87" t="str">
            <v>4,330,5,280,6,240</v>
          </cell>
          <cell r="U87" t="str">
            <v>4,390,5,340,6,300</v>
          </cell>
          <cell r="V87">
            <v>10</v>
          </cell>
          <cell r="W87">
            <v>6</v>
          </cell>
          <cell r="X87">
            <v>21507</v>
          </cell>
          <cell r="Z87">
            <v>1157.1428571428569</v>
          </cell>
          <cell r="AA87">
            <v>137.7551020408163</v>
          </cell>
          <cell r="AB87">
            <v>74.775101662974834</v>
          </cell>
          <cell r="AC87">
            <v>8.9017978170208139</v>
          </cell>
          <cell r="AD87">
            <v>1.3888888888888888</v>
          </cell>
          <cell r="AE87">
            <v>0.22727272727272727</v>
          </cell>
        </row>
        <row r="88">
          <cell r="A88" t="str">
            <v>牛辅</v>
          </cell>
          <cell r="B88">
            <v>1</v>
          </cell>
          <cell r="C88">
            <v>1</v>
          </cell>
          <cell r="D88">
            <v>0</v>
          </cell>
          <cell r="E88">
            <v>0</v>
          </cell>
          <cell r="G88">
            <v>1.02</v>
          </cell>
          <cell r="H88">
            <v>1</v>
          </cell>
          <cell r="I88">
            <v>116.29703504043127</v>
          </cell>
          <cell r="J88">
            <v>23.424258760107818</v>
          </cell>
          <cell r="K88">
            <v>3.2499999999999996</v>
          </cell>
          <cell r="L88">
            <v>2.5499999999999998</v>
          </cell>
          <cell r="M88" t="str">
            <v>弓兵</v>
          </cell>
          <cell r="N88" t="str">
            <v/>
          </cell>
          <cell r="O8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8" t="str">
            <v>10,20,40,60,80</v>
          </cell>
          <cell r="Q88" t="str">
            <v>4,90,0,0,0,0</v>
          </cell>
          <cell r="R88" t="str">
            <v>4,150,5,120,0,0</v>
          </cell>
          <cell r="S88" t="str">
            <v>4,180,5,160,6,140</v>
          </cell>
          <cell r="T88" t="str">
            <v>4,240,5,200,6,180</v>
          </cell>
          <cell r="U88" t="str">
            <v>4,300,5,240,6,220</v>
          </cell>
          <cell r="V88">
            <v>1</v>
          </cell>
          <cell r="W88">
            <v>4</v>
          </cell>
          <cell r="X88">
            <v>21507</v>
          </cell>
          <cell r="Z88">
            <v>1079.9999999999995</v>
          </cell>
          <cell r="AA88">
            <v>128.57142857142853</v>
          </cell>
          <cell r="AB88">
            <v>69.790094885443182</v>
          </cell>
          <cell r="AC88">
            <v>8.3083446292194267</v>
          </cell>
          <cell r="AD88">
            <v>0.29906542056074764</v>
          </cell>
          <cell r="AE88">
            <v>7.582938388625593E-2</v>
          </cell>
        </row>
        <row r="89">
          <cell r="A89" t="str">
            <v>张球</v>
          </cell>
          <cell r="B89">
            <v>1</v>
          </cell>
          <cell r="C89">
            <v>1</v>
          </cell>
          <cell r="D89">
            <v>0</v>
          </cell>
          <cell r="E89">
            <v>0</v>
          </cell>
          <cell r="G89">
            <v>1.01</v>
          </cell>
          <cell r="H89">
            <v>1</v>
          </cell>
          <cell r="I89">
            <v>116.54986522911051</v>
          </cell>
          <cell r="J89">
            <v>23.929919137466307</v>
          </cell>
          <cell r="K89">
            <v>3.2499999999999996</v>
          </cell>
          <cell r="L89">
            <v>2.5499999999999998</v>
          </cell>
          <cell r="M89" t="str">
            <v>弓兵</v>
          </cell>
          <cell r="N89" t="str">
            <v/>
          </cell>
          <cell r="O89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9" t="str">
            <v>10,20,40,60,80</v>
          </cell>
          <cell r="Q89" t="str">
            <v>4,90,0,0,0,0</v>
          </cell>
          <cell r="R89" t="str">
            <v>4,150,5,120,0,0</v>
          </cell>
          <cell r="S89" t="str">
            <v>4,180,5,160,6,140</v>
          </cell>
          <cell r="T89" t="str">
            <v>4,240,5,200,6,180</v>
          </cell>
          <cell r="U89" t="str">
            <v>4,300,5,240,6,220</v>
          </cell>
          <cell r="V89">
            <v>1</v>
          </cell>
          <cell r="W89">
            <v>4</v>
          </cell>
          <cell r="X89">
            <v>21507</v>
          </cell>
          <cell r="Z89">
            <v>1079.9999999999995</v>
          </cell>
          <cell r="AA89">
            <v>128.57142857142853</v>
          </cell>
          <cell r="AB89">
            <v>69.790094885443182</v>
          </cell>
          <cell r="AC89">
            <v>8.3083446292194267</v>
          </cell>
          <cell r="AD89">
            <v>0.26168224299065418</v>
          </cell>
          <cell r="AE89">
            <v>6.6350710900473939E-2</v>
          </cell>
        </row>
        <row r="90">
          <cell r="A90" t="str">
            <v>韩当</v>
          </cell>
          <cell r="B90">
            <v>1</v>
          </cell>
          <cell r="C90">
            <v>1</v>
          </cell>
          <cell r="D90">
            <v>0</v>
          </cell>
          <cell r="E90">
            <v>0</v>
          </cell>
          <cell r="G90">
            <v>1</v>
          </cell>
          <cell r="H90">
            <v>1</v>
          </cell>
          <cell r="I90">
            <v>119.04474393530998</v>
          </cell>
          <cell r="J90">
            <v>22.682479784366578</v>
          </cell>
          <cell r="K90">
            <v>3.2499999999999996</v>
          </cell>
          <cell r="L90">
            <v>2.5499999999999998</v>
          </cell>
          <cell r="M90" t="str">
            <v>弓兵</v>
          </cell>
          <cell r="N90" t="str">
            <v/>
          </cell>
          <cell r="O90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90" t="str">
            <v>10,20,40,60,80</v>
          </cell>
          <cell r="Q90" t="str">
            <v>4,90,0,0,0,0</v>
          </cell>
          <cell r="R90" t="str">
            <v>4,150,5,120,0,0</v>
          </cell>
          <cell r="S90" t="str">
            <v>4,180,5,160,6,140</v>
          </cell>
          <cell r="T90" t="str">
            <v>4,240,5,200,6,180</v>
          </cell>
          <cell r="U90" t="str">
            <v>4,300,5,240,6,220</v>
          </cell>
          <cell r="V90">
            <v>1</v>
          </cell>
          <cell r="W90">
            <v>4</v>
          </cell>
          <cell r="X90">
            <v>21507</v>
          </cell>
          <cell r="Z90">
            <v>1079.9999999999995</v>
          </cell>
          <cell r="AA90">
            <v>128.57142857142853</v>
          </cell>
          <cell r="AB90">
            <v>69.790094885443182</v>
          </cell>
          <cell r="AC90">
            <v>8.3083446292194267</v>
          </cell>
          <cell r="AD90">
            <v>0.22429906542056074</v>
          </cell>
          <cell r="AE90">
            <v>5.6872037914691941E-2</v>
          </cell>
        </row>
      </sheetData>
      <sheetData sheetId="20">
        <row r="2">
          <cell r="A2" t="str">
            <v>武将引用</v>
          </cell>
        </row>
      </sheetData>
      <sheetData sheetId="21">
        <row r="2">
          <cell r="D2" t="str">
            <v>释放特效</v>
          </cell>
        </row>
      </sheetData>
      <sheetData sheetId="22">
        <row r="2">
          <cell r="B2" t="str">
            <v>ID</v>
          </cell>
        </row>
      </sheetData>
      <sheetData sheetId="23">
        <row r="1">
          <cell r="A1" t="str">
            <v>天赋</v>
          </cell>
        </row>
      </sheetData>
      <sheetData sheetId="24">
        <row r="2">
          <cell r="G2">
            <v>4</v>
          </cell>
        </row>
      </sheetData>
      <sheetData sheetId="25">
        <row r="2">
          <cell r="L2" t="str">
            <v>铁剑</v>
          </cell>
        </row>
      </sheetData>
      <sheetData sheetId="26">
        <row r="4">
          <cell r="C4" t="str">
            <v>李贝</v>
          </cell>
        </row>
      </sheetData>
      <sheetData sheetId="27"/>
      <sheetData sheetId="28">
        <row r="5">
          <cell r="B5" t="str">
            <v>布阵</v>
          </cell>
        </row>
      </sheetData>
      <sheetData sheetId="29">
        <row r="2">
          <cell r="H2" t="str">
            <v>诸葛亮</v>
          </cell>
        </row>
      </sheetData>
      <sheetData sheetId="30">
        <row r="1">
          <cell r="H1" t="str">
            <v>装备名·</v>
          </cell>
        </row>
      </sheetData>
      <sheetData sheetId="31">
        <row r="1">
          <cell r="B1" t="str">
            <v>武将</v>
          </cell>
        </row>
      </sheetData>
      <sheetData sheetId="32">
        <row r="2">
          <cell r="A2" t="str">
            <v>军师袍</v>
          </cell>
        </row>
      </sheetData>
      <sheetData sheetId="33">
        <row r="2">
          <cell r="F2" t="str">
            <v>同一副本内概率：</v>
          </cell>
        </row>
      </sheetData>
      <sheetData sheetId="34">
        <row r="5">
          <cell r="A5" t="str">
            <v>章节</v>
          </cell>
        </row>
      </sheetData>
      <sheetData sheetId="35">
        <row r="2">
          <cell r="K2" t="str">
            <v>战魂</v>
          </cell>
        </row>
      </sheetData>
      <sheetData sheetId="36">
        <row r="2">
          <cell r="C2" t="str">
            <v>品质</v>
          </cell>
        </row>
      </sheetData>
      <sheetData sheetId="37">
        <row r="3">
          <cell r="C3" t="str">
            <v>1,2,3,4,5,6,7,8,9,10,11,12,13,14,15,16,17,18,19,20,22,24,26,28,30,32,34,36,38,40,45,50,55,60,65,70,75,80,85,90,95,100,110,120,130,140,150,160,170,180,190,200,220,240,260,280,300,320,340,360,380,400,420,440,460,480,500,600,700,800,900,1000,1200,1400,1600,1800,2000,2500,3000,3500,4000,4500,5000,5500,6000,6500,7000,7500,8000,8500,9000,9500,10000,11000,12000,13000,14000,15000,16000,17000,18000,19000,20000</v>
          </cell>
        </row>
      </sheetData>
      <sheetData sheetId="38">
        <row r="6">
          <cell r="B6" t="str">
            <v>累计</v>
          </cell>
        </row>
      </sheetData>
      <sheetData sheetId="39">
        <row r="5">
          <cell r="C5" t="str">
            <v>主角_买金币_次数</v>
          </cell>
        </row>
      </sheetData>
      <sheetData sheetId="40">
        <row r="2">
          <cell r="A2" t="str">
            <v>金币抽奖</v>
          </cell>
        </row>
      </sheetData>
      <sheetData sheetId="4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"/>
      <sheetName val="卡牌显示属性"/>
      <sheetName val="备注"/>
      <sheetName val="CardLevel"/>
      <sheetName val="Troop"/>
      <sheetName val="Spell"/>
      <sheetName val="Building"/>
      <sheetName val="Tower"/>
      <sheetName val="GM卡牌"/>
      <sheetName val="一级属性"/>
      <sheetName val="攻击帧数"/>
      <sheetName val="卡牌顺序"/>
      <sheetName val="导出CSV"/>
      <sheetName val="角色比例"/>
      <sheetName val="wiki"/>
      <sheetName val="特效用到的字"/>
    </sheetNames>
    <sheetDataSet>
      <sheetData sheetId="0"/>
      <sheetData sheetId="1"/>
      <sheetData sheetId="2"/>
      <sheetData sheetId="3">
        <row r="7">
          <cell r="D7">
            <v>1</v>
          </cell>
        </row>
        <row r="8">
          <cell r="D8">
            <v>2</v>
          </cell>
        </row>
        <row r="9">
          <cell r="D9">
            <v>4</v>
          </cell>
        </row>
        <row r="10">
          <cell r="D10">
            <v>10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100</v>
          </cell>
        </row>
        <row r="14">
          <cell r="D14">
            <v>200</v>
          </cell>
        </row>
        <row r="15">
          <cell r="D15">
            <v>400</v>
          </cell>
        </row>
        <row r="16">
          <cell r="D16">
            <v>800</v>
          </cell>
        </row>
        <row r="17">
          <cell r="D17">
            <v>1000</v>
          </cell>
        </row>
        <row r="18">
          <cell r="D18">
            <v>2000</v>
          </cell>
        </row>
        <row r="19">
          <cell r="D19">
            <v>5000</v>
          </cell>
        </row>
        <row r="20">
          <cell r="D20">
            <v>1</v>
          </cell>
        </row>
        <row r="21">
          <cell r="D21">
            <v>2</v>
          </cell>
        </row>
        <row r="22">
          <cell r="D22">
            <v>4</v>
          </cell>
        </row>
        <row r="23">
          <cell r="D23">
            <v>10</v>
          </cell>
        </row>
        <row r="24">
          <cell r="D24">
            <v>20</v>
          </cell>
        </row>
        <row r="25">
          <cell r="D25">
            <v>50</v>
          </cell>
        </row>
        <row r="26">
          <cell r="D26">
            <v>100</v>
          </cell>
        </row>
        <row r="27">
          <cell r="D27">
            <v>200</v>
          </cell>
        </row>
        <row r="28">
          <cell r="D28">
            <v>400</v>
          </cell>
        </row>
        <row r="29">
          <cell r="D29">
            <v>800</v>
          </cell>
        </row>
        <row r="30">
          <cell r="D30">
            <v>1000</v>
          </cell>
        </row>
        <row r="31">
          <cell r="D31">
            <v>1</v>
          </cell>
        </row>
        <row r="32">
          <cell r="D32">
            <v>2</v>
          </cell>
        </row>
        <row r="33">
          <cell r="D33">
            <v>4</v>
          </cell>
        </row>
        <row r="34">
          <cell r="D34">
            <v>10</v>
          </cell>
        </row>
        <row r="35">
          <cell r="D35">
            <v>20</v>
          </cell>
        </row>
        <row r="36">
          <cell r="D36">
            <v>50</v>
          </cell>
        </row>
        <row r="37">
          <cell r="D37">
            <v>100</v>
          </cell>
        </row>
        <row r="38">
          <cell r="D38">
            <v>200</v>
          </cell>
        </row>
        <row r="39">
          <cell r="D39">
            <v>1</v>
          </cell>
        </row>
        <row r="40">
          <cell r="D40">
            <v>2</v>
          </cell>
        </row>
        <row r="41">
          <cell r="D41">
            <v>4</v>
          </cell>
        </row>
        <row r="42">
          <cell r="D42">
            <v>10</v>
          </cell>
        </row>
      </sheetData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</row>
      </sheetData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A6:B20"/>
  <sheetViews>
    <sheetView workbookViewId="0">
      <selection activeCell="M26" sqref="M26"/>
    </sheetView>
  </sheetViews>
  <sheetFormatPr defaultRowHeight="13.5"/>
  <cols>
    <col min="1" max="1" width="21" customWidth="1"/>
  </cols>
  <sheetData>
    <row r="6" spans="1:2">
      <c r="A6" s="20">
        <v>42431</v>
      </c>
      <c r="B6" s="3" t="s">
        <v>69</v>
      </c>
    </row>
    <row r="9" spans="1:2">
      <c r="A9" s="20">
        <v>42432</v>
      </c>
      <c r="B9" s="3" t="s">
        <v>75</v>
      </c>
    </row>
    <row r="11" spans="1:2">
      <c r="A11" s="20">
        <v>42434</v>
      </c>
      <c r="B11" s="3" t="s">
        <v>196</v>
      </c>
    </row>
    <row r="12" spans="1:2">
      <c r="B12" s="3" t="s">
        <v>205</v>
      </c>
    </row>
    <row r="15" spans="1:2">
      <c r="A15" s="20">
        <v>42446</v>
      </c>
      <c r="B15" s="3" t="s">
        <v>229</v>
      </c>
    </row>
    <row r="18" spans="2:2">
      <c r="B18" s="3" t="s">
        <v>232</v>
      </c>
    </row>
    <row r="19" spans="2:2">
      <c r="B19" s="3" t="s">
        <v>230</v>
      </c>
    </row>
    <row r="20" spans="2:2">
      <c r="B20" s="3" t="s">
        <v>231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142"/>
  <sheetViews>
    <sheetView topLeftCell="A37" workbookViewId="0">
      <selection activeCell="K69" sqref="K69"/>
    </sheetView>
  </sheetViews>
  <sheetFormatPr defaultColWidth="9" defaultRowHeight="13.5"/>
  <sheetData>
    <row r="2" spans="2:17" ht="15">
      <c r="E2" s="64" t="s">
        <v>233</v>
      </c>
    </row>
    <row r="3" spans="2:17" ht="15">
      <c r="E3" s="64" t="s">
        <v>234</v>
      </c>
    </row>
    <row r="4" spans="2:17" ht="15">
      <c r="E4" s="64" t="s">
        <v>235</v>
      </c>
    </row>
    <row r="5" spans="2:17" ht="15">
      <c r="E5" s="64" t="s">
        <v>236</v>
      </c>
    </row>
    <row r="8" spans="2:17">
      <c r="B8" s="21" t="s">
        <v>81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2:17">
      <c r="B9" s="2" t="s">
        <v>4</v>
      </c>
      <c r="C9" s="2" t="s">
        <v>27</v>
      </c>
      <c r="D9" s="5" t="s">
        <v>6</v>
      </c>
      <c r="H9" s="4" t="s">
        <v>200</v>
      </c>
    </row>
    <row r="10" spans="2:17" ht="43.5" customHeight="1">
      <c r="C10" s="79">
        <v>1</v>
      </c>
      <c r="D10" s="80" t="s">
        <v>270</v>
      </c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</row>
    <row r="11" spans="2:17" ht="43.5" customHeight="1">
      <c r="C11" s="82">
        <v>2</v>
      </c>
      <c r="D11" s="83" t="s">
        <v>266</v>
      </c>
      <c r="E11" s="81"/>
      <c r="F11" s="81" t="s">
        <v>247</v>
      </c>
      <c r="G11" s="81"/>
      <c r="H11" s="83" t="s">
        <v>198</v>
      </c>
      <c r="I11" s="81"/>
      <c r="J11" s="81"/>
      <c r="K11" s="81"/>
      <c r="L11" s="81"/>
      <c r="M11" s="81"/>
      <c r="N11" s="81"/>
      <c r="O11" s="81" t="s">
        <v>247</v>
      </c>
      <c r="P11" s="81"/>
      <c r="Q11" s="82">
        <v>2</v>
      </c>
    </row>
    <row r="12" spans="2:17" ht="43.5" customHeight="1">
      <c r="C12" s="82">
        <v>5</v>
      </c>
      <c r="D12" s="83" t="s">
        <v>265</v>
      </c>
      <c r="E12" s="81"/>
      <c r="F12" s="83" t="s">
        <v>271</v>
      </c>
      <c r="G12" s="83" t="s">
        <v>272</v>
      </c>
      <c r="H12" s="81"/>
      <c r="I12" s="81"/>
      <c r="J12" s="81"/>
      <c r="K12" s="81"/>
      <c r="L12" s="81"/>
      <c r="M12" s="81"/>
      <c r="N12" s="81"/>
      <c r="O12" s="83" t="s">
        <v>271</v>
      </c>
      <c r="P12" s="83" t="s">
        <v>272</v>
      </c>
      <c r="Q12" s="82">
        <v>5</v>
      </c>
    </row>
    <row r="13" spans="2:17" ht="43.5" customHeight="1">
      <c r="C13" s="82">
        <v>3</v>
      </c>
      <c r="D13" s="83" t="s">
        <v>264</v>
      </c>
      <c r="E13" s="81"/>
      <c r="F13" s="83" t="s">
        <v>261</v>
      </c>
      <c r="G13" s="81"/>
      <c r="H13" s="81"/>
      <c r="I13" s="81"/>
      <c r="J13" s="81"/>
      <c r="K13" s="81"/>
      <c r="L13" s="81"/>
      <c r="M13" s="81"/>
      <c r="N13" s="81"/>
      <c r="O13" s="83" t="s">
        <v>257</v>
      </c>
      <c r="P13" s="81"/>
      <c r="Q13" s="82">
        <v>3</v>
      </c>
    </row>
    <row r="14" spans="2:17" ht="43.5" customHeight="1">
      <c r="C14" s="82">
        <v>6</v>
      </c>
      <c r="D14" s="83" t="s">
        <v>267</v>
      </c>
      <c r="E14" s="81"/>
      <c r="F14" s="83" t="s">
        <v>263</v>
      </c>
      <c r="G14" s="81"/>
      <c r="H14" s="83" t="s">
        <v>199</v>
      </c>
      <c r="I14" s="81"/>
      <c r="J14" s="81"/>
      <c r="K14" s="81"/>
      <c r="L14" s="81"/>
      <c r="M14" s="81"/>
      <c r="N14" s="81"/>
      <c r="O14" s="83" t="s">
        <v>263</v>
      </c>
      <c r="P14" s="81"/>
      <c r="Q14" s="82">
        <v>6</v>
      </c>
    </row>
    <row r="15" spans="2:17" ht="43.5" customHeight="1">
      <c r="C15" s="82">
        <v>4</v>
      </c>
      <c r="D15" s="83" t="s">
        <v>268</v>
      </c>
      <c r="E15" s="81"/>
      <c r="F15" s="83" t="s">
        <v>262</v>
      </c>
      <c r="G15" s="81"/>
      <c r="H15" s="81"/>
      <c r="I15" s="81"/>
      <c r="J15" s="81"/>
      <c r="K15" s="81"/>
      <c r="L15" s="81"/>
      <c r="M15" s="81"/>
      <c r="N15" s="81"/>
      <c r="O15" s="83" t="s">
        <v>262</v>
      </c>
      <c r="P15" s="81"/>
      <c r="Q15" s="82">
        <v>4</v>
      </c>
    </row>
    <row r="16" spans="2:17" ht="43.5" customHeight="1">
      <c r="C16" s="82">
        <v>7</v>
      </c>
      <c r="D16" s="83" t="s">
        <v>269</v>
      </c>
      <c r="E16" s="81"/>
      <c r="F16" s="81" t="s">
        <v>245</v>
      </c>
      <c r="G16" s="81"/>
      <c r="H16" s="83" t="s">
        <v>197</v>
      </c>
      <c r="I16" s="81"/>
      <c r="J16" s="81"/>
      <c r="K16" s="81"/>
      <c r="L16" s="81"/>
      <c r="M16" s="81"/>
      <c r="N16" s="81"/>
      <c r="O16" s="81" t="s">
        <v>245</v>
      </c>
      <c r="P16" s="81"/>
      <c r="Q16" s="82">
        <v>7</v>
      </c>
    </row>
    <row r="17" spans="2:17" ht="43.5" customHeight="1">
      <c r="C17" s="71">
        <v>1</v>
      </c>
      <c r="D17" s="72" t="s">
        <v>270</v>
      </c>
    </row>
    <row r="18" spans="2:17" ht="43.5" customHeight="1">
      <c r="C18" s="1">
        <v>2</v>
      </c>
      <c r="D18" s="3" t="s">
        <v>266</v>
      </c>
      <c r="F18" t="s">
        <v>247</v>
      </c>
      <c r="H18" s="3" t="s">
        <v>198</v>
      </c>
      <c r="O18" t="s">
        <v>247</v>
      </c>
      <c r="Q18" s="1">
        <v>2</v>
      </c>
    </row>
    <row r="19" spans="2:17" ht="43.5" customHeight="1">
      <c r="C19" s="1">
        <v>3</v>
      </c>
      <c r="D19" s="3" t="s">
        <v>265</v>
      </c>
      <c r="F19" s="3" t="s">
        <v>271</v>
      </c>
      <c r="G19" s="3" t="s">
        <v>272</v>
      </c>
      <c r="O19" s="3" t="s">
        <v>271</v>
      </c>
      <c r="P19" s="3" t="s">
        <v>272</v>
      </c>
      <c r="Q19" s="1">
        <v>5</v>
      </c>
    </row>
    <row r="20" spans="2:17" ht="43.5" customHeight="1">
      <c r="C20" s="1">
        <v>4</v>
      </c>
      <c r="D20" s="3" t="s">
        <v>264</v>
      </c>
      <c r="F20" s="3" t="s">
        <v>261</v>
      </c>
      <c r="O20" s="3" t="s">
        <v>257</v>
      </c>
      <c r="Q20" s="1">
        <v>3</v>
      </c>
    </row>
    <row r="21" spans="2:17" ht="43.5" customHeight="1">
      <c r="C21" s="1">
        <v>5</v>
      </c>
      <c r="D21" s="3" t="s">
        <v>267</v>
      </c>
      <c r="F21" s="3" t="s">
        <v>263</v>
      </c>
      <c r="H21" s="3" t="s">
        <v>199</v>
      </c>
      <c r="O21" s="3" t="s">
        <v>263</v>
      </c>
      <c r="Q21" s="1">
        <v>6</v>
      </c>
    </row>
    <row r="22" spans="2:17" ht="43.5" customHeight="1">
      <c r="C22" s="1">
        <v>6</v>
      </c>
      <c r="D22" s="3" t="s">
        <v>268</v>
      </c>
      <c r="F22" s="3" t="s">
        <v>262</v>
      </c>
      <c r="O22" s="3" t="s">
        <v>262</v>
      </c>
      <c r="Q22" s="1">
        <v>4</v>
      </c>
    </row>
    <row r="23" spans="2:17" ht="43.5" customHeight="1">
      <c r="C23" s="1">
        <v>7</v>
      </c>
      <c r="D23" s="3" t="s">
        <v>269</v>
      </c>
      <c r="F23" t="s">
        <v>245</v>
      </c>
      <c r="H23" s="3" t="s">
        <v>197</v>
      </c>
      <c r="O23" t="s">
        <v>245</v>
      </c>
      <c r="Q23" s="1">
        <v>7</v>
      </c>
    </row>
    <row r="26" spans="2:17">
      <c r="B26" s="21" t="s">
        <v>118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8" spans="2:17">
      <c r="C28" s="4" t="s">
        <v>76</v>
      </c>
      <c r="D28" s="3" t="s">
        <v>148</v>
      </c>
      <c r="G28" s="3"/>
    </row>
    <row r="29" spans="2:17">
      <c r="C29" s="4"/>
      <c r="D29" s="3"/>
      <c r="G29" s="3"/>
    </row>
    <row r="30" spans="2:17">
      <c r="C30" s="4" t="s">
        <v>77</v>
      </c>
      <c r="D30" s="3" t="s">
        <v>82</v>
      </c>
    </row>
    <row r="31" spans="2:17">
      <c r="C31" s="4"/>
      <c r="D31" s="3" t="s">
        <v>83</v>
      </c>
    </row>
    <row r="32" spans="2:17">
      <c r="C32" s="4"/>
      <c r="D32" s="3" t="s">
        <v>147</v>
      </c>
    </row>
    <row r="33" spans="3:22">
      <c r="C33" s="4"/>
      <c r="D33" s="3"/>
    </row>
    <row r="34" spans="3:22">
      <c r="C34" s="4"/>
    </row>
    <row r="35" spans="3:22">
      <c r="C35" s="4" t="s">
        <v>78</v>
      </c>
      <c r="E35" s="3" t="s">
        <v>126</v>
      </c>
      <c r="G35" s="3" t="s">
        <v>33</v>
      </c>
      <c r="K35" s="23" t="s">
        <v>11</v>
      </c>
      <c r="P35" s="3" t="s">
        <v>219</v>
      </c>
    </row>
    <row r="36" spans="3:22">
      <c r="C36" s="4"/>
      <c r="G36" s="3" t="s">
        <v>221</v>
      </c>
      <c r="K36" s="28" t="s">
        <v>149</v>
      </c>
      <c r="P36" s="3" t="s">
        <v>220</v>
      </c>
    </row>
    <row r="37" spans="3:22">
      <c r="C37" s="4"/>
      <c r="G37" s="3" t="s">
        <v>32</v>
      </c>
      <c r="K37" s="23" t="s">
        <v>134</v>
      </c>
      <c r="O37" s="3"/>
    </row>
    <row r="38" spans="3:22">
      <c r="G38" s="3" t="s">
        <v>34</v>
      </c>
      <c r="K38" s="23" t="s">
        <v>119</v>
      </c>
    </row>
    <row r="39" spans="3:22">
      <c r="G39" s="3" t="s">
        <v>35</v>
      </c>
      <c r="K39" s="23" t="s">
        <v>120</v>
      </c>
    </row>
    <row r="40" spans="3:22">
      <c r="G40" s="3" t="s">
        <v>129</v>
      </c>
      <c r="K40" s="23" t="s">
        <v>121</v>
      </c>
    </row>
    <row r="41" spans="3:22">
      <c r="G41" s="3" t="s">
        <v>123</v>
      </c>
      <c r="K41" s="23" t="s">
        <v>201</v>
      </c>
    </row>
    <row r="42" spans="3:22">
      <c r="G42" s="3" t="s">
        <v>124</v>
      </c>
      <c r="K42" s="23" t="s">
        <v>122</v>
      </c>
    </row>
    <row r="43" spans="3:22">
      <c r="G43" s="3" t="s">
        <v>125</v>
      </c>
      <c r="K43" s="23" t="s">
        <v>202</v>
      </c>
    </row>
    <row r="44" spans="3:22">
      <c r="D44" s="1"/>
      <c r="L44" s="4"/>
    </row>
    <row r="45" spans="3:22">
      <c r="D45" s="60" t="s">
        <v>187</v>
      </c>
      <c r="E45" s="57"/>
      <c r="F45" s="57"/>
      <c r="G45" s="57"/>
      <c r="H45" s="57"/>
      <c r="I45" s="57"/>
      <c r="J45" s="57"/>
      <c r="K45" s="57"/>
      <c r="L45" s="58"/>
      <c r="M45" s="57"/>
      <c r="N45" s="59"/>
      <c r="O45" s="57"/>
      <c r="P45" s="57"/>
      <c r="Q45" s="57"/>
      <c r="R45" s="57"/>
      <c r="S45" s="57"/>
      <c r="T45" s="57"/>
      <c r="U45" s="57"/>
      <c r="V45" s="57"/>
    </row>
    <row r="46" spans="3:22">
      <c r="D46" s="1"/>
      <c r="L46" s="4"/>
      <c r="N46" s="50"/>
    </row>
    <row r="47" spans="3:22">
      <c r="D47" s="1"/>
    </row>
    <row r="48" spans="3:22">
      <c r="D48" s="1">
        <v>1</v>
      </c>
      <c r="E48" s="3" t="s">
        <v>127</v>
      </c>
      <c r="G48" s="3" t="s">
        <v>128</v>
      </c>
    </row>
    <row r="49" spans="4:9">
      <c r="D49" s="1"/>
      <c r="E49" s="3"/>
    </row>
    <row r="50" spans="4:9">
      <c r="D50" s="1"/>
    </row>
    <row r="51" spans="4:9">
      <c r="D51" s="1">
        <v>2</v>
      </c>
      <c r="E51" s="3" t="s">
        <v>130</v>
      </c>
      <c r="G51" s="4" t="s">
        <v>150</v>
      </c>
      <c r="H51" s="3" t="s">
        <v>133</v>
      </c>
    </row>
    <row r="52" spans="4:9">
      <c r="D52" s="1"/>
      <c r="E52" s="3"/>
      <c r="I52" s="3" t="s">
        <v>203</v>
      </c>
    </row>
    <row r="53" spans="4:9">
      <c r="D53" s="1"/>
      <c r="E53" s="3"/>
      <c r="I53" s="3" t="s">
        <v>204</v>
      </c>
    </row>
    <row r="54" spans="4:9">
      <c r="D54" s="1"/>
      <c r="E54" s="3"/>
      <c r="H54" s="3"/>
      <c r="I54" s="49" t="s">
        <v>146</v>
      </c>
    </row>
    <row r="55" spans="4:9">
      <c r="D55" s="1"/>
      <c r="H55" s="3"/>
    </row>
    <row r="56" spans="4:9">
      <c r="D56" s="1"/>
      <c r="G56" s="4" t="s">
        <v>151</v>
      </c>
    </row>
    <row r="57" spans="4:9">
      <c r="D57" s="1"/>
    </row>
    <row r="58" spans="4:9">
      <c r="D58" s="1">
        <v>3</v>
      </c>
      <c r="E58" s="3" t="s">
        <v>131</v>
      </c>
      <c r="G58" s="3" t="s">
        <v>143</v>
      </c>
    </row>
    <row r="59" spans="4:9">
      <c r="D59" s="1">
        <v>4</v>
      </c>
      <c r="E59" s="3" t="s">
        <v>132</v>
      </c>
      <c r="G59" s="3" t="s">
        <v>144</v>
      </c>
    </row>
    <row r="60" spans="4:9">
      <c r="D60" s="1"/>
    </row>
    <row r="61" spans="4:9">
      <c r="D61" s="1"/>
    </row>
    <row r="62" spans="4:9">
      <c r="D62" s="1">
        <v>5</v>
      </c>
      <c r="E62" s="3" t="s">
        <v>145</v>
      </c>
      <c r="G62" s="3" t="s">
        <v>152</v>
      </c>
    </row>
    <row r="65" spans="4:22">
      <c r="E65" s="50" t="s">
        <v>155</v>
      </c>
      <c r="F65" s="52"/>
      <c r="G65" s="52"/>
      <c r="H65" s="52" t="s">
        <v>160</v>
      </c>
      <c r="I65" s="52"/>
      <c r="J65" s="52"/>
      <c r="K65" s="52"/>
      <c r="L65" s="52"/>
    </row>
    <row r="66" spans="4:22">
      <c r="E66" s="52"/>
      <c r="F66" s="52"/>
      <c r="G66" s="52"/>
      <c r="H66" s="52" t="s">
        <v>156</v>
      </c>
      <c r="I66" s="52"/>
      <c r="J66" s="52"/>
      <c r="K66" s="52"/>
      <c r="L66" s="52"/>
    </row>
    <row r="67" spans="4:22">
      <c r="E67" s="52"/>
      <c r="F67" s="52"/>
      <c r="G67" s="52"/>
      <c r="H67" s="52" t="s">
        <v>157</v>
      </c>
      <c r="I67" s="52"/>
      <c r="J67" s="52"/>
      <c r="K67" s="52"/>
      <c r="L67" s="52"/>
    </row>
    <row r="68" spans="4:22">
      <c r="E68" s="52"/>
      <c r="F68" s="52"/>
      <c r="G68" s="52"/>
      <c r="H68" s="52" t="s">
        <v>158</v>
      </c>
      <c r="I68" s="52"/>
      <c r="J68" s="52"/>
      <c r="K68" s="52"/>
      <c r="L68" s="52"/>
    </row>
    <row r="69" spans="4:22">
      <c r="E69" s="52"/>
      <c r="F69" s="52"/>
      <c r="G69" s="52"/>
      <c r="H69" s="52" t="s">
        <v>159</v>
      </c>
      <c r="I69" s="52"/>
      <c r="J69" s="52"/>
      <c r="K69" s="52"/>
      <c r="L69" s="52"/>
    </row>
    <row r="70" spans="4:22">
      <c r="E70" s="52"/>
      <c r="F70" s="52"/>
      <c r="G70" s="52"/>
      <c r="H70" s="52"/>
      <c r="I70" s="52"/>
      <c r="J70" s="52"/>
      <c r="K70" s="52"/>
      <c r="L70" s="52"/>
    </row>
    <row r="71" spans="4:22">
      <c r="E71" s="52"/>
      <c r="F71" s="52"/>
      <c r="G71" s="52"/>
      <c r="H71" s="52" t="s">
        <v>161</v>
      </c>
      <c r="I71" s="52"/>
      <c r="J71" s="52"/>
      <c r="K71" s="52"/>
      <c r="L71" s="52"/>
    </row>
    <row r="72" spans="4:22">
      <c r="E72" s="52"/>
      <c r="F72" s="52"/>
      <c r="G72" s="52"/>
      <c r="H72" s="52"/>
      <c r="I72" s="52"/>
      <c r="J72" s="52"/>
      <c r="K72" s="52"/>
      <c r="L72" s="52"/>
    </row>
    <row r="73" spans="4:22">
      <c r="D73" s="60" t="s">
        <v>188</v>
      </c>
      <c r="E73" s="57"/>
      <c r="F73" s="57"/>
      <c r="G73" s="57"/>
      <c r="H73" s="57"/>
      <c r="I73" s="63" t="s">
        <v>223</v>
      </c>
      <c r="J73" s="57"/>
      <c r="K73" s="57"/>
      <c r="L73" s="58"/>
      <c r="M73" s="57"/>
      <c r="N73" s="59"/>
      <c r="O73" s="57"/>
      <c r="P73" s="57"/>
      <c r="Q73" s="57"/>
      <c r="R73" s="57"/>
      <c r="S73" s="57"/>
      <c r="T73" s="57"/>
      <c r="U73" s="57"/>
      <c r="V73" s="57"/>
    </row>
    <row r="75" spans="4:22">
      <c r="G75" s="53" t="s">
        <v>165</v>
      </c>
      <c r="H75" s="54"/>
      <c r="I75" s="54"/>
      <c r="J75" s="54"/>
      <c r="K75" s="54"/>
      <c r="L75" s="54"/>
      <c r="M75" s="54"/>
      <c r="N75" s="54"/>
      <c r="O75" s="54"/>
      <c r="P75" s="54"/>
      <c r="Q75" s="17" t="s">
        <v>166</v>
      </c>
    </row>
    <row r="76" spans="4:22">
      <c r="H76" s="3" t="s">
        <v>162</v>
      </c>
    </row>
    <row r="78" spans="4:22">
      <c r="G78" s="53" t="s">
        <v>164</v>
      </c>
      <c r="H78" s="54"/>
      <c r="I78" s="54"/>
      <c r="J78" s="54"/>
      <c r="K78" s="54"/>
      <c r="L78" s="54"/>
      <c r="M78" s="54"/>
      <c r="N78" s="54"/>
      <c r="O78" s="54"/>
      <c r="P78" s="54"/>
    </row>
    <row r="80" spans="4:22">
      <c r="H80" s="4" t="s">
        <v>153</v>
      </c>
      <c r="I80" s="3"/>
    </row>
    <row r="81" spans="7:17">
      <c r="I81" s="3" t="s">
        <v>163</v>
      </c>
    </row>
    <row r="83" spans="7:17">
      <c r="H83" s="4" t="s">
        <v>154</v>
      </c>
    </row>
    <row r="85" spans="7:17">
      <c r="I85" s="3" t="s">
        <v>182</v>
      </c>
    </row>
    <row r="87" spans="7:17">
      <c r="G87" s="4"/>
      <c r="I87" s="56" t="s">
        <v>167</v>
      </c>
      <c r="J87" s="3" t="s">
        <v>185</v>
      </c>
    </row>
    <row r="88" spans="7:17">
      <c r="I88" s="56" t="s">
        <v>168</v>
      </c>
      <c r="J88" s="3" t="s">
        <v>177</v>
      </c>
    </row>
    <row r="89" spans="7:17">
      <c r="J89" s="55"/>
      <c r="K89" s="55"/>
      <c r="L89" s="55"/>
      <c r="M89" s="55"/>
      <c r="N89" s="55"/>
      <c r="O89" s="55"/>
      <c r="P89" s="55"/>
      <c r="Q89" s="55"/>
    </row>
    <row r="90" spans="7:17">
      <c r="J90" s="17" t="s">
        <v>169</v>
      </c>
      <c r="K90" s="55"/>
      <c r="L90" s="55"/>
      <c r="M90" s="55"/>
      <c r="N90" s="55"/>
      <c r="O90" s="55"/>
      <c r="P90" s="55"/>
      <c r="Q90" s="55"/>
    </row>
    <row r="91" spans="7:17">
      <c r="G91" s="4"/>
      <c r="J91" s="55"/>
      <c r="K91" s="55"/>
      <c r="L91" s="55"/>
      <c r="M91" s="55"/>
      <c r="N91" s="55"/>
      <c r="O91" s="55"/>
      <c r="P91" s="55"/>
      <c r="Q91" s="55"/>
    </row>
    <row r="92" spans="7:17">
      <c r="J92" s="55" t="s">
        <v>167</v>
      </c>
      <c r="K92" s="55" t="s">
        <v>178</v>
      </c>
      <c r="L92" s="55"/>
      <c r="M92" s="55"/>
      <c r="N92" s="55"/>
      <c r="O92" s="55"/>
      <c r="P92" s="55"/>
      <c r="Q92" s="55"/>
    </row>
    <row r="93" spans="7:17">
      <c r="J93" s="55" t="s">
        <v>168</v>
      </c>
      <c r="K93" s="55" t="s">
        <v>179</v>
      </c>
      <c r="L93" s="55"/>
      <c r="M93" s="55"/>
      <c r="N93" s="55"/>
      <c r="O93" s="55"/>
      <c r="P93" s="55"/>
      <c r="Q93" s="55"/>
    </row>
    <row r="94" spans="7:17">
      <c r="J94" s="55"/>
      <c r="K94" s="55"/>
      <c r="L94" s="55"/>
      <c r="M94" s="55"/>
      <c r="N94" s="55"/>
      <c r="O94" s="55"/>
      <c r="P94" s="55"/>
      <c r="Q94" s="55"/>
    </row>
    <row r="95" spans="7:17">
      <c r="G95" s="4"/>
      <c r="J95" s="55"/>
      <c r="K95" s="55"/>
      <c r="L95" s="55" t="s">
        <v>170</v>
      </c>
      <c r="M95" s="55"/>
      <c r="N95" s="55"/>
      <c r="O95" s="55"/>
      <c r="P95" s="55"/>
      <c r="Q95" s="55"/>
    </row>
    <row r="96" spans="7:17">
      <c r="J96" s="55"/>
      <c r="K96" s="55"/>
      <c r="L96" s="55" t="s">
        <v>180</v>
      </c>
      <c r="M96" s="55" t="s">
        <v>171</v>
      </c>
      <c r="N96" s="55"/>
      <c r="O96" s="55"/>
      <c r="P96" s="55"/>
      <c r="Q96" s="55"/>
    </row>
    <row r="97" spans="7:17">
      <c r="J97" s="55"/>
      <c r="K97" s="55"/>
      <c r="L97" s="55"/>
      <c r="M97" s="55"/>
      <c r="N97" s="55"/>
      <c r="O97" s="55"/>
      <c r="P97" s="55"/>
      <c r="Q97" s="55"/>
    </row>
    <row r="98" spans="7:17">
      <c r="J98" s="55"/>
      <c r="K98" s="55" t="s">
        <v>172</v>
      </c>
      <c r="L98" s="55"/>
      <c r="M98" s="55"/>
      <c r="N98" s="55"/>
      <c r="O98" s="55"/>
      <c r="P98" s="55"/>
      <c r="Q98" s="55"/>
    </row>
    <row r="99" spans="7:17">
      <c r="G99" s="4"/>
      <c r="J99" s="55"/>
      <c r="K99" s="55"/>
      <c r="L99" s="55"/>
      <c r="M99" s="55"/>
      <c r="N99" s="55"/>
      <c r="O99" s="55"/>
      <c r="P99" s="55"/>
      <c r="Q99" s="55"/>
    </row>
    <row r="100" spans="7:17">
      <c r="J100" s="55"/>
      <c r="K100" s="55"/>
      <c r="L100" s="55" t="s">
        <v>173</v>
      </c>
      <c r="M100" s="55"/>
      <c r="N100" s="55"/>
      <c r="O100" s="55"/>
      <c r="P100" s="55"/>
      <c r="Q100" s="55"/>
    </row>
    <row r="101" spans="7:17">
      <c r="J101" s="55"/>
      <c r="K101" s="55"/>
      <c r="L101" s="55" t="s">
        <v>180</v>
      </c>
      <c r="M101" s="55" t="s">
        <v>174</v>
      </c>
      <c r="N101" s="55"/>
      <c r="O101" s="55"/>
      <c r="P101" s="55"/>
      <c r="Q101" s="55"/>
    </row>
    <row r="102" spans="7:17">
      <c r="J102" s="55"/>
      <c r="K102" s="55"/>
      <c r="L102" s="55" t="s">
        <v>181</v>
      </c>
      <c r="M102" s="55"/>
      <c r="N102" s="55"/>
      <c r="O102" s="55"/>
      <c r="P102" s="55"/>
      <c r="Q102" s="55"/>
    </row>
    <row r="103" spans="7:17">
      <c r="J103" s="55"/>
      <c r="K103" s="55"/>
      <c r="L103" s="55"/>
      <c r="M103" s="55"/>
      <c r="N103" s="55"/>
      <c r="O103" s="55"/>
      <c r="P103" s="55"/>
      <c r="Q103" s="55"/>
    </row>
    <row r="104" spans="7:17">
      <c r="J104" s="55"/>
      <c r="K104" s="55"/>
      <c r="L104" s="55" t="s">
        <v>175</v>
      </c>
      <c r="M104" s="55"/>
      <c r="N104" s="55"/>
      <c r="O104" s="55"/>
      <c r="P104" s="55"/>
      <c r="Q104" s="55"/>
    </row>
    <row r="105" spans="7:17">
      <c r="J105" s="55"/>
      <c r="K105" s="55"/>
      <c r="L105" s="55"/>
      <c r="M105" s="55"/>
      <c r="N105" s="55"/>
      <c r="O105" s="55"/>
      <c r="P105" s="55"/>
      <c r="Q105" s="55"/>
    </row>
    <row r="106" spans="7:17">
      <c r="J106" s="55"/>
      <c r="K106" s="55"/>
      <c r="L106" s="55" t="s">
        <v>176</v>
      </c>
      <c r="M106" s="55" t="s">
        <v>224</v>
      </c>
      <c r="N106" s="55"/>
      <c r="O106" s="55"/>
      <c r="P106" s="55"/>
      <c r="Q106" s="55"/>
    </row>
    <row r="108" spans="7:17">
      <c r="I108" s="56" t="s">
        <v>183</v>
      </c>
      <c r="J108" s="3" t="s">
        <v>184</v>
      </c>
    </row>
    <row r="109" spans="7:17">
      <c r="J109" s="3" t="s">
        <v>186</v>
      </c>
    </row>
    <row r="110" spans="7:17">
      <c r="J110" s="3"/>
      <c r="K110" s="56" t="s">
        <v>191</v>
      </c>
      <c r="M110" s="3" t="s">
        <v>193</v>
      </c>
    </row>
    <row r="111" spans="7:17">
      <c r="J111" s="3"/>
      <c r="K111" s="56" t="s">
        <v>192</v>
      </c>
      <c r="M111" s="3" t="s">
        <v>194</v>
      </c>
    </row>
    <row r="112" spans="7:17">
      <c r="J112" s="3"/>
      <c r="M112" s="3" t="s">
        <v>195</v>
      </c>
    </row>
    <row r="114" spans="4:22">
      <c r="D114" s="60" t="s">
        <v>189</v>
      </c>
      <c r="E114" s="57"/>
      <c r="F114" s="57"/>
      <c r="G114" s="57"/>
      <c r="H114" s="57"/>
      <c r="I114" s="57"/>
      <c r="J114" s="57"/>
      <c r="K114" s="57"/>
      <c r="L114" s="58"/>
      <c r="M114" s="57"/>
      <c r="N114" s="59"/>
      <c r="O114" s="57"/>
      <c r="P114" s="57"/>
      <c r="Q114" s="57"/>
      <c r="R114" s="57"/>
      <c r="S114" s="57"/>
      <c r="T114" s="57"/>
      <c r="U114" s="57"/>
      <c r="V114" s="57"/>
    </row>
    <row r="116" spans="4:22">
      <c r="F116" s="4" t="s">
        <v>190</v>
      </c>
    </row>
    <row r="118" spans="4:22">
      <c r="F118" s="3" t="s">
        <v>222</v>
      </c>
    </row>
    <row r="132" spans="4:6">
      <c r="D132" s="4"/>
    </row>
    <row r="133" spans="4:6">
      <c r="D133" s="4" t="s">
        <v>247</v>
      </c>
      <c r="F133" s="3" t="s">
        <v>274</v>
      </c>
    </row>
    <row r="134" spans="4:6">
      <c r="D134" s="4" t="s">
        <v>272</v>
      </c>
      <c r="F134" s="3" t="s">
        <v>273</v>
      </c>
    </row>
    <row r="135" spans="4:6">
      <c r="D135" s="4" t="s">
        <v>261</v>
      </c>
      <c r="F135" s="3" t="s">
        <v>275</v>
      </c>
    </row>
    <row r="136" spans="4:6">
      <c r="D136" s="4" t="s">
        <v>263</v>
      </c>
      <c r="F136" s="3" t="s">
        <v>276</v>
      </c>
    </row>
    <row r="137" spans="4:6">
      <c r="D137" s="4" t="s">
        <v>262</v>
      </c>
      <c r="F137" s="3" t="s">
        <v>276</v>
      </c>
    </row>
    <row r="138" spans="4:6">
      <c r="D138" s="4" t="s">
        <v>245</v>
      </c>
      <c r="F138" s="3" t="s">
        <v>277</v>
      </c>
    </row>
    <row r="139" spans="4:6">
      <c r="D139" s="4"/>
    </row>
    <row r="140" spans="4:6">
      <c r="D140" s="4"/>
    </row>
    <row r="141" spans="4:6">
      <c r="D141" s="4"/>
    </row>
    <row r="142" spans="4:6">
      <c r="D142" s="4"/>
    </row>
  </sheetData>
  <phoneticPr fontId="3" type="noConversion"/>
  <pageMargins left="0.69930555555555596" right="0.69930555555555596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127"/>
  <sheetViews>
    <sheetView tabSelected="1" zoomScaleNormal="100" workbookViewId="0">
      <pane xSplit="4" ySplit="6" topLeftCell="G16" activePane="bottomRight" state="frozen"/>
      <selection pane="topRight" activeCell="D1" sqref="D1"/>
      <selection pane="bottomLeft" activeCell="A7" sqref="A7"/>
      <selection pane="bottomRight" activeCell="H29" sqref="H29"/>
    </sheetView>
  </sheetViews>
  <sheetFormatPr defaultRowHeight="13.5"/>
  <cols>
    <col min="1" max="1" width="2.5" bestFit="1" customWidth="1"/>
    <col min="2" max="3" width="9.875" customWidth="1"/>
    <col min="4" max="4" width="12.25" customWidth="1"/>
    <col min="5" max="5" width="10.5" customWidth="1"/>
    <col min="6" max="6" width="10.75" customWidth="1"/>
    <col min="7" max="7" width="6.25" customWidth="1"/>
    <col min="8" max="8" width="5.75" customWidth="1"/>
    <col min="9" max="9" width="9.125" customWidth="1"/>
    <col min="10" max="10" width="10" customWidth="1"/>
    <col min="11" max="11" width="9.375" customWidth="1"/>
    <col min="12" max="12" width="9.125" customWidth="1"/>
    <col min="13" max="13" width="8.625" customWidth="1"/>
    <col min="14" max="14" width="8.375" customWidth="1"/>
    <col min="15" max="15" width="8.625" customWidth="1"/>
    <col min="16" max="18" width="6.5" customWidth="1"/>
    <col min="19" max="21" width="12.125" customWidth="1"/>
    <col min="22" max="22" width="13.75" customWidth="1"/>
    <col min="24" max="24" width="5.875" customWidth="1"/>
    <col min="25" max="25" width="6.5" customWidth="1"/>
    <col min="26" max="28" width="6.375" customWidth="1"/>
    <col min="29" max="29" width="5.375" customWidth="1"/>
  </cols>
  <sheetData>
    <row r="1" spans="1:30">
      <c r="B1" s="4" t="s">
        <v>0</v>
      </c>
      <c r="C1" s="4"/>
      <c r="V1" s="2" t="s">
        <v>42</v>
      </c>
    </row>
    <row r="2" spans="1:30">
      <c r="B2" t="s">
        <v>24</v>
      </c>
      <c r="D2" s="3" t="s">
        <v>217</v>
      </c>
      <c r="E2" s="3" t="s">
        <v>26</v>
      </c>
      <c r="F2" s="11" t="s">
        <v>27</v>
      </c>
      <c r="G2" s="3" t="s">
        <v>39</v>
      </c>
      <c r="H2" s="3" t="s">
        <v>28</v>
      </c>
      <c r="I2" s="3" t="s">
        <v>29</v>
      </c>
      <c r="J2" s="3" t="s">
        <v>30</v>
      </c>
      <c r="K2" s="3" t="s">
        <v>74</v>
      </c>
      <c r="L2" s="3" t="s">
        <v>33</v>
      </c>
      <c r="M2" s="3" t="s">
        <v>34</v>
      </c>
      <c r="N2" s="3" t="s">
        <v>35</v>
      </c>
      <c r="O2" s="3" t="s">
        <v>117</v>
      </c>
      <c r="S2" s="3" t="s">
        <v>123</v>
      </c>
      <c r="T2" s="3" t="s">
        <v>124</v>
      </c>
      <c r="U2" s="3" t="s">
        <v>125</v>
      </c>
      <c r="V2" s="3" t="s">
        <v>32</v>
      </c>
    </row>
    <row r="3" spans="1:30">
      <c r="B3" t="s">
        <v>1</v>
      </c>
      <c r="D3" t="s">
        <v>2</v>
      </c>
      <c r="E3" t="s">
        <v>1</v>
      </c>
      <c r="F3" t="s">
        <v>2</v>
      </c>
      <c r="G3" s="3" t="s">
        <v>40</v>
      </c>
      <c r="H3" s="3" t="s">
        <v>40</v>
      </c>
      <c r="I3" s="3" t="s">
        <v>40</v>
      </c>
      <c r="J3" s="3" t="s">
        <v>40</v>
      </c>
      <c r="K3" s="3" t="s">
        <v>40</v>
      </c>
      <c r="L3" s="3" t="s">
        <v>40</v>
      </c>
      <c r="M3" s="3" t="s">
        <v>40</v>
      </c>
      <c r="N3" s="3" t="s">
        <v>40</v>
      </c>
      <c r="O3" s="3" t="s">
        <v>40</v>
      </c>
      <c r="S3" s="3" t="s">
        <v>226</v>
      </c>
      <c r="T3" s="3" t="s">
        <v>227</v>
      </c>
      <c r="U3" s="3" t="s">
        <v>228</v>
      </c>
      <c r="V3" s="3" t="s">
        <v>36</v>
      </c>
    </row>
    <row r="4" spans="1:30">
      <c r="B4" t="s">
        <v>3</v>
      </c>
      <c r="D4" t="s">
        <v>3</v>
      </c>
      <c r="E4" t="s">
        <v>3</v>
      </c>
      <c r="F4" t="s">
        <v>3</v>
      </c>
      <c r="G4" t="s">
        <v>3</v>
      </c>
      <c r="I4" t="s">
        <v>3</v>
      </c>
      <c r="J4" t="s">
        <v>3</v>
      </c>
      <c r="K4" t="s">
        <v>3</v>
      </c>
      <c r="L4" t="s">
        <v>3</v>
      </c>
    </row>
    <row r="5" spans="1:30">
      <c r="B5" t="s">
        <v>25</v>
      </c>
      <c r="D5" t="s">
        <v>25</v>
      </c>
      <c r="E5" t="s">
        <v>25</v>
      </c>
      <c r="F5" t="s">
        <v>25</v>
      </c>
      <c r="P5" s="4" t="s">
        <v>313</v>
      </c>
      <c r="Y5" s="4" t="s">
        <v>303</v>
      </c>
    </row>
    <row r="6" spans="1:30" ht="40.5">
      <c r="B6" s="2" t="s">
        <v>22</v>
      </c>
      <c r="C6" s="69" t="s">
        <v>249</v>
      </c>
      <c r="D6" s="13" t="s">
        <v>251</v>
      </c>
      <c r="E6" s="10" t="s">
        <v>21</v>
      </c>
      <c r="F6" s="10" t="s">
        <v>6</v>
      </c>
      <c r="G6" s="10" t="s">
        <v>7</v>
      </c>
      <c r="H6" s="10" t="s">
        <v>8</v>
      </c>
      <c r="I6" s="5" t="s">
        <v>9</v>
      </c>
      <c r="J6" s="5" t="s">
        <v>10</v>
      </c>
      <c r="K6" s="10" t="s">
        <v>291</v>
      </c>
      <c r="L6" s="5" t="s">
        <v>216</v>
      </c>
      <c r="M6" s="119" t="s">
        <v>288</v>
      </c>
      <c r="N6" s="118" t="s">
        <v>289</v>
      </c>
      <c r="O6" s="120" t="s">
        <v>290</v>
      </c>
      <c r="P6" s="119" t="s">
        <v>279</v>
      </c>
      <c r="Q6" s="118" t="s">
        <v>280</v>
      </c>
      <c r="R6" s="120" t="s">
        <v>281</v>
      </c>
      <c r="S6" s="10" t="s">
        <v>302</v>
      </c>
      <c r="T6" s="10" t="s">
        <v>286</v>
      </c>
      <c r="U6" s="10" t="s">
        <v>287</v>
      </c>
      <c r="V6" s="12" t="s">
        <v>31</v>
      </c>
      <c r="W6" s="9" t="s">
        <v>20</v>
      </c>
      <c r="X6" s="10" t="s">
        <v>292</v>
      </c>
      <c r="Y6" s="10" t="s">
        <v>278</v>
      </c>
      <c r="Z6" s="84" t="s">
        <v>279</v>
      </c>
      <c r="AA6" s="85" t="s">
        <v>280</v>
      </c>
      <c r="AB6" s="86" t="s">
        <v>281</v>
      </c>
    </row>
    <row r="7" spans="1:30">
      <c r="A7" s="4" t="s">
        <v>5</v>
      </c>
      <c r="B7" s="2">
        <v>1</v>
      </c>
      <c r="C7" s="69" t="s">
        <v>45</v>
      </c>
      <c r="D7" s="5" t="s">
        <v>255</v>
      </c>
      <c r="E7" s="16">
        <v>15</v>
      </c>
      <c r="F7" s="2">
        <v>3</v>
      </c>
      <c r="G7" s="6">
        <v>1</v>
      </c>
      <c r="H7" s="6">
        <v>0</v>
      </c>
      <c r="I7" s="115">
        <v>18</v>
      </c>
      <c r="J7" s="115">
        <v>18</v>
      </c>
      <c r="K7" s="16">
        <v>2</v>
      </c>
      <c r="L7" s="16">
        <v>2</v>
      </c>
      <c r="M7" s="16">
        <v>0</v>
      </c>
      <c r="N7" s="16">
        <v>0</v>
      </c>
      <c r="O7" s="69">
        <v>0</v>
      </c>
      <c r="P7" s="101"/>
      <c r="Q7" s="101"/>
      <c r="R7" s="101"/>
      <c r="S7" s="51" t="str">
        <f t="shared" ref="S7:S60" si="0">IF(P7=0,"",VLOOKUP(P7,产出卡牌概率,2,))</f>
        <v/>
      </c>
      <c r="T7" s="51" t="str">
        <f t="shared" ref="T7:T60" si="1">IF(Q7=0,"",VLOOKUP(Q7,产出卡牌概率,2,))</f>
        <v/>
      </c>
      <c r="U7" s="51" t="str">
        <f t="shared" ref="U7:U60" si="2">IF(R7=0,"",VLOOKUP(R7,产出卡牌概率,2,))</f>
        <v/>
      </c>
      <c r="V7" s="70" t="s">
        <v>259</v>
      </c>
      <c r="W7" s="3" t="s">
        <v>260</v>
      </c>
      <c r="X7" s="1">
        <f>(I7+J7)/2</f>
        <v>18</v>
      </c>
      <c r="Y7" s="25">
        <f t="shared" ref="Y7" si="3">L7-Z7-AA7-AB7</f>
        <v>2</v>
      </c>
      <c r="Z7" s="25">
        <f t="shared" ref="Z7:Z60" si="4">M7+P7</f>
        <v>0</v>
      </c>
      <c r="AA7" s="25">
        <f t="shared" ref="AA7:AA60" si="5">N7+Q7</f>
        <v>0</v>
      </c>
      <c r="AB7" s="25">
        <f t="shared" ref="AB7:AB60" si="6">O7+R7</f>
        <v>0</v>
      </c>
      <c r="AC7" s="108"/>
      <c r="AD7" s="108"/>
    </row>
    <row r="8" spans="1:30">
      <c r="B8" s="2"/>
      <c r="C8" s="69" t="s">
        <v>45</v>
      </c>
      <c r="D8" s="5" t="s">
        <v>255</v>
      </c>
      <c r="E8" s="16">
        <v>15</v>
      </c>
      <c r="F8" s="2">
        <v>3</v>
      </c>
      <c r="G8" s="6">
        <v>2</v>
      </c>
      <c r="H8" s="6">
        <v>0</v>
      </c>
      <c r="I8" s="114">
        <f t="shared" ref="I8:N15" si="7">I7</f>
        <v>18</v>
      </c>
      <c r="J8" s="114">
        <f t="shared" si="7"/>
        <v>18</v>
      </c>
      <c r="K8" s="114">
        <f t="shared" si="7"/>
        <v>2</v>
      </c>
      <c r="L8" s="114">
        <f t="shared" si="7"/>
        <v>2</v>
      </c>
      <c r="M8" s="114">
        <f t="shared" si="7"/>
        <v>0</v>
      </c>
      <c r="N8" s="114">
        <f t="shared" si="7"/>
        <v>0</v>
      </c>
      <c r="O8" s="69">
        <v>0</v>
      </c>
      <c r="P8" s="101"/>
      <c r="Q8" s="101"/>
      <c r="R8" s="101"/>
      <c r="S8" s="51" t="str">
        <f t="shared" ref="S8:S15" si="8">IF(P8=0,"",VLOOKUP(P8,产出卡牌概率,2,))</f>
        <v/>
      </c>
      <c r="T8" s="51" t="str">
        <f t="shared" ref="T8:T15" si="9">IF(Q8=0,"",VLOOKUP(Q8,产出卡牌概率,2,))</f>
        <v/>
      </c>
      <c r="U8" s="51" t="str">
        <f t="shared" ref="U8:U15" si="10">IF(R8=0,"",VLOOKUP(R8,产出卡牌概率,2,))</f>
        <v/>
      </c>
      <c r="V8" s="70" t="s">
        <v>259</v>
      </c>
      <c r="W8" s="3" t="s">
        <v>260</v>
      </c>
      <c r="X8" s="1">
        <f t="shared" ref="X8:X15" si="11">(I8+J8)/2</f>
        <v>18</v>
      </c>
      <c r="Y8" s="25">
        <f t="shared" ref="Y8:Y15" si="12">L8-Z8-AA8-AB8</f>
        <v>2</v>
      </c>
      <c r="Z8" s="25">
        <f t="shared" ref="Z8:Z15" si="13">M8+P8</f>
        <v>0</v>
      </c>
      <c r="AA8" s="25">
        <f t="shared" ref="AA8:AA15" si="14">N8+Q8</f>
        <v>0</v>
      </c>
      <c r="AB8" s="25">
        <f t="shared" ref="AB8:AB15" si="15">O8+R8</f>
        <v>0</v>
      </c>
      <c r="AC8" s="108"/>
      <c r="AD8" s="108"/>
    </row>
    <row r="9" spans="1:30">
      <c r="B9" s="2"/>
      <c r="C9" s="69" t="s">
        <v>45</v>
      </c>
      <c r="D9" s="5" t="s">
        <v>255</v>
      </c>
      <c r="E9" s="16">
        <v>15</v>
      </c>
      <c r="F9" s="2">
        <v>3</v>
      </c>
      <c r="G9" s="6">
        <v>3</v>
      </c>
      <c r="H9" s="6">
        <v>0</v>
      </c>
      <c r="I9" s="114">
        <f t="shared" si="7"/>
        <v>18</v>
      </c>
      <c r="J9" s="114">
        <f t="shared" si="7"/>
        <v>18</v>
      </c>
      <c r="K9" s="114">
        <f t="shared" si="7"/>
        <v>2</v>
      </c>
      <c r="L9" s="114">
        <f t="shared" si="7"/>
        <v>2</v>
      </c>
      <c r="M9" s="114">
        <f t="shared" si="7"/>
        <v>0</v>
      </c>
      <c r="N9" s="114">
        <f t="shared" si="7"/>
        <v>0</v>
      </c>
      <c r="O9" s="69">
        <v>0</v>
      </c>
      <c r="P9" s="101"/>
      <c r="Q9" s="101"/>
      <c r="R9" s="101"/>
      <c r="S9" s="51" t="str">
        <f t="shared" si="8"/>
        <v/>
      </c>
      <c r="T9" s="51" t="str">
        <f t="shared" si="9"/>
        <v/>
      </c>
      <c r="U9" s="51" t="str">
        <f t="shared" si="10"/>
        <v/>
      </c>
      <c r="V9" s="70" t="s">
        <v>259</v>
      </c>
      <c r="W9" s="3" t="s">
        <v>260</v>
      </c>
      <c r="X9" s="1">
        <f t="shared" si="11"/>
        <v>18</v>
      </c>
      <c r="Y9" s="25">
        <f t="shared" si="12"/>
        <v>2</v>
      </c>
      <c r="Z9" s="25">
        <f t="shared" si="13"/>
        <v>0</v>
      </c>
      <c r="AA9" s="25">
        <f t="shared" si="14"/>
        <v>0</v>
      </c>
      <c r="AB9" s="25">
        <f t="shared" si="15"/>
        <v>0</v>
      </c>
      <c r="AC9" s="108"/>
      <c r="AD9" s="108"/>
    </row>
    <row r="10" spans="1:30">
      <c r="B10" s="2"/>
      <c r="C10" s="69" t="s">
        <v>45</v>
      </c>
      <c r="D10" s="5" t="s">
        <v>255</v>
      </c>
      <c r="E10" s="16">
        <v>15</v>
      </c>
      <c r="F10" s="2">
        <v>3</v>
      </c>
      <c r="G10" s="6">
        <v>4</v>
      </c>
      <c r="H10" s="6">
        <v>0</v>
      </c>
      <c r="I10" s="114">
        <f t="shared" si="7"/>
        <v>18</v>
      </c>
      <c r="J10" s="114">
        <f t="shared" si="7"/>
        <v>18</v>
      </c>
      <c r="K10" s="114">
        <f t="shared" si="7"/>
        <v>2</v>
      </c>
      <c r="L10" s="114">
        <f t="shared" si="7"/>
        <v>2</v>
      </c>
      <c r="M10" s="114">
        <f t="shared" si="7"/>
        <v>0</v>
      </c>
      <c r="N10" s="114">
        <f t="shared" si="7"/>
        <v>0</v>
      </c>
      <c r="O10" s="69">
        <v>0</v>
      </c>
      <c r="P10" s="101"/>
      <c r="Q10" s="101"/>
      <c r="R10" s="101"/>
      <c r="S10" s="51" t="str">
        <f t="shared" si="8"/>
        <v/>
      </c>
      <c r="T10" s="51" t="str">
        <f t="shared" si="9"/>
        <v/>
      </c>
      <c r="U10" s="51" t="str">
        <f t="shared" si="10"/>
        <v/>
      </c>
      <c r="V10" s="70" t="s">
        <v>259</v>
      </c>
      <c r="W10" s="3" t="s">
        <v>260</v>
      </c>
      <c r="X10" s="1">
        <f t="shared" si="11"/>
        <v>18</v>
      </c>
      <c r="Y10" s="25">
        <f t="shared" si="12"/>
        <v>2</v>
      </c>
      <c r="Z10" s="25">
        <f t="shared" si="13"/>
        <v>0</v>
      </c>
      <c r="AA10" s="25">
        <f t="shared" si="14"/>
        <v>0</v>
      </c>
      <c r="AB10" s="25">
        <f t="shared" si="15"/>
        <v>0</v>
      </c>
      <c r="AC10" s="108"/>
      <c r="AD10" s="108"/>
    </row>
    <row r="11" spans="1:30">
      <c r="B11" s="2"/>
      <c r="C11" s="69" t="s">
        <v>45</v>
      </c>
      <c r="D11" s="5" t="s">
        <v>255</v>
      </c>
      <c r="E11" s="16">
        <v>15</v>
      </c>
      <c r="F11" s="2">
        <v>3</v>
      </c>
      <c r="G11" s="6">
        <v>5</v>
      </c>
      <c r="H11" s="6">
        <v>0</v>
      </c>
      <c r="I11" s="114">
        <f t="shared" si="7"/>
        <v>18</v>
      </c>
      <c r="J11" s="114">
        <f t="shared" si="7"/>
        <v>18</v>
      </c>
      <c r="K11" s="114">
        <f t="shared" si="7"/>
        <v>2</v>
      </c>
      <c r="L11" s="114">
        <f t="shared" si="7"/>
        <v>2</v>
      </c>
      <c r="M11" s="114">
        <f t="shared" si="7"/>
        <v>0</v>
      </c>
      <c r="N11" s="114">
        <f t="shared" si="7"/>
        <v>0</v>
      </c>
      <c r="O11" s="69">
        <v>0</v>
      </c>
      <c r="P11" s="101"/>
      <c r="Q11" s="101"/>
      <c r="R11" s="101"/>
      <c r="S11" s="51" t="str">
        <f t="shared" si="8"/>
        <v/>
      </c>
      <c r="T11" s="51" t="str">
        <f t="shared" si="9"/>
        <v/>
      </c>
      <c r="U11" s="51" t="str">
        <f t="shared" si="10"/>
        <v/>
      </c>
      <c r="V11" s="70" t="s">
        <v>259</v>
      </c>
      <c r="W11" s="3" t="s">
        <v>260</v>
      </c>
      <c r="X11" s="1">
        <f t="shared" si="11"/>
        <v>18</v>
      </c>
      <c r="Y11" s="25">
        <f t="shared" si="12"/>
        <v>2</v>
      </c>
      <c r="Z11" s="25">
        <f t="shared" si="13"/>
        <v>0</v>
      </c>
      <c r="AA11" s="25">
        <f t="shared" si="14"/>
        <v>0</v>
      </c>
      <c r="AB11" s="25">
        <f t="shared" si="15"/>
        <v>0</v>
      </c>
      <c r="AC11" s="108"/>
      <c r="AD11" s="108"/>
    </row>
    <row r="12" spans="1:30">
      <c r="B12" s="2"/>
      <c r="C12" s="69" t="s">
        <v>45</v>
      </c>
      <c r="D12" s="5" t="s">
        <v>255</v>
      </c>
      <c r="E12" s="16">
        <v>15</v>
      </c>
      <c r="F12" s="2">
        <v>3</v>
      </c>
      <c r="G12" s="6">
        <v>6</v>
      </c>
      <c r="H12" s="6">
        <v>0</v>
      </c>
      <c r="I12" s="114">
        <f t="shared" si="7"/>
        <v>18</v>
      </c>
      <c r="J12" s="114">
        <f t="shared" si="7"/>
        <v>18</v>
      </c>
      <c r="K12" s="114">
        <f t="shared" si="7"/>
        <v>2</v>
      </c>
      <c r="L12" s="114">
        <f t="shared" si="7"/>
        <v>2</v>
      </c>
      <c r="M12" s="114">
        <f t="shared" si="7"/>
        <v>0</v>
      </c>
      <c r="N12" s="114">
        <f t="shared" si="7"/>
        <v>0</v>
      </c>
      <c r="O12" s="69">
        <v>0</v>
      </c>
      <c r="P12" s="101"/>
      <c r="Q12" s="101"/>
      <c r="R12" s="101"/>
      <c r="S12" s="51" t="str">
        <f t="shared" si="8"/>
        <v/>
      </c>
      <c r="T12" s="51" t="str">
        <f t="shared" si="9"/>
        <v/>
      </c>
      <c r="U12" s="51" t="str">
        <f t="shared" si="10"/>
        <v/>
      </c>
      <c r="V12" s="70" t="s">
        <v>259</v>
      </c>
      <c r="W12" s="3" t="s">
        <v>260</v>
      </c>
      <c r="X12" s="1">
        <f t="shared" si="11"/>
        <v>18</v>
      </c>
      <c r="Y12" s="25">
        <f t="shared" si="12"/>
        <v>2</v>
      </c>
      <c r="Z12" s="25">
        <f t="shared" si="13"/>
        <v>0</v>
      </c>
      <c r="AA12" s="25">
        <f t="shared" si="14"/>
        <v>0</v>
      </c>
      <c r="AB12" s="25">
        <f t="shared" si="15"/>
        <v>0</v>
      </c>
      <c r="AC12" s="108"/>
      <c r="AD12" s="108"/>
    </row>
    <row r="13" spans="1:30">
      <c r="B13" s="2"/>
      <c r="C13" s="69" t="s">
        <v>45</v>
      </c>
      <c r="D13" s="5" t="s">
        <v>255</v>
      </c>
      <c r="E13" s="16">
        <v>15</v>
      </c>
      <c r="F13" s="2">
        <v>3</v>
      </c>
      <c r="G13" s="6">
        <v>7</v>
      </c>
      <c r="H13" s="6">
        <v>0</v>
      </c>
      <c r="I13" s="114">
        <f t="shared" si="7"/>
        <v>18</v>
      </c>
      <c r="J13" s="114">
        <f t="shared" si="7"/>
        <v>18</v>
      </c>
      <c r="K13" s="114">
        <f t="shared" si="7"/>
        <v>2</v>
      </c>
      <c r="L13" s="114">
        <f t="shared" si="7"/>
        <v>2</v>
      </c>
      <c r="M13" s="114">
        <f t="shared" si="7"/>
        <v>0</v>
      </c>
      <c r="N13" s="114">
        <f t="shared" si="7"/>
        <v>0</v>
      </c>
      <c r="O13" s="69">
        <v>0</v>
      </c>
      <c r="P13" s="101"/>
      <c r="Q13" s="101"/>
      <c r="R13" s="101"/>
      <c r="S13" s="51" t="str">
        <f t="shared" si="8"/>
        <v/>
      </c>
      <c r="T13" s="51" t="str">
        <f t="shared" si="9"/>
        <v/>
      </c>
      <c r="U13" s="51" t="str">
        <f t="shared" si="10"/>
        <v/>
      </c>
      <c r="V13" s="70" t="s">
        <v>259</v>
      </c>
      <c r="W13" s="3" t="s">
        <v>260</v>
      </c>
      <c r="X13" s="1">
        <f t="shared" si="11"/>
        <v>18</v>
      </c>
      <c r="Y13" s="25">
        <f t="shared" si="12"/>
        <v>2</v>
      </c>
      <c r="Z13" s="25">
        <f t="shared" si="13"/>
        <v>0</v>
      </c>
      <c r="AA13" s="25">
        <f t="shared" si="14"/>
        <v>0</v>
      </c>
      <c r="AB13" s="25">
        <f t="shared" si="15"/>
        <v>0</v>
      </c>
      <c r="AC13" s="108"/>
      <c r="AD13" s="108"/>
    </row>
    <row r="14" spans="1:30">
      <c r="B14" s="2"/>
      <c r="C14" s="69" t="s">
        <v>45</v>
      </c>
      <c r="D14" s="5" t="s">
        <v>255</v>
      </c>
      <c r="E14" s="16">
        <v>15</v>
      </c>
      <c r="F14" s="2">
        <v>3</v>
      </c>
      <c r="G14" s="6">
        <v>8</v>
      </c>
      <c r="H14" s="6">
        <v>0</v>
      </c>
      <c r="I14" s="114">
        <f t="shared" si="7"/>
        <v>18</v>
      </c>
      <c r="J14" s="114">
        <f t="shared" si="7"/>
        <v>18</v>
      </c>
      <c r="K14" s="114">
        <f t="shared" si="7"/>
        <v>2</v>
      </c>
      <c r="L14" s="114">
        <f t="shared" si="7"/>
        <v>2</v>
      </c>
      <c r="M14" s="114">
        <f t="shared" si="7"/>
        <v>0</v>
      </c>
      <c r="N14" s="114">
        <f t="shared" si="7"/>
        <v>0</v>
      </c>
      <c r="O14" s="69">
        <v>0</v>
      </c>
      <c r="P14" s="101"/>
      <c r="Q14" s="101"/>
      <c r="R14" s="101"/>
      <c r="S14" s="51" t="str">
        <f t="shared" si="8"/>
        <v/>
      </c>
      <c r="T14" s="51" t="str">
        <f t="shared" si="9"/>
        <v/>
      </c>
      <c r="U14" s="51" t="str">
        <f t="shared" si="10"/>
        <v/>
      </c>
      <c r="V14" s="70" t="s">
        <v>259</v>
      </c>
      <c r="W14" s="3" t="s">
        <v>260</v>
      </c>
      <c r="X14" s="1">
        <f t="shared" si="11"/>
        <v>18</v>
      </c>
      <c r="Y14" s="25">
        <f t="shared" si="12"/>
        <v>2</v>
      </c>
      <c r="Z14" s="25">
        <f t="shared" si="13"/>
        <v>0</v>
      </c>
      <c r="AA14" s="25">
        <f t="shared" si="14"/>
        <v>0</v>
      </c>
      <c r="AB14" s="25">
        <f t="shared" si="15"/>
        <v>0</v>
      </c>
      <c r="AC14" s="108"/>
      <c r="AD14" s="108"/>
    </row>
    <row r="15" spans="1:30">
      <c r="B15" s="2"/>
      <c r="C15" s="69" t="s">
        <v>45</v>
      </c>
      <c r="D15" s="5" t="s">
        <v>255</v>
      </c>
      <c r="E15" s="16">
        <v>15</v>
      </c>
      <c r="F15" s="2">
        <v>3</v>
      </c>
      <c r="G15" s="6">
        <v>9</v>
      </c>
      <c r="H15" s="6">
        <v>0</v>
      </c>
      <c r="I15" s="114">
        <f t="shared" si="7"/>
        <v>18</v>
      </c>
      <c r="J15" s="114">
        <f t="shared" si="7"/>
        <v>18</v>
      </c>
      <c r="K15" s="114">
        <f t="shared" si="7"/>
        <v>2</v>
      </c>
      <c r="L15" s="114">
        <f t="shared" si="7"/>
        <v>2</v>
      </c>
      <c r="M15" s="114">
        <f t="shared" si="7"/>
        <v>0</v>
      </c>
      <c r="N15" s="114">
        <f t="shared" si="7"/>
        <v>0</v>
      </c>
      <c r="O15" s="69">
        <v>0</v>
      </c>
      <c r="P15" s="101"/>
      <c r="Q15" s="101"/>
      <c r="R15" s="101"/>
      <c r="S15" s="51" t="str">
        <f t="shared" si="8"/>
        <v/>
      </c>
      <c r="T15" s="51" t="str">
        <f t="shared" si="9"/>
        <v/>
      </c>
      <c r="U15" s="51" t="str">
        <f t="shared" si="10"/>
        <v/>
      </c>
      <c r="V15" s="70" t="s">
        <v>259</v>
      </c>
      <c r="W15" s="3" t="s">
        <v>260</v>
      </c>
      <c r="X15" s="1">
        <f t="shared" si="11"/>
        <v>18</v>
      </c>
      <c r="Y15" s="25">
        <f t="shared" si="12"/>
        <v>2</v>
      </c>
      <c r="Z15" s="25">
        <f t="shared" si="13"/>
        <v>0</v>
      </c>
      <c r="AA15" s="25">
        <f t="shared" si="14"/>
        <v>0</v>
      </c>
      <c r="AB15" s="25">
        <f t="shared" si="15"/>
        <v>0</v>
      </c>
      <c r="AC15" s="108"/>
      <c r="AD15" s="108"/>
    </row>
    <row r="16" spans="1:30">
      <c r="B16" s="2">
        <v>2</v>
      </c>
      <c r="C16" s="69" t="s">
        <v>14</v>
      </c>
      <c r="D16" s="5" t="s">
        <v>255</v>
      </c>
      <c r="E16" s="16">
        <v>15</v>
      </c>
      <c r="F16" s="2">
        <v>3</v>
      </c>
      <c r="G16" s="6">
        <v>1</v>
      </c>
      <c r="H16" s="6">
        <v>0</v>
      </c>
      <c r="I16" s="115">
        <v>20</v>
      </c>
      <c r="J16" s="115">
        <v>20</v>
      </c>
      <c r="K16" s="16">
        <v>2</v>
      </c>
      <c r="L16" s="16">
        <v>2</v>
      </c>
      <c r="M16" s="16">
        <v>0</v>
      </c>
      <c r="N16" s="16">
        <v>0</v>
      </c>
      <c r="O16" s="69">
        <v>0</v>
      </c>
      <c r="P16" s="101"/>
      <c r="Q16" s="101"/>
      <c r="R16" s="101"/>
      <c r="S16" s="51" t="str">
        <f t="shared" si="0"/>
        <v/>
      </c>
      <c r="T16" s="51" t="str">
        <f t="shared" si="1"/>
        <v/>
      </c>
      <c r="U16" s="51" t="str">
        <f t="shared" si="2"/>
        <v/>
      </c>
      <c r="V16" s="61" t="s">
        <v>207</v>
      </c>
      <c r="W16" s="3" t="s">
        <v>37</v>
      </c>
      <c r="X16" s="1">
        <f t="shared" ref="X16" si="16">(I16+J16)/2</f>
        <v>20</v>
      </c>
      <c r="Y16" s="25">
        <f t="shared" ref="Y16" si="17">L16-Z16-AA16-AB16</f>
        <v>2</v>
      </c>
      <c r="Z16" s="25">
        <f t="shared" si="4"/>
        <v>0</v>
      </c>
      <c r="AA16" s="25">
        <f t="shared" si="5"/>
        <v>0</v>
      </c>
      <c r="AB16" s="25">
        <f t="shared" si="6"/>
        <v>0</v>
      </c>
      <c r="AC16" s="108"/>
      <c r="AD16" s="108"/>
    </row>
    <row r="17" spans="2:30">
      <c r="B17" s="2"/>
      <c r="C17" s="69" t="s">
        <v>14</v>
      </c>
      <c r="D17" s="5" t="s">
        <v>255</v>
      </c>
      <c r="E17" s="16">
        <v>15</v>
      </c>
      <c r="F17" s="2">
        <v>3</v>
      </c>
      <c r="G17" s="6">
        <v>2</v>
      </c>
      <c r="H17" s="6">
        <v>0</v>
      </c>
      <c r="I17" s="114">
        <f t="shared" ref="I17:I24" si="18">I16</f>
        <v>20</v>
      </c>
      <c r="J17" s="114">
        <f t="shared" ref="J17:J24" si="19">J16</f>
        <v>20</v>
      </c>
      <c r="K17" s="114">
        <f t="shared" ref="K17:K24" si="20">K16</f>
        <v>2</v>
      </c>
      <c r="L17" s="114">
        <f t="shared" ref="L17:L24" si="21">L16</f>
        <v>2</v>
      </c>
      <c r="M17" s="114">
        <f t="shared" ref="M17:M24" si="22">M16</f>
        <v>0</v>
      </c>
      <c r="N17" s="114">
        <f t="shared" ref="N17:N24" si="23">N16</f>
        <v>0</v>
      </c>
      <c r="O17" s="69">
        <v>0</v>
      </c>
      <c r="P17" s="101"/>
      <c r="Q17" s="101"/>
      <c r="R17" s="101"/>
      <c r="S17" s="51" t="str">
        <f t="shared" ref="S17:S24" si="24">IF(P17=0,"",VLOOKUP(P17,产出卡牌概率,2,))</f>
        <v/>
      </c>
      <c r="T17" s="51" t="str">
        <f t="shared" ref="T17:T24" si="25">IF(Q17=0,"",VLOOKUP(Q17,产出卡牌概率,2,))</f>
        <v/>
      </c>
      <c r="U17" s="51" t="str">
        <f t="shared" ref="U17:U24" si="26">IF(R17=0,"",VLOOKUP(R17,产出卡牌概率,2,))</f>
        <v/>
      </c>
      <c r="V17" s="61" t="s">
        <v>207</v>
      </c>
      <c r="W17" s="3" t="s">
        <v>37</v>
      </c>
      <c r="X17" s="1">
        <f t="shared" ref="X17:X24" si="27">(I17+J17)/2</f>
        <v>20</v>
      </c>
      <c r="Y17" s="25">
        <f t="shared" ref="Y17:Y24" si="28">L17-Z17-AA17-AB17</f>
        <v>2</v>
      </c>
      <c r="Z17" s="25">
        <f t="shared" ref="Z17:Z24" si="29">M17+P17</f>
        <v>0</v>
      </c>
      <c r="AA17" s="25">
        <f t="shared" ref="AA17:AA24" si="30">N17+Q17</f>
        <v>0</v>
      </c>
      <c r="AB17" s="25">
        <f t="shared" ref="AB17:AB24" si="31">O17+R17</f>
        <v>0</v>
      </c>
      <c r="AC17" s="108"/>
      <c r="AD17" s="108"/>
    </row>
    <row r="18" spans="2:30">
      <c r="B18" s="2"/>
      <c r="C18" s="69" t="s">
        <v>14</v>
      </c>
      <c r="D18" s="5" t="s">
        <v>255</v>
      </c>
      <c r="E18" s="16">
        <v>15</v>
      </c>
      <c r="F18" s="2">
        <v>3</v>
      </c>
      <c r="G18" s="6">
        <v>3</v>
      </c>
      <c r="H18" s="6">
        <v>0</v>
      </c>
      <c r="I18" s="114">
        <f t="shared" si="18"/>
        <v>20</v>
      </c>
      <c r="J18" s="114">
        <f t="shared" si="19"/>
        <v>20</v>
      </c>
      <c r="K18" s="114">
        <f t="shared" si="20"/>
        <v>2</v>
      </c>
      <c r="L18" s="114">
        <f t="shared" si="21"/>
        <v>2</v>
      </c>
      <c r="M18" s="114">
        <f t="shared" si="22"/>
        <v>0</v>
      </c>
      <c r="N18" s="114">
        <f t="shared" si="23"/>
        <v>0</v>
      </c>
      <c r="O18" s="69">
        <v>0</v>
      </c>
      <c r="P18" s="101"/>
      <c r="Q18" s="101"/>
      <c r="R18" s="101"/>
      <c r="S18" s="51" t="str">
        <f t="shared" si="24"/>
        <v/>
      </c>
      <c r="T18" s="51" t="str">
        <f t="shared" si="25"/>
        <v/>
      </c>
      <c r="U18" s="51" t="str">
        <f t="shared" si="26"/>
        <v/>
      </c>
      <c r="V18" s="61" t="s">
        <v>207</v>
      </c>
      <c r="W18" s="3" t="s">
        <v>37</v>
      </c>
      <c r="X18" s="1">
        <f t="shared" si="27"/>
        <v>20</v>
      </c>
      <c r="Y18" s="25">
        <f t="shared" si="28"/>
        <v>2</v>
      </c>
      <c r="Z18" s="25">
        <f t="shared" si="29"/>
        <v>0</v>
      </c>
      <c r="AA18" s="25">
        <f t="shared" si="30"/>
        <v>0</v>
      </c>
      <c r="AB18" s="25">
        <f t="shared" si="31"/>
        <v>0</v>
      </c>
      <c r="AC18" s="108"/>
      <c r="AD18" s="108"/>
    </row>
    <row r="19" spans="2:30">
      <c r="B19" s="2"/>
      <c r="C19" s="69" t="s">
        <v>14</v>
      </c>
      <c r="D19" s="5" t="s">
        <v>255</v>
      </c>
      <c r="E19" s="16">
        <v>15</v>
      </c>
      <c r="F19" s="2">
        <v>3</v>
      </c>
      <c r="G19" s="6">
        <v>4</v>
      </c>
      <c r="H19" s="6">
        <v>0</v>
      </c>
      <c r="I19" s="114">
        <f t="shared" si="18"/>
        <v>20</v>
      </c>
      <c r="J19" s="114">
        <f t="shared" si="19"/>
        <v>20</v>
      </c>
      <c r="K19" s="114">
        <f t="shared" si="20"/>
        <v>2</v>
      </c>
      <c r="L19" s="114">
        <f t="shared" si="21"/>
        <v>2</v>
      </c>
      <c r="M19" s="114">
        <f t="shared" si="22"/>
        <v>0</v>
      </c>
      <c r="N19" s="114">
        <f t="shared" si="23"/>
        <v>0</v>
      </c>
      <c r="O19" s="69">
        <v>0</v>
      </c>
      <c r="P19" s="101"/>
      <c r="Q19" s="101"/>
      <c r="R19" s="101"/>
      <c r="S19" s="51" t="str">
        <f t="shared" si="24"/>
        <v/>
      </c>
      <c r="T19" s="51" t="str">
        <f t="shared" si="25"/>
        <v/>
      </c>
      <c r="U19" s="51" t="str">
        <f t="shared" si="26"/>
        <v/>
      </c>
      <c r="V19" s="61" t="s">
        <v>207</v>
      </c>
      <c r="W19" s="3" t="s">
        <v>37</v>
      </c>
      <c r="X19" s="1">
        <f t="shared" si="27"/>
        <v>20</v>
      </c>
      <c r="Y19" s="25">
        <f t="shared" si="28"/>
        <v>2</v>
      </c>
      <c r="Z19" s="25">
        <f t="shared" si="29"/>
        <v>0</v>
      </c>
      <c r="AA19" s="25">
        <f t="shared" si="30"/>
        <v>0</v>
      </c>
      <c r="AB19" s="25">
        <f t="shared" si="31"/>
        <v>0</v>
      </c>
      <c r="AC19" s="108"/>
      <c r="AD19" s="108"/>
    </row>
    <row r="20" spans="2:30">
      <c r="B20" s="2"/>
      <c r="C20" s="69" t="s">
        <v>14</v>
      </c>
      <c r="D20" s="5" t="s">
        <v>255</v>
      </c>
      <c r="E20" s="16">
        <v>15</v>
      </c>
      <c r="F20" s="2">
        <v>3</v>
      </c>
      <c r="G20" s="6">
        <v>5</v>
      </c>
      <c r="H20" s="6">
        <v>0</v>
      </c>
      <c r="I20" s="114">
        <f t="shared" si="18"/>
        <v>20</v>
      </c>
      <c r="J20" s="114">
        <f t="shared" si="19"/>
        <v>20</v>
      </c>
      <c r="K20" s="114">
        <f t="shared" si="20"/>
        <v>2</v>
      </c>
      <c r="L20" s="114">
        <f t="shared" si="21"/>
        <v>2</v>
      </c>
      <c r="M20" s="114">
        <f t="shared" si="22"/>
        <v>0</v>
      </c>
      <c r="N20" s="114">
        <f t="shared" si="23"/>
        <v>0</v>
      </c>
      <c r="O20" s="69">
        <v>0</v>
      </c>
      <c r="P20" s="101"/>
      <c r="Q20" s="101"/>
      <c r="R20" s="101"/>
      <c r="S20" s="51" t="str">
        <f t="shared" si="24"/>
        <v/>
      </c>
      <c r="T20" s="51" t="str">
        <f t="shared" si="25"/>
        <v/>
      </c>
      <c r="U20" s="51" t="str">
        <f t="shared" si="26"/>
        <v/>
      </c>
      <c r="V20" s="61" t="s">
        <v>207</v>
      </c>
      <c r="W20" s="3" t="s">
        <v>37</v>
      </c>
      <c r="X20" s="1">
        <f t="shared" si="27"/>
        <v>20</v>
      </c>
      <c r="Y20" s="25">
        <f t="shared" si="28"/>
        <v>2</v>
      </c>
      <c r="Z20" s="25">
        <f t="shared" si="29"/>
        <v>0</v>
      </c>
      <c r="AA20" s="25">
        <f t="shared" si="30"/>
        <v>0</v>
      </c>
      <c r="AB20" s="25">
        <f t="shared" si="31"/>
        <v>0</v>
      </c>
      <c r="AC20" s="108"/>
      <c r="AD20" s="108"/>
    </row>
    <row r="21" spans="2:30">
      <c r="B21" s="2"/>
      <c r="C21" s="69" t="s">
        <v>14</v>
      </c>
      <c r="D21" s="5" t="s">
        <v>255</v>
      </c>
      <c r="E21" s="16">
        <v>15</v>
      </c>
      <c r="F21" s="2">
        <v>3</v>
      </c>
      <c r="G21" s="6">
        <v>6</v>
      </c>
      <c r="H21" s="6">
        <v>0</v>
      </c>
      <c r="I21" s="114">
        <f t="shared" si="18"/>
        <v>20</v>
      </c>
      <c r="J21" s="114">
        <f t="shared" si="19"/>
        <v>20</v>
      </c>
      <c r="K21" s="114">
        <f t="shared" si="20"/>
        <v>2</v>
      </c>
      <c r="L21" s="114">
        <f t="shared" si="21"/>
        <v>2</v>
      </c>
      <c r="M21" s="114">
        <f t="shared" si="22"/>
        <v>0</v>
      </c>
      <c r="N21" s="114">
        <f t="shared" si="23"/>
        <v>0</v>
      </c>
      <c r="O21" s="69">
        <v>0</v>
      </c>
      <c r="P21" s="101"/>
      <c r="Q21" s="101"/>
      <c r="R21" s="101"/>
      <c r="S21" s="51" t="str">
        <f t="shared" si="24"/>
        <v/>
      </c>
      <c r="T21" s="51" t="str">
        <f t="shared" si="25"/>
        <v/>
      </c>
      <c r="U21" s="51" t="str">
        <f t="shared" si="26"/>
        <v/>
      </c>
      <c r="V21" s="61" t="s">
        <v>207</v>
      </c>
      <c r="W21" s="3" t="s">
        <v>37</v>
      </c>
      <c r="X21" s="1">
        <f t="shared" si="27"/>
        <v>20</v>
      </c>
      <c r="Y21" s="25">
        <f t="shared" si="28"/>
        <v>2</v>
      </c>
      <c r="Z21" s="25">
        <f t="shared" si="29"/>
        <v>0</v>
      </c>
      <c r="AA21" s="25">
        <f t="shared" si="30"/>
        <v>0</v>
      </c>
      <c r="AB21" s="25">
        <f t="shared" si="31"/>
        <v>0</v>
      </c>
      <c r="AC21" s="108"/>
      <c r="AD21" s="108"/>
    </row>
    <row r="22" spans="2:30">
      <c r="B22" s="2"/>
      <c r="C22" s="69" t="s">
        <v>14</v>
      </c>
      <c r="D22" s="5" t="s">
        <v>255</v>
      </c>
      <c r="E22" s="16">
        <v>15</v>
      </c>
      <c r="F22" s="2">
        <v>3</v>
      </c>
      <c r="G22" s="6">
        <v>7</v>
      </c>
      <c r="H22" s="6">
        <v>0</v>
      </c>
      <c r="I22" s="114">
        <f t="shared" si="18"/>
        <v>20</v>
      </c>
      <c r="J22" s="114">
        <f t="shared" si="19"/>
        <v>20</v>
      </c>
      <c r="K22" s="114">
        <f t="shared" si="20"/>
        <v>2</v>
      </c>
      <c r="L22" s="114">
        <f t="shared" si="21"/>
        <v>2</v>
      </c>
      <c r="M22" s="114">
        <f t="shared" si="22"/>
        <v>0</v>
      </c>
      <c r="N22" s="114">
        <f t="shared" si="23"/>
        <v>0</v>
      </c>
      <c r="O22" s="69">
        <v>0</v>
      </c>
      <c r="P22" s="101"/>
      <c r="Q22" s="101"/>
      <c r="R22" s="101"/>
      <c r="S22" s="51" t="str">
        <f t="shared" si="24"/>
        <v/>
      </c>
      <c r="T22" s="51" t="str">
        <f t="shared" si="25"/>
        <v/>
      </c>
      <c r="U22" s="51" t="str">
        <f t="shared" si="26"/>
        <v/>
      </c>
      <c r="V22" s="61" t="s">
        <v>207</v>
      </c>
      <c r="W22" s="3" t="s">
        <v>37</v>
      </c>
      <c r="X22" s="1">
        <f t="shared" si="27"/>
        <v>20</v>
      </c>
      <c r="Y22" s="25">
        <f t="shared" si="28"/>
        <v>2</v>
      </c>
      <c r="Z22" s="25">
        <f t="shared" si="29"/>
        <v>0</v>
      </c>
      <c r="AA22" s="25">
        <f t="shared" si="30"/>
        <v>0</v>
      </c>
      <c r="AB22" s="25">
        <f t="shared" si="31"/>
        <v>0</v>
      </c>
      <c r="AC22" s="108"/>
      <c r="AD22" s="108"/>
    </row>
    <row r="23" spans="2:30">
      <c r="B23" s="2"/>
      <c r="C23" s="69" t="s">
        <v>14</v>
      </c>
      <c r="D23" s="5" t="s">
        <v>255</v>
      </c>
      <c r="E23" s="16">
        <v>15</v>
      </c>
      <c r="F23" s="2">
        <v>3</v>
      </c>
      <c r="G23" s="6">
        <v>8</v>
      </c>
      <c r="H23" s="6">
        <v>0</v>
      </c>
      <c r="I23" s="114">
        <f t="shared" si="18"/>
        <v>20</v>
      </c>
      <c r="J23" s="114">
        <f t="shared" si="19"/>
        <v>20</v>
      </c>
      <c r="K23" s="114">
        <f t="shared" si="20"/>
        <v>2</v>
      </c>
      <c r="L23" s="114">
        <f t="shared" si="21"/>
        <v>2</v>
      </c>
      <c r="M23" s="114">
        <f t="shared" si="22"/>
        <v>0</v>
      </c>
      <c r="N23" s="114">
        <f t="shared" si="23"/>
        <v>0</v>
      </c>
      <c r="O23" s="69">
        <v>0</v>
      </c>
      <c r="P23" s="101"/>
      <c r="Q23" s="101"/>
      <c r="R23" s="101"/>
      <c r="S23" s="51" t="str">
        <f t="shared" si="24"/>
        <v/>
      </c>
      <c r="T23" s="51" t="str">
        <f t="shared" si="25"/>
        <v/>
      </c>
      <c r="U23" s="51" t="str">
        <f t="shared" si="26"/>
        <v/>
      </c>
      <c r="V23" s="61" t="s">
        <v>207</v>
      </c>
      <c r="W23" s="3" t="s">
        <v>37</v>
      </c>
      <c r="X23" s="1">
        <f t="shared" si="27"/>
        <v>20</v>
      </c>
      <c r="Y23" s="25">
        <f t="shared" si="28"/>
        <v>2</v>
      </c>
      <c r="Z23" s="25">
        <f t="shared" si="29"/>
        <v>0</v>
      </c>
      <c r="AA23" s="25">
        <f t="shared" si="30"/>
        <v>0</v>
      </c>
      <c r="AB23" s="25">
        <f t="shared" si="31"/>
        <v>0</v>
      </c>
      <c r="AC23" s="108"/>
      <c r="AD23" s="108"/>
    </row>
    <row r="24" spans="2:30">
      <c r="B24" s="2"/>
      <c r="C24" s="69" t="s">
        <v>14</v>
      </c>
      <c r="D24" s="5" t="s">
        <v>255</v>
      </c>
      <c r="E24" s="16">
        <v>15</v>
      </c>
      <c r="F24" s="2">
        <v>3</v>
      </c>
      <c r="G24" s="6">
        <v>9</v>
      </c>
      <c r="H24" s="6">
        <v>0</v>
      </c>
      <c r="I24" s="114">
        <f t="shared" si="18"/>
        <v>20</v>
      </c>
      <c r="J24" s="114">
        <f t="shared" si="19"/>
        <v>20</v>
      </c>
      <c r="K24" s="114">
        <f t="shared" si="20"/>
        <v>2</v>
      </c>
      <c r="L24" s="114">
        <f t="shared" si="21"/>
        <v>2</v>
      </c>
      <c r="M24" s="114">
        <f t="shared" si="22"/>
        <v>0</v>
      </c>
      <c r="N24" s="114">
        <f t="shared" si="23"/>
        <v>0</v>
      </c>
      <c r="O24" s="69">
        <v>0</v>
      </c>
      <c r="P24" s="101"/>
      <c r="Q24" s="101"/>
      <c r="R24" s="101"/>
      <c r="S24" s="51" t="str">
        <f t="shared" si="24"/>
        <v/>
      </c>
      <c r="T24" s="51" t="str">
        <f t="shared" si="25"/>
        <v/>
      </c>
      <c r="U24" s="51" t="str">
        <f t="shared" si="26"/>
        <v/>
      </c>
      <c r="V24" s="61" t="s">
        <v>207</v>
      </c>
      <c r="W24" s="3" t="s">
        <v>37</v>
      </c>
      <c r="X24" s="1">
        <f t="shared" si="27"/>
        <v>20</v>
      </c>
      <c r="Y24" s="25">
        <f t="shared" si="28"/>
        <v>2</v>
      </c>
      <c r="Z24" s="25">
        <f t="shared" si="29"/>
        <v>0</v>
      </c>
      <c r="AA24" s="25">
        <f t="shared" si="30"/>
        <v>0</v>
      </c>
      <c r="AB24" s="25">
        <f t="shared" si="31"/>
        <v>0</v>
      </c>
      <c r="AC24" s="108"/>
      <c r="AD24" s="108"/>
    </row>
    <row r="25" spans="2:30">
      <c r="B25" s="2">
        <v>3</v>
      </c>
      <c r="C25" s="69" t="s">
        <v>15</v>
      </c>
      <c r="D25" s="5" t="s">
        <v>255</v>
      </c>
      <c r="E25" s="16">
        <v>15</v>
      </c>
      <c r="F25" s="2">
        <v>3</v>
      </c>
      <c r="G25" s="6">
        <v>1</v>
      </c>
      <c r="H25" s="6">
        <v>0</v>
      </c>
      <c r="I25" s="115">
        <v>21</v>
      </c>
      <c r="J25" s="115">
        <v>21</v>
      </c>
      <c r="K25" s="16">
        <v>2</v>
      </c>
      <c r="L25" s="16">
        <v>2</v>
      </c>
      <c r="M25" s="16">
        <v>0</v>
      </c>
      <c r="N25" s="16">
        <v>0</v>
      </c>
      <c r="O25" s="69">
        <v>0</v>
      </c>
      <c r="P25" s="101"/>
      <c r="Q25" s="101"/>
      <c r="R25" s="101"/>
      <c r="S25" s="51" t="str">
        <f t="shared" si="0"/>
        <v/>
      </c>
      <c r="T25" s="51" t="str">
        <f t="shared" si="1"/>
        <v/>
      </c>
      <c r="U25" s="51" t="str">
        <f t="shared" si="2"/>
        <v/>
      </c>
      <c r="V25" s="62" t="s">
        <v>208</v>
      </c>
      <c r="X25" s="1">
        <f t="shared" ref="X25" si="32">(I25+J25)/2</f>
        <v>21</v>
      </c>
      <c r="Y25" s="25">
        <f t="shared" ref="Y25" si="33">L25-Z25-AA25-AB25</f>
        <v>2</v>
      </c>
      <c r="Z25" s="25">
        <f t="shared" si="4"/>
        <v>0</v>
      </c>
      <c r="AA25" s="25">
        <f t="shared" si="5"/>
        <v>0</v>
      </c>
      <c r="AB25" s="25">
        <f t="shared" si="6"/>
        <v>0</v>
      </c>
      <c r="AC25" s="108"/>
    </row>
    <row r="26" spans="2:30">
      <c r="B26" s="2"/>
      <c r="C26" s="69" t="s">
        <v>15</v>
      </c>
      <c r="D26" s="5" t="s">
        <v>255</v>
      </c>
      <c r="E26" s="16">
        <v>15</v>
      </c>
      <c r="F26" s="2">
        <v>3</v>
      </c>
      <c r="G26" s="6">
        <v>2</v>
      </c>
      <c r="H26" s="6">
        <v>0</v>
      </c>
      <c r="I26" s="114">
        <f t="shared" ref="I26:I33" si="34">I25</f>
        <v>21</v>
      </c>
      <c r="J26" s="114">
        <f t="shared" ref="J26:J33" si="35">J25</f>
        <v>21</v>
      </c>
      <c r="K26" s="114">
        <f t="shared" ref="K26:K33" si="36">K25</f>
        <v>2</v>
      </c>
      <c r="L26" s="114">
        <f t="shared" ref="L26:L33" si="37">L25</f>
        <v>2</v>
      </c>
      <c r="M26" s="114">
        <f t="shared" ref="M26:M33" si="38">M25</f>
        <v>0</v>
      </c>
      <c r="N26" s="114">
        <f t="shared" ref="N26:N33" si="39">N25</f>
        <v>0</v>
      </c>
      <c r="O26" s="69">
        <v>0</v>
      </c>
      <c r="P26" s="101"/>
      <c r="Q26" s="101"/>
      <c r="R26" s="101"/>
      <c r="S26" s="51" t="str">
        <f t="shared" ref="S26:S33" si="40">IF(P26=0,"",VLOOKUP(P26,产出卡牌概率,2,))</f>
        <v/>
      </c>
      <c r="T26" s="51" t="str">
        <f t="shared" ref="T26:T33" si="41">IF(Q26=0,"",VLOOKUP(Q26,产出卡牌概率,2,))</f>
        <v/>
      </c>
      <c r="U26" s="51" t="str">
        <f t="shared" ref="U26:U33" si="42">IF(R26=0,"",VLOOKUP(R26,产出卡牌概率,2,))</f>
        <v/>
      </c>
      <c r="V26" s="62" t="s">
        <v>208</v>
      </c>
      <c r="X26" s="1">
        <f t="shared" ref="X26:X33" si="43">(I26+J26)/2</f>
        <v>21</v>
      </c>
      <c r="Y26" s="25">
        <f t="shared" ref="Y26:Y33" si="44">L26-Z26-AA26-AB26</f>
        <v>2</v>
      </c>
      <c r="Z26" s="25">
        <f t="shared" ref="Z26:Z33" si="45">M26+P26</f>
        <v>0</v>
      </c>
      <c r="AA26" s="25">
        <f t="shared" ref="AA26:AA33" si="46">N26+Q26</f>
        <v>0</v>
      </c>
      <c r="AB26" s="25">
        <f t="shared" ref="AB26:AB33" si="47">O26+R26</f>
        <v>0</v>
      </c>
      <c r="AC26" s="108"/>
    </row>
    <row r="27" spans="2:30">
      <c r="B27" s="2"/>
      <c r="C27" s="69" t="s">
        <v>15</v>
      </c>
      <c r="D27" s="5" t="s">
        <v>255</v>
      </c>
      <c r="E27" s="16">
        <v>15</v>
      </c>
      <c r="F27" s="2">
        <v>3</v>
      </c>
      <c r="G27" s="6">
        <v>3</v>
      </c>
      <c r="H27" s="6">
        <v>0</v>
      </c>
      <c r="I27" s="114">
        <f t="shared" si="34"/>
        <v>21</v>
      </c>
      <c r="J27" s="114">
        <f t="shared" si="35"/>
        <v>21</v>
      </c>
      <c r="K27" s="114">
        <f t="shared" si="36"/>
        <v>2</v>
      </c>
      <c r="L27" s="114">
        <f t="shared" si="37"/>
        <v>2</v>
      </c>
      <c r="M27" s="114">
        <f t="shared" si="38"/>
        <v>0</v>
      </c>
      <c r="N27" s="114">
        <f t="shared" si="39"/>
        <v>0</v>
      </c>
      <c r="O27" s="69">
        <v>0</v>
      </c>
      <c r="P27" s="101"/>
      <c r="Q27" s="101"/>
      <c r="R27" s="101"/>
      <c r="S27" s="51" t="str">
        <f t="shared" si="40"/>
        <v/>
      </c>
      <c r="T27" s="51" t="str">
        <f t="shared" si="41"/>
        <v/>
      </c>
      <c r="U27" s="51" t="str">
        <f t="shared" si="42"/>
        <v/>
      </c>
      <c r="V27" s="62" t="s">
        <v>208</v>
      </c>
      <c r="X27" s="1">
        <f t="shared" si="43"/>
        <v>21</v>
      </c>
      <c r="Y27" s="25">
        <f t="shared" si="44"/>
        <v>2</v>
      </c>
      <c r="Z27" s="25">
        <f t="shared" si="45"/>
        <v>0</v>
      </c>
      <c r="AA27" s="25">
        <f t="shared" si="46"/>
        <v>0</v>
      </c>
      <c r="AB27" s="25">
        <f t="shared" si="47"/>
        <v>0</v>
      </c>
      <c r="AC27" s="108"/>
    </row>
    <row r="28" spans="2:30">
      <c r="B28" s="2"/>
      <c r="C28" s="69" t="s">
        <v>15</v>
      </c>
      <c r="D28" s="5" t="s">
        <v>255</v>
      </c>
      <c r="E28" s="16">
        <v>15</v>
      </c>
      <c r="F28" s="2">
        <v>3</v>
      </c>
      <c r="G28" s="6">
        <v>4</v>
      </c>
      <c r="H28" s="6">
        <v>0</v>
      </c>
      <c r="I28" s="114">
        <f t="shared" si="34"/>
        <v>21</v>
      </c>
      <c r="J28" s="114">
        <f t="shared" si="35"/>
        <v>21</v>
      </c>
      <c r="K28" s="114">
        <f t="shared" si="36"/>
        <v>2</v>
      </c>
      <c r="L28" s="114">
        <f t="shared" si="37"/>
        <v>2</v>
      </c>
      <c r="M28" s="114">
        <f t="shared" si="38"/>
        <v>0</v>
      </c>
      <c r="N28" s="114">
        <f t="shared" si="39"/>
        <v>0</v>
      </c>
      <c r="O28" s="69">
        <v>0</v>
      </c>
      <c r="P28" s="101"/>
      <c r="Q28" s="101"/>
      <c r="R28" s="101"/>
      <c r="S28" s="51" t="str">
        <f t="shared" si="40"/>
        <v/>
      </c>
      <c r="T28" s="51" t="str">
        <f t="shared" si="41"/>
        <v/>
      </c>
      <c r="U28" s="51" t="str">
        <f t="shared" si="42"/>
        <v/>
      </c>
      <c r="V28" s="62" t="s">
        <v>208</v>
      </c>
      <c r="X28" s="1">
        <f t="shared" si="43"/>
        <v>21</v>
      </c>
      <c r="Y28" s="25">
        <f t="shared" si="44"/>
        <v>2</v>
      </c>
      <c r="Z28" s="25">
        <f t="shared" si="45"/>
        <v>0</v>
      </c>
      <c r="AA28" s="25">
        <f t="shared" si="46"/>
        <v>0</v>
      </c>
      <c r="AB28" s="25">
        <f t="shared" si="47"/>
        <v>0</v>
      </c>
      <c r="AC28" s="108"/>
    </row>
    <row r="29" spans="2:30">
      <c r="B29" s="2"/>
      <c r="C29" s="69" t="s">
        <v>15</v>
      </c>
      <c r="D29" s="5" t="s">
        <v>255</v>
      </c>
      <c r="E29" s="16">
        <v>15</v>
      </c>
      <c r="F29" s="2">
        <v>3</v>
      </c>
      <c r="G29" s="6">
        <v>5</v>
      </c>
      <c r="H29" s="6">
        <v>0</v>
      </c>
      <c r="I29" s="114">
        <f t="shared" si="34"/>
        <v>21</v>
      </c>
      <c r="J29" s="114">
        <f t="shared" si="35"/>
        <v>21</v>
      </c>
      <c r="K29" s="114">
        <f t="shared" si="36"/>
        <v>2</v>
      </c>
      <c r="L29" s="114">
        <f t="shared" si="37"/>
        <v>2</v>
      </c>
      <c r="M29" s="114">
        <f t="shared" si="38"/>
        <v>0</v>
      </c>
      <c r="N29" s="114">
        <f t="shared" si="39"/>
        <v>0</v>
      </c>
      <c r="O29" s="69">
        <v>0</v>
      </c>
      <c r="P29" s="101"/>
      <c r="Q29" s="101"/>
      <c r="R29" s="101"/>
      <c r="S29" s="51" t="str">
        <f t="shared" si="40"/>
        <v/>
      </c>
      <c r="T29" s="51" t="str">
        <f t="shared" si="41"/>
        <v/>
      </c>
      <c r="U29" s="51" t="str">
        <f t="shared" si="42"/>
        <v/>
      </c>
      <c r="V29" s="62" t="s">
        <v>208</v>
      </c>
      <c r="X29" s="1">
        <f t="shared" si="43"/>
        <v>21</v>
      </c>
      <c r="Y29" s="25">
        <f t="shared" si="44"/>
        <v>2</v>
      </c>
      <c r="Z29" s="25">
        <f t="shared" si="45"/>
        <v>0</v>
      </c>
      <c r="AA29" s="25">
        <f t="shared" si="46"/>
        <v>0</v>
      </c>
      <c r="AB29" s="25">
        <f t="shared" si="47"/>
        <v>0</v>
      </c>
      <c r="AC29" s="108"/>
    </row>
    <row r="30" spans="2:30">
      <c r="B30" s="2"/>
      <c r="C30" s="69" t="s">
        <v>15</v>
      </c>
      <c r="D30" s="5" t="s">
        <v>255</v>
      </c>
      <c r="E30" s="16">
        <v>15</v>
      </c>
      <c r="F30" s="2">
        <v>3</v>
      </c>
      <c r="G30" s="6">
        <v>6</v>
      </c>
      <c r="H30" s="6">
        <v>0</v>
      </c>
      <c r="I30" s="114">
        <f t="shared" si="34"/>
        <v>21</v>
      </c>
      <c r="J30" s="114">
        <f t="shared" si="35"/>
        <v>21</v>
      </c>
      <c r="K30" s="114">
        <f t="shared" si="36"/>
        <v>2</v>
      </c>
      <c r="L30" s="114">
        <f t="shared" si="37"/>
        <v>2</v>
      </c>
      <c r="M30" s="114">
        <f t="shared" si="38"/>
        <v>0</v>
      </c>
      <c r="N30" s="114">
        <f t="shared" si="39"/>
        <v>0</v>
      </c>
      <c r="O30" s="69">
        <v>0</v>
      </c>
      <c r="P30" s="101"/>
      <c r="Q30" s="101"/>
      <c r="R30" s="101"/>
      <c r="S30" s="51" t="str">
        <f t="shared" si="40"/>
        <v/>
      </c>
      <c r="T30" s="51" t="str">
        <f t="shared" si="41"/>
        <v/>
      </c>
      <c r="U30" s="51" t="str">
        <f t="shared" si="42"/>
        <v/>
      </c>
      <c r="V30" s="62" t="s">
        <v>208</v>
      </c>
      <c r="X30" s="1">
        <f t="shared" si="43"/>
        <v>21</v>
      </c>
      <c r="Y30" s="25">
        <f t="shared" si="44"/>
        <v>2</v>
      </c>
      <c r="Z30" s="25">
        <f t="shared" si="45"/>
        <v>0</v>
      </c>
      <c r="AA30" s="25">
        <f t="shared" si="46"/>
        <v>0</v>
      </c>
      <c r="AB30" s="25">
        <f t="shared" si="47"/>
        <v>0</v>
      </c>
      <c r="AC30" s="108"/>
    </row>
    <row r="31" spans="2:30">
      <c r="B31" s="2"/>
      <c r="C31" s="69" t="s">
        <v>15</v>
      </c>
      <c r="D31" s="5" t="s">
        <v>255</v>
      </c>
      <c r="E31" s="16">
        <v>15</v>
      </c>
      <c r="F31" s="2">
        <v>3</v>
      </c>
      <c r="G31" s="6">
        <v>7</v>
      </c>
      <c r="H31" s="6">
        <v>0</v>
      </c>
      <c r="I31" s="114">
        <f t="shared" si="34"/>
        <v>21</v>
      </c>
      <c r="J31" s="114">
        <f t="shared" si="35"/>
        <v>21</v>
      </c>
      <c r="K31" s="114">
        <f t="shared" si="36"/>
        <v>2</v>
      </c>
      <c r="L31" s="114">
        <f t="shared" si="37"/>
        <v>2</v>
      </c>
      <c r="M31" s="114">
        <f t="shared" si="38"/>
        <v>0</v>
      </c>
      <c r="N31" s="114">
        <f t="shared" si="39"/>
        <v>0</v>
      </c>
      <c r="O31" s="69">
        <v>0</v>
      </c>
      <c r="P31" s="101"/>
      <c r="Q31" s="101"/>
      <c r="R31" s="101"/>
      <c r="S31" s="51" t="str">
        <f t="shared" si="40"/>
        <v/>
      </c>
      <c r="T31" s="51" t="str">
        <f t="shared" si="41"/>
        <v/>
      </c>
      <c r="U31" s="51" t="str">
        <f t="shared" si="42"/>
        <v/>
      </c>
      <c r="V31" s="62" t="s">
        <v>208</v>
      </c>
      <c r="X31" s="1">
        <f t="shared" si="43"/>
        <v>21</v>
      </c>
      <c r="Y31" s="25">
        <f t="shared" si="44"/>
        <v>2</v>
      </c>
      <c r="Z31" s="25">
        <f t="shared" si="45"/>
        <v>0</v>
      </c>
      <c r="AA31" s="25">
        <f t="shared" si="46"/>
        <v>0</v>
      </c>
      <c r="AB31" s="25">
        <f t="shared" si="47"/>
        <v>0</v>
      </c>
      <c r="AC31" s="108"/>
    </row>
    <row r="32" spans="2:30">
      <c r="B32" s="2"/>
      <c r="C32" s="69" t="s">
        <v>15</v>
      </c>
      <c r="D32" s="5" t="s">
        <v>255</v>
      </c>
      <c r="E32" s="16">
        <v>15</v>
      </c>
      <c r="F32" s="2">
        <v>3</v>
      </c>
      <c r="G32" s="6">
        <v>8</v>
      </c>
      <c r="H32" s="6">
        <v>0</v>
      </c>
      <c r="I32" s="114">
        <f t="shared" si="34"/>
        <v>21</v>
      </c>
      <c r="J32" s="114">
        <f t="shared" si="35"/>
        <v>21</v>
      </c>
      <c r="K32" s="114">
        <f t="shared" si="36"/>
        <v>2</v>
      </c>
      <c r="L32" s="114">
        <f t="shared" si="37"/>
        <v>2</v>
      </c>
      <c r="M32" s="114">
        <f t="shared" si="38"/>
        <v>0</v>
      </c>
      <c r="N32" s="114">
        <f t="shared" si="39"/>
        <v>0</v>
      </c>
      <c r="O32" s="69">
        <v>0</v>
      </c>
      <c r="P32" s="101"/>
      <c r="Q32" s="101"/>
      <c r="R32" s="101"/>
      <c r="S32" s="51" t="str">
        <f t="shared" si="40"/>
        <v/>
      </c>
      <c r="T32" s="51" t="str">
        <f t="shared" si="41"/>
        <v/>
      </c>
      <c r="U32" s="51" t="str">
        <f t="shared" si="42"/>
        <v/>
      </c>
      <c r="V32" s="62" t="s">
        <v>208</v>
      </c>
      <c r="X32" s="1">
        <f t="shared" si="43"/>
        <v>21</v>
      </c>
      <c r="Y32" s="25">
        <f t="shared" si="44"/>
        <v>2</v>
      </c>
      <c r="Z32" s="25">
        <f t="shared" si="45"/>
        <v>0</v>
      </c>
      <c r="AA32" s="25">
        <f t="shared" si="46"/>
        <v>0</v>
      </c>
      <c r="AB32" s="25">
        <f t="shared" si="47"/>
        <v>0</v>
      </c>
      <c r="AC32" s="108"/>
    </row>
    <row r="33" spans="2:29">
      <c r="B33" s="2"/>
      <c r="C33" s="69" t="s">
        <v>15</v>
      </c>
      <c r="D33" s="5" t="s">
        <v>255</v>
      </c>
      <c r="E33" s="16">
        <v>15</v>
      </c>
      <c r="F33" s="2">
        <v>3</v>
      </c>
      <c r="G33" s="6">
        <v>9</v>
      </c>
      <c r="H33" s="6">
        <v>0</v>
      </c>
      <c r="I33" s="114">
        <f t="shared" si="34"/>
        <v>21</v>
      </c>
      <c r="J33" s="114">
        <f t="shared" si="35"/>
        <v>21</v>
      </c>
      <c r="K33" s="114">
        <f t="shared" si="36"/>
        <v>2</v>
      </c>
      <c r="L33" s="114">
        <f t="shared" si="37"/>
        <v>2</v>
      </c>
      <c r="M33" s="114">
        <f t="shared" si="38"/>
        <v>0</v>
      </c>
      <c r="N33" s="114">
        <f t="shared" si="39"/>
        <v>0</v>
      </c>
      <c r="O33" s="69">
        <v>0</v>
      </c>
      <c r="P33" s="101"/>
      <c r="Q33" s="101"/>
      <c r="R33" s="101"/>
      <c r="S33" s="51" t="str">
        <f t="shared" si="40"/>
        <v/>
      </c>
      <c r="T33" s="51" t="str">
        <f t="shared" si="41"/>
        <v/>
      </c>
      <c r="U33" s="51" t="str">
        <f t="shared" si="42"/>
        <v/>
      </c>
      <c r="V33" s="62" t="s">
        <v>208</v>
      </c>
      <c r="X33" s="1">
        <f t="shared" si="43"/>
        <v>21</v>
      </c>
      <c r="Y33" s="25">
        <f t="shared" si="44"/>
        <v>2</v>
      </c>
      <c r="Z33" s="25">
        <f t="shared" si="45"/>
        <v>0</v>
      </c>
      <c r="AA33" s="25">
        <f t="shared" si="46"/>
        <v>0</v>
      </c>
      <c r="AB33" s="25">
        <f t="shared" si="47"/>
        <v>0</v>
      </c>
      <c r="AC33" s="108"/>
    </row>
    <row r="34" spans="2:29">
      <c r="B34" s="2">
        <v>4</v>
      </c>
      <c r="C34" s="69" t="s">
        <v>16</v>
      </c>
      <c r="D34" s="5" t="s">
        <v>334</v>
      </c>
      <c r="E34" s="16">
        <v>15</v>
      </c>
      <c r="F34" s="2">
        <v>4</v>
      </c>
      <c r="G34" s="6">
        <v>1</v>
      </c>
      <c r="H34" s="6">
        <v>0</v>
      </c>
      <c r="I34" s="115">
        <v>24</v>
      </c>
      <c r="J34" s="115">
        <v>24</v>
      </c>
      <c r="K34" s="16">
        <v>2</v>
      </c>
      <c r="L34" s="16">
        <v>2</v>
      </c>
      <c r="M34" s="16">
        <v>0</v>
      </c>
      <c r="N34" s="16">
        <v>1</v>
      </c>
      <c r="O34" s="69">
        <v>0</v>
      </c>
      <c r="P34" s="102"/>
      <c r="Q34" s="102"/>
      <c r="R34" s="102"/>
      <c r="S34" s="51" t="str">
        <f t="shared" si="0"/>
        <v/>
      </c>
      <c r="T34" s="51" t="str">
        <f t="shared" si="1"/>
        <v/>
      </c>
      <c r="U34" s="51" t="str">
        <f t="shared" si="2"/>
        <v/>
      </c>
      <c r="V34" s="62" t="s">
        <v>208</v>
      </c>
      <c r="X34" s="1">
        <f t="shared" ref="X34" si="48">(I34+J34)/2</f>
        <v>24</v>
      </c>
      <c r="Y34" s="25">
        <f t="shared" ref="Y34" si="49">L34-Z34-AA34-AB34</f>
        <v>1</v>
      </c>
      <c r="Z34" s="25">
        <f t="shared" si="4"/>
        <v>0</v>
      </c>
      <c r="AA34" s="25">
        <f t="shared" si="5"/>
        <v>1</v>
      </c>
      <c r="AB34" s="25">
        <f t="shared" si="6"/>
        <v>0</v>
      </c>
      <c r="AC34" s="108"/>
    </row>
    <row r="35" spans="2:29">
      <c r="B35" s="2"/>
      <c r="C35" s="69" t="s">
        <v>16</v>
      </c>
      <c r="D35" s="5" t="s">
        <v>334</v>
      </c>
      <c r="E35" s="16">
        <v>15</v>
      </c>
      <c r="F35" s="2">
        <v>4</v>
      </c>
      <c r="G35" s="6">
        <v>2</v>
      </c>
      <c r="H35" s="6">
        <v>0</v>
      </c>
      <c r="I35" s="114">
        <f t="shared" ref="I35:I42" si="50">I34</f>
        <v>24</v>
      </c>
      <c r="J35" s="114">
        <f t="shared" ref="J35:J42" si="51">J34</f>
        <v>24</v>
      </c>
      <c r="K35" s="114">
        <f t="shared" ref="K35:K42" si="52">K34</f>
        <v>2</v>
      </c>
      <c r="L35" s="114">
        <f t="shared" ref="L35:L42" si="53">L34</f>
        <v>2</v>
      </c>
      <c r="M35" s="114">
        <f t="shared" ref="M35:M42" si="54">M34</f>
        <v>0</v>
      </c>
      <c r="N35" s="114">
        <f t="shared" ref="N35:N42" si="55">N34</f>
        <v>1</v>
      </c>
      <c r="O35" s="69">
        <v>0</v>
      </c>
      <c r="P35" s="102"/>
      <c r="Q35" s="102"/>
      <c r="R35" s="102"/>
      <c r="S35" s="51" t="str">
        <f t="shared" ref="S35:S42" si="56">IF(P35=0,"",VLOOKUP(P35,产出卡牌概率,2,))</f>
        <v/>
      </c>
      <c r="T35" s="51" t="str">
        <f t="shared" ref="T35:T42" si="57">IF(Q35=0,"",VLOOKUP(Q35,产出卡牌概率,2,))</f>
        <v/>
      </c>
      <c r="U35" s="51" t="str">
        <f t="shared" ref="U35:U42" si="58">IF(R35=0,"",VLOOKUP(R35,产出卡牌概率,2,))</f>
        <v/>
      </c>
      <c r="V35" s="62" t="s">
        <v>208</v>
      </c>
      <c r="X35" s="1">
        <f t="shared" ref="X35:X42" si="59">(I35+J35)/2</f>
        <v>24</v>
      </c>
      <c r="Y35" s="25">
        <f t="shared" ref="Y35:Y42" si="60">L35-Z35-AA35-AB35</f>
        <v>1</v>
      </c>
      <c r="Z35" s="25">
        <f t="shared" ref="Z35:Z42" si="61">M35+P35</f>
        <v>0</v>
      </c>
      <c r="AA35" s="25">
        <f t="shared" ref="AA35:AA42" si="62">N35+Q35</f>
        <v>1</v>
      </c>
      <c r="AB35" s="25">
        <f t="shared" ref="AB35:AB42" si="63">O35+R35</f>
        <v>0</v>
      </c>
      <c r="AC35" s="108"/>
    </row>
    <row r="36" spans="2:29">
      <c r="B36" s="2"/>
      <c r="C36" s="69" t="s">
        <v>16</v>
      </c>
      <c r="D36" s="5" t="s">
        <v>334</v>
      </c>
      <c r="E36" s="16">
        <v>15</v>
      </c>
      <c r="F36" s="2">
        <v>4</v>
      </c>
      <c r="G36" s="6">
        <v>3</v>
      </c>
      <c r="H36" s="6">
        <v>0</v>
      </c>
      <c r="I36" s="114">
        <f t="shared" si="50"/>
        <v>24</v>
      </c>
      <c r="J36" s="114">
        <f t="shared" si="51"/>
        <v>24</v>
      </c>
      <c r="K36" s="114">
        <f t="shared" si="52"/>
        <v>2</v>
      </c>
      <c r="L36" s="114">
        <f t="shared" si="53"/>
        <v>2</v>
      </c>
      <c r="M36" s="114">
        <f t="shared" si="54"/>
        <v>0</v>
      </c>
      <c r="N36" s="114">
        <f t="shared" si="55"/>
        <v>1</v>
      </c>
      <c r="O36" s="69">
        <v>0</v>
      </c>
      <c r="P36" s="102"/>
      <c r="Q36" s="102"/>
      <c r="R36" s="102"/>
      <c r="S36" s="51" t="str">
        <f t="shared" si="56"/>
        <v/>
      </c>
      <c r="T36" s="51" t="str">
        <f t="shared" si="57"/>
        <v/>
      </c>
      <c r="U36" s="51" t="str">
        <f t="shared" si="58"/>
        <v/>
      </c>
      <c r="V36" s="62" t="s">
        <v>208</v>
      </c>
      <c r="X36" s="1">
        <f t="shared" si="59"/>
        <v>24</v>
      </c>
      <c r="Y36" s="25">
        <f t="shared" si="60"/>
        <v>1</v>
      </c>
      <c r="Z36" s="25">
        <f t="shared" si="61"/>
        <v>0</v>
      </c>
      <c r="AA36" s="25">
        <f t="shared" si="62"/>
        <v>1</v>
      </c>
      <c r="AB36" s="25">
        <f t="shared" si="63"/>
        <v>0</v>
      </c>
      <c r="AC36" s="108"/>
    </row>
    <row r="37" spans="2:29">
      <c r="B37" s="2"/>
      <c r="C37" s="69" t="s">
        <v>16</v>
      </c>
      <c r="D37" s="5" t="s">
        <v>334</v>
      </c>
      <c r="E37" s="16">
        <v>15</v>
      </c>
      <c r="F37" s="2">
        <v>4</v>
      </c>
      <c r="G37" s="6">
        <v>4</v>
      </c>
      <c r="H37" s="6">
        <v>0</v>
      </c>
      <c r="I37" s="114">
        <f t="shared" si="50"/>
        <v>24</v>
      </c>
      <c r="J37" s="114">
        <f t="shared" si="51"/>
        <v>24</v>
      </c>
      <c r="K37" s="114">
        <f t="shared" si="52"/>
        <v>2</v>
      </c>
      <c r="L37" s="114">
        <f t="shared" si="53"/>
        <v>2</v>
      </c>
      <c r="M37" s="114">
        <f t="shared" si="54"/>
        <v>0</v>
      </c>
      <c r="N37" s="114">
        <f t="shared" si="55"/>
        <v>1</v>
      </c>
      <c r="O37" s="69">
        <v>0</v>
      </c>
      <c r="P37" s="102"/>
      <c r="Q37" s="102"/>
      <c r="R37" s="102"/>
      <c r="S37" s="51" t="str">
        <f t="shared" si="56"/>
        <v/>
      </c>
      <c r="T37" s="51" t="str">
        <f t="shared" si="57"/>
        <v/>
      </c>
      <c r="U37" s="51" t="str">
        <f t="shared" si="58"/>
        <v/>
      </c>
      <c r="V37" s="62" t="s">
        <v>208</v>
      </c>
      <c r="X37" s="1">
        <f t="shared" si="59"/>
        <v>24</v>
      </c>
      <c r="Y37" s="25">
        <f t="shared" si="60"/>
        <v>1</v>
      </c>
      <c r="Z37" s="25">
        <f t="shared" si="61"/>
        <v>0</v>
      </c>
      <c r="AA37" s="25">
        <f t="shared" si="62"/>
        <v>1</v>
      </c>
      <c r="AB37" s="25">
        <f t="shared" si="63"/>
        <v>0</v>
      </c>
      <c r="AC37" s="108"/>
    </row>
    <row r="38" spans="2:29">
      <c r="B38" s="2"/>
      <c r="C38" s="69" t="s">
        <v>16</v>
      </c>
      <c r="D38" s="5" t="s">
        <v>334</v>
      </c>
      <c r="E38" s="16">
        <v>15</v>
      </c>
      <c r="F38" s="2">
        <v>4</v>
      </c>
      <c r="G38" s="6">
        <v>5</v>
      </c>
      <c r="H38" s="6">
        <v>0</v>
      </c>
      <c r="I38" s="114">
        <f t="shared" si="50"/>
        <v>24</v>
      </c>
      <c r="J38" s="114">
        <f t="shared" si="51"/>
        <v>24</v>
      </c>
      <c r="K38" s="114">
        <f t="shared" si="52"/>
        <v>2</v>
      </c>
      <c r="L38" s="114">
        <f t="shared" si="53"/>
        <v>2</v>
      </c>
      <c r="M38" s="114">
        <f t="shared" si="54"/>
        <v>0</v>
      </c>
      <c r="N38" s="114">
        <f t="shared" si="55"/>
        <v>1</v>
      </c>
      <c r="O38" s="69">
        <v>0</v>
      </c>
      <c r="P38" s="102"/>
      <c r="Q38" s="102"/>
      <c r="R38" s="102"/>
      <c r="S38" s="51" t="str">
        <f t="shared" si="56"/>
        <v/>
      </c>
      <c r="T38" s="51" t="str">
        <f t="shared" si="57"/>
        <v/>
      </c>
      <c r="U38" s="51" t="str">
        <f t="shared" si="58"/>
        <v/>
      </c>
      <c r="V38" s="62" t="s">
        <v>208</v>
      </c>
      <c r="X38" s="1">
        <f t="shared" si="59"/>
        <v>24</v>
      </c>
      <c r="Y38" s="25">
        <f t="shared" si="60"/>
        <v>1</v>
      </c>
      <c r="Z38" s="25">
        <f t="shared" si="61"/>
        <v>0</v>
      </c>
      <c r="AA38" s="25">
        <f t="shared" si="62"/>
        <v>1</v>
      </c>
      <c r="AB38" s="25">
        <f t="shared" si="63"/>
        <v>0</v>
      </c>
      <c r="AC38" s="108"/>
    </row>
    <row r="39" spans="2:29">
      <c r="B39" s="2"/>
      <c r="C39" s="69" t="s">
        <v>16</v>
      </c>
      <c r="D39" s="5" t="s">
        <v>334</v>
      </c>
      <c r="E39" s="16">
        <v>15</v>
      </c>
      <c r="F39" s="2">
        <v>4</v>
      </c>
      <c r="G39" s="6">
        <v>6</v>
      </c>
      <c r="H39" s="6">
        <v>0</v>
      </c>
      <c r="I39" s="114">
        <f t="shared" si="50"/>
        <v>24</v>
      </c>
      <c r="J39" s="114">
        <f t="shared" si="51"/>
        <v>24</v>
      </c>
      <c r="K39" s="114">
        <f t="shared" si="52"/>
        <v>2</v>
      </c>
      <c r="L39" s="114">
        <f t="shared" si="53"/>
        <v>2</v>
      </c>
      <c r="M39" s="114">
        <f t="shared" si="54"/>
        <v>0</v>
      </c>
      <c r="N39" s="114">
        <f t="shared" si="55"/>
        <v>1</v>
      </c>
      <c r="O39" s="69">
        <v>0</v>
      </c>
      <c r="P39" s="102"/>
      <c r="Q39" s="102"/>
      <c r="R39" s="102"/>
      <c r="S39" s="51" t="str">
        <f t="shared" si="56"/>
        <v/>
      </c>
      <c r="T39" s="51" t="str">
        <f t="shared" si="57"/>
        <v/>
      </c>
      <c r="U39" s="51" t="str">
        <f t="shared" si="58"/>
        <v/>
      </c>
      <c r="V39" s="62" t="s">
        <v>208</v>
      </c>
      <c r="X39" s="1">
        <f t="shared" si="59"/>
        <v>24</v>
      </c>
      <c r="Y39" s="25">
        <f t="shared" si="60"/>
        <v>1</v>
      </c>
      <c r="Z39" s="25">
        <f t="shared" si="61"/>
        <v>0</v>
      </c>
      <c r="AA39" s="25">
        <f t="shared" si="62"/>
        <v>1</v>
      </c>
      <c r="AB39" s="25">
        <f t="shared" si="63"/>
        <v>0</v>
      </c>
      <c r="AC39" s="108"/>
    </row>
    <row r="40" spans="2:29">
      <c r="B40" s="2"/>
      <c r="C40" s="69" t="s">
        <v>16</v>
      </c>
      <c r="D40" s="5" t="s">
        <v>334</v>
      </c>
      <c r="E40" s="16">
        <v>15</v>
      </c>
      <c r="F40" s="2">
        <v>4</v>
      </c>
      <c r="G40" s="6">
        <v>7</v>
      </c>
      <c r="H40" s="6">
        <v>0</v>
      </c>
      <c r="I40" s="114">
        <f t="shared" si="50"/>
        <v>24</v>
      </c>
      <c r="J40" s="114">
        <f t="shared" si="51"/>
        <v>24</v>
      </c>
      <c r="K40" s="114">
        <f t="shared" si="52"/>
        <v>2</v>
      </c>
      <c r="L40" s="114">
        <f t="shared" si="53"/>
        <v>2</v>
      </c>
      <c r="M40" s="114">
        <f t="shared" si="54"/>
        <v>0</v>
      </c>
      <c r="N40" s="114">
        <f t="shared" si="55"/>
        <v>1</v>
      </c>
      <c r="O40" s="69">
        <v>0</v>
      </c>
      <c r="P40" s="102"/>
      <c r="Q40" s="102"/>
      <c r="R40" s="102"/>
      <c r="S40" s="51" t="str">
        <f t="shared" si="56"/>
        <v/>
      </c>
      <c r="T40" s="51" t="str">
        <f t="shared" si="57"/>
        <v/>
      </c>
      <c r="U40" s="51" t="str">
        <f t="shared" si="58"/>
        <v/>
      </c>
      <c r="V40" s="62" t="s">
        <v>208</v>
      </c>
      <c r="X40" s="1">
        <f t="shared" si="59"/>
        <v>24</v>
      </c>
      <c r="Y40" s="25">
        <f t="shared" si="60"/>
        <v>1</v>
      </c>
      <c r="Z40" s="25">
        <f t="shared" si="61"/>
        <v>0</v>
      </c>
      <c r="AA40" s="25">
        <f t="shared" si="62"/>
        <v>1</v>
      </c>
      <c r="AB40" s="25">
        <f t="shared" si="63"/>
        <v>0</v>
      </c>
      <c r="AC40" s="108"/>
    </row>
    <row r="41" spans="2:29">
      <c r="B41" s="2"/>
      <c r="C41" s="69" t="s">
        <v>16</v>
      </c>
      <c r="D41" s="5" t="s">
        <v>334</v>
      </c>
      <c r="E41" s="16">
        <v>15</v>
      </c>
      <c r="F41" s="2">
        <v>4</v>
      </c>
      <c r="G41" s="6">
        <v>8</v>
      </c>
      <c r="H41" s="6">
        <v>0</v>
      </c>
      <c r="I41" s="114">
        <f t="shared" si="50"/>
        <v>24</v>
      </c>
      <c r="J41" s="114">
        <f t="shared" si="51"/>
        <v>24</v>
      </c>
      <c r="K41" s="114">
        <f t="shared" si="52"/>
        <v>2</v>
      </c>
      <c r="L41" s="114">
        <f t="shared" si="53"/>
        <v>2</v>
      </c>
      <c r="M41" s="114">
        <f t="shared" si="54"/>
        <v>0</v>
      </c>
      <c r="N41" s="114">
        <f t="shared" si="55"/>
        <v>1</v>
      </c>
      <c r="O41" s="69">
        <v>0</v>
      </c>
      <c r="P41" s="102"/>
      <c r="Q41" s="102"/>
      <c r="R41" s="102"/>
      <c r="S41" s="51" t="str">
        <f t="shared" si="56"/>
        <v/>
      </c>
      <c r="T41" s="51" t="str">
        <f t="shared" si="57"/>
        <v/>
      </c>
      <c r="U41" s="51" t="str">
        <f t="shared" si="58"/>
        <v/>
      </c>
      <c r="V41" s="62" t="s">
        <v>208</v>
      </c>
      <c r="X41" s="1">
        <f t="shared" si="59"/>
        <v>24</v>
      </c>
      <c r="Y41" s="25">
        <f t="shared" si="60"/>
        <v>1</v>
      </c>
      <c r="Z41" s="25">
        <f t="shared" si="61"/>
        <v>0</v>
      </c>
      <c r="AA41" s="25">
        <f t="shared" si="62"/>
        <v>1</v>
      </c>
      <c r="AB41" s="25">
        <f t="shared" si="63"/>
        <v>0</v>
      </c>
      <c r="AC41" s="108"/>
    </row>
    <row r="42" spans="2:29">
      <c r="B42" s="2"/>
      <c r="C42" s="69" t="s">
        <v>16</v>
      </c>
      <c r="D42" s="5" t="s">
        <v>334</v>
      </c>
      <c r="E42" s="16">
        <v>15</v>
      </c>
      <c r="F42" s="2">
        <v>4</v>
      </c>
      <c r="G42" s="6">
        <v>9</v>
      </c>
      <c r="H42" s="6">
        <v>0</v>
      </c>
      <c r="I42" s="114">
        <f t="shared" si="50"/>
        <v>24</v>
      </c>
      <c r="J42" s="114">
        <f t="shared" si="51"/>
        <v>24</v>
      </c>
      <c r="K42" s="114">
        <f t="shared" si="52"/>
        <v>2</v>
      </c>
      <c r="L42" s="114">
        <f t="shared" si="53"/>
        <v>2</v>
      </c>
      <c r="M42" s="114">
        <f t="shared" si="54"/>
        <v>0</v>
      </c>
      <c r="N42" s="114">
        <f t="shared" si="55"/>
        <v>1</v>
      </c>
      <c r="O42" s="69">
        <v>0</v>
      </c>
      <c r="P42" s="102"/>
      <c r="Q42" s="102"/>
      <c r="R42" s="102"/>
      <c r="S42" s="51" t="str">
        <f t="shared" si="56"/>
        <v/>
      </c>
      <c r="T42" s="51" t="str">
        <f t="shared" si="57"/>
        <v/>
      </c>
      <c r="U42" s="51" t="str">
        <f t="shared" si="58"/>
        <v/>
      </c>
      <c r="V42" s="62" t="s">
        <v>208</v>
      </c>
      <c r="X42" s="1">
        <f t="shared" si="59"/>
        <v>24</v>
      </c>
      <c r="Y42" s="25">
        <f t="shared" si="60"/>
        <v>1</v>
      </c>
      <c r="Z42" s="25">
        <f t="shared" si="61"/>
        <v>0</v>
      </c>
      <c r="AA42" s="25">
        <f t="shared" si="62"/>
        <v>1</v>
      </c>
      <c r="AB42" s="25">
        <f t="shared" si="63"/>
        <v>0</v>
      </c>
      <c r="AC42" s="108"/>
    </row>
    <row r="43" spans="2:29">
      <c r="B43" s="2">
        <v>15</v>
      </c>
      <c r="C43" s="69" t="s">
        <v>247</v>
      </c>
      <c r="D43" s="5" t="s">
        <v>247</v>
      </c>
      <c r="E43" s="6">
        <v>0</v>
      </c>
      <c r="F43" s="2">
        <v>2</v>
      </c>
      <c r="G43" s="1">
        <v>1</v>
      </c>
      <c r="H43" s="1">
        <v>0</v>
      </c>
      <c r="I43" s="116">
        <v>34</v>
      </c>
      <c r="J43" s="116">
        <v>39</v>
      </c>
      <c r="K43" s="16">
        <v>3</v>
      </c>
      <c r="L43" s="22">
        <v>3</v>
      </c>
      <c r="M43" s="1">
        <v>0</v>
      </c>
      <c r="N43" s="1">
        <v>0</v>
      </c>
      <c r="O43" s="1">
        <v>0</v>
      </c>
      <c r="P43" s="111">
        <v>0.15</v>
      </c>
      <c r="Q43" s="111">
        <v>0.01</v>
      </c>
      <c r="R43" s="102"/>
      <c r="S43" s="51" t="str">
        <f t="shared" si="0"/>
        <v>780,780,780,780,780,780,780,780,10000</v>
      </c>
      <c r="T43" s="51" t="str">
        <f t="shared" si="1"/>
        <v>100</v>
      </c>
      <c r="U43" s="51" t="str">
        <f t="shared" si="2"/>
        <v/>
      </c>
      <c r="V43" s="62" t="s">
        <v>208</v>
      </c>
      <c r="W43" s="3" t="s">
        <v>38</v>
      </c>
      <c r="X43" s="1">
        <f t="shared" ref="X43:X51" si="64">(I43+J43)/2</f>
        <v>36.5</v>
      </c>
      <c r="Y43" s="25">
        <f t="shared" ref="Y43:Y51" si="65">L43-Z43-AA43-AB43</f>
        <v>2.8400000000000003</v>
      </c>
      <c r="Z43" s="25">
        <f t="shared" si="4"/>
        <v>0.15</v>
      </c>
      <c r="AA43" s="25">
        <f t="shared" si="5"/>
        <v>0.01</v>
      </c>
      <c r="AB43" s="25">
        <f t="shared" si="6"/>
        <v>0</v>
      </c>
      <c r="AC43" s="108"/>
    </row>
    <row r="44" spans="2:29">
      <c r="B44" s="2"/>
      <c r="C44" s="69"/>
      <c r="D44" s="5"/>
      <c r="E44" s="6"/>
      <c r="G44" s="1">
        <v>2</v>
      </c>
      <c r="H44" s="1">
        <v>0</v>
      </c>
      <c r="I44" s="116">
        <v>46</v>
      </c>
      <c r="J44" s="116">
        <v>52</v>
      </c>
      <c r="K44" s="2">
        <v>2</v>
      </c>
      <c r="L44" s="22">
        <v>4</v>
      </c>
      <c r="M44" s="1">
        <v>0</v>
      </c>
      <c r="N44" s="1">
        <v>0</v>
      </c>
      <c r="O44" s="1">
        <v>0</v>
      </c>
      <c r="P44" s="112">
        <v>0.2</v>
      </c>
      <c r="Q44" s="111">
        <v>0.02</v>
      </c>
      <c r="R44" s="102"/>
      <c r="S44" s="51" t="str">
        <f t="shared" si="0"/>
        <v>700,750,750,750,750,10000</v>
      </c>
      <c r="T44" s="51" t="str">
        <f t="shared" si="1"/>
        <v>200</v>
      </c>
      <c r="U44" s="51" t="str">
        <f t="shared" si="2"/>
        <v/>
      </c>
      <c r="V44" s="62" t="s">
        <v>208</v>
      </c>
      <c r="W44" s="7" t="s">
        <v>19</v>
      </c>
      <c r="X44" s="1">
        <f t="shared" si="64"/>
        <v>49</v>
      </c>
      <c r="Y44" s="25">
        <f t="shared" si="65"/>
        <v>3.78</v>
      </c>
      <c r="Z44" s="25">
        <f t="shared" si="4"/>
        <v>0.2</v>
      </c>
      <c r="AA44" s="25">
        <f t="shared" si="5"/>
        <v>0.02</v>
      </c>
      <c r="AB44" s="25">
        <f t="shared" si="6"/>
        <v>0</v>
      </c>
      <c r="AC44" s="108"/>
    </row>
    <row r="45" spans="2:29">
      <c r="B45" s="2"/>
      <c r="C45" s="69"/>
      <c r="D45" s="2"/>
      <c r="E45" s="6"/>
      <c r="F45" s="1"/>
      <c r="G45" s="1">
        <v>3</v>
      </c>
      <c r="H45" s="1">
        <v>0</v>
      </c>
      <c r="I45" s="116">
        <v>57</v>
      </c>
      <c r="J45" s="116">
        <v>66</v>
      </c>
      <c r="K45" s="2">
        <v>3</v>
      </c>
      <c r="L45" s="22">
        <v>5</v>
      </c>
      <c r="M45" s="1">
        <v>0</v>
      </c>
      <c r="N45" s="1">
        <v>0</v>
      </c>
      <c r="O45" s="1">
        <v>0</v>
      </c>
      <c r="P45" s="112">
        <v>0.25</v>
      </c>
      <c r="Q45" s="111">
        <v>0.03</v>
      </c>
      <c r="R45" s="102"/>
      <c r="S45" s="51" t="str">
        <f t="shared" si="0"/>
        <v>1125,1125,1125,1125,10000</v>
      </c>
      <c r="T45" s="51" t="str">
        <f t="shared" si="1"/>
        <v>300</v>
      </c>
      <c r="U45" s="51" t="str">
        <f t="shared" si="2"/>
        <v/>
      </c>
      <c r="V45" s="62" t="s">
        <v>208</v>
      </c>
      <c r="W45" s="1"/>
      <c r="X45" s="1">
        <f t="shared" si="64"/>
        <v>61.5</v>
      </c>
      <c r="Y45" s="25">
        <f t="shared" si="65"/>
        <v>4.72</v>
      </c>
      <c r="Z45" s="25">
        <f t="shared" si="4"/>
        <v>0.25</v>
      </c>
      <c r="AA45" s="25">
        <f t="shared" si="5"/>
        <v>0.03</v>
      </c>
      <c r="AB45" s="25">
        <f t="shared" si="6"/>
        <v>0</v>
      </c>
      <c r="AC45" s="108"/>
    </row>
    <row r="46" spans="2:29">
      <c r="B46" s="2"/>
      <c r="C46" s="69"/>
      <c r="D46" s="2"/>
      <c r="E46" s="6"/>
      <c r="F46" s="1"/>
      <c r="G46" s="1">
        <v>4</v>
      </c>
      <c r="H46" s="1">
        <v>0</v>
      </c>
      <c r="I46" s="116">
        <v>69</v>
      </c>
      <c r="J46" s="116">
        <v>79</v>
      </c>
      <c r="K46" s="2">
        <v>3</v>
      </c>
      <c r="L46" s="22">
        <v>6</v>
      </c>
      <c r="M46" s="1">
        <v>0</v>
      </c>
      <c r="N46" s="1">
        <v>0</v>
      </c>
      <c r="O46" s="1">
        <v>0</v>
      </c>
      <c r="P46" s="111">
        <v>0.3</v>
      </c>
      <c r="Q46" s="111">
        <v>0.05</v>
      </c>
      <c r="R46" s="102"/>
      <c r="S46" s="51" t="str">
        <f t="shared" si="0"/>
        <v>1200,1200,1200,10000</v>
      </c>
      <c r="T46" s="51" t="str">
        <f t="shared" si="1"/>
        <v>200,200,200,200,200,200,200,200,200,200,200,200,200,200,200,200,200,200,200,200,200,200,200,200,10000</v>
      </c>
      <c r="U46" s="51" t="str">
        <f t="shared" si="2"/>
        <v/>
      </c>
      <c r="V46" s="62" t="s">
        <v>208</v>
      </c>
      <c r="W46" s="1"/>
      <c r="X46" s="1">
        <f t="shared" si="64"/>
        <v>74</v>
      </c>
      <c r="Y46" s="25">
        <f t="shared" si="65"/>
        <v>5.65</v>
      </c>
      <c r="Z46" s="25">
        <f t="shared" si="4"/>
        <v>0.3</v>
      </c>
      <c r="AA46" s="25">
        <f t="shared" si="5"/>
        <v>0.05</v>
      </c>
      <c r="AB46" s="25">
        <f t="shared" si="6"/>
        <v>0</v>
      </c>
      <c r="AC46" s="108"/>
    </row>
    <row r="47" spans="2:29">
      <c r="B47" s="2"/>
      <c r="C47" s="69"/>
      <c r="D47" s="1"/>
      <c r="E47" s="6"/>
      <c r="G47" s="1">
        <v>5</v>
      </c>
      <c r="H47" s="1">
        <v>0</v>
      </c>
      <c r="I47" s="116">
        <v>80</v>
      </c>
      <c r="J47" s="116">
        <v>92</v>
      </c>
      <c r="K47" s="2">
        <v>3</v>
      </c>
      <c r="L47" s="22">
        <v>7</v>
      </c>
      <c r="M47" s="1">
        <v>0</v>
      </c>
      <c r="N47" s="1">
        <v>0</v>
      </c>
      <c r="O47" s="1">
        <v>0</v>
      </c>
      <c r="P47" s="112">
        <v>0.4</v>
      </c>
      <c r="Q47" s="111">
        <v>0.06</v>
      </c>
      <c r="R47" s="109">
        <v>1E-4</v>
      </c>
      <c r="S47" s="51" t="str">
        <f t="shared" si="0"/>
        <v>1770,1770,10000</v>
      </c>
      <c r="T47" s="51" t="str">
        <f t="shared" si="1"/>
        <v>200,200,200,200,200,200,200,200,200,200,200,200,200,200,200,200,200,200,200,10000</v>
      </c>
      <c r="U47" s="51" t="str">
        <f t="shared" si="2"/>
        <v>1</v>
      </c>
      <c r="V47" s="62" t="s">
        <v>208</v>
      </c>
      <c r="W47" s="1"/>
      <c r="X47" s="1">
        <f t="shared" si="64"/>
        <v>86</v>
      </c>
      <c r="Y47" s="25">
        <f t="shared" si="65"/>
        <v>6.5399000000000003</v>
      </c>
      <c r="Z47" s="25">
        <f t="shared" si="4"/>
        <v>0.4</v>
      </c>
      <c r="AA47" s="25">
        <f t="shared" si="5"/>
        <v>0.06</v>
      </c>
      <c r="AB47" s="25">
        <f t="shared" si="6"/>
        <v>1E-4</v>
      </c>
      <c r="AC47" s="108"/>
    </row>
    <row r="48" spans="2:29">
      <c r="B48" s="2"/>
      <c r="C48" s="2"/>
      <c r="D48" s="1"/>
      <c r="E48" s="6"/>
      <c r="G48" s="1">
        <v>6</v>
      </c>
      <c r="H48" s="1">
        <v>0</v>
      </c>
      <c r="I48" s="116">
        <v>92</v>
      </c>
      <c r="J48" s="116">
        <v>105</v>
      </c>
      <c r="K48" s="2">
        <v>2</v>
      </c>
      <c r="L48" s="22">
        <v>8</v>
      </c>
      <c r="M48" s="1">
        <v>0</v>
      </c>
      <c r="N48" s="1">
        <v>0</v>
      </c>
      <c r="O48" s="1">
        <v>0</v>
      </c>
      <c r="P48" s="111">
        <v>0.5</v>
      </c>
      <c r="Q48" s="111">
        <v>7.0000000000000007E-2</v>
      </c>
      <c r="R48" s="109">
        <v>1E-4</v>
      </c>
      <c r="S48" s="51" t="str">
        <f t="shared" si="0"/>
        <v>5900,2000,2000,10000</v>
      </c>
      <c r="T48" s="51" t="str">
        <f t="shared" si="1"/>
        <v>370,370,370,370,370,370,370,370,370,370,370,370,370,370,370,370,370,370,370,10000</v>
      </c>
      <c r="U48" s="51" t="str">
        <f t="shared" si="2"/>
        <v>1</v>
      </c>
      <c r="V48" s="62" t="s">
        <v>208</v>
      </c>
      <c r="W48" s="1"/>
      <c r="X48" s="1">
        <f t="shared" si="64"/>
        <v>98.5</v>
      </c>
      <c r="Y48" s="25">
        <f t="shared" si="65"/>
        <v>7.4298999999999999</v>
      </c>
      <c r="Z48" s="25">
        <f t="shared" si="4"/>
        <v>0.5</v>
      </c>
      <c r="AA48" s="25">
        <f t="shared" si="5"/>
        <v>7.0000000000000007E-2</v>
      </c>
      <c r="AB48" s="25">
        <f t="shared" si="6"/>
        <v>1E-4</v>
      </c>
      <c r="AC48" s="108"/>
    </row>
    <row r="49" spans="1:30">
      <c r="A49" s="4"/>
      <c r="B49" s="3"/>
      <c r="C49" s="3"/>
      <c r="D49" s="1"/>
      <c r="E49" s="6"/>
      <c r="G49" s="1">
        <v>7</v>
      </c>
      <c r="H49" s="1">
        <v>0</v>
      </c>
      <c r="I49" s="116">
        <v>103</v>
      </c>
      <c r="J49" s="116">
        <v>118</v>
      </c>
      <c r="K49" s="2">
        <v>3</v>
      </c>
      <c r="L49" s="22">
        <v>9</v>
      </c>
      <c r="M49" s="1">
        <v>0</v>
      </c>
      <c r="N49" s="1">
        <v>0</v>
      </c>
      <c r="O49" s="1">
        <v>0</v>
      </c>
      <c r="P49" s="112">
        <v>0.6</v>
      </c>
      <c r="Q49" s="111">
        <v>0.08</v>
      </c>
      <c r="R49" s="109">
        <v>1E-4</v>
      </c>
      <c r="S49" s="51" t="str">
        <f t="shared" si="0"/>
        <v>7270,2000,2000,10000</v>
      </c>
      <c r="T49" s="51" t="str">
        <f t="shared" si="1"/>
        <v>530,530,530,530,530,530,530,530,530,530,530,530,530,530,530,530,530,530,530,10000</v>
      </c>
      <c r="U49" s="51" t="str">
        <f t="shared" si="2"/>
        <v>1</v>
      </c>
      <c r="V49" s="62" t="s">
        <v>208</v>
      </c>
      <c r="W49" s="1"/>
      <c r="X49" s="1">
        <f t="shared" si="64"/>
        <v>110.5</v>
      </c>
      <c r="Y49" s="25">
        <f t="shared" si="65"/>
        <v>8.3199000000000005</v>
      </c>
      <c r="Z49" s="25">
        <f t="shared" si="4"/>
        <v>0.6</v>
      </c>
      <c r="AA49" s="25">
        <f t="shared" si="5"/>
        <v>0.08</v>
      </c>
      <c r="AB49" s="25">
        <f t="shared" si="6"/>
        <v>1E-4</v>
      </c>
      <c r="AC49" s="108"/>
    </row>
    <row r="50" spans="1:30">
      <c r="A50" s="4"/>
      <c r="B50" s="3"/>
      <c r="C50" s="3"/>
      <c r="D50" s="1"/>
      <c r="E50" s="6"/>
      <c r="G50" s="1">
        <v>8</v>
      </c>
      <c r="H50" s="1">
        <v>0</v>
      </c>
      <c r="I50" s="116">
        <v>115</v>
      </c>
      <c r="J50" s="116">
        <v>132</v>
      </c>
      <c r="K50" s="2">
        <v>3</v>
      </c>
      <c r="L50" s="22">
        <v>10</v>
      </c>
      <c r="M50" s="2">
        <v>1</v>
      </c>
      <c r="N50" s="1">
        <v>0</v>
      </c>
      <c r="O50" s="1">
        <v>0</v>
      </c>
      <c r="P50" s="102"/>
      <c r="Q50" s="111">
        <v>0.08</v>
      </c>
      <c r="R50" s="109">
        <v>1E-4</v>
      </c>
      <c r="S50" s="51" t="str">
        <f t="shared" si="0"/>
        <v/>
      </c>
      <c r="T50" s="51" t="str">
        <f t="shared" si="1"/>
        <v>530,530,530,530,530,530,530,530,530,530,530,530,530,530,530,530,530,530,530,10000</v>
      </c>
      <c r="U50" s="51" t="str">
        <f t="shared" si="2"/>
        <v>1</v>
      </c>
      <c r="V50" s="62" t="s">
        <v>208</v>
      </c>
      <c r="W50" s="1"/>
      <c r="X50" s="1">
        <f t="shared" si="64"/>
        <v>123.5</v>
      </c>
      <c r="Y50" s="25">
        <f t="shared" si="65"/>
        <v>8.9199000000000002</v>
      </c>
      <c r="Z50" s="25">
        <f t="shared" si="4"/>
        <v>1</v>
      </c>
      <c r="AA50" s="25">
        <f t="shared" si="5"/>
        <v>0.08</v>
      </c>
      <c r="AB50" s="25">
        <f t="shared" si="6"/>
        <v>1E-4</v>
      </c>
      <c r="AC50" s="108"/>
    </row>
    <row r="51" spans="1:30">
      <c r="B51" s="3"/>
      <c r="C51" s="3"/>
      <c r="D51" s="1"/>
      <c r="E51" s="6"/>
      <c r="G51" s="1">
        <v>9</v>
      </c>
      <c r="H51" s="1">
        <v>0</v>
      </c>
      <c r="I51" s="116">
        <v>126</v>
      </c>
      <c r="J51" s="116">
        <v>145</v>
      </c>
      <c r="K51" s="2">
        <v>3</v>
      </c>
      <c r="L51" s="22">
        <v>11</v>
      </c>
      <c r="M51" s="2">
        <v>1</v>
      </c>
      <c r="N51" s="1">
        <v>0</v>
      </c>
      <c r="O51" s="1">
        <v>0</v>
      </c>
      <c r="P51" s="111">
        <v>0.15</v>
      </c>
      <c r="Q51" s="111">
        <v>0.08</v>
      </c>
      <c r="R51" s="109">
        <v>1E-4</v>
      </c>
      <c r="S51" s="51" t="str">
        <f t="shared" si="0"/>
        <v>780,780,780,780,780,780,780,780,10000</v>
      </c>
      <c r="T51" s="51" t="str">
        <f t="shared" si="1"/>
        <v>530,530,530,530,530,530,530,530,530,530,530,530,530,530,530,530,530,530,530,10000</v>
      </c>
      <c r="U51" s="51" t="str">
        <f t="shared" si="2"/>
        <v>1</v>
      </c>
      <c r="V51" s="62" t="s">
        <v>208</v>
      </c>
      <c r="W51" s="1"/>
      <c r="X51" s="1">
        <f t="shared" si="64"/>
        <v>135.5</v>
      </c>
      <c r="Y51" s="25">
        <f t="shared" si="65"/>
        <v>9.7698999999999998</v>
      </c>
      <c r="Z51" s="25">
        <f t="shared" si="4"/>
        <v>1.1499999999999999</v>
      </c>
      <c r="AA51" s="25">
        <f t="shared" si="5"/>
        <v>0.08</v>
      </c>
      <c r="AB51" s="25">
        <f t="shared" si="6"/>
        <v>1E-4</v>
      </c>
      <c r="AC51" s="108"/>
    </row>
    <row r="52" spans="1:30">
      <c r="B52" s="2">
        <v>8</v>
      </c>
      <c r="C52" s="69" t="s">
        <v>241</v>
      </c>
      <c r="D52" s="5" t="s">
        <v>253</v>
      </c>
      <c r="E52" s="6">
        <v>10800</v>
      </c>
      <c r="F52" s="2">
        <v>3</v>
      </c>
      <c r="G52" s="1">
        <v>1</v>
      </c>
      <c r="H52" s="6">
        <v>0</v>
      </c>
      <c r="I52" s="117">
        <v>26</v>
      </c>
      <c r="J52" s="117">
        <v>37</v>
      </c>
      <c r="K52" s="16">
        <v>3</v>
      </c>
      <c r="L52" s="87">
        <v>3</v>
      </c>
      <c r="M52" s="1">
        <v>0</v>
      </c>
      <c r="N52" s="1">
        <v>0</v>
      </c>
      <c r="O52" s="1">
        <v>0</v>
      </c>
      <c r="P52" s="111">
        <v>0.1</v>
      </c>
      <c r="Q52" s="111">
        <v>0.01</v>
      </c>
      <c r="R52" s="102"/>
      <c r="S52" s="51" t="str">
        <f t="shared" si="0"/>
        <v>450,450,450,450,450,450,450,450,450,450,450,450,10000</v>
      </c>
      <c r="T52" s="51" t="str">
        <f t="shared" si="1"/>
        <v>100</v>
      </c>
      <c r="U52" s="51" t="str">
        <f t="shared" si="2"/>
        <v/>
      </c>
      <c r="V52" s="62" t="s">
        <v>208</v>
      </c>
      <c r="X52" s="1">
        <f t="shared" ref="X52:X109" si="66">(I52+J52)/2</f>
        <v>31.5</v>
      </c>
      <c r="Y52" s="25">
        <f t="shared" ref="Y52:Y76" si="67">L52-Z52-AA52-AB52</f>
        <v>2.89</v>
      </c>
      <c r="Z52" s="25">
        <f t="shared" si="4"/>
        <v>0.1</v>
      </c>
      <c r="AA52" s="25">
        <f t="shared" si="5"/>
        <v>0.01</v>
      </c>
      <c r="AB52" s="25">
        <f t="shared" si="6"/>
        <v>0</v>
      </c>
      <c r="AC52" s="108"/>
    </row>
    <row r="53" spans="1:30">
      <c r="B53" s="2"/>
      <c r="C53" s="69"/>
      <c r="D53" s="2"/>
      <c r="E53" s="6"/>
      <c r="F53" s="1"/>
      <c r="G53" s="1">
        <v>2</v>
      </c>
      <c r="H53" s="6">
        <v>0</v>
      </c>
      <c r="I53" s="117">
        <v>36</v>
      </c>
      <c r="J53" s="117">
        <v>50</v>
      </c>
      <c r="K53" s="2">
        <f t="shared" ref="K53:K60" si="68">K52</f>
        <v>3</v>
      </c>
      <c r="L53" s="87">
        <v>4</v>
      </c>
      <c r="M53" s="1">
        <v>0</v>
      </c>
      <c r="N53" s="1">
        <v>0</v>
      </c>
      <c r="O53" s="1">
        <v>0</v>
      </c>
      <c r="P53" s="111">
        <v>0.15</v>
      </c>
      <c r="Q53" s="111">
        <v>0.02</v>
      </c>
      <c r="R53" s="102"/>
      <c r="S53" s="51" t="str">
        <f t="shared" si="0"/>
        <v>780,780,780,780,780,780,780,780,10000</v>
      </c>
      <c r="T53" s="51" t="str">
        <f t="shared" si="1"/>
        <v>200</v>
      </c>
      <c r="U53" s="51" t="str">
        <f t="shared" si="2"/>
        <v/>
      </c>
      <c r="V53" s="62" t="s">
        <v>208</v>
      </c>
      <c r="X53" s="1">
        <f t="shared" si="66"/>
        <v>43</v>
      </c>
      <c r="Y53" s="25">
        <f t="shared" si="67"/>
        <v>3.83</v>
      </c>
      <c r="Z53" s="25">
        <f t="shared" si="4"/>
        <v>0.15</v>
      </c>
      <c r="AA53" s="25">
        <f t="shared" si="5"/>
        <v>0.02</v>
      </c>
      <c r="AB53" s="25">
        <f t="shared" si="6"/>
        <v>0</v>
      </c>
      <c r="AC53" s="108"/>
    </row>
    <row r="54" spans="1:30">
      <c r="B54" s="2"/>
      <c r="C54" s="69"/>
      <c r="D54" s="2"/>
      <c r="F54" s="1"/>
      <c r="G54" s="1">
        <v>3</v>
      </c>
      <c r="H54" s="6">
        <v>0</v>
      </c>
      <c r="I54" s="117">
        <v>44</v>
      </c>
      <c r="J54" s="117">
        <v>62</v>
      </c>
      <c r="K54" s="2">
        <f t="shared" si="68"/>
        <v>3</v>
      </c>
      <c r="L54" s="87">
        <v>5</v>
      </c>
      <c r="M54" s="1">
        <v>0</v>
      </c>
      <c r="N54" s="1">
        <v>0</v>
      </c>
      <c r="O54" s="1">
        <v>0</v>
      </c>
      <c r="P54" s="112">
        <v>0.2</v>
      </c>
      <c r="Q54" s="111">
        <v>0.03</v>
      </c>
      <c r="R54" s="102"/>
      <c r="S54" s="51" t="str">
        <f t="shared" si="0"/>
        <v>700,750,750,750,750,10000</v>
      </c>
      <c r="T54" s="51" t="str">
        <f t="shared" si="1"/>
        <v>300</v>
      </c>
      <c r="U54" s="51" t="str">
        <f t="shared" si="2"/>
        <v/>
      </c>
      <c r="V54" s="62" t="s">
        <v>208</v>
      </c>
      <c r="X54" s="1">
        <f t="shared" si="66"/>
        <v>53</v>
      </c>
      <c r="Y54" s="25">
        <f t="shared" si="67"/>
        <v>4.7699999999999996</v>
      </c>
      <c r="Z54" s="25">
        <f t="shared" si="4"/>
        <v>0.2</v>
      </c>
      <c r="AA54" s="25">
        <f t="shared" si="5"/>
        <v>0.03</v>
      </c>
      <c r="AB54" s="25">
        <f t="shared" si="6"/>
        <v>0</v>
      </c>
      <c r="AC54" s="108"/>
    </row>
    <row r="55" spans="1:30">
      <c r="B55" s="2"/>
      <c r="C55" s="69"/>
      <c r="D55" s="2"/>
      <c r="E55" s="6"/>
      <c r="F55" s="1"/>
      <c r="G55" s="1">
        <v>4</v>
      </c>
      <c r="H55" s="6">
        <v>0</v>
      </c>
      <c r="I55" s="117">
        <v>54</v>
      </c>
      <c r="J55" s="117">
        <v>75</v>
      </c>
      <c r="K55" s="2">
        <f t="shared" si="68"/>
        <v>3</v>
      </c>
      <c r="L55" s="87">
        <v>6</v>
      </c>
      <c r="M55" s="1">
        <v>0</v>
      </c>
      <c r="N55" s="1">
        <v>0</v>
      </c>
      <c r="O55" s="1">
        <v>0</v>
      </c>
      <c r="P55" s="112">
        <v>0.25</v>
      </c>
      <c r="Q55" s="111">
        <v>0.05</v>
      </c>
      <c r="R55" s="102"/>
      <c r="S55" s="51" t="str">
        <f t="shared" si="0"/>
        <v>1125,1125,1125,1125,10000</v>
      </c>
      <c r="T55" s="51" t="str">
        <f t="shared" si="1"/>
        <v>200,200,200,200,200,200,200,200,200,200,200,200,200,200,200,200,200,200,200,200,200,200,200,200,10000</v>
      </c>
      <c r="U55" s="51" t="str">
        <f t="shared" si="2"/>
        <v/>
      </c>
      <c r="V55" s="62" t="s">
        <v>208</v>
      </c>
      <c r="X55" s="1">
        <f t="shared" si="66"/>
        <v>64.5</v>
      </c>
      <c r="Y55" s="25">
        <f t="shared" si="67"/>
        <v>5.7</v>
      </c>
      <c r="Z55" s="25">
        <f t="shared" si="4"/>
        <v>0.25</v>
      </c>
      <c r="AA55" s="25">
        <f t="shared" si="5"/>
        <v>0.05</v>
      </c>
      <c r="AB55" s="25">
        <f t="shared" si="6"/>
        <v>0</v>
      </c>
      <c r="AC55" s="108"/>
    </row>
    <row r="56" spans="1:30">
      <c r="B56" s="2"/>
      <c r="C56" s="69"/>
      <c r="D56" s="2"/>
      <c r="E56" s="6"/>
      <c r="F56" s="1"/>
      <c r="G56" s="1">
        <v>5</v>
      </c>
      <c r="H56" s="6">
        <v>0</v>
      </c>
      <c r="I56" s="117">
        <v>62</v>
      </c>
      <c r="J56" s="117">
        <v>87</v>
      </c>
      <c r="K56" s="2">
        <f t="shared" si="68"/>
        <v>3</v>
      </c>
      <c r="L56" s="87">
        <v>7</v>
      </c>
      <c r="M56" s="1">
        <v>0</v>
      </c>
      <c r="N56" s="1">
        <v>0</v>
      </c>
      <c r="O56" s="1">
        <v>0</v>
      </c>
      <c r="P56" s="111">
        <v>0.3</v>
      </c>
      <c r="Q56" s="111">
        <v>0.06</v>
      </c>
      <c r="R56" s="109">
        <v>1E-4</v>
      </c>
      <c r="S56" s="51" t="str">
        <f t="shared" si="0"/>
        <v>1200,1200,1200,10000</v>
      </c>
      <c r="T56" s="51" t="str">
        <f t="shared" si="1"/>
        <v>200,200,200,200,200,200,200,200,200,200,200,200,200,200,200,200,200,200,200,10000</v>
      </c>
      <c r="U56" s="51" t="str">
        <f t="shared" si="2"/>
        <v>1</v>
      </c>
      <c r="V56" s="62" t="s">
        <v>208</v>
      </c>
      <c r="X56" s="1">
        <f t="shared" si="66"/>
        <v>74.5</v>
      </c>
      <c r="Y56" s="25">
        <f t="shared" si="67"/>
        <v>6.6399000000000008</v>
      </c>
      <c r="Z56" s="25">
        <f t="shared" si="4"/>
        <v>0.3</v>
      </c>
      <c r="AA56" s="25">
        <f t="shared" si="5"/>
        <v>0.06</v>
      </c>
      <c r="AB56" s="25">
        <f t="shared" si="6"/>
        <v>1E-4</v>
      </c>
      <c r="AC56" s="108"/>
    </row>
    <row r="57" spans="1:30">
      <c r="B57" s="2"/>
      <c r="C57" s="69"/>
      <c r="D57" s="2"/>
      <c r="E57" s="6"/>
      <c r="F57" s="1"/>
      <c r="G57" s="1">
        <v>6</v>
      </c>
      <c r="H57" s="6">
        <v>0</v>
      </c>
      <c r="I57" s="117">
        <v>72</v>
      </c>
      <c r="J57" s="117">
        <v>100</v>
      </c>
      <c r="K57" s="2">
        <v>2</v>
      </c>
      <c r="L57" s="87">
        <v>8</v>
      </c>
      <c r="M57" s="1">
        <v>0</v>
      </c>
      <c r="N57" s="1">
        <v>0</v>
      </c>
      <c r="O57" s="1">
        <v>0</v>
      </c>
      <c r="P57" s="111">
        <v>0.3</v>
      </c>
      <c r="Q57" s="111">
        <v>7.0000000000000007E-2</v>
      </c>
      <c r="R57" s="109">
        <v>1E-4</v>
      </c>
      <c r="S57" s="51" t="str">
        <f t="shared" si="0"/>
        <v>1200,1200,1200,10000</v>
      </c>
      <c r="T57" s="51" t="str">
        <f t="shared" si="1"/>
        <v>370,370,370,370,370,370,370,370,370,370,370,370,370,370,370,370,370,370,370,10000</v>
      </c>
      <c r="U57" s="51" t="str">
        <f t="shared" si="2"/>
        <v>1</v>
      </c>
      <c r="V57" s="62" t="s">
        <v>208</v>
      </c>
      <c r="X57" s="1">
        <f t="shared" si="66"/>
        <v>86</v>
      </c>
      <c r="Y57" s="25">
        <f t="shared" si="67"/>
        <v>7.6299000000000001</v>
      </c>
      <c r="Z57" s="25">
        <f t="shared" si="4"/>
        <v>0.3</v>
      </c>
      <c r="AA57" s="25">
        <f t="shared" si="5"/>
        <v>7.0000000000000007E-2</v>
      </c>
      <c r="AB57" s="25">
        <f t="shared" si="6"/>
        <v>1E-4</v>
      </c>
      <c r="AC57" s="108"/>
      <c r="AD57" s="111"/>
    </row>
    <row r="58" spans="1:30">
      <c r="B58" s="2"/>
      <c r="C58" s="69"/>
      <c r="D58" s="2"/>
      <c r="E58" s="6"/>
      <c r="F58" s="1"/>
      <c r="G58" s="1">
        <v>7</v>
      </c>
      <c r="H58" s="6">
        <v>0</v>
      </c>
      <c r="I58" s="117">
        <v>80</v>
      </c>
      <c r="J58" s="117">
        <v>112</v>
      </c>
      <c r="K58" s="2">
        <f t="shared" si="68"/>
        <v>2</v>
      </c>
      <c r="L58" s="87">
        <v>9</v>
      </c>
      <c r="M58" s="1">
        <v>0</v>
      </c>
      <c r="N58" s="1">
        <v>0</v>
      </c>
      <c r="O58" s="1">
        <v>0</v>
      </c>
      <c r="P58" s="111">
        <v>0.3</v>
      </c>
      <c r="Q58" s="111">
        <v>0.08</v>
      </c>
      <c r="R58" s="109">
        <v>1E-4</v>
      </c>
      <c r="S58" s="51" t="str">
        <f t="shared" si="0"/>
        <v>1200,1200,1200,10000</v>
      </c>
      <c r="T58" s="51" t="str">
        <f t="shared" si="1"/>
        <v>530,530,530,530,530,530,530,530,530,530,530,530,530,530,530,530,530,530,530,10000</v>
      </c>
      <c r="U58" s="51" t="str">
        <f t="shared" si="2"/>
        <v>1</v>
      </c>
      <c r="V58" s="62" t="s">
        <v>208</v>
      </c>
      <c r="X58" s="1">
        <f t="shared" si="66"/>
        <v>96</v>
      </c>
      <c r="Y58" s="25">
        <f t="shared" si="67"/>
        <v>8.6198999999999995</v>
      </c>
      <c r="Z58" s="25">
        <f t="shared" si="4"/>
        <v>0.3</v>
      </c>
      <c r="AA58" s="25">
        <f t="shared" si="5"/>
        <v>0.08</v>
      </c>
      <c r="AB58" s="25">
        <f t="shared" si="6"/>
        <v>1E-4</v>
      </c>
      <c r="AC58" s="108"/>
      <c r="AD58" s="109"/>
    </row>
    <row r="59" spans="1:30">
      <c r="B59" s="2"/>
      <c r="C59" s="69"/>
      <c r="D59" s="2"/>
      <c r="E59" s="6"/>
      <c r="F59" s="1"/>
      <c r="G59" s="11">
        <v>8</v>
      </c>
      <c r="H59" s="6">
        <v>0</v>
      </c>
      <c r="I59" s="117">
        <v>90</v>
      </c>
      <c r="J59" s="117">
        <v>126</v>
      </c>
      <c r="K59" s="2">
        <f t="shared" si="68"/>
        <v>2</v>
      </c>
      <c r="L59" s="87">
        <v>10</v>
      </c>
      <c r="M59" s="1">
        <v>0</v>
      </c>
      <c r="N59" s="1">
        <v>0</v>
      </c>
      <c r="O59" s="1">
        <v>0</v>
      </c>
      <c r="P59" s="112">
        <v>0.4</v>
      </c>
      <c r="Q59" s="111">
        <v>0.08</v>
      </c>
      <c r="R59" s="109">
        <v>1E-4</v>
      </c>
      <c r="S59" s="51" t="str">
        <f t="shared" si="0"/>
        <v>1770,1770,10000</v>
      </c>
      <c r="T59" s="51" t="str">
        <f t="shared" si="1"/>
        <v>530,530,530,530,530,530,530,530,530,530,530,530,530,530,530,530,530,530,530,10000</v>
      </c>
      <c r="U59" s="51" t="str">
        <f t="shared" si="2"/>
        <v>1</v>
      </c>
      <c r="V59" s="62" t="s">
        <v>208</v>
      </c>
      <c r="X59" s="1">
        <f t="shared" si="66"/>
        <v>108</v>
      </c>
      <c r="Y59" s="25">
        <f t="shared" si="67"/>
        <v>9.5198999999999998</v>
      </c>
      <c r="Z59" s="25">
        <f t="shared" si="4"/>
        <v>0.4</v>
      </c>
      <c r="AA59" s="25">
        <f t="shared" si="5"/>
        <v>0.08</v>
      </c>
      <c r="AB59" s="25">
        <f t="shared" si="6"/>
        <v>1E-4</v>
      </c>
      <c r="AC59" s="108"/>
      <c r="AD59" s="109"/>
    </row>
    <row r="60" spans="1:30">
      <c r="B60" s="2"/>
      <c r="C60" s="69"/>
      <c r="D60" s="2"/>
      <c r="E60" s="6"/>
      <c r="F60" s="1"/>
      <c r="G60" s="11">
        <v>9</v>
      </c>
      <c r="H60" s="6">
        <v>0</v>
      </c>
      <c r="I60" s="117">
        <v>98</v>
      </c>
      <c r="J60" s="117">
        <v>138</v>
      </c>
      <c r="K60" s="2">
        <f t="shared" si="68"/>
        <v>2</v>
      </c>
      <c r="L60" s="87">
        <v>11</v>
      </c>
      <c r="M60" s="1">
        <v>0</v>
      </c>
      <c r="N60" s="1">
        <v>0</v>
      </c>
      <c r="O60" s="1">
        <v>0</v>
      </c>
      <c r="P60" s="112">
        <v>0.4</v>
      </c>
      <c r="Q60" s="111">
        <v>0.08</v>
      </c>
      <c r="R60" s="109">
        <v>1E-4</v>
      </c>
      <c r="S60" s="51" t="str">
        <f t="shared" si="0"/>
        <v>1770,1770,10000</v>
      </c>
      <c r="T60" s="51" t="str">
        <f t="shared" si="1"/>
        <v>530,530,530,530,530,530,530,530,530,530,530,530,530,530,530,530,530,530,530,10000</v>
      </c>
      <c r="U60" s="51" t="str">
        <f t="shared" si="2"/>
        <v>1</v>
      </c>
      <c r="V60" s="62" t="s">
        <v>208</v>
      </c>
      <c r="X60" s="1">
        <f t="shared" si="66"/>
        <v>118</v>
      </c>
      <c r="Y60" s="25">
        <f t="shared" si="67"/>
        <v>10.5199</v>
      </c>
      <c r="Z60" s="25">
        <f t="shared" si="4"/>
        <v>0.4</v>
      </c>
      <c r="AA60" s="25">
        <f t="shared" si="5"/>
        <v>0.08</v>
      </c>
      <c r="AB60" s="25">
        <f t="shared" si="6"/>
        <v>1E-4</v>
      </c>
      <c r="AC60" s="108"/>
      <c r="AD60" s="110"/>
    </row>
    <row r="61" spans="1:30">
      <c r="B61" s="2">
        <v>9</v>
      </c>
      <c r="C61" s="69" t="s">
        <v>242</v>
      </c>
      <c r="D61" s="5" t="s">
        <v>257</v>
      </c>
      <c r="E61" s="6">
        <v>28800</v>
      </c>
      <c r="F61" s="2">
        <v>4</v>
      </c>
      <c r="G61" s="1">
        <v>1</v>
      </c>
      <c r="H61" s="6">
        <v>0</v>
      </c>
      <c r="I61" s="87">
        <v>50</v>
      </c>
      <c r="J61" s="87">
        <v>70</v>
      </c>
      <c r="K61" s="16">
        <v>4</v>
      </c>
      <c r="L61" s="87">
        <v>10</v>
      </c>
      <c r="M61" s="2">
        <v>1</v>
      </c>
      <c r="N61" s="1">
        <v>0</v>
      </c>
      <c r="O61" s="1">
        <v>0</v>
      </c>
      <c r="P61" s="102"/>
      <c r="Q61" s="111">
        <v>0.01</v>
      </c>
      <c r="R61" s="102"/>
      <c r="S61" s="51" t="str">
        <f t="shared" ref="S61:S96" si="69">IF(P61=0,"",VLOOKUP(P61,产出卡牌概率,2,))</f>
        <v/>
      </c>
      <c r="T61" s="51" t="str">
        <f t="shared" ref="T61:T96" si="70">IF(Q61=0,"",VLOOKUP(Q61,产出卡牌概率,2,))</f>
        <v>100</v>
      </c>
      <c r="U61" s="51" t="str">
        <f t="shared" ref="U61:U96" si="71">IF(R61=0,"",VLOOKUP(R61,产出卡牌概率,2,))</f>
        <v/>
      </c>
      <c r="V61" s="62" t="s">
        <v>208</v>
      </c>
      <c r="X61" s="1">
        <f t="shared" si="66"/>
        <v>60</v>
      </c>
      <c r="Y61" s="25">
        <f t="shared" si="67"/>
        <v>8.99</v>
      </c>
      <c r="Z61" s="25">
        <f t="shared" ref="Z61:Z92" si="72">M61+P61</f>
        <v>1</v>
      </c>
      <c r="AA61" s="25">
        <f t="shared" ref="AA61:AA92" si="73">N61+Q61</f>
        <v>0.01</v>
      </c>
      <c r="AB61" s="25">
        <f t="shared" ref="AB61:AB92" si="74">O61+R61</f>
        <v>0</v>
      </c>
      <c r="AC61" s="108"/>
      <c r="AD61" s="110"/>
    </row>
    <row r="62" spans="1:30">
      <c r="B62" s="2"/>
      <c r="C62" s="69"/>
      <c r="D62" s="2"/>
      <c r="E62" s="6"/>
      <c r="F62" s="1"/>
      <c r="G62" s="1">
        <v>2</v>
      </c>
      <c r="H62" s="6">
        <v>0</v>
      </c>
      <c r="I62" s="87">
        <v>70</v>
      </c>
      <c r="J62" s="87">
        <v>98</v>
      </c>
      <c r="K62" s="2">
        <f t="shared" ref="K62:K69" si="75">K61</f>
        <v>4</v>
      </c>
      <c r="L62" s="87">
        <v>14</v>
      </c>
      <c r="M62" s="2">
        <v>1</v>
      </c>
      <c r="N62" s="1">
        <v>0</v>
      </c>
      <c r="O62" s="1">
        <v>0</v>
      </c>
      <c r="P62" s="111">
        <v>0.15</v>
      </c>
      <c r="Q62" s="111">
        <v>0.02</v>
      </c>
      <c r="R62" s="102"/>
      <c r="S62" s="51" t="str">
        <f t="shared" si="69"/>
        <v>780,780,780,780,780,780,780,780,10000</v>
      </c>
      <c r="T62" s="51" t="str">
        <f t="shared" si="70"/>
        <v>200</v>
      </c>
      <c r="U62" s="51" t="str">
        <f t="shared" si="71"/>
        <v/>
      </c>
      <c r="V62" s="62" t="s">
        <v>208</v>
      </c>
      <c r="X62" s="1">
        <f t="shared" si="66"/>
        <v>84</v>
      </c>
      <c r="Y62" s="25">
        <f t="shared" si="67"/>
        <v>12.83</v>
      </c>
      <c r="Z62" s="25">
        <f t="shared" si="72"/>
        <v>1.1499999999999999</v>
      </c>
      <c r="AA62" s="25">
        <f t="shared" si="73"/>
        <v>0.02</v>
      </c>
      <c r="AB62" s="25">
        <f t="shared" si="74"/>
        <v>0</v>
      </c>
      <c r="AC62" s="108"/>
      <c r="AD62" s="110"/>
    </row>
    <row r="63" spans="1:30">
      <c r="B63" s="2"/>
      <c r="C63" s="69"/>
      <c r="D63" s="2"/>
      <c r="E63" s="6"/>
      <c r="F63" s="1"/>
      <c r="G63" s="1">
        <v>3</v>
      </c>
      <c r="H63" s="6">
        <v>0</v>
      </c>
      <c r="I63" s="87">
        <v>85</v>
      </c>
      <c r="J63" s="87">
        <v>119</v>
      </c>
      <c r="K63" s="2">
        <f t="shared" si="75"/>
        <v>4</v>
      </c>
      <c r="L63" s="87">
        <v>17</v>
      </c>
      <c r="M63" s="2">
        <v>1</v>
      </c>
      <c r="N63" s="1">
        <v>0</v>
      </c>
      <c r="O63" s="1">
        <v>0</v>
      </c>
      <c r="P63" s="112">
        <v>0.2</v>
      </c>
      <c r="Q63" s="111">
        <v>0.03</v>
      </c>
      <c r="R63" s="102"/>
      <c r="S63" s="51" t="str">
        <f t="shared" si="69"/>
        <v>700,750,750,750,750,10000</v>
      </c>
      <c r="T63" s="51" t="str">
        <f t="shared" si="70"/>
        <v>300</v>
      </c>
      <c r="U63" s="51" t="str">
        <f t="shared" si="71"/>
        <v/>
      </c>
      <c r="V63" s="62" t="s">
        <v>208</v>
      </c>
      <c r="X63" s="1">
        <f t="shared" si="66"/>
        <v>102</v>
      </c>
      <c r="Y63" s="25">
        <f t="shared" si="67"/>
        <v>15.770000000000001</v>
      </c>
      <c r="Z63" s="25">
        <f t="shared" si="72"/>
        <v>1.2</v>
      </c>
      <c r="AA63" s="25">
        <f t="shared" si="73"/>
        <v>0.03</v>
      </c>
      <c r="AB63" s="25">
        <f t="shared" si="74"/>
        <v>0</v>
      </c>
      <c r="AC63" s="108"/>
      <c r="AD63" s="111"/>
    </row>
    <row r="64" spans="1:30">
      <c r="B64" s="2"/>
      <c r="C64" s="69"/>
      <c r="D64" s="2"/>
      <c r="E64" s="6"/>
      <c r="F64" s="1"/>
      <c r="G64" s="1">
        <v>4</v>
      </c>
      <c r="H64" s="6">
        <v>0</v>
      </c>
      <c r="I64" s="87">
        <v>100</v>
      </c>
      <c r="J64" s="87">
        <v>140</v>
      </c>
      <c r="K64" s="2">
        <f t="shared" si="75"/>
        <v>4</v>
      </c>
      <c r="L64" s="87">
        <v>20</v>
      </c>
      <c r="M64" s="2">
        <v>2</v>
      </c>
      <c r="N64" s="1">
        <v>0</v>
      </c>
      <c r="O64" s="1">
        <v>0</v>
      </c>
      <c r="P64" s="112"/>
      <c r="Q64" s="111">
        <v>0.05</v>
      </c>
      <c r="R64" s="102"/>
      <c r="S64" s="51" t="str">
        <f t="shared" si="69"/>
        <v/>
      </c>
      <c r="T64" s="51" t="str">
        <f t="shared" si="70"/>
        <v>200,200,200,200,200,200,200,200,200,200,200,200,200,200,200,200,200,200,200,200,200,200,200,200,10000</v>
      </c>
      <c r="U64" s="51" t="str">
        <f t="shared" si="71"/>
        <v/>
      </c>
      <c r="V64" s="62" t="s">
        <v>208</v>
      </c>
      <c r="X64" s="1">
        <f t="shared" si="66"/>
        <v>120</v>
      </c>
      <c r="Y64" s="25">
        <f t="shared" si="67"/>
        <v>17.95</v>
      </c>
      <c r="Z64" s="25">
        <f t="shared" si="72"/>
        <v>2</v>
      </c>
      <c r="AA64" s="25">
        <f t="shared" si="73"/>
        <v>0.05</v>
      </c>
      <c r="AB64" s="25">
        <f t="shared" si="74"/>
        <v>0</v>
      </c>
      <c r="AC64" s="108"/>
      <c r="AD64" s="111"/>
    </row>
    <row r="65" spans="1:30">
      <c r="B65" s="2"/>
      <c r="C65" s="69"/>
      <c r="D65" s="2"/>
      <c r="E65" s="6"/>
      <c r="F65" s="1"/>
      <c r="G65" s="1">
        <v>5</v>
      </c>
      <c r="H65" s="6">
        <v>0</v>
      </c>
      <c r="I65" s="87">
        <v>115</v>
      </c>
      <c r="J65" s="87">
        <v>161</v>
      </c>
      <c r="K65" s="2">
        <f t="shared" si="75"/>
        <v>4</v>
      </c>
      <c r="L65" s="87">
        <v>23</v>
      </c>
      <c r="M65" s="2">
        <v>2</v>
      </c>
      <c r="N65" s="1">
        <v>0</v>
      </c>
      <c r="O65" s="1">
        <v>0</v>
      </c>
      <c r="P65" s="111">
        <v>0.15</v>
      </c>
      <c r="Q65" s="111">
        <v>0.06</v>
      </c>
      <c r="R65" s="109">
        <v>5.0000000000000001E-4</v>
      </c>
      <c r="S65" s="51" t="str">
        <f t="shared" si="69"/>
        <v>780,780,780,780,780,780,780,780,10000</v>
      </c>
      <c r="T65" s="51" t="str">
        <f t="shared" si="70"/>
        <v>200,200,200,200,200,200,200,200,200,200,200,200,200,200,200,200,200,200,200,10000</v>
      </c>
      <c r="U65" s="51" t="str">
        <f t="shared" si="71"/>
        <v>5</v>
      </c>
      <c r="V65" s="62" t="s">
        <v>208</v>
      </c>
      <c r="X65" s="1">
        <f t="shared" si="66"/>
        <v>138</v>
      </c>
      <c r="Y65" s="25">
        <f t="shared" si="67"/>
        <v>20.789500000000004</v>
      </c>
      <c r="Z65" s="25">
        <f t="shared" si="72"/>
        <v>2.15</v>
      </c>
      <c r="AA65" s="25">
        <f t="shared" si="73"/>
        <v>0.06</v>
      </c>
      <c r="AB65" s="25">
        <f t="shared" si="74"/>
        <v>5.0000000000000001E-4</v>
      </c>
      <c r="AC65" s="108"/>
      <c r="AD65" s="111"/>
    </row>
    <row r="66" spans="1:30">
      <c r="B66" s="2"/>
      <c r="C66" s="69"/>
      <c r="D66" s="2"/>
      <c r="E66" s="6"/>
      <c r="F66" s="1"/>
      <c r="G66" s="1">
        <v>6</v>
      </c>
      <c r="H66" s="6">
        <v>0</v>
      </c>
      <c r="I66" s="87">
        <v>130</v>
      </c>
      <c r="J66" s="87">
        <v>182</v>
      </c>
      <c r="K66" s="2">
        <f t="shared" si="75"/>
        <v>4</v>
      </c>
      <c r="L66" s="87">
        <v>26</v>
      </c>
      <c r="M66" s="2">
        <v>2</v>
      </c>
      <c r="N66" s="1">
        <v>0</v>
      </c>
      <c r="O66" s="1">
        <v>0</v>
      </c>
      <c r="P66" s="112">
        <v>0.2</v>
      </c>
      <c r="Q66" s="111">
        <v>7.0000000000000007E-2</v>
      </c>
      <c r="R66" s="109">
        <v>5.0000000000000001E-4</v>
      </c>
      <c r="S66" s="51" t="str">
        <f t="shared" si="69"/>
        <v>700,750,750,750,750,10000</v>
      </c>
      <c r="T66" s="51" t="str">
        <f t="shared" si="70"/>
        <v>370,370,370,370,370,370,370,370,370,370,370,370,370,370,370,370,370,370,370,10000</v>
      </c>
      <c r="U66" s="51" t="str">
        <f t="shared" si="71"/>
        <v>5</v>
      </c>
      <c r="V66" s="62" t="s">
        <v>208</v>
      </c>
      <c r="X66" s="1">
        <f t="shared" si="66"/>
        <v>156</v>
      </c>
      <c r="Y66" s="25">
        <f t="shared" si="67"/>
        <v>23.729500000000002</v>
      </c>
      <c r="Z66" s="25">
        <f t="shared" si="72"/>
        <v>2.2000000000000002</v>
      </c>
      <c r="AA66" s="25">
        <f t="shared" si="73"/>
        <v>7.0000000000000007E-2</v>
      </c>
      <c r="AB66" s="25">
        <f t="shared" si="74"/>
        <v>5.0000000000000001E-4</v>
      </c>
      <c r="AC66" s="108"/>
      <c r="AD66" s="111"/>
    </row>
    <row r="67" spans="1:30">
      <c r="B67" s="2"/>
      <c r="C67" s="69"/>
      <c r="D67" s="2"/>
      <c r="E67" s="6"/>
      <c r="F67" s="1"/>
      <c r="G67" s="1">
        <v>7</v>
      </c>
      <c r="H67" s="6">
        <v>0</v>
      </c>
      <c r="I67" s="87">
        <v>145</v>
      </c>
      <c r="J67" s="87">
        <v>203</v>
      </c>
      <c r="K67" s="2">
        <f t="shared" si="75"/>
        <v>4</v>
      </c>
      <c r="L67" s="87">
        <v>29</v>
      </c>
      <c r="M67" s="2">
        <v>2</v>
      </c>
      <c r="N67" s="1">
        <v>0</v>
      </c>
      <c r="O67" s="1">
        <v>0</v>
      </c>
      <c r="P67" s="112">
        <v>0.25</v>
      </c>
      <c r="Q67" s="111">
        <v>0.08</v>
      </c>
      <c r="R67" s="109">
        <v>5.0000000000000001E-4</v>
      </c>
      <c r="S67" s="51" t="str">
        <f t="shared" si="69"/>
        <v>1125,1125,1125,1125,10000</v>
      </c>
      <c r="T67" s="51" t="str">
        <f t="shared" si="70"/>
        <v>530,530,530,530,530,530,530,530,530,530,530,530,530,530,530,530,530,530,530,10000</v>
      </c>
      <c r="U67" s="51" t="str">
        <f t="shared" si="71"/>
        <v>5</v>
      </c>
      <c r="V67" s="62" t="s">
        <v>208</v>
      </c>
      <c r="X67" s="1">
        <f t="shared" si="66"/>
        <v>174</v>
      </c>
      <c r="Y67" s="25">
        <f t="shared" si="67"/>
        <v>26.669500000000003</v>
      </c>
      <c r="Z67" s="25">
        <f t="shared" si="72"/>
        <v>2.25</v>
      </c>
      <c r="AA67" s="25">
        <f t="shared" si="73"/>
        <v>0.08</v>
      </c>
      <c r="AB67" s="25">
        <f t="shared" si="74"/>
        <v>5.0000000000000001E-4</v>
      </c>
      <c r="AC67" s="108"/>
      <c r="AD67" s="111"/>
    </row>
    <row r="68" spans="1:30">
      <c r="B68" s="2"/>
      <c r="C68" s="69"/>
      <c r="D68" s="2"/>
      <c r="E68" s="6"/>
      <c r="F68" s="1"/>
      <c r="G68" s="11">
        <v>8</v>
      </c>
      <c r="H68" s="6">
        <v>0</v>
      </c>
      <c r="I68" s="87">
        <v>160</v>
      </c>
      <c r="J68" s="87">
        <v>224</v>
      </c>
      <c r="K68" s="2">
        <f t="shared" si="75"/>
        <v>4</v>
      </c>
      <c r="L68" s="87">
        <v>32</v>
      </c>
      <c r="M68" s="2">
        <v>3</v>
      </c>
      <c r="N68" s="1">
        <v>0</v>
      </c>
      <c r="O68" s="1">
        <v>0</v>
      </c>
      <c r="P68" s="111"/>
      <c r="Q68" s="111">
        <v>0.08</v>
      </c>
      <c r="R68" s="109">
        <v>5.0000000000000001E-4</v>
      </c>
      <c r="S68" s="51" t="str">
        <f t="shared" si="69"/>
        <v/>
      </c>
      <c r="T68" s="51" t="str">
        <f t="shared" si="70"/>
        <v>530,530,530,530,530,530,530,530,530,530,530,530,530,530,530,530,530,530,530,10000</v>
      </c>
      <c r="U68" s="51" t="str">
        <f t="shared" si="71"/>
        <v>5</v>
      </c>
      <c r="V68" s="62" t="s">
        <v>208</v>
      </c>
      <c r="X68" s="1">
        <f t="shared" si="66"/>
        <v>192</v>
      </c>
      <c r="Y68" s="25">
        <f t="shared" si="67"/>
        <v>28.919500000000003</v>
      </c>
      <c r="Z68" s="25">
        <f t="shared" si="72"/>
        <v>3</v>
      </c>
      <c r="AA68" s="25">
        <f t="shared" si="73"/>
        <v>0.08</v>
      </c>
      <c r="AB68" s="25">
        <f t="shared" si="74"/>
        <v>5.0000000000000001E-4</v>
      </c>
      <c r="AC68" s="108"/>
      <c r="AD68" s="111"/>
    </row>
    <row r="69" spans="1:30">
      <c r="B69" s="2"/>
      <c r="C69" s="69"/>
      <c r="D69" s="2"/>
      <c r="E69" s="6"/>
      <c r="F69" s="1"/>
      <c r="G69" s="11">
        <v>9</v>
      </c>
      <c r="H69" s="6">
        <v>0</v>
      </c>
      <c r="I69" s="87">
        <v>190</v>
      </c>
      <c r="J69" s="87">
        <v>266</v>
      </c>
      <c r="K69" s="2">
        <f t="shared" si="75"/>
        <v>4</v>
      </c>
      <c r="L69" s="87">
        <v>38</v>
      </c>
      <c r="M69" s="2">
        <v>3</v>
      </c>
      <c r="N69" s="1">
        <v>0</v>
      </c>
      <c r="O69" s="1">
        <v>0</v>
      </c>
      <c r="P69" s="111">
        <v>0.15</v>
      </c>
      <c r="Q69" s="111">
        <v>0.08</v>
      </c>
      <c r="R69" s="109">
        <v>5.0000000000000001E-4</v>
      </c>
      <c r="S69" s="51" t="str">
        <f t="shared" si="69"/>
        <v>780,780,780,780,780,780,780,780,10000</v>
      </c>
      <c r="T69" s="51" t="str">
        <f t="shared" si="70"/>
        <v>530,530,530,530,530,530,530,530,530,530,530,530,530,530,530,530,530,530,530,10000</v>
      </c>
      <c r="U69" s="51" t="str">
        <f t="shared" si="71"/>
        <v>5</v>
      </c>
      <c r="V69" s="62" t="s">
        <v>208</v>
      </c>
      <c r="X69" s="1">
        <f t="shared" si="66"/>
        <v>228</v>
      </c>
      <c r="Y69" s="25">
        <f t="shared" si="67"/>
        <v>34.769500000000001</v>
      </c>
      <c r="Z69" s="25">
        <f t="shared" si="72"/>
        <v>3.15</v>
      </c>
      <c r="AA69" s="25">
        <f t="shared" si="73"/>
        <v>0.08</v>
      </c>
      <c r="AB69" s="25">
        <f t="shared" si="74"/>
        <v>5.0000000000000001E-4</v>
      </c>
      <c r="AC69" s="108"/>
      <c r="AD69" s="111"/>
    </row>
    <row r="70" spans="1:30">
      <c r="B70" s="2">
        <v>10</v>
      </c>
      <c r="C70" s="69" t="s">
        <v>243</v>
      </c>
      <c r="D70" s="5" t="s">
        <v>262</v>
      </c>
      <c r="E70" s="6">
        <v>43200</v>
      </c>
      <c r="F70" s="2">
        <v>6</v>
      </c>
      <c r="G70" s="1">
        <v>1</v>
      </c>
      <c r="H70" s="6">
        <v>320</v>
      </c>
      <c r="I70" s="87">
        <v>150</v>
      </c>
      <c r="J70" s="87">
        <v>210</v>
      </c>
      <c r="K70" s="16">
        <v>7</v>
      </c>
      <c r="L70" s="22">
        <v>30</v>
      </c>
      <c r="M70" s="2">
        <v>6</v>
      </c>
      <c r="N70" s="2">
        <v>1</v>
      </c>
      <c r="O70" s="1">
        <v>0</v>
      </c>
      <c r="P70" s="102"/>
      <c r="Q70" s="102"/>
      <c r="R70" s="111">
        <v>0.02</v>
      </c>
      <c r="S70" s="51" t="str">
        <f t="shared" si="69"/>
        <v/>
      </c>
      <c r="T70" s="51" t="str">
        <f t="shared" si="70"/>
        <v/>
      </c>
      <c r="U70" s="51" t="str">
        <f t="shared" si="71"/>
        <v>200</v>
      </c>
      <c r="V70" s="62" t="s">
        <v>208</v>
      </c>
      <c r="X70" s="1">
        <f t="shared" si="66"/>
        <v>180</v>
      </c>
      <c r="Y70" s="25">
        <f t="shared" si="67"/>
        <v>22.98</v>
      </c>
      <c r="Z70" s="25">
        <f t="shared" si="72"/>
        <v>6</v>
      </c>
      <c r="AA70" s="25">
        <f t="shared" si="73"/>
        <v>1</v>
      </c>
      <c r="AB70" s="25">
        <f t="shared" si="74"/>
        <v>0.02</v>
      </c>
      <c r="AC70" s="108"/>
      <c r="AD70" s="111"/>
    </row>
    <row r="71" spans="1:30">
      <c r="B71" s="2"/>
      <c r="C71" s="69"/>
      <c r="D71" s="2"/>
      <c r="E71" s="6"/>
      <c r="F71" s="1"/>
      <c r="G71" s="1">
        <v>2</v>
      </c>
      <c r="H71" s="6">
        <v>400</v>
      </c>
      <c r="I71" s="87">
        <v>205</v>
      </c>
      <c r="J71" s="87">
        <v>287</v>
      </c>
      <c r="K71" s="2">
        <f t="shared" ref="K71:K78" si="76">K70</f>
        <v>7</v>
      </c>
      <c r="L71" s="87">
        <v>41</v>
      </c>
      <c r="M71" s="2">
        <v>8</v>
      </c>
      <c r="N71" s="2">
        <v>1</v>
      </c>
      <c r="O71" s="1">
        <v>0</v>
      </c>
      <c r="P71" s="111"/>
      <c r="Q71" s="111">
        <v>0.06</v>
      </c>
      <c r="R71" s="111">
        <v>0.02</v>
      </c>
      <c r="S71" s="51" t="str">
        <f t="shared" si="69"/>
        <v/>
      </c>
      <c r="T71" s="51" t="str">
        <f t="shared" si="70"/>
        <v>200,200,200,200,200,200,200,200,200,200,200,200,200,200,200,200,200,200,200,10000</v>
      </c>
      <c r="U71" s="51" t="str">
        <f t="shared" si="71"/>
        <v>200</v>
      </c>
      <c r="V71" s="62" t="s">
        <v>208</v>
      </c>
      <c r="X71" s="1">
        <f t="shared" si="66"/>
        <v>246</v>
      </c>
      <c r="Y71" s="25">
        <f t="shared" si="67"/>
        <v>31.92</v>
      </c>
      <c r="Z71" s="25">
        <f t="shared" si="72"/>
        <v>8</v>
      </c>
      <c r="AA71" s="25">
        <f t="shared" si="73"/>
        <v>1.06</v>
      </c>
      <c r="AB71" s="25">
        <f t="shared" si="74"/>
        <v>0.02</v>
      </c>
      <c r="AC71" s="108"/>
      <c r="AD71" s="111"/>
    </row>
    <row r="72" spans="1:30">
      <c r="B72" s="2"/>
      <c r="C72" s="69"/>
      <c r="D72" s="2"/>
      <c r="E72" s="6"/>
      <c r="F72" s="1"/>
      <c r="G72" s="1">
        <v>3</v>
      </c>
      <c r="H72" s="6">
        <v>470</v>
      </c>
      <c r="I72" s="87">
        <v>255</v>
      </c>
      <c r="J72" s="87">
        <v>357</v>
      </c>
      <c r="K72" s="2">
        <f t="shared" si="76"/>
        <v>7</v>
      </c>
      <c r="L72" s="22">
        <v>51</v>
      </c>
      <c r="M72" s="2">
        <v>10</v>
      </c>
      <c r="N72" s="2">
        <v>1</v>
      </c>
      <c r="O72" s="1">
        <v>0</v>
      </c>
      <c r="P72" s="112"/>
      <c r="Q72" s="111">
        <v>0.08</v>
      </c>
      <c r="R72" s="111">
        <v>0.02</v>
      </c>
      <c r="S72" s="51" t="str">
        <f t="shared" si="69"/>
        <v/>
      </c>
      <c r="T72" s="51" t="str">
        <f t="shared" si="70"/>
        <v>530,530,530,530,530,530,530,530,530,530,530,530,530,530,530,530,530,530,530,10000</v>
      </c>
      <c r="U72" s="51" t="str">
        <f t="shared" si="71"/>
        <v>200</v>
      </c>
      <c r="V72" s="62" t="s">
        <v>208</v>
      </c>
      <c r="X72" s="1">
        <f t="shared" si="66"/>
        <v>306</v>
      </c>
      <c r="Y72" s="25">
        <f t="shared" si="67"/>
        <v>39.9</v>
      </c>
      <c r="Z72" s="25">
        <f t="shared" si="72"/>
        <v>10</v>
      </c>
      <c r="AA72" s="25">
        <f t="shared" si="73"/>
        <v>1.08</v>
      </c>
      <c r="AB72" s="25">
        <f t="shared" si="74"/>
        <v>0.02</v>
      </c>
      <c r="AC72" s="108"/>
      <c r="AD72" s="111"/>
    </row>
    <row r="73" spans="1:30">
      <c r="B73" s="2"/>
      <c r="C73" s="69"/>
      <c r="D73" s="2"/>
      <c r="E73" s="6"/>
      <c r="F73" s="1"/>
      <c r="G73" s="1">
        <v>4</v>
      </c>
      <c r="H73" s="6">
        <v>500</v>
      </c>
      <c r="I73" s="87">
        <v>300</v>
      </c>
      <c r="J73" s="87">
        <v>420</v>
      </c>
      <c r="K73" s="2">
        <f t="shared" si="76"/>
        <v>7</v>
      </c>
      <c r="L73" s="87">
        <v>60</v>
      </c>
      <c r="M73" s="2">
        <v>12</v>
      </c>
      <c r="N73" s="2">
        <v>2</v>
      </c>
      <c r="O73" s="1">
        <v>0</v>
      </c>
      <c r="P73" s="102"/>
      <c r="Q73" s="102"/>
      <c r="R73" s="111">
        <v>0.02</v>
      </c>
      <c r="S73" s="51" t="str">
        <f t="shared" si="69"/>
        <v/>
      </c>
      <c r="T73" s="51" t="str">
        <f t="shared" si="70"/>
        <v/>
      </c>
      <c r="U73" s="51" t="str">
        <f t="shared" si="71"/>
        <v>200</v>
      </c>
      <c r="V73" s="62" t="s">
        <v>208</v>
      </c>
      <c r="X73" s="1">
        <f t="shared" si="66"/>
        <v>360</v>
      </c>
      <c r="Y73" s="25">
        <f t="shared" si="67"/>
        <v>45.98</v>
      </c>
      <c r="Z73" s="25">
        <f t="shared" si="72"/>
        <v>12</v>
      </c>
      <c r="AA73" s="25">
        <f t="shared" si="73"/>
        <v>2</v>
      </c>
      <c r="AB73" s="25">
        <f t="shared" si="74"/>
        <v>0.02</v>
      </c>
      <c r="AC73" s="108"/>
      <c r="AD73" s="112"/>
    </row>
    <row r="74" spans="1:30">
      <c r="B74" s="2"/>
      <c r="C74" s="69"/>
      <c r="D74" s="2"/>
      <c r="E74" s="6"/>
      <c r="F74" s="1"/>
      <c r="G74" s="1">
        <v>5</v>
      </c>
      <c r="H74" s="6">
        <v>600</v>
      </c>
      <c r="I74" s="87">
        <v>345</v>
      </c>
      <c r="J74" s="87">
        <v>483</v>
      </c>
      <c r="K74" s="2">
        <f t="shared" si="76"/>
        <v>7</v>
      </c>
      <c r="L74" s="87">
        <v>69</v>
      </c>
      <c r="M74" s="2">
        <v>13</v>
      </c>
      <c r="N74" s="2">
        <v>2</v>
      </c>
      <c r="O74" s="1">
        <v>0</v>
      </c>
      <c r="P74" s="111"/>
      <c r="Q74" s="111">
        <v>0.06</v>
      </c>
      <c r="R74" s="111">
        <v>0.05</v>
      </c>
      <c r="S74" s="51" t="str">
        <f t="shared" si="69"/>
        <v/>
      </c>
      <c r="T74" s="51" t="str">
        <f t="shared" si="70"/>
        <v>200,200,200,200,200,200,200,200,200,200,200,200,200,200,200,200,200,200,200,10000</v>
      </c>
      <c r="U74" s="51" t="str">
        <f t="shared" si="71"/>
        <v>200,200,200,200,200,200,200,200,200,200,200,200,200,200,200,200,200,200,200,200,200,200,200,200,10000</v>
      </c>
      <c r="V74" s="62" t="s">
        <v>208</v>
      </c>
      <c r="X74" s="1">
        <f t="shared" si="66"/>
        <v>414</v>
      </c>
      <c r="Y74" s="25">
        <f t="shared" si="67"/>
        <v>53.89</v>
      </c>
      <c r="Z74" s="25">
        <f t="shared" si="72"/>
        <v>13</v>
      </c>
      <c r="AA74" s="25">
        <f t="shared" si="73"/>
        <v>2.06</v>
      </c>
      <c r="AB74" s="25">
        <f t="shared" si="74"/>
        <v>0.05</v>
      </c>
      <c r="AC74" s="108"/>
      <c r="AD74" s="112"/>
    </row>
    <row r="75" spans="1:30">
      <c r="B75" s="2"/>
      <c r="C75" s="69"/>
      <c r="D75" s="2"/>
      <c r="E75" s="6"/>
      <c r="F75" s="1"/>
      <c r="G75" s="1">
        <v>6</v>
      </c>
      <c r="H75" s="6">
        <v>600</v>
      </c>
      <c r="I75" s="87">
        <v>390</v>
      </c>
      <c r="J75" s="87">
        <v>546</v>
      </c>
      <c r="K75" s="2">
        <f t="shared" si="76"/>
        <v>7</v>
      </c>
      <c r="L75" s="87">
        <v>78</v>
      </c>
      <c r="M75" s="2">
        <v>15</v>
      </c>
      <c r="N75" s="2">
        <v>2</v>
      </c>
      <c r="O75" s="1">
        <v>0</v>
      </c>
      <c r="P75" s="112"/>
      <c r="Q75" s="111">
        <v>0.08</v>
      </c>
      <c r="R75" s="111">
        <v>0.05</v>
      </c>
      <c r="S75" s="51" t="str">
        <f t="shared" si="69"/>
        <v/>
      </c>
      <c r="T75" s="51" t="str">
        <f t="shared" si="70"/>
        <v>530,530,530,530,530,530,530,530,530,530,530,530,530,530,530,530,530,530,530,10000</v>
      </c>
      <c r="U75" s="51" t="str">
        <f t="shared" si="71"/>
        <v>200,200,200,200,200,200,200,200,200,200,200,200,200,200,200,200,200,200,200,200,200,200,200,200,10000</v>
      </c>
      <c r="V75" s="62" t="s">
        <v>208</v>
      </c>
      <c r="W75" s="8"/>
      <c r="X75" s="1">
        <f t="shared" si="66"/>
        <v>468</v>
      </c>
      <c r="Y75" s="25">
        <f t="shared" si="67"/>
        <v>60.870000000000005</v>
      </c>
      <c r="Z75" s="25">
        <f t="shared" si="72"/>
        <v>15</v>
      </c>
      <c r="AA75" s="25">
        <f t="shared" si="73"/>
        <v>2.08</v>
      </c>
      <c r="AB75" s="25">
        <f t="shared" si="74"/>
        <v>0.05</v>
      </c>
      <c r="AC75" s="108"/>
      <c r="AD75" s="111"/>
    </row>
    <row r="76" spans="1:30">
      <c r="B76" s="2"/>
      <c r="C76" s="69"/>
      <c r="D76" s="2"/>
      <c r="E76" s="6"/>
      <c r="F76" s="1"/>
      <c r="G76" s="1">
        <v>7</v>
      </c>
      <c r="H76" s="6">
        <v>700</v>
      </c>
      <c r="I76" s="87">
        <v>435</v>
      </c>
      <c r="J76" s="87">
        <v>609</v>
      </c>
      <c r="K76" s="2">
        <f t="shared" si="76"/>
        <v>7</v>
      </c>
      <c r="L76" s="87">
        <v>87</v>
      </c>
      <c r="M76" s="2">
        <v>17</v>
      </c>
      <c r="N76" s="2">
        <v>2</v>
      </c>
      <c r="O76" s="1">
        <v>0</v>
      </c>
      <c r="P76" s="112"/>
      <c r="Q76" s="111">
        <v>0.1</v>
      </c>
      <c r="R76" s="111">
        <v>0.05</v>
      </c>
      <c r="S76" s="51" t="str">
        <f t="shared" si="69"/>
        <v/>
      </c>
      <c r="T76" s="51" t="str">
        <f t="shared" si="70"/>
        <v>450,450,450,450,450,450,450,450,450,450,450,450,10000</v>
      </c>
      <c r="U76" s="51" t="str">
        <f t="shared" si="71"/>
        <v>200,200,200,200,200,200,200,200,200,200,200,200,200,200,200,200,200,200,200,200,200,200,200,200,10000</v>
      </c>
      <c r="V76" s="62" t="s">
        <v>208</v>
      </c>
      <c r="W76" s="8"/>
      <c r="X76" s="1">
        <f t="shared" si="66"/>
        <v>522</v>
      </c>
      <c r="Y76" s="25">
        <f t="shared" si="67"/>
        <v>67.850000000000009</v>
      </c>
      <c r="Z76" s="25">
        <f t="shared" si="72"/>
        <v>17</v>
      </c>
      <c r="AA76" s="25">
        <f t="shared" si="73"/>
        <v>2.1</v>
      </c>
      <c r="AB76" s="25">
        <f t="shared" si="74"/>
        <v>0.05</v>
      </c>
      <c r="AC76" s="108"/>
      <c r="AD76" s="112"/>
    </row>
    <row r="77" spans="1:30">
      <c r="B77" s="2"/>
      <c r="C77" s="69"/>
      <c r="D77" s="2"/>
      <c r="E77" s="6"/>
      <c r="F77" s="1"/>
      <c r="G77" s="1">
        <v>8</v>
      </c>
      <c r="H77" s="6">
        <v>800</v>
      </c>
      <c r="I77" s="87">
        <v>480</v>
      </c>
      <c r="J77" s="87">
        <v>672</v>
      </c>
      <c r="K77" s="2">
        <f t="shared" si="76"/>
        <v>7</v>
      </c>
      <c r="L77" s="87">
        <v>96</v>
      </c>
      <c r="M77" s="2">
        <v>19</v>
      </c>
      <c r="N77" s="2">
        <v>3</v>
      </c>
      <c r="O77" s="1">
        <v>0</v>
      </c>
      <c r="P77" s="102"/>
      <c r="Q77" s="102"/>
      <c r="R77" s="111">
        <v>0.05</v>
      </c>
      <c r="S77" s="51" t="str">
        <f t="shared" si="69"/>
        <v/>
      </c>
      <c r="T77" s="51" t="str">
        <f t="shared" si="70"/>
        <v/>
      </c>
      <c r="U77" s="51" t="str">
        <f t="shared" si="71"/>
        <v>200,200,200,200,200,200,200,200,200,200,200,200,200,200,200,200,200,200,200,200,200,200,200,200,10000</v>
      </c>
      <c r="V77" s="62" t="s">
        <v>208</v>
      </c>
      <c r="W77" s="8"/>
      <c r="X77" s="1">
        <f t="shared" si="66"/>
        <v>576</v>
      </c>
      <c r="Y77" s="25">
        <f t="shared" ref="Y77:Y108" si="77">L77-Z77-AA77-AB77</f>
        <v>73.95</v>
      </c>
      <c r="Z77" s="25">
        <f t="shared" si="72"/>
        <v>19</v>
      </c>
      <c r="AA77" s="25">
        <f t="shared" si="73"/>
        <v>3</v>
      </c>
      <c r="AB77" s="25">
        <f t="shared" si="74"/>
        <v>0.05</v>
      </c>
      <c r="AC77" s="108"/>
      <c r="AD77" s="111"/>
    </row>
    <row r="78" spans="1:30">
      <c r="B78" s="2"/>
      <c r="C78" s="69"/>
      <c r="D78" s="2"/>
      <c r="E78" s="6"/>
      <c r="F78" s="1"/>
      <c r="G78" s="1">
        <v>9</v>
      </c>
      <c r="H78" s="6">
        <v>800</v>
      </c>
      <c r="I78" s="87">
        <v>570</v>
      </c>
      <c r="J78" s="87">
        <v>798</v>
      </c>
      <c r="K78" s="2">
        <f t="shared" si="76"/>
        <v>7</v>
      </c>
      <c r="L78" s="87">
        <v>114</v>
      </c>
      <c r="M78" s="2">
        <v>22</v>
      </c>
      <c r="N78" s="2">
        <v>3</v>
      </c>
      <c r="O78" s="1">
        <v>0</v>
      </c>
      <c r="P78" s="111"/>
      <c r="Q78" s="111">
        <v>0.06</v>
      </c>
      <c r="R78" s="111">
        <v>0.05</v>
      </c>
      <c r="S78" s="51" t="str">
        <f t="shared" si="69"/>
        <v/>
      </c>
      <c r="T78" s="51" t="str">
        <f t="shared" si="70"/>
        <v>200,200,200,200,200,200,200,200,200,200,200,200,200,200,200,200,200,200,200,10000</v>
      </c>
      <c r="U78" s="51" t="str">
        <f t="shared" si="71"/>
        <v>200,200,200,200,200,200,200,200,200,200,200,200,200,200,200,200,200,200,200,200,200,200,200,200,10000</v>
      </c>
      <c r="V78" s="62" t="s">
        <v>208</v>
      </c>
      <c r="W78" s="8"/>
      <c r="X78" s="1">
        <f t="shared" si="66"/>
        <v>684</v>
      </c>
      <c r="Y78" s="25">
        <f t="shared" si="77"/>
        <v>88.89</v>
      </c>
      <c r="Z78" s="25">
        <f t="shared" si="72"/>
        <v>22</v>
      </c>
      <c r="AA78" s="25">
        <f t="shared" si="73"/>
        <v>3.06</v>
      </c>
      <c r="AB78" s="25">
        <f t="shared" si="74"/>
        <v>0.05</v>
      </c>
      <c r="AC78" s="108"/>
      <c r="AD78" s="112"/>
    </row>
    <row r="79" spans="1:30">
      <c r="A79" s="3" t="s">
        <v>213</v>
      </c>
      <c r="B79" s="2">
        <v>11</v>
      </c>
      <c r="C79" s="69" t="s">
        <v>244</v>
      </c>
      <c r="D79" s="5" t="s">
        <v>263</v>
      </c>
      <c r="E79" s="6">
        <v>43200</v>
      </c>
      <c r="F79" s="2">
        <v>5</v>
      </c>
      <c r="G79" s="1">
        <v>1</v>
      </c>
      <c r="H79" s="19">
        <v>210</v>
      </c>
      <c r="I79" s="88">
        <v>400</v>
      </c>
      <c r="J79" s="88">
        <v>560</v>
      </c>
      <c r="K79" s="16">
        <v>3</v>
      </c>
      <c r="L79" s="88">
        <v>80</v>
      </c>
      <c r="M79" s="2">
        <v>8</v>
      </c>
      <c r="N79" s="1">
        <v>0</v>
      </c>
      <c r="O79" s="1">
        <v>0</v>
      </c>
      <c r="P79" s="102"/>
      <c r="Q79" s="111">
        <v>0.05</v>
      </c>
      <c r="R79" s="111">
        <v>0.02</v>
      </c>
      <c r="S79" s="51" t="str">
        <f t="shared" si="69"/>
        <v/>
      </c>
      <c r="T79" s="51" t="str">
        <f t="shared" si="70"/>
        <v>200,200,200,200,200,200,200,200,200,200,200,200,200,200,200,200,200,200,200,200,200,200,200,200,10000</v>
      </c>
      <c r="U79" s="51" t="str">
        <f t="shared" si="71"/>
        <v>200</v>
      </c>
      <c r="V79" s="62" t="s">
        <v>208</v>
      </c>
      <c r="X79" s="1">
        <f t="shared" si="66"/>
        <v>480</v>
      </c>
      <c r="Y79" s="25">
        <f t="shared" si="77"/>
        <v>71.930000000000007</v>
      </c>
      <c r="Z79" s="25">
        <f t="shared" si="72"/>
        <v>8</v>
      </c>
      <c r="AA79" s="25">
        <f t="shared" si="73"/>
        <v>0.05</v>
      </c>
      <c r="AB79" s="25">
        <f t="shared" si="74"/>
        <v>0.02</v>
      </c>
      <c r="AC79" s="108"/>
      <c r="AD79" s="111"/>
    </row>
    <row r="80" spans="1:30">
      <c r="B80" s="2"/>
      <c r="C80" s="69"/>
      <c r="D80" s="2"/>
      <c r="E80" s="6"/>
      <c r="F80" s="1"/>
      <c r="G80" s="1">
        <v>2</v>
      </c>
      <c r="H80" s="19">
        <v>250</v>
      </c>
      <c r="I80" s="88">
        <v>540</v>
      </c>
      <c r="J80" s="88">
        <v>756</v>
      </c>
      <c r="K80" s="2">
        <f t="shared" ref="K80:K87" si="78">K79</f>
        <v>3</v>
      </c>
      <c r="L80" s="88">
        <v>108</v>
      </c>
      <c r="M80" s="2">
        <v>10</v>
      </c>
      <c r="N80" s="1">
        <v>0</v>
      </c>
      <c r="O80" s="1">
        <v>0</v>
      </c>
      <c r="P80" s="102"/>
      <c r="Q80" s="111">
        <v>0.06</v>
      </c>
      <c r="R80" s="111">
        <v>0.02</v>
      </c>
      <c r="S80" s="51" t="str">
        <f t="shared" si="69"/>
        <v/>
      </c>
      <c r="T80" s="51" t="str">
        <f t="shared" si="70"/>
        <v>200,200,200,200,200,200,200,200,200,200,200,200,200,200,200,200,200,200,200,10000</v>
      </c>
      <c r="U80" s="51" t="str">
        <f t="shared" si="71"/>
        <v>200</v>
      </c>
      <c r="V80" s="62" t="s">
        <v>208</v>
      </c>
      <c r="X80" s="1">
        <f t="shared" si="66"/>
        <v>648</v>
      </c>
      <c r="Y80" s="25">
        <f t="shared" si="77"/>
        <v>97.92</v>
      </c>
      <c r="Z80" s="25">
        <f t="shared" si="72"/>
        <v>10</v>
      </c>
      <c r="AA80" s="25">
        <f t="shared" si="73"/>
        <v>0.06</v>
      </c>
      <c r="AB80" s="25">
        <f t="shared" si="74"/>
        <v>0.02</v>
      </c>
      <c r="AC80" s="108"/>
      <c r="AD80" s="112"/>
    </row>
    <row r="81" spans="1:30">
      <c r="B81" s="2"/>
      <c r="C81" s="69"/>
      <c r="D81" s="2"/>
      <c r="E81" s="6"/>
      <c r="F81" s="1"/>
      <c r="G81" s="1">
        <v>3</v>
      </c>
      <c r="H81" s="19">
        <v>300</v>
      </c>
      <c r="I81" s="88">
        <v>680</v>
      </c>
      <c r="J81" s="88">
        <v>952</v>
      </c>
      <c r="K81" s="2">
        <f t="shared" si="78"/>
        <v>3</v>
      </c>
      <c r="L81" s="88">
        <v>136</v>
      </c>
      <c r="M81" s="2">
        <v>13</v>
      </c>
      <c r="N81" s="1">
        <v>0</v>
      </c>
      <c r="O81" s="1">
        <v>0</v>
      </c>
      <c r="P81" s="102"/>
      <c r="Q81" s="111">
        <v>0.08</v>
      </c>
      <c r="R81" s="111">
        <v>0.03</v>
      </c>
      <c r="S81" s="51" t="str">
        <f t="shared" si="69"/>
        <v/>
      </c>
      <c r="T81" s="51" t="str">
        <f t="shared" si="70"/>
        <v>530,530,530,530,530,530,530,530,530,530,530,530,530,530,530,530,530,530,530,10000</v>
      </c>
      <c r="U81" s="51" t="str">
        <f t="shared" si="71"/>
        <v>300</v>
      </c>
      <c r="V81" s="62" t="s">
        <v>208</v>
      </c>
      <c r="X81" s="1">
        <f t="shared" si="66"/>
        <v>816</v>
      </c>
      <c r="Y81" s="25">
        <f t="shared" si="77"/>
        <v>122.89</v>
      </c>
      <c r="Z81" s="25">
        <f t="shared" si="72"/>
        <v>13</v>
      </c>
      <c r="AA81" s="25">
        <f t="shared" si="73"/>
        <v>0.08</v>
      </c>
      <c r="AB81" s="25">
        <f t="shared" si="74"/>
        <v>0.03</v>
      </c>
      <c r="AC81" s="108"/>
      <c r="AD81" s="111"/>
    </row>
    <row r="82" spans="1:30">
      <c r="B82" s="2"/>
      <c r="C82" s="69"/>
      <c r="D82" s="2"/>
      <c r="E82" s="6"/>
      <c r="F82" s="1"/>
      <c r="G82" s="1">
        <v>4</v>
      </c>
      <c r="H82" s="19">
        <v>320</v>
      </c>
      <c r="I82" s="88">
        <v>800</v>
      </c>
      <c r="J82" s="88">
        <v>1120</v>
      </c>
      <c r="K82" s="2">
        <f t="shared" si="78"/>
        <v>3</v>
      </c>
      <c r="L82" s="88">
        <v>160</v>
      </c>
      <c r="M82" s="2">
        <v>16</v>
      </c>
      <c r="N82" s="1">
        <v>0</v>
      </c>
      <c r="O82" s="1">
        <v>0</v>
      </c>
      <c r="P82" s="102"/>
      <c r="Q82" s="111">
        <v>0.1</v>
      </c>
      <c r="R82" s="111">
        <v>0.03</v>
      </c>
      <c r="S82" s="51" t="str">
        <f t="shared" si="69"/>
        <v/>
      </c>
      <c r="T82" s="51" t="str">
        <f t="shared" si="70"/>
        <v>450,450,450,450,450,450,450,450,450,450,450,450,10000</v>
      </c>
      <c r="U82" s="51" t="str">
        <f t="shared" si="71"/>
        <v>300</v>
      </c>
      <c r="V82" s="62" t="s">
        <v>208</v>
      </c>
      <c r="X82" s="1">
        <f t="shared" si="66"/>
        <v>960</v>
      </c>
      <c r="Y82" s="25">
        <f t="shared" si="77"/>
        <v>143.87</v>
      </c>
      <c r="Z82" s="25">
        <f t="shared" si="72"/>
        <v>16</v>
      </c>
      <c r="AA82" s="25">
        <f t="shared" si="73"/>
        <v>0.1</v>
      </c>
      <c r="AB82" s="25">
        <f t="shared" si="74"/>
        <v>0.03</v>
      </c>
      <c r="AC82" s="108"/>
    </row>
    <row r="83" spans="1:30">
      <c r="B83" s="2"/>
      <c r="C83" s="69"/>
      <c r="D83" s="2"/>
      <c r="E83" s="6"/>
      <c r="F83" s="1"/>
      <c r="G83" s="1">
        <v>5</v>
      </c>
      <c r="H83" s="19">
        <v>350</v>
      </c>
      <c r="I83" s="88">
        <v>920</v>
      </c>
      <c r="J83" s="88">
        <v>1188</v>
      </c>
      <c r="K83" s="2">
        <f t="shared" si="78"/>
        <v>3</v>
      </c>
      <c r="L83" s="88">
        <v>184</v>
      </c>
      <c r="M83" s="2">
        <v>18</v>
      </c>
      <c r="N83" s="1">
        <v>0</v>
      </c>
      <c r="O83" s="1">
        <v>0</v>
      </c>
      <c r="P83" s="102"/>
      <c r="Q83" s="111">
        <v>0.15</v>
      </c>
      <c r="R83" s="111">
        <v>0.03</v>
      </c>
      <c r="S83" s="51" t="str">
        <f t="shared" si="69"/>
        <v/>
      </c>
      <c r="T83" s="51" t="str">
        <f t="shared" si="70"/>
        <v>780,780,780,780,780,780,780,780,10000</v>
      </c>
      <c r="U83" s="51" t="str">
        <f t="shared" si="71"/>
        <v>300</v>
      </c>
      <c r="V83" s="62" t="s">
        <v>208</v>
      </c>
      <c r="X83" s="1">
        <f t="shared" si="66"/>
        <v>1054</v>
      </c>
      <c r="Y83" s="25">
        <f t="shared" si="77"/>
        <v>165.82</v>
      </c>
      <c r="Z83" s="25">
        <f t="shared" si="72"/>
        <v>18</v>
      </c>
      <c r="AA83" s="25">
        <f t="shared" si="73"/>
        <v>0.15</v>
      </c>
      <c r="AB83" s="25">
        <f t="shared" si="74"/>
        <v>0.03</v>
      </c>
      <c r="AC83" s="108"/>
    </row>
    <row r="84" spans="1:30">
      <c r="B84" s="2"/>
      <c r="C84" s="69"/>
      <c r="D84" s="2"/>
      <c r="E84" s="6"/>
      <c r="F84" s="1"/>
      <c r="G84" s="1">
        <v>6</v>
      </c>
      <c r="H84" s="19">
        <v>380</v>
      </c>
      <c r="I84" s="88">
        <v>1040</v>
      </c>
      <c r="J84" s="88">
        <v>1456</v>
      </c>
      <c r="K84" s="2">
        <f t="shared" si="78"/>
        <v>3</v>
      </c>
      <c r="L84" s="88">
        <v>208</v>
      </c>
      <c r="M84" s="2">
        <v>20</v>
      </c>
      <c r="N84" s="1">
        <v>0</v>
      </c>
      <c r="O84" s="1">
        <v>0</v>
      </c>
      <c r="P84" s="102"/>
      <c r="Q84" s="111">
        <v>0.15</v>
      </c>
      <c r="R84" s="111">
        <v>0.03</v>
      </c>
      <c r="S84" s="51" t="str">
        <f t="shared" si="69"/>
        <v/>
      </c>
      <c r="T84" s="51" t="str">
        <f t="shared" si="70"/>
        <v>780,780,780,780,780,780,780,780,10000</v>
      </c>
      <c r="U84" s="51" t="str">
        <f t="shared" si="71"/>
        <v>300</v>
      </c>
      <c r="V84" s="62" t="s">
        <v>208</v>
      </c>
      <c r="X84" s="1">
        <f t="shared" si="66"/>
        <v>1248</v>
      </c>
      <c r="Y84" s="25">
        <f t="shared" si="77"/>
        <v>187.82</v>
      </c>
      <c r="Z84" s="25">
        <f t="shared" si="72"/>
        <v>20</v>
      </c>
      <c r="AA84" s="25">
        <f t="shared" si="73"/>
        <v>0.15</v>
      </c>
      <c r="AB84" s="25">
        <f t="shared" si="74"/>
        <v>0.03</v>
      </c>
      <c r="AC84" s="108"/>
    </row>
    <row r="85" spans="1:30">
      <c r="B85" s="2"/>
      <c r="C85" s="69"/>
      <c r="D85" s="2"/>
      <c r="E85" s="6"/>
      <c r="F85" s="1"/>
      <c r="G85" s="1">
        <v>7</v>
      </c>
      <c r="H85" s="19">
        <v>410</v>
      </c>
      <c r="I85" s="88">
        <v>1160</v>
      </c>
      <c r="J85" s="88">
        <v>1624</v>
      </c>
      <c r="K85" s="2">
        <f t="shared" si="78"/>
        <v>3</v>
      </c>
      <c r="L85" s="88">
        <v>232</v>
      </c>
      <c r="M85" s="2">
        <v>23</v>
      </c>
      <c r="N85" s="1">
        <v>0</v>
      </c>
      <c r="O85" s="1">
        <v>0</v>
      </c>
      <c r="P85" s="102"/>
      <c r="Q85" s="112">
        <v>0.2</v>
      </c>
      <c r="R85" s="111">
        <v>0.03</v>
      </c>
      <c r="S85" s="51" t="str">
        <f t="shared" si="69"/>
        <v/>
      </c>
      <c r="T85" s="51" t="str">
        <f t="shared" si="70"/>
        <v>700,750,750,750,750,10000</v>
      </c>
      <c r="U85" s="51" t="str">
        <f t="shared" si="71"/>
        <v>300</v>
      </c>
      <c r="V85" s="62" t="s">
        <v>208</v>
      </c>
      <c r="X85" s="1">
        <f t="shared" si="66"/>
        <v>1392</v>
      </c>
      <c r="Y85" s="25">
        <f t="shared" si="77"/>
        <v>208.77</v>
      </c>
      <c r="Z85" s="25">
        <f t="shared" si="72"/>
        <v>23</v>
      </c>
      <c r="AA85" s="25">
        <f t="shared" si="73"/>
        <v>0.2</v>
      </c>
      <c r="AB85" s="25">
        <f t="shared" si="74"/>
        <v>0.03</v>
      </c>
      <c r="AC85" s="108"/>
    </row>
    <row r="86" spans="1:30">
      <c r="B86" s="2"/>
      <c r="C86" s="69"/>
      <c r="D86" s="2"/>
      <c r="E86" s="6"/>
      <c r="F86" s="1"/>
      <c r="G86" s="1">
        <v>8</v>
      </c>
      <c r="H86" s="19">
        <v>490</v>
      </c>
      <c r="I86" s="88">
        <v>1280</v>
      </c>
      <c r="J86" s="88">
        <v>1792</v>
      </c>
      <c r="K86" s="2">
        <f t="shared" si="78"/>
        <v>3</v>
      </c>
      <c r="L86" s="88">
        <v>256</v>
      </c>
      <c r="M86" s="2">
        <v>25</v>
      </c>
      <c r="N86" s="1">
        <v>0</v>
      </c>
      <c r="O86" s="1">
        <v>0</v>
      </c>
      <c r="P86" s="102"/>
      <c r="Q86" s="112">
        <v>0.2</v>
      </c>
      <c r="R86" s="111">
        <v>0.05</v>
      </c>
      <c r="S86" s="51" t="str">
        <f t="shared" si="69"/>
        <v/>
      </c>
      <c r="T86" s="51" t="str">
        <f t="shared" si="70"/>
        <v>700,750,750,750,750,10000</v>
      </c>
      <c r="U86" s="51" t="str">
        <f t="shared" si="71"/>
        <v>200,200,200,200,200,200,200,200,200,200,200,200,200,200,200,200,200,200,200,200,200,200,200,200,10000</v>
      </c>
      <c r="V86" s="62" t="s">
        <v>208</v>
      </c>
      <c r="X86" s="1">
        <f t="shared" si="66"/>
        <v>1536</v>
      </c>
      <c r="Y86" s="25">
        <f t="shared" si="77"/>
        <v>230.75</v>
      </c>
      <c r="Z86" s="25">
        <f t="shared" si="72"/>
        <v>25</v>
      </c>
      <c r="AA86" s="25">
        <f t="shared" si="73"/>
        <v>0.2</v>
      </c>
      <c r="AB86" s="25">
        <f t="shared" si="74"/>
        <v>0.05</v>
      </c>
      <c r="AC86" s="108"/>
    </row>
    <row r="87" spans="1:30">
      <c r="B87" s="2"/>
      <c r="C87" s="69"/>
      <c r="D87" s="2"/>
      <c r="E87" s="6"/>
      <c r="F87" s="1"/>
      <c r="G87" s="1">
        <v>9</v>
      </c>
      <c r="H87" s="19">
        <v>490</v>
      </c>
      <c r="I87" s="88">
        <v>1520</v>
      </c>
      <c r="J87" s="88">
        <v>2128</v>
      </c>
      <c r="K87" s="2">
        <f t="shared" si="78"/>
        <v>3</v>
      </c>
      <c r="L87" s="88">
        <v>304</v>
      </c>
      <c r="M87" s="2">
        <v>30</v>
      </c>
      <c r="N87" s="1">
        <v>0</v>
      </c>
      <c r="O87" s="1">
        <v>0</v>
      </c>
      <c r="P87" s="102"/>
      <c r="Q87" s="112">
        <v>0.25</v>
      </c>
      <c r="R87" s="111">
        <v>0.05</v>
      </c>
      <c r="S87" s="51" t="str">
        <f t="shared" si="69"/>
        <v/>
      </c>
      <c r="T87" s="51" t="str">
        <f t="shared" si="70"/>
        <v>1125,1125,1125,1125,10000</v>
      </c>
      <c r="U87" s="51" t="str">
        <f t="shared" si="71"/>
        <v>200,200,200,200,200,200,200,200,200,200,200,200,200,200,200,200,200,200,200,200,200,200,200,200,10000</v>
      </c>
      <c r="V87" s="62" t="s">
        <v>208</v>
      </c>
      <c r="X87" s="1">
        <f t="shared" si="66"/>
        <v>1824</v>
      </c>
      <c r="Y87" s="25">
        <f t="shared" si="77"/>
        <v>273.7</v>
      </c>
      <c r="Z87" s="25">
        <f t="shared" si="72"/>
        <v>30</v>
      </c>
      <c r="AA87" s="25">
        <f t="shared" si="73"/>
        <v>0.25</v>
      </c>
      <c r="AB87" s="25">
        <f t="shared" si="74"/>
        <v>0.05</v>
      </c>
      <c r="AC87" s="108"/>
    </row>
    <row r="88" spans="1:30">
      <c r="A88" s="3" t="s">
        <v>213</v>
      </c>
      <c r="B88" s="2">
        <v>13</v>
      </c>
      <c r="C88" s="69" t="s">
        <v>245</v>
      </c>
      <c r="D88" s="5" t="s">
        <v>245</v>
      </c>
      <c r="E88" s="6">
        <v>86400</v>
      </c>
      <c r="F88" s="2">
        <v>7</v>
      </c>
      <c r="G88" s="1">
        <v>1</v>
      </c>
      <c r="H88" s="19">
        <v>1600</v>
      </c>
      <c r="I88" s="88">
        <v>900</v>
      </c>
      <c r="J88" s="88">
        <v>1260</v>
      </c>
      <c r="K88" s="16">
        <v>7</v>
      </c>
      <c r="L88" s="89">
        <v>180</v>
      </c>
      <c r="M88" s="2">
        <v>36</v>
      </c>
      <c r="N88" s="2">
        <v>6</v>
      </c>
      <c r="O88" s="1">
        <v>0</v>
      </c>
      <c r="P88" s="102"/>
      <c r="Q88" s="102"/>
      <c r="R88" s="111">
        <v>0.05</v>
      </c>
      <c r="S88" s="51" t="str">
        <f t="shared" si="69"/>
        <v/>
      </c>
      <c r="T88" s="51" t="str">
        <f t="shared" si="70"/>
        <v/>
      </c>
      <c r="U88" s="51" t="str">
        <f t="shared" si="71"/>
        <v>200,200,200,200,200,200,200,200,200,200,200,200,200,200,200,200,200,200,200,200,200,200,200,200,10000</v>
      </c>
      <c r="V88" s="62" t="s">
        <v>208</v>
      </c>
      <c r="X88" s="1">
        <f t="shared" si="66"/>
        <v>1080</v>
      </c>
      <c r="Y88" s="25">
        <f t="shared" si="77"/>
        <v>137.94999999999999</v>
      </c>
      <c r="Z88" s="25">
        <f t="shared" si="72"/>
        <v>36</v>
      </c>
      <c r="AA88" s="25">
        <f t="shared" si="73"/>
        <v>6</v>
      </c>
      <c r="AB88" s="25">
        <f t="shared" si="74"/>
        <v>0.05</v>
      </c>
      <c r="AC88" s="108"/>
    </row>
    <row r="89" spans="1:30">
      <c r="B89" s="2"/>
      <c r="C89" s="69"/>
      <c r="D89" s="2"/>
      <c r="E89" s="6"/>
      <c r="F89" s="1"/>
      <c r="G89" s="1">
        <v>2</v>
      </c>
      <c r="H89" s="19">
        <v>2100</v>
      </c>
      <c r="I89" s="88">
        <v>1215</v>
      </c>
      <c r="J89" s="88">
        <v>1701</v>
      </c>
      <c r="K89" s="2">
        <f t="shared" ref="K89:K96" si="79">K88</f>
        <v>7</v>
      </c>
      <c r="L89" s="88">
        <v>243</v>
      </c>
      <c r="M89" s="2">
        <v>48</v>
      </c>
      <c r="N89" s="2">
        <v>8</v>
      </c>
      <c r="O89" s="1">
        <v>0</v>
      </c>
      <c r="P89" s="102"/>
      <c r="Q89" s="102"/>
      <c r="R89" s="111">
        <v>0.06</v>
      </c>
      <c r="S89" s="51" t="str">
        <f t="shared" si="69"/>
        <v/>
      </c>
      <c r="T89" s="51" t="str">
        <f t="shared" si="70"/>
        <v/>
      </c>
      <c r="U89" s="51" t="str">
        <f t="shared" si="71"/>
        <v>200,200,200,200,200,200,200,200,200,200,200,200,200,200,200,200,200,200,200,10000</v>
      </c>
      <c r="V89" s="62" t="s">
        <v>208</v>
      </c>
      <c r="X89" s="1">
        <f t="shared" si="66"/>
        <v>1458</v>
      </c>
      <c r="Y89" s="25">
        <f t="shared" si="77"/>
        <v>186.94</v>
      </c>
      <c r="Z89" s="25">
        <f t="shared" si="72"/>
        <v>48</v>
      </c>
      <c r="AA89" s="25">
        <f t="shared" si="73"/>
        <v>8</v>
      </c>
      <c r="AB89" s="25">
        <f t="shared" si="74"/>
        <v>0.06</v>
      </c>
      <c r="AC89" s="108"/>
    </row>
    <row r="90" spans="1:30">
      <c r="B90" s="2"/>
      <c r="C90" s="69"/>
      <c r="D90" s="2"/>
      <c r="E90" s="6"/>
      <c r="F90" s="1"/>
      <c r="G90" s="1">
        <v>3</v>
      </c>
      <c r="H90" s="19">
        <v>2500</v>
      </c>
      <c r="I90" s="88">
        <v>1530</v>
      </c>
      <c r="J90" s="88">
        <v>2142</v>
      </c>
      <c r="K90" s="2">
        <f t="shared" si="79"/>
        <v>7</v>
      </c>
      <c r="L90" s="89">
        <v>306</v>
      </c>
      <c r="M90" s="2">
        <v>61</v>
      </c>
      <c r="N90" s="2">
        <v>10</v>
      </c>
      <c r="O90" s="1">
        <v>0</v>
      </c>
      <c r="P90" s="102"/>
      <c r="Q90" s="102"/>
      <c r="R90" s="111">
        <v>7.0000000000000007E-2</v>
      </c>
      <c r="S90" s="51" t="str">
        <f t="shared" si="69"/>
        <v/>
      </c>
      <c r="T90" s="51" t="str">
        <f t="shared" si="70"/>
        <v/>
      </c>
      <c r="U90" s="51" t="str">
        <f t="shared" si="71"/>
        <v>370,370,370,370,370,370,370,370,370,370,370,370,370,370,370,370,370,370,370,10000</v>
      </c>
      <c r="V90" s="62" t="s">
        <v>208</v>
      </c>
      <c r="X90" s="1">
        <f t="shared" si="66"/>
        <v>1836</v>
      </c>
      <c r="Y90" s="25">
        <f t="shared" si="77"/>
        <v>234.93</v>
      </c>
      <c r="Z90" s="25">
        <f t="shared" si="72"/>
        <v>61</v>
      </c>
      <c r="AA90" s="25">
        <f t="shared" si="73"/>
        <v>10</v>
      </c>
      <c r="AB90" s="25">
        <f t="shared" si="74"/>
        <v>7.0000000000000007E-2</v>
      </c>
      <c r="AC90" s="108"/>
    </row>
    <row r="91" spans="1:30">
      <c r="B91" s="2"/>
      <c r="C91" s="69"/>
      <c r="D91" s="2"/>
      <c r="E91" s="6"/>
      <c r="F91" s="1"/>
      <c r="G91" s="1">
        <v>4</v>
      </c>
      <c r="H91" s="19">
        <v>2800</v>
      </c>
      <c r="I91" s="88">
        <v>1800</v>
      </c>
      <c r="J91" s="88">
        <v>2520</v>
      </c>
      <c r="K91" s="2">
        <f t="shared" si="79"/>
        <v>7</v>
      </c>
      <c r="L91" s="88">
        <v>360</v>
      </c>
      <c r="M91" s="2">
        <v>72</v>
      </c>
      <c r="N91" s="2">
        <v>12</v>
      </c>
      <c r="O91" s="1">
        <v>0</v>
      </c>
      <c r="P91" s="102"/>
      <c r="Q91" s="102"/>
      <c r="R91" s="111">
        <v>0.08</v>
      </c>
      <c r="S91" s="51" t="str">
        <f t="shared" si="69"/>
        <v/>
      </c>
      <c r="T91" s="51" t="str">
        <f t="shared" si="70"/>
        <v/>
      </c>
      <c r="U91" s="51" t="str">
        <f t="shared" si="71"/>
        <v>530,530,530,530,530,530,530,530,530,530,530,530,530,530,530,530,530,530,530,10000</v>
      </c>
      <c r="V91" s="62" t="s">
        <v>208</v>
      </c>
      <c r="X91" s="1">
        <f t="shared" si="66"/>
        <v>2160</v>
      </c>
      <c r="Y91" s="25">
        <f t="shared" si="77"/>
        <v>275.92</v>
      </c>
      <c r="Z91" s="25">
        <f t="shared" si="72"/>
        <v>72</v>
      </c>
      <c r="AA91" s="25">
        <f t="shared" si="73"/>
        <v>12</v>
      </c>
      <c r="AB91" s="25">
        <f t="shared" si="74"/>
        <v>0.08</v>
      </c>
      <c r="AC91" s="108"/>
    </row>
    <row r="92" spans="1:30">
      <c r="B92" s="2"/>
      <c r="C92" s="69"/>
      <c r="D92" s="2"/>
      <c r="E92" s="6"/>
      <c r="F92" s="1"/>
      <c r="G92" s="1">
        <v>5</v>
      </c>
      <c r="H92" s="19">
        <v>3100</v>
      </c>
      <c r="I92" s="88">
        <v>2070</v>
      </c>
      <c r="J92" s="88">
        <v>2898</v>
      </c>
      <c r="K92" s="2">
        <f t="shared" si="79"/>
        <v>7</v>
      </c>
      <c r="L92" s="88">
        <v>414</v>
      </c>
      <c r="M92" s="2">
        <v>82</v>
      </c>
      <c r="N92" s="2">
        <v>13</v>
      </c>
      <c r="O92" s="1">
        <v>0</v>
      </c>
      <c r="P92" s="102"/>
      <c r="Q92" s="102"/>
      <c r="R92" s="111">
        <v>0.08</v>
      </c>
      <c r="S92" s="51" t="str">
        <f t="shared" si="69"/>
        <v/>
      </c>
      <c r="T92" s="51" t="str">
        <f t="shared" si="70"/>
        <v/>
      </c>
      <c r="U92" s="51" t="str">
        <f t="shared" si="71"/>
        <v>530,530,530,530,530,530,530,530,530,530,530,530,530,530,530,530,530,530,530,10000</v>
      </c>
      <c r="V92" s="62" t="s">
        <v>208</v>
      </c>
      <c r="X92" s="1">
        <f t="shared" si="66"/>
        <v>2484</v>
      </c>
      <c r="Y92" s="25">
        <f t="shared" si="77"/>
        <v>318.92</v>
      </c>
      <c r="Z92" s="25">
        <f t="shared" si="72"/>
        <v>82</v>
      </c>
      <c r="AA92" s="25">
        <f t="shared" si="73"/>
        <v>13</v>
      </c>
      <c r="AB92" s="25">
        <f t="shared" si="74"/>
        <v>0.08</v>
      </c>
      <c r="AC92" s="108"/>
    </row>
    <row r="93" spans="1:30">
      <c r="B93" s="2"/>
      <c r="C93" s="69"/>
      <c r="D93" s="2"/>
      <c r="E93" s="6"/>
      <c r="F93" s="1"/>
      <c r="G93" s="1">
        <v>6</v>
      </c>
      <c r="H93" s="19">
        <v>3400</v>
      </c>
      <c r="I93" s="88">
        <v>2340</v>
      </c>
      <c r="J93" s="88">
        <v>3276</v>
      </c>
      <c r="K93" s="2">
        <f t="shared" si="79"/>
        <v>7</v>
      </c>
      <c r="L93" s="88">
        <v>468</v>
      </c>
      <c r="M93" s="2">
        <v>93</v>
      </c>
      <c r="N93" s="2">
        <v>15</v>
      </c>
      <c r="O93" s="1">
        <v>0</v>
      </c>
      <c r="P93" s="102"/>
      <c r="Q93" s="102"/>
      <c r="R93" s="111">
        <v>0.09</v>
      </c>
      <c r="S93" s="51" t="str">
        <f t="shared" si="69"/>
        <v/>
      </c>
      <c r="T93" s="51" t="str">
        <f t="shared" si="70"/>
        <v/>
      </c>
      <c r="U93" s="51" t="str">
        <f t="shared" si="71"/>
        <v>680,680,680,680,680,680,680,680,680,680,680,680,680,680,680,680,680,680,680,10000</v>
      </c>
      <c r="V93" s="62" t="s">
        <v>208</v>
      </c>
      <c r="W93" s="8"/>
      <c r="X93" s="1">
        <f t="shared" si="66"/>
        <v>2808</v>
      </c>
      <c r="Y93" s="25">
        <f t="shared" si="77"/>
        <v>359.91</v>
      </c>
      <c r="Z93" s="25">
        <f t="shared" ref="Z93:Z114" si="80">M93+P93</f>
        <v>93</v>
      </c>
      <c r="AA93" s="25">
        <f t="shared" ref="AA93:AA114" si="81">N93+Q93</f>
        <v>15</v>
      </c>
      <c r="AB93" s="25">
        <f t="shared" ref="AB93:AB114" si="82">O93+R93</f>
        <v>0.09</v>
      </c>
      <c r="AC93" s="108"/>
    </row>
    <row r="94" spans="1:30">
      <c r="B94" s="2"/>
      <c r="C94" s="69"/>
      <c r="D94" s="2"/>
      <c r="E94" s="6"/>
      <c r="F94" s="1"/>
      <c r="G94" s="1">
        <v>7</v>
      </c>
      <c r="H94" s="19">
        <v>3700</v>
      </c>
      <c r="I94" s="88">
        <v>2610</v>
      </c>
      <c r="J94" s="88">
        <v>3654</v>
      </c>
      <c r="K94" s="2">
        <f t="shared" si="79"/>
        <v>7</v>
      </c>
      <c r="L94" s="88">
        <v>522</v>
      </c>
      <c r="M94" s="2">
        <v>104</v>
      </c>
      <c r="N94" s="2">
        <v>17</v>
      </c>
      <c r="O94" s="1">
        <v>0</v>
      </c>
      <c r="P94" s="102"/>
      <c r="Q94" s="102"/>
      <c r="R94" s="111">
        <v>0.09</v>
      </c>
      <c r="S94" s="51" t="str">
        <f t="shared" si="69"/>
        <v/>
      </c>
      <c r="T94" s="51" t="str">
        <f t="shared" si="70"/>
        <v/>
      </c>
      <c r="U94" s="51" t="str">
        <f t="shared" si="71"/>
        <v>680,680,680,680,680,680,680,680,680,680,680,680,680,680,680,680,680,680,680,10000</v>
      </c>
      <c r="V94" s="62" t="s">
        <v>208</v>
      </c>
      <c r="W94" s="8"/>
      <c r="X94" s="1">
        <f t="shared" si="66"/>
        <v>3132</v>
      </c>
      <c r="Y94" s="25">
        <f t="shared" si="77"/>
        <v>400.91</v>
      </c>
      <c r="Z94" s="25">
        <f t="shared" si="80"/>
        <v>104</v>
      </c>
      <c r="AA94" s="25">
        <f t="shared" si="81"/>
        <v>17</v>
      </c>
      <c r="AB94" s="25">
        <f t="shared" si="82"/>
        <v>0.09</v>
      </c>
      <c r="AC94" s="108"/>
      <c r="AD94" s="112"/>
    </row>
    <row r="95" spans="1:30">
      <c r="B95" s="2"/>
      <c r="C95" s="69"/>
      <c r="D95" s="2"/>
      <c r="E95" s="6"/>
      <c r="F95" s="1"/>
      <c r="G95" s="1">
        <v>8</v>
      </c>
      <c r="H95" s="19">
        <v>4600</v>
      </c>
      <c r="I95" s="88">
        <v>2880</v>
      </c>
      <c r="J95" s="88">
        <v>4032</v>
      </c>
      <c r="K95" s="2">
        <f t="shared" si="79"/>
        <v>7</v>
      </c>
      <c r="L95" s="88">
        <v>576</v>
      </c>
      <c r="M95" s="2">
        <v>115</v>
      </c>
      <c r="N95" s="2">
        <v>19</v>
      </c>
      <c r="O95" s="1">
        <v>0</v>
      </c>
      <c r="P95" s="102"/>
      <c r="Q95" s="102"/>
      <c r="R95" s="111">
        <v>0.1</v>
      </c>
      <c r="S95" s="51" t="str">
        <f t="shared" si="69"/>
        <v/>
      </c>
      <c r="T95" s="51" t="str">
        <f t="shared" si="70"/>
        <v/>
      </c>
      <c r="U95" s="51" t="str">
        <f t="shared" si="71"/>
        <v>450,450,450,450,450,450,450,450,450,450,450,450,10000</v>
      </c>
      <c r="V95" s="62" t="s">
        <v>208</v>
      </c>
      <c r="W95" s="8"/>
      <c r="X95" s="1">
        <f t="shared" si="66"/>
        <v>3456</v>
      </c>
      <c r="Y95" s="25">
        <f t="shared" si="77"/>
        <v>441.9</v>
      </c>
      <c r="Z95" s="25">
        <f t="shared" si="80"/>
        <v>115</v>
      </c>
      <c r="AA95" s="25">
        <f t="shared" si="81"/>
        <v>19</v>
      </c>
      <c r="AB95" s="25">
        <f t="shared" si="82"/>
        <v>0.1</v>
      </c>
      <c r="AC95" s="108"/>
      <c r="AD95" s="112"/>
    </row>
    <row r="96" spans="1:30">
      <c r="B96" s="2"/>
      <c r="C96" s="69"/>
      <c r="D96" s="2"/>
      <c r="E96" s="6"/>
      <c r="F96" s="1"/>
      <c r="G96" s="1">
        <v>9</v>
      </c>
      <c r="H96" s="19">
        <v>4600</v>
      </c>
      <c r="I96" s="88">
        <v>3420</v>
      </c>
      <c r="J96" s="88">
        <v>4788</v>
      </c>
      <c r="K96" s="2">
        <f t="shared" si="79"/>
        <v>7</v>
      </c>
      <c r="L96" s="88">
        <v>684</v>
      </c>
      <c r="M96" s="2">
        <v>136</v>
      </c>
      <c r="N96" s="2">
        <v>22</v>
      </c>
      <c r="O96" s="1">
        <v>0</v>
      </c>
      <c r="P96" s="102"/>
      <c r="Q96" s="102"/>
      <c r="R96" s="111">
        <v>0.1</v>
      </c>
      <c r="S96" s="51" t="str">
        <f t="shared" si="69"/>
        <v/>
      </c>
      <c r="T96" s="51" t="str">
        <f t="shared" si="70"/>
        <v/>
      </c>
      <c r="U96" s="51" t="str">
        <f t="shared" si="71"/>
        <v>450,450,450,450,450,450,450,450,450,450,450,450,10000</v>
      </c>
      <c r="V96" s="62" t="s">
        <v>208</v>
      </c>
      <c r="W96" s="8"/>
      <c r="X96" s="1">
        <f t="shared" si="66"/>
        <v>4104</v>
      </c>
      <c r="Y96" s="25">
        <f t="shared" si="77"/>
        <v>525.9</v>
      </c>
      <c r="Z96" s="25">
        <f t="shared" si="80"/>
        <v>136</v>
      </c>
      <c r="AA96" s="25">
        <f t="shared" si="81"/>
        <v>22</v>
      </c>
      <c r="AB96" s="25">
        <f t="shared" si="82"/>
        <v>0.1</v>
      </c>
      <c r="AC96" s="108"/>
      <c r="AD96" s="111"/>
    </row>
    <row r="97" spans="1:30">
      <c r="A97" s="3" t="s">
        <v>213</v>
      </c>
      <c r="B97" s="2">
        <v>12</v>
      </c>
      <c r="C97" s="69" t="s">
        <v>243</v>
      </c>
      <c r="D97" s="5" t="s">
        <v>243</v>
      </c>
      <c r="E97" s="6">
        <v>43200</v>
      </c>
      <c r="F97" s="2">
        <v>6</v>
      </c>
      <c r="G97" s="68">
        <f t="shared" ref="G97:N104" si="83">G70</f>
        <v>1</v>
      </c>
      <c r="H97" s="68">
        <f t="shared" si="83"/>
        <v>320</v>
      </c>
      <c r="I97" s="68">
        <f t="shared" si="83"/>
        <v>150</v>
      </c>
      <c r="J97" s="68">
        <f t="shared" si="83"/>
        <v>210</v>
      </c>
      <c r="K97" s="68">
        <f t="shared" si="83"/>
        <v>7</v>
      </c>
      <c r="L97" s="68">
        <f t="shared" si="83"/>
        <v>30</v>
      </c>
      <c r="M97" s="68">
        <f t="shared" si="83"/>
        <v>6</v>
      </c>
      <c r="N97" s="68">
        <f t="shared" si="83"/>
        <v>1</v>
      </c>
      <c r="O97" s="68">
        <f t="shared" ref="O97:R97" si="84">O70</f>
        <v>0</v>
      </c>
      <c r="P97" s="68">
        <f t="shared" si="84"/>
        <v>0</v>
      </c>
      <c r="Q97" s="68">
        <f t="shared" si="84"/>
        <v>0</v>
      </c>
      <c r="R97" s="68">
        <f t="shared" si="84"/>
        <v>0.02</v>
      </c>
      <c r="S97" s="68" t="str">
        <f t="shared" ref="S97:U97" si="85">S70</f>
        <v/>
      </c>
      <c r="T97" s="68" t="str">
        <f t="shared" si="85"/>
        <v/>
      </c>
      <c r="U97" s="68" t="str">
        <f t="shared" si="85"/>
        <v>200</v>
      </c>
      <c r="V97" s="62" t="s">
        <v>208</v>
      </c>
      <c r="X97" s="1">
        <f t="shared" ref="X97:X105" si="86">(I97+J97)/2</f>
        <v>180</v>
      </c>
      <c r="Y97" s="25">
        <f t="shared" ref="Y97:Y105" si="87">L97-Z97-AA97-AB97</f>
        <v>22.98</v>
      </c>
      <c r="Z97" s="25">
        <f t="shared" si="80"/>
        <v>6</v>
      </c>
      <c r="AA97" s="25">
        <f t="shared" si="81"/>
        <v>1</v>
      </c>
      <c r="AB97" s="25">
        <f t="shared" si="82"/>
        <v>0.02</v>
      </c>
      <c r="AC97" s="108"/>
      <c r="AD97" s="112"/>
    </row>
    <row r="98" spans="1:30">
      <c r="B98" s="2"/>
      <c r="C98" s="69"/>
      <c r="D98" s="2"/>
      <c r="E98" s="6"/>
      <c r="F98" s="1"/>
      <c r="G98" s="68">
        <f t="shared" si="83"/>
        <v>2</v>
      </c>
      <c r="H98" s="68">
        <f t="shared" si="83"/>
        <v>400</v>
      </c>
      <c r="I98" s="68">
        <f t="shared" si="83"/>
        <v>205</v>
      </c>
      <c r="J98" s="68">
        <f t="shared" si="83"/>
        <v>287</v>
      </c>
      <c r="K98" s="68">
        <f t="shared" si="83"/>
        <v>7</v>
      </c>
      <c r="L98" s="68">
        <f t="shared" si="83"/>
        <v>41</v>
      </c>
      <c r="M98" s="68">
        <f t="shared" si="83"/>
        <v>8</v>
      </c>
      <c r="N98" s="68">
        <f t="shared" si="83"/>
        <v>1</v>
      </c>
      <c r="O98" s="69">
        <v>0</v>
      </c>
      <c r="P98" s="68">
        <f t="shared" ref="P98:U98" si="88">P71</f>
        <v>0</v>
      </c>
      <c r="Q98" s="68">
        <f t="shared" si="88"/>
        <v>0.06</v>
      </c>
      <c r="R98" s="68">
        <f t="shared" si="88"/>
        <v>0.02</v>
      </c>
      <c r="S98" s="68" t="str">
        <f t="shared" si="88"/>
        <v/>
      </c>
      <c r="T98" s="68" t="str">
        <f t="shared" si="88"/>
        <v>200,200,200,200,200,200,200,200,200,200,200,200,200,200,200,200,200,200,200,10000</v>
      </c>
      <c r="U98" s="68" t="str">
        <f t="shared" si="88"/>
        <v>200</v>
      </c>
      <c r="V98" s="62" t="s">
        <v>208</v>
      </c>
      <c r="X98" s="1">
        <f t="shared" si="86"/>
        <v>246</v>
      </c>
      <c r="Y98" s="25">
        <f t="shared" si="87"/>
        <v>31.92</v>
      </c>
      <c r="Z98" s="25">
        <f t="shared" si="80"/>
        <v>8</v>
      </c>
      <c r="AA98" s="25">
        <f t="shared" si="81"/>
        <v>1.06</v>
      </c>
      <c r="AB98" s="25">
        <f t="shared" si="82"/>
        <v>0.02</v>
      </c>
      <c r="AC98" s="108"/>
      <c r="AD98" s="112"/>
    </row>
    <row r="99" spans="1:30">
      <c r="B99" s="2"/>
      <c r="C99" s="69"/>
      <c r="D99" s="2"/>
      <c r="E99" s="6"/>
      <c r="F99" s="1"/>
      <c r="G99" s="68">
        <f t="shared" si="83"/>
        <v>3</v>
      </c>
      <c r="H99" s="68">
        <f t="shared" si="83"/>
        <v>470</v>
      </c>
      <c r="I99" s="68">
        <f t="shared" si="83"/>
        <v>255</v>
      </c>
      <c r="J99" s="68">
        <f t="shared" si="83"/>
        <v>357</v>
      </c>
      <c r="K99" s="68">
        <f t="shared" si="83"/>
        <v>7</v>
      </c>
      <c r="L99" s="68">
        <f t="shared" si="83"/>
        <v>51</v>
      </c>
      <c r="M99" s="68">
        <f t="shared" si="83"/>
        <v>10</v>
      </c>
      <c r="N99" s="68">
        <f t="shared" si="83"/>
        <v>1</v>
      </c>
      <c r="O99" s="69">
        <v>0</v>
      </c>
      <c r="P99" s="68">
        <f t="shared" ref="P99:U99" si="89">P72</f>
        <v>0</v>
      </c>
      <c r="Q99" s="68">
        <f t="shared" si="89"/>
        <v>0.08</v>
      </c>
      <c r="R99" s="68">
        <f t="shared" si="89"/>
        <v>0.02</v>
      </c>
      <c r="S99" s="68" t="str">
        <f t="shared" si="89"/>
        <v/>
      </c>
      <c r="T99" s="68" t="str">
        <f t="shared" si="89"/>
        <v>530,530,530,530,530,530,530,530,530,530,530,530,530,530,530,530,530,530,530,10000</v>
      </c>
      <c r="U99" s="68" t="str">
        <f t="shared" si="89"/>
        <v>200</v>
      </c>
      <c r="V99" s="62" t="s">
        <v>208</v>
      </c>
      <c r="X99" s="1">
        <f t="shared" si="86"/>
        <v>306</v>
      </c>
      <c r="Y99" s="25">
        <f t="shared" si="87"/>
        <v>39.9</v>
      </c>
      <c r="Z99" s="25">
        <f t="shared" si="80"/>
        <v>10</v>
      </c>
      <c r="AA99" s="25">
        <f t="shared" si="81"/>
        <v>1.08</v>
      </c>
      <c r="AB99" s="25">
        <f t="shared" si="82"/>
        <v>0.02</v>
      </c>
      <c r="AC99" s="108"/>
      <c r="AD99" s="112"/>
    </row>
    <row r="100" spans="1:30">
      <c r="B100" s="2"/>
      <c r="C100" s="69"/>
      <c r="D100" s="2"/>
      <c r="E100" s="6"/>
      <c r="F100" s="1"/>
      <c r="G100" s="68">
        <f t="shared" si="83"/>
        <v>4</v>
      </c>
      <c r="H100" s="68">
        <f t="shared" si="83"/>
        <v>500</v>
      </c>
      <c r="I100" s="68">
        <f t="shared" si="83"/>
        <v>300</v>
      </c>
      <c r="J100" s="68">
        <f t="shared" si="83"/>
        <v>420</v>
      </c>
      <c r="K100" s="68">
        <f t="shared" si="83"/>
        <v>7</v>
      </c>
      <c r="L100" s="68">
        <f t="shared" si="83"/>
        <v>60</v>
      </c>
      <c r="M100" s="68">
        <f t="shared" si="83"/>
        <v>12</v>
      </c>
      <c r="N100" s="68">
        <f t="shared" si="83"/>
        <v>2</v>
      </c>
      <c r="O100" s="69">
        <v>0</v>
      </c>
      <c r="P100" s="68">
        <f t="shared" ref="P100:U100" si="90">P73</f>
        <v>0</v>
      </c>
      <c r="Q100" s="68">
        <f t="shared" si="90"/>
        <v>0</v>
      </c>
      <c r="R100" s="68">
        <f t="shared" si="90"/>
        <v>0.02</v>
      </c>
      <c r="S100" s="68" t="str">
        <f t="shared" si="90"/>
        <v/>
      </c>
      <c r="T100" s="68" t="str">
        <f t="shared" si="90"/>
        <v/>
      </c>
      <c r="U100" s="68" t="str">
        <f t="shared" si="90"/>
        <v>200</v>
      </c>
      <c r="V100" s="62" t="s">
        <v>208</v>
      </c>
      <c r="X100" s="1">
        <f t="shared" si="86"/>
        <v>360</v>
      </c>
      <c r="Y100" s="25">
        <f t="shared" si="87"/>
        <v>45.98</v>
      </c>
      <c r="Z100" s="25">
        <f t="shared" si="80"/>
        <v>12</v>
      </c>
      <c r="AA100" s="25">
        <f t="shared" si="81"/>
        <v>2</v>
      </c>
      <c r="AB100" s="25">
        <f t="shared" si="82"/>
        <v>0.02</v>
      </c>
      <c r="AC100" s="108"/>
      <c r="AD100" s="112"/>
    </row>
    <row r="101" spans="1:30">
      <c r="B101" s="2"/>
      <c r="C101" s="69"/>
      <c r="D101" s="2"/>
      <c r="E101" s="6"/>
      <c r="F101" s="1"/>
      <c r="G101" s="68">
        <f t="shared" si="83"/>
        <v>5</v>
      </c>
      <c r="H101" s="68">
        <f t="shared" si="83"/>
        <v>600</v>
      </c>
      <c r="I101" s="68">
        <f t="shared" si="83"/>
        <v>345</v>
      </c>
      <c r="J101" s="68">
        <f t="shared" si="83"/>
        <v>483</v>
      </c>
      <c r="K101" s="68">
        <f t="shared" si="83"/>
        <v>7</v>
      </c>
      <c r="L101" s="68">
        <f t="shared" si="83"/>
        <v>69</v>
      </c>
      <c r="M101" s="68">
        <f t="shared" si="83"/>
        <v>13</v>
      </c>
      <c r="N101" s="68">
        <f t="shared" si="83"/>
        <v>2</v>
      </c>
      <c r="O101" s="69">
        <v>0</v>
      </c>
      <c r="P101" s="68">
        <f t="shared" ref="P101:U101" si="91">P74</f>
        <v>0</v>
      </c>
      <c r="Q101" s="68">
        <f t="shared" si="91"/>
        <v>0.06</v>
      </c>
      <c r="R101" s="68">
        <f t="shared" si="91"/>
        <v>0.05</v>
      </c>
      <c r="S101" s="68" t="str">
        <f t="shared" si="91"/>
        <v/>
      </c>
      <c r="T101" s="68" t="str">
        <f t="shared" si="91"/>
        <v>200,200,200,200,200,200,200,200,200,200,200,200,200,200,200,200,200,200,200,10000</v>
      </c>
      <c r="U101" s="68" t="str">
        <f t="shared" si="91"/>
        <v>200,200,200,200,200,200,200,200,200,200,200,200,200,200,200,200,200,200,200,200,200,200,200,200,10000</v>
      </c>
      <c r="V101" s="62" t="s">
        <v>208</v>
      </c>
      <c r="X101" s="1">
        <f t="shared" si="86"/>
        <v>414</v>
      </c>
      <c r="Y101" s="25">
        <f t="shared" si="87"/>
        <v>53.89</v>
      </c>
      <c r="Z101" s="25">
        <f t="shared" si="80"/>
        <v>13</v>
      </c>
      <c r="AA101" s="25">
        <f t="shared" si="81"/>
        <v>2.06</v>
      </c>
      <c r="AB101" s="25">
        <f t="shared" si="82"/>
        <v>0.05</v>
      </c>
      <c r="AC101" s="108"/>
      <c r="AD101" s="112"/>
    </row>
    <row r="102" spans="1:30">
      <c r="B102" s="2"/>
      <c r="C102" s="69"/>
      <c r="D102" s="2"/>
      <c r="E102" s="6"/>
      <c r="F102" s="1"/>
      <c r="G102" s="68">
        <f t="shared" si="83"/>
        <v>6</v>
      </c>
      <c r="H102" s="68">
        <f t="shared" si="83"/>
        <v>600</v>
      </c>
      <c r="I102" s="68">
        <f t="shared" si="83"/>
        <v>390</v>
      </c>
      <c r="J102" s="68">
        <f t="shared" si="83"/>
        <v>546</v>
      </c>
      <c r="K102" s="68">
        <f t="shared" si="83"/>
        <v>7</v>
      </c>
      <c r="L102" s="68">
        <f t="shared" si="83"/>
        <v>78</v>
      </c>
      <c r="M102" s="68">
        <f t="shared" si="83"/>
        <v>15</v>
      </c>
      <c r="N102" s="68">
        <f t="shared" si="83"/>
        <v>2</v>
      </c>
      <c r="O102" s="69">
        <v>0</v>
      </c>
      <c r="P102" s="68">
        <f t="shared" ref="P102:U102" si="92">P75</f>
        <v>0</v>
      </c>
      <c r="Q102" s="68">
        <f t="shared" si="92"/>
        <v>0.08</v>
      </c>
      <c r="R102" s="68">
        <f t="shared" si="92"/>
        <v>0.05</v>
      </c>
      <c r="S102" s="68" t="str">
        <f t="shared" si="92"/>
        <v/>
      </c>
      <c r="T102" s="68" t="str">
        <f t="shared" si="92"/>
        <v>530,530,530,530,530,530,530,530,530,530,530,530,530,530,530,530,530,530,530,10000</v>
      </c>
      <c r="U102" s="68" t="str">
        <f t="shared" si="92"/>
        <v>200,200,200,200,200,200,200,200,200,200,200,200,200,200,200,200,200,200,200,200,200,200,200,200,10000</v>
      </c>
      <c r="V102" s="62" t="s">
        <v>208</v>
      </c>
      <c r="X102" s="1">
        <f t="shared" si="86"/>
        <v>468</v>
      </c>
      <c r="Y102" s="25">
        <f t="shared" si="87"/>
        <v>60.870000000000005</v>
      </c>
      <c r="Z102" s="25">
        <f t="shared" si="80"/>
        <v>15</v>
      </c>
      <c r="AA102" s="25">
        <f t="shared" si="81"/>
        <v>2.08</v>
      </c>
      <c r="AB102" s="25">
        <f t="shared" si="82"/>
        <v>0.05</v>
      </c>
      <c r="AC102" s="108"/>
      <c r="AD102" s="113"/>
    </row>
    <row r="103" spans="1:30">
      <c r="B103" s="2"/>
      <c r="C103" s="69"/>
      <c r="D103" s="2"/>
      <c r="E103" s="6"/>
      <c r="F103" s="1"/>
      <c r="G103" s="68">
        <f t="shared" si="83"/>
        <v>7</v>
      </c>
      <c r="H103" s="68">
        <f t="shared" si="83"/>
        <v>700</v>
      </c>
      <c r="I103" s="68">
        <f t="shared" si="83"/>
        <v>435</v>
      </c>
      <c r="J103" s="68">
        <f t="shared" si="83"/>
        <v>609</v>
      </c>
      <c r="K103" s="68">
        <f t="shared" si="83"/>
        <v>7</v>
      </c>
      <c r="L103" s="68">
        <f t="shared" si="83"/>
        <v>87</v>
      </c>
      <c r="M103" s="68">
        <f t="shared" si="83"/>
        <v>17</v>
      </c>
      <c r="N103" s="68">
        <f t="shared" si="83"/>
        <v>2</v>
      </c>
      <c r="O103" s="69">
        <v>0</v>
      </c>
      <c r="P103" s="68">
        <f t="shared" ref="P103:U103" si="93">P76</f>
        <v>0</v>
      </c>
      <c r="Q103" s="68">
        <f t="shared" si="93"/>
        <v>0.1</v>
      </c>
      <c r="R103" s="68">
        <f t="shared" si="93"/>
        <v>0.05</v>
      </c>
      <c r="S103" s="68" t="str">
        <f t="shared" si="93"/>
        <v/>
      </c>
      <c r="T103" s="68" t="str">
        <f t="shared" si="93"/>
        <v>450,450,450,450,450,450,450,450,450,450,450,450,10000</v>
      </c>
      <c r="U103" s="68" t="str">
        <f t="shared" si="93"/>
        <v>200,200,200,200,200,200,200,200,200,200,200,200,200,200,200,200,200,200,200,200,200,200,200,200,10000</v>
      </c>
      <c r="V103" s="62" t="s">
        <v>208</v>
      </c>
      <c r="X103" s="1">
        <f t="shared" si="86"/>
        <v>522</v>
      </c>
      <c r="Y103" s="25">
        <f t="shared" si="87"/>
        <v>67.850000000000009</v>
      </c>
      <c r="Z103" s="25">
        <f t="shared" si="80"/>
        <v>17</v>
      </c>
      <c r="AA103" s="25">
        <f t="shared" si="81"/>
        <v>2.1</v>
      </c>
      <c r="AB103" s="25">
        <f t="shared" si="82"/>
        <v>0.05</v>
      </c>
      <c r="AC103" s="108"/>
      <c r="AD103" s="108"/>
    </row>
    <row r="104" spans="1:30">
      <c r="B104" s="2"/>
      <c r="C104" s="69"/>
      <c r="D104" s="2"/>
      <c r="E104" s="6"/>
      <c r="F104" s="1"/>
      <c r="G104" s="68">
        <f t="shared" si="83"/>
        <v>8</v>
      </c>
      <c r="H104" s="68">
        <f t="shared" si="83"/>
        <v>800</v>
      </c>
      <c r="I104" s="68">
        <f t="shared" si="83"/>
        <v>480</v>
      </c>
      <c r="J104" s="68">
        <f t="shared" si="83"/>
        <v>672</v>
      </c>
      <c r="K104" s="68">
        <f t="shared" si="83"/>
        <v>7</v>
      </c>
      <c r="L104" s="68">
        <f t="shared" si="83"/>
        <v>96</v>
      </c>
      <c r="M104" s="68">
        <f t="shared" si="83"/>
        <v>19</v>
      </c>
      <c r="N104" s="68">
        <f t="shared" si="83"/>
        <v>3</v>
      </c>
      <c r="O104" s="69">
        <v>0</v>
      </c>
      <c r="P104" s="68">
        <f t="shared" ref="P104:U104" si="94">P77</f>
        <v>0</v>
      </c>
      <c r="Q104" s="68">
        <f t="shared" si="94"/>
        <v>0</v>
      </c>
      <c r="R104" s="68">
        <f t="shared" si="94"/>
        <v>0.05</v>
      </c>
      <c r="S104" s="68" t="str">
        <f t="shared" si="94"/>
        <v/>
      </c>
      <c r="T104" s="68" t="str">
        <f t="shared" si="94"/>
        <v/>
      </c>
      <c r="U104" s="68" t="str">
        <f t="shared" si="94"/>
        <v>200,200,200,200,200,200,200,200,200,200,200,200,200,200,200,200,200,200,200,200,200,200,200,200,10000</v>
      </c>
      <c r="V104" s="62" t="s">
        <v>208</v>
      </c>
      <c r="X104" s="1">
        <f t="shared" si="86"/>
        <v>576</v>
      </c>
      <c r="Y104" s="25">
        <f t="shared" si="87"/>
        <v>73.95</v>
      </c>
      <c r="Z104" s="25">
        <f t="shared" si="80"/>
        <v>19</v>
      </c>
      <c r="AA104" s="25">
        <f t="shared" si="81"/>
        <v>3</v>
      </c>
      <c r="AB104" s="25">
        <f t="shared" si="82"/>
        <v>0.05</v>
      </c>
      <c r="AC104" s="108"/>
      <c r="AD104" s="108"/>
    </row>
    <row r="105" spans="1:30">
      <c r="B105" s="2"/>
      <c r="C105" s="69"/>
      <c r="D105" s="2"/>
      <c r="E105" s="6"/>
      <c r="F105" s="1"/>
      <c r="G105" s="68">
        <v>9</v>
      </c>
      <c r="H105" s="68">
        <f t="shared" ref="H105:N105" si="95">H78</f>
        <v>800</v>
      </c>
      <c r="I105" s="68">
        <f t="shared" si="95"/>
        <v>570</v>
      </c>
      <c r="J105" s="68">
        <f t="shared" si="95"/>
        <v>798</v>
      </c>
      <c r="K105" s="68">
        <f t="shared" si="95"/>
        <v>7</v>
      </c>
      <c r="L105" s="68">
        <f t="shared" si="95"/>
        <v>114</v>
      </c>
      <c r="M105" s="68">
        <f t="shared" si="95"/>
        <v>22</v>
      </c>
      <c r="N105" s="68">
        <f t="shared" si="95"/>
        <v>3</v>
      </c>
      <c r="O105" s="69">
        <v>0</v>
      </c>
      <c r="P105" s="68">
        <f t="shared" ref="P105:U105" si="96">P78</f>
        <v>0</v>
      </c>
      <c r="Q105" s="68">
        <f t="shared" si="96"/>
        <v>0.06</v>
      </c>
      <c r="R105" s="68">
        <f t="shared" si="96"/>
        <v>0.05</v>
      </c>
      <c r="S105" s="68" t="str">
        <f t="shared" si="96"/>
        <v/>
      </c>
      <c r="T105" s="68" t="str">
        <f t="shared" si="96"/>
        <v>200,200,200,200,200,200,200,200,200,200,200,200,200,200,200,200,200,200,200,10000</v>
      </c>
      <c r="U105" s="68" t="str">
        <f t="shared" si="96"/>
        <v>200,200,200,200,200,200,200,200,200,200,200,200,200,200,200,200,200,200,200,200,200,200,200,200,10000</v>
      </c>
      <c r="V105" s="62" t="s">
        <v>208</v>
      </c>
      <c r="X105" s="1">
        <f t="shared" si="86"/>
        <v>684</v>
      </c>
      <c r="Y105" s="25">
        <f t="shared" si="87"/>
        <v>88.89</v>
      </c>
      <c r="Z105" s="25">
        <f t="shared" si="80"/>
        <v>22</v>
      </c>
      <c r="AA105" s="25">
        <f t="shared" si="81"/>
        <v>3.06</v>
      </c>
      <c r="AB105" s="25">
        <f t="shared" si="82"/>
        <v>0.05</v>
      </c>
      <c r="AC105" s="108"/>
      <c r="AD105" s="108"/>
    </row>
    <row r="106" spans="1:30">
      <c r="B106" s="73">
        <v>14</v>
      </c>
      <c r="C106" s="77" t="s">
        <v>246</v>
      </c>
      <c r="D106" s="78" t="s">
        <v>246</v>
      </c>
      <c r="E106" s="96">
        <v>0</v>
      </c>
      <c r="F106" s="73">
        <v>2</v>
      </c>
      <c r="G106" s="74">
        <v>1</v>
      </c>
      <c r="H106" s="74">
        <v>0</v>
      </c>
      <c r="I106" s="73">
        <v>130</v>
      </c>
      <c r="J106" s="73">
        <v>170</v>
      </c>
      <c r="K106" s="76">
        <v>4</v>
      </c>
      <c r="L106" s="75">
        <v>20</v>
      </c>
      <c r="M106" s="75">
        <v>2</v>
      </c>
      <c r="N106" s="73">
        <v>0</v>
      </c>
      <c r="O106" s="77">
        <v>0</v>
      </c>
      <c r="P106" s="108"/>
      <c r="Q106" s="108"/>
      <c r="R106" s="108"/>
      <c r="S106" s="90"/>
      <c r="T106" s="90"/>
      <c r="U106" s="91"/>
      <c r="V106" s="92" t="s">
        <v>208</v>
      </c>
      <c r="W106" s="93" t="s">
        <v>18</v>
      </c>
      <c r="X106" s="74">
        <f t="shared" si="66"/>
        <v>150</v>
      </c>
      <c r="Y106" s="94">
        <f t="shared" si="77"/>
        <v>18</v>
      </c>
      <c r="Z106" s="25">
        <f t="shared" si="80"/>
        <v>2</v>
      </c>
      <c r="AA106" s="25">
        <f t="shared" si="81"/>
        <v>0</v>
      </c>
      <c r="AB106" s="25">
        <f t="shared" si="82"/>
        <v>0</v>
      </c>
      <c r="AC106" s="108"/>
      <c r="AD106" s="108"/>
    </row>
    <row r="107" spans="1:30">
      <c r="B107" s="73"/>
      <c r="C107" s="77"/>
      <c r="D107" s="78"/>
      <c r="E107" s="96"/>
      <c r="F107" s="74"/>
      <c r="G107" s="74">
        <v>2</v>
      </c>
      <c r="H107" s="74">
        <v>0</v>
      </c>
      <c r="I107" s="73">
        <v>176</v>
      </c>
      <c r="J107" s="73">
        <v>230</v>
      </c>
      <c r="K107" s="75">
        <f t="shared" ref="K107" si="97">K106</f>
        <v>4</v>
      </c>
      <c r="L107" s="75">
        <v>27</v>
      </c>
      <c r="M107" s="75">
        <v>2</v>
      </c>
      <c r="N107" s="73">
        <v>0</v>
      </c>
      <c r="O107" s="77">
        <v>0</v>
      </c>
      <c r="P107" s="108"/>
      <c r="Q107" s="108"/>
      <c r="R107" s="108"/>
      <c r="S107" s="90"/>
      <c r="T107" s="90"/>
      <c r="U107" s="91"/>
      <c r="V107" s="92" t="s">
        <v>208</v>
      </c>
      <c r="W107" s="93" t="s">
        <v>18</v>
      </c>
      <c r="X107" s="74">
        <f t="shared" si="66"/>
        <v>203</v>
      </c>
      <c r="Y107" s="94">
        <f t="shared" si="77"/>
        <v>25</v>
      </c>
      <c r="Z107" s="25">
        <f t="shared" si="80"/>
        <v>2</v>
      </c>
      <c r="AA107" s="25">
        <f t="shared" si="81"/>
        <v>0</v>
      </c>
      <c r="AB107" s="25">
        <f t="shared" si="82"/>
        <v>0</v>
      </c>
      <c r="AC107" s="108"/>
      <c r="AD107" s="108"/>
    </row>
    <row r="108" spans="1:30">
      <c r="B108" s="73"/>
      <c r="C108" s="77"/>
      <c r="D108" s="73"/>
      <c r="E108" s="96"/>
      <c r="F108" s="74"/>
      <c r="G108" s="74">
        <v>3</v>
      </c>
      <c r="H108" s="74">
        <v>0</v>
      </c>
      <c r="I108" s="73">
        <v>221</v>
      </c>
      <c r="J108" s="73">
        <v>289</v>
      </c>
      <c r="K108" s="75">
        <v>4</v>
      </c>
      <c r="L108" s="75">
        <v>34</v>
      </c>
      <c r="M108" s="75">
        <v>3</v>
      </c>
      <c r="N108" s="73">
        <v>0</v>
      </c>
      <c r="O108" s="77">
        <v>0</v>
      </c>
      <c r="P108" s="108"/>
      <c r="Q108" s="108"/>
      <c r="R108" s="108"/>
      <c r="S108" s="90"/>
      <c r="T108" s="90"/>
      <c r="U108" s="91"/>
      <c r="V108" s="92" t="s">
        <v>208</v>
      </c>
      <c r="W108" s="95"/>
      <c r="X108" s="74">
        <f t="shared" si="66"/>
        <v>255</v>
      </c>
      <c r="Y108" s="94">
        <f t="shared" si="77"/>
        <v>31</v>
      </c>
      <c r="Z108" s="25">
        <f t="shared" si="80"/>
        <v>3</v>
      </c>
      <c r="AA108" s="25">
        <f t="shared" si="81"/>
        <v>0</v>
      </c>
      <c r="AB108" s="25">
        <f t="shared" si="82"/>
        <v>0</v>
      </c>
      <c r="AC108" s="108"/>
      <c r="AD108" s="108"/>
    </row>
    <row r="109" spans="1:30">
      <c r="B109" s="73"/>
      <c r="C109" s="77"/>
      <c r="D109" s="73"/>
      <c r="E109" s="96"/>
      <c r="F109" s="74"/>
      <c r="G109" s="74">
        <v>4</v>
      </c>
      <c r="H109" s="74">
        <v>0</v>
      </c>
      <c r="I109" s="73">
        <v>260</v>
      </c>
      <c r="J109" s="73">
        <v>340</v>
      </c>
      <c r="K109" s="75">
        <v>4</v>
      </c>
      <c r="L109" s="75">
        <v>40</v>
      </c>
      <c r="M109" s="75">
        <v>4</v>
      </c>
      <c r="N109" s="73">
        <v>0</v>
      </c>
      <c r="O109" s="77">
        <v>0</v>
      </c>
      <c r="P109" s="108"/>
      <c r="Q109" s="108"/>
      <c r="R109" s="108"/>
      <c r="S109" s="90"/>
      <c r="T109" s="90"/>
      <c r="U109" s="91"/>
      <c r="V109" s="92" t="s">
        <v>208</v>
      </c>
      <c r="W109" s="95"/>
      <c r="X109" s="74">
        <f t="shared" si="66"/>
        <v>300</v>
      </c>
      <c r="Y109" s="94">
        <f t="shared" ref="Y109:Y114" si="98">L109-Z109-AA109-AB109</f>
        <v>36</v>
      </c>
      <c r="Z109" s="25">
        <f t="shared" si="80"/>
        <v>4</v>
      </c>
      <c r="AA109" s="25">
        <f t="shared" si="81"/>
        <v>0</v>
      </c>
      <c r="AB109" s="25">
        <f t="shared" si="82"/>
        <v>0</v>
      </c>
      <c r="AC109" s="108"/>
      <c r="AD109" s="108"/>
    </row>
    <row r="110" spans="1:30">
      <c r="B110" s="73"/>
      <c r="C110" s="77"/>
      <c r="D110" s="73"/>
      <c r="E110" s="96"/>
      <c r="F110" s="74"/>
      <c r="G110" s="74">
        <v>5</v>
      </c>
      <c r="H110" s="74">
        <v>0</v>
      </c>
      <c r="I110" s="73">
        <v>299</v>
      </c>
      <c r="J110" s="73">
        <v>391</v>
      </c>
      <c r="K110" s="76">
        <v>4</v>
      </c>
      <c r="L110" s="75">
        <v>46</v>
      </c>
      <c r="M110" s="75">
        <v>4</v>
      </c>
      <c r="N110" s="73">
        <v>0</v>
      </c>
      <c r="O110" s="77">
        <v>0</v>
      </c>
      <c r="P110" s="108"/>
      <c r="Q110" s="108"/>
      <c r="R110" s="108"/>
      <c r="S110" s="90"/>
      <c r="T110" s="90"/>
      <c r="U110" s="90"/>
      <c r="V110" s="92" t="s">
        <v>208</v>
      </c>
      <c r="W110" s="95"/>
      <c r="X110" s="74">
        <f t="shared" ref="X110:X114" si="99">(I110+J110)/2</f>
        <v>345</v>
      </c>
      <c r="Y110" s="94">
        <f t="shared" si="98"/>
        <v>42</v>
      </c>
      <c r="Z110" s="25">
        <f t="shared" si="80"/>
        <v>4</v>
      </c>
      <c r="AA110" s="25">
        <f t="shared" si="81"/>
        <v>0</v>
      </c>
      <c r="AB110" s="25">
        <f t="shared" si="82"/>
        <v>0</v>
      </c>
      <c r="AC110" s="108"/>
      <c r="AD110" s="108"/>
    </row>
    <row r="111" spans="1:30">
      <c r="B111" s="73"/>
      <c r="C111" s="77"/>
      <c r="D111" s="73"/>
      <c r="E111" s="96"/>
      <c r="F111" s="74"/>
      <c r="G111" s="74">
        <v>6</v>
      </c>
      <c r="H111" s="74">
        <v>0</v>
      </c>
      <c r="I111" s="73">
        <v>338</v>
      </c>
      <c r="J111" s="73">
        <v>442</v>
      </c>
      <c r="K111" s="76">
        <v>4</v>
      </c>
      <c r="L111" s="75">
        <v>52</v>
      </c>
      <c r="M111" s="75">
        <v>5</v>
      </c>
      <c r="N111" s="73">
        <v>0</v>
      </c>
      <c r="O111" s="77">
        <v>0</v>
      </c>
      <c r="P111" s="108"/>
      <c r="Q111" s="108"/>
      <c r="R111" s="108"/>
      <c r="S111" s="90"/>
      <c r="T111" s="90"/>
      <c r="U111" s="90"/>
      <c r="V111" s="92" t="s">
        <v>208</v>
      </c>
      <c r="W111" s="95"/>
      <c r="X111" s="74">
        <f t="shared" si="99"/>
        <v>390</v>
      </c>
      <c r="Y111" s="94">
        <f t="shared" si="98"/>
        <v>47</v>
      </c>
      <c r="Z111" s="25">
        <f t="shared" si="80"/>
        <v>5</v>
      </c>
      <c r="AA111" s="25">
        <f t="shared" si="81"/>
        <v>0</v>
      </c>
      <c r="AB111" s="25">
        <f t="shared" si="82"/>
        <v>0</v>
      </c>
      <c r="AC111" s="108"/>
      <c r="AD111" s="108"/>
    </row>
    <row r="112" spans="1:30">
      <c r="B112" s="73"/>
      <c r="C112" s="77"/>
      <c r="D112" s="73"/>
      <c r="E112" s="96"/>
      <c r="F112" s="74"/>
      <c r="G112" s="74">
        <v>7</v>
      </c>
      <c r="H112" s="74">
        <v>0</v>
      </c>
      <c r="I112" s="73">
        <v>377</v>
      </c>
      <c r="J112" s="73">
        <v>493</v>
      </c>
      <c r="K112" s="76">
        <v>4</v>
      </c>
      <c r="L112" s="75">
        <v>58</v>
      </c>
      <c r="M112" s="75">
        <v>5</v>
      </c>
      <c r="N112" s="73">
        <v>0</v>
      </c>
      <c r="O112" s="77">
        <v>0</v>
      </c>
      <c r="P112" s="108"/>
      <c r="Q112" s="108"/>
      <c r="R112" s="108"/>
      <c r="S112" s="90"/>
      <c r="T112" s="90"/>
      <c r="U112" s="90"/>
      <c r="V112" s="92" t="s">
        <v>208</v>
      </c>
      <c r="W112" s="95"/>
      <c r="X112" s="74">
        <f t="shared" si="99"/>
        <v>435</v>
      </c>
      <c r="Y112" s="94">
        <f t="shared" si="98"/>
        <v>53</v>
      </c>
      <c r="Z112" s="25">
        <f t="shared" si="80"/>
        <v>5</v>
      </c>
      <c r="AA112" s="25">
        <f t="shared" si="81"/>
        <v>0</v>
      </c>
      <c r="AB112" s="25">
        <f t="shared" si="82"/>
        <v>0</v>
      </c>
      <c r="AC112" s="108"/>
      <c r="AD112" s="108"/>
    </row>
    <row r="113" spans="1:30">
      <c r="B113" s="73"/>
      <c r="C113" s="77"/>
      <c r="D113" s="73"/>
      <c r="E113" s="96"/>
      <c r="F113" s="74"/>
      <c r="G113" s="74">
        <v>8</v>
      </c>
      <c r="H113" s="74">
        <v>0</v>
      </c>
      <c r="I113" s="73">
        <v>494</v>
      </c>
      <c r="J113" s="73">
        <v>646</v>
      </c>
      <c r="K113" s="73">
        <v>4</v>
      </c>
      <c r="L113" s="73">
        <v>76</v>
      </c>
      <c r="M113" s="75">
        <v>7</v>
      </c>
      <c r="N113" s="73">
        <v>0</v>
      </c>
      <c r="O113" s="77">
        <v>0</v>
      </c>
      <c r="P113" s="108"/>
      <c r="Q113" s="108"/>
      <c r="R113" s="108"/>
      <c r="S113" s="90"/>
      <c r="T113" s="90"/>
      <c r="U113" s="90"/>
      <c r="V113" s="92" t="s">
        <v>208</v>
      </c>
      <c r="W113" s="95"/>
      <c r="X113" s="74">
        <f t="shared" si="99"/>
        <v>570</v>
      </c>
      <c r="Y113" s="94">
        <f t="shared" si="98"/>
        <v>69</v>
      </c>
      <c r="Z113" s="25">
        <f t="shared" si="80"/>
        <v>7</v>
      </c>
      <c r="AA113" s="25">
        <f t="shared" si="81"/>
        <v>0</v>
      </c>
      <c r="AB113" s="25">
        <f t="shared" si="82"/>
        <v>0</v>
      </c>
      <c r="AC113" s="108"/>
      <c r="AD113" s="108"/>
    </row>
    <row r="114" spans="1:30">
      <c r="A114" s="4" t="s">
        <v>41</v>
      </c>
      <c r="B114" s="73"/>
      <c r="C114" s="77"/>
      <c r="D114" s="73"/>
      <c r="E114" s="96"/>
      <c r="F114" s="74"/>
      <c r="G114" s="74">
        <v>9</v>
      </c>
      <c r="H114" s="74">
        <v>0</v>
      </c>
      <c r="I114" s="73">
        <v>494</v>
      </c>
      <c r="J114" s="73">
        <v>646</v>
      </c>
      <c r="K114" s="73">
        <v>4</v>
      </c>
      <c r="L114" s="73">
        <v>76</v>
      </c>
      <c r="M114" s="75">
        <v>7</v>
      </c>
      <c r="N114" s="73">
        <v>0</v>
      </c>
      <c r="O114" s="77">
        <v>0</v>
      </c>
      <c r="P114" s="108"/>
      <c r="Q114" s="108"/>
      <c r="R114" s="108"/>
      <c r="S114" s="90"/>
      <c r="T114" s="90"/>
      <c r="U114" s="90"/>
      <c r="V114" s="92" t="s">
        <v>208</v>
      </c>
      <c r="W114" s="95"/>
      <c r="X114" s="74">
        <f t="shared" si="99"/>
        <v>570</v>
      </c>
      <c r="Y114" s="94">
        <f t="shared" si="98"/>
        <v>69</v>
      </c>
      <c r="Z114" s="25">
        <f t="shared" si="80"/>
        <v>7</v>
      </c>
      <c r="AA114" s="25">
        <f t="shared" si="81"/>
        <v>0</v>
      </c>
      <c r="AB114" s="25">
        <f t="shared" si="82"/>
        <v>0</v>
      </c>
      <c r="AC114" s="108"/>
      <c r="AD114" s="108"/>
    </row>
    <row r="115" spans="1:30">
      <c r="A115" s="3"/>
      <c r="P115" s="108"/>
      <c r="Q115" s="108"/>
      <c r="R115" s="108"/>
      <c r="Z115" s="1"/>
      <c r="AA115" s="1"/>
      <c r="AB115" s="1"/>
      <c r="AC115" s="108"/>
      <c r="AD115" s="108"/>
    </row>
    <row r="116" spans="1:30">
      <c r="Z116" s="1"/>
      <c r="AA116" s="1"/>
      <c r="AB116" s="1"/>
    </row>
    <row r="123" spans="1:30">
      <c r="S123" s="18"/>
      <c r="T123" s="18"/>
      <c r="U123" s="18"/>
    </row>
    <row r="124" spans="1:30">
      <c r="S124" s="18"/>
      <c r="T124" s="18"/>
      <c r="U124" s="18"/>
    </row>
    <row r="125" spans="1:30">
      <c r="S125" s="18"/>
      <c r="T125" s="18"/>
      <c r="U125" s="18"/>
    </row>
    <row r="126" spans="1:30">
      <c r="S126" s="18"/>
      <c r="T126" s="18"/>
      <c r="U126" s="18"/>
    </row>
    <row r="127" spans="1:30">
      <c r="U127" s="18"/>
    </row>
  </sheetData>
  <sortState ref="AD11:AD49">
    <sortCondition ref="AD33"/>
  </sortState>
  <phoneticPr fontId="3" type="noConversion"/>
  <pageMargins left="0.7" right="0.7" top="0.75" bottom="0.75" header="0.3" footer="0.3"/>
  <pageSetup paperSize="9" orientation="portrait" r:id="rId1"/>
  <ignoredErrors>
    <ignoredError sqref="V52:V59 V61:V68 V70:V77 V79:V86 V88:V95 V106:V113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export">
                <anchor moveWithCells="1" sizeWithCells="1">
                  <from>
                    <xdr:col>1</xdr:col>
                    <xdr:colOff>733425</xdr:colOff>
                    <xdr:row>0</xdr:row>
                    <xdr:rowOff>9525</xdr:rowOff>
                  </from>
                  <to>
                    <xdr:col>3</xdr:col>
                    <xdr:colOff>1009650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V114"/>
  <sheetViews>
    <sheetView workbookViewId="0">
      <selection activeCell="J73" sqref="J73"/>
    </sheetView>
  </sheetViews>
  <sheetFormatPr defaultRowHeight="13.5"/>
  <sheetData>
    <row r="1" spans="1:22">
      <c r="B1" t="s">
        <v>0</v>
      </c>
      <c r="V1" t="s">
        <v>63</v>
      </c>
    </row>
    <row r="2" spans="1:22">
      <c r="B2" t="s">
        <v>24</v>
      </c>
      <c r="D2" t="s">
        <v>218</v>
      </c>
      <c r="E2" t="s">
        <v>46</v>
      </c>
      <c r="F2" t="s">
        <v>48</v>
      </c>
      <c r="G2" t="s">
        <v>50</v>
      </c>
      <c r="H2" t="s">
        <v>53</v>
      </c>
      <c r="I2" t="s">
        <v>55</v>
      </c>
      <c r="J2" t="s">
        <v>57</v>
      </c>
      <c r="K2" t="s">
        <v>79</v>
      </c>
      <c r="L2" t="s">
        <v>59</v>
      </c>
      <c r="M2" t="s">
        <v>61</v>
      </c>
      <c r="N2" t="s">
        <v>62</v>
      </c>
      <c r="O2" t="s">
        <v>117</v>
      </c>
      <c r="S2" t="s">
        <v>209</v>
      </c>
      <c r="T2" t="s">
        <v>210</v>
      </c>
      <c r="U2" t="s">
        <v>211</v>
      </c>
      <c r="V2" t="s">
        <v>64</v>
      </c>
    </row>
    <row r="3" spans="1:22">
      <c r="B3" t="s">
        <v>1</v>
      </c>
      <c r="D3" t="s">
        <v>2</v>
      </c>
      <c r="E3" t="s">
        <v>1</v>
      </c>
      <c r="F3" t="s">
        <v>2</v>
      </c>
      <c r="G3" t="s">
        <v>51</v>
      </c>
      <c r="H3" t="s">
        <v>51</v>
      </c>
      <c r="I3" t="s">
        <v>51</v>
      </c>
      <c r="J3" t="s">
        <v>51</v>
      </c>
      <c r="K3" t="s">
        <v>51</v>
      </c>
      <c r="L3" t="s">
        <v>51</v>
      </c>
      <c r="M3" t="s">
        <v>51</v>
      </c>
      <c r="N3" t="s">
        <v>51</v>
      </c>
      <c r="O3" t="s">
        <v>51</v>
      </c>
      <c r="S3" t="s">
        <v>225</v>
      </c>
      <c r="T3" t="s">
        <v>225</v>
      </c>
      <c r="U3" t="s">
        <v>225</v>
      </c>
      <c r="V3" t="s">
        <v>65</v>
      </c>
    </row>
    <row r="4" spans="1:22">
      <c r="B4" t="s">
        <v>3</v>
      </c>
      <c r="D4" t="s">
        <v>3</v>
      </c>
      <c r="E4" t="s">
        <v>3</v>
      </c>
      <c r="F4" t="s">
        <v>3</v>
      </c>
      <c r="G4" t="s">
        <v>3</v>
      </c>
      <c r="I4" t="s">
        <v>3</v>
      </c>
      <c r="J4" t="s">
        <v>3</v>
      </c>
      <c r="K4" t="s">
        <v>3</v>
      </c>
      <c r="L4" t="s">
        <v>3</v>
      </c>
    </row>
    <row r="5" spans="1:22">
      <c r="B5" t="s">
        <v>25</v>
      </c>
      <c r="D5" t="s">
        <v>25</v>
      </c>
      <c r="E5" t="s">
        <v>25</v>
      </c>
      <c r="F5" t="s">
        <v>25</v>
      </c>
      <c r="P5" t="s">
        <v>314</v>
      </c>
    </row>
    <row r="6" spans="1:22" ht="67.5">
      <c r="B6" t="s">
        <v>24</v>
      </c>
      <c r="C6" t="s">
        <v>248</v>
      </c>
      <c r="D6" t="s">
        <v>250</v>
      </c>
      <c r="E6" t="s">
        <v>47</v>
      </c>
      <c r="F6" t="s">
        <v>49</v>
      </c>
      <c r="G6" t="s">
        <v>52</v>
      </c>
      <c r="H6" t="s">
        <v>54</v>
      </c>
      <c r="I6" t="s">
        <v>56</v>
      </c>
      <c r="J6" t="s">
        <v>58</v>
      </c>
      <c r="K6" t="s">
        <v>293</v>
      </c>
      <c r="L6" t="s">
        <v>60</v>
      </c>
      <c r="M6" t="s">
        <v>294</v>
      </c>
      <c r="N6" t="s">
        <v>295</v>
      </c>
      <c r="O6" t="s">
        <v>296</v>
      </c>
      <c r="P6" t="s">
        <v>279</v>
      </c>
      <c r="Q6" t="s">
        <v>280</v>
      </c>
      <c r="R6" t="s">
        <v>281</v>
      </c>
      <c r="S6" t="s">
        <v>297</v>
      </c>
      <c r="T6" t="s">
        <v>298</v>
      </c>
      <c r="U6" t="s">
        <v>299</v>
      </c>
      <c r="V6" s="15" t="s">
        <v>66</v>
      </c>
    </row>
    <row r="7" spans="1:22">
      <c r="A7" t="s">
        <v>43</v>
      </c>
      <c r="B7">
        <v>1</v>
      </c>
      <c r="C7" t="s">
        <v>45</v>
      </c>
      <c r="D7" t="s">
        <v>254</v>
      </c>
      <c r="E7">
        <v>15</v>
      </c>
      <c r="F7">
        <v>3</v>
      </c>
      <c r="G7">
        <v>1</v>
      </c>
      <c r="H7">
        <v>0</v>
      </c>
      <c r="I7">
        <v>18</v>
      </c>
      <c r="J7">
        <v>18</v>
      </c>
      <c r="K7">
        <v>2</v>
      </c>
      <c r="L7">
        <v>2</v>
      </c>
      <c r="M7">
        <v>0</v>
      </c>
      <c r="N7">
        <v>0</v>
      </c>
      <c r="O7">
        <v>0</v>
      </c>
      <c r="S7" t="s">
        <v>208</v>
      </c>
      <c r="T7" t="s">
        <v>208</v>
      </c>
      <c r="U7" t="s">
        <v>208</v>
      </c>
      <c r="V7" t="s">
        <v>258</v>
      </c>
    </row>
    <row r="8" spans="1:22">
      <c r="C8" t="s">
        <v>45</v>
      </c>
      <c r="D8" t="s">
        <v>254</v>
      </c>
      <c r="E8">
        <v>15</v>
      </c>
      <c r="F8">
        <v>3</v>
      </c>
      <c r="G8">
        <v>2</v>
      </c>
      <c r="H8">
        <v>0</v>
      </c>
      <c r="I8">
        <v>18</v>
      </c>
      <c r="J8">
        <v>18</v>
      </c>
      <c r="K8">
        <v>2</v>
      </c>
      <c r="L8">
        <v>2</v>
      </c>
      <c r="M8">
        <v>0</v>
      </c>
      <c r="N8">
        <v>0</v>
      </c>
      <c r="O8">
        <v>0</v>
      </c>
      <c r="S8" t="s">
        <v>208</v>
      </c>
      <c r="T8" t="s">
        <v>208</v>
      </c>
      <c r="U8" t="s">
        <v>208</v>
      </c>
      <c r="V8" t="s">
        <v>258</v>
      </c>
    </row>
    <row r="9" spans="1:22">
      <c r="C9" t="s">
        <v>45</v>
      </c>
      <c r="D9" t="s">
        <v>254</v>
      </c>
      <c r="E9">
        <v>15</v>
      </c>
      <c r="F9">
        <v>3</v>
      </c>
      <c r="G9">
        <v>3</v>
      </c>
      <c r="H9">
        <v>0</v>
      </c>
      <c r="I9">
        <v>18</v>
      </c>
      <c r="J9">
        <v>18</v>
      </c>
      <c r="K9">
        <v>2</v>
      </c>
      <c r="L9">
        <v>2</v>
      </c>
      <c r="M9">
        <v>0</v>
      </c>
      <c r="N9">
        <v>0</v>
      </c>
      <c r="O9">
        <v>0</v>
      </c>
      <c r="S9" t="s">
        <v>208</v>
      </c>
      <c r="T9" t="s">
        <v>208</v>
      </c>
      <c r="U9" t="s">
        <v>208</v>
      </c>
      <c r="V9" t="s">
        <v>258</v>
      </c>
    </row>
    <row r="10" spans="1:22">
      <c r="C10" t="s">
        <v>45</v>
      </c>
      <c r="D10" t="s">
        <v>254</v>
      </c>
      <c r="E10">
        <v>15</v>
      </c>
      <c r="F10">
        <v>3</v>
      </c>
      <c r="G10">
        <v>4</v>
      </c>
      <c r="H10">
        <v>0</v>
      </c>
      <c r="I10">
        <v>18</v>
      </c>
      <c r="J10">
        <v>18</v>
      </c>
      <c r="K10">
        <v>2</v>
      </c>
      <c r="L10">
        <v>2</v>
      </c>
      <c r="M10">
        <v>0</v>
      </c>
      <c r="N10">
        <v>0</v>
      </c>
      <c r="O10">
        <v>0</v>
      </c>
      <c r="S10" t="s">
        <v>208</v>
      </c>
      <c r="T10" t="s">
        <v>208</v>
      </c>
      <c r="U10" t="s">
        <v>208</v>
      </c>
      <c r="V10" t="s">
        <v>258</v>
      </c>
    </row>
    <row r="11" spans="1:22">
      <c r="C11" t="s">
        <v>45</v>
      </c>
      <c r="D11" t="s">
        <v>254</v>
      </c>
      <c r="E11">
        <v>15</v>
      </c>
      <c r="F11">
        <v>3</v>
      </c>
      <c r="G11">
        <v>5</v>
      </c>
      <c r="H11">
        <v>0</v>
      </c>
      <c r="I11">
        <v>18</v>
      </c>
      <c r="J11">
        <v>18</v>
      </c>
      <c r="K11">
        <v>2</v>
      </c>
      <c r="L11">
        <v>2</v>
      </c>
      <c r="M11">
        <v>0</v>
      </c>
      <c r="N11">
        <v>0</v>
      </c>
      <c r="O11">
        <v>0</v>
      </c>
      <c r="S11" t="s">
        <v>208</v>
      </c>
      <c r="T11" t="s">
        <v>208</v>
      </c>
      <c r="U11" t="s">
        <v>208</v>
      </c>
      <c r="V11" t="s">
        <v>258</v>
      </c>
    </row>
    <row r="12" spans="1:22">
      <c r="C12" t="s">
        <v>45</v>
      </c>
      <c r="D12" t="s">
        <v>254</v>
      </c>
      <c r="E12">
        <v>15</v>
      </c>
      <c r="F12">
        <v>3</v>
      </c>
      <c r="G12">
        <v>6</v>
      </c>
      <c r="H12">
        <v>0</v>
      </c>
      <c r="I12">
        <v>18</v>
      </c>
      <c r="J12">
        <v>18</v>
      </c>
      <c r="K12">
        <v>2</v>
      </c>
      <c r="L12">
        <v>2</v>
      </c>
      <c r="M12">
        <v>0</v>
      </c>
      <c r="N12">
        <v>0</v>
      </c>
      <c r="O12">
        <v>0</v>
      </c>
      <c r="S12" t="s">
        <v>208</v>
      </c>
      <c r="T12" t="s">
        <v>208</v>
      </c>
      <c r="U12" t="s">
        <v>208</v>
      </c>
      <c r="V12" t="s">
        <v>258</v>
      </c>
    </row>
    <row r="13" spans="1:22">
      <c r="C13" t="s">
        <v>45</v>
      </c>
      <c r="D13" t="s">
        <v>254</v>
      </c>
      <c r="E13">
        <v>15</v>
      </c>
      <c r="F13">
        <v>3</v>
      </c>
      <c r="G13">
        <v>7</v>
      </c>
      <c r="H13">
        <v>0</v>
      </c>
      <c r="I13">
        <v>18</v>
      </c>
      <c r="J13">
        <v>18</v>
      </c>
      <c r="K13">
        <v>2</v>
      </c>
      <c r="L13">
        <v>2</v>
      </c>
      <c r="M13">
        <v>0</v>
      </c>
      <c r="N13">
        <v>0</v>
      </c>
      <c r="O13">
        <v>0</v>
      </c>
      <c r="S13" t="s">
        <v>208</v>
      </c>
      <c r="T13" t="s">
        <v>208</v>
      </c>
      <c r="U13" t="s">
        <v>208</v>
      </c>
      <c r="V13" t="s">
        <v>258</v>
      </c>
    </row>
    <row r="14" spans="1:22">
      <c r="C14" t="s">
        <v>45</v>
      </c>
      <c r="D14" t="s">
        <v>254</v>
      </c>
      <c r="E14">
        <v>15</v>
      </c>
      <c r="F14">
        <v>3</v>
      </c>
      <c r="G14">
        <v>8</v>
      </c>
      <c r="H14">
        <v>0</v>
      </c>
      <c r="I14">
        <v>18</v>
      </c>
      <c r="J14">
        <v>18</v>
      </c>
      <c r="K14">
        <v>2</v>
      </c>
      <c r="L14">
        <v>2</v>
      </c>
      <c r="M14">
        <v>0</v>
      </c>
      <c r="N14">
        <v>0</v>
      </c>
      <c r="O14">
        <v>0</v>
      </c>
      <c r="S14" t="s">
        <v>208</v>
      </c>
      <c r="T14" t="s">
        <v>208</v>
      </c>
      <c r="U14" t="s">
        <v>208</v>
      </c>
      <c r="V14" t="s">
        <v>258</v>
      </c>
    </row>
    <row r="15" spans="1:22">
      <c r="C15" t="s">
        <v>45</v>
      </c>
      <c r="D15" t="s">
        <v>254</v>
      </c>
      <c r="E15">
        <v>15</v>
      </c>
      <c r="F15">
        <v>3</v>
      </c>
      <c r="G15">
        <v>9</v>
      </c>
      <c r="H15">
        <v>0</v>
      </c>
      <c r="I15">
        <v>18</v>
      </c>
      <c r="J15">
        <v>18</v>
      </c>
      <c r="K15">
        <v>2</v>
      </c>
      <c r="L15">
        <v>2</v>
      </c>
      <c r="M15">
        <v>0</v>
      </c>
      <c r="N15">
        <v>0</v>
      </c>
      <c r="O15">
        <v>0</v>
      </c>
      <c r="S15" t="s">
        <v>208</v>
      </c>
      <c r="T15" t="s">
        <v>208</v>
      </c>
      <c r="U15" t="s">
        <v>208</v>
      </c>
      <c r="V15" t="s">
        <v>258</v>
      </c>
    </row>
    <row r="16" spans="1:22">
      <c r="B16">
        <v>2</v>
      </c>
      <c r="C16" t="s">
        <v>14</v>
      </c>
      <c r="D16" t="s">
        <v>254</v>
      </c>
      <c r="E16">
        <v>15</v>
      </c>
      <c r="F16">
        <v>3</v>
      </c>
      <c r="G16">
        <v>1</v>
      </c>
      <c r="H16">
        <v>0</v>
      </c>
      <c r="I16">
        <v>20</v>
      </c>
      <c r="J16">
        <v>20</v>
      </c>
      <c r="K16">
        <v>2</v>
      </c>
      <c r="L16">
        <v>2</v>
      </c>
      <c r="M16">
        <v>0</v>
      </c>
      <c r="N16">
        <v>0</v>
      </c>
      <c r="O16">
        <v>0</v>
      </c>
      <c r="S16" t="s">
        <v>208</v>
      </c>
      <c r="T16" t="s">
        <v>208</v>
      </c>
      <c r="U16" t="s">
        <v>208</v>
      </c>
      <c r="V16" t="s">
        <v>206</v>
      </c>
    </row>
    <row r="17" spans="2:22">
      <c r="C17" t="s">
        <v>14</v>
      </c>
      <c r="D17" t="s">
        <v>254</v>
      </c>
      <c r="E17">
        <v>15</v>
      </c>
      <c r="F17">
        <v>3</v>
      </c>
      <c r="G17">
        <v>2</v>
      </c>
      <c r="H17">
        <v>0</v>
      </c>
      <c r="I17">
        <v>20</v>
      </c>
      <c r="J17">
        <v>20</v>
      </c>
      <c r="K17">
        <v>2</v>
      </c>
      <c r="L17">
        <v>2</v>
      </c>
      <c r="M17">
        <v>0</v>
      </c>
      <c r="N17">
        <v>0</v>
      </c>
      <c r="O17">
        <v>0</v>
      </c>
      <c r="S17" t="s">
        <v>208</v>
      </c>
      <c r="T17" t="s">
        <v>208</v>
      </c>
      <c r="U17" t="s">
        <v>208</v>
      </c>
      <c r="V17" t="s">
        <v>206</v>
      </c>
    </row>
    <row r="18" spans="2:22">
      <c r="C18" t="s">
        <v>14</v>
      </c>
      <c r="D18" t="s">
        <v>254</v>
      </c>
      <c r="E18">
        <v>15</v>
      </c>
      <c r="F18">
        <v>3</v>
      </c>
      <c r="G18">
        <v>3</v>
      </c>
      <c r="H18">
        <v>0</v>
      </c>
      <c r="I18">
        <v>20</v>
      </c>
      <c r="J18">
        <v>20</v>
      </c>
      <c r="K18">
        <v>2</v>
      </c>
      <c r="L18">
        <v>2</v>
      </c>
      <c r="M18">
        <v>0</v>
      </c>
      <c r="N18">
        <v>0</v>
      </c>
      <c r="O18">
        <v>0</v>
      </c>
      <c r="S18" t="s">
        <v>208</v>
      </c>
      <c r="T18" t="s">
        <v>208</v>
      </c>
      <c r="U18" t="s">
        <v>208</v>
      </c>
      <c r="V18" t="s">
        <v>206</v>
      </c>
    </row>
    <row r="19" spans="2:22">
      <c r="C19" t="s">
        <v>14</v>
      </c>
      <c r="D19" t="s">
        <v>254</v>
      </c>
      <c r="E19">
        <v>15</v>
      </c>
      <c r="F19">
        <v>3</v>
      </c>
      <c r="G19">
        <v>4</v>
      </c>
      <c r="H19">
        <v>0</v>
      </c>
      <c r="I19">
        <v>20</v>
      </c>
      <c r="J19">
        <v>20</v>
      </c>
      <c r="K19">
        <v>2</v>
      </c>
      <c r="L19">
        <v>2</v>
      </c>
      <c r="M19">
        <v>0</v>
      </c>
      <c r="N19">
        <v>0</v>
      </c>
      <c r="O19">
        <v>0</v>
      </c>
      <c r="S19" t="s">
        <v>208</v>
      </c>
      <c r="T19" t="s">
        <v>208</v>
      </c>
      <c r="U19" t="s">
        <v>208</v>
      </c>
      <c r="V19" t="s">
        <v>206</v>
      </c>
    </row>
    <row r="20" spans="2:22">
      <c r="C20" t="s">
        <v>14</v>
      </c>
      <c r="D20" t="s">
        <v>254</v>
      </c>
      <c r="E20">
        <v>15</v>
      </c>
      <c r="F20">
        <v>3</v>
      </c>
      <c r="G20">
        <v>5</v>
      </c>
      <c r="H20">
        <v>0</v>
      </c>
      <c r="I20">
        <v>20</v>
      </c>
      <c r="J20">
        <v>20</v>
      </c>
      <c r="K20">
        <v>2</v>
      </c>
      <c r="L20">
        <v>2</v>
      </c>
      <c r="M20">
        <v>0</v>
      </c>
      <c r="N20">
        <v>0</v>
      </c>
      <c r="O20">
        <v>0</v>
      </c>
      <c r="S20" t="s">
        <v>208</v>
      </c>
      <c r="T20" t="s">
        <v>208</v>
      </c>
      <c r="U20" t="s">
        <v>208</v>
      </c>
      <c r="V20" t="s">
        <v>206</v>
      </c>
    </row>
    <row r="21" spans="2:22">
      <c r="C21" t="s">
        <v>14</v>
      </c>
      <c r="D21" t="s">
        <v>254</v>
      </c>
      <c r="E21">
        <v>15</v>
      </c>
      <c r="F21">
        <v>3</v>
      </c>
      <c r="G21">
        <v>6</v>
      </c>
      <c r="H21">
        <v>0</v>
      </c>
      <c r="I21">
        <v>20</v>
      </c>
      <c r="J21">
        <v>20</v>
      </c>
      <c r="K21">
        <v>2</v>
      </c>
      <c r="L21">
        <v>2</v>
      </c>
      <c r="M21">
        <v>0</v>
      </c>
      <c r="N21">
        <v>0</v>
      </c>
      <c r="O21">
        <v>0</v>
      </c>
      <c r="S21" t="s">
        <v>208</v>
      </c>
      <c r="T21" t="s">
        <v>208</v>
      </c>
      <c r="U21" t="s">
        <v>208</v>
      </c>
      <c r="V21" t="s">
        <v>206</v>
      </c>
    </row>
    <row r="22" spans="2:22">
      <c r="C22" t="s">
        <v>14</v>
      </c>
      <c r="D22" t="s">
        <v>254</v>
      </c>
      <c r="E22">
        <v>15</v>
      </c>
      <c r="F22">
        <v>3</v>
      </c>
      <c r="G22">
        <v>7</v>
      </c>
      <c r="H22">
        <v>0</v>
      </c>
      <c r="I22">
        <v>20</v>
      </c>
      <c r="J22">
        <v>20</v>
      </c>
      <c r="K22">
        <v>2</v>
      </c>
      <c r="L22">
        <v>2</v>
      </c>
      <c r="M22">
        <v>0</v>
      </c>
      <c r="N22">
        <v>0</v>
      </c>
      <c r="O22">
        <v>0</v>
      </c>
      <c r="S22" t="s">
        <v>208</v>
      </c>
      <c r="T22" t="s">
        <v>208</v>
      </c>
      <c r="U22" t="s">
        <v>208</v>
      </c>
      <c r="V22" t="s">
        <v>206</v>
      </c>
    </row>
    <row r="23" spans="2:22">
      <c r="C23" t="s">
        <v>14</v>
      </c>
      <c r="D23" t="s">
        <v>254</v>
      </c>
      <c r="E23">
        <v>15</v>
      </c>
      <c r="F23">
        <v>3</v>
      </c>
      <c r="G23">
        <v>8</v>
      </c>
      <c r="H23">
        <v>0</v>
      </c>
      <c r="I23">
        <v>20</v>
      </c>
      <c r="J23">
        <v>20</v>
      </c>
      <c r="K23">
        <v>2</v>
      </c>
      <c r="L23">
        <v>2</v>
      </c>
      <c r="M23">
        <v>0</v>
      </c>
      <c r="N23">
        <v>0</v>
      </c>
      <c r="O23">
        <v>0</v>
      </c>
      <c r="S23" t="s">
        <v>208</v>
      </c>
      <c r="T23" t="s">
        <v>208</v>
      </c>
      <c r="U23" t="s">
        <v>208</v>
      </c>
      <c r="V23" t="s">
        <v>206</v>
      </c>
    </row>
    <row r="24" spans="2:22">
      <c r="C24" t="s">
        <v>14</v>
      </c>
      <c r="D24" t="s">
        <v>254</v>
      </c>
      <c r="E24">
        <v>15</v>
      </c>
      <c r="F24">
        <v>3</v>
      </c>
      <c r="G24">
        <v>9</v>
      </c>
      <c r="H24">
        <v>0</v>
      </c>
      <c r="I24">
        <v>20</v>
      </c>
      <c r="J24">
        <v>20</v>
      </c>
      <c r="K24">
        <v>2</v>
      </c>
      <c r="L24">
        <v>2</v>
      </c>
      <c r="M24">
        <v>0</v>
      </c>
      <c r="N24">
        <v>0</v>
      </c>
      <c r="O24">
        <v>0</v>
      </c>
      <c r="S24" t="s">
        <v>208</v>
      </c>
      <c r="T24" t="s">
        <v>208</v>
      </c>
      <c r="U24" t="s">
        <v>208</v>
      </c>
      <c r="V24" t="s">
        <v>206</v>
      </c>
    </row>
    <row r="25" spans="2:22">
      <c r="B25">
        <v>3</v>
      </c>
      <c r="C25" t="s">
        <v>15</v>
      </c>
      <c r="D25" t="s">
        <v>254</v>
      </c>
      <c r="E25">
        <v>15</v>
      </c>
      <c r="F25">
        <v>3</v>
      </c>
      <c r="G25">
        <v>1</v>
      </c>
      <c r="H25">
        <v>0</v>
      </c>
      <c r="I25">
        <v>21</v>
      </c>
      <c r="J25">
        <v>21</v>
      </c>
      <c r="K25">
        <v>2</v>
      </c>
      <c r="L25">
        <v>2</v>
      </c>
      <c r="M25">
        <v>0</v>
      </c>
      <c r="N25">
        <v>0</v>
      </c>
      <c r="O25">
        <v>0</v>
      </c>
      <c r="S25" t="s">
        <v>208</v>
      </c>
      <c r="T25" t="s">
        <v>208</v>
      </c>
      <c r="U25" t="s">
        <v>208</v>
      </c>
      <c r="V25" t="s">
        <v>208</v>
      </c>
    </row>
    <row r="26" spans="2:22">
      <c r="C26" t="s">
        <v>15</v>
      </c>
      <c r="D26" t="s">
        <v>254</v>
      </c>
      <c r="E26">
        <v>15</v>
      </c>
      <c r="F26">
        <v>3</v>
      </c>
      <c r="G26">
        <v>2</v>
      </c>
      <c r="H26">
        <v>0</v>
      </c>
      <c r="I26">
        <v>21</v>
      </c>
      <c r="J26">
        <v>21</v>
      </c>
      <c r="K26">
        <v>2</v>
      </c>
      <c r="L26">
        <v>2</v>
      </c>
      <c r="M26">
        <v>0</v>
      </c>
      <c r="N26">
        <v>0</v>
      </c>
      <c r="O26">
        <v>0</v>
      </c>
      <c r="S26" t="s">
        <v>208</v>
      </c>
      <c r="T26" t="s">
        <v>208</v>
      </c>
      <c r="U26" t="s">
        <v>208</v>
      </c>
      <c r="V26" t="s">
        <v>208</v>
      </c>
    </row>
    <row r="27" spans="2:22">
      <c r="C27" t="s">
        <v>15</v>
      </c>
      <c r="D27" t="s">
        <v>254</v>
      </c>
      <c r="E27">
        <v>15</v>
      </c>
      <c r="F27">
        <v>3</v>
      </c>
      <c r="G27">
        <v>3</v>
      </c>
      <c r="H27">
        <v>0</v>
      </c>
      <c r="I27">
        <v>21</v>
      </c>
      <c r="J27">
        <v>21</v>
      </c>
      <c r="K27">
        <v>2</v>
      </c>
      <c r="L27">
        <v>2</v>
      </c>
      <c r="M27">
        <v>0</v>
      </c>
      <c r="N27">
        <v>0</v>
      </c>
      <c r="O27">
        <v>0</v>
      </c>
      <c r="S27" t="s">
        <v>208</v>
      </c>
      <c r="T27" t="s">
        <v>208</v>
      </c>
      <c r="U27" t="s">
        <v>208</v>
      </c>
      <c r="V27" t="s">
        <v>208</v>
      </c>
    </row>
    <row r="28" spans="2:22">
      <c r="C28" t="s">
        <v>15</v>
      </c>
      <c r="D28" t="s">
        <v>254</v>
      </c>
      <c r="E28">
        <v>15</v>
      </c>
      <c r="F28">
        <v>3</v>
      </c>
      <c r="G28">
        <v>4</v>
      </c>
      <c r="H28">
        <v>0</v>
      </c>
      <c r="I28">
        <v>21</v>
      </c>
      <c r="J28">
        <v>21</v>
      </c>
      <c r="K28">
        <v>2</v>
      </c>
      <c r="L28">
        <v>2</v>
      </c>
      <c r="M28">
        <v>0</v>
      </c>
      <c r="N28">
        <v>0</v>
      </c>
      <c r="O28">
        <v>0</v>
      </c>
      <c r="S28" t="s">
        <v>208</v>
      </c>
      <c r="T28" t="s">
        <v>208</v>
      </c>
      <c r="U28" t="s">
        <v>208</v>
      </c>
      <c r="V28" t="s">
        <v>208</v>
      </c>
    </row>
    <row r="29" spans="2:22">
      <c r="C29" t="s">
        <v>15</v>
      </c>
      <c r="D29" t="s">
        <v>254</v>
      </c>
      <c r="E29">
        <v>15</v>
      </c>
      <c r="F29">
        <v>3</v>
      </c>
      <c r="G29">
        <v>5</v>
      </c>
      <c r="H29">
        <v>0</v>
      </c>
      <c r="I29">
        <v>21</v>
      </c>
      <c r="J29">
        <v>21</v>
      </c>
      <c r="K29">
        <v>2</v>
      </c>
      <c r="L29">
        <v>2</v>
      </c>
      <c r="M29">
        <v>0</v>
      </c>
      <c r="N29">
        <v>0</v>
      </c>
      <c r="O29">
        <v>0</v>
      </c>
      <c r="S29" t="s">
        <v>208</v>
      </c>
      <c r="T29" t="s">
        <v>208</v>
      </c>
      <c r="U29" t="s">
        <v>208</v>
      </c>
      <c r="V29" t="s">
        <v>208</v>
      </c>
    </row>
    <row r="30" spans="2:22">
      <c r="C30" t="s">
        <v>15</v>
      </c>
      <c r="D30" t="s">
        <v>254</v>
      </c>
      <c r="E30">
        <v>15</v>
      </c>
      <c r="F30">
        <v>3</v>
      </c>
      <c r="G30">
        <v>6</v>
      </c>
      <c r="H30">
        <v>0</v>
      </c>
      <c r="I30">
        <v>21</v>
      </c>
      <c r="J30">
        <v>21</v>
      </c>
      <c r="K30">
        <v>2</v>
      </c>
      <c r="L30">
        <v>2</v>
      </c>
      <c r="M30">
        <v>0</v>
      </c>
      <c r="N30">
        <v>0</v>
      </c>
      <c r="O30">
        <v>0</v>
      </c>
      <c r="S30" t="s">
        <v>208</v>
      </c>
      <c r="T30" t="s">
        <v>208</v>
      </c>
      <c r="U30" t="s">
        <v>208</v>
      </c>
      <c r="V30" t="s">
        <v>208</v>
      </c>
    </row>
    <row r="31" spans="2:22">
      <c r="C31" t="s">
        <v>15</v>
      </c>
      <c r="D31" t="s">
        <v>254</v>
      </c>
      <c r="E31">
        <v>15</v>
      </c>
      <c r="F31">
        <v>3</v>
      </c>
      <c r="G31">
        <v>7</v>
      </c>
      <c r="H31">
        <v>0</v>
      </c>
      <c r="I31">
        <v>21</v>
      </c>
      <c r="J31">
        <v>21</v>
      </c>
      <c r="K31">
        <v>2</v>
      </c>
      <c r="L31">
        <v>2</v>
      </c>
      <c r="M31">
        <v>0</v>
      </c>
      <c r="N31">
        <v>0</v>
      </c>
      <c r="O31">
        <v>0</v>
      </c>
      <c r="S31" t="s">
        <v>208</v>
      </c>
      <c r="T31" t="s">
        <v>208</v>
      </c>
      <c r="U31" t="s">
        <v>208</v>
      </c>
      <c r="V31" t="s">
        <v>208</v>
      </c>
    </row>
    <row r="32" spans="2:22">
      <c r="C32" t="s">
        <v>15</v>
      </c>
      <c r="D32" t="s">
        <v>254</v>
      </c>
      <c r="E32">
        <v>15</v>
      </c>
      <c r="F32">
        <v>3</v>
      </c>
      <c r="G32">
        <v>8</v>
      </c>
      <c r="H32">
        <v>0</v>
      </c>
      <c r="I32">
        <v>21</v>
      </c>
      <c r="J32">
        <v>21</v>
      </c>
      <c r="K32">
        <v>2</v>
      </c>
      <c r="L32">
        <v>2</v>
      </c>
      <c r="M32">
        <v>0</v>
      </c>
      <c r="N32">
        <v>0</v>
      </c>
      <c r="O32">
        <v>0</v>
      </c>
      <c r="S32" t="s">
        <v>208</v>
      </c>
      <c r="T32" t="s">
        <v>208</v>
      </c>
      <c r="U32" t="s">
        <v>208</v>
      </c>
      <c r="V32" t="s">
        <v>208</v>
      </c>
    </row>
    <row r="33" spans="2:22">
      <c r="C33" t="s">
        <v>15</v>
      </c>
      <c r="D33" t="s">
        <v>254</v>
      </c>
      <c r="E33">
        <v>15</v>
      </c>
      <c r="F33">
        <v>3</v>
      </c>
      <c r="G33">
        <v>9</v>
      </c>
      <c r="H33">
        <v>0</v>
      </c>
      <c r="I33">
        <v>21</v>
      </c>
      <c r="J33">
        <v>21</v>
      </c>
      <c r="K33">
        <v>2</v>
      </c>
      <c r="L33">
        <v>2</v>
      </c>
      <c r="M33">
        <v>0</v>
      </c>
      <c r="N33">
        <v>0</v>
      </c>
      <c r="O33">
        <v>0</v>
      </c>
      <c r="S33" t="s">
        <v>208</v>
      </c>
      <c r="T33" t="s">
        <v>208</v>
      </c>
      <c r="U33" t="s">
        <v>208</v>
      </c>
      <c r="V33" t="s">
        <v>208</v>
      </c>
    </row>
    <row r="34" spans="2:22">
      <c r="B34">
        <v>4</v>
      </c>
      <c r="C34" t="s">
        <v>16</v>
      </c>
      <c r="D34" t="s">
        <v>333</v>
      </c>
      <c r="E34">
        <v>15</v>
      </c>
      <c r="F34">
        <v>4</v>
      </c>
      <c r="G34">
        <v>1</v>
      </c>
      <c r="H34">
        <v>0</v>
      </c>
      <c r="I34">
        <v>24</v>
      </c>
      <c r="J34">
        <v>24</v>
      </c>
      <c r="K34">
        <v>2</v>
      </c>
      <c r="L34">
        <v>2</v>
      </c>
      <c r="M34">
        <v>0</v>
      </c>
      <c r="N34">
        <v>1</v>
      </c>
      <c r="O34">
        <v>0</v>
      </c>
      <c r="S34" t="s">
        <v>208</v>
      </c>
      <c r="T34" t="s">
        <v>208</v>
      </c>
      <c r="U34" t="s">
        <v>208</v>
      </c>
      <c r="V34" t="s">
        <v>208</v>
      </c>
    </row>
    <row r="35" spans="2:22">
      <c r="C35" t="s">
        <v>16</v>
      </c>
      <c r="D35" t="s">
        <v>333</v>
      </c>
      <c r="E35">
        <v>15</v>
      </c>
      <c r="F35">
        <v>4</v>
      </c>
      <c r="G35">
        <v>2</v>
      </c>
      <c r="H35">
        <v>0</v>
      </c>
      <c r="I35">
        <v>24</v>
      </c>
      <c r="J35">
        <v>24</v>
      </c>
      <c r="K35">
        <v>2</v>
      </c>
      <c r="L35">
        <v>2</v>
      </c>
      <c r="M35">
        <v>0</v>
      </c>
      <c r="N35">
        <v>1</v>
      </c>
      <c r="O35">
        <v>0</v>
      </c>
      <c r="S35" t="s">
        <v>208</v>
      </c>
      <c r="T35" t="s">
        <v>208</v>
      </c>
      <c r="U35" t="s">
        <v>208</v>
      </c>
      <c r="V35" t="s">
        <v>208</v>
      </c>
    </row>
    <row r="36" spans="2:22">
      <c r="C36" t="s">
        <v>16</v>
      </c>
      <c r="D36" t="s">
        <v>333</v>
      </c>
      <c r="E36">
        <v>15</v>
      </c>
      <c r="F36">
        <v>4</v>
      </c>
      <c r="G36">
        <v>3</v>
      </c>
      <c r="H36">
        <v>0</v>
      </c>
      <c r="I36">
        <v>24</v>
      </c>
      <c r="J36">
        <v>24</v>
      </c>
      <c r="K36">
        <v>2</v>
      </c>
      <c r="L36">
        <v>2</v>
      </c>
      <c r="M36">
        <v>0</v>
      </c>
      <c r="N36">
        <v>1</v>
      </c>
      <c r="O36">
        <v>0</v>
      </c>
      <c r="S36" t="s">
        <v>208</v>
      </c>
      <c r="T36" t="s">
        <v>208</v>
      </c>
      <c r="U36" t="s">
        <v>208</v>
      </c>
      <c r="V36" t="s">
        <v>208</v>
      </c>
    </row>
    <row r="37" spans="2:22">
      <c r="C37" t="s">
        <v>16</v>
      </c>
      <c r="D37" t="s">
        <v>333</v>
      </c>
      <c r="E37">
        <v>15</v>
      </c>
      <c r="F37">
        <v>4</v>
      </c>
      <c r="G37">
        <v>4</v>
      </c>
      <c r="H37">
        <v>0</v>
      </c>
      <c r="I37">
        <v>24</v>
      </c>
      <c r="J37">
        <v>24</v>
      </c>
      <c r="K37">
        <v>2</v>
      </c>
      <c r="L37">
        <v>2</v>
      </c>
      <c r="M37">
        <v>0</v>
      </c>
      <c r="N37">
        <v>1</v>
      </c>
      <c r="O37">
        <v>0</v>
      </c>
      <c r="S37" t="s">
        <v>208</v>
      </c>
      <c r="T37" t="s">
        <v>208</v>
      </c>
      <c r="U37" t="s">
        <v>208</v>
      </c>
      <c r="V37" t="s">
        <v>208</v>
      </c>
    </row>
    <row r="38" spans="2:22">
      <c r="C38" t="s">
        <v>16</v>
      </c>
      <c r="D38" t="s">
        <v>333</v>
      </c>
      <c r="E38">
        <v>15</v>
      </c>
      <c r="F38">
        <v>4</v>
      </c>
      <c r="G38">
        <v>5</v>
      </c>
      <c r="H38">
        <v>0</v>
      </c>
      <c r="I38">
        <v>24</v>
      </c>
      <c r="J38">
        <v>24</v>
      </c>
      <c r="K38">
        <v>2</v>
      </c>
      <c r="L38">
        <v>2</v>
      </c>
      <c r="M38">
        <v>0</v>
      </c>
      <c r="N38">
        <v>1</v>
      </c>
      <c r="O38">
        <v>0</v>
      </c>
      <c r="S38" t="s">
        <v>208</v>
      </c>
      <c r="T38" t="s">
        <v>208</v>
      </c>
      <c r="U38" t="s">
        <v>208</v>
      </c>
      <c r="V38" t="s">
        <v>208</v>
      </c>
    </row>
    <row r="39" spans="2:22">
      <c r="C39" t="s">
        <v>16</v>
      </c>
      <c r="D39" t="s">
        <v>333</v>
      </c>
      <c r="E39">
        <v>15</v>
      </c>
      <c r="F39">
        <v>4</v>
      </c>
      <c r="G39">
        <v>6</v>
      </c>
      <c r="H39">
        <v>0</v>
      </c>
      <c r="I39">
        <v>24</v>
      </c>
      <c r="J39">
        <v>24</v>
      </c>
      <c r="K39">
        <v>2</v>
      </c>
      <c r="L39">
        <v>2</v>
      </c>
      <c r="M39">
        <v>0</v>
      </c>
      <c r="N39">
        <v>1</v>
      </c>
      <c r="O39">
        <v>0</v>
      </c>
      <c r="S39" t="s">
        <v>208</v>
      </c>
      <c r="T39" t="s">
        <v>208</v>
      </c>
      <c r="U39" t="s">
        <v>208</v>
      </c>
      <c r="V39" t="s">
        <v>208</v>
      </c>
    </row>
    <row r="40" spans="2:22">
      <c r="C40" t="s">
        <v>16</v>
      </c>
      <c r="D40" t="s">
        <v>333</v>
      </c>
      <c r="E40">
        <v>15</v>
      </c>
      <c r="F40">
        <v>4</v>
      </c>
      <c r="G40">
        <v>7</v>
      </c>
      <c r="H40">
        <v>0</v>
      </c>
      <c r="I40">
        <v>24</v>
      </c>
      <c r="J40">
        <v>24</v>
      </c>
      <c r="K40">
        <v>2</v>
      </c>
      <c r="L40">
        <v>2</v>
      </c>
      <c r="M40">
        <v>0</v>
      </c>
      <c r="N40">
        <v>1</v>
      </c>
      <c r="O40">
        <v>0</v>
      </c>
      <c r="S40" t="s">
        <v>208</v>
      </c>
      <c r="T40" t="s">
        <v>208</v>
      </c>
      <c r="U40" t="s">
        <v>208</v>
      </c>
      <c r="V40" t="s">
        <v>208</v>
      </c>
    </row>
    <row r="41" spans="2:22">
      <c r="C41" t="s">
        <v>16</v>
      </c>
      <c r="D41" t="s">
        <v>333</v>
      </c>
      <c r="E41">
        <v>15</v>
      </c>
      <c r="F41">
        <v>4</v>
      </c>
      <c r="G41">
        <v>8</v>
      </c>
      <c r="H41">
        <v>0</v>
      </c>
      <c r="I41">
        <v>24</v>
      </c>
      <c r="J41">
        <v>24</v>
      </c>
      <c r="K41">
        <v>2</v>
      </c>
      <c r="L41">
        <v>2</v>
      </c>
      <c r="M41">
        <v>0</v>
      </c>
      <c r="N41">
        <v>1</v>
      </c>
      <c r="O41">
        <v>0</v>
      </c>
      <c r="S41" t="s">
        <v>208</v>
      </c>
      <c r="T41" t="s">
        <v>208</v>
      </c>
      <c r="U41" t="s">
        <v>208</v>
      </c>
      <c r="V41" t="s">
        <v>208</v>
      </c>
    </row>
    <row r="42" spans="2:22">
      <c r="C42" t="s">
        <v>16</v>
      </c>
      <c r="D42" t="s">
        <v>333</v>
      </c>
      <c r="E42">
        <v>15</v>
      </c>
      <c r="F42">
        <v>4</v>
      </c>
      <c r="G42">
        <v>9</v>
      </c>
      <c r="H42">
        <v>0</v>
      </c>
      <c r="I42">
        <v>24</v>
      </c>
      <c r="J42">
        <v>24</v>
      </c>
      <c r="K42">
        <v>2</v>
      </c>
      <c r="L42">
        <v>2</v>
      </c>
      <c r="M42">
        <v>0</v>
      </c>
      <c r="N42">
        <v>1</v>
      </c>
      <c r="O42">
        <v>0</v>
      </c>
      <c r="S42" t="s">
        <v>208</v>
      </c>
      <c r="T42" t="s">
        <v>208</v>
      </c>
      <c r="U42" t="s">
        <v>208</v>
      </c>
      <c r="V42" t="s">
        <v>208</v>
      </c>
    </row>
    <row r="43" spans="2:22">
      <c r="B43">
        <v>15</v>
      </c>
      <c r="C43" t="s">
        <v>247</v>
      </c>
      <c r="D43" t="s">
        <v>247</v>
      </c>
      <c r="E43">
        <v>0</v>
      </c>
      <c r="F43">
        <v>2</v>
      </c>
      <c r="G43">
        <v>1</v>
      </c>
      <c r="H43">
        <v>0</v>
      </c>
      <c r="I43">
        <v>34</v>
      </c>
      <c r="J43">
        <v>39</v>
      </c>
      <c r="K43">
        <v>3</v>
      </c>
      <c r="L43">
        <v>3</v>
      </c>
      <c r="M43">
        <v>0</v>
      </c>
      <c r="N43">
        <v>0</v>
      </c>
      <c r="O43">
        <v>0</v>
      </c>
      <c r="P43">
        <v>0.15</v>
      </c>
      <c r="Q43">
        <v>0.01</v>
      </c>
      <c r="S43" t="s">
        <v>315</v>
      </c>
      <c r="T43" t="s">
        <v>323</v>
      </c>
      <c r="U43" t="s">
        <v>208</v>
      </c>
      <c r="V43" t="s">
        <v>208</v>
      </c>
    </row>
    <row r="44" spans="2:22">
      <c r="G44">
        <v>2</v>
      </c>
      <c r="H44">
        <v>0</v>
      </c>
      <c r="I44">
        <v>46</v>
      </c>
      <c r="J44">
        <v>52</v>
      </c>
      <c r="K44">
        <v>2</v>
      </c>
      <c r="L44">
        <v>4</v>
      </c>
      <c r="M44">
        <v>0</v>
      </c>
      <c r="N44">
        <v>0</v>
      </c>
      <c r="O44">
        <v>0</v>
      </c>
      <c r="P44">
        <v>0.2</v>
      </c>
      <c r="Q44">
        <v>0.02</v>
      </c>
      <c r="S44" t="s">
        <v>316</v>
      </c>
      <c r="T44" t="s">
        <v>324</v>
      </c>
      <c r="U44" t="s">
        <v>208</v>
      </c>
      <c r="V44" t="s">
        <v>208</v>
      </c>
    </row>
    <row r="45" spans="2:22">
      <c r="G45">
        <v>3</v>
      </c>
      <c r="H45">
        <v>0</v>
      </c>
      <c r="I45">
        <v>57</v>
      </c>
      <c r="J45">
        <v>66</v>
      </c>
      <c r="K45">
        <v>3</v>
      </c>
      <c r="L45">
        <v>5</v>
      </c>
      <c r="M45">
        <v>0</v>
      </c>
      <c r="N45">
        <v>0</v>
      </c>
      <c r="O45">
        <v>0</v>
      </c>
      <c r="P45">
        <v>0.25</v>
      </c>
      <c r="Q45">
        <v>0.03</v>
      </c>
      <c r="S45" t="s">
        <v>317</v>
      </c>
      <c r="T45" t="s">
        <v>325</v>
      </c>
      <c r="U45" t="s">
        <v>208</v>
      </c>
      <c r="V45" t="s">
        <v>208</v>
      </c>
    </row>
    <row r="46" spans="2:22">
      <c r="G46">
        <v>4</v>
      </c>
      <c r="H46">
        <v>0</v>
      </c>
      <c r="I46">
        <v>69</v>
      </c>
      <c r="J46">
        <v>79</v>
      </c>
      <c r="K46">
        <v>3</v>
      </c>
      <c r="L46">
        <v>6</v>
      </c>
      <c r="M46">
        <v>0</v>
      </c>
      <c r="N46">
        <v>0</v>
      </c>
      <c r="O46">
        <v>0</v>
      </c>
      <c r="P46">
        <v>0.3</v>
      </c>
      <c r="Q46">
        <v>0.05</v>
      </c>
      <c r="S46" t="s">
        <v>318</v>
      </c>
      <c r="T46" t="s">
        <v>326</v>
      </c>
      <c r="U46" t="s">
        <v>208</v>
      </c>
      <c r="V46" t="s">
        <v>208</v>
      </c>
    </row>
    <row r="47" spans="2:22">
      <c r="G47">
        <v>5</v>
      </c>
      <c r="H47">
        <v>0</v>
      </c>
      <c r="I47">
        <v>80</v>
      </c>
      <c r="J47">
        <v>92</v>
      </c>
      <c r="K47">
        <v>3</v>
      </c>
      <c r="L47">
        <v>7</v>
      </c>
      <c r="M47">
        <v>0</v>
      </c>
      <c r="N47">
        <v>0</v>
      </c>
      <c r="O47">
        <v>0</v>
      </c>
      <c r="P47">
        <v>0.4</v>
      </c>
      <c r="Q47">
        <v>0.06</v>
      </c>
      <c r="R47">
        <v>1E-4</v>
      </c>
      <c r="S47" t="s">
        <v>319</v>
      </c>
      <c r="T47" t="s">
        <v>327</v>
      </c>
      <c r="U47" t="s">
        <v>330</v>
      </c>
      <c r="V47" t="s">
        <v>208</v>
      </c>
    </row>
    <row r="48" spans="2:22">
      <c r="G48">
        <v>6</v>
      </c>
      <c r="H48">
        <v>0</v>
      </c>
      <c r="I48">
        <v>92</v>
      </c>
      <c r="J48">
        <v>105</v>
      </c>
      <c r="K48">
        <v>2</v>
      </c>
      <c r="L48">
        <v>8</v>
      </c>
      <c r="M48">
        <v>0</v>
      </c>
      <c r="N48">
        <v>0</v>
      </c>
      <c r="O48">
        <v>0</v>
      </c>
      <c r="P48">
        <v>0.5</v>
      </c>
      <c r="Q48">
        <v>7.0000000000000007E-2</v>
      </c>
      <c r="R48">
        <v>1E-4</v>
      </c>
      <c r="S48" t="s">
        <v>320</v>
      </c>
      <c r="T48" t="s">
        <v>328</v>
      </c>
      <c r="U48" t="s">
        <v>330</v>
      </c>
      <c r="V48" t="s">
        <v>208</v>
      </c>
    </row>
    <row r="49" spans="2:22">
      <c r="G49">
        <v>7</v>
      </c>
      <c r="H49">
        <v>0</v>
      </c>
      <c r="I49">
        <v>103</v>
      </c>
      <c r="J49">
        <v>118</v>
      </c>
      <c r="K49">
        <v>3</v>
      </c>
      <c r="L49">
        <v>9</v>
      </c>
      <c r="M49">
        <v>0</v>
      </c>
      <c r="N49">
        <v>0</v>
      </c>
      <c r="O49">
        <v>0</v>
      </c>
      <c r="P49">
        <v>0.6</v>
      </c>
      <c r="Q49">
        <v>0.08</v>
      </c>
      <c r="R49">
        <v>1E-4</v>
      </c>
      <c r="S49" t="s">
        <v>321</v>
      </c>
      <c r="T49" t="s">
        <v>329</v>
      </c>
      <c r="U49" t="s">
        <v>330</v>
      </c>
      <c r="V49" t="s">
        <v>208</v>
      </c>
    </row>
    <row r="50" spans="2:22">
      <c r="G50">
        <v>8</v>
      </c>
      <c r="H50">
        <v>0</v>
      </c>
      <c r="I50">
        <v>115</v>
      </c>
      <c r="J50">
        <v>132</v>
      </c>
      <c r="K50">
        <v>3</v>
      </c>
      <c r="L50">
        <v>10</v>
      </c>
      <c r="M50">
        <v>1</v>
      </c>
      <c r="N50">
        <v>0</v>
      </c>
      <c r="O50">
        <v>0</v>
      </c>
      <c r="Q50">
        <v>0.08</v>
      </c>
      <c r="R50">
        <v>1E-4</v>
      </c>
      <c r="S50" t="s">
        <v>208</v>
      </c>
      <c r="T50" t="s">
        <v>329</v>
      </c>
      <c r="U50" t="s">
        <v>330</v>
      </c>
      <c r="V50" t="s">
        <v>208</v>
      </c>
    </row>
    <row r="51" spans="2:22">
      <c r="G51">
        <v>9</v>
      </c>
      <c r="H51">
        <v>0</v>
      </c>
      <c r="I51">
        <v>126</v>
      </c>
      <c r="J51">
        <v>145</v>
      </c>
      <c r="K51">
        <v>3</v>
      </c>
      <c r="L51">
        <v>11</v>
      </c>
      <c r="M51">
        <v>1</v>
      </c>
      <c r="N51">
        <v>0</v>
      </c>
      <c r="O51">
        <v>0</v>
      </c>
      <c r="P51">
        <v>0.15</v>
      </c>
      <c r="Q51">
        <v>0.08</v>
      </c>
      <c r="R51">
        <v>1E-4</v>
      </c>
      <c r="S51" t="s">
        <v>315</v>
      </c>
      <c r="T51" t="s">
        <v>329</v>
      </c>
      <c r="U51" t="s">
        <v>330</v>
      </c>
      <c r="V51" t="s">
        <v>208</v>
      </c>
    </row>
    <row r="52" spans="2:22">
      <c r="B52">
        <v>8</v>
      </c>
      <c r="C52" t="s">
        <v>241</v>
      </c>
      <c r="D52" t="s">
        <v>252</v>
      </c>
      <c r="E52">
        <v>10800</v>
      </c>
      <c r="F52">
        <v>3</v>
      </c>
      <c r="G52">
        <v>1</v>
      </c>
      <c r="H52">
        <v>0</v>
      </c>
      <c r="I52">
        <v>26</v>
      </c>
      <c r="J52">
        <v>37</v>
      </c>
      <c r="K52">
        <v>3</v>
      </c>
      <c r="L52">
        <v>3</v>
      </c>
      <c r="M52">
        <v>0</v>
      </c>
      <c r="N52">
        <v>0</v>
      </c>
      <c r="O52">
        <v>0</v>
      </c>
      <c r="P52">
        <v>0.1</v>
      </c>
      <c r="Q52">
        <v>0.01</v>
      </c>
      <c r="S52" t="s">
        <v>322</v>
      </c>
      <c r="T52" t="s">
        <v>323</v>
      </c>
      <c r="U52" t="s">
        <v>208</v>
      </c>
      <c r="V52" t="s">
        <v>208</v>
      </c>
    </row>
    <row r="53" spans="2:22">
      <c r="G53">
        <v>2</v>
      </c>
      <c r="H53">
        <v>0</v>
      </c>
      <c r="I53">
        <v>36</v>
      </c>
      <c r="J53">
        <v>50</v>
      </c>
      <c r="K53">
        <v>3</v>
      </c>
      <c r="L53">
        <v>4</v>
      </c>
      <c r="M53">
        <v>0</v>
      </c>
      <c r="N53">
        <v>0</v>
      </c>
      <c r="O53">
        <v>0</v>
      </c>
      <c r="P53">
        <v>0.15</v>
      </c>
      <c r="Q53">
        <v>0.02</v>
      </c>
      <c r="S53" t="s">
        <v>315</v>
      </c>
      <c r="T53" t="s">
        <v>324</v>
      </c>
      <c r="U53" t="s">
        <v>208</v>
      </c>
      <c r="V53" t="s">
        <v>208</v>
      </c>
    </row>
    <row r="54" spans="2:22">
      <c r="G54">
        <v>3</v>
      </c>
      <c r="H54">
        <v>0</v>
      </c>
      <c r="I54">
        <v>44</v>
      </c>
      <c r="J54">
        <v>62</v>
      </c>
      <c r="K54">
        <v>3</v>
      </c>
      <c r="L54">
        <v>5</v>
      </c>
      <c r="M54">
        <v>0</v>
      </c>
      <c r="N54">
        <v>0</v>
      </c>
      <c r="O54">
        <v>0</v>
      </c>
      <c r="P54">
        <v>0.2</v>
      </c>
      <c r="Q54">
        <v>0.03</v>
      </c>
      <c r="S54" t="s">
        <v>316</v>
      </c>
      <c r="T54" t="s">
        <v>325</v>
      </c>
      <c r="U54" t="s">
        <v>208</v>
      </c>
      <c r="V54" t="s">
        <v>208</v>
      </c>
    </row>
    <row r="55" spans="2:22">
      <c r="G55">
        <v>4</v>
      </c>
      <c r="H55">
        <v>0</v>
      </c>
      <c r="I55">
        <v>54</v>
      </c>
      <c r="J55">
        <v>75</v>
      </c>
      <c r="K55">
        <v>3</v>
      </c>
      <c r="L55">
        <v>6</v>
      </c>
      <c r="M55">
        <v>0</v>
      </c>
      <c r="N55">
        <v>0</v>
      </c>
      <c r="O55">
        <v>0</v>
      </c>
      <c r="P55">
        <v>0.25</v>
      </c>
      <c r="Q55">
        <v>0.05</v>
      </c>
      <c r="S55" t="s">
        <v>317</v>
      </c>
      <c r="T55" t="s">
        <v>326</v>
      </c>
      <c r="U55" t="s">
        <v>208</v>
      </c>
      <c r="V55" t="s">
        <v>208</v>
      </c>
    </row>
    <row r="56" spans="2:22">
      <c r="G56">
        <v>5</v>
      </c>
      <c r="H56">
        <v>0</v>
      </c>
      <c r="I56">
        <v>62</v>
      </c>
      <c r="J56">
        <v>87</v>
      </c>
      <c r="K56">
        <v>3</v>
      </c>
      <c r="L56">
        <v>7</v>
      </c>
      <c r="M56">
        <v>0</v>
      </c>
      <c r="N56">
        <v>0</v>
      </c>
      <c r="O56">
        <v>0</v>
      </c>
      <c r="P56">
        <v>0.3</v>
      </c>
      <c r="Q56">
        <v>0.06</v>
      </c>
      <c r="R56">
        <v>1E-4</v>
      </c>
      <c r="S56" t="s">
        <v>318</v>
      </c>
      <c r="T56" t="s">
        <v>327</v>
      </c>
      <c r="U56" t="s">
        <v>330</v>
      </c>
      <c r="V56" t="s">
        <v>208</v>
      </c>
    </row>
    <row r="57" spans="2:22">
      <c r="G57">
        <v>6</v>
      </c>
      <c r="H57">
        <v>0</v>
      </c>
      <c r="I57">
        <v>72</v>
      </c>
      <c r="J57">
        <v>100</v>
      </c>
      <c r="K57">
        <v>2</v>
      </c>
      <c r="L57">
        <v>8</v>
      </c>
      <c r="M57">
        <v>0</v>
      </c>
      <c r="N57">
        <v>0</v>
      </c>
      <c r="O57">
        <v>0</v>
      </c>
      <c r="P57">
        <v>0.3</v>
      </c>
      <c r="Q57">
        <v>7.0000000000000007E-2</v>
      </c>
      <c r="R57">
        <v>1E-4</v>
      </c>
      <c r="S57" t="s">
        <v>318</v>
      </c>
      <c r="T57" t="s">
        <v>328</v>
      </c>
      <c r="U57" t="s">
        <v>330</v>
      </c>
      <c r="V57" t="s">
        <v>208</v>
      </c>
    </row>
    <row r="58" spans="2:22">
      <c r="G58">
        <v>7</v>
      </c>
      <c r="H58">
        <v>0</v>
      </c>
      <c r="I58">
        <v>80</v>
      </c>
      <c r="J58">
        <v>112</v>
      </c>
      <c r="K58">
        <v>2</v>
      </c>
      <c r="L58">
        <v>9</v>
      </c>
      <c r="M58">
        <v>0</v>
      </c>
      <c r="N58">
        <v>0</v>
      </c>
      <c r="O58">
        <v>0</v>
      </c>
      <c r="P58">
        <v>0.3</v>
      </c>
      <c r="Q58">
        <v>0.08</v>
      </c>
      <c r="R58">
        <v>1E-4</v>
      </c>
      <c r="S58" t="s">
        <v>318</v>
      </c>
      <c r="T58" t="s">
        <v>329</v>
      </c>
      <c r="U58" t="s">
        <v>330</v>
      </c>
      <c r="V58" t="s">
        <v>208</v>
      </c>
    </row>
    <row r="59" spans="2:22">
      <c r="G59">
        <v>8</v>
      </c>
      <c r="H59">
        <v>0</v>
      </c>
      <c r="I59">
        <v>90</v>
      </c>
      <c r="J59">
        <v>126</v>
      </c>
      <c r="K59">
        <v>2</v>
      </c>
      <c r="L59">
        <v>10</v>
      </c>
      <c r="M59">
        <v>0</v>
      </c>
      <c r="N59">
        <v>0</v>
      </c>
      <c r="O59">
        <v>0</v>
      </c>
      <c r="P59">
        <v>0.4</v>
      </c>
      <c r="Q59">
        <v>0.08</v>
      </c>
      <c r="R59">
        <v>1E-4</v>
      </c>
      <c r="S59" t="s">
        <v>319</v>
      </c>
      <c r="T59" t="s">
        <v>329</v>
      </c>
      <c r="U59" t="s">
        <v>330</v>
      </c>
      <c r="V59" t="s">
        <v>208</v>
      </c>
    </row>
    <row r="60" spans="2:22">
      <c r="G60">
        <v>9</v>
      </c>
      <c r="H60">
        <v>0</v>
      </c>
      <c r="I60">
        <v>98</v>
      </c>
      <c r="J60">
        <v>138</v>
      </c>
      <c r="K60">
        <v>2</v>
      </c>
      <c r="L60">
        <v>11</v>
      </c>
      <c r="M60">
        <v>0</v>
      </c>
      <c r="N60">
        <v>0</v>
      </c>
      <c r="O60">
        <v>0</v>
      </c>
      <c r="P60">
        <v>0.4</v>
      </c>
      <c r="Q60">
        <v>0.08</v>
      </c>
      <c r="R60">
        <v>1E-4</v>
      </c>
      <c r="S60" t="s">
        <v>319</v>
      </c>
      <c r="T60" t="s">
        <v>329</v>
      </c>
      <c r="U60" t="s">
        <v>330</v>
      </c>
      <c r="V60" t="s">
        <v>208</v>
      </c>
    </row>
    <row r="61" spans="2:22">
      <c r="B61">
        <v>9</v>
      </c>
      <c r="C61" t="s">
        <v>242</v>
      </c>
      <c r="D61" t="s">
        <v>256</v>
      </c>
      <c r="E61">
        <v>28800</v>
      </c>
      <c r="F61">
        <v>4</v>
      </c>
      <c r="G61">
        <v>1</v>
      </c>
      <c r="H61">
        <v>0</v>
      </c>
      <c r="I61">
        <v>50</v>
      </c>
      <c r="J61">
        <v>70</v>
      </c>
      <c r="K61">
        <v>4</v>
      </c>
      <c r="L61">
        <v>10</v>
      </c>
      <c r="M61">
        <v>1</v>
      </c>
      <c r="N61">
        <v>0</v>
      </c>
      <c r="O61">
        <v>0</v>
      </c>
      <c r="Q61">
        <v>0.01</v>
      </c>
      <c r="S61" t="s">
        <v>208</v>
      </c>
      <c r="T61" t="s">
        <v>323</v>
      </c>
      <c r="U61" t="s">
        <v>208</v>
      </c>
      <c r="V61" t="s">
        <v>208</v>
      </c>
    </row>
    <row r="62" spans="2:22">
      <c r="G62">
        <v>2</v>
      </c>
      <c r="H62">
        <v>0</v>
      </c>
      <c r="I62">
        <v>70</v>
      </c>
      <c r="J62">
        <v>98</v>
      </c>
      <c r="K62">
        <v>4</v>
      </c>
      <c r="L62">
        <v>14</v>
      </c>
      <c r="M62">
        <v>1</v>
      </c>
      <c r="N62">
        <v>0</v>
      </c>
      <c r="O62">
        <v>0</v>
      </c>
      <c r="P62">
        <v>0.15</v>
      </c>
      <c r="Q62">
        <v>0.02</v>
      </c>
      <c r="S62" t="s">
        <v>315</v>
      </c>
      <c r="T62" t="s">
        <v>324</v>
      </c>
      <c r="U62" t="s">
        <v>208</v>
      </c>
      <c r="V62" t="s">
        <v>208</v>
      </c>
    </row>
    <row r="63" spans="2:22">
      <c r="G63">
        <v>3</v>
      </c>
      <c r="H63">
        <v>0</v>
      </c>
      <c r="I63">
        <v>85</v>
      </c>
      <c r="J63">
        <v>119</v>
      </c>
      <c r="K63">
        <v>4</v>
      </c>
      <c r="L63">
        <v>17</v>
      </c>
      <c r="M63">
        <v>1</v>
      </c>
      <c r="N63">
        <v>0</v>
      </c>
      <c r="O63">
        <v>0</v>
      </c>
      <c r="P63">
        <v>0.2</v>
      </c>
      <c r="Q63">
        <v>0.03</v>
      </c>
      <c r="S63" t="s">
        <v>316</v>
      </c>
      <c r="T63" t="s">
        <v>325</v>
      </c>
      <c r="U63" t="s">
        <v>208</v>
      </c>
      <c r="V63" t="s">
        <v>208</v>
      </c>
    </row>
    <row r="64" spans="2:22">
      <c r="G64">
        <v>4</v>
      </c>
      <c r="H64">
        <v>0</v>
      </c>
      <c r="I64">
        <v>100</v>
      </c>
      <c r="J64">
        <v>140</v>
      </c>
      <c r="K64">
        <v>4</v>
      </c>
      <c r="L64">
        <v>20</v>
      </c>
      <c r="M64">
        <v>2</v>
      </c>
      <c r="N64">
        <v>0</v>
      </c>
      <c r="O64">
        <v>0</v>
      </c>
      <c r="Q64">
        <v>0.05</v>
      </c>
      <c r="S64" t="s">
        <v>208</v>
      </c>
      <c r="T64" t="s">
        <v>326</v>
      </c>
      <c r="U64" t="s">
        <v>208</v>
      </c>
      <c r="V64" t="s">
        <v>208</v>
      </c>
    </row>
    <row r="65" spans="1:22">
      <c r="G65">
        <v>5</v>
      </c>
      <c r="H65">
        <v>0</v>
      </c>
      <c r="I65">
        <v>115</v>
      </c>
      <c r="J65">
        <v>161</v>
      </c>
      <c r="K65">
        <v>4</v>
      </c>
      <c r="L65">
        <v>23</v>
      </c>
      <c r="M65">
        <v>2</v>
      </c>
      <c r="N65">
        <v>0</v>
      </c>
      <c r="O65">
        <v>0</v>
      </c>
      <c r="P65">
        <v>0.15</v>
      </c>
      <c r="Q65">
        <v>0.06</v>
      </c>
      <c r="R65">
        <v>5.0000000000000001E-4</v>
      </c>
      <c r="S65" t="s">
        <v>315</v>
      </c>
      <c r="T65" t="s">
        <v>327</v>
      </c>
      <c r="U65" t="s">
        <v>331</v>
      </c>
      <c r="V65" t="s">
        <v>208</v>
      </c>
    </row>
    <row r="66" spans="1:22">
      <c r="G66">
        <v>6</v>
      </c>
      <c r="H66">
        <v>0</v>
      </c>
      <c r="I66">
        <v>130</v>
      </c>
      <c r="J66">
        <v>182</v>
      </c>
      <c r="K66">
        <v>4</v>
      </c>
      <c r="L66">
        <v>26</v>
      </c>
      <c r="M66">
        <v>2</v>
      </c>
      <c r="N66">
        <v>0</v>
      </c>
      <c r="O66">
        <v>0</v>
      </c>
      <c r="P66">
        <v>0.2</v>
      </c>
      <c r="Q66">
        <v>7.0000000000000007E-2</v>
      </c>
      <c r="R66">
        <v>5.0000000000000001E-4</v>
      </c>
      <c r="S66" t="s">
        <v>316</v>
      </c>
      <c r="T66" t="s">
        <v>328</v>
      </c>
      <c r="U66" t="s">
        <v>331</v>
      </c>
      <c r="V66" t="s">
        <v>208</v>
      </c>
    </row>
    <row r="67" spans="1:22">
      <c r="G67">
        <v>7</v>
      </c>
      <c r="H67">
        <v>0</v>
      </c>
      <c r="I67">
        <v>145</v>
      </c>
      <c r="J67">
        <v>203</v>
      </c>
      <c r="K67">
        <v>4</v>
      </c>
      <c r="L67">
        <v>29</v>
      </c>
      <c r="M67">
        <v>2</v>
      </c>
      <c r="N67">
        <v>0</v>
      </c>
      <c r="O67">
        <v>0</v>
      </c>
      <c r="P67">
        <v>0.25</v>
      </c>
      <c r="Q67">
        <v>0.08</v>
      </c>
      <c r="R67">
        <v>5.0000000000000001E-4</v>
      </c>
      <c r="S67" t="s">
        <v>317</v>
      </c>
      <c r="T67" t="s">
        <v>329</v>
      </c>
      <c r="U67" t="s">
        <v>331</v>
      </c>
      <c r="V67" t="s">
        <v>208</v>
      </c>
    </row>
    <row r="68" spans="1:22">
      <c r="G68">
        <v>8</v>
      </c>
      <c r="H68">
        <v>0</v>
      </c>
      <c r="I68">
        <v>160</v>
      </c>
      <c r="J68">
        <v>224</v>
      </c>
      <c r="K68">
        <v>4</v>
      </c>
      <c r="L68">
        <v>32</v>
      </c>
      <c r="M68">
        <v>3</v>
      </c>
      <c r="N68">
        <v>0</v>
      </c>
      <c r="O68">
        <v>0</v>
      </c>
      <c r="Q68">
        <v>0.08</v>
      </c>
      <c r="R68">
        <v>5.0000000000000001E-4</v>
      </c>
      <c r="S68" t="s">
        <v>208</v>
      </c>
      <c r="T68" t="s">
        <v>329</v>
      </c>
      <c r="U68" t="s">
        <v>331</v>
      </c>
      <c r="V68" t="s">
        <v>208</v>
      </c>
    </row>
    <row r="69" spans="1:22">
      <c r="G69">
        <v>9</v>
      </c>
      <c r="H69">
        <v>0</v>
      </c>
      <c r="I69">
        <v>190</v>
      </c>
      <c r="J69">
        <v>266</v>
      </c>
      <c r="K69">
        <v>4</v>
      </c>
      <c r="L69">
        <v>38</v>
      </c>
      <c r="M69">
        <v>3</v>
      </c>
      <c r="N69">
        <v>0</v>
      </c>
      <c r="O69">
        <v>0</v>
      </c>
      <c r="P69">
        <v>0.15</v>
      </c>
      <c r="Q69">
        <v>0.08</v>
      </c>
      <c r="R69">
        <v>5.0000000000000001E-4</v>
      </c>
      <c r="S69" t="s">
        <v>315</v>
      </c>
      <c r="T69" t="s">
        <v>329</v>
      </c>
      <c r="U69" t="s">
        <v>331</v>
      </c>
      <c r="V69" t="s">
        <v>208</v>
      </c>
    </row>
    <row r="70" spans="1:22">
      <c r="B70">
        <v>10</v>
      </c>
      <c r="C70" t="s">
        <v>243</v>
      </c>
      <c r="D70" t="s">
        <v>243</v>
      </c>
      <c r="E70">
        <v>43200</v>
      </c>
      <c r="F70">
        <v>6</v>
      </c>
      <c r="G70">
        <v>1</v>
      </c>
      <c r="H70">
        <v>320</v>
      </c>
      <c r="I70">
        <v>150</v>
      </c>
      <c r="J70">
        <v>210</v>
      </c>
      <c r="K70">
        <v>7</v>
      </c>
      <c r="L70">
        <v>30</v>
      </c>
      <c r="M70">
        <v>6</v>
      </c>
      <c r="N70">
        <v>1</v>
      </c>
      <c r="O70">
        <v>0</v>
      </c>
      <c r="R70">
        <v>0.02</v>
      </c>
      <c r="S70" t="s">
        <v>208</v>
      </c>
      <c r="T70" t="s">
        <v>208</v>
      </c>
      <c r="U70" t="s">
        <v>324</v>
      </c>
      <c r="V70" t="s">
        <v>208</v>
      </c>
    </row>
    <row r="71" spans="1:22">
      <c r="G71">
        <v>2</v>
      </c>
      <c r="H71">
        <v>400</v>
      </c>
      <c r="I71">
        <v>205</v>
      </c>
      <c r="J71">
        <v>287</v>
      </c>
      <c r="K71">
        <v>7</v>
      </c>
      <c r="L71">
        <v>41</v>
      </c>
      <c r="M71">
        <v>8</v>
      </c>
      <c r="N71">
        <v>1</v>
      </c>
      <c r="O71">
        <v>0</v>
      </c>
      <c r="Q71">
        <v>0.06</v>
      </c>
      <c r="R71">
        <v>0.02</v>
      </c>
      <c r="S71" t="s">
        <v>208</v>
      </c>
      <c r="T71" t="s">
        <v>327</v>
      </c>
      <c r="U71" t="s">
        <v>324</v>
      </c>
      <c r="V71" t="s">
        <v>208</v>
      </c>
    </row>
    <row r="72" spans="1:22">
      <c r="G72">
        <v>3</v>
      </c>
      <c r="H72">
        <v>470</v>
      </c>
      <c r="I72">
        <v>255</v>
      </c>
      <c r="J72">
        <v>357</v>
      </c>
      <c r="K72">
        <v>7</v>
      </c>
      <c r="L72">
        <v>51</v>
      </c>
      <c r="M72">
        <v>10</v>
      </c>
      <c r="N72">
        <v>1</v>
      </c>
      <c r="O72">
        <v>0</v>
      </c>
      <c r="Q72">
        <v>0.08</v>
      </c>
      <c r="R72">
        <v>0.02</v>
      </c>
      <c r="S72" t="s">
        <v>208</v>
      </c>
      <c r="T72" t="s">
        <v>329</v>
      </c>
      <c r="U72" t="s">
        <v>324</v>
      </c>
      <c r="V72" t="s">
        <v>208</v>
      </c>
    </row>
    <row r="73" spans="1:22">
      <c r="G73">
        <v>4</v>
      </c>
      <c r="H73">
        <v>500</v>
      </c>
      <c r="I73">
        <v>300</v>
      </c>
      <c r="J73">
        <v>420</v>
      </c>
      <c r="K73">
        <v>7</v>
      </c>
      <c r="L73">
        <v>60</v>
      </c>
      <c r="M73">
        <v>12</v>
      </c>
      <c r="N73">
        <v>2</v>
      </c>
      <c r="O73">
        <v>0</v>
      </c>
      <c r="R73">
        <v>0.02</v>
      </c>
      <c r="S73" t="s">
        <v>208</v>
      </c>
      <c r="T73" t="s">
        <v>208</v>
      </c>
      <c r="U73" t="s">
        <v>324</v>
      </c>
      <c r="V73" t="s">
        <v>208</v>
      </c>
    </row>
    <row r="74" spans="1:22">
      <c r="G74">
        <v>5</v>
      </c>
      <c r="H74">
        <v>600</v>
      </c>
      <c r="I74">
        <v>345</v>
      </c>
      <c r="J74">
        <v>483</v>
      </c>
      <c r="K74">
        <v>7</v>
      </c>
      <c r="L74">
        <v>69</v>
      </c>
      <c r="M74">
        <v>13</v>
      </c>
      <c r="N74">
        <v>2</v>
      </c>
      <c r="O74">
        <v>0</v>
      </c>
      <c r="Q74">
        <v>0.06</v>
      </c>
      <c r="R74">
        <v>0.05</v>
      </c>
      <c r="S74" t="s">
        <v>208</v>
      </c>
      <c r="T74" t="s">
        <v>327</v>
      </c>
      <c r="U74" t="s">
        <v>326</v>
      </c>
      <c r="V74" t="s">
        <v>208</v>
      </c>
    </row>
    <row r="75" spans="1:22">
      <c r="G75">
        <v>6</v>
      </c>
      <c r="H75">
        <v>600</v>
      </c>
      <c r="I75">
        <v>390</v>
      </c>
      <c r="J75">
        <v>546</v>
      </c>
      <c r="K75">
        <v>7</v>
      </c>
      <c r="L75">
        <v>78</v>
      </c>
      <c r="M75">
        <v>15</v>
      </c>
      <c r="N75">
        <v>2</v>
      </c>
      <c r="O75">
        <v>0</v>
      </c>
      <c r="Q75">
        <v>0.08</v>
      </c>
      <c r="R75">
        <v>0.05</v>
      </c>
      <c r="S75" t="s">
        <v>208</v>
      </c>
      <c r="T75" t="s">
        <v>329</v>
      </c>
      <c r="U75" t="s">
        <v>326</v>
      </c>
      <c r="V75" t="s">
        <v>208</v>
      </c>
    </row>
    <row r="76" spans="1:22">
      <c r="G76">
        <v>7</v>
      </c>
      <c r="H76">
        <v>700</v>
      </c>
      <c r="I76">
        <v>435</v>
      </c>
      <c r="J76">
        <v>609</v>
      </c>
      <c r="K76">
        <v>7</v>
      </c>
      <c r="L76">
        <v>87</v>
      </c>
      <c r="M76">
        <v>17</v>
      </c>
      <c r="N76">
        <v>2</v>
      </c>
      <c r="O76">
        <v>0</v>
      </c>
      <c r="Q76">
        <v>0.1</v>
      </c>
      <c r="R76">
        <v>0.05</v>
      </c>
      <c r="S76" t="s">
        <v>208</v>
      </c>
      <c r="T76" t="s">
        <v>322</v>
      </c>
      <c r="U76" t="s">
        <v>326</v>
      </c>
      <c r="V76" t="s">
        <v>208</v>
      </c>
    </row>
    <row r="77" spans="1:22">
      <c r="G77">
        <v>8</v>
      </c>
      <c r="H77">
        <v>800</v>
      </c>
      <c r="I77">
        <v>480</v>
      </c>
      <c r="J77">
        <v>672</v>
      </c>
      <c r="K77">
        <v>7</v>
      </c>
      <c r="L77">
        <v>96</v>
      </c>
      <c r="M77">
        <v>19</v>
      </c>
      <c r="N77">
        <v>3</v>
      </c>
      <c r="O77">
        <v>0</v>
      </c>
      <c r="R77">
        <v>0.05</v>
      </c>
      <c r="S77" t="s">
        <v>208</v>
      </c>
      <c r="T77" t="s">
        <v>208</v>
      </c>
      <c r="U77" t="s">
        <v>326</v>
      </c>
      <c r="V77" t="s">
        <v>208</v>
      </c>
    </row>
    <row r="78" spans="1:22">
      <c r="G78">
        <v>9</v>
      </c>
      <c r="H78">
        <v>800</v>
      </c>
      <c r="I78">
        <v>570</v>
      </c>
      <c r="J78">
        <v>798</v>
      </c>
      <c r="K78">
        <v>7</v>
      </c>
      <c r="L78">
        <v>114</v>
      </c>
      <c r="M78">
        <v>22</v>
      </c>
      <c r="N78">
        <v>3</v>
      </c>
      <c r="O78">
        <v>0</v>
      </c>
      <c r="Q78">
        <v>0.06</v>
      </c>
      <c r="R78">
        <v>0.05</v>
      </c>
      <c r="S78" t="s">
        <v>208</v>
      </c>
      <c r="T78" t="s">
        <v>327</v>
      </c>
      <c r="U78" t="s">
        <v>326</v>
      </c>
      <c r="V78" t="s">
        <v>208</v>
      </c>
    </row>
    <row r="79" spans="1:22">
      <c r="A79" t="s">
        <v>212</v>
      </c>
      <c r="B79">
        <v>11</v>
      </c>
      <c r="C79" t="s">
        <v>244</v>
      </c>
      <c r="D79" t="s">
        <v>244</v>
      </c>
      <c r="E79">
        <v>43200</v>
      </c>
      <c r="F79">
        <v>5</v>
      </c>
      <c r="G79">
        <v>1</v>
      </c>
      <c r="H79">
        <v>210</v>
      </c>
      <c r="I79">
        <v>400</v>
      </c>
      <c r="J79">
        <v>560</v>
      </c>
      <c r="K79">
        <v>3</v>
      </c>
      <c r="L79">
        <v>80</v>
      </c>
      <c r="M79">
        <v>8</v>
      </c>
      <c r="N79">
        <v>0</v>
      </c>
      <c r="O79">
        <v>0</v>
      </c>
      <c r="Q79">
        <v>0.05</v>
      </c>
      <c r="R79">
        <v>0.02</v>
      </c>
      <c r="S79" t="s">
        <v>208</v>
      </c>
      <c r="T79" t="s">
        <v>326</v>
      </c>
      <c r="U79" t="s">
        <v>324</v>
      </c>
      <c r="V79" t="s">
        <v>208</v>
      </c>
    </row>
    <row r="80" spans="1:22">
      <c r="G80">
        <v>2</v>
      </c>
      <c r="H80">
        <v>250</v>
      </c>
      <c r="I80">
        <v>540</v>
      </c>
      <c r="J80">
        <v>756</v>
      </c>
      <c r="K80">
        <v>3</v>
      </c>
      <c r="L80">
        <v>108</v>
      </c>
      <c r="M80">
        <v>10</v>
      </c>
      <c r="N80">
        <v>0</v>
      </c>
      <c r="O80">
        <v>0</v>
      </c>
      <c r="Q80">
        <v>0.06</v>
      </c>
      <c r="R80">
        <v>0.02</v>
      </c>
      <c r="S80" t="s">
        <v>208</v>
      </c>
      <c r="T80" t="s">
        <v>327</v>
      </c>
      <c r="U80" t="s">
        <v>324</v>
      </c>
      <c r="V80" t="s">
        <v>208</v>
      </c>
    </row>
    <row r="81" spans="1:22">
      <c r="G81">
        <v>3</v>
      </c>
      <c r="H81">
        <v>300</v>
      </c>
      <c r="I81">
        <v>680</v>
      </c>
      <c r="J81">
        <v>952</v>
      </c>
      <c r="K81">
        <v>3</v>
      </c>
      <c r="L81">
        <v>136</v>
      </c>
      <c r="M81">
        <v>13</v>
      </c>
      <c r="N81">
        <v>0</v>
      </c>
      <c r="O81">
        <v>0</v>
      </c>
      <c r="Q81">
        <v>0.08</v>
      </c>
      <c r="R81">
        <v>0.03</v>
      </c>
      <c r="S81" t="s">
        <v>208</v>
      </c>
      <c r="T81" t="s">
        <v>329</v>
      </c>
      <c r="U81" t="s">
        <v>325</v>
      </c>
      <c r="V81" t="s">
        <v>208</v>
      </c>
    </row>
    <row r="82" spans="1:22">
      <c r="G82">
        <v>4</v>
      </c>
      <c r="H82">
        <v>320</v>
      </c>
      <c r="I82">
        <v>800</v>
      </c>
      <c r="J82">
        <v>1120</v>
      </c>
      <c r="K82">
        <v>3</v>
      </c>
      <c r="L82">
        <v>160</v>
      </c>
      <c r="M82">
        <v>16</v>
      </c>
      <c r="N82">
        <v>0</v>
      </c>
      <c r="O82">
        <v>0</v>
      </c>
      <c r="Q82">
        <v>0.1</v>
      </c>
      <c r="R82">
        <v>0.03</v>
      </c>
      <c r="S82" t="s">
        <v>208</v>
      </c>
      <c r="T82" t="s">
        <v>322</v>
      </c>
      <c r="U82" t="s">
        <v>325</v>
      </c>
      <c r="V82" t="s">
        <v>208</v>
      </c>
    </row>
    <row r="83" spans="1:22">
      <c r="G83">
        <v>5</v>
      </c>
      <c r="H83">
        <v>350</v>
      </c>
      <c r="I83">
        <v>920</v>
      </c>
      <c r="J83">
        <v>1188</v>
      </c>
      <c r="K83">
        <v>3</v>
      </c>
      <c r="L83">
        <v>184</v>
      </c>
      <c r="M83">
        <v>18</v>
      </c>
      <c r="N83">
        <v>0</v>
      </c>
      <c r="O83">
        <v>0</v>
      </c>
      <c r="Q83">
        <v>0.15</v>
      </c>
      <c r="R83">
        <v>0.03</v>
      </c>
      <c r="S83" t="s">
        <v>208</v>
      </c>
      <c r="T83" t="s">
        <v>315</v>
      </c>
      <c r="U83" t="s">
        <v>325</v>
      </c>
      <c r="V83" t="s">
        <v>208</v>
      </c>
    </row>
    <row r="84" spans="1:22">
      <c r="G84">
        <v>6</v>
      </c>
      <c r="H84">
        <v>380</v>
      </c>
      <c r="I84">
        <v>1040</v>
      </c>
      <c r="J84">
        <v>1456</v>
      </c>
      <c r="K84">
        <v>3</v>
      </c>
      <c r="L84">
        <v>208</v>
      </c>
      <c r="M84">
        <v>20</v>
      </c>
      <c r="N84">
        <v>0</v>
      </c>
      <c r="O84">
        <v>0</v>
      </c>
      <c r="Q84">
        <v>0.15</v>
      </c>
      <c r="R84">
        <v>0.03</v>
      </c>
      <c r="S84" t="s">
        <v>208</v>
      </c>
      <c r="T84" t="s">
        <v>315</v>
      </c>
      <c r="U84" t="s">
        <v>325</v>
      </c>
      <c r="V84" t="s">
        <v>208</v>
      </c>
    </row>
    <row r="85" spans="1:22">
      <c r="G85">
        <v>7</v>
      </c>
      <c r="H85">
        <v>410</v>
      </c>
      <c r="I85">
        <v>1160</v>
      </c>
      <c r="J85">
        <v>1624</v>
      </c>
      <c r="K85">
        <v>3</v>
      </c>
      <c r="L85">
        <v>232</v>
      </c>
      <c r="M85">
        <v>23</v>
      </c>
      <c r="N85">
        <v>0</v>
      </c>
      <c r="O85">
        <v>0</v>
      </c>
      <c r="Q85">
        <v>0.2</v>
      </c>
      <c r="R85">
        <v>0.03</v>
      </c>
      <c r="S85" t="s">
        <v>208</v>
      </c>
      <c r="T85" t="s">
        <v>316</v>
      </c>
      <c r="U85" t="s">
        <v>325</v>
      </c>
      <c r="V85" t="s">
        <v>208</v>
      </c>
    </row>
    <row r="86" spans="1:22">
      <c r="G86">
        <v>8</v>
      </c>
      <c r="H86">
        <v>490</v>
      </c>
      <c r="I86">
        <v>1280</v>
      </c>
      <c r="J86">
        <v>1792</v>
      </c>
      <c r="K86">
        <v>3</v>
      </c>
      <c r="L86">
        <v>256</v>
      </c>
      <c r="M86">
        <v>25</v>
      </c>
      <c r="N86">
        <v>0</v>
      </c>
      <c r="O86">
        <v>0</v>
      </c>
      <c r="Q86">
        <v>0.2</v>
      </c>
      <c r="R86">
        <v>0.05</v>
      </c>
      <c r="S86" t="s">
        <v>208</v>
      </c>
      <c r="T86" t="s">
        <v>316</v>
      </c>
      <c r="U86" t="s">
        <v>326</v>
      </c>
      <c r="V86" t="s">
        <v>208</v>
      </c>
    </row>
    <row r="87" spans="1:22">
      <c r="G87">
        <v>9</v>
      </c>
      <c r="H87">
        <v>490</v>
      </c>
      <c r="I87">
        <v>1520</v>
      </c>
      <c r="J87">
        <v>2128</v>
      </c>
      <c r="K87">
        <v>3</v>
      </c>
      <c r="L87">
        <v>304</v>
      </c>
      <c r="M87">
        <v>30</v>
      </c>
      <c r="N87">
        <v>0</v>
      </c>
      <c r="O87">
        <v>0</v>
      </c>
      <c r="Q87">
        <v>0.25</v>
      </c>
      <c r="R87">
        <v>0.05</v>
      </c>
      <c r="S87" t="s">
        <v>208</v>
      </c>
      <c r="T87" t="s">
        <v>317</v>
      </c>
      <c r="U87" t="s">
        <v>326</v>
      </c>
      <c r="V87" t="s">
        <v>208</v>
      </c>
    </row>
    <row r="88" spans="1:22">
      <c r="A88" t="s">
        <v>212</v>
      </c>
      <c r="B88">
        <v>13</v>
      </c>
      <c r="C88" t="s">
        <v>245</v>
      </c>
      <c r="D88" t="s">
        <v>245</v>
      </c>
      <c r="E88">
        <v>86400</v>
      </c>
      <c r="F88">
        <v>7</v>
      </c>
      <c r="G88">
        <v>1</v>
      </c>
      <c r="H88">
        <v>1600</v>
      </c>
      <c r="I88">
        <v>900</v>
      </c>
      <c r="J88">
        <v>1260</v>
      </c>
      <c r="K88">
        <v>7</v>
      </c>
      <c r="L88">
        <v>180</v>
      </c>
      <c r="M88">
        <v>36</v>
      </c>
      <c r="N88">
        <v>6</v>
      </c>
      <c r="O88">
        <v>0</v>
      </c>
      <c r="R88">
        <v>0.05</v>
      </c>
      <c r="S88" t="s">
        <v>208</v>
      </c>
      <c r="T88" t="s">
        <v>208</v>
      </c>
      <c r="U88" t="s">
        <v>326</v>
      </c>
      <c r="V88" t="s">
        <v>208</v>
      </c>
    </row>
    <row r="89" spans="1:22">
      <c r="G89">
        <v>2</v>
      </c>
      <c r="H89">
        <v>2100</v>
      </c>
      <c r="I89">
        <v>1215</v>
      </c>
      <c r="J89">
        <v>1701</v>
      </c>
      <c r="K89">
        <v>7</v>
      </c>
      <c r="L89">
        <v>243</v>
      </c>
      <c r="M89">
        <v>48</v>
      </c>
      <c r="N89">
        <v>8</v>
      </c>
      <c r="O89">
        <v>0</v>
      </c>
      <c r="R89">
        <v>0.06</v>
      </c>
      <c r="S89" t="s">
        <v>208</v>
      </c>
      <c r="T89" t="s">
        <v>208</v>
      </c>
      <c r="U89" t="s">
        <v>327</v>
      </c>
      <c r="V89" t="s">
        <v>208</v>
      </c>
    </row>
    <row r="90" spans="1:22">
      <c r="G90">
        <v>3</v>
      </c>
      <c r="H90">
        <v>2500</v>
      </c>
      <c r="I90">
        <v>1530</v>
      </c>
      <c r="J90">
        <v>2142</v>
      </c>
      <c r="K90">
        <v>7</v>
      </c>
      <c r="L90">
        <v>306</v>
      </c>
      <c r="M90">
        <v>61</v>
      </c>
      <c r="N90">
        <v>10</v>
      </c>
      <c r="O90">
        <v>0</v>
      </c>
      <c r="R90">
        <v>7.0000000000000007E-2</v>
      </c>
      <c r="S90" t="s">
        <v>208</v>
      </c>
      <c r="T90" t="s">
        <v>208</v>
      </c>
      <c r="U90" t="s">
        <v>328</v>
      </c>
      <c r="V90" t="s">
        <v>208</v>
      </c>
    </row>
    <row r="91" spans="1:22">
      <c r="G91">
        <v>4</v>
      </c>
      <c r="H91">
        <v>2800</v>
      </c>
      <c r="I91">
        <v>1800</v>
      </c>
      <c r="J91">
        <v>2520</v>
      </c>
      <c r="K91">
        <v>7</v>
      </c>
      <c r="L91">
        <v>360</v>
      </c>
      <c r="M91">
        <v>72</v>
      </c>
      <c r="N91">
        <v>12</v>
      </c>
      <c r="O91">
        <v>0</v>
      </c>
      <c r="R91">
        <v>0.08</v>
      </c>
      <c r="S91" t="s">
        <v>208</v>
      </c>
      <c r="T91" t="s">
        <v>208</v>
      </c>
      <c r="U91" t="s">
        <v>329</v>
      </c>
      <c r="V91" t="s">
        <v>208</v>
      </c>
    </row>
    <row r="92" spans="1:22">
      <c r="G92">
        <v>5</v>
      </c>
      <c r="H92">
        <v>3100</v>
      </c>
      <c r="I92">
        <v>2070</v>
      </c>
      <c r="J92">
        <v>2898</v>
      </c>
      <c r="K92">
        <v>7</v>
      </c>
      <c r="L92">
        <v>414</v>
      </c>
      <c r="M92">
        <v>82</v>
      </c>
      <c r="N92">
        <v>13</v>
      </c>
      <c r="O92">
        <v>0</v>
      </c>
      <c r="R92">
        <v>0.08</v>
      </c>
      <c r="S92" t="s">
        <v>208</v>
      </c>
      <c r="T92" t="s">
        <v>208</v>
      </c>
      <c r="U92" t="s">
        <v>329</v>
      </c>
      <c r="V92" t="s">
        <v>208</v>
      </c>
    </row>
    <row r="93" spans="1:22">
      <c r="G93">
        <v>6</v>
      </c>
      <c r="H93">
        <v>3400</v>
      </c>
      <c r="I93">
        <v>2340</v>
      </c>
      <c r="J93">
        <v>3276</v>
      </c>
      <c r="K93">
        <v>7</v>
      </c>
      <c r="L93">
        <v>468</v>
      </c>
      <c r="M93">
        <v>93</v>
      </c>
      <c r="N93">
        <v>15</v>
      </c>
      <c r="O93">
        <v>0</v>
      </c>
      <c r="R93">
        <v>0.09</v>
      </c>
      <c r="S93" t="s">
        <v>208</v>
      </c>
      <c r="T93" t="s">
        <v>208</v>
      </c>
      <c r="U93" t="s">
        <v>332</v>
      </c>
      <c r="V93" t="s">
        <v>208</v>
      </c>
    </row>
    <row r="94" spans="1:22">
      <c r="G94">
        <v>7</v>
      </c>
      <c r="H94">
        <v>3700</v>
      </c>
      <c r="I94">
        <v>2610</v>
      </c>
      <c r="J94">
        <v>3654</v>
      </c>
      <c r="K94">
        <v>7</v>
      </c>
      <c r="L94">
        <v>522</v>
      </c>
      <c r="M94">
        <v>104</v>
      </c>
      <c r="N94">
        <v>17</v>
      </c>
      <c r="O94">
        <v>0</v>
      </c>
      <c r="R94">
        <v>0.09</v>
      </c>
      <c r="S94" t="s">
        <v>208</v>
      </c>
      <c r="T94" t="s">
        <v>208</v>
      </c>
      <c r="U94" t="s">
        <v>332</v>
      </c>
      <c r="V94" t="s">
        <v>208</v>
      </c>
    </row>
    <row r="95" spans="1:22">
      <c r="G95">
        <v>8</v>
      </c>
      <c r="H95">
        <v>4600</v>
      </c>
      <c r="I95">
        <v>2880</v>
      </c>
      <c r="J95">
        <v>4032</v>
      </c>
      <c r="K95">
        <v>7</v>
      </c>
      <c r="L95">
        <v>576</v>
      </c>
      <c r="M95">
        <v>115</v>
      </c>
      <c r="N95">
        <v>19</v>
      </c>
      <c r="O95">
        <v>0</v>
      </c>
      <c r="R95">
        <v>0.1</v>
      </c>
      <c r="S95" t="s">
        <v>208</v>
      </c>
      <c r="T95" t="s">
        <v>208</v>
      </c>
      <c r="U95" t="s">
        <v>322</v>
      </c>
      <c r="V95" t="s">
        <v>208</v>
      </c>
    </row>
    <row r="96" spans="1:22">
      <c r="G96">
        <v>9</v>
      </c>
      <c r="H96">
        <v>4600</v>
      </c>
      <c r="I96">
        <v>3420</v>
      </c>
      <c r="J96">
        <v>4788</v>
      </c>
      <c r="K96">
        <v>7</v>
      </c>
      <c r="L96">
        <v>684</v>
      </c>
      <c r="M96">
        <v>136</v>
      </c>
      <c r="N96">
        <v>22</v>
      </c>
      <c r="O96">
        <v>0</v>
      </c>
      <c r="R96">
        <v>0.1</v>
      </c>
      <c r="S96" t="s">
        <v>208</v>
      </c>
      <c r="T96" t="s">
        <v>208</v>
      </c>
      <c r="U96" t="s">
        <v>322</v>
      </c>
      <c r="V96" t="s">
        <v>208</v>
      </c>
    </row>
    <row r="97" spans="1:22">
      <c r="A97" t="s">
        <v>212</v>
      </c>
      <c r="B97">
        <v>12</v>
      </c>
      <c r="C97" t="s">
        <v>243</v>
      </c>
      <c r="D97" t="s">
        <v>243</v>
      </c>
      <c r="E97">
        <v>43200</v>
      </c>
      <c r="F97">
        <v>6</v>
      </c>
      <c r="G97">
        <v>1</v>
      </c>
      <c r="H97">
        <v>320</v>
      </c>
      <c r="I97">
        <v>150</v>
      </c>
      <c r="J97">
        <v>210</v>
      </c>
      <c r="K97">
        <v>7</v>
      </c>
      <c r="L97">
        <v>30</v>
      </c>
      <c r="M97">
        <v>6</v>
      </c>
      <c r="N97">
        <v>1</v>
      </c>
      <c r="O97">
        <v>0</v>
      </c>
      <c r="P97">
        <v>0</v>
      </c>
      <c r="Q97">
        <v>0</v>
      </c>
      <c r="R97">
        <v>0.02</v>
      </c>
      <c r="S97" t="s">
        <v>208</v>
      </c>
      <c r="T97" t="s">
        <v>208</v>
      </c>
      <c r="U97" t="s">
        <v>324</v>
      </c>
      <c r="V97" t="s">
        <v>208</v>
      </c>
    </row>
    <row r="98" spans="1:22">
      <c r="G98">
        <v>2</v>
      </c>
      <c r="H98">
        <v>400</v>
      </c>
      <c r="I98">
        <v>205</v>
      </c>
      <c r="J98">
        <v>287</v>
      </c>
      <c r="K98">
        <v>7</v>
      </c>
      <c r="L98">
        <v>41</v>
      </c>
      <c r="M98">
        <v>8</v>
      </c>
      <c r="N98">
        <v>1</v>
      </c>
      <c r="O98">
        <v>0</v>
      </c>
      <c r="P98">
        <v>0</v>
      </c>
      <c r="Q98">
        <v>0.06</v>
      </c>
      <c r="R98">
        <v>0.02</v>
      </c>
      <c r="S98" t="s">
        <v>208</v>
      </c>
      <c r="T98" t="s">
        <v>327</v>
      </c>
      <c r="U98" t="s">
        <v>324</v>
      </c>
      <c r="V98" t="s">
        <v>208</v>
      </c>
    </row>
    <row r="99" spans="1:22">
      <c r="G99">
        <v>3</v>
      </c>
      <c r="H99">
        <v>470</v>
      </c>
      <c r="I99">
        <v>255</v>
      </c>
      <c r="J99">
        <v>357</v>
      </c>
      <c r="K99">
        <v>7</v>
      </c>
      <c r="L99">
        <v>51</v>
      </c>
      <c r="M99">
        <v>10</v>
      </c>
      <c r="N99">
        <v>1</v>
      </c>
      <c r="O99">
        <v>0</v>
      </c>
      <c r="P99">
        <v>0</v>
      </c>
      <c r="Q99">
        <v>0.08</v>
      </c>
      <c r="R99">
        <v>0.02</v>
      </c>
      <c r="S99" t="s">
        <v>208</v>
      </c>
      <c r="T99" t="s">
        <v>329</v>
      </c>
      <c r="U99" t="s">
        <v>324</v>
      </c>
      <c r="V99" t="s">
        <v>208</v>
      </c>
    </row>
    <row r="100" spans="1:22">
      <c r="G100">
        <v>4</v>
      </c>
      <c r="H100">
        <v>500</v>
      </c>
      <c r="I100">
        <v>300</v>
      </c>
      <c r="J100">
        <v>420</v>
      </c>
      <c r="K100">
        <v>7</v>
      </c>
      <c r="L100">
        <v>60</v>
      </c>
      <c r="M100">
        <v>12</v>
      </c>
      <c r="N100">
        <v>2</v>
      </c>
      <c r="O100">
        <v>0</v>
      </c>
      <c r="P100">
        <v>0</v>
      </c>
      <c r="Q100">
        <v>0</v>
      </c>
      <c r="R100">
        <v>0.02</v>
      </c>
      <c r="S100" t="s">
        <v>208</v>
      </c>
      <c r="T100" t="s">
        <v>208</v>
      </c>
      <c r="U100" t="s">
        <v>324</v>
      </c>
      <c r="V100" t="s">
        <v>208</v>
      </c>
    </row>
    <row r="101" spans="1:22">
      <c r="G101">
        <v>5</v>
      </c>
      <c r="H101">
        <v>600</v>
      </c>
      <c r="I101">
        <v>345</v>
      </c>
      <c r="J101">
        <v>483</v>
      </c>
      <c r="K101">
        <v>7</v>
      </c>
      <c r="L101">
        <v>69</v>
      </c>
      <c r="M101">
        <v>13</v>
      </c>
      <c r="N101">
        <v>2</v>
      </c>
      <c r="O101">
        <v>0</v>
      </c>
      <c r="P101">
        <v>0</v>
      </c>
      <c r="Q101">
        <v>0.06</v>
      </c>
      <c r="R101">
        <v>0.05</v>
      </c>
      <c r="S101" t="s">
        <v>208</v>
      </c>
      <c r="T101" t="s">
        <v>327</v>
      </c>
      <c r="U101" t="s">
        <v>326</v>
      </c>
      <c r="V101" t="s">
        <v>208</v>
      </c>
    </row>
    <row r="102" spans="1:22">
      <c r="G102">
        <v>6</v>
      </c>
      <c r="H102">
        <v>600</v>
      </c>
      <c r="I102">
        <v>390</v>
      </c>
      <c r="J102">
        <v>546</v>
      </c>
      <c r="K102">
        <v>7</v>
      </c>
      <c r="L102">
        <v>78</v>
      </c>
      <c r="M102">
        <v>15</v>
      </c>
      <c r="N102">
        <v>2</v>
      </c>
      <c r="O102">
        <v>0</v>
      </c>
      <c r="P102">
        <v>0</v>
      </c>
      <c r="Q102">
        <v>0.08</v>
      </c>
      <c r="R102">
        <v>0.05</v>
      </c>
      <c r="S102" t="s">
        <v>208</v>
      </c>
      <c r="T102" t="s">
        <v>329</v>
      </c>
      <c r="U102" t="s">
        <v>326</v>
      </c>
      <c r="V102" t="s">
        <v>208</v>
      </c>
    </row>
    <row r="103" spans="1:22">
      <c r="G103">
        <v>7</v>
      </c>
      <c r="H103">
        <v>700</v>
      </c>
      <c r="I103">
        <v>435</v>
      </c>
      <c r="J103">
        <v>609</v>
      </c>
      <c r="K103">
        <v>7</v>
      </c>
      <c r="L103">
        <v>87</v>
      </c>
      <c r="M103">
        <v>17</v>
      </c>
      <c r="N103">
        <v>2</v>
      </c>
      <c r="O103">
        <v>0</v>
      </c>
      <c r="P103">
        <v>0</v>
      </c>
      <c r="Q103">
        <v>0.1</v>
      </c>
      <c r="R103">
        <v>0.05</v>
      </c>
      <c r="S103" t="s">
        <v>208</v>
      </c>
      <c r="T103" t="s">
        <v>322</v>
      </c>
      <c r="U103" t="s">
        <v>326</v>
      </c>
      <c r="V103" t="s">
        <v>208</v>
      </c>
    </row>
    <row r="104" spans="1:22">
      <c r="G104">
        <v>8</v>
      </c>
      <c r="H104">
        <v>800</v>
      </c>
      <c r="I104">
        <v>480</v>
      </c>
      <c r="J104">
        <v>672</v>
      </c>
      <c r="K104">
        <v>7</v>
      </c>
      <c r="L104">
        <v>96</v>
      </c>
      <c r="M104">
        <v>19</v>
      </c>
      <c r="N104">
        <v>3</v>
      </c>
      <c r="O104">
        <v>0</v>
      </c>
      <c r="P104">
        <v>0</v>
      </c>
      <c r="Q104">
        <v>0</v>
      </c>
      <c r="R104">
        <v>0.05</v>
      </c>
      <c r="S104" t="s">
        <v>208</v>
      </c>
      <c r="T104" t="s">
        <v>208</v>
      </c>
      <c r="U104" t="s">
        <v>326</v>
      </c>
      <c r="V104" t="s">
        <v>208</v>
      </c>
    </row>
    <row r="105" spans="1:22">
      <c r="G105">
        <v>9</v>
      </c>
      <c r="H105">
        <v>800</v>
      </c>
      <c r="I105">
        <v>570</v>
      </c>
      <c r="J105">
        <v>798</v>
      </c>
      <c r="K105">
        <v>7</v>
      </c>
      <c r="L105">
        <v>114</v>
      </c>
      <c r="M105">
        <v>22</v>
      </c>
      <c r="N105">
        <v>3</v>
      </c>
      <c r="O105">
        <v>0</v>
      </c>
      <c r="P105">
        <v>0</v>
      </c>
      <c r="Q105">
        <v>0.06</v>
      </c>
      <c r="R105">
        <v>0.05</v>
      </c>
      <c r="S105" t="s">
        <v>208</v>
      </c>
      <c r="T105" t="s">
        <v>327</v>
      </c>
      <c r="U105" t="s">
        <v>326</v>
      </c>
      <c r="V105" t="s">
        <v>208</v>
      </c>
    </row>
    <row r="106" spans="1:22">
      <c r="B106">
        <v>14</v>
      </c>
      <c r="C106" t="s">
        <v>246</v>
      </c>
      <c r="D106" t="s">
        <v>246</v>
      </c>
      <c r="E106">
        <v>0</v>
      </c>
      <c r="F106">
        <v>2</v>
      </c>
      <c r="G106">
        <v>1</v>
      </c>
      <c r="H106">
        <v>0</v>
      </c>
      <c r="I106">
        <v>130</v>
      </c>
      <c r="J106">
        <v>170</v>
      </c>
      <c r="K106">
        <v>4</v>
      </c>
      <c r="L106">
        <v>20</v>
      </c>
      <c r="M106">
        <v>2</v>
      </c>
      <c r="N106">
        <v>0</v>
      </c>
      <c r="O106">
        <v>0</v>
      </c>
      <c r="V106" t="s">
        <v>208</v>
      </c>
    </row>
    <row r="107" spans="1:22">
      <c r="G107">
        <v>2</v>
      </c>
      <c r="H107">
        <v>0</v>
      </c>
      <c r="I107">
        <v>176</v>
      </c>
      <c r="J107">
        <v>230</v>
      </c>
      <c r="K107">
        <v>4</v>
      </c>
      <c r="L107">
        <v>27</v>
      </c>
      <c r="M107">
        <v>2</v>
      </c>
      <c r="N107">
        <v>0</v>
      </c>
      <c r="O107">
        <v>0</v>
      </c>
      <c r="V107" t="s">
        <v>208</v>
      </c>
    </row>
    <row r="108" spans="1:22">
      <c r="G108">
        <v>3</v>
      </c>
      <c r="H108">
        <v>0</v>
      </c>
      <c r="I108">
        <v>221</v>
      </c>
      <c r="J108">
        <v>289</v>
      </c>
      <c r="K108">
        <v>4</v>
      </c>
      <c r="L108">
        <v>34</v>
      </c>
      <c r="M108">
        <v>3</v>
      </c>
      <c r="N108">
        <v>0</v>
      </c>
      <c r="O108">
        <v>0</v>
      </c>
      <c r="V108" t="s">
        <v>208</v>
      </c>
    </row>
    <row r="109" spans="1:22">
      <c r="G109">
        <v>4</v>
      </c>
      <c r="H109">
        <v>0</v>
      </c>
      <c r="I109">
        <v>260</v>
      </c>
      <c r="J109">
        <v>340</v>
      </c>
      <c r="K109">
        <v>4</v>
      </c>
      <c r="L109">
        <v>40</v>
      </c>
      <c r="M109">
        <v>4</v>
      </c>
      <c r="N109">
        <v>0</v>
      </c>
      <c r="O109">
        <v>0</v>
      </c>
      <c r="V109" t="s">
        <v>208</v>
      </c>
    </row>
    <row r="110" spans="1:22">
      <c r="G110">
        <v>5</v>
      </c>
      <c r="H110">
        <v>0</v>
      </c>
      <c r="I110">
        <v>299</v>
      </c>
      <c r="J110">
        <v>391</v>
      </c>
      <c r="K110">
        <v>4</v>
      </c>
      <c r="L110">
        <v>46</v>
      </c>
      <c r="M110">
        <v>4</v>
      </c>
      <c r="N110">
        <v>0</v>
      </c>
      <c r="O110">
        <v>0</v>
      </c>
      <c r="V110" t="s">
        <v>208</v>
      </c>
    </row>
    <row r="111" spans="1:22">
      <c r="G111">
        <v>6</v>
      </c>
      <c r="H111">
        <v>0</v>
      </c>
      <c r="I111">
        <v>338</v>
      </c>
      <c r="J111">
        <v>442</v>
      </c>
      <c r="K111">
        <v>4</v>
      </c>
      <c r="L111">
        <v>52</v>
      </c>
      <c r="M111">
        <v>5</v>
      </c>
      <c r="N111">
        <v>0</v>
      </c>
      <c r="O111">
        <v>0</v>
      </c>
      <c r="V111" t="s">
        <v>208</v>
      </c>
    </row>
    <row r="112" spans="1:22">
      <c r="G112">
        <v>7</v>
      </c>
      <c r="H112">
        <v>0</v>
      </c>
      <c r="I112">
        <v>377</v>
      </c>
      <c r="J112">
        <v>493</v>
      </c>
      <c r="K112">
        <v>4</v>
      </c>
      <c r="L112">
        <v>58</v>
      </c>
      <c r="M112">
        <v>5</v>
      </c>
      <c r="N112">
        <v>0</v>
      </c>
      <c r="O112">
        <v>0</v>
      </c>
      <c r="V112" t="s">
        <v>208</v>
      </c>
    </row>
    <row r="113" spans="1:22">
      <c r="G113">
        <v>8</v>
      </c>
      <c r="H113">
        <v>0</v>
      </c>
      <c r="I113">
        <v>494</v>
      </c>
      <c r="J113">
        <v>646</v>
      </c>
      <c r="K113">
        <v>4</v>
      </c>
      <c r="L113">
        <v>76</v>
      </c>
      <c r="M113">
        <v>7</v>
      </c>
      <c r="N113">
        <v>0</v>
      </c>
      <c r="O113">
        <v>0</v>
      </c>
      <c r="V113" t="s">
        <v>208</v>
      </c>
    </row>
    <row r="114" spans="1:22">
      <c r="A114" t="s">
        <v>44</v>
      </c>
      <c r="G114">
        <v>9</v>
      </c>
      <c r="H114">
        <v>0</v>
      </c>
      <c r="I114">
        <v>494</v>
      </c>
      <c r="J114">
        <v>646</v>
      </c>
      <c r="K114">
        <v>4</v>
      </c>
      <c r="L114">
        <v>76</v>
      </c>
      <c r="M114">
        <v>7</v>
      </c>
      <c r="N114">
        <v>0</v>
      </c>
      <c r="O114">
        <v>0</v>
      </c>
      <c r="V114" t="s">
        <v>208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2"/>
  <sheetViews>
    <sheetView topLeftCell="A4" workbookViewId="0">
      <selection activeCell="C11" sqref="C11"/>
    </sheetView>
  </sheetViews>
  <sheetFormatPr defaultRowHeight="13.5"/>
  <cols>
    <col min="2" max="2" width="31.875" customWidth="1"/>
    <col min="5" max="5" width="7.875" customWidth="1"/>
    <col min="6" max="30" width="5.875" customWidth="1"/>
    <col min="31" max="40" width="5.625" customWidth="1"/>
  </cols>
  <sheetData>
    <row r="1" spans="1:40" ht="27">
      <c r="A1" s="4" t="s">
        <v>312</v>
      </c>
      <c r="B1" s="10" t="s">
        <v>282</v>
      </c>
      <c r="C1" s="2" t="s">
        <v>283</v>
      </c>
      <c r="D1" s="100" t="s">
        <v>300</v>
      </c>
      <c r="E1" s="22" t="s">
        <v>301</v>
      </c>
      <c r="F1" s="22">
        <v>1</v>
      </c>
      <c r="G1" s="22">
        <v>2</v>
      </c>
      <c r="H1" s="22">
        <v>3</v>
      </c>
      <c r="I1" s="22">
        <v>4</v>
      </c>
      <c r="J1" s="22">
        <v>5</v>
      </c>
      <c r="K1" s="22">
        <v>6</v>
      </c>
      <c r="L1" s="22">
        <v>7</v>
      </c>
      <c r="M1" s="22">
        <v>8</v>
      </c>
      <c r="N1" s="22">
        <v>9</v>
      </c>
      <c r="O1" s="22">
        <v>10</v>
      </c>
      <c r="P1" s="22">
        <v>11</v>
      </c>
      <c r="Q1" s="22">
        <v>12</v>
      </c>
      <c r="R1" s="22">
        <v>13</v>
      </c>
      <c r="S1" s="22">
        <v>14</v>
      </c>
      <c r="T1" s="22">
        <v>15</v>
      </c>
      <c r="U1" s="22">
        <v>16</v>
      </c>
      <c r="V1" s="22">
        <v>17</v>
      </c>
      <c r="W1" s="22">
        <v>18</v>
      </c>
      <c r="X1" s="22">
        <v>19</v>
      </c>
      <c r="Y1" s="22">
        <v>20</v>
      </c>
      <c r="Z1" s="22">
        <v>21</v>
      </c>
      <c r="AA1" s="22">
        <v>22</v>
      </c>
      <c r="AB1" s="22">
        <v>23</v>
      </c>
      <c r="AC1" s="22">
        <v>24</v>
      </c>
      <c r="AD1" s="22">
        <v>25</v>
      </c>
      <c r="AE1" s="22">
        <v>26</v>
      </c>
      <c r="AF1" s="22">
        <v>27</v>
      </c>
      <c r="AG1" s="22">
        <v>28</v>
      </c>
      <c r="AH1" s="22">
        <v>29</v>
      </c>
      <c r="AI1" s="22">
        <v>30</v>
      </c>
      <c r="AJ1" s="22">
        <v>31</v>
      </c>
      <c r="AK1" s="22">
        <v>32</v>
      </c>
      <c r="AL1" s="22">
        <v>33</v>
      </c>
      <c r="AM1" s="22">
        <v>34</v>
      </c>
      <c r="AN1" s="22">
        <v>35</v>
      </c>
    </row>
    <row r="3" spans="1:40">
      <c r="A3" s="107">
        <v>1E-4</v>
      </c>
      <c r="B3" s="105" t="s">
        <v>308</v>
      </c>
    </row>
    <row r="4" spans="1:40">
      <c r="A4" s="107">
        <v>5.0000000000000001E-4</v>
      </c>
      <c r="B4" s="105" t="s">
        <v>309</v>
      </c>
    </row>
    <row r="5" spans="1:40">
      <c r="A5" s="106">
        <v>1E-3</v>
      </c>
      <c r="B5" s="105" t="s">
        <v>307</v>
      </c>
    </row>
    <row r="6" spans="1:40">
      <c r="A6" s="106">
        <v>2E-3</v>
      </c>
      <c r="B6" s="105" t="s">
        <v>310</v>
      </c>
    </row>
    <row r="7" spans="1:40">
      <c r="A7" s="106">
        <v>5.0000000000000001E-3</v>
      </c>
      <c r="B7" s="105" t="s">
        <v>306</v>
      </c>
    </row>
    <row r="8" spans="1:40">
      <c r="A8" s="98">
        <v>0.01</v>
      </c>
      <c r="B8" s="105" t="s">
        <v>305</v>
      </c>
    </row>
    <row r="9" spans="1:40">
      <c r="A9" s="98">
        <v>0.02</v>
      </c>
      <c r="B9" s="105" t="s">
        <v>304</v>
      </c>
      <c r="C9" s="103"/>
      <c r="E9" s="11"/>
    </row>
    <row r="10" spans="1:40">
      <c r="A10" s="98">
        <v>0.03</v>
      </c>
      <c r="B10" s="105" t="s">
        <v>311</v>
      </c>
      <c r="C10" s="103"/>
      <c r="E10" s="11"/>
    </row>
    <row r="11" spans="1:40" ht="14.25" customHeight="1">
      <c r="A11" s="98">
        <v>0.05</v>
      </c>
      <c r="B11" t="str">
        <f>F11&amp;","&amp;G11&amp;","&amp;H11&amp;","&amp;I11&amp;","&amp;J11&amp;","&amp;K11&amp;","&amp;L11&amp;","&amp;M11&amp;","&amp;N11&amp;","&amp;O11&amp;","&amp;P11&amp;","&amp;Q11&amp;","&amp;R11&amp;","&amp;S11&amp;","&amp;T11&amp;","&amp;U11&amp;","&amp;V11&amp;","&amp;W11&amp;","&amp;X11&amp;","&amp;Y11&amp;","&amp;Z11&amp;","&amp;AA11&amp;","&amp;AB11&amp;","&amp;AC11&amp;","&amp;AD11</f>
        <v>200,200,200,200,200,200,200,200,200,200,200,200,200,200,200,200,200,200,200,200,200,200,200,200,10000</v>
      </c>
      <c r="C11" s="103">
        <f t="shared" ref="C11:C19" si="0">1/D12</f>
        <v>5.0436875360036063E-2</v>
      </c>
      <c r="E11" s="11" t="s">
        <v>284</v>
      </c>
      <c r="F11">
        <v>200</v>
      </c>
      <c r="G11">
        <v>200</v>
      </c>
      <c r="H11">
        <v>200</v>
      </c>
      <c r="I11">
        <v>200</v>
      </c>
      <c r="J11">
        <v>200</v>
      </c>
      <c r="K11">
        <v>200</v>
      </c>
      <c r="L11">
        <v>200</v>
      </c>
      <c r="M11">
        <v>200</v>
      </c>
      <c r="N11">
        <v>200</v>
      </c>
      <c r="O11">
        <v>200</v>
      </c>
      <c r="P11">
        <v>200</v>
      </c>
      <c r="Q11">
        <v>200</v>
      </c>
      <c r="R11">
        <v>200</v>
      </c>
      <c r="S11">
        <v>200</v>
      </c>
      <c r="T11">
        <v>200</v>
      </c>
      <c r="U11">
        <v>200</v>
      </c>
      <c r="V11">
        <v>200</v>
      </c>
      <c r="W11">
        <v>200</v>
      </c>
      <c r="X11">
        <v>200</v>
      </c>
      <c r="Y11">
        <v>200</v>
      </c>
      <c r="Z11">
        <v>200</v>
      </c>
      <c r="AA11">
        <v>200</v>
      </c>
      <c r="AB11">
        <v>200</v>
      </c>
      <c r="AC11">
        <v>200</v>
      </c>
      <c r="AD11">
        <v>10000</v>
      </c>
    </row>
    <row r="12" spans="1:40">
      <c r="A12" s="98"/>
      <c r="C12" s="104"/>
      <c r="D12" s="67">
        <f>SUMPRODUCT($F$1:$AD$1,F12:AD12)</f>
        <v>19.826763511055159</v>
      </c>
      <c r="E12" s="11" t="s">
        <v>285</v>
      </c>
      <c r="F12">
        <f t="shared" ref="F12" si="1">F11/10000</f>
        <v>0.02</v>
      </c>
      <c r="G12">
        <f>(1-SUM($F12:F12))*G11/10000</f>
        <v>1.9599999999999999E-2</v>
      </c>
      <c r="H12">
        <f>(1-SUM($F12:G12))*H11/10000</f>
        <v>1.9208000000000003E-2</v>
      </c>
      <c r="I12">
        <f>(1-SUM($F12:H12))*I11/10000</f>
        <v>1.8823840000000001E-2</v>
      </c>
      <c r="J12">
        <f>(1-SUM($F12:I12))*J11/10000</f>
        <v>1.8447363200000001E-2</v>
      </c>
      <c r="K12">
        <f>(1-SUM($F12:J12))*K11/10000</f>
        <v>1.8078415936E-2</v>
      </c>
      <c r="L12">
        <f>(1-SUM($F12:K12))*L11/10000</f>
        <v>1.7716847617280002E-2</v>
      </c>
      <c r="M12">
        <f>(1-SUM($F12:L12))*M11/10000</f>
        <v>1.73625106649344E-2</v>
      </c>
      <c r="N12">
        <f>(1-SUM($F12:M12))*N11/10000</f>
        <v>1.7015260451635712E-2</v>
      </c>
      <c r="O12">
        <f>(1-SUM($F12:N12))*O11/10000</f>
        <v>1.6674955242602998E-2</v>
      </c>
      <c r="P12">
        <f>(1-SUM($F12:O12))*P11/10000</f>
        <v>1.6341456137750936E-2</v>
      </c>
      <c r="Q12">
        <f>(1-SUM($F12:P12))*Q11/10000</f>
        <v>1.6014627014995918E-2</v>
      </c>
      <c r="R12">
        <f>(1-SUM($F12:Q12))*R11/10000</f>
        <v>1.5694334474696002E-2</v>
      </c>
      <c r="S12">
        <f>(1-SUM($F12:R12))*S11/10000</f>
        <v>1.5380447785202079E-2</v>
      </c>
      <c r="T12">
        <f>(1-SUM($F12:S12))*T11/10000</f>
        <v>1.507283882949804E-2</v>
      </c>
      <c r="U12">
        <f>(1-SUM($F12:T12))*U11/10000</f>
        <v>1.4771382052908079E-2</v>
      </c>
      <c r="V12">
        <f>(1-SUM($F12:U12))*V11/10000</f>
        <v>1.4475954411849914E-2</v>
      </c>
      <c r="W12">
        <f>(1-SUM($F12:V12))*W11/10000</f>
        <v>1.4186435323612918E-2</v>
      </c>
      <c r="X12">
        <f>(1-SUM($F12:W12))*X11/10000</f>
        <v>1.3902706617140661E-2</v>
      </c>
      <c r="Y12">
        <f>(1-SUM($F12:X12))*Y11/10000</f>
        <v>1.3624652484797847E-2</v>
      </c>
      <c r="Z12">
        <f>(1-SUM($F12:Y12))*Z11/10000</f>
        <v>1.3352159435101891E-2</v>
      </c>
      <c r="AA12">
        <f>(1-SUM($F12:Z12))*AA11/10000</f>
        <v>1.3085116246399853E-2</v>
      </c>
      <c r="AB12">
        <f>(1-SUM($F12:AA12))*AB11/10000</f>
        <v>1.2823413921471856E-2</v>
      </c>
      <c r="AC12">
        <f>(1-SUM($F12:AB12))*AC11/10000</f>
        <v>1.2566945643042419E-2</v>
      </c>
      <c r="AD12">
        <f>(1-SUM($F12:AC12))*AD11/10000</f>
        <v>0.6157803365090786</v>
      </c>
    </row>
    <row r="13" spans="1:40" ht="14.25" customHeight="1">
      <c r="A13" s="98">
        <v>0.06</v>
      </c>
      <c r="B13" t="str">
        <f>F13&amp;","&amp;G13&amp;","&amp;H13&amp;","&amp;I13&amp;","&amp;J13&amp;","&amp;K13&amp;","&amp;L13&amp;","&amp;M13&amp;","&amp;N13&amp;","&amp;O13&amp;","&amp;P13&amp;","&amp;Q13&amp;","&amp;R13&amp;","&amp;S13&amp;","&amp;T13&amp;","&amp;U13&amp;","&amp;V13&amp;","&amp;W13&amp;","&amp;X13&amp;","&amp;Y13</f>
        <v>200,200,200,200,200,200,200,200,200,200,200,200,200,200,200,200,200,200,200,10000</v>
      </c>
      <c r="C13" s="103">
        <f t="shared" si="0"/>
        <v>6.0169914740747205E-2</v>
      </c>
      <c r="E13" s="11" t="s">
        <v>284</v>
      </c>
      <c r="F13">
        <v>200</v>
      </c>
      <c r="G13">
        <v>200</v>
      </c>
      <c r="H13">
        <v>200</v>
      </c>
      <c r="I13">
        <v>200</v>
      </c>
      <c r="J13">
        <v>200</v>
      </c>
      <c r="K13">
        <v>200</v>
      </c>
      <c r="L13">
        <v>200</v>
      </c>
      <c r="M13">
        <v>200</v>
      </c>
      <c r="N13">
        <v>200</v>
      </c>
      <c r="O13">
        <v>200</v>
      </c>
      <c r="P13">
        <v>200</v>
      </c>
      <c r="Q13">
        <v>200</v>
      </c>
      <c r="R13">
        <v>200</v>
      </c>
      <c r="S13">
        <v>200</v>
      </c>
      <c r="T13">
        <v>200</v>
      </c>
      <c r="U13">
        <v>200</v>
      </c>
      <c r="V13">
        <v>200</v>
      </c>
      <c r="W13">
        <v>200</v>
      </c>
      <c r="X13">
        <v>200</v>
      </c>
      <c r="Y13">
        <v>10000</v>
      </c>
    </row>
    <row r="14" spans="1:40">
      <c r="A14" s="98"/>
      <c r="C14" s="104"/>
      <c r="D14" s="67">
        <f>SUMPRODUCT($F$1:$AD$1,F14:AD14)</f>
        <v>16.619601412245274</v>
      </c>
      <c r="E14" s="11" t="s">
        <v>285</v>
      </c>
      <c r="F14">
        <f t="shared" ref="F14" si="2">F13/10000</f>
        <v>0.02</v>
      </c>
      <c r="G14">
        <f>(1-SUM($F14:F14))*G13/10000</f>
        <v>1.9599999999999999E-2</v>
      </c>
      <c r="H14">
        <f>(1-SUM($F14:G14))*H13/10000</f>
        <v>1.9208000000000003E-2</v>
      </c>
      <c r="I14">
        <f>(1-SUM($F14:H14))*I13/10000</f>
        <v>1.8823840000000001E-2</v>
      </c>
      <c r="J14">
        <f>(1-SUM($F14:I14))*J13/10000</f>
        <v>1.8447363200000001E-2</v>
      </c>
      <c r="K14">
        <f>(1-SUM($F14:J14))*K13/10000</f>
        <v>1.8078415936E-2</v>
      </c>
      <c r="L14">
        <f>(1-SUM($F14:K14))*L13/10000</f>
        <v>1.7716847617280002E-2</v>
      </c>
      <c r="M14">
        <f>(1-SUM($F14:L14))*M13/10000</f>
        <v>1.73625106649344E-2</v>
      </c>
      <c r="N14">
        <f>(1-SUM($F14:M14))*N13/10000</f>
        <v>1.7015260451635712E-2</v>
      </c>
      <c r="O14">
        <f>(1-SUM($F14:N14))*O13/10000</f>
        <v>1.6674955242602998E-2</v>
      </c>
      <c r="P14">
        <f>(1-SUM($F14:O14))*P13/10000</f>
        <v>1.6341456137750936E-2</v>
      </c>
      <c r="Q14">
        <f>(1-SUM($F14:P14))*Q13/10000</f>
        <v>1.6014627014995918E-2</v>
      </c>
      <c r="R14">
        <f>(1-SUM($F14:Q14))*R13/10000</f>
        <v>1.5694334474696002E-2</v>
      </c>
      <c r="S14">
        <f>(1-SUM($F14:R14))*S13/10000</f>
        <v>1.5380447785202079E-2</v>
      </c>
      <c r="T14">
        <f>(1-SUM($F14:S14))*T13/10000</f>
        <v>1.507283882949804E-2</v>
      </c>
      <c r="U14">
        <f>(1-SUM($F14:T14))*U13/10000</f>
        <v>1.4771382052908079E-2</v>
      </c>
      <c r="V14">
        <f>(1-SUM($F14:U14))*V13/10000</f>
        <v>1.4475954411849914E-2</v>
      </c>
      <c r="W14">
        <f>(1-SUM($F14:V14))*W13/10000</f>
        <v>1.4186435323612918E-2</v>
      </c>
      <c r="X14">
        <f>(1-SUM($F14:W14))*X13/10000</f>
        <v>1.3902706617140661E-2</v>
      </c>
      <c r="Y14">
        <f>(1-SUM($F14:X14))*Y13/10000</f>
        <v>0.68123262423989228</v>
      </c>
    </row>
    <row r="15" spans="1:40" ht="14.25" customHeight="1">
      <c r="A15" s="98">
        <v>7.0000000000000007E-2</v>
      </c>
      <c r="B15" t="str">
        <f>F15&amp;","&amp;G15&amp;","&amp;H15&amp;","&amp;I15&amp;","&amp;J15&amp;","&amp;K15&amp;","&amp;L15&amp;","&amp;M15&amp;","&amp;N15&amp;","&amp;O15&amp;","&amp;P15&amp;","&amp;Q15&amp;","&amp;R15&amp;","&amp;S15&amp;","&amp;T15&amp;","&amp;U15&amp;","&amp;V15&amp;","&amp;W15&amp;","&amp;X15&amp;","&amp;Y15</f>
        <v>370,370,370,370,370,370,370,370,370,370,370,370,370,370,370,370,370,370,370,10000</v>
      </c>
      <c r="C15" s="103">
        <f t="shared" si="0"/>
        <v>6.9872398627000148E-2</v>
      </c>
      <c r="E15" s="11" t="s">
        <v>284</v>
      </c>
      <c r="F15">
        <v>370</v>
      </c>
      <c r="G15">
        <v>370</v>
      </c>
      <c r="H15">
        <v>370</v>
      </c>
      <c r="I15">
        <v>370</v>
      </c>
      <c r="J15">
        <v>370</v>
      </c>
      <c r="K15">
        <v>370</v>
      </c>
      <c r="L15">
        <v>370</v>
      </c>
      <c r="M15">
        <v>370</v>
      </c>
      <c r="N15">
        <v>370</v>
      </c>
      <c r="O15">
        <v>370</v>
      </c>
      <c r="P15">
        <v>370</v>
      </c>
      <c r="Q15">
        <v>370</v>
      </c>
      <c r="R15">
        <v>370</v>
      </c>
      <c r="S15">
        <v>370</v>
      </c>
      <c r="T15">
        <v>370</v>
      </c>
      <c r="U15">
        <v>370</v>
      </c>
      <c r="V15">
        <v>370</v>
      </c>
      <c r="W15">
        <v>370</v>
      </c>
      <c r="X15">
        <v>370</v>
      </c>
      <c r="Y15">
        <v>10000</v>
      </c>
    </row>
    <row r="16" spans="1:40">
      <c r="A16" s="98"/>
      <c r="C16" s="104"/>
      <c r="D16" s="67">
        <f>SUMPRODUCT($F$1:$AD$1,F16:AD16)</f>
        <v>14.311802938643918</v>
      </c>
      <c r="E16" s="11" t="s">
        <v>285</v>
      </c>
      <c r="F16">
        <f t="shared" ref="F16" si="3">F15/10000</f>
        <v>3.6999999999999998E-2</v>
      </c>
      <c r="G16">
        <f>(1-SUM($F16:F16))*G15/10000</f>
        <v>3.5631000000000003E-2</v>
      </c>
      <c r="H16">
        <f>(1-SUM($F16:G16))*H15/10000</f>
        <v>3.4312652999999999E-2</v>
      </c>
      <c r="I16">
        <f>(1-SUM($F16:H16))*I15/10000</f>
        <v>3.3043084839000002E-2</v>
      </c>
      <c r="J16">
        <f>(1-SUM($F16:I16))*J15/10000</f>
        <v>3.1820490699956995E-2</v>
      </c>
      <c r="K16">
        <f>(1-SUM($F16:J16))*K15/10000</f>
        <v>3.064313254405859E-2</v>
      </c>
      <c r="L16">
        <f>(1-SUM($F16:K16))*L15/10000</f>
        <v>2.950933663992842E-2</v>
      </c>
      <c r="M16">
        <f>(1-SUM($F16:L16))*M15/10000</f>
        <v>2.8417491184251072E-2</v>
      </c>
      <c r="N16">
        <f>(1-SUM($F16:M16))*N15/10000</f>
        <v>2.7366044010433778E-2</v>
      </c>
      <c r="O16">
        <f>(1-SUM($F16:N16))*O15/10000</f>
        <v>2.6353500382047736E-2</v>
      </c>
      <c r="P16">
        <f>(1-SUM($F16:O16))*P15/10000</f>
        <v>2.537842086791196E-2</v>
      </c>
      <c r="Q16">
        <f>(1-SUM($F16:P16))*Q15/10000</f>
        <v>2.4439419295799219E-2</v>
      </c>
      <c r="R16">
        <f>(1-SUM($F16:Q16))*R15/10000</f>
        <v>2.353516078185465E-2</v>
      </c>
      <c r="S16">
        <f>(1-SUM($F16:R16))*S15/10000</f>
        <v>2.2664359832926029E-2</v>
      </c>
      <c r="T16">
        <f>(1-SUM($F16:S16))*T15/10000</f>
        <v>2.1825778519107764E-2</v>
      </c>
      <c r="U16">
        <f>(1-SUM($F16:T16))*U15/10000</f>
        <v>2.1018224713900777E-2</v>
      </c>
      <c r="V16">
        <f>(1-SUM($F16:U16))*V15/10000</f>
        <v>2.024055039948645E-2</v>
      </c>
      <c r="W16">
        <f>(1-SUM($F16:V16))*W15/10000</f>
        <v>1.949165003470545E-2</v>
      </c>
      <c r="X16">
        <f>(1-SUM($F16:W16))*X15/10000</f>
        <v>1.8770458983421348E-2</v>
      </c>
      <c r="Y16">
        <f>(1-SUM($F16:X16))*Y15/10000</f>
        <v>0.48853924327120968</v>
      </c>
    </row>
    <row r="17" spans="1:25" ht="14.25" customHeight="1">
      <c r="A17" s="98">
        <v>0.08</v>
      </c>
      <c r="B17" t="str">
        <f>F17&amp;","&amp;G17&amp;","&amp;H17&amp;","&amp;I17&amp;","&amp;J17&amp;","&amp;K17&amp;","&amp;L17&amp;","&amp;M17&amp;","&amp;N17&amp;","&amp;O17&amp;","&amp;P17&amp;","&amp;Q17&amp;","&amp;R17&amp;","&amp;S17&amp;","&amp;T17&amp;","&amp;U17&amp;","&amp;V17&amp;","&amp;W17&amp;","&amp;X17&amp;","&amp;Y17</f>
        <v>530,530,530,530,530,530,530,530,530,530,530,530,530,530,530,530,530,530,530,10000</v>
      </c>
      <c r="C17" s="103">
        <f t="shared" si="0"/>
        <v>7.9880780977798507E-2</v>
      </c>
      <c r="E17" s="11" t="s">
        <v>284</v>
      </c>
      <c r="F17">
        <v>530</v>
      </c>
      <c r="G17">
        <v>530</v>
      </c>
      <c r="H17">
        <v>530</v>
      </c>
      <c r="I17">
        <v>530</v>
      </c>
      <c r="J17">
        <v>530</v>
      </c>
      <c r="K17">
        <v>530</v>
      </c>
      <c r="L17">
        <v>530</v>
      </c>
      <c r="M17">
        <v>530</v>
      </c>
      <c r="N17">
        <v>530</v>
      </c>
      <c r="O17">
        <v>530</v>
      </c>
      <c r="P17">
        <v>530</v>
      </c>
      <c r="Q17">
        <v>530</v>
      </c>
      <c r="R17">
        <v>530</v>
      </c>
      <c r="S17">
        <v>530</v>
      </c>
      <c r="T17">
        <v>530</v>
      </c>
      <c r="U17">
        <v>530</v>
      </c>
      <c r="V17">
        <v>530</v>
      </c>
      <c r="W17">
        <v>530</v>
      </c>
      <c r="X17">
        <v>530</v>
      </c>
      <c r="Y17">
        <v>10000</v>
      </c>
    </row>
    <row r="18" spans="1:25">
      <c r="A18" s="98"/>
      <c r="C18" s="104"/>
      <c r="D18" s="67">
        <f>SUMPRODUCT($F$1:$AD$1,F18:AD18)</f>
        <v>12.518655773757807</v>
      </c>
      <c r="E18" s="11" t="s">
        <v>285</v>
      </c>
      <c r="F18">
        <f t="shared" ref="F18" si="4">F17/10000</f>
        <v>5.2999999999999999E-2</v>
      </c>
      <c r="G18">
        <f>(1-SUM($F18:F18))*G17/10000</f>
        <v>5.0191E-2</v>
      </c>
      <c r="H18">
        <f>(1-SUM($F18:G18))*H17/10000</f>
        <v>4.7530876999999999E-2</v>
      </c>
      <c r="I18">
        <f>(1-SUM($F18:H18))*I17/10000</f>
        <v>4.5011740518999997E-2</v>
      </c>
      <c r="J18">
        <f>(1-SUM($F18:I18))*J17/10000</f>
        <v>4.2626118271492999E-2</v>
      </c>
      <c r="K18">
        <f>(1-SUM($F18:J18))*K17/10000</f>
        <v>4.0366934003103871E-2</v>
      </c>
      <c r="L18">
        <f>(1-SUM($F18:K18))*L17/10000</f>
        <v>3.8227486500939371E-2</v>
      </c>
      <c r="M18">
        <f>(1-SUM($F18:L18))*M17/10000</f>
        <v>3.620142971638958E-2</v>
      </c>
      <c r="N18">
        <f>(1-SUM($F18:M18))*N17/10000</f>
        <v>3.4282753941420926E-2</v>
      </c>
      <c r="O18">
        <f>(1-SUM($F18:N18))*O17/10000</f>
        <v>3.2465767982525623E-2</v>
      </c>
      <c r="P18">
        <f>(1-SUM($F18:O18))*P17/10000</f>
        <v>3.074508227945176E-2</v>
      </c>
      <c r="Q18">
        <f>(1-SUM($F18:P18))*Q17/10000</f>
        <v>2.9115592918640822E-2</v>
      </c>
      <c r="R18">
        <f>(1-SUM($F18:Q18))*R17/10000</f>
        <v>2.7572466493952858E-2</v>
      </c>
      <c r="S18">
        <f>(1-SUM($F18:R18))*S17/10000</f>
        <v>2.6111125769773355E-2</v>
      </c>
      <c r="T18">
        <f>(1-SUM($F18:S18))*T17/10000</f>
        <v>2.4727236103975366E-2</v>
      </c>
      <c r="U18">
        <f>(1-SUM($F18:T18))*U17/10000</f>
        <v>2.3416692590464673E-2</v>
      </c>
      <c r="V18">
        <f>(1-SUM($F18:U18))*V17/10000</f>
        <v>2.2175607883170047E-2</v>
      </c>
      <c r="W18">
        <f>(1-SUM($F18:V18))*W17/10000</f>
        <v>2.1000300665362032E-2</v>
      </c>
      <c r="X18">
        <f>(1-SUM($F18:W18))*X17/10000</f>
        <v>1.9887284730097845E-2</v>
      </c>
      <c r="Y18">
        <f>(1-SUM($F18:X18))*Y17/10000</f>
        <v>0.35534450263023887</v>
      </c>
    </row>
    <row r="19" spans="1:25" ht="14.25" customHeight="1">
      <c r="A19" s="98">
        <v>0.09</v>
      </c>
      <c r="B19" t="str">
        <f>F19&amp;","&amp;G19&amp;","&amp;H19&amp;","&amp;I19&amp;","&amp;J19&amp;","&amp;K19&amp;","&amp;L19&amp;","&amp;M19&amp;","&amp;N19&amp;","&amp;O19&amp;","&amp;P19&amp;","&amp;Q19&amp;","&amp;R19&amp;","&amp;S19&amp;","&amp;T19&amp;","&amp;U19&amp;","&amp;V19&amp;","&amp;W19&amp;","&amp;X19&amp;","&amp;Y19</f>
        <v>680,680,680,680,680,680,680,680,680,680,680,680,680,680,680,680,680,680,680,10000</v>
      </c>
      <c r="C19" s="103">
        <f t="shared" si="0"/>
        <v>9.0009259828223581E-2</v>
      </c>
      <c r="E19" s="11" t="s">
        <v>284</v>
      </c>
      <c r="F19">
        <v>680</v>
      </c>
      <c r="G19">
        <v>680</v>
      </c>
      <c r="H19">
        <v>680</v>
      </c>
      <c r="I19">
        <v>680</v>
      </c>
      <c r="J19">
        <v>680</v>
      </c>
      <c r="K19">
        <v>680</v>
      </c>
      <c r="L19">
        <v>680</v>
      </c>
      <c r="M19">
        <v>680</v>
      </c>
      <c r="N19">
        <v>680</v>
      </c>
      <c r="O19">
        <v>680</v>
      </c>
      <c r="P19">
        <v>680</v>
      </c>
      <c r="Q19">
        <v>680</v>
      </c>
      <c r="R19">
        <v>680</v>
      </c>
      <c r="S19">
        <v>680</v>
      </c>
      <c r="T19">
        <v>680</v>
      </c>
      <c r="U19">
        <v>680</v>
      </c>
      <c r="V19">
        <v>680</v>
      </c>
      <c r="W19">
        <v>680</v>
      </c>
      <c r="X19">
        <v>680</v>
      </c>
      <c r="Y19">
        <v>10000</v>
      </c>
    </row>
    <row r="20" spans="1:25">
      <c r="A20" s="98"/>
      <c r="C20" s="104"/>
      <c r="D20" s="67">
        <f>SUMPRODUCT($F$1:$AD$1,F20:AD20)</f>
        <v>11.109968040048663</v>
      </c>
      <c r="E20" s="11" t="s">
        <v>285</v>
      </c>
      <c r="F20">
        <f t="shared" ref="F20" si="5">F19/10000</f>
        <v>6.8000000000000005E-2</v>
      </c>
      <c r="G20">
        <f>(1-SUM($F20:F20))*G19/10000</f>
        <v>6.3376000000000002E-2</v>
      </c>
      <c r="H20">
        <f>(1-SUM($F20:G20))*H19/10000</f>
        <v>5.9066432000000009E-2</v>
      </c>
      <c r="I20">
        <f>(1-SUM($F20:H20))*I19/10000</f>
        <v>5.5049914623999996E-2</v>
      </c>
      <c r="J20">
        <f>(1-SUM($F20:I20))*J19/10000</f>
        <v>5.1306520429568001E-2</v>
      </c>
      <c r="K20">
        <f>(1-SUM($F20:J20))*K19/10000</f>
        <v>4.781767704035738E-2</v>
      </c>
      <c r="L20">
        <f>(1-SUM($F20:K20))*L19/10000</f>
        <v>4.4566075001613074E-2</v>
      </c>
      <c r="M20">
        <f>(1-SUM($F20:L20))*M19/10000</f>
        <v>4.1535581901503374E-2</v>
      </c>
      <c r="N20">
        <f>(1-SUM($F20:M20))*N19/10000</f>
        <v>3.8711162332201156E-2</v>
      </c>
      <c r="O20">
        <f>(1-SUM($F20:N20))*O19/10000</f>
        <v>3.6078803293611475E-2</v>
      </c>
      <c r="P20">
        <f>(1-SUM($F20:O20))*P19/10000</f>
        <v>3.3625444669645899E-2</v>
      </c>
      <c r="Q20">
        <f>(1-SUM($F20:P20))*Q19/10000</f>
        <v>3.1338914432109975E-2</v>
      </c>
      <c r="R20">
        <f>(1-SUM($F20:Q20))*R19/10000</f>
        <v>2.9207868250726493E-2</v>
      </c>
      <c r="S20">
        <f>(1-SUM($F20:R20))*S19/10000</f>
        <v>2.7221733209677093E-2</v>
      </c>
      <c r="T20">
        <f>(1-SUM($F20:S20))*T19/10000</f>
        <v>2.5370655351419046E-2</v>
      </c>
      <c r="U20">
        <f>(1-SUM($F20:T20))*U19/10000</f>
        <v>2.3645450787522553E-2</v>
      </c>
      <c r="V20">
        <f>(1-SUM($F20:U20))*V19/10000</f>
        <v>2.2037560133971019E-2</v>
      </c>
      <c r="W20">
        <f>(1-SUM($F20:V20))*W19/10000</f>
        <v>2.0539006044860985E-2</v>
      </c>
      <c r="X20">
        <f>(1-SUM($F20:W20))*X19/10000</f>
        <v>1.9142353633810436E-2</v>
      </c>
      <c r="Y20">
        <f>(1-SUM($F20:X20))*Y19/10000</f>
        <v>0.26236284686340183</v>
      </c>
    </row>
    <row r="21" spans="1:25">
      <c r="A21" s="98">
        <v>0.1</v>
      </c>
      <c r="B21" t="str">
        <f>F21&amp;","&amp;G21&amp;","&amp;H21&amp;","&amp;I21&amp;","&amp;J21&amp;","&amp;K21&amp;","&amp;L21&amp;","&amp;M21&amp;","&amp;N21&amp;","&amp;O21&amp;","&amp;P21&amp;","&amp;Q21&amp;","&amp;R21</f>
        <v>450,450,450,450,450,450,450,450,450,450,450,450,10000</v>
      </c>
      <c r="C21" s="103">
        <f t="shared" ref="C21" si="6">1/D22</f>
        <v>9.9910377800728728E-2</v>
      </c>
      <c r="E21" s="11" t="s">
        <v>284</v>
      </c>
      <c r="F21">
        <v>450</v>
      </c>
      <c r="G21">
        <v>450</v>
      </c>
      <c r="H21">
        <v>450</v>
      </c>
      <c r="I21">
        <v>450</v>
      </c>
      <c r="J21">
        <v>450</v>
      </c>
      <c r="K21">
        <v>450</v>
      </c>
      <c r="L21">
        <v>450</v>
      </c>
      <c r="M21">
        <v>450</v>
      </c>
      <c r="N21">
        <v>450</v>
      </c>
      <c r="O21">
        <v>450</v>
      </c>
      <c r="P21">
        <v>450</v>
      </c>
      <c r="Q21">
        <v>450</v>
      </c>
      <c r="R21">
        <v>10000</v>
      </c>
    </row>
    <row r="22" spans="1:25">
      <c r="A22" s="98"/>
      <c r="C22" s="104"/>
      <c r="D22" s="67">
        <f t="shared" ref="D22" si="7">SUMPRODUCT($F$1:$AI$1,F22:AI22)</f>
        <v>10.008970259270766</v>
      </c>
      <c r="E22" s="11" t="s">
        <v>285</v>
      </c>
      <c r="F22">
        <f t="shared" ref="F22" si="8">F21/10000</f>
        <v>4.4999999999999998E-2</v>
      </c>
      <c r="G22">
        <f>(1-SUM($F22:F22))*G21/10000</f>
        <v>4.2974999999999999E-2</v>
      </c>
      <c r="H22">
        <f>(1-SUM($F22:G22))*H21/10000</f>
        <v>4.1041124999999998E-2</v>
      </c>
      <c r="I22">
        <f>(1-SUM($F22:H22))*I21/10000</f>
        <v>3.9194274375000004E-2</v>
      </c>
      <c r="J22">
        <f>(1-SUM($F22:I22))*J21/10000</f>
        <v>3.7430532028125005E-2</v>
      </c>
      <c r="K22">
        <f>(1-SUM($F22:J22))*K21/10000</f>
        <v>3.5746158086859374E-2</v>
      </c>
      <c r="L22">
        <f>(1-SUM($F22:K22))*L21/10000</f>
        <v>3.4137580972950707E-2</v>
      </c>
      <c r="M22">
        <f>(1-SUM($F22:L22))*M21/10000</f>
        <v>3.2601389829167923E-2</v>
      </c>
      <c r="N22">
        <f>(1-SUM($F22:M22))*N21/10000</f>
        <v>3.1134327286855366E-2</v>
      </c>
      <c r="O22">
        <f>(1-SUM($F22:N22))*O21/10000</f>
        <v>2.9733282558946871E-2</v>
      </c>
      <c r="P22">
        <f>(1-SUM($F22:O22))*P21/10000</f>
        <v>2.8395284843794263E-2</v>
      </c>
      <c r="Q22">
        <f>(1-SUM($F22:P22))*Q21/10000</f>
        <v>2.7117497025823518E-2</v>
      </c>
      <c r="R22">
        <f>(1-SUM($F22:Q22))*R21/10000</f>
        <v>0.57549354799247698</v>
      </c>
    </row>
    <row r="23" spans="1:25">
      <c r="A23" s="98">
        <v>0.15</v>
      </c>
      <c r="B23" t="str">
        <f>F23&amp;","&amp;G23&amp;","&amp;H23&amp;","&amp;I23&amp;","&amp;J23&amp;","&amp;K23&amp;","&amp;L23&amp;","&amp;M23&amp;","&amp;N23</f>
        <v>780,780,780,780,780,780,780,780,10000</v>
      </c>
      <c r="C23" s="103">
        <f t="shared" ref="C23" si="9">1/D24</f>
        <v>0.15042815373606935</v>
      </c>
      <c r="E23" s="11" t="s">
        <v>284</v>
      </c>
      <c r="F23">
        <v>780</v>
      </c>
      <c r="G23">
        <v>780</v>
      </c>
      <c r="H23">
        <v>780</v>
      </c>
      <c r="I23">
        <v>780</v>
      </c>
      <c r="J23">
        <v>780</v>
      </c>
      <c r="K23">
        <v>780</v>
      </c>
      <c r="L23">
        <v>780</v>
      </c>
      <c r="M23">
        <v>780</v>
      </c>
      <c r="N23">
        <v>10000</v>
      </c>
    </row>
    <row r="24" spans="1:25">
      <c r="A24" s="98"/>
      <c r="C24" s="104"/>
      <c r="D24" s="67">
        <f t="shared" ref="D24" si="10">SUMPRODUCT($F$1:$AI$1,F24:AI24)</f>
        <v>6.6476917728747082</v>
      </c>
      <c r="E24" s="11" t="s">
        <v>285</v>
      </c>
      <c r="F24">
        <f t="shared" ref="F24" si="11">F23/10000</f>
        <v>7.8E-2</v>
      </c>
      <c r="G24">
        <f>(1-SUM($F24:F24))*G23/10000</f>
        <v>7.1916000000000008E-2</v>
      </c>
      <c r="H24">
        <f>(1-SUM($F24:G24))*H23/10000</f>
        <v>6.6306552000000005E-2</v>
      </c>
      <c r="I24">
        <f>(1-SUM($F24:H24))*I23/10000</f>
        <v>6.1134640944E-2</v>
      </c>
      <c r="J24">
        <f>(1-SUM($F24:I24))*J23/10000</f>
        <v>5.636613895036801E-2</v>
      </c>
      <c r="K24">
        <f>(1-SUM($F24:J24))*K23/10000</f>
        <v>5.1969580112239296E-2</v>
      </c>
      <c r="L24">
        <f>(1-SUM($F24:K24))*L23/10000</f>
        <v>4.7915952863484629E-2</v>
      </c>
      <c r="M24">
        <f>(1-SUM($F24:L24))*M23/10000</f>
        <v>4.4178508540132826E-2</v>
      </c>
      <c r="N24">
        <f>(1-SUM($F24:M24))*N23/10000</f>
        <v>0.52221262658977519</v>
      </c>
    </row>
    <row r="25" spans="1:25">
      <c r="A25" s="99">
        <v>0.2</v>
      </c>
      <c r="B25" t="str">
        <f>F25&amp;","&amp;G25&amp;","&amp;H25&amp;","&amp;I25&amp;","&amp;J25&amp;","&amp;K25</f>
        <v>700,750,750,750,750,10000</v>
      </c>
      <c r="C25" s="103">
        <f t="shared" ref="C25" si="12">1/D26</f>
        <v>0.19988485804528355</v>
      </c>
      <c r="E25" s="11" t="s">
        <v>284</v>
      </c>
      <c r="F25">
        <v>700</v>
      </c>
      <c r="G25">
        <v>750</v>
      </c>
      <c r="H25">
        <v>750</v>
      </c>
      <c r="I25">
        <v>750</v>
      </c>
      <c r="J25">
        <v>750</v>
      </c>
      <c r="K25">
        <v>10000</v>
      </c>
    </row>
    <row r="26" spans="1:25">
      <c r="A26" s="99"/>
      <c r="C26" s="104"/>
      <c r="D26" s="67">
        <f t="shared" ref="D26" si="13">SUMPRODUCT($F$1:$AI$1,F26:AI26)</f>
        <v>5.0028802070312492</v>
      </c>
      <c r="E26" s="11" t="s">
        <v>285</v>
      </c>
      <c r="F26">
        <f t="shared" ref="F26" si="14">F25/10000</f>
        <v>7.0000000000000007E-2</v>
      </c>
      <c r="G26">
        <f>(1-SUM($F26:F26))*G25/10000</f>
        <v>6.9750000000000006E-2</v>
      </c>
      <c r="H26">
        <f>(1-SUM($F26:G26))*H25/10000</f>
        <v>6.451875E-2</v>
      </c>
      <c r="I26">
        <f>(1-SUM($F26:H26))*I25/10000</f>
        <v>5.9679843749999996E-2</v>
      </c>
      <c r="J26">
        <f>(1-SUM($F26:I26))*J25/10000</f>
        <v>5.520385546875E-2</v>
      </c>
      <c r="K26">
        <f>(1-SUM($F26:J26))*K25/10000</f>
        <v>0.68084755078124992</v>
      </c>
      <c r="L26">
        <f>(1-SUM($F26:K26))*L25/10000</f>
        <v>0</v>
      </c>
    </row>
    <row r="27" spans="1:25">
      <c r="A27" s="99">
        <v>0.25</v>
      </c>
      <c r="B27" t="str">
        <f>F27&amp;","&amp;G27&amp;","&amp;H27&amp;","&amp;I27&amp;","&amp;J27</f>
        <v>1125,1125,1125,1125,10000</v>
      </c>
      <c r="C27" s="103">
        <f t="shared" ref="C27" si="15">1/D28</f>
        <v>0.250337734390087</v>
      </c>
      <c r="E27" s="11" t="s">
        <v>284</v>
      </c>
      <c r="F27">
        <v>1125</v>
      </c>
      <c r="G27">
        <v>1125</v>
      </c>
      <c r="H27">
        <v>1125</v>
      </c>
      <c r="I27">
        <v>1125</v>
      </c>
      <c r="J27">
        <v>10000</v>
      </c>
    </row>
    <row r="28" spans="1:25">
      <c r="A28" s="99"/>
      <c r="C28" s="104"/>
      <c r="D28" s="67">
        <f t="shared" ref="D28" si="16">SUMPRODUCT($F$1:$AI$1,F28:AI28)</f>
        <v>3.994603540039062</v>
      </c>
      <c r="E28" s="11" t="s">
        <v>285</v>
      </c>
      <c r="F28">
        <f t="shared" ref="F28" si="17">F27/10000</f>
        <v>0.1125</v>
      </c>
      <c r="G28">
        <f>(1-SUM($F28:F28))*G27/10000</f>
        <v>9.9843749999999995E-2</v>
      </c>
      <c r="H28">
        <f>(1-SUM($F28:G28))*H27/10000</f>
        <v>8.8611328124999986E-2</v>
      </c>
      <c r="I28">
        <f>(1-SUM($F28:H28))*I27/10000</f>
        <v>7.8642553710937493E-2</v>
      </c>
      <c r="J28">
        <f>(1-SUM($F28:I28))*J27/10000</f>
        <v>0.62040236816406247</v>
      </c>
      <c r="K28">
        <f>(1-SUM($F28:J28))*K27/10000</f>
        <v>0</v>
      </c>
      <c r="L28">
        <f>(1-SUM($F28:K28))*L27/10000</f>
        <v>0</v>
      </c>
    </row>
    <row r="29" spans="1:25">
      <c r="A29" s="98">
        <v>0.3</v>
      </c>
      <c r="B29" t="str">
        <f>F29&amp;","&amp;G29&amp;","&amp;H29&amp;","&amp;I29</f>
        <v>1200,1200,1200,10000</v>
      </c>
      <c r="C29" s="103">
        <f t="shared" ref="C29" si="18">1/D30</f>
        <v>0.29977169387794256</v>
      </c>
      <c r="E29" s="11" t="s">
        <v>284</v>
      </c>
      <c r="F29">
        <v>1200</v>
      </c>
      <c r="G29">
        <v>1200</v>
      </c>
      <c r="H29">
        <v>1200</v>
      </c>
      <c r="I29">
        <v>10000</v>
      </c>
    </row>
    <row r="30" spans="1:25">
      <c r="A30" s="98"/>
      <c r="C30" s="104"/>
      <c r="D30" s="67">
        <f t="shared" ref="D30" si="19">SUMPRODUCT($F$1:$AI$1,F30:AI30)</f>
        <v>3.3358720000000002</v>
      </c>
      <c r="E30" s="11" t="s">
        <v>285</v>
      </c>
      <c r="F30">
        <f t="shared" ref="F30" si="20">F29/10000</f>
        <v>0.12</v>
      </c>
      <c r="G30">
        <f>(1-SUM($F30:F30))*G29/10000</f>
        <v>0.1056</v>
      </c>
      <c r="H30">
        <f>(1-SUM($F30:G30))*H29/10000</f>
        <v>9.2927999999999997E-2</v>
      </c>
      <c r="I30">
        <f>(1-SUM($F30:H30))*I29/10000</f>
        <v>0.68147200000000008</v>
      </c>
      <c r="J30">
        <f>(1-SUM($F30:I30))*J29/10000</f>
        <v>0</v>
      </c>
    </row>
    <row r="31" spans="1:25">
      <c r="A31" s="99">
        <v>0.4</v>
      </c>
      <c r="B31" t="str">
        <f>F31&amp;","&amp;G31&amp;","&amp;H31</f>
        <v>1770,1770,10000</v>
      </c>
      <c r="C31" s="103">
        <f t="shared" ref="C31" si="21">1/D32</f>
        <v>0.3999473669265125</v>
      </c>
      <c r="E31" s="11" t="s">
        <v>284</v>
      </c>
      <c r="F31">
        <v>1770</v>
      </c>
      <c r="G31">
        <v>1770</v>
      </c>
      <c r="H31">
        <v>10000</v>
      </c>
    </row>
    <row r="32" spans="1:25">
      <c r="A32" s="99"/>
      <c r="C32" s="104"/>
      <c r="D32" s="67">
        <f t="shared" ref="D32" si="22">SUMPRODUCT($F$1:$AI$1,F32:AI32)</f>
        <v>2.5003289999999998</v>
      </c>
      <c r="E32" s="11" t="s">
        <v>285</v>
      </c>
      <c r="F32">
        <f t="shared" ref="F32" si="23">F31/10000</f>
        <v>0.17699999999999999</v>
      </c>
      <c r="G32">
        <f>(1-SUM($F32:F32))*G31/10000</f>
        <v>0.14567099999999997</v>
      </c>
      <c r="H32">
        <f>(1-SUM($F32:G32))*H31/10000</f>
        <v>0.67732900000000007</v>
      </c>
      <c r="I32">
        <f>(1-SUM($F32:H32))*I31/10000</f>
        <v>0</v>
      </c>
      <c r="J32">
        <f>(1-SUM($F32:I32))*J31/10000</f>
        <v>0</v>
      </c>
    </row>
    <row r="33" spans="1:10">
      <c r="A33" s="98">
        <v>0.5</v>
      </c>
      <c r="B33" t="str">
        <f t="shared" ref="B33" si="24">F33&amp;","&amp;G33&amp;","&amp;H33&amp;","&amp;I33</f>
        <v>5900,2000,2000,10000</v>
      </c>
      <c r="C33" s="103">
        <f t="shared" ref="C33" si="25">1/D34</f>
        <v>0.4999000199960007</v>
      </c>
      <c r="E33" s="11" t="s">
        <v>284</v>
      </c>
      <c r="F33">
        <v>5900</v>
      </c>
      <c r="G33">
        <v>2000</v>
      </c>
      <c r="H33">
        <v>2000</v>
      </c>
      <c r="I33">
        <v>10000</v>
      </c>
    </row>
    <row r="34" spans="1:10">
      <c r="A34" s="99"/>
      <c r="C34" s="104"/>
      <c r="D34" s="67">
        <f t="shared" ref="D34" si="26">SUMPRODUCT($F$1:$AI$1,F34:AI34)</f>
        <v>2.0004000000000004</v>
      </c>
      <c r="E34" s="11" t="s">
        <v>285</v>
      </c>
      <c r="F34">
        <f t="shared" ref="F34" si="27">F33/10000</f>
        <v>0.59</v>
      </c>
      <c r="G34">
        <f>(1-SUM($F34:F34))*G33/10000</f>
        <v>8.2000000000000017E-2</v>
      </c>
      <c r="H34">
        <f>(1-SUM($F34:G34))*H33/10000</f>
        <v>6.5600000000000006E-2</v>
      </c>
      <c r="I34">
        <f>(1-SUM($F34:H34))*I33/10000</f>
        <v>0.26240000000000008</v>
      </c>
      <c r="J34">
        <f>(1-SUM($F34:I34))*J33/10000</f>
        <v>0</v>
      </c>
    </row>
    <row r="35" spans="1:10">
      <c r="A35" s="99">
        <v>0.6</v>
      </c>
      <c r="B35" t="str">
        <f t="shared" ref="B35" si="28">F35&amp;","&amp;G35&amp;","&amp;H35&amp;","&amp;I35</f>
        <v>7270,2000,2000,10000</v>
      </c>
      <c r="C35" s="103">
        <f t="shared" ref="C35" si="29">1/D36</f>
        <v>0.6001968645715795</v>
      </c>
      <c r="E35" s="11" t="s">
        <v>284</v>
      </c>
      <c r="F35">
        <v>7270</v>
      </c>
      <c r="G35">
        <v>2000</v>
      </c>
      <c r="H35">
        <v>2000</v>
      </c>
      <c r="I35">
        <v>10000</v>
      </c>
    </row>
    <row r="36" spans="1:10">
      <c r="A36" s="99"/>
      <c r="C36" s="104"/>
      <c r="D36" s="67">
        <f t="shared" ref="D36" si="30">SUMPRODUCT($F$1:$AI$1,F36:AI36)</f>
        <v>1.6661199999999998</v>
      </c>
      <c r="E36" s="11" t="s">
        <v>285</v>
      </c>
      <c r="F36">
        <f t="shared" ref="F36" si="31">F35/10000</f>
        <v>0.72699999999999998</v>
      </c>
      <c r="G36">
        <f>(1-SUM($F36:F36))*G35/10000</f>
        <v>5.4600000000000003E-2</v>
      </c>
      <c r="H36">
        <f>(1-SUM($F36:G36))*H35/10000</f>
        <v>4.3680000000000004E-2</v>
      </c>
      <c r="I36">
        <f>(1-SUM($F36:H36))*I35/10000</f>
        <v>0.17471999999999999</v>
      </c>
      <c r="J36">
        <f>(1-SUM($F36:I36))*J35/10000</f>
        <v>0</v>
      </c>
    </row>
    <row r="37" spans="1:10">
      <c r="A37" s="98">
        <v>0.7</v>
      </c>
      <c r="B37" t="str">
        <f>F37&amp;","&amp;G37&amp;","&amp;H37</f>
        <v>7000,5700,10000</v>
      </c>
      <c r="C37" s="103">
        <f>1/D38</f>
        <v>0.69979006298110569</v>
      </c>
      <c r="E37" s="11" t="s">
        <v>284</v>
      </c>
      <c r="F37">
        <v>7000</v>
      </c>
      <c r="G37">
        <v>5700</v>
      </c>
      <c r="H37">
        <v>10000</v>
      </c>
    </row>
    <row r="38" spans="1:10">
      <c r="A38" s="99"/>
      <c r="C38" s="104"/>
      <c r="D38" s="67">
        <f>SUMPRODUCT($F$1:$AI$1,F38:AI38)</f>
        <v>1.429</v>
      </c>
      <c r="E38" s="11" t="s">
        <v>285</v>
      </c>
      <c r="F38">
        <f>F37/10000</f>
        <v>0.7</v>
      </c>
      <c r="G38">
        <f>(1-SUM($F38:F38))*G37/10000</f>
        <v>0.17100000000000001</v>
      </c>
      <c r="H38">
        <f>(1-SUM($F38:G38))*H37/10000</f>
        <v>0.129</v>
      </c>
      <c r="I38">
        <f>(1-SUM($F38:H38))*I37/10000</f>
        <v>0</v>
      </c>
    </row>
    <row r="39" spans="1:10">
      <c r="A39" s="99">
        <v>0.8</v>
      </c>
      <c r="B39" t="str">
        <f>F39&amp;","&amp;G39</f>
        <v>7500,10000</v>
      </c>
      <c r="C39" s="103">
        <f>1/D40</f>
        <v>0.8</v>
      </c>
      <c r="E39" s="11" t="s">
        <v>284</v>
      </c>
      <c r="F39">
        <v>7500</v>
      </c>
      <c r="G39">
        <v>10000</v>
      </c>
    </row>
    <row r="40" spans="1:10">
      <c r="A40" s="99"/>
      <c r="C40" s="104"/>
      <c r="D40" s="67">
        <f>SUMPRODUCT($F$1:$AI$1,F40:AI40)</f>
        <v>1.25</v>
      </c>
      <c r="E40" s="11" t="s">
        <v>285</v>
      </c>
      <c r="F40">
        <f>F39/10000</f>
        <v>0.75</v>
      </c>
      <c r="G40">
        <f>(1-SUM($F40:F40))*G39/10000</f>
        <v>0.25</v>
      </c>
      <c r="H40">
        <f>(1-SUM($F40:G40))*H39/10000</f>
        <v>0</v>
      </c>
    </row>
    <row r="41" spans="1:10">
      <c r="A41" s="98">
        <v>0.9</v>
      </c>
      <c r="B41" t="str">
        <f>F41&amp;","&amp;G41</f>
        <v>8900,10000</v>
      </c>
      <c r="C41" s="103">
        <f>1/D42</f>
        <v>0.90090090090090102</v>
      </c>
      <c r="E41" s="11" t="s">
        <v>284</v>
      </c>
      <c r="F41">
        <v>8900</v>
      </c>
      <c r="G41">
        <v>10000</v>
      </c>
    </row>
    <row r="42" spans="1:10">
      <c r="A42" s="97"/>
      <c r="C42" s="104"/>
      <c r="D42" s="67">
        <f>SUMPRODUCT($F$1:$AI$1,F42:AI42)</f>
        <v>1.1099999999999999</v>
      </c>
      <c r="E42" s="11" t="s">
        <v>285</v>
      </c>
      <c r="F42">
        <f>F41/10000</f>
        <v>0.89</v>
      </c>
      <c r="G42">
        <f>(1-SUM($F42:F42))*G41/10000</f>
        <v>0.10999999999999997</v>
      </c>
      <c r="H42">
        <f>(1-SUM($F42:G42))*H41/10000</f>
        <v>0</v>
      </c>
    </row>
  </sheetData>
  <phoneticPr fontId="3" type="noConversion"/>
  <conditionalFormatting sqref="F40:G40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{C372648E-C79B-4DE2-9DE2-EF7D6A7E60C5}</x14:id>
        </ext>
      </extLst>
    </cfRule>
  </conditionalFormatting>
  <conditionalFormatting sqref="F38:H38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{34CBECE4-EEA2-44A6-8C48-75E1DE2473F3}</x14:id>
        </ext>
      </extLst>
    </cfRule>
  </conditionalFormatting>
  <conditionalFormatting sqref="F36:I3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{8C25C5A8-77D3-42B2-A2F2-AF612C21AC4D}</x14:id>
        </ext>
      </extLst>
    </cfRule>
  </conditionalFormatting>
  <conditionalFormatting sqref="F34:I34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{B15E3D66-CDCC-444E-AE9D-81DB32BE996C}</x14:id>
        </ext>
      </extLst>
    </cfRule>
  </conditionalFormatting>
  <conditionalFormatting sqref="F32:I32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{4D362CAC-4984-46C4-BB7B-F42472FDE296}</x14:id>
        </ext>
      </extLst>
    </cfRule>
  </conditionalFormatting>
  <conditionalFormatting sqref="F30:I30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{3B4A3074-7169-48F9-BB85-FBF5959E5DBA}</x14:id>
        </ext>
      </extLst>
    </cfRule>
  </conditionalFormatting>
  <conditionalFormatting sqref="F28:J28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{85137D8F-8F14-493E-8844-520AE09BDD38}</x14:id>
        </ext>
      </extLst>
    </cfRule>
  </conditionalFormatting>
  <conditionalFormatting sqref="F26:K2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{2260AD84-C89F-4AB9-A9E1-1A9D51BB8FC4}</x14:id>
        </ext>
      </extLst>
    </cfRule>
  </conditionalFormatting>
  <conditionalFormatting sqref="F24:N24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{F66E6C2A-0BDA-4834-AE71-0D1A5CA5B2B1}</x14:id>
        </ext>
      </extLst>
    </cfRule>
  </conditionalFormatting>
  <conditionalFormatting sqref="F22:R22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{73EF034C-5E29-46A7-9A84-1802883470DF}</x14:id>
        </ext>
      </extLst>
    </cfRule>
  </conditionalFormatting>
  <conditionalFormatting sqref="F12:AD12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{991B4AB4-7799-4B52-951B-C1B41EA615BC}</x14:id>
        </ext>
      </extLst>
    </cfRule>
  </conditionalFormatting>
  <conditionalFormatting sqref="F42:G42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{E4B66595-E684-4C88-8B4B-F622E48A3450}</x14:id>
        </ext>
      </extLst>
    </cfRule>
  </conditionalFormatting>
  <conditionalFormatting sqref="F14:AD14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{C6C76CE9-3EA2-48AD-91C9-95DF661BD293}</x14:id>
        </ext>
      </extLst>
    </cfRule>
  </conditionalFormatting>
  <conditionalFormatting sqref="F16:AD1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{A1D9FAED-E2ED-45E1-82F9-F9AA2864A4FB}</x14:id>
        </ext>
      </extLst>
    </cfRule>
  </conditionalFormatting>
  <conditionalFormatting sqref="F18:AD1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{9CDC8C5E-26ED-4875-B5A4-F557FF0638FD}</x14:id>
        </ext>
      </extLst>
    </cfRule>
  </conditionalFormatting>
  <conditionalFormatting sqref="F20:AD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{318E57D3-0D09-4CF9-A344-198F36FC06F4}</x14:id>
        </ext>
      </extLs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72648E-C79B-4DE2-9DE2-EF7D6A7E60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F40:G40</xm:sqref>
        </x14:conditionalFormatting>
        <x14:conditionalFormatting xmlns:xm="http://schemas.microsoft.com/office/excel/2006/main">
          <x14:cfRule type="dataBar" id="{34CBECE4-EEA2-44A6-8C48-75E1DE2473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F38:H38</xm:sqref>
        </x14:conditionalFormatting>
        <x14:conditionalFormatting xmlns:xm="http://schemas.microsoft.com/office/excel/2006/main">
          <x14:cfRule type="dataBar" id="{8C25C5A8-77D3-42B2-A2F2-AF612C21AC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F36:I36</xm:sqref>
        </x14:conditionalFormatting>
        <x14:conditionalFormatting xmlns:xm="http://schemas.microsoft.com/office/excel/2006/main">
          <x14:cfRule type="dataBar" id="{B15E3D66-CDCC-444E-AE9D-81DB32BE9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F34:I34</xm:sqref>
        </x14:conditionalFormatting>
        <x14:conditionalFormatting xmlns:xm="http://schemas.microsoft.com/office/excel/2006/main">
          <x14:cfRule type="dataBar" id="{4D362CAC-4984-46C4-BB7B-F42472FDE2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F32:I32</xm:sqref>
        </x14:conditionalFormatting>
        <x14:conditionalFormatting xmlns:xm="http://schemas.microsoft.com/office/excel/2006/main">
          <x14:cfRule type="dataBar" id="{3B4A3074-7169-48F9-BB85-FBF5959E5D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F30:I30</xm:sqref>
        </x14:conditionalFormatting>
        <x14:conditionalFormatting xmlns:xm="http://schemas.microsoft.com/office/excel/2006/main">
          <x14:cfRule type="dataBar" id="{85137D8F-8F14-493E-8844-520AE09BD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F28:J28</xm:sqref>
        </x14:conditionalFormatting>
        <x14:conditionalFormatting xmlns:xm="http://schemas.microsoft.com/office/excel/2006/main">
          <x14:cfRule type="dataBar" id="{2260AD84-C89F-4AB9-A9E1-1A9D51BB8F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F26:K26</xm:sqref>
        </x14:conditionalFormatting>
        <x14:conditionalFormatting xmlns:xm="http://schemas.microsoft.com/office/excel/2006/main">
          <x14:cfRule type="dataBar" id="{F66E6C2A-0BDA-4834-AE71-0D1A5CA5B2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F24:N24</xm:sqref>
        </x14:conditionalFormatting>
        <x14:conditionalFormatting xmlns:xm="http://schemas.microsoft.com/office/excel/2006/main">
          <x14:cfRule type="dataBar" id="{73EF034C-5E29-46A7-9A84-1802883470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F22:R22</xm:sqref>
        </x14:conditionalFormatting>
        <x14:conditionalFormatting xmlns:xm="http://schemas.microsoft.com/office/excel/2006/main">
          <x14:cfRule type="dataBar" id="{991B4AB4-7799-4B52-951B-C1B41EA615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F12:AD12</xm:sqref>
        </x14:conditionalFormatting>
        <x14:conditionalFormatting xmlns:xm="http://schemas.microsoft.com/office/excel/2006/main">
          <x14:cfRule type="dataBar" id="{E4B66595-E684-4C88-8B4B-F622E48A3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F42:G42</xm:sqref>
        </x14:conditionalFormatting>
        <x14:conditionalFormatting xmlns:xm="http://schemas.microsoft.com/office/excel/2006/main">
          <x14:cfRule type="dataBar" id="{C6C76CE9-3EA2-48AD-91C9-95DF661BD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F14:AD14</xm:sqref>
        </x14:conditionalFormatting>
        <x14:conditionalFormatting xmlns:xm="http://schemas.microsoft.com/office/excel/2006/main">
          <x14:cfRule type="dataBar" id="{A1D9FAED-E2ED-45E1-82F9-F9AA2864A4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F16:AD16</xm:sqref>
        </x14:conditionalFormatting>
        <x14:conditionalFormatting xmlns:xm="http://schemas.microsoft.com/office/excel/2006/main">
          <x14:cfRule type="dataBar" id="{9CDC8C5E-26ED-4875-B5A4-F557FF0638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F18:AD18</xm:sqref>
        </x14:conditionalFormatting>
        <x14:conditionalFormatting xmlns:xm="http://schemas.microsoft.com/office/excel/2006/main">
          <x14:cfRule type="dataBar" id="{318E57D3-0D09-4CF9-A344-198F36FC06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F20:AD20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D2:R41"/>
  <sheetViews>
    <sheetView workbookViewId="0">
      <selection activeCell="O17" sqref="O17"/>
    </sheetView>
  </sheetViews>
  <sheetFormatPr defaultRowHeight="13.5"/>
  <cols>
    <col min="8" max="8" width="9.125" customWidth="1"/>
    <col min="9" max="9" width="9" customWidth="1"/>
    <col min="10" max="10" width="10.125" customWidth="1"/>
  </cols>
  <sheetData>
    <row r="2" spans="4:18">
      <c r="O2" s="4" t="str">
        <f>G10&amp;"天免费获得:"</f>
        <v>43天免费获得:</v>
      </c>
    </row>
    <row r="3" spans="4:18">
      <c r="D3" s="2" t="s">
        <v>86</v>
      </c>
      <c r="E3" s="2" t="s">
        <v>85</v>
      </c>
      <c r="F3" s="2" t="s">
        <v>87</v>
      </c>
      <c r="G3" s="2" t="s">
        <v>88</v>
      </c>
      <c r="H3" s="2" t="s">
        <v>100</v>
      </c>
      <c r="I3" s="5" t="s">
        <v>11</v>
      </c>
      <c r="J3" s="5" t="s">
        <v>73</v>
      </c>
      <c r="K3" s="5" t="s">
        <v>12</v>
      </c>
      <c r="L3" s="5" t="s">
        <v>13</v>
      </c>
      <c r="M3" s="5" t="s">
        <v>84</v>
      </c>
      <c r="N3" s="5" t="s">
        <v>116</v>
      </c>
      <c r="O3" s="5" t="s">
        <v>91</v>
      </c>
      <c r="P3" s="5" t="s">
        <v>92</v>
      </c>
      <c r="Q3" s="5" t="s">
        <v>93</v>
      </c>
      <c r="R3" s="5" t="s">
        <v>94</v>
      </c>
    </row>
    <row r="4" spans="4:18">
      <c r="D4" s="6" t="s">
        <v>70</v>
      </c>
      <c r="E4" s="6">
        <f>3</f>
        <v>3</v>
      </c>
      <c r="F4" s="1">
        <v>180</v>
      </c>
      <c r="G4" s="1">
        <f>E4*F4</f>
        <v>540</v>
      </c>
      <c r="H4" s="1">
        <f>Chest!H59</f>
        <v>0</v>
      </c>
      <c r="I4" s="1">
        <f>Chest!L59</f>
        <v>10</v>
      </c>
      <c r="J4" s="1">
        <f>Chest!K59</f>
        <v>2</v>
      </c>
      <c r="K4" s="1">
        <f>Chest!M59</f>
        <v>0</v>
      </c>
      <c r="L4" s="1">
        <f>Chest!N59</f>
        <v>0</v>
      </c>
      <c r="M4" s="1">
        <f>Chest!O59</f>
        <v>0</v>
      </c>
      <c r="N4" s="26">
        <f>(I4-(K4+L4+M4)/10000)</f>
        <v>10</v>
      </c>
      <c r="O4" s="26">
        <f>N4*$F4</f>
        <v>1800</v>
      </c>
      <c r="P4" s="1">
        <f t="shared" ref="P4:Q8" si="0">K4*$F4/10000</f>
        <v>0</v>
      </c>
      <c r="Q4" s="1">
        <f t="shared" si="0"/>
        <v>0</v>
      </c>
      <c r="R4" s="1">
        <f>M4*$F4/10000</f>
        <v>0</v>
      </c>
    </row>
    <row r="5" spans="4:18">
      <c r="D5" s="6" t="s">
        <v>71</v>
      </c>
      <c r="E5" s="6">
        <f>8</f>
        <v>8</v>
      </c>
      <c r="F5" s="1">
        <v>54</v>
      </c>
      <c r="G5" s="1">
        <f t="shared" ref="G5:G8" si="1">E5*F5</f>
        <v>432</v>
      </c>
      <c r="H5" s="1">
        <f>Chest!H68</f>
        <v>0</v>
      </c>
      <c r="I5" s="1">
        <f>Chest!L68</f>
        <v>32</v>
      </c>
      <c r="J5" s="1">
        <f>Chest!K68</f>
        <v>4</v>
      </c>
      <c r="K5" s="1">
        <f>Chest!M68</f>
        <v>3</v>
      </c>
      <c r="L5" s="1">
        <f>Chest!N68</f>
        <v>0</v>
      </c>
      <c r="M5" s="1">
        <f>Chest!O68</f>
        <v>0</v>
      </c>
      <c r="N5" s="26">
        <f t="shared" ref="N5:N8" si="2">(I5-(K5+L5+M5)/10000)</f>
        <v>31.999700000000001</v>
      </c>
      <c r="O5" s="26">
        <f t="shared" ref="O5:O8" si="3">N5*$F5</f>
        <v>1727.9838</v>
      </c>
      <c r="P5" s="1">
        <f t="shared" si="0"/>
        <v>1.6199999999999999E-2</v>
      </c>
      <c r="Q5" s="1">
        <f t="shared" si="0"/>
        <v>0</v>
      </c>
      <c r="R5" s="1">
        <f t="shared" ref="R5:R8" si="4">M5*$F5/10000</f>
        <v>0</v>
      </c>
    </row>
    <row r="6" spans="4:18">
      <c r="D6" s="6" t="s">
        <v>17</v>
      </c>
      <c r="E6" s="6">
        <f>12</f>
        <v>12</v>
      </c>
      <c r="F6" s="1">
        <v>3</v>
      </c>
      <c r="G6" s="1">
        <f t="shared" si="1"/>
        <v>36</v>
      </c>
      <c r="H6" s="1">
        <f>Chest!H77</f>
        <v>800</v>
      </c>
      <c r="I6" s="1">
        <f>Chest!L77</f>
        <v>96</v>
      </c>
      <c r="J6" s="1">
        <f>Chest!K77</f>
        <v>7</v>
      </c>
      <c r="K6" s="1">
        <f>Chest!M77</f>
        <v>19</v>
      </c>
      <c r="L6" s="1">
        <f>Chest!N77</f>
        <v>3</v>
      </c>
      <c r="M6" s="1">
        <f>Chest!O77</f>
        <v>0</v>
      </c>
      <c r="N6" s="26">
        <f t="shared" si="2"/>
        <v>95.997799999999998</v>
      </c>
      <c r="O6" s="26">
        <f t="shared" si="3"/>
        <v>287.99340000000001</v>
      </c>
      <c r="P6" s="1">
        <f t="shared" si="0"/>
        <v>5.7000000000000002E-3</v>
      </c>
      <c r="Q6" s="1">
        <f t="shared" si="0"/>
        <v>8.9999999999999998E-4</v>
      </c>
      <c r="R6" s="1">
        <f t="shared" si="4"/>
        <v>0</v>
      </c>
    </row>
    <row r="7" spans="4:18">
      <c r="D7" s="6" t="s">
        <v>68</v>
      </c>
      <c r="E7" s="6">
        <f>12</f>
        <v>12</v>
      </c>
      <c r="F7" s="1">
        <v>3</v>
      </c>
      <c r="G7" s="1">
        <f t="shared" si="1"/>
        <v>36</v>
      </c>
      <c r="H7" s="1">
        <f>Chest!H86</f>
        <v>490</v>
      </c>
      <c r="I7" s="1">
        <f>Chest!L86</f>
        <v>256</v>
      </c>
      <c r="J7" s="1">
        <f>Chest!K86</f>
        <v>3</v>
      </c>
      <c r="K7" s="1">
        <f>Chest!M86</f>
        <v>25</v>
      </c>
      <c r="L7" s="1">
        <f>Chest!N86</f>
        <v>0</v>
      </c>
      <c r="M7" s="1">
        <f>Chest!O86</f>
        <v>0</v>
      </c>
      <c r="N7" s="26">
        <f t="shared" si="2"/>
        <v>255.9975</v>
      </c>
      <c r="O7" s="26">
        <f t="shared" si="3"/>
        <v>767.99250000000006</v>
      </c>
      <c r="P7" s="1">
        <f t="shared" si="0"/>
        <v>7.4999999999999997E-3</v>
      </c>
      <c r="Q7" s="1">
        <f t="shared" si="0"/>
        <v>0</v>
      </c>
      <c r="R7" s="1">
        <f t="shared" si="4"/>
        <v>0</v>
      </c>
    </row>
    <row r="8" spans="4:18">
      <c r="D8" s="1" t="s">
        <v>72</v>
      </c>
      <c r="E8" s="6">
        <v>24</v>
      </c>
      <c r="F8" s="24">
        <v>0.01</v>
      </c>
      <c r="G8" s="1">
        <f t="shared" si="1"/>
        <v>0.24</v>
      </c>
      <c r="H8" s="1">
        <f>Chest!H95</f>
        <v>4600</v>
      </c>
      <c r="I8" s="1">
        <f>Chest!L95</f>
        <v>576</v>
      </c>
      <c r="J8" s="1">
        <f>Chest!K95</f>
        <v>7</v>
      </c>
      <c r="K8" s="1">
        <f>Chest!M95</f>
        <v>115</v>
      </c>
      <c r="L8" s="1">
        <f>Chest!N95</f>
        <v>19</v>
      </c>
      <c r="M8" s="1">
        <f>Chest!O95</f>
        <v>0</v>
      </c>
      <c r="N8" s="26">
        <f t="shared" si="2"/>
        <v>575.98659999999995</v>
      </c>
      <c r="O8" s="26">
        <f t="shared" si="3"/>
        <v>5.7598659999999997</v>
      </c>
      <c r="P8" s="1">
        <f t="shared" si="0"/>
        <v>1.1500000000000002E-4</v>
      </c>
      <c r="Q8" s="1">
        <f t="shared" si="0"/>
        <v>1.9000000000000001E-5</v>
      </c>
      <c r="R8" s="1">
        <f t="shared" si="4"/>
        <v>0</v>
      </c>
    </row>
    <row r="9" spans="4:18">
      <c r="D9" s="1"/>
      <c r="E9" s="6"/>
      <c r="F9" s="1"/>
      <c r="G9" s="26">
        <f>SUM(G4:G8)</f>
        <v>1044.24</v>
      </c>
      <c r="H9" s="26"/>
      <c r="I9" s="1"/>
      <c r="J9" s="1"/>
      <c r="K9" s="1"/>
      <c r="L9" s="1"/>
      <c r="M9" s="1"/>
    </row>
    <row r="10" spans="4:18">
      <c r="D10" s="1"/>
      <c r="E10" s="6"/>
      <c r="F10" s="1"/>
      <c r="G10" s="27">
        <f>INT(G9/24)</f>
        <v>43</v>
      </c>
      <c r="H10" s="27"/>
      <c r="I10" s="1"/>
      <c r="J10" s="1"/>
      <c r="K10" s="1"/>
      <c r="L10" s="1"/>
      <c r="M10" s="1"/>
    </row>
    <row r="11" spans="4:18">
      <c r="D11" s="1"/>
      <c r="E11" s="6"/>
      <c r="F11" s="1"/>
      <c r="G11" s="1"/>
      <c r="H11" s="1"/>
      <c r="I11" s="1"/>
      <c r="J11" s="1"/>
      <c r="K11" s="1"/>
      <c r="L11" s="1"/>
      <c r="M11" s="1"/>
      <c r="N11" s="1"/>
    </row>
    <row r="12" spans="4:18">
      <c r="D12" s="11" t="s">
        <v>89</v>
      </c>
      <c r="E12" s="6">
        <v>3</v>
      </c>
      <c r="F12" s="26">
        <f>$G$9/E12</f>
        <v>348.08</v>
      </c>
      <c r="G12" s="1"/>
      <c r="H12" s="1"/>
      <c r="I12" s="1">
        <f>Chest!L50</f>
        <v>10</v>
      </c>
      <c r="J12" s="1">
        <f>Chest!K50</f>
        <v>3</v>
      </c>
      <c r="K12" s="1">
        <f>Chest!M50</f>
        <v>1</v>
      </c>
      <c r="L12" s="1">
        <f>Chest!N50</f>
        <v>0</v>
      </c>
      <c r="M12" s="1">
        <f>Chest!O50</f>
        <v>0</v>
      </c>
      <c r="N12" s="1"/>
      <c r="O12" s="26">
        <f t="shared" ref="O12:O13" si="5">(I12-(K12+L12+M12)/10000)*$F12</f>
        <v>3480.7651919999998</v>
      </c>
      <c r="P12" s="25">
        <f t="shared" ref="P12:P13" si="6">K12*$F12/10000</f>
        <v>3.4807999999999999E-2</v>
      </c>
      <c r="Q12" s="25">
        <f t="shared" ref="Q12:Q13" si="7">L12*$F12/10000</f>
        <v>0</v>
      </c>
      <c r="R12" s="30">
        <f t="shared" ref="R12:R13" si="8">M12*$F12/10000</f>
        <v>0</v>
      </c>
    </row>
    <row r="13" spans="4:18">
      <c r="D13" s="11" t="s">
        <v>90</v>
      </c>
      <c r="E13" s="6">
        <v>23</v>
      </c>
      <c r="F13" s="26">
        <f>$G$9/E13</f>
        <v>45.401739130434784</v>
      </c>
      <c r="G13" s="1"/>
      <c r="H13" s="1"/>
      <c r="I13" s="1">
        <f>Chest!L113</f>
        <v>76</v>
      </c>
      <c r="J13" s="1">
        <f>Chest!K113</f>
        <v>4</v>
      </c>
      <c r="K13" s="1">
        <f>Chest!M113</f>
        <v>7</v>
      </c>
      <c r="L13" s="1">
        <f>Chest!N113</f>
        <v>0</v>
      </c>
      <c r="M13" s="1">
        <f>Chest!O113</f>
        <v>0</v>
      </c>
      <c r="N13" s="1"/>
      <c r="O13" s="26">
        <f t="shared" si="5"/>
        <v>3450.5003926956524</v>
      </c>
      <c r="P13" s="25">
        <f t="shared" si="6"/>
        <v>3.1781217391304344E-2</v>
      </c>
      <c r="Q13" s="25">
        <f t="shared" si="7"/>
        <v>0</v>
      </c>
      <c r="R13" s="30">
        <f t="shared" si="8"/>
        <v>0</v>
      </c>
    </row>
    <row r="14" spans="4:18">
      <c r="D14" s="1"/>
      <c r="E14" s="6"/>
      <c r="F14" s="1"/>
      <c r="G14" s="1"/>
      <c r="H14" s="1"/>
      <c r="I14" s="1"/>
      <c r="J14" s="1"/>
      <c r="K14" s="1"/>
      <c r="L14" s="1"/>
      <c r="M14" s="1"/>
      <c r="N14" s="1"/>
    </row>
    <row r="15" spans="4:18">
      <c r="D15" s="1"/>
      <c r="E15" s="6"/>
      <c r="F15" s="1"/>
      <c r="G15" s="1"/>
      <c r="H15" s="1"/>
      <c r="I15" s="1"/>
      <c r="J15" s="1"/>
      <c r="K15" s="1"/>
      <c r="L15" s="1"/>
      <c r="M15" s="4" t="str">
        <f>G10&amp;"天免费获得:"</f>
        <v>43天免费获得:</v>
      </c>
      <c r="O15" s="26">
        <f>SUM(O4:O14)</f>
        <v>11520.995150695653</v>
      </c>
      <c r="P15" s="26">
        <f t="shared" ref="P15:R15" si="9">SUM(P4:P14)</f>
        <v>9.6104217391304342E-2</v>
      </c>
      <c r="Q15" s="26">
        <f t="shared" si="9"/>
        <v>9.19E-4</v>
      </c>
      <c r="R15" s="29">
        <f t="shared" si="9"/>
        <v>0</v>
      </c>
    </row>
    <row r="16" spans="4:18">
      <c r="D16" s="1"/>
      <c r="E16" s="6"/>
      <c r="F16" s="1"/>
      <c r="G16" s="1"/>
      <c r="H16" s="1"/>
      <c r="I16" s="1"/>
      <c r="J16" s="1"/>
      <c r="K16" s="1"/>
      <c r="L16" s="1"/>
      <c r="M16" s="1"/>
      <c r="N16" s="1"/>
    </row>
    <row r="17" spans="4:18">
      <c r="D17" s="1"/>
      <c r="E17" s="6"/>
      <c r="F17" s="1"/>
      <c r="G17" s="1"/>
      <c r="H17" s="1"/>
      <c r="I17" s="1"/>
      <c r="J17" s="1"/>
      <c r="K17" s="1"/>
      <c r="L17" s="1"/>
      <c r="M17" s="28" t="s">
        <v>95</v>
      </c>
      <c r="N17" s="1"/>
      <c r="O17" s="1">
        <f>SUM([2]CardLevel!$D$7:$D$18)</f>
        <v>4587</v>
      </c>
      <c r="P17" s="1">
        <f>SUM([2]CardLevel!$D$19:$D$28)</f>
        <v>5787</v>
      </c>
      <c r="Q17" s="1">
        <f>SUM([2]CardLevel!$D$29:$D$36)</f>
        <v>1887</v>
      </c>
      <c r="R17" s="1">
        <f>SUM([2]CardLevel!$D$37:$D$42)</f>
        <v>317</v>
      </c>
    </row>
    <row r="18" spans="4:18">
      <c r="D18" s="1"/>
      <c r="E18" s="6"/>
      <c r="F18" s="1"/>
      <c r="G18" s="1"/>
      <c r="H18" s="1"/>
      <c r="I18" s="1"/>
      <c r="J18" s="1"/>
      <c r="K18" s="1"/>
      <c r="L18" s="1"/>
      <c r="M18" s="1"/>
      <c r="N18" s="1"/>
    </row>
    <row r="19" spans="4:18">
      <c r="D19" s="1"/>
      <c r="E19" s="6"/>
      <c r="F19" s="1"/>
      <c r="G19" s="1"/>
      <c r="H19" s="1"/>
      <c r="I19" s="1"/>
      <c r="J19" s="1"/>
      <c r="K19" s="1"/>
      <c r="L19" s="1"/>
      <c r="M19" s="28" t="s">
        <v>96</v>
      </c>
      <c r="N19" s="1"/>
      <c r="O19" s="31">
        <f>O15/O17</f>
        <v>2.511662339371191</v>
      </c>
      <c r="P19" s="31">
        <f t="shared" ref="P19:R19" si="10">P15/P17</f>
        <v>1.6606915049473707E-5</v>
      </c>
      <c r="Q19" s="31">
        <f t="shared" si="10"/>
        <v>4.8701642819289877E-7</v>
      </c>
      <c r="R19" s="32">
        <f t="shared" si="10"/>
        <v>0</v>
      </c>
    </row>
    <row r="20" spans="4:18">
      <c r="D20" s="1"/>
      <c r="E20" s="6"/>
      <c r="H20" s="2" t="s">
        <v>99</v>
      </c>
      <c r="I20" s="2" t="s">
        <v>100</v>
      </c>
      <c r="J20" s="2" t="s">
        <v>101</v>
      </c>
    </row>
    <row r="21" spans="4:18">
      <c r="D21" s="28" t="s">
        <v>97</v>
      </c>
      <c r="E21" s="6"/>
      <c r="H21" s="26">
        <f>O17/I7</f>
        <v>17.91796875</v>
      </c>
      <c r="I21" s="26">
        <f>H21*H7</f>
        <v>8779.8046875</v>
      </c>
      <c r="J21" s="26">
        <f>I21/$N$21</f>
        <v>406.37953125000001</v>
      </c>
      <c r="L21" s="34" t="s">
        <v>102</v>
      </c>
      <c r="M21" s="34"/>
      <c r="N21" s="33">
        <f>14000/648</f>
        <v>21.604938271604937</v>
      </c>
    </row>
    <row r="22" spans="4:18">
      <c r="D22" s="1"/>
      <c r="E22" s="6"/>
      <c r="I22" s="26"/>
      <c r="J22" s="26"/>
      <c r="K22" s="1"/>
    </row>
    <row r="23" spans="4:18">
      <c r="D23" s="28" t="s">
        <v>98</v>
      </c>
      <c r="E23" s="6"/>
      <c r="H23" s="26">
        <f>Q17/L8*10000</f>
        <v>993157.89473684202</v>
      </c>
      <c r="I23" s="26">
        <f>H23*H8</f>
        <v>4568526315.7894735</v>
      </c>
      <c r="J23" s="26">
        <f t="shared" ref="J23:J25" si="11">I23/$N$21</f>
        <v>211457503.75939852</v>
      </c>
      <c r="K23" s="1"/>
    </row>
    <row r="24" spans="4:18">
      <c r="D24" s="1"/>
      <c r="E24" s="6"/>
      <c r="I24" s="1"/>
      <c r="J24" s="1"/>
      <c r="K24" s="1"/>
    </row>
    <row r="25" spans="4:18">
      <c r="D25" s="28" t="s">
        <v>103</v>
      </c>
      <c r="E25" s="6"/>
      <c r="H25" s="1" t="e">
        <f>R17/M8*10000</f>
        <v>#DIV/0!</v>
      </c>
      <c r="I25" s="1" t="e">
        <f>H25*H8</f>
        <v>#DIV/0!</v>
      </c>
      <c r="J25" s="26" t="e">
        <f t="shared" si="11"/>
        <v>#DIV/0!</v>
      </c>
    </row>
    <row r="26" spans="4:18">
      <c r="D26" s="1"/>
      <c r="E26" s="6"/>
    </row>
    <row r="27" spans="4:18">
      <c r="D27" s="37" t="s">
        <v>105</v>
      </c>
      <c r="E27" s="6"/>
      <c r="H27" s="1" t="e">
        <f>10000/M7</f>
        <v>#DIV/0!</v>
      </c>
      <c r="I27" s="26" t="e">
        <f>H27*$H$7</f>
        <v>#DIV/0!</v>
      </c>
      <c r="J27" s="26" t="e">
        <f t="shared" ref="J27:J28" si="12">I27/$N$21</f>
        <v>#DIV/0!</v>
      </c>
    </row>
    <row r="28" spans="4:18">
      <c r="D28" s="37" t="s">
        <v>106</v>
      </c>
      <c r="H28" s="26" t="e">
        <f>10000/M6</f>
        <v>#DIV/0!</v>
      </c>
      <c r="I28" s="26" t="e">
        <f>H28*$H$6</f>
        <v>#DIV/0!</v>
      </c>
      <c r="J28" s="26" t="e">
        <f t="shared" si="12"/>
        <v>#DIV/0!</v>
      </c>
    </row>
    <row r="29" spans="4:18">
      <c r="D29" s="37" t="s">
        <v>104</v>
      </c>
      <c r="E29" s="6"/>
      <c r="H29" s="25" t="e">
        <f>1/M8*10000</f>
        <v>#DIV/0!</v>
      </c>
      <c r="I29" s="26" t="e">
        <f>H29*$H$8</f>
        <v>#DIV/0!</v>
      </c>
      <c r="J29" s="26" t="e">
        <f>I29/$N$21</f>
        <v>#DIV/0!</v>
      </c>
      <c r="K29" s="3"/>
    </row>
    <row r="30" spans="4:18">
      <c r="D30" s="1"/>
      <c r="E30" s="6"/>
    </row>
    <row r="31" spans="4:18">
      <c r="D31" s="36" t="s">
        <v>107</v>
      </c>
      <c r="E31" s="6"/>
      <c r="H31" s="25" t="e">
        <f>10000/L7</f>
        <v>#DIV/0!</v>
      </c>
      <c r="I31" s="26" t="e">
        <f>H31*$H$7</f>
        <v>#DIV/0!</v>
      </c>
      <c r="J31" s="25" t="e">
        <f t="shared" ref="J31:J32" si="13">I31/$N$21</f>
        <v>#DIV/0!</v>
      </c>
    </row>
    <row r="32" spans="4:18">
      <c r="D32" s="36" t="s">
        <v>108</v>
      </c>
      <c r="E32" s="6"/>
      <c r="H32" s="25">
        <f>10000/L6</f>
        <v>3333.3333333333335</v>
      </c>
      <c r="I32" s="26">
        <f>H32*$H$6</f>
        <v>2666666.666666667</v>
      </c>
      <c r="J32" s="25">
        <f t="shared" si="13"/>
        <v>123428.57142857145</v>
      </c>
    </row>
    <row r="33" spans="4:10">
      <c r="D33" s="36" t="s">
        <v>109</v>
      </c>
      <c r="E33" s="6"/>
      <c r="H33" s="25">
        <f>1/L8*10000</f>
        <v>526.31578947368416</v>
      </c>
      <c r="I33" s="26">
        <f>H33*$H$8</f>
        <v>2421052.631578947</v>
      </c>
      <c r="J33" s="25">
        <f>I33/$N$21</f>
        <v>112060.15037593983</v>
      </c>
    </row>
    <row r="34" spans="4:10">
      <c r="D34" s="1"/>
      <c r="E34" s="6"/>
    </row>
    <row r="35" spans="4:10">
      <c r="D35" s="35" t="s">
        <v>110</v>
      </c>
      <c r="E35" s="6"/>
      <c r="H35" s="25">
        <f>10000/K7</f>
        <v>400</v>
      </c>
      <c r="I35" s="26">
        <f>H35*$H$7</f>
        <v>196000</v>
      </c>
      <c r="J35" s="26">
        <f t="shared" ref="J35:J36" si="14">I35/$N$21</f>
        <v>9072</v>
      </c>
    </row>
    <row r="36" spans="4:10">
      <c r="D36" s="35" t="s">
        <v>111</v>
      </c>
      <c r="E36" s="6"/>
      <c r="H36" s="29">
        <f>10000/K6</f>
        <v>526.31578947368416</v>
      </c>
      <c r="I36" s="26">
        <f>H36*$H$6</f>
        <v>421052.6315789473</v>
      </c>
      <c r="J36" s="26">
        <f t="shared" si="14"/>
        <v>19488.721804511275</v>
      </c>
    </row>
    <row r="37" spans="4:10">
      <c r="D37" s="35" t="s">
        <v>112</v>
      </c>
      <c r="E37" s="6"/>
      <c r="H37" s="29">
        <f>1/K8*10000</f>
        <v>86.956521739130437</v>
      </c>
      <c r="I37" s="26">
        <f>H37*$H$8</f>
        <v>400000</v>
      </c>
      <c r="J37" s="26">
        <f>I37/$N$21</f>
        <v>18514.285714285717</v>
      </c>
    </row>
    <row r="38" spans="4:10">
      <c r="D38" s="1"/>
      <c r="E38" s="6"/>
    </row>
    <row r="39" spans="4:10">
      <c r="D39" s="28" t="s">
        <v>113</v>
      </c>
      <c r="E39" s="6"/>
      <c r="H39" s="25">
        <f>10000/N7</f>
        <v>39.062881473451888</v>
      </c>
      <c r="I39" s="26">
        <f>H39*$H$7</f>
        <v>19140.811921991426</v>
      </c>
      <c r="J39" s="26">
        <f t="shared" ref="J39:J40" si="15">I39/$N$21</f>
        <v>885.9461518178889</v>
      </c>
    </row>
    <row r="40" spans="4:10">
      <c r="D40" s="28" t="s">
        <v>114</v>
      </c>
      <c r="E40" s="6"/>
      <c r="H40" s="29">
        <f>10000/N6</f>
        <v>104.16905387415129</v>
      </c>
      <c r="I40" s="26">
        <f>H40*$H$6</f>
        <v>83335.243099321029</v>
      </c>
      <c r="J40" s="26">
        <f t="shared" si="15"/>
        <v>3857.2312520257165</v>
      </c>
    </row>
    <row r="41" spans="4:10">
      <c r="D41" s="28" t="s">
        <v>115</v>
      </c>
      <c r="E41" s="6"/>
      <c r="H41" s="29">
        <f>1/N8*10000</f>
        <v>17.361515007467187</v>
      </c>
      <c r="I41" s="26">
        <f>H41*$H$8</f>
        <v>79862.969034349066</v>
      </c>
      <c r="J41" s="26">
        <f>I41/$N$21</f>
        <v>3696.5145667327283</v>
      </c>
    </row>
  </sheetData>
  <sortState ref="D9:E50">
    <sortCondition ref="D9"/>
  </sortState>
  <phoneticPr fontId="3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499984740745262"/>
  </sheetPr>
  <dimension ref="E4:Q208"/>
  <sheetViews>
    <sheetView workbookViewId="0">
      <selection activeCell="H11" sqref="H11"/>
    </sheetView>
  </sheetViews>
  <sheetFormatPr defaultRowHeight="13.5"/>
  <sheetData>
    <row r="4" spans="5:17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</row>
    <row r="5" spans="5:17">
      <c r="F5" s="38"/>
      <c r="G5" s="38"/>
      <c r="H5" s="38"/>
      <c r="I5" s="38"/>
      <c r="J5" s="38"/>
      <c r="K5" s="38"/>
      <c r="L5" s="39">
        <f>1/L6</f>
        <v>1.2193914641699081E-2</v>
      </c>
      <c r="M5" s="38"/>
      <c r="N5" s="38"/>
      <c r="O5" s="38"/>
      <c r="P5" s="38"/>
      <c r="Q5" s="38"/>
    </row>
    <row r="6" spans="5:17">
      <c r="F6" s="38"/>
      <c r="G6" s="40" t="s">
        <v>135</v>
      </c>
      <c r="H6" s="38" t="s">
        <v>136</v>
      </c>
      <c r="I6" s="40" t="s">
        <v>137</v>
      </c>
      <c r="J6" s="38" t="s">
        <v>138</v>
      </c>
      <c r="K6" s="38"/>
      <c r="L6" s="41">
        <f>SUM(L7:L206)</f>
        <v>82.008118752966894</v>
      </c>
      <c r="M6" s="38"/>
      <c r="N6" s="38"/>
      <c r="O6" s="38"/>
      <c r="P6" s="38"/>
      <c r="Q6" s="38"/>
    </row>
    <row r="7" spans="5:17">
      <c r="F7" s="38"/>
      <c r="G7" s="40">
        <v>1</v>
      </c>
      <c r="H7" s="42">
        <f>I7</f>
        <v>5.9999999999999995E-4</v>
      </c>
      <c r="I7" s="43">
        <v>5.9999999999999995E-4</v>
      </c>
      <c r="J7" s="42">
        <f>1-H7</f>
        <v>0.99939999999999996</v>
      </c>
      <c r="K7" s="38"/>
      <c r="L7" s="38">
        <f t="shared" ref="L7:L39" si="0">G7*H7</f>
        <v>5.9999999999999995E-4</v>
      </c>
      <c r="M7" s="38"/>
      <c r="N7" s="38"/>
      <c r="O7" s="38"/>
      <c r="P7" s="38"/>
      <c r="Q7" s="38"/>
    </row>
    <row r="8" spans="5:17">
      <c r="E8" s="40" t="s">
        <v>139</v>
      </c>
      <c r="F8" s="44">
        <f>E11</f>
        <v>0</v>
      </c>
      <c r="G8" s="40">
        <v>2</v>
      </c>
      <c r="H8" s="45">
        <f t="shared" ref="H8:H39" si="1">J7*I8</f>
        <v>5.9963999999999992E-4</v>
      </c>
      <c r="I8" s="46">
        <f>I7+F8</f>
        <v>5.9999999999999995E-4</v>
      </c>
      <c r="J8" s="42">
        <f t="shared" ref="J8:J39" si="2">J7-H8</f>
        <v>0.99880035999999994</v>
      </c>
      <c r="K8" s="38"/>
      <c r="L8" s="38">
        <f t="shared" si="0"/>
        <v>1.1992799999999998E-3</v>
      </c>
      <c r="M8" s="38"/>
      <c r="N8" s="38"/>
      <c r="O8" s="38"/>
      <c r="P8" s="38"/>
      <c r="Q8" s="38"/>
    </row>
    <row r="9" spans="5:17">
      <c r="E9" s="43">
        <v>2.0000000000000001E-4</v>
      </c>
      <c r="F9" s="44">
        <f t="shared" ref="F9:F56" si="3">$E$9</f>
        <v>2.0000000000000001E-4</v>
      </c>
      <c r="G9" s="40">
        <v>3</v>
      </c>
      <c r="H9" s="45">
        <f t="shared" si="1"/>
        <v>7.9904028799999993E-4</v>
      </c>
      <c r="I9" s="46">
        <f t="shared" ref="I9:I72" si="4">I8+F9</f>
        <v>7.9999999999999993E-4</v>
      </c>
      <c r="J9" s="42">
        <f t="shared" si="2"/>
        <v>0.9980013197119999</v>
      </c>
      <c r="K9" s="38"/>
      <c r="L9" s="38">
        <f t="shared" si="0"/>
        <v>2.397120864E-3</v>
      </c>
      <c r="M9" s="38"/>
      <c r="N9" s="38"/>
      <c r="O9" s="38"/>
      <c r="P9" s="38"/>
      <c r="Q9" s="38"/>
    </row>
    <row r="10" spans="5:17">
      <c r="E10" s="40"/>
      <c r="F10" s="44">
        <f t="shared" si="3"/>
        <v>2.0000000000000001E-4</v>
      </c>
      <c r="G10" s="40">
        <v>4</v>
      </c>
      <c r="H10" s="45">
        <f t="shared" si="1"/>
        <v>9.9800131971200003E-4</v>
      </c>
      <c r="I10" s="46">
        <f t="shared" si="4"/>
        <v>1E-3</v>
      </c>
      <c r="J10" s="42">
        <f t="shared" si="2"/>
        <v>0.99700331839228795</v>
      </c>
      <c r="K10" s="38"/>
      <c r="L10" s="38">
        <f t="shared" si="0"/>
        <v>3.9920052788480001E-3</v>
      </c>
      <c r="M10" s="38"/>
      <c r="N10" s="38"/>
      <c r="O10" s="38"/>
      <c r="P10" s="38"/>
      <c r="Q10" s="38"/>
    </row>
    <row r="11" spans="5:17">
      <c r="E11" s="40"/>
      <c r="F11" s="44">
        <f t="shared" si="3"/>
        <v>2.0000000000000001E-4</v>
      </c>
      <c r="G11" s="40">
        <v>5</v>
      </c>
      <c r="H11" s="45">
        <f t="shared" si="1"/>
        <v>1.1964039820707457E-3</v>
      </c>
      <c r="I11" s="46">
        <f t="shared" si="4"/>
        <v>1.2000000000000001E-3</v>
      </c>
      <c r="J11" s="42">
        <f t="shared" si="2"/>
        <v>0.99580691441021718</v>
      </c>
      <c r="K11" s="38"/>
      <c r="L11" s="38">
        <f t="shared" si="0"/>
        <v>5.982019910353728E-3</v>
      </c>
      <c r="M11" s="38"/>
      <c r="N11" s="38"/>
      <c r="O11" s="38"/>
      <c r="P11" s="38"/>
      <c r="Q11" s="38"/>
    </row>
    <row r="12" spans="5:17">
      <c r="E12" s="40" t="s">
        <v>140</v>
      </c>
      <c r="F12" s="44">
        <f t="shared" si="3"/>
        <v>2.0000000000000001E-4</v>
      </c>
      <c r="G12" s="40">
        <v>6</v>
      </c>
      <c r="H12" s="45">
        <f t="shared" si="1"/>
        <v>1.3941296801743043E-3</v>
      </c>
      <c r="I12" s="46">
        <f t="shared" si="4"/>
        <v>1.4000000000000002E-3</v>
      </c>
      <c r="J12" s="42">
        <f t="shared" si="2"/>
        <v>0.99441278473004291</v>
      </c>
      <c r="K12" s="38"/>
      <c r="L12" s="38">
        <f t="shared" si="0"/>
        <v>8.3647780810458261E-3</v>
      </c>
      <c r="M12" s="38"/>
      <c r="N12" s="38"/>
      <c r="O12" s="38"/>
      <c r="P12" s="38"/>
      <c r="Q12" s="38"/>
    </row>
    <row r="13" spans="5:17">
      <c r="E13" s="43">
        <v>2.9999999999999997E-4</v>
      </c>
      <c r="F13" s="44">
        <f t="shared" si="3"/>
        <v>2.0000000000000001E-4</v>
      </c>
      <c r="G13" s="40">
        <v>7</v>
      </c>
      <c r="H13" s="45">
        <f t="shared" si="1"/>
        <v>1.591060455568069E-3</v>
      </c>
      <c r="I13" s="46">
        <f t="shared" si="4"/>
        <v>1.6000000000000003E-3</v>
      </c>
      <c r="J13" s="42">
        <f t="shared" si="2"/>
        <v>0.99282172427447479</v>
      </c>
      <c r="K13" s="38"/>
      <c r="L13" s="38">
        <f t="shared" si="0"/>
        <v>1.1137423188976482E-2</v>
      </c>
      <c r="M13" s="38"/>
      <c r="N13" s="38"/>
      <c r="O13" s="38"/>
      <c r="P13" s="38"/>
      <c r="Q13" s="38"/>
    </row>
    <row r="14" spans="5:17">
      <c r="E14" s="40"/>
      <c r="F14" s="44">
        <f t="shared" si="3"/>
        <v>2.0000000000000001E-4</v>
      </c>
      <c r="G14" s="40">
        <v>8</v>
      </c>
      <c r="H14" s="45">
        <f t="shared" si="1"/>
        <v>1.7870791036940551E-3</v>
      </c>
      <c r="I14" s="46">
        <f t="shared" si="4"/>
        <v>1.8000000000000004E-3</v>
      </c>
      <c r="J14" s="42">
        <f t="shared" si="2"/>
        <v>0.99103464517078077</v>
      </c>
      <c r="K14" s="38"/>
      <c r="L14" s="38">
        <f t="shared" si="0"/>
        <v>1.4296632829552441E-2</v>
      </c>
      <c r="M14" s="38"/>
      <c r="N14" s="38"/>
      <c r="O14" s="38"/>
      <c r="P14" s="38"/>
      <c r="Q14" s="38"/>
    </row>
    <row r="15" spans="5:17">
      <c r="E15" s="40"/>
      <c r="F15" s="44">
        <f t="shared" si="3"/>
        <v>2.0000000000000001E-4</v>
      </c>
      <c r="G15" s="40">
        <v>9</v>
      </c>
      <c r="H15" s="45">
        <f t="shared" si="1"/>
        <v>1.9820692903415619E-3</v>
      </c>
      <c r="I15" s="46">
        <f t="shared" si="4"/>
        <v>2.0000000000000005E-3</v>
      </c>
      <c r="J15" s="42">
        <f t="shared" si="2"/>
        <v>0.98905257588043916</v>
      </c>
      <c r="K15" s="38"/>
      <c r="L15" s="38">
        <f t="shared" si="0"/>
        <v>1.7838623613074058E-2</v>
      </c>
      <c r="M15" s="38"/>
      <c r="N15" s="38"/>
      <c r="O15" s="38"/>
      <c r="P15" s="38"/>
      <c r="Q15" s="38"/>
    </row>
    <row r="16" spans="5:17">
      <c r="E16" s="40" t="s">
        <v>141</v>
      </c>
      <c r="F16" s="44">
        <f t="shared" si="3"/>
        <v>2.0000000000000001E-4</v>
      </c>
      <c r="G16" s="40">
        <v>10</v>
      </c>
      <c r="H16" s="45">
        <f t="shared" si="1"/>
        <v>2.1759156669369666E-3</v>
      </c>
      <c r="I16" s="46">
        <f t="shared" si="4"/>
        <v>2.2000000000000006E-3</v>
      </c>
      <c r="J16" s="42">
        <f t="shared" si="2"/>
        <v>0.98687666021350218</v>
      </c>
      <c r="K16" s="38"/>
      <c r="L16" s="38">
        <f t="shared" si="0"/>
        <v>2.1759156669369666E-2</v>
      </c>
      <c r="M16" s="38"/>
      <c r="N16" s="38"/>
      <c r="O16" s="38"/>
      <c r="P16" s="38"/>
      <c r="Q16" s="38"/>
    </row>
    <row r="17" spans="5:17">
      <c r="E17" s="43">
        <v>4.0000000000000002E-4</v>
      </c>
      <c r="F17" s="44">
        <f t="shared" si="3"/>
        <v>2.0000000000000001E-4</v>
      </c>
      <c r="G17" s="40">
        <v>11</v>
      </c>
      <c r="H17" s="45">
        <f t="shared" si="1"/>
        <v>2.3685039845124057E-3</v>
      </c>
      <c r="I17" s="46">
        <f t="shared" si="4"/>
        <v>2.4000000000000007E-3</v>
      </c>
      <c r="J17" s="42">
        <f t="shared" si="2"/>
        <v>0.98450815622898979</v>
      </c>
      <c r="K17" s="38"/>
      <c r="L17" s="38">
        <f t="shared" si="0"/>
        <v>2.6053543829636462E-2</v>
      </c>
      <c r="M17" s="38"/>
      <c r="N17" s="38"/>
      <c r="O17" s="38"/>
      <c r="P17" s="38"/>
      <c r="Q17" s="38"/>
    </row>
    <row r="18" spans="5:17">
      <c r="E18" s="40"/>
      <c r="F18" s="44">
        <f t="shared" si="3"/>
        <v>2.0000000000000001E-4</v>
      </c>
      <c r="G18" s="40">
        <v>12</v>
      </c>
      <c r="H18" s="45">
        <f t="shared" si="1"/>
        <v>2.5597212061953742E-3</v>
      </c>
      <c r="I18" s="46">
        <f t="shared" si="4"/>
        <v>2.6000000000000007E-3</v>
      </c>
      <c r="J18" s="42">
        <f t="shared" si="2"/>
        <v>0.98194843502279439</v>
      </c>
      <c r="K18" s="38"/>
      <c r="L18" s="38">
        <f t="shared" si="0"/>
        <v>3.071665447434449E-2</v>
      </c>
      <c r="M18" s="38"/>
      <c r="N18" s="38"/>
      <c r="O18" s="38"/>
      <c r="P18" s="38"/>
      <c r="Q18" s="38"/>
    </row>
    <row r="19" spans="5:17">
      <c r="E19" s="40"/>
      <c r="F19" s="44">
        <f t="shared" si="3"/>
        <v>2.0000000000000001E-4</v>
      </c>
      <c r="G19" s="40">
        <v>13</v>
      </c>
      <c r="H19" s="45">
        <f t="shared" si="1"/>
        <v>2.749455618063825E-3</v>
      </c>
      <c r="I19" s="46">
        <f t="shared" si="4"/>
        <v>2.8000000000000008E-3</v>
      </c>
      <c r="J19" s="42">
        <f t="shared" si="2"/>
        <v>0.97919897940473055</v>
      </c>
      <c r="K19" s="38"/>
      <c r="L19" s="38">
        <f t="shared" si="0"/>
        <v>3.5742923034829725E-2</v>
      </c>
      <c r="M19" s="38"/>
      <c r="N19" s="38"/>
      <c r="O19" s="38"/>
      <c r="P19" s="38"/>
      <c r="Q19" s="38"/>
    </row>
    <row r="20" spans="5:17">
      <c r="E20" s="40" t="s">
        <v>142</v>
      </c>
      <c r="F20" s="44">
        <f t="shared" si="3"/>
        <v>2.0000000000000001E-4</v>
      </c>
      <c r="G20" s="40">
        <v>14</v>
      </c>
      <c r="H20" s="45">
        <f t="shared" si="1"/>
        <v>2.9375969382141928E-3</v>
      </c>
      <c r="I20" s="46">
        <f t="shared" si="4"/>
        <v>3.0000000000000009E-3</v>
      </c>
      <c r="J20" s="42">
        <f t="shared" si="2"/>
        <v>0.97626138246651639</v>
      </c>
      <c r="K20" s="38"/>
      <c r="L20" s="38">
        <f t="shared" si="0"/>
        <v>4.1126357134998695E-2</v>
      </c>
      <c r="M20" s="38"/>
      <c r="N20" s="38"/>
      <c r="O20" s="38"/>
      <c r="P20" s="38"/>
      <c r="Q20" s="38"/>
    </row>
    <row r="21" spans="5:17">
      <c r="E21" s="43">
        <v>0</v>
      </c>
      <c r="F21" s="44">
        <f t="shared" si="3"/>
        <v>2.0000000000000001E-4</v>
      </c>
      <c r="G21" s="40">
        <v>15</v>
      </c>
      <c r="H21" s="45">
        <f t="shared" si="1"/>
        <v>3.1240364238928533E-3</v>
      </c>
      <c r="I21" s="46">
        <f t="shared" si="4"/>
        <v>3.200000000000001E-3</v>
      </c>
      <c r="J21" s="42">
        <f t="shared" si="2"/>
        <v>0.97313734604262359</v>
      </c>
      <c r="K21" s="38"/>
      <c r="L21" s="38">
        <f t="shared" si="0"/>
        <v>4.6860546358392798E-2</v>
      </c>
      <c r="M21" s="38"/>
      <c r="N21" s="38"/>
      <c r="O21" s="38"/>
      <c r="P21" s="38"/>
      <c r="Q21" s="38"/>
    </row>
    <row r="22" spans="5:17">
      <c r="E22" s="1"/>
      <c r="F22" s="44">
        <f t="shared" si="3"/>
        <v>2.0000000000000001E-4</v>
      </c>
      <c r="G22" s="40">
        <v>16</v>
      </c>
      <c r="H22" s="47">
        <f t="shared" si="1"/>
        <v>3.3086669765449214E-3</v>
      </c>
      <c r="I22" s="46">
        <f t="shared" si="4"/>
        <v>3.4000000000000011E-3</v>
      </c>
      <c r="J22" s="48">
        <f t="shared" si="2"/>
        <v>0.96982867906607861</v>
      </c>
      <c r="K22" s="38"/>
      <c r="L22" s="38">
        <f t="shared" si="0"/>
        <v>5.2938671624718742E-2</v>
      </c>
      <c r="M22" s="38"/>
      <c r="N22" s="38"/>
      <c r="O22" s="38"/>
      <c r="P22" s="38"/>
      <c r="Q22" s="38"/>
    </row>
    <row r="23" spans="5:17">
      <c r="E23" s="40"/>
      <c r="F23" s="44">
        <f t="shared" si="3"/>
        <v>2.0000000000000001E-4</v>
      </c>
      <c r="G23" s="40">
        <v>17</v>
      </c>
      <c r="H23" s="47">
        <f t="shared" si="1"/>
        <v>3.491383244637884E-3</v>
      </c>
      <c r="I23" s="46">
        <f t="shared" si="4"/>
        <v>3.6000000000000012E-3</v>
      </c>
      <c r="J23" s="48">
        <f t="shared" si="2"/>
        <v>0.96633729582144068</v>
      </c>
      <c r="K23" s="38"/>
      <c r="L23" s="38">
        <f t="shared" si="0"/>
        <v>5.9353515158844031E-2</v>
      </c>
      <c r="M23" s="38"/>
      <c r="N23" s="38"/>
      <c r="O23" s="38"/>
      <c r="P23" s="38"/>
      <c r="Q23" s="38"/>
    </row>
    <row r="24" spans="5:17">
      <c r="E24" s="40"/>
      <c r="F24" s="44">
        <f t="shared" si="3"/>
        <v>2.0000000000000001E-4</v>
      </c>
      <c r="G24" s="40">
        <v>18</v>
      </c>
      <c r="H24" s="47">
        <f t="shared" si="1"/>
        <v>3.6720817241214757E-3</v>
      </c>
      <c r="I24" s="46">
        <f t="shared" si="4"/>
        <v>3.8000000000000013E-3</v>
      </c>
      <c r="J24" s="48">
        <f t="shared" si="2"/>
        <v>0.9626652140973192</v>
      </c>
      <c r="K24" s="38"/>
      <c r="L24" s="38">
        <f t="shared" si="0"/>
        <v>6.6097471034186561E-2</v>
      </c>
      <c r="M24" s="38"/>
      <c r="N24" s="38"/>
      <c r="O24" s="38"/>
      <c r="P24" s="38"/>
      <c r="Q24" s="38"/>
    </row>
    <row r="25" spans="5:17">
      <c r="E25" s="38"/>
      <c r="F25" s="44">
        <f t="shared" si="3"/>
        <v>2.0000000000000001E-4</v>
      </c>
      <c r="G25" s="40">
        <v>19</v>
      </c>
      <c r="H25" s="47">
        <f t="shared" si="1"/>
        <v>3.8506608563892777E-3</v>
      </c>
      <c r="I25" s="46">
        <f t="shared" si="4"/>
        <v>4.000000000000001E-3</v>
      </c>
      <c r="J25" s="48">
        <f t="shared" si="2"/>
        <v>0.9588145532409299</v>
      </c>
      <c r="K25" s="38"/>
      <c r="L25" s="38">
        <f t="shared" si="0"/>
        <v>7.3162556271396284E-2</v>
      </c>
      <c r="M25" s="38"/>
      <c r="N25" s="38"/>
      <c r="O25" s="38"/>
      <c r="P25" s="38"/>
      <c r="Q25" s="38"/>
    </row>
    <row r="26" spans="5:17">
      <c r="E26" s="38"/>
      <c r="F26" s="44">
        <f t="shared" si="3"/>
        <v>2.0000000000000001E-4</v>
      </c>
      <c r="G26" s="40">
        <v>20</v>
      </c>
      <c r="H26" s="47">
        <f t="shared" si="1"/>
        <v>4.0270211236119059E-3</v>
      </c>
      <c r="I26" s="46">
        <f t="shared" si="4"/>
        <v>4.2000000000000006E-3</v>
      </c>
      <c r="J26" s="48">
        <f t="shared" si="2"/>
        <v>0.95478753211731804</v>
      </c>
      <c r="K26" s="38"/>
      <c r="L26" s="38">
        <f t="shared" si="0"/>
        <v>8.054042247223811E-2</v>
      </c>
      <c r="M26" s="38"/>
      <c r="N26" s="38"/>
      <c r="O26" s="38"/>
      <c r="P26" s="38"/>
      <c r="Q26" s="38"/>
    </row>
    <row r="27" spans="5:17">
      <c r="E27" s="38"/>
      <c r="F27" s="44">
        <f t="shared" si="3"/>
        <v>2.0000000000000001E-4</v>
      </c>
      <c r="G27" s="40">
        <v>21</v>
      </c>
      <c r="H27" s="47">
        <f t="shared" si="1"/>
        <v>4.2010651413161995E-3</v>
      </c>
      <c r="I27" s="46">
        <f t="shared" si="4"/>
        <v>4.4000000000000003E-3</v>
      </c>
      <c r="J27" s="48">
        <f t="shared" si="2"/>
        <v>0.9505864669760018</v>
      </c>
      <c r="K27" s="38"/>
      <c r="L27" s="38">
        <f t="shared" si="0"/>
        <v>8.8222367967640186E-2</v>
      </c>
      <c r="M27" s="38"/>
      <c r="N27" s="38"/>
      <c r="O27" s="38"/>
      <c r="P27" s="38"/>
      <c r="Q27" s="38"/>
    </row>
    <row r="28" spans="5:17">
      <c r="E28" s="38"/>
      <c r="F28" s="44">
        <f t="shared" si="3"/>
        <v>2.0000000000000001E-4</v>
      </c>
      <c r="G28" s="40">
        <v>22</v>
      </c>
      <c r="H28" s="47">
        <f t="shared" si="1"/>
        <v>4.3726977480896085E-3</v>
      </c>
      <c r="I28" s="46">
        <f t="shared" si="4"/>
        <v>4.5999999999999999E-3</v>
      </c>
      <c r="J28" s="48">
        <f t="shared" si="2"/>
        <v>0.94621376922791223</v>
      </c>
      <c r="K28" s="38"/>
      <c r="L28" s="38">
        <f t="shared" si="0"/>
        <v>9.6199350457971386E-2</v>
      </c>
      <c r="M28" s="38"/>
      <c r="N28" s="38"/>
      <c r="O28" s="38"/>
      <c r="P28" s="38"/>
      <c r="Q28" s="38"/>
    </row>
    <row r="29" spans="5:17">
      <c r="E29" s="38"/>
      <c r="F29" s="44">
        <f t="shared" si="3"/>
        <v>2.0000000000000001E-4</v>
      </c>
      <c r="G29" s="40">
        <v>23</v>
      </c>
      <c r="H29" s="47">
        <f t="shared" si="1"/>
        <v>4.5418260922939786E-3</v>
      </c>
      <c r="I29" s="46">
        <f t="shared" si="4"/>
        <v>4.7999999999999996E-3</v>
      </c>
      <c r="J29" s="48">
        <f t="shared" si="2"/>
        <v>0.94167194313561819</v>
      </c>
      <c r="K29" s="38"/>
      <c r="L29" s="38">
        <f t="shared" si="0"/>
        <v>0.10446200012276151</v>
      </c>
      <c r="M29" s="38"/>
      <c r="N29" s="38"/>
      <c r="O29" s="38"/>
      <c r="P29" s="38"/>
      <c r="Q29" s="38"/>
    </row>
    <row r="30" spans="5:17">
      <c r="E30" s="38"/>
      <c r="F30" s="44">
        <f t="shared" si="3"/>
        <v>2.0000000000000001E-4</v>
      </c>
      <c r="G30" s="40">
        <v>24</v>
      </c>
      <c r="H30" s="47">
        <f t="shared" si="1"/>
        <v>4.7083597156780902E-3</v>
      </c>
      <c r="I30" s="46">
        <f t="shared" si="4"/>
        <v>4.9999999999999992E-3</v>
      </c>
      <c r="J30" s="48">
        <f t="shared" si="2"/>
        <v>0.93696358341994013</v>
      </c>
      <c r="K30" s="38"/>
      <c r="L30" s="38">
        <f t="shared" si="0"/>
        <v>0.11300063317627417</v>
      </c>
      <c r="M30" s="38"/>
      <c r="N30" s="38"/>
      <c r="O30" s="38"/>
      <c r="P30" s="38"/>
      <c r="Q30" s="38"/>
    </row>
    <row r="31" spans="5:17">
      <c r="E31" s="38"/>
      <c r="F31" s="44">
        <f t="shared" si="3"/>
        <v>2.0000000000000001E-4</v>
      </c>
      <c r="G31" s="40">
        <v>25</v>
      </c>
      <c r="H31" s="47">
        <f t="shared" si="1"/>
        <v>4.8722106337836879E-3</v>
      </c>
      <c r="I31" s="46">
        <f t="shared" si="4"/>
        <v>5.1999999999999989E-3</v>
      </c>
      <c r="J31" s="48">
        <f t="shared" si="2"/>
        <v>0.93209137278615639</v>
      </c>
      <c r="K31" s="38"/>
      <c r="L31" s="38">
        <f t="shared" si="0"/>
        <v>0.1218052658445922</v>
      </c>
      <c r="M31" s="38"/>
      <c r="N31" s="38"/>
      <c r="O31" s="38"/>
      <c r="P31" s="38"/>
      <c r="Q31" s="38"/>
    </row>
    <row r="32" spans="5:17">
      <c r="E32" s="38"/>
      <c r="F32" s="44">
        <f t="shared" si="3"/>
        <v>2.0000000000000001E-4</v>
      </c>
      <c r="G32" s="40">
        <v>26</v>
      </c>
      <c r="H32" s="47">
        <f t="shared" si="1"/>
        <v>5.0332934130452433E-3</v>
      </c>
      <c r="I32" s="46">
        <f t="shared" si="4"/>
        <v>5.3999999999999986E-3</v>
      </c>
      <c r="J32" s="48">
        <f t="shared" si="2"/>
        <v>0.92705807937311113</v>
      </c>
      <c r="K32" s="38"/>
      <c r="L32" s="38">
        <f t="shared" si="0"/>
        <v>0.13086562873917632</v>
      </c>
      <c r="M32" s="38"/>
      <c r="N32" s="38"/>
      <c r="O32" s="38"/>
      <c r="P32" s="38"/>
      <c r="Q32" s="38"/>
    </row>
    <row r="33" spans="5:17">
      <c r="E33" s="38"/>
      <c r="F33" s="44">
        <f t="shared" si="3"/>
        <v>2.0000000000000001E-4</v>
      </c>
      <c r="G33" s="40">
        <v>27</v>
      </c>
      <c r="H33" s="47">
        <f t="shared" si="1"/>
        <v>5.1915252444894207E-3</v>
      </c>
      <c r="I33" s="46">
        <f t="shared" si="4"/>
        <v>5.5999999999999982E-3</v>
      </c>
      <c r="J33" s="48">
        <f t="shared" si="2"/>
        <v>0.92186655412862173</v>
      </c>
      <c r="K33" s="38"/>
      <c r="L33" s="38">
        <f t="shared" si="0"/>
        <v>0.14017118160121436</v>
      </c>
      <c r="M33" s="38"/>
      <c r="N33" s="38"/>
      <c r="O33" s="38"/>
      <c r="P33" s="38"/>
      <c r="Q33" s="38"/>
    </row>
    <row r="34" spans="5:17">
      <c r="E34" s="38"/>
      <c r="F34" s="44">
        <f t="shared" si="3"/>
        <v>2.0000000000000001E-4</v>
      </c>
      <c r="G34" s="40">
        <v>28</v>
      </c>
      <c r="H34" s="47">
        <f t="shared" si="1"/>
        <v>5.3468260139460039E-3</v>
      </c>
      <c r="I34" s="46">
        <f t="shared" si="4"/>
        <v>5.7999999999999979E-3</v>
      </c>
      <c r="J34" s="48">
        <f t="shared" si="2"/>
        <v>0.91651972811467575</v>
      </c>
      <c r="K34" s="38"/>
      <c r="L34" s="38">
        <f t="shared" si="0"/>
        <v>0.14971112839048811</v>
      </c>
      <c r="M34" s="38"/>
      <c r="N34" s="38"/>
      <c r="O34" s="38"/>
      <c r="P34" s="38"/>
      <c r="Q34" s="38"/>
    </row>
    <row r="35" spans="5:17">
      <c r="E35" s="38"/>
      <c r="F35" s="44">
        <f t="shared" si="3"/>
        <v>2.0000000000000001E-4</v>
      </c>
      <c r="G35" s="40">
        <v>29</v>
      </c>
      <c r="H35" s="47">
        <f t="shared" si="1"/>
        <v>5.4991183686880522E-3</v>
      </c>
      <c r="I35" s="46">
        <f t="shared" si="4"/>
        <v>5.9999999999999975E-3</v>
      </c>
      <c r="J35" s="48">
        <f t="shared" si="2"/>
        <v>0.91102060974598764</v>
      </c>
      <c r="K35" s="38"/>
      <c r="L35" s="38">
        <f t="shared" si="0"/>
        <v>0.15947443269195352</v>
      </c>
      <c r="M35" s="38"/>
      <c r="N35" s="38"/>
      <c r="O35" s="38"/>
      <c r="P35" s="38"/>
      <c r="Q35" s="38"/>
    </row>
    <row r="36" spans="5:17">
      <c r="E36" s="38"/>
      <c r="F36" s="44">
        <f t="shared" si="3"/>
        <v>2.0000000000000001E-4</v>
      </c>
      <c r="G36" s="40">
        <v>30</v>
      </c>
      <c r="H36" s="47">
        <f t="shared" si="1"/>
        <v>5.6483277804251211E-3</v>
      </c>
      <c r="I36" s="46">
        <f t="shared" si="4"/>
        <v>6.1999999999999972E-3</v>
      </c>
      <c r="J36" s="48">
        <f t="shared" si="2"/>
        <v>0.90537228196556252</v>
      </c>
      <c r="K36" s="38"/>
      <c r="L36" s="38">
        <f t="shared" si="0"/>
        <v>0.16944983341275363</v>
      </c>
      <c r="M36" s="38"/>
      <c r="N36" s="38"/>
      <c r="O36" s="38"/>
      <c r="P36" s="38"/>
      <c r="Q36" s="38"/>
    </row>
    <row r="37" spans="5:17">
      <c r="E37" s="38"/>
      <c r="F37" s="44">
        <f t="shared" si="3"/>
        <v>2.0000000000000001E-4</v>
      </c>
      <c r="G37" s="40">
        <v>31</v>
      </c>
      <c r="H37" s="47">
        <f t="shared" si="1"/>
        <v>5.7943826045795972E-3</v>
      </c>
      <c r="I37" s="46">
        <f t="shared" si="4"/>
        <v>6.3999999999999968E-3</v>
      </c>
      <c r="J37" s="48">
        <f t="shared" si="2"/>
        <v>0.89957789936098287</v>
      </c>
      <c r="K37" s="38"/>
      <c r="L37" s="38">
        <f t="shared" si="0"/>
        <v>0.17962586074196751</v>
      </c>
      <c r="M37" s="38"/>
      <c r="N37" s="38"/>
      <c r="O37" s="38"/>
      <c r="P37" s="38"/>
      <c r="Q37" s="38"/>
    </row>
    <row r="38" spans="5:17">
      <c r="E38" s="38"/>
      <c r="F38" s="44">
        <f t="shared" si="3"/>
        <v>2.0000000000000001E-4</v>
      </c>
      <c r="G38" s="40">
        <v>32</v>
      </c>
      <c r="H38" s="47">
        <f t="shared" si="1"/>
        <v>5.9372141357824839E-3</v>
      </c>
      <c r="I38" s="46">
        <f t="shared" si="4"/>
        <v>6.5999999999999965E-3</v>
      </c>
      <c r="J38" s="48">
        <f t="shared" si="2"/>
        <v>0.89364068522520035</v>
      </c>
      <c r="K38" s="38"/>
      <c r="L38" s="38">
        <f t="shared" si="0"/>
        <v>0.18999085234503948</v>
      </c>
      <c r="M38" s="38"/>
      <c r="N38" s="38"/>
      <c r="O38" s="38"/>
      <c r="P38" s="38"/>
      <c r="Q38" s="38"/>
    </row>
    <row r="39" spans="5:17">
      <c r="E39" s="38"/>
      <c r="F39" s="44">
        <f t="shared" si="3"/>
        <v>2.0000000000000001E-4</v>
      </c>
      <c r="G39" s="40">
        <v>33</v>
      </c>
      <c r="H39" s="47">
        <f t="shared" si="1"/>
        <v>6.0767566595313592E-3</v>
      </c>
      <c r="I39" s="46">
        <f t="shared" si="4"/>
        <v>6.7999999999999962E-3</v>
      </c>
      <c r="J39" s="48">
        <f t="shared" si="2"/>
        <v>0.88756392856566901</v>
      </c>
      <c r="K39" s="38"/>
      <c r="L39" s="38">
        <f t="shared" si="0"/>
        <v>0.20053296976453486</v>
      </c>
      <c r="M39" s="38"/>
      <c r="N39" s="38"/>
      <c r="O39" s="38"/>
      <c r="P39" s="38"/>
      <c r="Q39" s="38"/>
    </row>
    <row r="40" spans="5:17">
      <c r="E40" s="38"/>
      <c r="F40" s="44">
        <f t="shared" si="3"/>
        <v>2.0000000000000001E-4</v>
      </c>
      <c r="G40" s="40">
        <v>34</v>
      </c>
      <c r="H40" s="47">
        <f t="shared" ref="H40:H103" si="5">J39*I40</f>
        <v>6.2129474999596795E-3</v>
      </c>
      <c r="I40" s="46">
        <f t="shared" si="4"/>
        <v>6.9999999999999958E-3</v>
      </c>
      <c r="J40" s="48">
        <f t="shared" ref="J40:J103" si="6">J39-H40</f>
        <v>0.8813509810657093</v>
      </c>
      <c r="K40" s="38"/>
      <c r="L40" s="38">
        <f t="shared" ref="L40:L103" si="7">G40*H40</f>
        <v>0.21124021499862911</v>
      </c>
      <c r="M40" s="38"/>
      <c r="N40" s="38"/>
      <c r="O40" s="38"/>
      <c r="P40" s="38"/>
      <c r="Q40" s="38"/>
    </row>
    <row r="41" spans="5:17">
      <c r="E41" s="38"/>
      <c r="F41" s="44">
        <f t="shared" si="3"/>
        <v>2.0000000000000001E-4</v>
      </c>
      <c r="G41" s="40">
        <v>35</v>
      </c>
      <c r="H41" s="47">
        <f t="shared" si="5"/>
        <v>6.345727063673103E-3</v>
      </c>
      <c r="I41" s="46">
        <f t="shared" si="4"/>
        <v>7.1999999999999955E-3</v>
      </c>
      <c r="J41" s="48">
        <f t="shared" si="6"/>
        <v>0.87500525400203621</v>
      </c>
      <c r="K41" s="38"/>
      <c r="L41" s="38">
        <f t="shared" si="7"/>
        <v>0.2221004472285586</v>
      </c>
      <c r="M41" s="38"/>
      <c r="N41" s="38"/>
      <c r="O41" s="38"/>
      <c r="P41" s="38"/>
      <c r="Q41" s="38"/>
    </row>
    <row r="42" spans="5:17">
      <c r="E42" s="38"/>
      <c r="F42" s="44">
        <f t="shared" si="3"/>
        <v>2.0000000000000001E-4</v>
      </c>
      <c r="G42" s="40">
        <v>36</v>
      </c>
      <c r="H42" s="47">
        <f t="shared" si="5"/>
        <v>6.4750388796150637E-3</v>
      </c>
      <c r="I42" s="46">
        <f t="shared" si="4"/>
        <v>7.3999999999999951E-3</v>
      </c>
      <c r="J42" s="48">
        <f t="shared" si="6"/>
        <v>0.86853021512242112</v>
      </c>
      <c r="K42" s="38"/>
      <c r="L42" s="38">
        <f t="shared" si="7"/>
        <v>0.23310139966614229</v>
      </c>
      <c r="M42" s="38"/>
      <c r="N42" s="38"/>
      <c r="O42" s="38"/>
      <c r="P42" s="38"/>
      <c r="Q42" s="38"/>
    </row>
    <row r="43" spans="5:17">
      <c r="E43" s="38"/>
      <c r="F43" s="44">
        <f t="shared" si="3"/>
        <v>2.0000000000000001E-4</v>
      </c>
      <c r="G43" s="40">
        <v>37</v>
      </c>
      <c r="H43" s="47">
        <f t="shared" si="5"/>
        <v>6.6008296349303964E-3</v>
      </c>
      <c r="I43" s="46">
        <f t="shared" si="4"/>
        <v>7.5999999999999948E-3</v>
      </c>
      <c r="J43" s="48">
        <f t="shared" si="6"/>
        <v>0.86192938548749076</v>
      </c>
      <c r="K43" s="38"/>
      <c r="L43" s="38">
        <f t="shared" si="7"/>
        <v>0.24423069649242465</v>
      </c>
      <c r="M43" s="38"/>
      <c r="N43" s="38"/>
      <c r="O43" s="38"/>
      <c r="P43" s="38"/>
      <c r="Q43" s="38"/>
    </row>
    <row r="44" spans="5:17">
      <c r="E44" s="38"/>
      <c r="F44" s="44">
        <f t="shared" si="3"/>
        <v>2.0000000000000001E-4</v>
      </c>
      <c r="G44" s="40">
        <v>38</v>
      </c>
      <c r="H44" s="47">
        <f t="shared" si="5"/>
        <v>6.7230492068024233E-3</v>
      </c>
      <c r="I44" s="46">
        <f t="shared" si="4"/>
        <v>7.7999999999999944E-3</v>
      </c>
      <c r="J44" s="48">
        <f t="shared" si="6"/>
        <v>0.85520633628068832</v>
      </c>
      <c r="K44" s="38"/>
      <c r="L44" s="38">
        <f t="shared" si="7"/>
        <v>0.25547586985849208</v>
      </c>
      <c r="M44" s="38"/>
      <c r="N44" s="38"/>
      <c r="O44" s="38"/>
      <c r="P44" s="38"/>
      <c r="Q44" s="38"/>
    </row>
    <row r="45" spans="5:17">
      <c r="E45" s="38"/>
      <c r="F45" s="44">
        <f t="shared" si="3"/>
        <v>2.0000000000000001E-4</v>
      </c>
      <c r="G45" s="40">
        <v>39</v>
      </c>
      <c r="H45" s="47">
        <f t="shared" si="5"/>
        <v>6.8416506902455026E-3</v>
      </c>
      <c r="I45" s="46">
        <f t="shared" si="4"/>
        <v>7.999999999999995E-3</v>
      </c>
      <c r="J45" s="48">
        <f t="shared" si="6"/>
        <v>0.84836468559044287</v>
      </c>
      <c r="K45" s="38"/>
      <c r="L45" s="38">
        <f t="shared" si="7"/>
        <v>0.26682437691957461</v>
      </c>
      <c r="M45" s="38"/>
      <c r="N45" s="38"/>
      <c r="O45" s="38"/>
      <c r="P45" s="38"/>
      <c r="Q45" s="38"/>
    </row>
    <row r="46" spans="5:17">
      <c r="E46" s="38"/>
      <c r="F46" s="44">
        <f t="shared" si="3"/>
        <v>2.0000000000000001E-4</v>
      </c>
      <c r="G46" s="40">
        <v>40</v>
      </c>
      <c r="H46" s="47">
        <f t="shared" si="5"/>
        <v>6.9565904218416279E-3</v>
      </c>
      <c r="I46" s="46">
        <f t="shared" si="4"/>
        <v>8.1999999999999955E-3</v>
      </c>
      <c r="J46" s="48">
        <f t="shared" si="6"/>
        <v>0.84140809516860127</v>
      </c>
      <c r="K46" s="38"/>
      <c r="L46" s="38">
        <f t="shared" si="7"/>
        <v>0.27826361687366513</v>
      </c>
      <c r="M46" s="38"/>
      <c r="N46" s="38"/>
      <c r="O46" s="38"/>
      <c r="P46" s="38"/>
      <c r="Q46" s="38"/>
    </row>
    <row r="47" spans="5:17">
      <c r="E47" s="38"/>
      <c r="F47" s="44">
        <f t="shared" si="3"/>
        <v>2.0000000000000001E-4</v>
      </c>
      <c r="G47" s="40">
        <v>41</v>
      </c>
      <c r="H47" s="47">
        <f t="shared" si="5"/>
        <v>7.0678279994162473E-3</v>
      </c>
      <c r="I47" s="46">
        <f t="shared" si="4"/>
        <v>8.399999999999996E-3</v>
      </c>
      <c r="J47" s="48">
        <f t="shared" si="6"/>
        <v>0.83434026716918497</v>
      </c>
      <c r="K47" s="38"/>
      <c r="L47" s="38">
        <f t="shared" si="7"/>
        <v>0.28978094797606613</v>
      </c>
      <c r="M47" s="38"/>
      <c r="N47" s="38"/>
      <c r="O47" s="38"/>
      <c r="P47" s="38"/>
      <c r="Q47" s="38"/>
    </row>
    <row r="48" spans="5:17">
      <c r="E48" s="38"/>
      <c r="F48" s="44">
        <f t="shared" si="3"/>
        <v>2.0000000000000001E-4</v>
      </c>
      <c r="G48" s="40">
        <v>42</v>
      </c>
      <c r="H48" s="47">
        <f t="shared" si="5"/>
        <v>7.1753262976549876E-3</v>
      </c>
      <c r="I48" s="46">
        <f t="shared" si="4"/>
        <v>8.5999999999999965E-3</v>
      </c>
      <c r="J48" s="48">
        <f t="shared" si="6"/>
        <v>0.82716494087153003</v>
      </c>
      <c r="K48" s="38"/>
      <c r="L48" s="38">
        <f t="shared" si="7"/>
        <v>0.30136370450150946</v>
      </c>
      <c r="M48" s="38"/>
      <c r="N48" s="38"/>
      <c r="O48" s="38"/>
      <c r="P48" s="38"/>
      <c r="Q48" s="38"/>
    </row>
    <row r="49" spans="5:17">
      <c r="E49" s="38"/>
      <c r="F49" s="44">
        <f t="shared" si="3"/>
        <v>2.0000000000000001E-4</v>
      </c>
      <c r="G49" s="40">
        <v>43</v>
      </c>
      <c r="H49" s="47">
        <f t="shared" si="5"/>
        <v>7.2790514796694621E-3</v>
      </c>
      <c r="I49" s="46">
        <f t="shared" si="4"/>
        <v>8.7999999999999971E-3</v>
      </c>
      <c r="J49" s="48">
        <f t="shared" si="6"/>
        <v>0.81988588939186058</v>
      </c>
      <c r="K49" s="38"/>
      <c r="L49" s="38">
        <f t="shared" si="7"/>
        <v>0.31299921362578687</v>
      </c>
      <c r="M49" s="38"/>
      <c r="N49" s="38"/>
      <c r="O49" s="38"/>
      <c r="P49" s="38"/>
      <c r="Q49" s="38"/>
    </row>
    <row r="50" spans="5:17">
      <c r="E50" s="38"/>
      <c r="F50" s="44">
        <f t="shared" si="3"/>
        <v>2.0000000000000001E-4</v>
      </c>
      <c r="G50" s="40">
        <v>44</v>
      </c>
      <c r="H50" s="47">
        <f t="shared" si="5"/>
        <v>7.3789730045267432E-3</v>
      </c>
      <c r="I50" s="46">
        <f t="shared" si="4"/>
        <v>8.9999999999999976E-3</v>
      </c>
      <c r="J50" s="48">
        <f t="shared" si="6"/>
        <v>0.81250691638733386</v>
      </c>
      <c r="K50" s="38"/>
      <c r="L50" s="38">
        <f t="shared" si="7"/>
        <v>0.32467481219917671</v>
      </c>
      <c r="M50" s="38"/>
      <c r="N50" s="38"/>
      <c r="O50" s="38"/>
      <c r="P50" s="38"/>
      <c r="Q50" s="38"/>
    </row>
    <row r="51" spans="5:17">
      <c r="E51" s="38"/>
      <c r="F51" s="44">
        <f t="shared" si="3"/>
        <v>2.0000000000000001E-4</v>
      </c>
      <c r="G51" s="40">
        <v>45</v>
      </c>
      <c r="H51" s="47">
        <f t="shared" si="5"/>
        <v>7.4750636307634698E-3</v>
      </c>
      <c r="I51" s="46">
        <f t="shared" si="4"/>
        <v>9.1999999999999981E-3</v>
      </c>
      <c r="J51" s="48">
        <f t="shared" si="6"/>
        <v>0.80503185275657041</v>
      </c>
      <c r="K51" s="38"/>
      <c r="L51" s="38">
        <f t="shared" si="7"/>
        <v>0.33637786338435616</v>
      </c>
      <c r="M51" s="38"/>
      <c r="N51" s="38"/>
      <c r="O51" s="38"/>
      <c r="P51" s="38"/>
      <c r="Q51" s="38"/>
    </row>
    <row r="52" spans="5:17">
      <c r="E52" s="38"/>
      <c r="F52" s="44">
        <f t="shared" si="3"/>
        <v>2.0000000000000001E-4</v>
      </c>
      <c r="G52" s="40">
        <v>46</v>
      </c>
      <c r="H52" s="47">
        <f t="shared" si="5"/>
        <v>7.5672994159117612E-3</v>
      </c>
      <c r="I52" s="46">
        <f t="shared" si="4"/>
        <v>9.3999999999999986E-3</v>
      </c>
      <c r="J52" s="48">
        <f t="shared" si="6"/>
        <v>0.79746455334065869</v>
      </c>
      <c r="K52" s="38"/>
      <c r="L52" s="38">
        <f t="shared" si="7"/>
        <v>0.34809577313194101</v>
      </c>
      <c r="M52" s="38"/>
      <c r="N52" s="38"/>
      <c r="O52" s="38"/>
      <c r="P52" s="38"/>
      <c r="Q52" s="38"/>
    </row>
    <row r="53" spans="5:17">
      <c r="E53" s="38"/>
      <c r="F53" s="44">
        <f t="shared" si="3"/>
        <v>2.0000000000000001E-4</v>
      </c>
      <c r="G53" s="40">
        <v>47</v>
      </c>
      <c r="H53" s="47">
        <f t="shared" si="5"/>
        <v>7.6556597120703224E-3</v>
      </c>
      <c r="I53" s="46">
        <f t="shared" si="4"/>
        <v>9.5999999999999992E-3</v>
      </c>
      <c r="J53" s="48">
        <f t="shared" si="6"/>
        <v>0.78980889362858842</v>
      </c>
      <c r="K53" s="38"/>
      <c r="L53" s="38">
        <f t="shared" si="7"/>
        <v>0.35981600646730516</v>
      </c>
      <c r="M53" s="38"/>
      <c r="N53" s="38"/>
      <c r="O53" s="38"/>
      <c r="P53" s="38"/>
      <c r="Q53" s="38"/>
    </row>
    <row r="54" spans="5:17">
      <c r="E54" s="38"/>
      <c r="F54" s="44">
        <f t="shared" si="3"/>
        <v>2.0000000000000001E-4</v>
      </c>
      <c r="G54" s="40">
        <v>48</v>
      </c>
      <c r="H54" s="47">
        <f t="shared" si="5"/>
        <v>7.7401271575601666E-3</v>
      </c>
      <c r="I54" s="46">
        <f t="shared" si="4"/>
        <v>9.7999999999999997E-3</v>
      </c>
      <c r="J54" s="48">
        <f t="shared" si="6"/>
        <v>0.7820687664710283</v>
      </c>
      <c r="K54" s="38"/>
      <c r="L54" s="38">
        <f t="shared" si="7"/>
        <v>0.37152610356288801</v>
      </c>
      <c r="M54" s="38"/>
      <c r="N54" s="38"/>
      <c r="O54" s="38"/>
      <c r="P54" s="38"/>
      <c r="Q54" s="38"/>
    </row>
    <row r="55" spans="5:17">
      <c r="E55" s="38"/>
      <c r="F55" s="44">
        <f t="shared" si="3"/>
        <v>2.0000000000000001E-4</v>
      </c>
      <c r="G55" s="40">
        <v>49</v>
      </c>
      <c r="H55" s="47">
        <f t="shared" si="5"/>
        <v>7.8206876647102831E-3</v>
      </c>
      <c r="I55" s="46">
        <f t="shared" si="4"/>
        <v>0.01</v>
      </c>
      <c r="J55" s="48">
        <f t="shared" si="6"/>
        <v>0.77424807880631796</v>
      </c>
      <c r="K55" s="38"/>
      <c r="L55" s="38">
        <f t="shared" si="7"/>
        <v>0.38321369557080387</v>
      </c>
      <c r="M55" s="38"/>
      <c r="N55" s="38"/>
      <c r="O55" s="38"/>
      <c r="P55" s="38"/>
      <c r="Q55" s="38"/>
    </row>
    <row r="56" spans="5:17">
      <c r="E56" s="38"/>
      <c r="F56" s="44">
        <f t="shared" si="3"/>
        <v>2.0000000000000001E-4</v>
      </c>
      <c r="G56" s="40">
        <v>50</v>
      </c>
      <c r="H56" s="47">
        <f t="shared" si="5"/>
        <v>7.8973304038244437E-3</v>
      </c>
      <c r="I56" s="46">
        <f t="shared" si="4"/>
        <v>1.0200000000000001E-2</v>
      </c>
      <c r="J56" s="48">
        <f t="shared" si="6"/>
        <v>0.76635074840249351</v>
      </c>
      <c r="K56" s="38"/>
      <c r="L56" s="38">
        <f t="shared" si="7"/>
        <v>0.3948665201912222</v>
      </c>
      <c r="M56" s="38"/>
      <c r="N56" s="38"/>
      <c r="O56" s="38"/>
      <c r="P56" s="38"/>
      <c r="Q56" s="38"/>
    </row>
    <row r="57" spans="5:17">
      <c r="E57" s="38"/>
      <c r="F57" s="44">
        <f t="shared" ref="F57:F88" si="8">$E$13</f>
        <v>2.9999999999999997E-4</v>
      </c>
      <c r="G57" s="40">
        <v>51</v>
      </c>
      <c r="H57" s="47">
        <f t="shared" si="5"/>
        <v>8.0466828582261823E-3</v>
      </c>
      <c r="I57" s="46">
        <f t="shared" si="4"/>
        <v>1.0500000000000001E-2</v>
      </c>
      <c r="J57" s="48">
        <f t="shared" si="6"/>
        <v>0.75830406554426733</v>
      </c>
      <c r="K57" s="38"/>
      <c r="L57" s="38">
        <f t="shared" si="7"/>
        <v>0.41038082576953527</v>
      </c>
      <c r="M57" s="38"/>
      <c r="N57" s="38"/>
      <c r="O57" s="38"/>
      <c r="P57" s="38"/>
      <c r="Q57" s="38"/>
    </row>
    <row r="58" spans="5:17">
      <c r="E58" s="38"/>
      <c r="F58" s="44">
        <f t="shared" si="8"/>
        <v>2.9999999999999997E-4</v>
      </c>
      <c r="G58" s="40">
        <v>52</v>
      </c>
      <c r="H58" s="47">
        <f t="shared" si="5"/>
        <v>8.1896839078780884E-3</v>
      </c>
      <c r="I58" s="46">
        <f t="shared" si="4"/>
        <v>1.0800000000000001E-2</v>
      </c>
      <c r="J58" s="48">
        <f t="shared" si="6"/>
        <v>0.75011438163638922</v>
      </c>
      <c r="K58" s="38"/>
      <c r="L58" s="38">
        <f t="shared" si="7"/>
        <v>0.42586356320966057</v>
      </c>
      <c r="M58" s="38"/>
      <c r="N58" s="38"/>
      <c r="O58" s="38"/>
      <c r="P58" s="38"/>
      <c r="Q58" s="38"/>
    </row>
    <row r="59" spans="5:17">
      <c r="E59" s="38"/>
      <c r="F59" s="44">
        <f t="shared" si="8"/>
        <v>2.9999999999999997E-4</v>
      </c>
      <c r="G59" s="40">
        <v>53</v>
      </c>
      <c r="H59" s="47">
        <f t="shared" si="5"/>
        <v>8.3262696361639209E-3</v>
      </c>
      <c r="I59" s="46">
        <f t="shared" si="4"/>
        <v>1.11E-2</v>
      </c>
      <c r="J59" s="48">
        <f t="shared" si="6"/>
        <v>0.74178811200022532</v>
      </c>
      <c r="K59" s="38"/>
      <c r="L59" s="38">
        <f t="shared" si="7"/>
        <v>0.4412922907166878</v>
      </c>
      <c r="M59" s="38"/>
      <c r="N59" s="38"/>
      <c r="O59" s="38"/>
      <c r="P59" s="38"/>
      <c r="Q59" s="38"/>
    </row>
    <row r="60" spans="5:17">
      <c r="E60" s="38"/>
      <c r="F60" s="44">
        <f t="shared" si="8"/>
        <v>2.9999999999999997E-4</v>
      </c>
      <c r="G60" s="40">
        <v>54</v>
      </c>
      <c r="H60" s="47">
        <f t="shared" si="5"/>
        <v>8.4563844768025687E-3</v>
      </c>
      <c r="I60" s="46">
        <f t="shared" si="4"/>
        <v>1.14E-2</v>
      </c>
      <c r="J60" s="48">
        <f t="shared" si="6"/>
        <v>0.73333172752342279</v>
      </c>
      <c r="K60" s="38"/>
      <c r="L60" s="38">
        <f t="shared" si="7"/>
        <v>0.4566447617473387</v>
      </c>
      <c r="M60" s="38"/>
      <c r="N60" s="38"/>
      <c r="O60" s="38"/>
      <c r="P60" s="38"/>
      <c r="Q60" s="38"/>
    </row>
    <row r="61" spans="5:17">
      <c r="E61" s="38"/>
      <c r="F61" s="44">
        <f t="shared" si="8"/>
        <v>2.9999999999999997E-4</v>
      </c>
      <c r="G61" s="40">
        <v>55</v>
      </c>
      <c r="H61" s="47">
        <f t="shared" si="5"/>
        <v>8.5799812120240463E-3</v>
      </c>
      <c r="I61" s="46">
        <f t="shared" si="4"/>
        <v>1.17E-2</v>
      </c>
      <c r="J61" s="48">
        <f t="shared" si="6"/>
        <v>0.72475174631139871</v>
      </c>
      <c r="K61" s="38"/>
      <c r="L61" s="38">
        <f t="shared" si="7"/>
        <v>0.47189896666132253</v>
      </c>
      <c r="M61" s="38"/>
      <c r="N61" s="38"/>
      <c r="O61" s="38"/>
      <c r="P61" s="38"/>
      <c r="Q61" s="38"/>
    </row>
    <row r="62" spans="5:17">
      <c r="E62" s="38"/>
      <c r="F62" s="44">
        <f t="shared" si="8"/>
        <v>2.9999999999999997E-4</v>
      </c>
      <c r="G62" s="40">
        <v>56</v>
      </c>
      <c r="H62" s="47">
        <f t="shared" si="5"/>
        <v>8.6970209557367846E-3</v>
      </c>
      <c r="I62" s="46">
        <f t="shared" si="4"/>
        <v>1.2E-2</v>
      </c>
      <c r="J62" s="48">
        <f t="shared" si="6"/>
        <v>0.71605472535566195</v>
      </c>
      <c r="K62" s="38"/>
      <c r="L62" s="38">
        <f t="shared" si="7"/>
        <v>0.48703317352125997</v>
      </c>
      <c r="M62" s="38"/>
      <c r="N62" s="38"/>
      <c r="O62" s="38"/>
      <c r="P62" s="38"/>
      <c r="Q62" s="38"/>
    </row>
    <row r="63" spans="5:17">
      <c r="E63" s="38"/>
      <c r="F63" s="44">
        <f t="shared" si="8"/>
        <v>2.9999999999999997E-4</v>
      </c>
      <c r="G63" s="40">
        <v>57</v>
      </c>
      <c r="H63" s="47">
        <f t="shared" si="5"/>
        <v>8.807473121874642E-3</v>
      </c>
      <c r="I63" s="46">
        <f t="shared" si="4"/>
        <v>1.23E-2</v>
      </c>
      <c r="J63" s="48">
        <f t="shared" si="6"/>
        <v>0.70724725223378726</v>
      </c>
      <c r="K63" s="38"/>
      <c r="L63" s="38">
        <f t="shared" si="7"/>
        <v>0.50202596794685461</v>
      </c>
      <c r="M63" s="38"/>
      <c r="N63" s="38"/>
      <c r="O63" s="38"/>
      <c r="P63" s="38"/>
      <c r="Q63" s="38"/>
    </row>
    <row r="64" spans="5:17">
      <c r="E64" s="38"/>
      <c r="F64" s="44">
        <f t="shared" si="8"/>
        <v>2.9999999999999997E-4</v>
      </c>
      <c r="G64" s="40">
        <v>58</v>
      </c>
      <c r="H64" s="47">
        <f t="shared" si="5"/>
        <v>8.9113153781457191E-3</v>
      </c>
      <c r="I64" s="46">
        <f t="shared" si="4"/>
        <v>1.26E-2</v>
      </c>
      <c r="J64" s="48">
        <f t="shared" si="6"/>
        <v>0.69833593685564155</v>
      </c>
      <c r="K64" s="38"/>
      <c r="L64" s="38">
        <f t="shared" si="7"/>
        <v>0.51685629193245175</v>
      </c>
      <c r="M64" s="38"/>
      <c r="N64" s="38"/>
      <c r="O64" s="38"/>
      <c r="P64" s="38"/>
      <c r="Q64" s="38"/>
    </row>
    <row r="65" spans="5:17">
      <c r="E65" s="38"/>
      <c r="F65" s="44">
        <f t="shared" si="8"/>
        <v>2.9999999999999997E-4</v>
      </c>
      <c r="G65" s="40">
        <v>59</v>
      </c>
      <c r="H65" s="47">
        <f t="shared" si="5"/>
        <v>9.0085335854377755E-3</v>
      </c>
      <c r="I65" s="46">
        <f t="shared" si="4"/>
        <v>1.29E-2</v>
      </c>
      <c r="J65" s="48">
        <f t="shared" si="6"/>
        <v>0.68932740327020381</v>
      </c>
      <c r="K65" s="38"/>
      <c r="L65" s="38">
        <f t="shared" si="7"/>
        <v>0.53150348154082871</v>
      </c>
      <c r="M65" s="38"/>
      <c r="N65" s="38"/>
      <c r="O65" s="38"/>
      <c r="P65" s="38"/>
      <c r="Q65" s="38"/>
    </row>
    <row r="66" spans="5:17">
      <c r="E66" s="38"/>
      <c r="F66" s="44">
        <f t="shared" si="8"/>
        <v>2.9999999999999997E-4</v>
      </c>
      <c r="G66" s="40">
        <v>60</v>
      </c>
      <c r="H66" s="47">
        <f t="shared" si="5"/>
        <v>9.0991217231666897E-3</v>
      </c>
      <c r="I66" s="46">
        <f t="shared" si="4"/>
        <v>1.32E-2</v>
      </c>
      <c r="J66" s="48">
        <f t="shared" si="6"/>
        <v>0.68022828154703707</v>
      </c>
      <c r="K66" s="38"/>
      <c r="L66" s="38">
        <f t="shared" si="7"/>
        <v>0.54594730339000141</v>
      </c>
      <c r="M66" s="38"/>
      <c r="N66" s="38"/>
      <c r="O66" s="38"/>
      <c r="P66" s="38"/>
      <c r="Q66" s="38"/>
    </row>
    <row r="67" spans="5:17">
      <c r="E67" s="38"/>
      <c r="F67" s="44">
        <f t="shared" si="8"/>
        <v>2.9999999999999997E-4</v>
      </c>
      <c r="G67" s="40">
        <v>61</v>
      </c>
      <c r="H67" s="47">
        <f t="shared" si="5"/>
        <v>9.1830818008849999E-3</v>
      </c>
      <c r="I67" s="46">
        <f t="shared" si="4"/>
        <v>1.35E-2</v>
      </c>
      <c r="J67" s="48">
        <f t="shared" si="6"/>
        <v>0.67104519974615207</v>
      </c>
      <c r="K67" s="38"/>
      <c r="L67" s="38">
        <f t="shared" si="7"/>
        <v>0.56016798985398497</v>
      </c>
      <c r="M67" s="38"/>
      <c r="N67" s="38"/>
      <c r="O67" s="38"/>
      <c r="P67" s="38"/>
      <c r="Q67" s="38"/>
    </row>
    <row r="68" spans="5:17">
      <c r="E68" s="38"/>
      <c r="F68" s="44">
        <f t="shared" si="8"/>
        <v>2.9999999999999997E-4</v>
      </c>
      <c r="G68" s="40">
        <v>62</v>
      </c>
      <c r="H68" s="47">
        <f t="shared" si="5"/>
        <v>9.2604237564968984E-3</v>
      </c>
      <c r="I68" s="46">
        <f t="shared" si="4"/>
        <v>1.38E-2</v>
      </c>
      <c r="J68" s="48">
        <f t="shared" si="6"/>
        <v>0.66178477598965513</v>
      </c>
      <c r="K68" s="38"/>
      <c r="L68" s="38">
        <f t="shared" si="7"/>
        <v>0.57414627290280773</v>
      </c>
      <c r="M68" s="38"/>
      <c r="N68" s="38"/>
      <c r="O68" s="38"/>
      <c r="P68" s="38"/>
      <c r="Q68" s="38"/>
    </row>
    <row r="69" spans="5:17">
      <c r="E69" s="38"/>
      <c r="F69" s="44">
        <f t="shared" si="8"/>
        <v>2.9999999999999997E-4</v>
      </c>
      <c r="G69" s="40">
        <v>63</v>
      </c>
      <c r="H69" s="47">
        <f t="shared" si="5"/>
        <v>9.3311653414541364E-3</v>
      </c>
      <c r="I69" s="46">
        <f t="shared" si="4"/>
        <v>1.41E-2</v>
      </c>
      <c r="J69" s="48">
        <f t="shared" si="6"/>
        <v>0.65245361064820095</v>
      </c>
      <c r="K69" s="38"/>
      <c r="L69" s="38">
        <f t="shared" si="7"/>
        <v>0.58786341651161056</v>
      </c>
      <c r="M69" s="38"/>
      <c r="N69" s="38"/>
      <c r="O69" s="38"/>
      <c r="P69" s="38"/>
      <c r="Q69" s="38"/>
    </row>
    <row r="70" spans="5:17">
      <c r="E70" s="38"/>
      <c r="F70" s="44">
        <f t="shared" si="8"/>
        <v>2.9999999999999997E-4</v>
      </c>
      <c r="G70" s="40">
        <v>64</v>
      </c>
      <c r="H70" s="47">
        <f t="shared" si="5"/>
        <v>9.3953319933340936E-3</v>
      </c>
      <c r="I70" s="46">
        <f t="shared" si="4"/>
        <v>1.44E-2</v>
      </c>
      <c r="J70" s="48">
        <f t="shared" si="6"/>
        <v>0.64305827865486687</v>
      </c>
      <c r="K70" s="38"/>
      <c r="L70" s="38">
        <f t="shared" si="7"/>
        <v>0.60130124757338199</v>
      </c>
      <c r="M70" s="38"/>
      <c r="N70" s="38"/>
      <c r="O70" s="38"/>
      <c r="P70" s="38"/>
      <c r="Q70" s="38"/>
    </row>
    <row r="71" spans="5:17">
      <c r="E71" s="38"/>
      <c r="F71" s="44">
        <f t="shared" si="8"/>
        <v>2.9999999999999997E-4</v>
      </c>
      <c r="G71" s="40">
        <v>65</v>
      </c>
      <c r="H71" s="47">
        <f t="shared" si="5"/>
        <v>9.4529566962265419E-3</v>
      </c>
      <c r="I71" s="46">
        <f t="shared" si="4"/>
        <v>1.47E-2</v>
      </c>
      <c r="J71" s="48">
        <f t="shared" si="6"/>
        <v>0.63360532195864028</v>
      </c>
      <c r="K71" s="38"/>
      <c r="L71" s="38">
        <f t="shared" si="7"/>
        <v>0.61444218525472527</v>
      </c>
      <c r="M71" s="38"/>
      <c r="N71" s="38"/>
      <c r="O71" s="38"/>
      <c r="P71" s="38"/>
      <c r="Q71" s="38"/>
    </row>
    <row r="72" spans="5:17">
      <c r="E72" s="38"/>
      <c r="F72" s="44">
        <f t="shared" si="8"/>
        <v>2.9999999999999997E-4</v>
      </c>
      <c r="G72" s="40">
        <v>66</v>
      </c>
      <c r="H72" s="47">
        <f t="shared" si="5"/>
        <v>9.5040798293796035E-3</v>
      </c>
      <c r="I72" s="46">
        <f t="shared" si="4"/>
        <v>1.4999999999999999E-2</v>
      </c>
      <c r="J72" s="48">
        <f t="shared" si="6"/>
        <v>0.62410124212926066</v>
      </c>
      <c r="K72" s="38"/>
      <c r="L72" s="38">
        <f t="shared" si="7"/>
        <v>0.62726926873905386</v>
      </c>
      <c r="M72" s="38"/>
      <c r="N72" s="38"/>
      <c r="O72" s="38"/>
      <c r="P72" s="38"/>
      <c r="Q72" s="38"/>
    </row>
    <row r="73" spans="5:17">
      <c r="E73" s="38"/>
      <c r="F73" s="44">
        <f t="shared" si="8"/>
        <v>2.9999999999999997E-4</v>
      </c>
      <c r="G73" s="40">
        <v>67</v>
      </c>
      <c r="H73" s="47">
        <f t="shared" si="5"/>
        <v>9.5487490045776877E-3</v>
      </c>
      <c r="I73" s="46">
        <f t="shared" ref="I73:I136" si="9">I72+F73</f>
        <v>1.5299999999999999E-2</v>
      </c>
      <c r="J73" s="48">
        <f t="shared" si="6"/>
        <v>0.61455249312468296</v>
      </c>
      <c r="K73" s="38"/>
      <c r="L73" s="38">
        <f t="shared" si="7"/>
        <v>0.63976618330670509</v>
      </c>
      <c r="M73" s="38"/>
      <c r="N73" s="38"/>
      <c r="O73" s="38"/>
      <c r="P73" s="38"/>
      <c r="Q73" s="38"/>
    </row>
    <row r="74" spans="5:17">
      <c r="E74" s="38"/>
      <c r="F74" s="44">
        <f t="shared" si="8"/>
        <v>2.9999999999999997E-4</v>
      </c>
      <c r="G74" s="40">
        <v>68</v>
      </c>
      <c r="H74" s="47">
        <f t="shared" si="5"/>
        <v>9.5870188927450542E-3</v>
      </c>
      <c r="I74" s="46">
        <f t="shared" si="9"/>
        <v>1.5599999999999999E-2</v>
      </c>
      <c r="J74" s="48">
        <f t="shared" si="6"/>
        <v>0.60496547423193792</v>
      </c>
      <c r="K74" s="38"/>
      <c r="L74" s="38">
        <f t="shared" si="7"/>
        <v>0.65191728470666366</v>
      </c>
      <c r="M74" s="38"/>
      <c r="N74" s="38"/>
      <c r="O74" s="38"/>
      <c r="P74" s="38"/>
      <c r="Q74" s="38"/>
    </row>
    <row r="75" spans="5:17">
      <c r="E75" s="38"/>
      <c r="F75" s="44">
        <f t="shared" si="8"/>
        <v>2.9999999999999997E-4</v>
      </c>
      <c r="G75" s="40">
        <v>69</v>
      </c>
      <c r="H75" s="47">
        <f t="shared" si="5"/>
        <v>9.6189510402878136E-3</v>
      </c>
      <c r="I75" s="46">
        <f t="shared" si="9"/>
        <v>1.5900000000000001E-2</v>
      </c>
      <c r="J75" s="48">
        <f t="shared" si="6"/>
        <v>0.59534652319165016</v>
      </c>
      <c r="K75" s="38"/>
      <c r="L75" s="38">
        <f t="shared" si="7"/>
        <v>0.66370762177985909</v>
      </c>
      <c r="M75" s="38"/>
      <c r="N75" s="38"/>
      <c r="O75" s="38"/>
      <c r="P75" s="38"/>
      <c r="Q75" s="38"/>
    </row>
    <row r="76" spans="5:17">
      <c r="E76" s="38"/>
      <c r="F76" s="44">
        <f t="shared" si="8"/>
        <v>2.9999999999999997E-4</v>
      </c>
      <c r="G76" s="40">
        <v>70</v>
      </c>
      <c r="H76" s="47">
        <f t="shared" si="5"/>
        <v>9.6446136757047333E-3</v>
      </c>
      <c r="I76" s="46">
        <f t="shared" si="9"/>
        <v>1.6200000000000003E-2</v>
      </c>
      <c r="J76" s="48">
        <f t="shared" si="6"/>
        <v>0.58570190951594547</v>
      </c>
      <c r="K76" s="38"/>
      <c r="L76" s="38">
        <f t="shared" si="7"/>
        <v>0.67512295729933136</v>
      </c>
      <c r="M76" s="38"/>
      <c r="N76" s="38"/>
      <c r="O76" s="38"/>
      <c r="P76" s="38"/>
      <c r="Q76" s="38"/>
    </row>
    <row r="77" spans="5:17">
      <c r="E77" s="38"/>
      <c r="F77" s="44">
        <f t="shared" si="8"/>
        <v>2.9999999999999997E-4</v>
      </c>
      <c r="G77" s="40">
        <v>71</v>
      </c>
      <c r="H77" s="47">
        <f t="shared" si="5"/>
        <v>9.6640815070131031E-3</v>
      </c>
      <c r="I77" s="46">
        <f t="shared" si="9"/>
        <v>1.6500000000000004E-2</v>
      </c>
      <c r="J77" s="48">
        <f t="shared" si="6"/>
        <v>0.57603782800893233</v>
      </c>
      <c r="K77" s="38"/>
      <c r="L77" s="38">
        <f t="shared" si="7"/>
        <v>0.68614978699793028</v>
      </c>
      <c r="M77" s="38"/>
      <c r="N77" s="38"/>
      <c r="O77" s="38"/>
      <c r="P77" s="38"/>
      <c r="Q77" s="38"/>
    </row>
    <row r="78" spans="5:17">
      <c r="E78" s="38"/>
      <c r="F78" s="44">
        <f t="shared" si="8"/>
        <v>2.9999999999999997E-4</v>
      </c>
      <c r="G78" s="40">
        <v>72</v>
      </c>
      <c r="H78" s="47">
        <f t="shared" si="5"/>
        <v>9.6774355105500674E-3</v>
      </c>
      <c r="I78" s="46">
        <f t="shared" si="9"/>
        <v>1.6800000000000006E-2</v>
      </c>
      <c r="J78" s="48">
        <f t="shared" si="6"/>
        <v>0.56636039249838221</v>
      </c>
      <c r="K78" s="38"/>
      <c r="L78" s="38">
        <f t="shared" si="7"/>
        <v>0.69677535675960489</v>
      </c>
      <c r="M78" s="38"/>
      <c r="N78" s="38"/>
      <c r="O78" s="38"/>
      <c r="P78" s="38"/>
      <c r="Q78" s="38"/>
    </row>
    <row r="79" spans="5:17">
      <c r="E79" s="38"/>
      <c r="F79" s="44">
        <f t="shared" si="8"/>
        <v>2.9999999999999997E-4</v>
      </c>
      <c r="G79" s="40">
        <v>73</v>
      </c>
      <c r="H79" s="47">
        <f t="shared" si="5"/>
        <v>9.6847627117223403E-3</v>
      </c>
      <c r="I79" s="46">
        <f t="shared" si="9"/>
        <v>1.7100000000000008E-2</v>
      </c>
      <c r="J79" s="48">
        <f t="shared" si="6"/>
        <v>0.55667562978665985</v>
      </c>
      <c r="K79" s="38"/>
      <c r="L79" s="38">
        <f t="shared" si="7"/>
        <v>0.70698767795573081</v>
      </c>
      <c r="M79" s="38"/>
      <c r="N79" s="38"/>
      <c r="O79" s="38"/>
      <c r="P79" s="38"/>
      <c r="Q79" s="38"/>
    </row>
    <row r="80" spans="5:17">
      <c r="E80" s="38"/>
      <c r="F80" s="44">
        <f t="shared" si="8"/>
        <v>2.9999999999999997E-4</v>
      </c>
      <c r="G80" s="40">
        <v>74</v>
      </c>
      <c r="H80" s="47">
        <f t="shared" si="5"/>
        <v>9.6861559582878867E-3</v>
      </c>
      <c r="I80" s="46">
        <f t="shared" si="9"/>
        <v>1.7400000000000009E-2</v>
      </c>
      <c r="J80" s="48">
        <f t="shared" si="6"/>
        <v>0.54698947382837193</v>
      </c>
      <c r="K80" s="38"/>
      <c r="L80" s="38">
        <f t="shared" si="7"/>
        <v>0.71677554091330364</v>
      </c>
      <c r="M80" s="38"/>
      <c r="N80" s="38"/>
      <c r="O80" s="38"/>
      <c r="P80" s="38"/>
      <c r="Q80" s="38"/>
    </row>
    <row r="81" spans="5:17">
      <c r="E81" s="38"/>
      <c r="F81" s="44">
        <f t="shared" si="8"/>
        <v>2.9999999999999997E-4</v>
      </c>
      <c r="G81" s="40">
        <v>75</v>
      </c>
      <c r="H81" s="47">
        <f t="shared" si="5"/>
        <v>9.6817136867621886E-3</v>
      </c>
      <c r="I81" s="46">
        <f t="shared" si="9"/>
        <v>1.7700000000000011E-2</v>
      </c>
      <c r="J81" s="48">
        <f t="shared" si="6"/>
        <v>0.53730776014160975</v>
      </c>
      <c r="K81" s="38"/>
      <c r="L81" s="38">
        <f t="shared" si="7"/>
        <v>0.7261285265071642</v>
      </c>
      <c r="M81" s="38"/>
      <c r="N81" s="38"/>
      <c r="O81" s="38"/>
      <c r="P81" s="38"/>
      <c r="Q81" s="38"/>
    </row>
    <row r="82" spans="5:17">
      <c r="E82" s="38"/>
      <c r="F82" s="44">
        <f t="shared" si="8"/>
        <v>2.9999999999999997E-4</v>
      </c>
      <c r="G82" s="40">
        <v>76</v>
      </c>
      <c r="H82" s="47">
        <f t="shared" si="5"/>
        <v>9.6715396825489824E-3</v>
      </c>
      <c r="I82" s="46">
        <f t="shared" si="9"/>
        <v>1.8000000000000013E-2</v>
      </c>
      <c r="J82" s="48">
        <f t="shared" si="6"/>
        <v>0.52763622045906078</v>
      </c>
      <c r="K82" s="38"/>
      <c r="L82" s="38">
        <f t="shared" si="7"/>
        <v>0.73503701587372272</v>
      </c>
      <c r="M82" s="38"/>
      <c r="N82" s="38"/>
      <c r="O82" s="38"/>
      <c r="P82" s="38"/>
      <c r="Q82" s="38"/>
    </row>
    <row r="83" spans="5:17">
      <c r="E83" s="38"/>
      <c r="F83" s="44">
        <f t="shared" si="8"/>
        <v>2.9999999999999997E-4</v>
      </c>
      <c r="G83" s="40">
        <v>77</v>
      </c>
      <c r="H83" s="47">
        <f t="shared" si="5"/>
        <v>9.6557428344008194E-3</v>
      </c>
      <c r="I83" s="46">
        <f t="shared" si="9"/>
        <v>1.8300000000000014E-2</v>
      </c>
      <c r="J83" s="48">
        <f t="shared" si="6"/>
        <v>0.51798047762465993</v>
      </c>
      <c r="K83" s="38"/>
      <c r="L83" s="38">
        <f t="shared" si="7"/>
        <v>0.74349219824886315</v>
      </c>
      <c r="M83" s="38"/>
      <c r="N83" s="38"/>
      <c r="O83" s="38"/>
      <c r="P83" s="38"/>
      <c r="Q83" s="38"/>
    </row>
    <row r="84" spans="5:17">
      <c r="E84" s="38"/>
      <c r="F84" s="44">
        <f t="shared" si="8"/>
        <v>2.9999999999999997E-4</v>
      </c>
      <c r="G84" s="40">
        <v>78</v>
      </c>
      <c r="H84" s="47">
        <f t="shared" si="5"/>
        <v>9.6344368838186829E-3</v>
      </c>
      <c r="I84" s="46">
        <f t="shared" si="9"/>
        <v>1.8600000000000016E-2</v>
      </c>
      <c r="J84" s="48">
        <f t="shared" si="6"/>
        <v>0.50834604074084122</v>
      </c>
      <c r="K84" s="38"/>
      <c r="L84" s="38">
        <f t="shared" si="7"/>
        <v>0.75148607693785729</v>
      </c>
      <c r="M84" s="38"/>
      <c r="N84" s="38"/>
      <c r="O84" s="38"/>
      <c r="P84" s="38"/>
      <c r="Q84" s="38"/>
    </row>
    <row r="85" spans="5:17">
      <c r="E85" s="38"/>
      <c r="F85" s="44">
        <f t="shared" si="8"/>
        <v>2.9999999999999997E-4</v>
      </c>
      <c r="G85" s="40">
        <v>79</v>
      </c>
      <c r="H85" s="47">
        <f t="shared" si="5"/>
        <v>9.6077401700019084E-3</v>
      </c>
      <c r="I85" s="46">
        <f t="shared" si="9"/>
        <v>1.8900000000000017E-2</v>
      </c>
      <c r="J85" s="48">
        <f t="shared" si="6"/>
        <v>0.49873830057083929</v>
      </c>
      <c r="K85" s="38"/>
      <c r="L85" s="38">
        <f t="shared" si="7"/>
        <v>0.75901147343015074</v>
      </c>
      <c r="M85" s="38"/>
      <c r="N85" s="38"/>
      <c r="O85" s="38"/>
      <c r="P85" s="38"/>
      <c r="Q85" s="38"/>
    </row>
    <row r="86" spans="5:17">
      <c r="E86" s="38"/>
      <c r="F86" s="44">
        <f t="shared" si="8"/>
        <v>2.9999999999999997E-4</v>
      </c>
      <c r="G86" s="40">
        <v>80</v>
      </c>
      <c r="H86" s="47">
        <f t="shared" si="5"/>
        <v>9.5757753709601236E-3</v>
      </c>
      <c r="I86" s="46">
        <f t="shared" si="9"/>
        <v>1.9200000000000019E-2</v>
      </c>
      <c r="J86" s="48">
        <f t="shared" si="6"/>
        <v>0.48916252519987918</v>
      </c>
      <c r="K86" s="38"/>
      <c r="L86" s="38">
        <f t="shared" si="7"/>
        <v>0.76606202967680992</v>
      </c>
      <c r="M86" s="38"/>
      <c r="N86" s="38"/>
      <c r="O86" s="38"/>
      <c r="P86" s="38"/>
      <c r="Q86" s="38"/>
    </row>
    <row r="87" spans="5:17">
      <c r="E87" s="38"/>
      <c r="F87" s="44">
        <f t="shared" si="8"/>
        <v>2.9999999999999997E-4</v>
      </c>
      <c r="G87" s="40">
        <v>81</v>
      </c>
      <c r="H87" s="47">
        <f t="shared" si="5"/>
        <v>9.538669241397655E-3</v>
      </c>
      <c r="I87" s="46">
        <f t="shared" si="9"/>
        <v>1.9500000000000021E-2</v>
      </c>
      <c r="J87" s="48">
        <f t="shared" si="6"/>
        <v>0.4796238559584815</v>
      </c>
      <c r="K87" s="38"/>
      <c r="L87" s="38">
        <f t="shared" si="7"/>
        <v>0.77263220855321002</v>
      </c>
      <c r="M87" s="38"/>
      <c r="N87" s="38"/>
      <c r="O87" s="38"/>
      <c r="P87" s="38"/>
      <c r="Q87" s="38"/>
    </row>
    <row r="88" spans="5:17">
      <c r="E88" s="38"/>
      <c r="F88" s="44">
        <f t="shared" si="8"/>
        <v>2.9999999999999997E-4</v>
      </c>
      <c r="G88" s="40">
        <v>82</v>
      </c>
      <c r="H88" s="47">
        <f t="shared" si="5"/>
        <v>9.4965523479779452E-3</v>
      </c>
      <c r="I88" s="46">
        <f t="shared" si="9"/>
        <v>1.9800000000000022E-2</v>
      </c>
      <c r="J88" s="48">
        <f t="shared" si="6"/>
        <v>0.47012730361050353</v>
      </c>
      <c r="K88" s="38"/>
      <c r="L88" s="38">
        <f t="shared" si="7"/>
        <v>0.77871729253419153</v>
      </c>
      <c r="M88" s="38"/>
      <c r="N88" s="38"/>
      <c r="O88" s="38"/>
      <c r="P88" s="38"/>
      <c r="Q88" s="38"/>
    </row>
    <row r="89" spans="5:17">
      <c r="E89" s="38"/>
      <c r="F89" s="44">
        <f t="shared" ref="F89:F106" si="10">$E$13</f>
        <v>2.9999999999999997E-4</v>
      </c>
      <c r="G89" s="40">
        <v>83</v>
      </c>
      <c r="H89" s="47">
        <f t="shared" si="5"/>
        <v>9.4495588025711331E-3</v>
      </c>
      <c r="I89" s="46">
        <f t="shared" si="9"/>
        <v>2.0100000000000024E-2</v>
      </c>
      <c r="J89" s="48">
        <f t="shared" si="6"/>
        <v>0.46067774480793239</v>
      </c>
      <c r="K89" s="38"/>
      <c r="L89" s="38">
        <f t="shared" si="7"/>
        <v>0.78431338061340405</v>
      </c>
      <c r="M89" s="38"/>
      <c r="N89" s="38"/>
      <c r="O89" s="38"/>
      <c r="P89" s="38"/>
      <c r="Q89" s="38"/>
    </row>
    <row r="90" spans="5:17">
      <c r="E90" s="38"/>
      <c r="F90" s="44">
        <f t="shared" si="10"/>
        <v>2.9999999999999997E-4</v>
      </c>
      <c r="G90" s="40">
        <v>84</v>
      </c>
      <c r="H90" s="47">
        <f t="shared" si="5"/>
        <v>9.3978259940818328E-3</v>
      </c>
      <c r="I90" s="46">
        <f t="shared" si="9"/>
        <v>2.0400000000000026E-2</v>
      </c>
      <c r="J90" s="48">
        <f t="shared" si="6"/>
        <v>0.45127991881385054</v>
      </c>
      <c r="K90" s="38"/>
      <c r="L90" s="38">
        <f t="shared" si="7"/>
        <v>0.78941738350287394</v>
      </c>
      <c r="M90" s="38"/>
      <c r="N90" s="38"/>
      <c r="O90" s="38"/>
      <c r="P90" s="38"/>
      <c r="Q90" s="38"/>
    </row>
    <row r="91" spans="5:17">
      <c r="E91" s="38"/>
      <c r="F91" s="44">
        <f t="shared" si="10"/>
        <v>2.9999999999999997E-4</v>
      </c>
      <c r="G91" s="40">
        <v>85</v>
      </c>
      <c r="H91" s="47">
        <f t="shared" si="5"/>
        <v>9.3414943194467179E-3</v>
      </c>
      <c r="I91" s="46">
        <f t="shared" si="9"/>
        <v>2.0700000000000027E-2</v>
      </c>
      <c r="J91" s="48">
        <f t="shared" si="6"/>
        <v>0.44193842449440385</v>
      </c>
      <c r="K91" s="38"/>
      <c r="L91" s="38">
        <f t="shared" si="7"/>
        <v>0.79402701715297097</v>
      </c>
      <c r="M91" s="38"/>
      <c r="N91" s="38"/>
      <c r="O91" s="38"/>
      <c r="P91" s="38"/>
      <c r="Q91" s="38"/>
    </row>
    <row r="92" spans="5:17">
      <c r="E92" s="38"/>
      <c r="F92" s="44">
        <f t="shared" si="10"/>
        <v>2.9999999999999997E-4</v>
      </c>
      <c r="G92" s="40">
        <v>86</v>
      </c>
      <c r="H92" s="47">
        <f t="shared" si="5"/>
        <v>9.280706914382493E-3</v>
      </c>
      <c r="I92" s="46">
        <f t="shared" si="9"/>
        <v>2.1000000000000029E-2</v>
      </c>
      <c r="J92" s="48">
        <f t="shared" si="6"/>
        <v>0.43265771758002136</v>
      </c>
      <c r="K92" s="38"/>
      <c r="L92" s="38">
        <f t="shared" si="7"/>
        <v>0.79814079463689436</v>
      </c>
      <c r="M92" s="38"/>
      <c r="N92" s="38"/>
      <c r="O92" s="38"/>
      <c r="P92" s="38"/>
      <c r="Q92" s="38"/>
    </row>
    <row r="93" spans="5:17">
      <c r="E93" s="38"/>
      <c r="F93" s="44">
        <f t="shared" si="10"/>
        <v>2.9999999999999997E-4</v>
      </c>
      <c r="G93" s="40">
        <v>87</v>
      </c>
      <c r="H93" s="47">
        <f t="shared" si="5"/>
        <v>9.2156093844544679E-3</v>
      </c>
      <c r="I93" s="46">
        <f t="shared" si="9"/>
        <v>2.1300000000000031E-2</v>
      </c>
      <c r="J93" s="48">
        <f t="shared" si="6"/>
        <v>0.42344210819556688</v>
      </c>
      <c r="K93" s="38"/>
      <c r="L93" s="38">
        <f t="shared" si="7"/>
        <v>0.80175801644753875</v>
      </c>
      <c r="M93" s="38"/>
      <c r="N93" s="38"/>
      <c r="O93" s="38"/>
      <c r="P93" s="38"/>
      <c r="Q93" s="38"/>
    </row>
    <row r="94" spans="5:17">
      <c r="E94" s="38"/>
      <c r="F94" s="44">
        <f t="shared" si="10"/>
        <v>2.9999999999999997E-4</v>
      </c>
      <c r="G94" s="40">
        <v>88</v>
      </c>
      <c r="H94" s="47">
        <f t="shared" si="5"/>
        <v>9.1463495370242582E-3</v>
      </c>
      <c r="I94" s="46">
        <f t="shared" si="9"/>
        <v>2.1600000000000032E-2</v>
      </c>
      <c r="J94" s="48">
        <f t="shared" si="6"/>
        <v>0.41429575865854262</v>
      </c>
      <c r="K94" s="38"/>
      <c r="L94" s="38">
        <f t="shared" si="7"/>
        <v>0.80487875925813468</v>
      </c>
      <c r="M94" s="38"/>
      <c r="N94" s="38"/>
      <c r="O94" s="38"/>
      <c r="P94" s="38"/>
      <c r="Q94" s="38"/>
    </row>
    <row r="95" spans="5:17">
      <c r="E95" s="38"/>
      <c r="F95" s="44">
        <f t="shared" si="10"/>
        <v>2.9999999999999997E-4</v>
      </c>
      <c r="G95" s="40">
        <v>89</v>
      </c>
      <c r="H95" s="47">
        <f t="shared" si="5"/>
        <v>9.0730771146220971E-3</v>
      </c>
      <c r="I95" s="46">
        <f t="shared" si="9"/>
        <v>2.1900000000000034E-2</v>
      </c>
      <c r="J95" s="48">
        <f t="shared" si="6"/>
        <v>0.40522268154392055</v>
      </c>
      <c r="K95" s="38"/>
      <c r="L95" s="38">
        <f t="shared" si="7"/>
        <v>0.80750386320136669</v>
      </c>
      <c r="M95" s="38"/>
      <c r="N95" s="38"/>
      <c r="O95" s="38"/>
      <c r="P95" s="38"/>
      <c r="Q95" s="38"/>
    </row>
    <row r="96" spans="5:17">
      <c r="E96" s="38"/>
      <c r="F96" s="44">
        <f t="shared" si="10"/>
        <v>2.9999999999999997E-4</v>
      </c>
      <c r="G96" s="40">
        <v>90</v>
      </c>
      <c r="H96" s="47">
        <f t="shared" si="5"/>
        <v>8.9959435302750506E-3</v>
      </c>
      <c r="I96" s="46">
        <f t="shared" si="9"/>
        <v>2.2200000000000036E-2</v>
      </c>
      <c r="J96" s="48">
        <f t="shared" si="6"/>
        <v>0.3962267380136455</v>
      </c>
      <c r="K96" s="38"/>
      <c r="L96" s="38">
        <f t="shared" si="7"/>
        <v>0.8096349177247546</v>
      </c>
      <c r="M96" s="38"/>
      <c r="N96" s="38"/>
      <c r="O96" s="38"/>
      <c r="P96" s="38"/>
      <c r="Q96" s="38"/>
    </row>
    <row r="97" spans="5:17">
      <c r="E97" s="38"/>
      <c r="F97" s="44">
        <f t="shared" si="10"/>
        <v>2.9999999999999997E-4</v>
      </c>
      <c r="G97" s="40">
        <v>91</v>
      </c>
      <c r="H97" s="47">
        <f t="shared" si="5"/>
        <v>8.9151016053070388E-3</v>
      </c>
      <c r="I97" s="46">
        <f t="shared" si="9"/>
        <v>2.2500000000000037E-2</v>
      </c>
      <c r="J97" s="48">
        <f t="shared" si="6"/>
        <v>0.38731163640833843</v>
      </c>
      <c r="K97" s="38"/>
      <c r="L97" s="38">
        <f t="shared" si="7"/>
        <v>0.81127424608294052</v>
      </c>
      <c r="M97" s="38"/>
      <c r="N97" s="38"/>
      <c r="O97" s="38"/>
      <c r="P97" s="38"/>
      <c r="Q97" s="38"/>
    </row>
    <row r="98" spans="5:17">
      <c r="E98" s="38"/>
      <c r="F98" s="44">
        <f t="shared" si="10"/>
        <v>2.9999999999999997E-4</v>
      </c>
      <c r="G98" s="40">
        <v>92</v>
      </c>
      <c r="H98" s="47">
        <f t="shared" si="5"/>
        <v>8.8307053101101315E-3</v>
      </c>
      <c r="I98" s="46">
        <f t="shared" si="9"/>
        <v>2.2800000000000039E-2</v>
      </c>
      <c r="J98" s="48">
        <f t="shared" si="6"/>
        <v>0.37848093109822828</v>
      </c>
      <c r="K98" s="38"/>
      <c r="L98" s="38">
        <f t="shared" si="7"/>
        <v>0.81242488853013206</v>
      </c>
      <c r="M98" s="38"/>
      <c r="N98" s="38"/>
      <c r="O98" s="38"/>
      <c r="P98" s="38"/>
      <c r="Q98" s="38"/>
    </row>
    <row r="99" spans="5:17">
      <c r="E99" s="38"/>
      <c r="F99" s="44">
        <f t="shared" si="10"/>
        <v>2.9999999999999997E-4</v>
      </c>
      <c r="G99" s="40">
        <v>93</v>
      </c>
      <c r="H99" s="47">
        <f t="shared" si="5"/>
        <v>8.7429095083690882E-3</v>
      </c>
      <c r="I99" s="46">
        <f t="shared" si="9"/>
        <v>2.3100000000000041E-2</v>
      </c>
      <c r="J99" s="48">
        <f t="shared" si="6"/>
        <v>0.36973802158985919</v>
      </c>
      <c r="K99" s="38"/>
      <c r="L99" s="38">
        <f t="shared" si="7"/>
        <v>0.81309058427832526</v>
      </c>
      <c r="M99" s="38"/>
      <c r="N99" s="38"/>
      <c r="O99" s="38"/>
      <c r="P99" s="38"/>
      <c r="Q99" s="38"/>
    </row>
    <row r="100" spans="5:17">
      <c r="E100" s="38"/>
      <c r="F100" s="44">
        <f t="shared" si="10"/>
        <v>2.9999999999999997E-4</v>
      </c>
      <c r="G100" s="40">
        <v>94</v>
      </c>
      <c r="H100" s="47">
        <f t="shared" si="5"/>
        <v>8.6518697052027204E-3</v>
      </c>
      <c r="I100" s="46">
        <f t="shared" si="9"/>
        <v>2.3400000000000042E-2</v>
      </c>
      <c r="J100" s="48">
        <f t="shared" si="6"/>
        <v>0.36108615188465648</v>
      </c>
      <c r="K100" s="38"/>
      <c r="L100" s="38">
        <f t="shared" si="7"/>
        <v>0.81327575228905569</v>
      </c>
      <c r="M100" s="38"/>
      <c r="N100" s="38"/>
      <c r="O100" s="38"/>
      <c r="P100" s="38"/>
      <c r="Q100" s="38"/>
    </row>
    <row r="101" spans="5:17">
      <c r="E101" s="38"/>
      <c r="F101" s="44">
        <f t="shared" si="10"/>
        <v>2.9999999999999997E-4</v>
      </c>
      <c r="G101" s="40">
        <v>95</v>
      </c>
      <c r="H101" s="47">
        <f t="shared" si="5"/>
        <v>8.5577417996663737E-3</v>
      </c>
      <c r="I101" s="46">
        <f t="shared" si="9"/>
        <v>2.3700000000000044E-2</v>
      </c>
      <c r="J101" s="48">
        <f t="shared" si="6"/>
        <v>0.35252841008499008</v>
      </c>
      <c r="K101" s="38"/>
      <c r="L101" s="38">
        <f t="shared" si="7"/>
        <v>0.81298547096830553</v>
      </c>
      <c r="M101" s="38"/>
      <c r="N101" s="38"/>
      <c r="O101" s="38"/>
      <c r="P101" s="38"/>
      <c r="Q101" s="38"/>
    </row>
    <row r="102" spans="5:17">
      <c r="E102" s="38"/>
      <c r="F102" s="44">
        <f t="shared" si="10"/>
        <v>2.9999999999999997E-4</v>
      </c>
      <c r="G102" s="40">
        <v>96</v>
      </c>
      <c r="H102" s="47">
        <f t="shared" si="5"/>
        <v>8.4606818420397776E-3</v>
      </c>
      <c r="I102" s="46">
        <f t="shared" si="9"/>
        <v>2.4000000000000046E-2</v>
      </c>
      <c r="J102" s="48">
        <f t="shared" si="6"/>
        <v>0.34406772824295029</v>
      </c>
      <c r="K102" s="38"/>
      <c r="L102" s="38">
        <f t="shared" si="7"/>
        <v>0.8122254568358187</v>
      </c>
      <c r="M102" s="38"/>
      <c r="N102" s="38"/>
      <c r="O102" s="38"/>
      <c r="P102" s="38"/>
      <c r="Q102" s="38"/>
    </row>
    <row r="103" spans="5:17">
      <c r="E103" s="38"/>
      <c r="F103" s="44">
        <f t="shared" si="10"/>
        <v>2.9999999999999997E-4</v>
      </c>
      <c r="G103" s="40">
        <v>97</v>
      </c>
      <c r="H103" s="47">
        <f t="shared" si="5"/>
        <v>8.3608457963037074E-3</v>
      </c>
      <c r="I103" s="46">
        <f t="shared" si="9"/>
        <v>2.4300000000000047E-2</v>
      </c>
      <c r="J103" s="48">
        <f t="shared" si="6"/>
        <v>0.33570688244664659</v>
      </c>
      <c r="K103" s="38"/>
      <c r="L103" s="38">
        <f t="shared" si="7"/>
        <v>0.81100204224145966</v>
      </c>
      <c r="M103" s="38"/>
      <c r="N103" s="38"/>
      <c r="O103" s="38"/>
      <c r="P103" s="38"/>
      <c r="Q103" s="38"/>
    </row>
    <row r="104" spans="5:17">
      <c r="E104" s="38"/>
      <c r="F104" s="44">
        <f t="shared" si="10"/>
        <v>2.9999999999999997E-4</v>
      </c>
      <c r="G104" s="40">
        <v>98</v>
      </c>
      <c r="H104" s="47">
        <f t="shared" ref="H104:H167" si="11">J103*I104</f>
        <v>8.258389308187522E-3</v>
      </c>
      <c r="I104" s="46">
        <f t="shared" si="9"/>
        <v>2.4600000000000049E-2</v>
      </c>
      <c r="J104" s="48">
        <f t="shared" ref="J104:J167" si="12">J103-H104</f>
        <v>0.32744849313845908</v>
      </c>
      <c r="K104" s="38"/>
      <c r="L104" s="38">
        <f t="shared" ref="L104:L167" si="13">G104*H104</f>
        <v>0.80932215220237713</v>
      </c>
      <c r="M104" s="38"/>
      <c r="N104" s="38"/>
      <c r="O104" s="38"/>
      <c r="P104" s="38"/>
      <c r="Q104" s="38"/>
    </row>
    <row r="105" spans="5:17">
      <c r="E105" s="38"/>
      <c r="F105" s="44">
        <f t="shared" si="10"/>
        <v>2.9999999999999997E-4</v>
      </c>
      <c r="G105" s="40">
        <v>99</v>
      </c>
      <c r="H105" s="47">
        <f t="shared" si="11"/>
        <v>8.153467479147648E-3</v>
      </c>
      <c r="I105" s="46">
        <f t="shared" si="9"/>
        <v>2.4900000000000051E-2</v>
      </c>
      <c r="J105" s="48">
        <f t="shared" si="12"/>
        <v>0.31929502565931145</v>
      </c>
      <c r="K105" s="38"/>
      <c r="L105" s="38">
        <f t="shared" si="13"/>
        <v>0.80719328043561711</v>
      </c>
      <c r="M105" s="38"/>
      <c r="N105" s="38"/>
      <c r="O105" s="38"/>
      <c r="P105" s="38"/>
      <c r="Q105" s="38"/>
    </row>
    <row r="106" spans="5:17">
      <c r="E106" s="38"/>
      <c r="F106" s="44">
        <f t="shared" si="10"/>
        <v>2.9999999999999997E-4</v>
      </c>
      <c r="G106" s="40">
        <v>100</v>
      </c>
      <c r="H106" s="47">
        <f t="shared" si="11"/>
        <v>8.0462346466146657E-3</v>
      </c>
      <c r="I106" s="46">
        <f t="shared" si="9"/>
        <v>2.5200000000000052E-2</v>
      </c>
      <c r="J106" s="48">
        <f t="shared" si="12"/>
        <v>0.31124879101269676</v>
      </c>
      <c r="K106" s="38"/>
      <c r="L106" s="38">
        <f t="shared" si="13"/>
        <v>0.80462346466146661</v>
      </c>
      <c r="M106" s="38"/>
      <c r="N106" s="38"/>
      <c r="O106" s="38"/>
      <c r="P106" s="38"/>
      <c r="Q106" s="38"/>
    </row>
    <row r="107" spans="5:17">
      <c r="E107" s="38"/>
      <c r="F107" s="44">
        <f t="shared" ref="F107:F138" si="14">$E$17</f>
        <v>4.0000000000000002E-4</v>
      </c>
      <c r="G107" s="40">
        <v>101</v>
      </c>
      <c r="H107" s="47">
        <f t="shared" si="11"/>
        <v>7.9679690499250538E-3</v>
      </c>
      <c r="I107" s="46">
        <f t="shared" si="9"/>
        <v>2.5600000000000053E-2</v>
      </c>
      <c r="J107" s="48">
        <f t="shared" si="12"/>
        <v>0.30328082196277173</v>
      </c>
      <c r="K107" s="38"/>
      <c r="L107" s="38">
        <f t="shared" si="13"/>
        <v>0.80476487404243047</v>
      </c>
      <c r="M107" s="38"/>
      <c r="N107" s="38"/>
      <c r="O107" s="38"/>
      <c r="P107" s="38"/>
      <c r="Q107" s="38"/>
    </row>
    <row r="108" spans="5:17">
      <c r="E108" s="38"/>
      <c r="F108" s="44">
        <f t="shared" si="14"/>
        <v>4.0000000000000002E-4</v>
      </c>
      <c r="G108" s="40">
        <v>102</v>
      </c>
      <c r="H108" s="47">
        <f t="shared" si="11"/>
        <v>7.8853013710320809E-3</v>
      </c>
      <c r="I108" s="46">
        <f t="shared" si="9"/>
        <v>2.6000000000000054E-2</v>
      </c>
      <c r="J108" s="48">
        <f t="shared" si="12"/>
        <v>0.29539552059173962</v>
      </c>
      <c r="K108" s="38"/>
      <c r="L108" s="38">
        <f t="shared" si="13"/>
        <v>0.80430073984527228</v>
      </c>
      <c r="M108" s="38"/>
      <c r="N108" s="38"/>
      <c r="O108" s="38"/>
      <c r="P108" s="38"/>
      <c r="Q108" s="38"/>
    </row>
    <row r="109" spans="5:17">
      <c r="E109" s="38"/>
      <c r="F109" s="44">
        <f t="shared" si="14"/>
        <v>4.0000000000000002E-4</v>
      </c>
      <c r="G109" s="40">
        <v>103</v>
      </c>
      <c r="H109" s="47">
        <f t="shared" si="11"/>
        <v>7.7984417436219424E-3</v>
      </c>
      <c r="I109" s="46">
        <f t="shared" si="9"/>
        <v>2.6400000000000055E-2</v>
      </c>
      <c r="J109" s="48">
        <f t="shared" si="12"/>
        <v>0.28759707884811769</v>
      </c>
      <c r="K109" s="38"/>
      <c r="L109" s="38">
        <f t="shared" si="13"/>
        <v>0.80323949959306007</v>
      </c>
      <c r="M109" s="38"/>
      <c r="N109" s="38"/>
      <c r="O109" s="38"/>
      <c r="P109" s="38"/>
      <c r="Q109" s="38"/>
    </row>
    <row r="110" spans="5:17">
      <c r="E110" s="38"/>
      <c r="F110" s="44">
        <f t="shared" si="14"/>
        <v>4.0000000000000002E-4</v>
      </c>
      <c r="G110" s="40">
        <v>104</v>
      </c>
      <c r="H110" s="47">
        <f t="shared" si="11"/>
        <v>7.7076017131295707E-3</v>
      </c>
      <c r="I110" s="46">
        <f t="shared" si="9"/>
        <v>2.6800000000000056E-2</v>
      </c>
      <c r="J110" s="48">
        <f t="shared" si="12"/>
        <v>0.27988947713498813</v>
      </c>
      <c r="K110" s="38"/>
      <c r="L110" s="38">
        <f t="shared" si="13"/>
        <v>0.8015905781654753</v>
      </c>
      <c r="M110" s="38"/>
      <c r="N110" s="38"/>
      <c r="O110" s="38"/>
      <c r="P110" s="38"/>
      <c r="Q110" s="38"/>
    </row>
    <row r="111" spans="5:17">
      <c r="E111" s="38"/>
      <c r="F111" s="44">
        <f t="shared" si="14"/>
        <v>4.0000000000000002E-4</v>
      </c>
      <c r="G111" s="40">
        <v>105</v>
      </c>
      <c r="H111" s="47">
        <f t="shared" si="11"/>
        <v>7.6129937780716932E-3</v>
      </c>
      <c r="I111" s="46">
        <f t="shared" si="9"/>
        <v>2.7200000000000057E-2</v>
      </c>
      <c r="J111" s="48">
        <f t="shared" si="12"/>
        <v>0.27227648335691645</v>
      </c>
      <c r="K111" s="38"/>
      <c r="L111" s="38">
        <f t="shared" si="13"/>
        <v>0.79936434669752776</v>
      </c>
      <c r="M111" s="38"/>
      <c r="N111" s="38"/>
      <c r="O111" s="38"/>
      <c r="P111" s="38"/>
      <c r="Q111" s="38"/>
    </row>
    <row r="112" spans="5:17">
      <c r="E112" s="38"/>
      <c r="F112" s="44">
        <f t="shared" si="14"/>
        <v>4.0000000000000002E-4</v>
      </c>
      <c r="G112" s="40">
        <v>106</v>
      </c>
      <c r="H112" s="47">
        <f t="shared" si="11"/>
        <v>7.5148309406509097E-3</v>
      </c>
      <c r="I112" s="46">
        <f t="shared" si="9"/>
        <v>2.7600000000000059E-2</v>
      </c>
      <c r="J112" s="48">
        <f t="shared" si="12"/>
        <v>0.26476165241626554</v>
      </c>
      <c r="K112" s="38"/>
      <c r="L112" s="38">
        <f t="shared" si="13"/>
        <v>0.79657207970899646</v>
      </c>
      <c r="M112" s="38"/>
      <c r="N112" s="38"/>
      <c r="O112" s="38"/>
      <c r="P112" s="38"/>
      <c r="Q112" s="38"/>
    </row>
    <row r="113" spans="5:17">
      <c r="E113" s="38"/>
      <c r="F113" s="44">
        <f t="shared" si="14"/>
        <v>4.0000000000000002E-4</v>
      </c>
      <c r="G113" s="40">
        <v>107</v>
      </c>
      <c r="H113" s="47">
        <f t="shared" si="11"/>
        <v>7.4133262676554504E-3</v>
      </c>
      <c r="I113" s="46">
        <f t="shared" si="9"/>
        <v>2.800000000000006E-2</v>
      </c>
      <c r="J113" s="48">
        <f t="shared" si="12"/>
        <v>0.25734832614861008</v>
      </c>
      <c r="K113" s="38"/>
      <c r="L113" s="38">
        <f t="shared" si="13"/>
        <v>0.79322591063913317</v>
      </c>
      <c r="M113" s="38"/>
      <c r="N113" s="38"/>
      <c r="O113" s="38"/>
      <c r="P113" s="38"/>
      <c r="Q113" s="38"/>
    </row>
    <row r="114" spans="5:17">
      <c r="E114" s="38"/>
      <c r="F114" s="44">
        <f t="shared" si="14"/>
        <v>4.0000000000000002E-4</v>
      </c>
      <c r="G114" s="40">
        <v>108</v>
      </c>
      <c r="H114" s="47">
        <f t="shared" si="11"/>
        <v>7.308692462620542E-3</v>
      </c>
      <c r="I114" s="46">
        <f t="shared" si="9"/>
        <v>2.8400000000000061E-2</v>
      </c>
      <c r="J114" s="48">
        <f t="shared" si="12"/>
        <v>0.25003963368598953</v>
      </c>
      <c r="K114" s="38"/>
      <c r="L114" s="38">
        <f t="shared" si="13"/>
        <v>0.78933878596301854</v>
      </c>
      <c r="M114" s="38"/>
      <c r="N114" s="38"/>
      <c r="O114" s="38"/>
      <c r="P114" s="38"/>
      <c r="Q114" s="38"/>
    </row>
    <row r="115" spans="5:17">
      <c r="E115" s="38"/>
      <c r="F115" s="44">
        <f t="shared" si="14"/>
        <v>4.0000000000000002E-4</v>
      </c>
      <c r="G115" s="40">
        <v>109</v>
      </c>
      <c r="H115" s="47">
        <f t="shared" si="11"/>
        <v>7.2011414501565139E-3</v>
      </c>
      <c r="I115" s="46">
        <f t="shared" si="9"/>
        <v>2.8800000000000062E-2</v>
      </c>
      <c r="J115" s="48">
        <f t="shared" si="12"/>
        <v>0.24283849223583301</v>
      </c>
      <c r="K115" s="38"/>
      <c r="L115" s="38">
        <f t="shared" si="13"/>
        <v>0.78492441806706004</v>
      </c>
      <c r="M115" s="38"/>
      <c r="N115" s="38"/>
      <c r="O115" s="38"/>
      <c r="P115" s="38"/>
      <c r="Q115" s="38"/>
    </row>
    <row r="116" spans="5:17">
      <c r="E116" s="38"/>
      <c r="F116" s="44">
        <f t="shared" si="14"/>
        <v>4.0000000000000002E-4</v>
      </c>
      <c r="G116" s="40">
        <v>110</v>
      </c>
      <c r="H116" s="47">
        <f t="shared" si="11"/>
        <v>7.0908839732863388E-3</v>
      </c>
      <c r="I116" s="46">
        <f t="shared" si="9"/>
        <v>2.9200000000000063E-2</v>
      </c>
      <c r="J116" s="48">
        <f t="shared" si="12"/>
        <v>0.23574760826254668</v>
      </c>
      <c r="K116" s="38"/>
      <c r="L116" s="38">
        <f t="shared" si="13"/>
        <v>0.77999723706149726</v>
      </c>
      <c r="M116" s="38"/>
      <c r="N116" s="38"/>
      <c r="O116" s="38"/>
      <c r="P116" s="38"/>
      <c r="Q116" s="38"/>
    </row>
    <row r="117" spans="5:17">
      <c r="E117" s="38"/>
      <c r="F117" s="44">
        <f t="shared" si="14"/>
        <v>4.0000000000000002E-4</v>
      </c>
      <c r="G117" s="40">
        <v>111</v>
      </c>
      <c r="H117" s="47">
        <f t="shared" si="11"/>
        <v>6.9781292045713967E-3</v>
      </c>
      <c r="I117" s="46">
        <f t="shared" si="9"/>
        <v>2.9600000000000064E-2</v>
      </c>
      <c r="J117" s="48">
        <f t="shared" si="12"/>
        <v>0.22876947905797529</v>
      </c>
      <c r="K117" s="38"/>
      <c r="L117" s="38">
        <f t="shared" si="13"/>
        <v>0.77457234170742506</v>
      </c>
      <c r="M117" s="38"/>
      <c r="N117" s="38"/>
      <c r="O117" s="38"/>
      <c r="P117" s="38"/>
      <c r="Q117" s="38"/>
    </row>
    <row r="118" spans="5:17">
      <c r="E118" s="38"/>
      <c r="F118" s="44">
        <f t="shared" si="14"/>
        <v>4.0000000000000002E-4</v>
      </c>
      <c r="G118" s="40">
        <v>112</v>
      </c>
      <c r="H118" s="47">
        <f t="shared" si="11"/>
        <v>6.8630843717392732E-3</v>
      </c>
      <c r="I118" s="46">
        <f t="shared" si="9"/>
        <v>3.0000000000000065E-2</v>
      </c>
      <c r="J118" s="48">
        <f t="shared" si="12"/>
        <v>0.22190639468623602</v>
      </c>
      <c r="K118" s="38"/>
      <c r="L118" s="38">
        <f t="shared" si="13"/>
        <v>0.76866544963479866</v>
      </c>
      <c r="M118" s="38"/>
      <c r="N118" s="38"/>
      <c r="O118" s="38"/>
      <c r="P118" s="38"/>
      <c r="Q118" s="38"/>
    </row>
    <row r="119" spans="5:17">
      <c r="E119" s="38"/>
      <c r="F119" s="44">
        <f t="shared" si="14"/>
        <v>4.0000000000000002E-4</v>
      </c>
      <c r="G119" s="40">
        <v>113</v>
      </c>
      <c r="H119" s="47">
        <f t="shared" si="11"/>
        <v>6.7459543984615894E-3</v>
      </c>
      <c r="I119" s="46">
        <f t="shared" si="9"/>
        <v>3.0400000000000066E-2</v>
      </c>
      <c r="J119" s="48">
        <f t="shared" si="12"/>
        <v>0.21516044028777442</v>
      </c>
      <c r="K119" s="38"/>
      <c r="L119" s="38">
        <f t="shared" si="13"/>
        <v>0.76229284702615963</v>
      </c>
      <c r="M119" s="38"/>
      <c r="N119" s="38"/>
      <c r="O119" s="38"/>
      <c r="P119" s="38"/>
      <c r="Q119" s="38"/>
    </row>
    <row r="120" spans="5:17">
      <c r="E120" s="38"/>
      <c r="F120" s="44">
        <f t="shared" si="14"/>
        <v>4.0000000000000002E-4</v>
      </c>
      <c r="G120" s="40">
        <v>114</v>
      </c>
      <c r="H120" s="47">
        <f t="shared" si="11"/>
        <v>6.6269415608634667E-3</v>
      </c>
      <c r="I120" s="46">
        <f t="shared" si="9"/>
        <v>3.0800000000000067E-2</v>
      </c>
      <c r="J120" s="48">
        <f t="shared" si="12"/>
        <v>0.20853349872691096</v>
      </c>
      <c r="K120" s="38"/>
      <c r="L120" s="38">
        <f t="shared" si="13"/>
        <v>0.75547133793843524</v>
      </c>
      <c r="M120" s="38"/>
      <c r="N120" s="38"/>
      <c r="O120" s="38"/>
      <c r="P120" s="38"/>
      <c r="Q120" s="38"/>
    </row>
    <row r="121" spans="5:17">
      <c r="E121" s="38"/>
      <c r="F121" s="44">
        <f t="shared" si="14"/>
        <v>4.0000000000000002E-4</v>
      </c>
      <c r="G121" s="40">
        <v>115</v>
      </c>
      <c r="H121" s="47">
        <f t="shared" si="11"/>
        <v>6.5062451602796358E-3</v>
      </c>
      <c r="I121" s="46">
        <f t="shared" si="9"/>
        <v>3.1200000000000068E-2</v>
      </c>
      <c r="J121" s="48">
        <f t="shared" si="12"/>
        <v>0.20202725356663132</v>
      </c>
      <c r="K121" s="38"/>
      <c r="L121" s="38">
        <f t="shared" si="13"/>
        <v>0.74821819343215812</v>
      </c>
      <c r="M121" s="38"/>
      <c r="N121" s="38"/>
      <c r="O121" s="38"/>
      <c r="P121" s="38"/>
      <c r="Q121" s="38"/>
    </row>
    <row r="122" spans="5:17">
      <c r="E122" s="38"/>
      <c r="F122" s="44">
        <f t="shared" si="14"/>
        <v>4.0000000000000002E-4</v>
      </c>
      <c r="G122" s="40">
        <v>116</v>
      </c>
      <c r="H122" s="47">
        <f t="shared" si="11"/>
        <v>6.3840612127055631E-3</v>
      </c>
      <c r="I122" s="46">
        <f t="shared" si="9"/>
        <v>3.1600000000000066E-2</v>
      </c>
      <c r="J122" s="48">
        <f t="shared" si="12"/>
        <v>0.19564319235392574</v>
      </c>
      <c r="K122" s="38"/>
      <c r="L122" s="38">
        <f t="shared" si="13"/>
        <v>0.74055110067384533</v>
      </c>
      <c r="M122" s="38"/>
      <c r="N122" s="38"/>
      <c r="O122" s="38"/>
      <c r="P122" s="38"/>
      <c r="Q122" s="38"/>
    </row>
    <row r="123" spans="5:17">
      <c r="E123" s="38"/>
      <c r="F123" s="44">
        <f t="shared" si="14"/>
        <v>4.0000000000000002E-4</v>
      </c>
      <c r="G123" s="40">
        <v>117</v>
      </c>
      <c r="H123" s="47">
        <f t="shared" si="11"/>
        <v>6.2605821553256358E-3</v>
      </c>
      <c r="I123" s="46">
        <f t="shared" si="9"/>
        <v>3.2000000000000063E-2</v>
      </c>
      <c r="J123" s="48">
        <f t="shared" si="12"/>
        <v>0.18938261019860012</v>
      </c>
      <c r="K123" s="38"/>
      <c r="L123" s="38">
        <f t="shared" si="13"/>
        <v>0.73248811217309939</v>
      </c>
      <c r="M123" s="38"/>
      <c r="N123" s="38"/>
      <c r="O123" s="38"/>
      <c r="P123" s="38"/>
      <c r="Q123" s="38"/>
    </row>
    <row r="124" spans="5:17">
      <c r="E124" s="38"/>
      <c r="F124" s="44">
        <f t="shared" si="14"/>
        <v>4.0000000000000002E-4</v>
      </c>
      <c r="G124" s="40">
        <v>118</v>
      </c>
      <c r="H124" s="47">
        <f t="shared" si="11"/>
        <v>6.1359965704346556E-3</v>
      </c>
      <c r="I124" s="46">
        <f t="shared" si="9"/>
        <v>3.2400000000000061E-2</v>
      </c>
      <c r="J124" s="48">
        <f t="shared" si="12"/>
        <v>0.18324661362816547</v>
      </c>
      <c r="K124" s="38"/>
      <c r="L124" s="38">
        <f t="shared" si="13"/>
        <v>0.72404759531128937</v>
      </c>
      <c r="M124" s="38"/>
      <c r="N124" s="38"/>
      <c r="O124" s="38"/>
      <c r="P124" s="38"/>
      <c r="Q124" s="38"/>
    </row>
    <row r="125" spans="5:17">
      <c r="E125" s="38"/>
      <c r="F125" s="44">
        <f t="shared" si="14"/>
        <v>4.0000000000000002E-4</v>
      </c>
      <c r="G125" s="40">
        <v>119</v>
      </c>
      <c r="H125" s="47">
        <f t="shared" si="11"/>
        <v>6.0104889270038379E-3</v>
      </c>
      <c r="I125" s="46">
        <f t="shared" si="9"/>
        <v>3.2800000000000058E-2</v>
      </c>
      <c r="J125" s="48">
        <f t="shared" si="12"/>
        <v>0.17723612470116162</v>
      </c>
      <c r="K125" s="38"/>
      <c r="L125" s="38">
        <f t="shared" si="13"/>
        <v>0.71524818231345666</v>
      </c>
      <c r="M125" s="38"/>
      <c r="N125" s="38"/>
      <c r="O125" s="38"/>
      <c r="P125" s="38"/>
      <c r="Q125" s="38"/>
    </row>
    <row r="126" spans="5:17">
      <c r="E126" s="38"/>
      <c r="F126" s="44">
        <f t="shared" si="14"/>
        <v>4.0000000000000002E-4</v>
      </c>
      <c r="G126" s="40">
        <v>120</v>
      </c>
      <c r="H126" s="47">
        <f t="shared" si="11"/>
        <v>5.8842393400785759E-3</v>
      </c>
      <c r="I126" s="46">
        <f t="shared" si="9"/>
        <v>3.3200000000000056E-2</v>
      </c>
      <c r="J126" s="48">
        <f t="shared" si="12"/>
        <v>0.17135188536108303</v>
      </c>
      <c r="K126" s="38"/>
      <c r="L126" s="38">
        <f t="shared" si="13"/>
        <v>0.7061087208094291</v>
      </c>
      <c r="M126" s="38"/>
      <c r="N126" s="38"/>
      <c r="O126" s="38"/>
      <c r="P126" s="38"/>
      <c r="Q126" s="38"/>
    </row>
    <row r="127" spans="5:17">
      <c r="E127" s="38"/>
      <c r="F127" s="44">
        <f t="shared" si="14"/>
        <v>4.0000000000000002E-4</v>
      </c>
      <c r="G127" s="40">
        <v>121</v>
      </c>
      <c r="H127" s="47">
        <f t="shared" si="11"/>
        <v>5.757423348132399E-3</v>
      </c>
      <c r="I127" s="46">
        <f t="shared" si="9"/>
        <v>3.3600000000000053E-2</v>
      </c>
      <c r="J127" s="48">
        <f t="shared" si="12"/>
        <v>0.16559446201295064</v>
      </c>
      <c r="K127" s="38"/>
      <c r="L127" s="38">
        <f t="shared" si="13"/>
        <v>0.69664822512402025</v>
      </c>
      <c r="M127" s="38"/>
      <c r="N127" s="38"/>
      <c r="O127" s="38"/>
      <c r="P127" s="38"/>
      <c r="Q127" s="38"/>
    </row>
    <row r="128" spans="5:17">
      <c r="E128" s="38"/>
      <c r="F128" s="44">
        <f t="shared" si="14"/>
        <v>4.0000000000000002E-4</v>
      </c>
      <c r="G128" s="40">
        <v>122</v>
      </c>
      <c r="H128" s="47">
        <f t="shared" si="11"/>
        <v>5.6302117084403303E-3</v>
      </c>
      <c r="I128" s="46">
        <f t="shared" si="9"/>
        <v>3.4000000000000051E-2</v>
      </c>
      <c r="J128" s="48">
        <f t="shared" si="12"/>
        <v>0.15996425030451031</v>
      </c>
      <c r="K128" s="38"/>
      <c r="L128" s="38">
        <f t="shared" si="13"/>
        <v>0.68688582842972035</v>
      </c>
      <c r="M128" s="38"/>
      <c r="N128" s="38"/>
      <c r="O128" s="38"/>
      <c r="P128" s="38"/>
      <c r="Q128" s="38"/>
    </row>
    <row r="129" spans="5:17">
      <c r="E129" s="38"/>
      <c r="F129" s="44">
        <f t="shared" si="14"/>
        <v>4.0000000000000002E-4</v>
      </c>
      <c r="G129" s="40">
        <v>123</v>
      </c>
      <c r="H129" s="47">
        <f t="shared" si="11"/>
        <v>5.5027702104751622E-3</v>
      </c>
      <c r="I129" s="46">
        <f t="shared" si="9"/>
        <v>3.4400000000000049E-2</v>
      </c>
      <c r="J129" s="48">
        <f t="shared" si="12"/>
        <v>0.15446148009403515</v>
      </c>
      <c r="K129" s="38"/>
      <c r="L129" s="38">
        <f t="shared" si="13"/>
        <v>0.67684073588844496</v>
      </c>
      <c r="M129" s="38"/>
      <c r="N129" s="38"/>
      <c r="O129" s="38"/>
      <c r="P129" s="38"/>
      <c r="Q129" s="38"/>
    </row>
    <row r="130" spans="5:17">
      <c r="E130" s="38"/>
      <c r="F130" s="44">
        <f t="shared" si="14"/>
        <v>4.0000000000000002E-4</v>
      </c>
      <c r="G130" s="40">
        <v>124</v>
      </c>
      <c r="H130" s="47">
        <f t="shared" si="11"/>
        <v>5.3752595072724301E-3</v>
      </c>
      <c r="I130" s="46">
        <f t="shared" si="9"/>
        <v>3.4800000000000046E-2</v>
      </c>
      <c r="J130" s="48">
        <f t="shared" si="12"/>
        <v>0.14908622058676271</v>
      </c>
      <c r="K130" s="38"/>
      <c r="L130" s="38">
        <f t="shared" si="13"/>
        <v>0.66653217890178129</v>
      </c>
      <c r="M130" s="38"/>
      <c r="N130" s="38"/>
      <c r="O130" s="38"/>
      <c r="P130" s="38"/>
      <c r="Q130" s="38"/>
    </row>
    <row r="131" spans="5:17">
      <c r="E131" s="38"/>
      <c r="F131" s="44">
        <f t="shared" si="14"/>
        <v>4.0000000000000002E-4</v>
      </c>
      <c r="G131" s="40">
        <v>125</v>
      </c>
      <c r="H131" s="47">
        <f t="shared" si="11"/>
        <v>5.2478349646540544E-3</v>
      </c>
      <c r="I131" s="46">
        <f t="shared" si="9"/>
        <v>3.5200000000000044E-2</v>
      </c>
      <c r="J131" s="48">
        <f t="shared" si="12"/>
        <v>0.14383838562210866</v>
      </c>
      <c r="K131" s="38"/>
      <c r="L131" s="38">
        <f t="shared" si="13"/>
        <v>0.65597937058175682</v>
      </c>
      <c r="M131" s="38"/>
      <c r="N131" s="38"/>
      <c r="O131" s="38"/>
      <c r="P131" s="38"/>
      <c r="Q131" s="38"/>
    </row>
    <row r="132" spans="5:17">
      <c r="E132" s="38"/>
      <c r="F132" s="44">
        <f t="shared" si="14"/>
        <v>4.0000000000000002E-4</v>
      </c>
      <c r="G132" s="40">
        <v>126</v>
      </c>
      <c r="H132" s="47">
        <f t="shared" si="11"/>
        <v>5.1206465281470742E-3</v>
      </c>
      <c r="I132" s="46">
        <f t="shared" si="9"/>
        <v>3.5600000000000041E-2</v>
      </c>
      <c r="J132" s="48">
        <f t="shared" si="12"/>
        <v>0.13871773909396157</v>
      </c>
      <c r="K132" s="38"/>
      <c r="L132" s="38">
        <f t="shared" si="13"/>
        <v>0.64520146254653132</v>
      </c>
      <c r="M132" s="38"/>
      <c r="N132" s="38"/>
      <c r="O132" s="38"/>
      <c r="P132" s="38"/>
      <c r="Q132" s="38"/>
    </row>
    <row r="133" spans="5:17">
      <c r="E133" s="38"/>
      <c r="F133" s="44">
        <f t="shared" si="14"/>
        <v>4.0000000000000002E-4</v>
      </c>
      <c r="G133" s="40">
        <v>127</v>
      </c>
      <c r="H133" s="47">
        <f t="shared" si="11"/>
        <v>4.9938386073826221E-3</v>
      </c>
      <c r="I133" s="46">
        <f t="shared" si="9"/>
        <v>3.6000000000000039E-2</v>
      </c>
      <c r="J133" s="48">
        <f t="shared" si="12"/>
        <v>0.13372390048657895</v>
      </c>
      <c r="K133" s="38"/>
      <c r="L133" s="38">
        <f t="shared" si="13"/>
        <v>0.63421750313759295</v>
      </c>
      <c r="M133" s="38"/>
      <c r="N133" s="38"/>
      <c r="O133" s="38"/>
      <c r="P133" s="38"/>
      <c r="Q133" s="38"/>
    </row>
    <row r="134" spans="5:17">
      <c r="E134" s="38"/>
      <c r="F134" s="44">
        <f t="shared" si="14"/>
        <v>4.0000000000000002E-4</v>
      </c>
      <c r="G134" s="40">
        <v>128</v>
      </c>
      <c r="H134" s="47">
        <f t="shared" si="11"/>
        <v>4.8675499777114783E-3</v>
      </c>
      <c r="I134" s="46">
        <f t="shared" si="9"/>
        <v>3.6400000000000036E-2</v>
      </c>
      <c r="J134" s="48">
        <f t="shared" si="12"/>
        <v>0.12885635050886748</v>
      </c>
      <c r="K134" s="38"/>
      <c r="L134" s="38">
        <f t="shared" si="13"/>
        <v>0.62304639714706922</v>
      </c>
      <c r="M134" s="38"/>
      <c r="N134" s="38"/>
      <c r="O134" s="38"/>
      <c r="P134" s="38"/>
      <c r="Q134" s="38"/>
    </row>
    <row r="135" spans="5:17">
      <c r="E135" s="38"/>
      <c r="F135" s="44">
        <f t="shared" si="14"/>
        <v>4.0000000000000002E-4</v>
      </c>
      <c r="G135" s="40">
        <v>129</v>
      </c>
      <c r="H135" s="47">
        <f t="shared" si="11"/>
        <v>4.741913698726328E-3</v>
      </c>
      <c r="I135" s="46">
        <f t="shared" si="9"/>
        <v>3.6800000000000034E-2</v>
      </c>
      <c r="J135" s="48">
        <f t="shared" si="12"/>
        <v>0.12411443681014116</v>
      </c>
      <c r="K135" s="38"/>
      <c r="L135" s="38">
        <f t="shared" si="13"/>
        <v>0.61170686713569633</v>
      </c>
      <c r="M135" s="38"/>
      <c r="N135" s="38"/>
      <c r="O135" s="38"/>
      <c r="P135" s="38"/>
      <c r="Q135" s="38"/>
    </row>
    <row r="136" spans="5:17">
      <c r="E136" s="38"/>
      <c r="F136" s="44">
        <f t="shared" si="14"/>
        <v>4.0000000000000002E-4</v>
      </c>
      <c r="G136" s="40">
        <v>130</v>
      </c>
      <c r="H136" s="47">
        <f t="shared" si="11"/>
        <v>4.6170570493372547E-3</v>
      </c>
      <c r="I136" s="46">
        <f t="shared" si="9"/>
        <v>3.7200000000000032E-2</v>
      </c>
      <c r="J136" s="48">
        <f t="shared" si="12"/>
        <v>0.11949737976080391</v>
      </c>
      <c r="K136" s="38"/>
      <c r="L136" s="38">
        <f t="shared" si="13"/>
        <v>0.60021741641384307</v>
      </c>
      <c r="M136" s="38"/>
      <c r="N136" s="38"/>
      <c r="O136" s="38"/>
      <c r="P136" s="38"/>
      <c r="Q136" s="38"/>
    </row>
    <row r="137" spans="5:17">
      <c r="E137" s="38"/>
      <c r="F137" s="44">
        <f t="shared" si="14"/>
        <v>4.0000000000000002E-4</v>
      </c>
      <c r="G137" s="40">
        <v>131</v>
      </c>
      <c r="H137" s="47">
        <f t="shared" si="11"/>
        <v>4.4931014790062307E-3</v>
      </c>
      <c r="I137" s="46">
        <f t="shared" ref="I137:I200" si="15">I136+F137</f>
        <v>3.7600000000000029E-2</v>
      </c>
      <c r="J137" s="48">
        <f t="shared" si="12"/>
        <v>0.11500427828179767</v>
      </c>
      <c r="K137" s="38"/>
      <c r="L137" s="38">
        <f t="shared" si="13"/>
        <v>0.58859629374981626</v>
      </c>
      <c r="M137" s="38"/>
      <c r="N137" s="38"/>
      <c r="O137" s="38"/>
      <c r="P137" s="38"/>
      <c r="Q137" s="38"/>
    </row>
    <row r="138" spans="5:17">
      <c r="E138" s="38"/>
      <c r="F138" s="44">
        <f t="shared" si="14"/>
        <v>4.0000000000000002E-4</v>
      </c>
      <c r="G138" s="40">
        <v>132</v>
      </c>
      <c r="H138" s="47">
        <f t="shared" si="11"/>
        <v>4.3701625747083143E-3</v>
      </c>
      <c r="I138" s="46">
        <f t="shared" si="15"/>
        <v>3.8000000000000027E-2</v>
      </c>
      <c r="J138" s="48">
        <f t="shared" si="12"/>
        <v>0.11063411570708935</v>
      </c>
      <c r="K138" s="38"/>
      <c r="L138" s="38">
        <f t="shared" si="13"/>
        <v>0.57686145986149751</v>
      </c>
      <c r="M138" s="38"/>
      <c r="N138" s="38"/>
      <c r="O138" s="38"/>
      <c r="P138" s="38"/>
      <c r="Q138" s="38"/>
    </row>
    <row r="139" spans="5:17">
      <c r="E139" s="38"/>
      <c r="F139" s="44">
        <f t="shared" ref="F139:F156" si="16">$E$17</f>
        <v>4.0000000000000002E-4</v>
      </c>
      <c r="G139" s="40">
        <v>133</v>
      </c>
      <c r="H139" s="47">
        <f t="shared" si="11"/>
        <v>4.2483500431522341E-3</v>
      </c>
      <c r="I139" s="46">
        <f t="shared" si="15"/>
        <v>3.8400000000000024E-2</v>
      </c>
      <c r="J139" s="48">
        <f t="shared" si="12"/>
        <v>0.10638576566393712</v>
      </c>
      <c r="K139" s="38"/>
      <c r="L139" s="38">
        <f t="shared" si="13"/>
        <v>0.5650305557392471</v>
      </c>
      <c r="M139" s="38"/>
      <c r="N139" s="38"/>
      <c r="O139" s="38"/>
      <c r="P139" s="38"/>
      <c r="Q139" s="38"/>
    </row>
    <row r="140" spans="5:17">
      <c r="E140" s="38"/>
      <c r="F140" s="44">
        <f t="shared" si="16"/>
        <v>4.0000000000000002E-4</v>
      </c>
      <c r="G140" s="40">
        <v>134</v>
      </c>
      <c r="H140" s="47">
        <f t="shared" si="11"/>
        <v>4.1277677077607624E-3</v>
      </c>
      <c r="I140" s="46">
        <f t="shared" si="15"/>
        <v>3.8800000000000022E-2</v>
      </c>
      <c r="J140" s="48">
        <f t="shared" si="12"/>
        <v>0.10225799795617636</v>
      </c>
      <c r="K140" s="38"/>
      <c r="L140" s="38">
        <f t="shared" si="13"/>
        <v>0.55312087283994216</v>
      </c>
      <c r="M140" s="38"/>
      <c r="N140" s="38"/>
      <c r="O140" s="38"/>
      <c r="P140" s="38"/>
      <c r="Q140" s="38"/>
    </row>
    <row r="141" spans="5:17">
      <c r="E141" s="38"/>
      <c r="F141" s="44">
        <f t="shared" si="16"/>
        <v>4.0000000000000002E-4</v>
      </c>
      <c r="G141" s="40">
        <v>135</v>
      </c>
      <c r="H141" s="47">
        <f t="shared" si="11"/>
        <v>4.0085135198821157E-3</v>
      </c>
      <c r="I141" s="46">
        <f t="shared" si="15"/>
        <v>3.920000000000002E-2</v>
      </c>
      <c r="J141" s="48">
        <f t="shared" si="12"/>
        <v>9.8249484436294249E-2</v>
      </c>
      <c r="K141" s="38"/>
      <c r="L141" s="38">
        <f t="shared" si="13"/>
        <v>0.54114932518408565</v>
      </c>
      <c r="M141" s="38"/>
      <c r="N141" s="38"/>
      <c r="O141" s="38"/>
      <c r="P141" s="38"/>
      <c r="Q141" s="38"/>
    </row>
    <row r="142" spans="5:17">
      <c r="E142" s="38"/>
      <c r="F142" s="44">
        <f t="shared" si="16"/>
        <v>4.0000000000000002E-4</v>
      </c>
      <c r="G142" s="40">
        <v>136</v>
      </c>
      <c r="H142" s="47">
        <f t="shared" si="11"/>
        <v>3.8906795836772539E-3</v>
      </c>
      <c r="I142" s="46">
        <f t="shared" si="15"/>
        <v>3.9600000000000017E-2</v>
      </c>
      <c r="J142" s="48">
        <f t="shared" si="12"/>
        <v>9.4358804852616995E-2</v>
      </c>
      <c r="K142" s="38"/>
      <c r="L142" s="38">
        <f t="shared" si="13"/>
        <v>0.52913242338010658</v>
      </c>
      <c r="M142" s="38"/>
      <c r="N142" s="38"/>
      <c r="O142" s="38"/>
      <c r="P142" s="38"/>
      <c r="Q142" s="38"/>
    </row>
    <row r="143" spans="5:17">
      <c r="E143" s="38"/>
      <c r="F143" s="44">
        <f t="shared" si="16"/>
        <v>4.0000000000000002E-4</v>
      </c>
      <c r="G143" s="40">
        <v>137</v>
      </c>
      <c r="H143" s="47">
        <f t="shared" si="11"/>
        <v>3.774352194104681E-3</v>
      </c>
      <c r="I143" s="46">
        <f t="shared" si="15"/>
        <v>4.0000000000000015E-2</v>
      </c>
      <c r="J143" s="48">
        <f t="shared" si="12"/>
        <v>9.058445265851231E-2</v>
      </c>
      <c r="K143" s="38"/>
      <c r="L143" s="38">
        <f t="shared" si="13"/>
        <v>0.51708625059234126</v>
      </c>
      <c r="M143" s="38"/>
      <c r="N143" s="38"/>
      <c r="O143" s="38"/>
      <c r="P143" s="38"/>
      <c r="Q143" s="38"/>
    </row>
    <row r="144" spans="5:17">
      <c r="E144" s="38"/>
      <c r="F144" s="44">
        <f t="shared" si="16"/>
        <v>4.0000000000000002E-4</v>
      </c>
      <c r="G144" s="40">
        <v>138</v>
      </c>
      <c r="H144" s="47">
        <f t="shared" si="11"/>
        <v>3.6596118874038983E-3</v>
      </c>
      <c r="I144" s="46">
        <f t="shared" si="15"/>
        <v>4.0400000000000012E-2</v>
      </c>
      <c r="J144" s="48">
        <f t="shared" si="12"/>
        <v>8.6924840771108416E-2</v>
      </c>
      <c r="K144" s="38"/>
      <c r="L144" s="38">
        <f t="shared" si="13"/>
        <v>0.50502644046173795</v>
      </c>
      <c r="M144" s="38"/>
      <c r="N144" s="38"/>
      <c r="O144" s="38"/>
      <c r="P144" s="38"/>
      <c r="Q144" s="38"/>
    </row>
    <row r="145" spans="5:17">
      <c r="E145" s="38"/>
      <c r="F145" s="44">
        <f t="shared" si="16"/>
        <v>4.0000000000000002E-4</v>
      </c>
      <c r="G145" s="40">
        <v>139</v>
      </c>
      <c r="H145" s="47">
        <f t="shared" si="11"/>
        <v>3.5465335034612243E-3</v>
      </c>
      <c r="I145" s="46">
        <f t="shared" si="15"/>
        <v>4.080000000000001E-2</v>
      </c>
      <c r="J145" s="48">
        <f t="shared" si="12"/>
        <v>8.3378307267647195E-2</v>
      </c>
      <c r="K145" s="38"/>
      <c r="L145" s="38">
        <f t="shared" si="13"/>
        <v>0.49296815698111018</v>
      </c>
      <c r="M145" s="38"/>
      <c r="N145" s="38"/>
      <c r="O145" s="38"/>
      <c r="P145" s="38"/>
      <c r="Q145" s="38"/>
    </row>
    <row r="146" spans="5:17">
      <c r="E146" s="38"/>
      <c r="F146" s="44">
        <f t="shared" si="16"/>
        <v>4.0000000000000002E-4</v>
      </c>
      <c r="G146" s="40">
        <v>140</v>
      </c>
      <c r="H146" s="47">
        <f t="shared" si="11"/>
        <v>3.4351862594270651E-3</v>
      </c>
      <c r="I146" s="46">
        <f t="shared" si="15"/>
        <v>4.1200000000000007E-2</v>
      </c>
      <c r="J146" s="48">
        <f t="shared" si="12"/>
        <v>7.9943121008220125E-2</v>
      </c>
      <c r="K146" s="38"/>
      <c r="L146" s="38">
        <f t="shared" si="13"/>
        <v>0.48092607631978912</v>
      </c>
      <c r="M146" s="38"/>
      <c r="N146" s="38"/>
      <c r="O146" s="38"/>
      <c r="P146" s="38"/>
      <c r="Q146" s="38"/>
    </row>
    <row r="147" spans="5:17">
      <c r="E147" s="38"/>
      <c r="F147" s="44">
        <f t="shared" si="16"/>
        <v>4.0000000000000002E-4</v>
      </c>
      <c r="G147" s="40">
        <v>141</v>
      </c>
      <c r="H147" s="47">
        <f t="shared" si="11"/>
        <v>3.3256338339419577E-3</v>
      </c>
      <c r="I147" s="46">
        <f t="shared" si="15"/>
        <v>4.1600000000000005E-2</v>
      </c>
      <c r="J147" s="48">
        <f t="shared" si="12"/>
        <v>7.6617487174278173E-2</v>
      </c>
      <c r="K147" s="38"/>
      <c r="L147" s="38">
        <f t="shared" si="13"/>
        <v>0.46891437058581603</v>
      </c>
      <c r="M147" s="38"/>
      <c r="N147" s="38"/>
      <c r="O147" s="38"/>
      <c r="P147" s="38"/>
      <c r="Q147" s="38"/>
    </row>
    <row r="148" spans="5:17">
      <c r="E148" s="38"/>
      <c r="F148" s="44">
        <f t="shared" si="16"/>
        <v>4.0000000000000002E-4</v>
      </c>
      <c r="G148" s="40">
        <v>142</v>
      </c>
      <c r="H148" s="47">
        <f t="shared" si="11"/>
        <v>3.2179344613196834E-3</v>
      </c>
      <c r="I148" s="46">
        <f t="shared" si="15"/>
        <v>4.2000000000000003E-2</v>
      </c>
      <c r="J148" s="48">
        <f t="shared" si="12"/>
        <v>7.3399552712958491E-2</v>
      </c>
      <c r="K148" s="38"/>
      <c r="L148" s="38">
        <f t="shared" si="13"/>
        <v>0.45694669350739503</v>
      </c>
      <c r="M148" s="38"/>
      <c r="N148" s="38"/>
      <c r="O148" s="38"/>
      <c r="P148" s="38"/>
      <c r="Q148" s="38"/>
    </row>
    <row r="149" spans="5:17">
      <c r="E149" s="38"/>
      <c r="F149" s="44">
        <f t="shared" si="16"/>
        <v>4.0000000000000002E-4</v>
      </c>
      <c r="G149" s="40">
        <v>143</v>
      </c>
      <c r="H149" s="47">
        <f t="shared" si="11"/>
        <v>3.11214103502944E-3</v>
      </c>
      <c r="I149" s="46">
        <f t="shared" si="15"/>
        <v>4.24E-2</v>
      </c>
      <c r="J149" s="48">
        <f t="shared" si="12"/>
        <v>7.0287411677929054E-2</v>
      </c>
      <c r="K149" s="38"/>
      <c r="L149" s="38">
        <f t="shared" si="13"/>
        <v>0.44503616800920992</v>
      </c>
      <c r="M149" s="38"/>
      <c r="N149" s="38"/>
      <c r="O149" s="38"/>
      <c r="P149" s="38"/>
      <c r="Q149" s="38"/>
    </row>
    <row r="150" spans="5:17">
      <c r="E150" s="38"/>
      <c r="F150" s="44">
        <f t="shared" si="16"/>
        <v>4.0000000000000002E-4</v>
      </c>
      <c r="G150" s="40">
        <v>144</v>
      </c>
      <c r="H150" s="47">
        <f t="shared" si="11"/>
        <v>3.0083012198153635E-3</v>
      </c>
      <c r="I150" s="46">
        <f t="shared" si="15"/>
        <v>4.2799999999999998E-2</v>
      </c>
      <c r="J150" s="48">
        <f t="shared" si="12"/>
        <v>6.7279110458113689E-2</v>
      </c>
      <c r="K150" s="38"/>
      <c r="L150" s="38">
        <f t="shared" si="13"/>
        <v>0.43319537565341237</v>
      </c>
      <c r="M150" s="38"/>
      <c r="N150" s="38"/>
      <c r="O150" s="38"/>
      <c r="P150" s="38"/>
      <c r="Q150" s="38"/>
    </row>
    <row r="151" spans="5:17">
      <c r="E151" s="38"/>
      <c r="F151" s="44">
        <f t="shared" si="16"/>
        <v>4.0000000000000002E-4</v>
      </c>
      <c r="G151" s="40">
        <v>145</v>
      </c>
      <c r="H151" s="47">
        <f t="shared" si="11"/>
        <v>2.9064575717905111E-3</v>
      </c>
      <c r="I151" s="46">
        <f t="shared" si="15"/>
        <v>4.3199999999999995E-2</v>
      </c>
      <c r="J151" s="48">
        <f t="shared" si="12"/>
        <v>6.4372652886323184E-2</v>
      </c>
      <c r="K151" s="38"/>
      <c r="L151" s="38">
        <f t="shared" si="13"/>
        <v>0.42143634790962409</v>
      </c>
      <c r="M151" s="38"/>
      <c r="N151" s="38"/>
      <c r="O151" s="38"/>
      <c r="P151" s="38"/>
      <c r="Q151" s="38"/>
    </row>
    <row r="152" spans="5:17">
      <c r="E152" s="38"/>
      <c r="F152" s="44">
        <f t="shared" si="16"/>
        <v>4.0000000000000002E-4</v>
      </c>
      <c r="G152" s="40">
        <v>146</v>
      </c>
      <c r="H152" s="47">
        <f t="shared" si="11"/>
        <v>2.8066476658436903E-3</v>
      </c>
      <c r="I152" s="46">
        <f t="shared" si="15"/>
        <v>4.3599999999999993E-2</v>
      </c>
      <c r="J152" s="48">
        <f t="shared" si="12"/>
        <v>6.1566005220479496E-2</v>
      </c>
      <c r="K152" s="38"/>
      <c r="L152" s="38">
        <f t="shared" si="13"/>
        <v>0.40977055921317879</v>
      </c>
      <c r="M152" s="38"/>
      <c r="N152" s="38"/>
      <c r="O152" s="38"/>
      <c r="P152" s="38"/>
      <c r="Q152" s="38"/>
    </row>
    <row r="153" spans="5:17">
      <c r="E153" s="38"/>
      <c r="F153" s="44">
        <f t="shared" si="16"/>
        <v>4.0000000000000002E-4</v>
      </c>
      <c r="G153" s="40">
        <v>147</v>
      </c>
      <c r="H153" s="47">
        <f t="shared" si="11"/>
        <v>2.7089042297010974E-3</v>
      </c>
      <c r="I153" s="46">
        <f t="shared" si="15"/>
        <v>4.3999999999999991E-2</v>
      </c>
      <c r="J153" s="48">
        <f t="shared" si="12"/>
        <v>5.8857100990778399E-2</v>
      </c>
      <c r="K153" s="38"/>
      <c r="L153" s="38">
        <f t="shared" si="13"/>
        <v>0.39820892176606132</v>
      </c>
      <c r="M153" s="38"/>
      <c r="N153" s="38"/>
      <c r="O153" s="38"/>
      <c r="P153" s="38"/>
      <c r="Q153" s="38"/>
    </row>
    <row r="154" spans="5:17">
      <c r="E154" s="38"/>
      <c r="F154" s="44">
        <f t="shared" si="16"/>
        <v>4.0000000000000002E-4</v>
      </c>
      <c r="G154" s="40">
        <v>148</v>
      </c>
      <c r="H154" s="47">
        <f t="shared" si="11"/>
        <v>2.6132552839905603E-3</v>
      </c>
      <c r="I154" s="46">
        <f t="shared" si="15"/>
        <v>4.4399999999999988E-2</v>
      </c>
      <c r="J154" s="48">
        <f t="shared" si="12"/>
        <v>5.6243845706787837E-2</v>
      </c>
      <c r="K154" s="38"/>
      <c r="L154" s="38">
        <f t="shared" si="13"/>
        <v>0.38676178203060291</v>
      </c>
      <c r="M154" s="38"/>
      <c r="N154" s="38"/>
      <c r="O154" s="38"/>
      <c r="P154" s="38"/>
      <c r="Q154" s="38"/>
    </row>
    <row r="155" spans="5:17">
      <c r="E155" s="38"/>
      <c r="F155" s="44">
        <f t="shared" si="16"/>
        <v>4.0000000000000002E-4</v>
      </c>
      <c r="G155" s="40">
        <v>149</v>
      </c>
      <c r="H155" s="47">
        <f t="shared" si="11"/>
        <v>2.5197242876640945E-3</v>
      </c>
      <c r="I155" s="46">
        <f t="shared" si="15"/>
        <v>4.4799999999999986E-2</v>
      </c>
      <c r="J155" s="48">
        <f t="shared" si="12"/>
        <v>5.3724121419123742E-2</v>
      </c>
      <c r="K155" s="38"/>
      <c r="L155" s="38">
        <f t="shared" si="13"/>
        <v>0.37543891886195008</v>
      </c>
      <c r="M155" s="38"/>
      <c r="N155" s="38"/>
      <c r="O155" s="38"/>
      <c r="P155" s="38"/>
      <c r="Q155" s="38"/>
    </row>
    <row r="156" spans="5:17">
      <c r="E156" s="38"/>
      <c r="F156" s="44">
        <f t="shared" si="16"/>
        <v>4.0000000000000002E-4</v>
      </c>
      <c r="G156" s="40">
        <v>150</v>
      </c>
      <c r="H156" s="47">
        <f t="shared" si="11"/>
        <v>2.4283302881443923E-3</v>
      </c>
      <c r="I156" s="46">
        <f t="shared" si="15"/>
        <v>4.5199999999999983E-2</v>
      </c>
      <c r="J156" s="48">
        <f t="shared" si="12"/>
        <v>5.1295791130979353E-2</v>
      </c>
      <c r="K156" s="38"/>
      <c r="L156" s="38">
        <f t="shared" si="13"/>
        <v>0.36424954322165887</v>
      </c>
      <c r="M156" s="38"/>
      <c r="N156" s="38"/>
      <c r="O156" s="38"/>
      <c r="P156" s="38"/>
      <c r="Q156" s="38"/>
    </row>
    <row r="157" spans="5:17">
      <c r="E157" s="38"/>
      <c r="F157" s="44">
        <f t="shared" ref="F157:F188" si="17">$E$21</f>
        <v>0</v>
      </c>
      <c r="G157" s="40">
        <v>151</v>
      </c>
      <c r="H157" s="47">
        <f t="shared" si="11"/>
        <v>2.3185697591202657E-3</v>
      </c>
      <c r="I157" s="46">
        <f t="shared" si="15"/>
        <v>4.5199999999999983E-2</v>
      </c>
      <c r="J157" s="48">
        <f t="shared" si="12"/>
        <v>4.8977221371859087E-2</v>
      </c>
      <c r="K157" s="38"/>
      <c r="L157" s="38">
        <f t="shared" si="13"/>
        <v>0.35010403362716014</v>
      </c>
      <c r="M157" s="38"/>
      <c r="N157" s="38"/>
      <c r="O157" s="38"/>
      <c r="P157" s="38"/>
      <c r="Q157" s="38"/>
    </row>
    <row r="158" spans="5:17">
      <c r="E158" s="38"/>
      <c r="F158" s="44">
        <f t="shared" si="17"/>
        <v>0</v>
      </c>
      <c r="G158" s="40">
        <v>152</v>
      </c>
      <c r="H158" s="47">
        <f t="shared" si="11"/>
        <v>2.21377040600803E-3</v>
      </c>
      <c r="I158" s="46">
        <f t="shared" si="15"/>
        <v>4.5199999999999983E-2</v>
      </c>
      <c r="J158" s="48">
        <f t="shared" si="12"/>
        <v>4.6763450965851057E-2</v>
      </c>
      <c r="K158" s="38"/>
      <c r="L158" s="38">
        <f t="shared" si="13"/>
        <v>0.33649310171322055</v>
      </c>
      <c r="M158" s="38"/>
      <c r="N158" s="38"/>
      <c r="O158" s="38"/>
      <c r="P158" s="38"/>
      <c r="Q158" s="38"/>
    </row>
    <row r="159" spans="5:17">
      <c r="E159" s="38"/>
      <c r="F159" s="44">
        <f t="shared" si="17"/>
        <v>0</v>
      </c>
      <c r="G159" s="40">
        <v>153</v>
      </c>
      <c r="H159" s="47">
        <f t="shared" si="11"/>
        <v>2.1137079836564669E-3</v>
      </c>
      <c r="I159" s="46">
        <f t="shared" si="15"/>
        <v>4.5199999999999983E-2</v>
      </c>
      <c r="J159" s="48">
        <f t="shared" si="12"/>
        <v>4.4649742982194589E-2</v>
      </c>
      <c r="K159" s="38"/>
      <c r="L159" s="38">
        <f t="shared" si="13"/>
        <v>0.32339732149943945</v>
      </c>
      <c r="M159" s="38"/>
      <c r="N159" s="38"/>
      <c r="O159" s="38"/>
      <c r="P159" s="38"/>
      <c r="Q159" s="38"/>
    </row>
    <row r="160" spans="5:17">
      <c r="E160" s="38"/>
      <c r="F160" s="44">
        <f t="shared" si="17"/>
        <v>0</v>
      </c>
      <c r="G160" s="40">
        <v>154</v>
      </c>
      <c r="H160" s="47">
        <f t="shared" si="11"/>
        <v>2.0181683827951947E-3</v>
      </c>
      <c r="I160" s="46">
        <f t="shared" si="15"/>
        <v>4.5199999999999983E-2</v>
      </c>
      <c r="J160" s="48">
        <f t="shared" si="12"/>
        <v>4.2631574599399397E-2</v>
      </c>
      <c r="K160" s="38"/>
      <c r="L160" s="38">
        <f t="shared" si="13"/>
        <v>0.31079793095045999</v>
      </c>
      <c r="M160" s="38"/>
      <c r="N160" s="38"/>
      <c r="O160" s="38"/>
      <c r="P160" s="38"/>
      <c r="Q160" s="38"/>
    </row>
    <row r="161" spans="5:17">
      <c r="E161" s="38"/>
      <c r="F161" s="44">
        <f t="shared" si="17"/>
        <v>0</v>
      </c>
      <c r="G161" s="40">
        <v>155</v>
      </c>
      <c r="H161" s="47">
        <f t="shared" si="11"/>
        <v>1.926947171892852E-3</v>
      </c>
      <c r="I161" s="46">
        <f t="shared" si="15"/>
        <v>4.5199999999999983E-2</v>
      </c>
      <c r="J161" s="48">
        <f t="shared" si="12"/>
        <v>4.0704627427506544E-2</v>
      </c>
      <c r="K161" s="38"/>
      <c r="L161" s="38">
        <f t="shared" si="13"/>
        <v>0.29867681164339205</v>
      </c>
      <c r="M161" s="38"/>
      <c r="N161" s="38"/>
      <c r="O161" s="38"/>
      <c r="P161" s="38"/>
      <c r="Q161" s="38"/>
    </row>
    <row r="162" spans="5:17">
      <c r="E162" s="38"/>
      <c r="F162" s="44">
        <f t="shared" si="17"/>
        <v>0</v>
      </c>
      <c r="G162" s="40">
        <v>156</v>
      </c>
      <c r="H162" s="47">
        <f t="shared" si="11"/>
        <v>1.8398491597232951E-3</v>
      </c>
      <c r="I162" s="46">
        <f t="shared" si="15"/>
        <v>4.5199999999999983E-2</v>
      </c>
      <c r="J162" s="48">
        <f t="shared" si="12"/>
        <v>3.886477826778325E-2</v>
      </c>
      <c r="K162" s="38"/>
      <c r="L162" s="38">
        <f t="shared" si="13"/>
        <v>0.28701646891683402</v>
      </c>
      <c r="M162" s="38"/>
      <c r="N162" s="38"/>
      <c r="O162" s="38"/>
      <c r="P162" s="38"/>
      <c r="Q162" s="38"/>
    </row>
    <row r="163" spans="5:17">
      <c r="E163" s="38"/>
      <c r="F163" s="44">
        <f t="shared" si="17"/>
        <v>0</v>
      </c>
      <c r="G163" s="40">
        <v>157</v>
      </c>
      <c r="H163" s="47">
        <f t="shared" si="11"/>
        <v>1.7566879777038023E-3</v>
      </c>
      <c r="I163" s="46">
        <f t="shared" si="15"/>
        <v>4.5199999999999983E-2</v>
      </c>
      <c r="J163" s="48">
        <f t="shared" si="12"/>
        <v>3.710809029007945E-2</v>
      </c>
      <c r="K163" s="38"/>
      <c r="L163" s="38">
        <f t="shared" si="13"/>
        <v>0.27580001249949698</v>
      </c>
      <c r="M163" s="38"/>
      <c r="N163" s="38"/>
      <c r="O163" s="38"/>
      <c r="P163" s="38"/>
      <c r="Q163" s="38"/>
    </row>
    <row r="164" spans="5:17">
      <c r="E164" s="38"/>
      <c r="F164" s="44">
        <f t="shared" si="17"/>
        <v>0</v>
      </c>
      <c r="G164" s="40">
        <v>158</v>
      </c>
      <c r="H164" s="47">
        <f t="shared" si="11"/>
        <v>1.6772856811115905E-3</v>
      </c>
      <c r="I164" s="46">
        <f t="shared" si="15"/>
        <v>4.5199999999999983E-2</v>
      </c>
      <c r="J164" s="48">
        <f t="shared" si="12"/>
        <v>3.5430804608967859E-2</v>
      </c>
      <c r="K164" s="38"/>
      <c r="L164" s="38">
        <f t="shared" si="13"/>
        <v>0.26501113761563128</v>
      </c>
      <c r="M164" s="38"/>
      <c r="N164" s="38"/>
      <c r="O164" s="38"/>
      <c r="P164" s="38"/>
      <c r="Q164" s="38"/>
    </row>
    <row r="165" spans="5:17">
      <c r="E165" s="38"/>
      <c r="F165" s="44">
        <f t="shared" si="17"/>
        <v>0</v>
      </c>
      <c r="G165" s="40">
        <v>159</v>
      </c>
      <c r="H165" s="47">
        <f t="shared" si="11"/>
        <v>1.6014723683253466E-3</v>
      </c>
      <c r="I165" s="46">
        <f t="shared" si="15"/>
        <v>4.5199999999999983E-2</v>
      </c>
      <c r="J165" s="48">
        <f t="shared" si="12"/>
        <v>3.382933224064251E-2</v>
      </c>
      <c r="K165" s="38"/>
      <c r="L165" s="38">
        <f t="shared" si="13"/>
        <v>0.25463410656373009</v>
      </c>
      <c r="M165" s="38"/>
      <c r="N165" s="38"/>
      <c r="O165" s="38"/>
      <c r="P165" s="38"/>
      <c r="Q165" s="38"/>
    </row>
    <row r="166" spans="5:17">
      <c r="E166" s="38"/>
      <c r="F166" s="44">
        <f t="shared" si="17"/>
        <v>0</v>
      </c>
      <c r="G166" s="40">
        <v>160</v>
      </c>
      <c r="H166" s="47">
        <f t="shared" si="11"/>
        <v>1.5290858172770409E-3</v>
      </c>
      <c r="I166" s="46">
        <f t="shared" si="15"/>
        <v>4.5199999999999983E-2</v>
      </c>
      <c r="J166" s="48">
        <f t="shared" si="12"/>
        <v>3.2300246423365465E-2</v>
      </c>
      <c r="K166" s="38"/>
      <c r="L166" s="38">
        <f t="shared" si="13"/>
        <v>0.24465373076432653</v>
      </c>
      <c r="M166" s="38"/>
      <c r="N166" s="38"/>
      <c r="O166" s="38"/>
      <c r="P166" s="38"/>
      <c r="Q166" s="38"/>
    </row>
    <row r="167" spans="5:17">
      <c r="E167" s="38"/>
      <c r="F167" s="44">
        <f t="shared" si="17"/>
        <v>0</v>
      </c>
      <c r="G167" s="40">
        <v>161</v>
      </c>
      <c r="H167" s="47">
        <f t="shared" si="11"/>
        <v>1.4599711383361184E-3</v>
      </c>
      <c r="I167" s="46">
        <f t="shared" si="15"/>
        <v>4.5199999999999983E-2</v>
      </c>
      <c r="J167" s="48">
        <f t="shared" si="12"/>
        <v>3.0840275285029348E-2</v>
      </c>
      <c r="K167" s="38"/>
      <c r="L167" s="38">
        <f t="shared" si="13"/>
        <v>0.23505535327211508</v>
      </c>
      <c r="M167" s="38"/>
      <c r="N167" s="38"/>
      <c r="O167" s="38"/>
      <c r="P167" s="38"/>
      <c r="Q167" s="38"/>
    </row>
    <row r="168" spans="5:17">
      <c r="E168" s="38"/>
      <c r="F168" s="44">
        <f t="shared" si="17"/>
        <v>0</v>
      </c>
      <c r="G168" s="40">
        <v>162</v>
      </c>
      <c r="H168" s="47">
        <f t="shared" ref="H168:H206" si="18">J167*I168</f>
        <v>1.3939804428833259E-3</v>
      </c>
      <c r="I168" s="46">
        <f t="shared" si="15"/>
        <v>4.5199999999999983E-2</v>
      </c>
      <c r="J168" s="48">
        <f t="shared" ref="J168:J206" si="19">J167-H168</f>
        <v>2.9446294842146021E-2</v>
      </c>
      <c r="K168" s="38"/>
      <c r="L168" s="38">
        <f t="shared" ref="L168:L206" si="20">G168*H168</f>
        <v>0.2258248317470988</v>
      </c>
      <c r="M168" s="38"/>
      <c r="N168" s="38"/>
      <c r="O168" s="38"/>
      <c r="P168" s="38"/>
      <c r="Q168" s="38"/>
    </row>
    <row r="169" spans="5:17">
      <c r="E169" s="38"/>
      <c r="F169" s="44">
        <f t="shared" si="17"/>
        <v>0</v>
      </c>
      <c r="G169" s="40">
        <v>163</v>
      </c>
      <c r="H169" s="47">
        <f t="shared" si="18"/>
        <v>1.3309725268649997E-3</v>
      </c>
      <c r="I169" s="46">
        <f t="shared" si="15"/>
        <v>4.5199999999999983E-2</v>
      </c>
      <c r="J169" s="48">
        <f t="shared" si="19"/>
        <v>2.8115322315281022E-2</v>
      </c>
      <c r="K169" s="38"/>
      <c r="L169" s="38">
        <f t="shared" si="20"/>
        <v>0.21694852187899494</v>
      </c>
      <c r="M169" s="38"/>
      <c r="N169" s="38"/>
      <c r="O169" s="38"/>
      <c r="P169" s="38"/>
      <c r="Q169" s="38"/>
    </row>
    <row r="170" spans="5:17">
      <c r="E170" s="38"/>
      <c r="F170" s="44">
        <f t="shared" si="17"/>
        <v>0</v>
      </c>
      <c r="G170" s="40">
        <v>164</v>
      </c>
      <c r="H170" s="47">
        <f t="shared" si="18"/>
        <v>1.2708125686507017E-3</v>
      </c>
      <c r="I170" s="46">
        <f t="shared" si="15"/>
        <v>4.5199999999999983E-2</v>
      </c>
      <c r="J170" s="48">
        <f t="shared" si="19"/>
        <v>2.6844509746630319E-2</v>
      </c>
      <c r="K170" s="38"/>
      <c r="L170" s="38">
        <f t="shared" si="20"/>
        <v>0.20841326125871507</v>
      </c>
      <c r="M170" s="38"/>
      <c r="N170" s="38"/>
      <c r="O170" s="38"/>
      <c r="P170" s="38"/>
      <c r="Q170" s="38"/>
    </row>
    <row r="171" spans="5:17">
      <c r="E171" s="38"/>
      <c r="F171" s="44">
        <f t="shared" si="17"/>
        <v>0</v>
      </c>
      <c r="G171" s="40">
        <v>165</v>
      </c>
      <c r="H171" s="47">
        <f t="shared" si="18"/>
        <v>1.21337184054769E-3</v>
      </c>
      <c r="I171" s="46">
        <f t="shared" si="15"/>
        <v>4.5199999999999983E-2</v>
      </c>
      <c r="J171" s="48">
        <f t="shared" si="19"/>
        <v>2.5631137906082631E-2</v>
      </c>
      <c r="K171" s="38"/>
      <c r="L171" s="38">
        <f t="shared" si="20"/>
        <v>0.20020635369036885</v>
      </c>
      <c r="M171" s="38"/>
      <c r="N171" s="38"/>
      <c r="O171" s="38"/>
      <c r="P171" s="38"/>
      <c r="Q171" s="38"/>
    </row>
    <row r="172" spans="5:17">
      <c r="E172" s="38"/>
      <c r="F172" s="44">
        <f t="shared" si="17"/>
        <v>0</v>
      </c>
      <c r="G172" s="40">
        <v>166</v>
      </c>
      <c r="H172" s="47">
        <f t="shared" si="18"/>
        <v>1.1585274333549345E-3</v>
      </c>
      <c r="I172" s="46">
        <f t="shared" si="15"/>
        <v>4.5199999999999983E-2</v>
      </c>
      <c r="J172" s="48">
        <f t="shared" si="19"/>
        <v>2.4472610472727696E-2</v>
      </c>
      <c r="K172" s="38"/>
      <c r="L172" s="38">
        <f t="shared" si="20"/>
        <v>0.19231555393691913</v>
      </c>
      <c r="M172" s="38"/>
      <c r="N172" s="38"/>
      <c r="O172" s="38"/>
      <c r="P172" s="38"/>
      <c r="Q172" s="38"/>
    </row>
    <row r="173" spans="5:17">
      <c r="E173" s="38"/>
      <c r="F173" s="44">
        <f t="shared" si="17"/>
        <v>0</v>
      </c>
      <c r="G173" s="40">
        <v>167</v>
      </c>
      <c r="H173" s="47">
        <f t="shared" si="18"/>
        <v>1.1061619933672915E-3</v>
      </c>
      <c r="I173" s="46">
        <f t="shared" si="15"/>
        <v>4.5199999999999983E-2</v>
      </c>
      <c r="J173" s="48">
        <f t="shared" si="19"/>
        <v>2.3366448479360404E-2</v>
      </c>
      <c r="K173" s="38"/>
      <c r="L173" s="38">
        <f t="shared" si="20"/>
        <v>0.18472905289233768</v>
      </c>
      <c r="M173" s="38"/>
      <c r="N173" s="38"/>
      <c r="O173" s="38"/>
      <c r="P173" s="38"/>
      <c r="Q173" s="38"/>
    </row>
    <row r="174" spans="5:17">
      <c r="E174" s="38"/>
      <c r="F174" s="44">
        <f t="shared" si="17"/>
        <v>0</v>
      </c>
      <c r="G174" s="40">
        <v>168</v>
      </c>
      <c r="H174" s="47">
        <f t="shared" si="18"/>
        <v>1.0561634712670897E-3</v>
      </c>
      <c r="I174" s="46">
        <f t="shared" si="15"/>
        <v>4.5199999999999983E-2</v>
      </c>
      <c r="J174" s="48">
        <f t="shared" si="19"/>
        <v>2.2310285008093313E-2</v>
      </c>
      <c r="K174" s="38"/>
      <c r="L174" s="38">
        <f t="shared" si="20"/>
        <v>0.17743546317287107</v>
      </c>
      <c r="M174" s="38"/>
      <c r="N174" s="38"/>
      <c r="O174" s="38"/>
      <c r="P174" s="38"/>
      <c r="Q174" s="38"/>
    </row>
    <row r="175" spans="5:17">
      <c r="E175" s="38"/>
      <c r="F175" s="44">
        <f t="shared" si="17"/>
        <v>0</v>
      </c>
      <c r="G175" s="40">
        <v>169</v>
      </c>
      <c r="H175" s="47">
        <f t="shared" si="18"/>
        <v>1.0084248823658173E-3</v>
      </c>
      <c r="I175" s="46">
        <f t="shared" si="15"/>
        <v>4.5199999999999983E-2</v>
      </c>
      <c r="J175" s="48">
        <f t="shared" si="19"/>
        <v>2.1301860125727497E-2</v>
      </c>
      <c r="K175" s="38"/>
      <c r="L175" s="38">
        <f t="shared" si="20"/>
        <v>0.17042380511982314</v>
      </c>
      <c r="M175" s="38"/>
      <c r="N175" s="38"/>
      <c r="O175" s="38"/>
      <c r="P175" s="38"/>
      <c r="Q175" s="38"/>
    </row>
    <row r="176" spans="5:17">
      <c r="E176" s="38"/>
      <c r="F176" s="44">
        <f t="shared" si="17"/>
        <v>0</v>
      </c>
      <c r="G176" s="40">
        <v>170</v>
      </c>
      <c r="H176" s="47">
        <f t="shared" si="18"/>
        <v>9.6284407768288251E-4</v>
      </c>
      <c r="I176" s="46">
        <f t="shared" si="15"/>
        <v>4.5199999999999983E-2</v>
      </c>
      <c r="J176" s="48">
        <f t="shared" si="19"/>
        <v>2.0339016048044615E-2</v>
      </c>
      <c r="K176" s="38"/>
      <c r="L176" s="38">
        <f t="shared" si="20"/>
        <v>0.16368349320609002</v>
      </c>
      <c r="M176" s="38"/>
      <c r="N176" s="38"/>
      <c r="O176" s="38"/>
      <c r="P176" s="38"/>
      <c r="Q176" s="38"/>
    </row>
    <row r="177" spans="5:17">
      <c r="E177" s="38"/>
      <c r="F177" s="44">
        <f t="shared" si="17"/>
        <v>0</v>
      </c>
      <c r="G177" s="40">
        <v>171</v>
      </c>
      <c r="H177" s="47">
        <f t="shared" si="18"/>
        <v>9.1932352537161621E-4</v>
      </c>
      <c r="I177" s="46">
        <f t="shared" si="15"/>
        <v>4.5199999999999983E-2</v>
      </c>
      <c r="J177" s="48">
        <f t="shared" si="19"/>
        <v>1.9419692522672997E-2</v>
      </c>
      <c r="K177" s="38"/>
      <c r="L177" s="38">
        <f t="shared" si="20"/>
        <v>0.15720432283854638</v>
      </c>
      <c r="M177" s="38"/>
      <c r="N177" s="38"/>
      <c r="O177" s="38"/>
      <c r="P177" s="38"/>
      <c r="Q177" s="38"/>
    </row>
    <row r="178" spans="5:17">
      <c r="E178" s="38"/>
      <c r="F178" s="44">
        <f t="shared" si="17"/>
        <v>0</v>
      </c>
      <c r="G178" s="40">
        <v>172</v>
      </c>
      <c r="H178" s="47">
        <f t="shared" si="18"/>
        <v>8.777701020248192E-4</v>
      </c>
      <c r="I178" s="46">
        <f t="shared" si="15"/>
        <v>4.5199999999999983E-2</v>
      </c>
      <c r="J178" s="48">
        <f t="shared" si="19"/>
        <v>1.8541922420648178E-2</v>
      </c>
      <c r="K178" s="38"/>
      <c r="L178" s="38">
        <f t="shared" si="20"/>
        <v>0.15097645754826891</v>
      </c>
      <c r="M178" s="38"/>
      <c r="N178" s="38"/>
      <c r="O178" s="38"/>
      <c r="P178" s="38"/>
      <c r="Q178" s="38"/>
    </row>
    <row r="179" spans="5:17">
      <c r="E179" s="38"/>
      <c r="F179" s="44">
        <f t="shared" si="17"/>
        <v>0</v>
      </c>
      <c r="G179" s="40">
        <v>173</v>
      </c>
      <c r="H179" s="47">
        <f t="shared" si="18"/>
        <v>8.3809489341329739E-4</v>
      </c>
      <c r="I179" s="46">
        <f t="shared" si="15"/>
        <v>4.5199999999999983E-2</v>
      </c>
      <c r="J179" s="48">
        <f t="shared" si="19"/>
        <v>1.7703827527234883E-2</v>
      </c>
      <c r="K179" s="38"/>
      <c r="L179" s="38">
        <f t="shared" si="20"/>
        <v>0.14499041656050046</v>
      </c>
      <c r="M179" s="38"/>
      <c r="N179" s="38"/>
      <c r="O179" s="38"/>
      <c r="P179" s="38"/>
      <c r="Q179" s="38"/>
    </row>
    <row r="180" spans="5:17">
      <c r="E180" s="38"/>
      <c r="F180" s="44">
        <f t="shared" si="17"/>
        <v>0</v>
      </c>
      <c r="G180" s="40">
        <v>174</v>
      </c>
      <c r="H180" s="47">
        <f t="shared" si="18"/>
        <v>8.0021300423101639E-4</v>
      </c>
      <c r="I180" s="46">
        <f t="shared" si="15"/>
        <v>4.5199999999999983E-2</v>
      </c>
      <c r="J180" s="48">
        <f t="shared" si="19"/>
        <v>1.6903614523003867E-2</v>
      </c>
      <c r="K180" s="38"/>
      <c r="L180" s="38">
        <f t="shared" si="20"/>
        <v>0.13923706273619685</v>
      </c>
      <c r="M180" s="38"/>
      <c r="N180" s="38"/>
      <c r="O180" s="38"/>
      <c r="P180" s="38"/>
      <c r="Q180" s="38"/>
    </row>
    <row r="181" spans="5:17">
      <c r="E181" s="38"/>
      <c r="F181" s="44">
        <f t="shared" si="17"/>
        <v>0</v>
      </c>
      <c r="G181" s="40">
        <v>175</v>
      </c>
      <c r="H181" s="47">
        <f t="shared" si="18"/>
        <v>7.6404337643977448E-4</v>
      </c>
      <c r="I181" s="46">
        <f t="shared" si="15"/>
        <v>4.5199999999999983E-2</v>
      </c>
      <c r="J181" s="48">
        <f t="shared" si="19"/>
        <v>1.6139571146564093E-2</v>
      </c>
      <c r="K181" s="38"/>
      <c r="L181" s="38">
        <f t="shared" si="20"/>
        <v>0.13370759087696055</v>
      </c>
      <c r="M181" s="38"/>
      <c r="N181" s="38"/>
      <c r="O181" s="38"/>
      <c r="P181" s="38"/>
      <c r="Q181" s="38"/>
    </row>
    <row r="182" spans="5:17">
      <c r="E182" s="38"/>
      <c r="F182" s="44">
        <f t="shared" si="17"/>
        <v>0</v>
      </c>
      <c r="G182" s="40">
        <v>176</v>
      </c>
      <c r="H182" s="47">
        <f t="shared" si="18"/>
        <v>7.2950861582469671E-4</v>
      </c>
      <c r="I182" s="46">
        <f t="shared" si="15"/>
        <v>4.5199999999999983E-2</v>
      </c>
      <c r="J182" s="48">
        <f t="shared" si="19"/>
        <v>1.5410062530739396E-2</v>
      </c>
      <c r="K182" s="38"/>
      <c r="L182" s="38">
        <f t="shared" si="20"/>
        <v>0.12839351638514662</v>
      </c>
      <c r="M182" s="38"/>
      <c r="N182" s="38"/>
      <c r="O182" s="38"/>
      <c r="P182" s="38"/>
      <c r="Q182" s="38"/>
    </row>
    <row r="183" spans="5:17">
      <c r="E183" s="38"/>
      <c r="F183" s="44">
        <f t="shared" si="17"/>
        <v>0</v>
      </c>
      <c r="G183" s="40">
        <v>177</v>
      </c>
      <c r="H183" s="47">
        <f t="shared" si="18"/>
        <v>6.9653482638942039E-4</v>
      </c>
      <c r="I183" s="46">
        <f t="shared" si="15"/>
        <v>4.5199999999999983E-2</v>
      </c>
      <c r="J183" s="48">
        <f t="shared" si="19"/>
        <v>1.4713527704349975E-2</v>
      </c>
      <c r="K183" s="38"/>
      <c r="L183" s="38">
        <f t="shared" si="20"/>
        <v>0.12328666427092741</v>
      </c>
      <c r="M183" s="38"/>
      <c r="N183" s="38"/>
      <c r="O183" s="38"/>
      <c r="P183" s="38"/>
      <c r="Q183" s="38"/>
    </row>
    <row r="184" spans="5:17">
      <c r="E184" s="38"/>
      <c r="F184" s="44">
        <f t="shared" si="17"/>
        <v>0</v>
      </c>
      <c r="G184" s="40">
        <v>178</v>
      </c>
      <c r="H184" s="47">
        <f t="shared" si="18"/>
        <v>6.6505145223661865E-4</v>
      </c>
      <c r="I184" s="46">
        <f t="shared" si="15"/>
        <v>4.5199999999999983E-2</v>
      </c>
      <c r="J184" s="48">
        <f t="shared" si="19"/>
        <v>1.4048476252113355E-2</v>
      </c>
      <c r="K184" s="38"/>
      <c r="L184" s="38">
        <f t="shared" si="20"/>
        <v>0.11837915849811811</v>
      </c>
      <c r="M184" s="38"/>
      <c r="N184" s="38"/>
      <c r="O184" s="38"/>
      <c r="P184" s="38"/>
      <c r="Q184" s="38"/>
    </row>
    <row r="185" spans="5:17">
      <c r="E185" s="38"/>
      <c r="F185" s="44">
        <f t="shared" si="17"/>
        <v>0</v>
      </c>
      <c r="G185" s="40">
        <v>179</v>
      </c>
      <c r="H185" s="47">
        <f t="shared" si="18"/>
        <v>6.3499112659552346E-4</v>
      </c>
      <c r="I185" s="46">
        <f t="shared" si="15"/>
        <v>4.5199999999999983E-2</v>
      </c>
      <c r="J185" s="48">
        <f t="shared" si="19"/>
        <v>1.3413485125517832E-2</v>
      </c>
      <c r="K185" s="38"/>
      <c r="L185" s="38">
        <f t="shared" si="20"/>
        <v>0.11366341166059869</v>
      </c>
      <c r="M185" s="38"/>
      <c r="N185" s="38"/>
      <c r="O185" s="38"/>
      <c r="P185" s="38"/>
      <c r="Q185" s="38"/>
    </row>
    <row r="186" spans="5:17">
      <c r="E186" s="38"/>
      <c r="F186" s="44">
        <f t="shared" si="17"/>
        <v>0</v>
      </c>
      <c r="G186" s="40">
        <v>180</v>
      </c>
      <c r="H186" s="47">
        <f t="shared" si="18"/>
        <v>6.0628952767340571E-4</v>
      </c>
      <c r="I186" s="46">
        <f t="shared" si="15"/>
        <v>4.5199999999999983E-2</v>
      </c>
      <c r="J186" s="48">
        <f t="shared" si="19"/>
        <v>1.2807195597844425E-2</v>
      </c>
      <c r="K186" s="38"/>
      <c r="L186" s="38">
        <f t="shared" si="20"/>
        <v>0.10913211498121303</v>
      </c>
      <c r="M186" s="38"/>
      <c r="N186" s="38"/>
      <c r="O186" s="38"/>
      <c r="P186" s="38"/>
      <c r="Q186" s="38"/>
    </row>
    <row r="187" spans="5:17">
      <c r="E187" s="38"/>
      <c r="F187" s="44">
        <f t="shared" si="17"/>
        <v>0</v>
      </c>
      <c r="G187" s="40">
        <v>181</v>
      </c>
      <c r="H187" s="47">
        <f t="shared" si="18"/>
        <v>5.788852410225678E-4</v>
      </c>
      <c r="I187" s="46">
        <f t="shared" si="15"/>
        <v>4.5199999999999983E-2</v>
      </c>
      <c r="J187" s="48">
        <f t="shared" si="19"/>
        <v>1.2228310356821858E-2</v>
      </c>
      <c r="K187" s="38"/>
      <c r="L187" s="38">
        <f t="shared" si="20"/>
        <v>0.10477822862508478</v>
      </c>
      <c r="M187" s="38"/>
      <c r="N187" s="38"/>
      <c r="O187" s="38"/>
      <c r="P187" s="38"/>
      <c r="Q187" s="38"/>
    </row>
    <row r="188" spans="5:17">
      <c r="E188" s="38"/>
      <c r="F188" s="44">
        <f t="shared" si="17"/>
        <v>0</v>
      </c>
      <c r="G188" s="40">
        <v>182</v>
      </c>
      <c r="H188" s="47">
        <f t="shared" si="18"/>
        <v>5.5271962812834775E-4</v>
      </c>
      <c r="I188" s="46">
        <f t="shared" si="15"/>
        <v>4.5199999999999983E-2</v>
      </c>
      <c r="J188" s="48">
        <f t="shared" si="19"/>
        <v>1.167559072869351E-2</v>
      </c>
      <c r="K188" s="38"/>
      <c r="L188" s="38">
        <f t="shared" si="20"/>
        <v>0.10059497231935929</v>
      </c>
      <c r="M188" s="38"/>
      <c r="N188" s="38"/>
      <c r="O188" s="38"/>
      <c r="P188" s="38"/>
      <c r="Q188" s="38"/>
    </row>
    <row r="189" spans="5:17">
      <c r="E189" s="38"/>
      <c r="F189" s="44">
        <f t="shared" ref="F189:F206" si="21">$E$21</f>
        <v>0</v>
      </c>
      <c r="G189" s="40">
        <v>183</v>
      </c>
      <c r="H189" s="47">
        <f t="shared" si="18"/>
        <v>5.277367009369464E-4</v>
      </c>
      <c r="I189" s="46">
        <f t="shared" si="15"/>
        <v>4.5199999999999983E-2</v>
      </c>
      <c r="J189" s="48">
        <f t="shared" si="19"/>
        <v>1.1147854027756563E-2</v>
      </c>
      <c r="K189" s="38"/>
      <c r="L189" s="38">
        <f t="shared" si="20"/>
        <v>9.6575816271461196E-2</v>
      </c>
      <c r="M189" s="38"/>
      <c r="N189" s="38"/>
      <c r="O189" s="38"/>
      <c r="P189" s="38"/>
      <c r="Q189" s="38"/>
    </row>
    <row r="190" spans="5:17">
      <c r="E190" s="38"/>
      <c r="F190" s="44">
        <f t="shared" si="21"/>
        <v>0</v>
      </c>
      <c r="G190" s="40">
        <v>184</v>
      </c>
      <c r="H190" s="47">
        <f t="shared" si="18"/>
        <v>5.0388300205459651E-4</v>
      </c>
      <c r="I190" s="46">
        <f t="shared" si="15"/>
        <v>4.5199999999999983E-2</v>
      </c>
      <c r="J190" s="48">
        <f t="shared" si="19"/>
        <v>1.0643971025701967E-2</v>
      </c>
      <c r="K190" s="38"/>
      <c r="L190" s="38">
        <f t="shared" si="20"/>
        <v>9.2714472378045754E-2</v>
      </c>
      <c r="M190" s="38"/>
      <c r="N190" s="38"/>
      <c r="O190" s="38"/>
      <c r="P190" s="38"/>
      <c r="Q190" s="38"/>
    </row>
    <row r="191" spans="5:17">
      <c r="E191" s="38"/>
      <c r="F191" s="44">
        <f t="shared" si="21"/>
        <v>0</v>
      </c>
      <c r="G191" s="40">
        <v>185</v>
      </c>
      <c r="H191" s="47">
        <f t="shared" si="18"/>
        <v>4.8110749036172875E-4</v>
      </c>
      <c r="I191" s="46">
        <f t="shared" si="15"/>
        <v>4.5199999999999983E-2</v>
      </c>
      <c r="J191" s="48">
        <f t="shared" si="19"/>
        <v>1.0162863535340239E-2</v>
      </c>
      <c r="K191" s="38"/>
      <c r="L191" s="38">
        <f t="shared" si="20"/>
        <v>8.9004885716919821E-2</v>
      </c>
      <c r="M191" s="38"/>
      <c r="N191" s="38"/>
      <c r="O191" s="38"/>
      <c r="P191" s="38"/>
      <c r="Q191" s="38"/>
    </row>
    <row r="192" spans="5:17">
      <c r="E192" s="38"/>
      <c r="F192" s="44">
        <f t="shared" si="21"/>
        <v>0</v>
      </c>
      <c r="G192" s="40">
        <v>186</v>
      </c>
      <c r="H192" s="47">
        <f t="shared" si="18"/>
        <v>4.593614317973786E-4</v>
      </c>
      <c r="I192" s="46">
        <f t="shared" si="15"/>
        <v>4.5199999999999983E-2</v>
      </c>
      <c r="J192" s="48">
        <f t="shared" si="19"/>
        <v>9.7035021035428593E-3</v>
      </c>
      <c r="K192" s="38"/>
      <c r="L192" s="38">
        <f t="shared" si="20"/>
        <v>8.5441226314312418E-2</v>
      </c>
      <c r="M192" s="38"/>
      <c r="N192" s="38"/>
      <c r="O192" s="38"/>
      <c r="P192" s="38"/>
      <c r="Q192" s="38"/>
    </row>
    <row r="193" spans="5:17">
      <c r="E193" s="38"/>
      <c r="F193" s="44">
        <f t="shared" si="21"/>
        <v>0</v>
      </c>
      <c r="G193" s="40">
        <v>187</v>
      </c>
      <c r="H193" s="47">
        <f t="shared" si="18"/>
        <v>4.3859829508013709E-4</v>
      </c>
      <c r="I193" s="46">
        <f t="shared" si="15"/>
        <v>4.5199999999999983E-2</v>
      </c>
      <c r="J193" s="48">
        <f t="shared" si="19"/>
        <v>9.2649038084627218E-3</v>
      </c>
      <c r="K193" s="38"/>
      <c r="L193" s="38">
        <f t="shared" si="20"/>
        <v>8.2017881179985638E-2</v>
      </c>
      <c r="M193" s="38"/>
      <c r="N193" s="38"/>
      <c r="O193" s="38"/>
      <c r="P193" s="38"/>
      <c r="Q193" s="38"/>
    </row>
    <row r="194" spans="5:17">
      <c r="E194" s="38"/>
      <c r="F194" s="44">
        <f t="shared" si="21"/>
        <v>0</v>
      </c>
      <c r="G194" s="40">
        <v>188</v>
      </c>
      <c r="H194" s="47">
        <f t="shared" si="18"/>
        <v>4.1877365214251485E-4</v>
      </c>
      <c r="I194" s="46">
        <f t="shared" si="15"/>
        <v>4.5199999999999983E-2</v>
      </c>
      <c r="J194" s="48">
        <f t="shared" si="19"/>
        <v>8.8461301563202074E-3</v>
      </c>
      <c r="K194" s="38"/>
      <c r="L194" s="38">
        <f t="shared" si="20"/>
        <v>7.8729446602792796E-2</v>
      </c>
      <c r="M194" s="38"/>
      <c r="N194" s="38"/>
      <c r="O194" s="38"/>
      <c r="P194" s="38"/>
      <c r="Q194" s="38"/>
    </row>
    <row r="195" spans="5:17">
      <c r="E195" s="38"/>
      <c r="F195" s="44">
        <f t="shared" si="21"/>
        <v>0</v>
      </c>
      <c r="G195" s="40">
        <v>189</v>
      </c>
      <c r="H195" s="47">
        <f t="shared" si="18"/>
        <v>3.9984508306567323E-4</v>
      </c>
      <c r="I195" s="46">
        <f t="shared" si="15"/>
        <v>4.5199999999999983E-2</v>
      </c>
      <c r="J195" s="48">
        <f t="shared" si="19"/>
        <v>8.4462850732545339E-3</v>
      </c>
      <c r="K195" s="38"/>
      <c r="L195" s="38">
        <f t="shared" si="20"/>
        <v>7.5570720699412244E-2</v>
      </c>
      <c r="M195" s="38"/>
      <c r="N195" s="38"/>
      <c r="O195" s="38"/>
      <c r="P195" s="38"/>
      <c r="Q195" s="38"/>
    </row>
    <row r="196" spans="5:17">
      <c r="E196" s="38"/>
      <c r="F196" s="44">
        <f t="shared" si="21"/>
        <v>0</v>
      </c>
      <c r="G196" s="40">
        <v>190</v>
      </c>
      <c r="H196" s="47">
        <f t="shared" si="18"/>
        <v>3.8177208531110481E-4</v>
      </c>
      <c r="I196" s="46">
        <f t="shared" si="15"/>
        <v>4.5199999999999983E-2</v>
      </c>
      <c r="J196" s="48">
        <f t="shared" si="19"/>
        <v>8.0645129879434296E-3</v>
      </c>
      <c r="K196" s="38"/>
      <c r="L196" s="38">
        <f t="shared" si="20"/>
        <v>7.2536696209109908E-2</v>
      </c>
      <c r="M196" s="38"/>
      <c r="N196" s="38"/>
      <c r="O196" s="38"/>
      <c r="P196" s="38"/>
      <c r="Q196" s="38"/>
    </row>
    <row r="197" spans="5:17">
      <c r="E197" s="38"/>
      <c r="F197" s="44">
        <f t="shared" si="21"/>
        <v>0</v>
      </c>
      <c r="G197" s="40">
        <v>191</v>
      </c>
      <c r="H197" s="47">
        <f t="shared" si="18"/>
        <v>3.6451598705504289E-4</v>
      </c>
      <c r="I197" s="46">
        <f t="shared" si="15"/>
        <v>4.5199999999999983E-2</v>
      </c>
      <c r="J197" s="48">
        <f t="shared" si="19"/>
        <v>7.6999970008883867E-3</v>
      </c>
      <c r="K197" s="38"/>
      <c r="L197" s="38">
        <f t="shared" si="20"/>
        <v>6.962255352751319E-2</v>
      </c>
      <c r="M197" s="38"/>
      <c r="N197" s="38"/>
      <c r="O197" s="38"/>
      <c r="P197" s="38"/>
      <c r="Q197" s="38"/>
    </row>
    <row r="198" spans="5:17">
      <c r="E198" s="38"/>
      <c r="F198" s="44">
        <f t="shared" si="21"/>
        <v>0</v>
      </c>
      <c r="G198" s="40">
        <v>192</v>
      </c>
      <c r="H198" s="47">
        <f t="shared" si="18"/>
        <v>3.4803986444015495E-4</v>
      </c>
      <c r="I198" s="46">
        <f t="shared" si="15"/>
        <v>4.5199999999999983E-2</v>
      </c>
      <c r="J198" s="48">
        <f t="shared" si="19"/>
        <v>7.3519571364482322E-3</v>
      </c>
      <c r="K198" s="38"/>
      <c r="L198" s="38">
        <f t="shared" si="20"/>
        <v>6.682365397250975E-2</v>
      </c>
      <c r="M198" s="38"/>
      <c r="N198" s="38"/>
      <c r="O198" s="38"/>
      <c r="P198" s="38"/>
      <c r="Q198" s="38"/>
    </row>
    <row r="199" spans="5:17">
      <c r="E199" s="38"/>
      <c r="F199" s="44">
        <f t="shared" si="21"/>
        <v>0</v>
      </c>
      <c r="G199" s="40">
        <v>193</v>
      </c>
      <c r="H199" s="47">
        <f t="shared" si="18"/>
        <v>3.3230846256745999E-4</v>
      </c>
      <c r="I199" s="46">
        <f t="shared" si="15"/>
        <v>4.5199999999999983E-2</v>
      </c>
      <c r="J199" s="48">
        <f t="shared" si="19"/>
        <v>7.0196486738807722E-3</v>
      </c>
      <c r="K199" s="38"/>
      <c r="L199" s="38">
        <f t="shared" si="20"/>
        <v>6.4135533275519782E-2</v>
      </c>
      <c r="M199" s="38"/>
      <c r="N199" s="38"/>
      <c r="O199" s="38"/>
      <c r="P199" s="38"/>
      <c r="Q199" s="38"/>
    </row>
    <row r="200" spans="5:17">
      <c r="E200" s="38"/>
      <c r="F200" s="44">
        <f t="shared" si="21"/>
        <v>0</v>
      </c>
      <c r="G200" s="40">
        <v>194</v>
      </c>
      <c r="H200" s="47">
        <f t="shared" si="18"/>
        <v>3.1728812005941081E-4</v>
      </c>
      <c r="I200" s="46">
        <f t="shared" si="15"/>
        <v>4.5199999999999983E-2</v>
      </c>
      <c r="J200" s="48">
        <f t="shared" si="19"/>
        <v>6.7023605538213613E-3</v>
      </c>
      <c r="K200" s="38"/>
      <c r="L200" s="38">
        <f t="shared" si="20"/>
        <v>6.1553895291525697E-2</v>
      </c>
      <c r="M200" s="38"/>
      <c r="N200" s="38"/>
      <c r="O200" s="38"/>
      <c r="P200" s="38"/>
      <c r="Q200" s="38"/>
    </row>
    <row r="201" spans="5:17">
      <c r="E201" s="38"/>
      <c r="F201" s="44">
        <f t="shared" si="21"/>
        <v>0</v>
      </c>
      <c r="G201" s="40">
        <v>195</v>
      </c>
      <c r="H201" s="47">
        <f t="shared" si="18"/>
        <v>3.0294669703272544E-4</v>
      </c>
      <c r="I201" s="46">
        <f t="shared" ref="I201:I205" si="22">I200+F201</f>
        <v>4.5199999999999983E-2</v>
      </c>
      <c r="J201" s="48">
        <f t="shared" si="19"/>
        <v>6.3994138567886362E-3</v>
      </c>
      <c r="K201" s="38"/>
      <c r="L201" s="38">
        <f t="shared" si="20"/>
        <v>5.9074605921381459E-2</v>
      </c>
      <c r="M201" s="38"/>
      <c r="N201" s="38"/>
      <c r="O201" s="38"/>
      <c r="P201" s="38"/>
      <c r="Q201" s="38"/>
    </row>
    <row r="202" spans="5:17">
      <c r="E202" s="38"/>
      <c r="F202" s="44">
        <f t="shared" si="21"/>
        <v>0</v>
      </c>
      <c r="G202" s="40">
        <v>196</v>
      </c>
      <c r="H202" s="47">
        <f t="shared" si="18"/>
        <v>2.8925350632684623E-4</v>
      </c>
      <c r="I202" s="46">
        <f t="shared" si="22"/>
        <v>4.5199999999999983E-2</v>
      </c>
      <c r="J202" s="48">
        <f t="shared" si="19"/>
        <v>6.1101603504617897E-3</v>
      </c>
      <c r="K202" s="38"/>
      <c r="L202" s="38">
        <f t="shared" si="20"/>
        <v>5.6693687240061859E-2</v>
      </c>
      <c r="M202" s="38"/>
      <c r="N202" s="38"/>
      <c r="O202" s="38"/>
      <c r="P202" s="38"/>
      <c r="Q202" s="38"/>
    </row>
    <row r="203" spans="5:17">
      <c r="E203" s="38"/>
      <c r="F203" s="44">
        <f t="shared" si="21"/>
        <v>0</v>
      </c>
      <c r="G203" s="40">
        <v>197</v>
      </c>
      <c r="H203" s="47">
        <f t="shared" si="18"/>
        <v>2.7617924784087281E-4</v>
      </c>
      <c r="I203" s="46">
        <f t="shared" si="22"/>
        <v>4.5199999999999983E-2</v>
      </c>
      <c r="J203" s="48">
        <f t="shared" si="19"/>
        <v>5.8339811026209172E-3</v>
      </c>
      <c r="K203" s="38"/>
      <c r="L203" s="38">
        <f t="shared" si="20"/>
        <v>5.4407311824651944E-2</v>
      </c>
      <c r="M203" s="38"/>
      <c r="N203" s="38"/>
      <c r="O203" s="38"/>
      <c r="P203" s="38"/>
      <c r="Q203" s="38"/>
    </row>
    <row r="204" spans="5:17">
      <c r="E204" s="38"/>
      <c r="F204" s="44">
        <f t="shared" si="21"/>
        <v>0</v>
      </c>
      <c r="G204" s="40">
        <v>198</v>
      </c>
      <c r="H204" s="47">
        <f t="shared" si="18"/>
        <v>2.6369594583846537E-4</v>
      </c>
      <c r="I204" s="46">
        <f t="shared" si="22"/>
        <v>4.5199999999999983E-2</v>
      </c>
      <c r="J204" s="48">
        <f t="shared" si="19"/>
        <v>5.5702851567824519E-3</v>
      </c>
      <c r="K204" s="38"/>
      <c r="L204" s="38">
        <f t="shared" si="20"/>
        <v>5.2211797276016145E-2</v>
      </c>
      <c r="M204" s="38"/>
      <c r="N204" s="38"/>
      <c r="O204" s="38"/>
      <c r="P204" s="38"/>
      <c r="Q204" s="38"/>
    </row>
    <row r="205" spans="5:17">
      <c r="E205" s="38"/>
      <c r="F205" s="44">
        <f t="shared" si="21"/>
        <v>0</v>
      </c>
      <c r="G205" s="40">
        <v>199</v>
      </c>
      <c r="H205" s="47">
        <f t="shared" si="18"/>
        <v>2.5177688908656673E-4</v>
      </c>
      <c r="I205" s="46">
        <f t="shared" si="22"/>
        <v>4.5199999999999983E-2</v>
      </c>
      <c r="J205" s="48">
        <f t="shared" si="19"/>
        <v>5.318508267695885E-3</v>
      </c>
      <c r="K205" s="38"/>
      <c r="L205" s="38">
        <f t="shared" si="20"/>
        <v>5.0103600928226778E-2</v>
      </c>
      <c r="M205" s="38"/>
      <c r="N205" s="38"/>
      <c r="O205" s="38"/>
      <c r="P205" s="38"/>
      <c r="Q205" s="38"/>
    </row>
    <row r="206" spans="5:17">
      <c r="E206" s="38"/>
      <c r="F206" s="44">
        <f t="shared" si="21"/>
        <v>0</v>
      </c>
      <c r="G206" s="40">
        <v>200</v>
      </c>
      <c r="H206" s="47">
        <f t="shared" si="18"/>
        <v>5.318508267695885E-3</v>
      </c>
      <c r="I206" s="46">
        <v>1</v>
      </c>
      <c r="J206" s="48">
        <f t="shared" si="19"/>
        <v>0</v>
      </c>
      <c r="K206" s="38"/>
      <c r="L206" s="38">
        <f t="shared" si="20"/>
        <v>1.063701653539177</v>
      </c>
      <c r="M206" s="38"/>
      <c r="N206" s="38"/>
      <c r="O206" s="38"/>
      <c r="P206" s="38"/>
      <c r="Q206" s="38"/>
    </row>
    <row r="207" spans="5:17"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</row>
    <row r="208" spans="5:17"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N30"/>
  <sheetViews>
    <sheetView workbookViewId="0">
      <selection activeCell="J31" sqref="J31"/>
    </sheetView>
  </sheetViews>
  <sheetFormatPr defaultRowHeight="13.5"/>
  <sheetData>
    <row r="5" spans="2:14" ht="27">
      <c r="B5" s="13" t="s">
        <v>23</v>
      </c>
      <c r="C5" s="10" t="s">
        <v>21</v>
      </c>
      <c r="D5" s="10" t="s">
        <v>237</v>
      </c>
      <c r="E5" s="10" t="s">
        <v>7</v>
      </c>
      <c r="F5" s="10" t="s">
        <v>8</v>
      </c>
      <c r="G5" s="10" t="s">
        <v>67</v>
      </c>
      <c r="H5" s="5" t="s">
        <v>9</v>
      </c>
      <c r="I5" s="5" t="s">
        <v>10</v>
      </c>
      <c r="J5" s="5" t="s">
        <v>216</v>
      </c>
      <c r="K5" s="10" t="s">
        <v>119</v>
      </c>
      <c r="L5" s="10" t="s">
        <v>120</v>
      </c>
      <c r="M5" s="10" t="s">
        <v>121</v>
      </c>
      <c r="N5" s="10" t="s">
        <v>238</v>
      </c>
    </row>
    <row r="6" spans="2:14">
      <c r="B6" s="6" t="s">
        <v>70</v>
      </c>
      <c r="C6" s="6">
        <v>10800</v>
      </c>
      <c r="D6" s="6">
        <f>ROUNDUP(C6/60,0)*0.1</f>
        <v>18</v>
      </c>
      <c r="E6" s="11">
        <v>8</v>
      </c>
      <c r="F6" s="6">
        <v>0</v>
      </c>
      <c r="G6" s="66">
        <f>(H6+I6)/2</f>
        <v>115.5</v>
      </c>
      <c r="H6" s="18">
        <v>100</v>
      </c>
      <c r="I6" s="18">
        <v>131</v>
      </c>
      <c r="J6" s="6">
        <v>14</v>
      </c>
      <c r="K6" s="2">
        <v>0</v>
      </c>
      <c r="L6" s="2">
        <v>0</v>
      </c>
      <c r="M6" s="2">
        <v>0</v>
      </c>
      <c r="N6" s="1">
        <f>J6-K6-L6</f>
        <v>14</v>
      </c>
    </row>
    <row r="7" spans="2:14">
      <c r="B7" s="6" t="s">
        <v>71</v>
      </c>
      <c r="C7" s="6">
        <v>28800</v>
      </c>
      <c r="D7" s="6">
        <f t="shared" ref="D7:D8" si="0">ROUNDUP(C7/60,0)*0.1</f>
        <v>48</v>
      </c>
      <c r="E7" s="11">
        <v>8</v>
      </c>
      <c r="F7" s="6">
        <v>0</v>
      </c>
      <c r="G7" s="66">
        <f t="shared" ref="G7:G10" si="1">(H7+I7)/2</f>
        <v>375</v>
      </c>
      <c r="H7" s="6">
        <v>350</v>
      </c>
      <c r="I7" s="6">
        <v>400</v>
      </c>
      <c r="J7" s="6">
        <v>50</v>
      </c>
      <c r="K7" s="14">
        <v>3</v>
      </c>
      <c r="L7" s="2">
        <v>0</v>
      </c>
      <c r="M7" s="2">
        <v>0</v>
      </c>
      <c r="N7" s="1">
        <f t="shared" ref="N7:N10" si="2">J7-K7-L7</f>
        <v>47</v>
      </c>
    </row>
    <row r="8" spans="2:14">
      <c r="B8" s="6" t="s">
        <v>80</v>
      </c>
      <c r="C8" s="6">
        <v>43200</v>
      </c>
      <c r="D8" s="6">
        <f t="shared" si="0"/>
        <v>72</v>
      </c>
      <c r="E8" s="1">
        <v>8</v>
      </c>
      <c r="F8" s="19">
        <v>490</v>
      </c>
      <c r="G8" s="66">
        <f t="shared" si="1"/>
        <v>1920</v>
      </c>
      <c r="H8" s="18">
        <v>1760</v>
      </c>
      <c r="I8" s="18">
        <v>2080</v>
      </c>
      <c r="J8" s="18">
        <v>256</v>
      </c>
      <c r="K8" s="14">
        <v>30</v>
      </c>
      <c r="L8" s="2">
        <v>0</v>
      </c>
      <c r="M8" s="2">
        <v>0</v>
      </c>
      <c r="N8" s="1">
        <f t="shared" si="2"/>
        <v>226</v>
      </c>
    </row>
    <row r="9" spans="2:14">
      <c r="B9" s="6" t="s">
        <v>214</v>
      </c>
      <c r="C9" s="6">
        <v>43200</v>
      </c>
      <c r="D9" s="6">
        <f>ROUNDUP(C9/60,0)*0.1</f>
        <v>72</v>
      </c>
      <c r="E9" s="1">
        <v>8</v>
      </c>
      <c r="F9" s="19">
        <v>800</v>
      </c>
      <c r="G9" s="66">
        <f>(H9+I9)/2</f>
        <v>855</v>
      </c>
      <c r="H9" s="5">
        <v>760</v>
      </c>
      <c r="I9" s="5">
        <v>950</v>
      </c>
      <c r="J9" s="5">
        <v>114</v>
      </c>
      <c r="K9" s="14">
        <v>22</v>
      </c>
      <c r="L9" s="14">
        <v>3</v>
      </c>
      <c r="M9" s="2">
        <v>0</v>
      </c>
      <c r="N9" s="1">
        <f t="shared" si="2"/>
        <v>89</v>
      </c>
    </row>
    <row r="10" spans="2:14">
      <c r="B10" s="65" t="s">
        <v>215</v>
      </c>
      <c r="C10" s="6">
        <v>86400</v>
      </c>
      <c r="D10" s="6"/>
      <c r="E10" s="1">
        <v>8</v>
      </c>
      <c r="F10" s="19">
        <v>4600</v>
      </c>
      <c r="G10" s="66">
        <f t="shared" si="1"/>
        <v>5130</v>
      </c>
      <c r="H10" s="14">
        <v>4560</v>
      </c>
      <c r="I10" s="14">
        <v>5700</v>
      </c>
      <c r="J10" s="14">
        <v>684</v>
      </c>
      <c r="K10" s="14">
        <v>136</v>
      </c>
      <c r="L10" s="14">
        <v>22</v>
      </c>
      <c r="M10" s="2">
        <v>0</v>
      </c>
      <c r="N10" s="1">
        <f t="shared" si="2"/>
        <v>526</v>
      </c>
    </row>
    <row r="16" spans="2:14">
      <c r="G16" s="3" t="s">
        <v>240</v>
      </c>
    </row>
    <row r="17" spans="6:10" ht="27">
      <c r="G17" s="10" t="s">
        <v>67</v>
      </c>
      <c r="H17" s="2" t="s">
        <v>238</v>
      </c>
      <c r="I17" s="10" t="s">
        <v>119</v>
      </c>
      <c r="J17" s="10" t="s">
        <v>120</v>
      </c>
    </row>
    <row r="18" spans="6:10" hidden="1">
      <c r="F18" s="1"/>
      <c r="G18" s="10">
        <v>6</v>
      </c>
      <c r="H18" s="2">
        <v>13</v>
      </c>
      <c r="I18" s="10">
        <v>10</v>
      </c>
      <c r="J18" s="10">
        <v>11</v>
      </c>
    </row>
    <row r="19" spans="6:10">
      <c r="F19" s="6" t="s">
        <v>70</v>
      </c>
      <c r="G19" s="26">
        <f t="shared" ref="G19:J22" si="3">VLOOKUP($F19,性价比,G$18,)/VLOOKUP($F19,性价比,3,)</f>
        <v>6.416666666666667</v>
      </c>
      <c r="H19" s="25">
        <f t="shared" si="3"/>
        <v>0.77777777777777779</v>
      </c>
      <c r="I19" s="30">
        <f t="shared" si="3"/>
        <v>0</v>
      </c>
      <c r="J19" s="67">
        <f t="shared" si="3"/>
        <v>0</v>
      </c>
    </row>
    <row r="20" spans="6:10">
      <c r="F20" s="6" t="s">
        <v>71</v>
      </c>
      <c r="G20" s="26">
        <f t="shared" si="3"/>
        <v>7.8125</v>
      </c>
      <c r="H20" s="25">
        <f t="shared" si="3"/>
        <v>0.97916666666666663</v>
      </c>
      <c r="I20" s="25">
        <f t="shared" si="3"/>
        <v>6.25E-2</v>
      </c>
      <c r="J20" s="67">
        <f t="shared" si="3"/>
        <v>0</v>
      </c>
    </row>
    <row r="21" spans="6:10">
      <c r="F21" s="6" t="s">
        <v>80</v>
      </c>
      <c r="G21" s="26">
        <f t="shared" si="3"/>
        <v>26.666666666666668</v>
      </c>
      <c r="H21" s="25">
        <f t="shared" si="3"/>
        <v>3.1388888888888888</v>
      </c>
      <c r="I21" s="25">
        <f t="shared" si="3"/>
        <v>0.41666666666666669</v>
      </c>
      <c r="J21" s="67">
        <f t="shared" si="3"/>
        <v>0</v>
      </c>
    </row>
    <row r="22" spans="6:10">
      <c r="F22" s="6" t="s">
        <v>214</v>
      </c>
      <c r="G22" s="26">
        <f t="shared" si="3"/>
        <v>11.875</v>
      </c>
      <c r="H22" s="25">
        <f t="shared" si="3"/>
        <v>1.2361111111111112</v>
      </c>
      <c r="I22" s="25">
        <f t="shared" si="3"/>
        <v>0.30555555555555558</v>
      </c>
      <c r="J22" s="67">
        <f t="shared" si="3"/>
        <v>4.1666666666666664E-2</v>
      </c>
    </row>
    <row r="26" spans="6:10">
      <c r="G26" s="3" t="s">
        <v>239</v>
      </c>
    </row>
    <row r="27" spans="6:10" ht="27">
      <c r="G27" s="10" t="s">
        <v>67</v>
      </c>
      <c r="H27" s="2" t="s">
        <v>238</v>
      </c>
      <c r="I27" s="10" t="s">
        <v>119</v>
      </c>
      <c r="J27" s="10" t="s">
        <v>120</v>
      </c>
    </row>
    <row r="28" spans="6:10">
      <c r="F28" s="6" t="s">
        <v>80</v>
      </c>
      <c r="G28" s="26">
        <f t="shared" ref="G28:J30" si="4">VLOOKUP($F28,性价比,G$18,)/VLOOKUP($F28,性价比,5,)</f>
        <v>3.9183673469387754</v>
      </c>
      <c r="H28" s="25">
        <f t="shared" si="4"/>
        <v>0.46122448979591835</v>
      </c>
      <c r="I28" s="29">
        <f t="shared" si="4"/>
        <v>6.1224489795918366E-2</v>
      </c>
      <c r="J28" s="67">
        <f t="shared" si="4"/>
        <v>0</v>
      </c>
    </row>
    <row r="29" spans="6:10">
      <c r="F29" s="6" t="s">
        <v>214</v>
      </c>
      <c r="G29" s="26">
        <f t="shared" si="4"/>
        <v>1.0687500000000001</v>
      </c>
      <c r="H29" s="25">
        <f t="shared" si="4"/>
        <v>0.11125</v>
      </c>
      <c r="I29" s="29">
        <f t="shared" si="4"/>
        <v>2.75E-2</v>
      </c>
      <c r="J29" s="67">
        <f t="shared" si="4"/>
        <v>3.7499999999999999E-3</v>
      </c>
    </row>
    <row r="30" spans="6:10">
      <c r="F30" s="65" t="s">
        <v>215</v>
      </c>
      <c r="G30" s="26">
        <f t="shared" si="4"/>
        <v>1.1152173913043477</v>
      </c>
      <c r="H30" s="25">
        <f t="shared" si="4"/>
        <v>0.11434782608695652</v>
      </c>
      <c r="I30" s="29">
        <f t="shared" si="4"/>
        <v>2.9565217391304348E-2</v>
      </c>
      <c r="J30" s="67">
        <f t="shared" si="4"/>
        <v>4.7826086956521737E-3</v>
      </c>
    </row>
  </sheetData>
  <sortState ref="B6:N53">
    <sortCondition ref="B13"/>
  </sortState>
  <phoneticPr fontId="3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</vt:i4>
      </vt:variant>
    </vt:vector>
  </HeadingPairs>
  <TitlesOfParts>
    <vt:vector size="10" baseType="lpstr">
      <vt:lpstr>更新</vt:lpstr>
      <vt:lpstr>备注</vt:lpstr>
      <vt:lpstr>Chest</vt:lpstr>
      <vt:lpstr>导出CSV</vt:lpstr>
      <vt:lpstr>产出卡牌概率</vt:lpstr>
      <vt:lpstr>计算</vt:lpstr>
      <vt:lpstr>概率分布</vt:lpstr>
      <vt:lpstr>性价比</vt:lpstr>
      <vt:lpstr>产出卡牌概率</vt:lpstr>
      <vt:lpstr>性价比</vt:lpstr>
    </vt:vector>
  </TitlesOfParts>
  <Company>110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XG</dc:creator>
  <cp:lastModifiedBy>ZL</cp:lastModifiedBy>
  <dcterms:created xsi:type="dcterms:W3CDTF">2014-10-10T14:12:00Z</dcterms:created>
  <dcterms:modified xsi:type="dcterms:W3CDTF">2016-11-07T03:02:08Z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2052-9.1.0.5041</vt:lpwstr>
  </property>
</Properties>
</file>