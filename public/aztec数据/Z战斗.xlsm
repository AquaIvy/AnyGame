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fishluv_svn_repository\Aztec\trunk\public\app_data\xls\"/>
    </mc:Choice>
  </mc:AlternateContent>
  <bookViews>
    <workbookView xWindow="0" yWindow="0" windowWidth="22965" windowHeight="10155" activeTab="5"/>
  </bookViews>
  <sheets>
    <sheet name="更新" sheetId="7" r:id="rId1"/>
    <sheet name="Arenas" sheetId="1" r:id="rId2"/>
    <sheet name="monster" sheetId="10" r:id="rId3"/>
    <sheet name="导出CSV" sheetId="4" r:id="rId4"/>
    <sheet name="RobotName" sheetId="8" r:id="rId5"/>
    <sheet name="ArenasRobot" sheetId="3" r:id="rId6"/>
    <sheet name="Sheet1" sheetId="13" r:id="rId7"/>
    <sheet name="引用" sheetId="9" r:id="rId8"/>
    <sheet name="机器人统计" sheetId="12" r:id="rId9"/>
  </sheets>
  <externalReferences>
    <externalReference r:id="rId10"/>
    <externalReference r:id="rId11"/>
  </externalReferences>
  <definedNames>
    <definedName name="_xlnm._FilterDatabase" localSheetId="1" hidden="1">Arenas!#REF!</definedName>
    <definedName name="官职属性比例">[1]属性投放!$P$23:$P$33</definedName>
    <definedName name="官职属性系数">[1]属性投放!$Q$24:$Q$33</definedName>
    <definedName name="卡牌ID">引用!$C$3:$D$63</definedName>
    <definedName name="威力人数">引用!$R$4:$T$35</definedName>
    <definedName name="武将">[1]武将!$A$2:$AE$90</definedName>
    <definedName name="引用美术资源" localSheetId="2">#REF!</definedName>
    <definedName name="引用美术资源">#REF!</definedName>
    <definedName name="引用武将详细数据" localSheetId="2">#REF!</definedName>
    <definedName name="引用武将详细数据">#REF!</definedName>
  </definedNames>
  <calcPr calcId="152511" concurrentCalc="0"/>
</workbook>
</file>

<file path=xl/calcChain.xml><?xml version="1.0" encoding="utf-8"?>
<calcChain xmlns="http://schemas.openxmlformats.org/spreadsheetml/2006/main">
  <c r="L3164" i="13" l="1"/>
  <c r="G3164" i="13"/>
  <c r="D13" i="3"/>
  <c r="D16" i="3"/>
  <c r="D19" i="3"/>
  <c r="D22" i="3"/>
  <c r="D25" i="3"/>
  <c r="D28" i="3"/>
  <c r="D31" i="3"/>
  <c r="D2" i="13"/>
  <c r="D5" i="13"/>
  <c r="D8" i="13"/>
  <c r="D11" i="13"/>
  <c r="D14" i="13"/>
  <c r="D17" i="13"/>
  <c r="D20" i="13"/>
  <c r="D23" i="13"/>
  <c r="D26" i="13"/>
  <c r="D29" i="13"/>
  <c r="D32" i="13"/>
  <c r="D35" i="13"/>
  <c r="D38" i="13"/>
  <c r="D41" i="13"/>
  <c r="D44" i="13"/>
  <c r="D47" i="13"/>
  <c r="D50" i="13"/>
  <c r="D53" i="13"/>
  <c r="D56" i="13"/>
  <c r="D59" i="13"/>
  <c r="D62" i="13"/>
  <c r="D65" i="13"/>
  <c r="D68" i="13"/>
  <c r="D71" i="13"/>
  <c r="D74" i="13"/>
  <c r="D77" i="13"/>
  <c r="D80" i="13"/>
  <c r="D83" i="13"/>
  <c r="D86" i="13"/>
  <c r="D89" i="13"/>
  <c r="D92" i="13"/>
  <c r="D95" i="13"/>
  <c r="D98" i="13"/>
  <c r="D101" i="13"/>
  <c r="D104" i="13"/>
  <c r="D107" i="13"/>
  <c r="D110" i="13"/>
  <c r="D113" i="13"/>
  <c r="D116" i="13"/>
  <c r="D119" i="13"/>
  <c r="D122" i="13"/>
  <c r="D125" i="13"/>
  <c r="D128" i="13"/>
  <c r="D131" i="13"/>
  <c r="D134" i="13"/>
  <c r="D137" i="13"/>
  <c r="D140" i="13"/>
  <c r="D143" i="13"/>
  <c r="D146" i="13"/>
  <c r="D149" i="13"/>
  <c r="D152" i="13"/>
  <c r="D155" i="13"/>
  <c r="D158" i="13"/>
  <c r="D161" i="13"/>
  <c r="D164" i="13"/>
  <c r="D167" i="13"/>
  <c r="D170" i="13"/>
  <c r="D173" i="13"/>
  <c r="D176" i="13"/>
  <c r="D179" i="13"/>
  <c r="D182" i="13"/>
  <c r="D185" i="13"/>
  <c r="D188" i="13"/>
  <c r="D191" i="13"/>
  <c r="D194" i="13"/>
  <c r="D197" i="13"/>
  <c r="D200" i="13"/>
  <c r="D203" i="13"/>
  <c r="D206" i="13"/>
  <c r="D209" i="13"/>
  <c r="D212" i="13"/>
  <c r="D215" i="13"/>
  <c r="D218" i="13"/>
  <c r="D221" i="13"/>
  <c r="D224" i="13"/>
  <c r="D227" i="13"/>
  <c r="D230" i="13"/>
  <c r="D233" i="13"/>
  <c r="D236" i="13"/>
  <c r="D239" i="13"/>
  <c r="D242" i="13"/>
  <c r="D245" i="13"/>
  <c r="D248" i="13"/>
  <c r="D251" i="13"/>
  <c r="D254" i="13"/>
  <c r="D257" i="13"/>
  <c r="D260" i="13"/>
  <c r="D263" i="13"/>
  <c r="D266" i="13"/>
  <c r="D269" i="13"/>
  <c r="D272" i="13"/>
  <c r="D275" i="13"/>
  <c r="D278" i="13"/>
  <c r="D281" i="13"/>
  <c r="D284" i="13"/>
  <c r="D287" i="13"/>
  <c r="D290" i="13"/>
  <c r="D293" i="13"/>
  <c r="D296" i="13"/>
  <c r="D299" i="13"/>
  <c r="D302" i="13"/>
  <c r="D305" i="13"/>
  <c r="D308" i="13"/>
  <c r="D311" i="13"/>
  <c r="D314" i="13"/>
  <c r="D317" i="13"/>
  <c r="D320" i="13"/>
  <c r="D323" i="13"/>
  <c r="D326" i="13"/>
  <c r="D329" i="13"/>
  <c r="D332" i="13"/>
  <c r="D335" i="13"/>
  <c r="D338" i="13"/>
  <c r="D341" i="13"/>
  <c r="D344" i="13"/>
  <c r="D347" i="13"/>
  <c r="D350" i="13"/>
  <c r="D353" i="13"/>
  <c r="D356" i="13"/>
  <c r="D359" i="13"/>
  <c r="D362" i="13"/>
  <c r="D365" i="13"/>
  <c r="D368" i="13"/>
  <c r="D371" i="13"/>
  <c r="D374" i="13"/>
  <c r="D377" i="13"/>
  <c r="D380" i="13"/>
  <c r="D383" i="13"/>
  <c r="D386" i="13"/>
  <c r="D389" i="13"/>
  <c r="D392" i="13"/>
  <c r="D395" i="13"/>
  <c r="D398" i="13"/>
  <c r="D401" i="13"/>
  <c r="D404" i="13"/>
  <c r="D407" i="13"/>
  <c r="D410" i="13"/>
  <c r="D413" i="13"/>
  <c r="D416" i="13"/>
  <c r="D419" i="13"/>
  <c r="D422" i="13"/>
  <c r="D425" i="13"/>
  <c r="D428" i="13"/>
  <c r="D431" i="13"/>
  <c r="D434" i="13"/>
  <c r="D437" i="13"/>
  <c r="D440" i="13"/>
  <c r="D443" i="13"/>
  <c r="D446" i="13"/>
  <c r="D449" i="13"/>
  <c r="D452" i="13"/>
  <c r="D455" i="13"/>
  <c r="D458" i="13"/>
  <c r="D461" i="13"/>
  <c r="D464" i="13"/>
  <c r="D467" i="13"/>
  <c r="D470" i="13"/>
  <c r="D473" i="13"/>
  <c r="D476" i="13"/>
  <c r="D479" i="13"/>
  <c r="D482" i="13"/>
  <c r="D485" i="13"/>
  <c r="D488" i="13"/>
  <c r="D491" i="13"/>
  <c r="D494" i="13"/>
  <c r="D497" i="13"/>
  <c r="D500" i="13"/>
  <c r="D503" i="13"/>
  <c r="D506" i="13"/>
  <c r="D509" i="13"/>
  <c r="D512" i="13"/>
  <c r="D515" i="13"/>
  <c r="D518" i="13"/>
  <c r="D521" i="13"/>
  <c r="D524" i="13"/>
  <c r="D527" i="13"/>
  <c r="D530" i="13"/>
  <c r="D533" i="13"/>
  <c r="D536" i="13"/>
  <c r="D539" i="13"/>
  <c r="D542" i="13"/>
  <c r="D545" i="13"/>
  <c r="D548" i="13"/>
  <c r="D551" i="13"/>
  <c r="D554" i="13"/>
  <c r="D557" i="13"/>
  <c r="D560" i="13"/>
  <c r="D563" i="13"/>
  <c r="D566" i="13"/>
  <c r="D569" i="13"/>
  <c r="D572" i="13"/>
  <c r="D575" i="13"/>
  <c r="D578" i="13"/>
  <c r="D581" i="13"/>
  <c r="D584" i="13"/>
  <c r="D587" i="13"/>
  <c r="D590" i="13"/>
  <c r="D593" i="13"/>
  <c r="D596" i="13"/>
  <c r="D599" i="13"/>
  <c r="D602" i="13"/>
  <c r="D605" i="13"/>
  <c r="D608" i="13"/>
  <c r="D611" i="13"/>
  <c r="D614" i="13"/>
  <c r="D617" i="13"/>
  <c r="D620" i="13"/>
  <c r="D623" i="13"/>
  <c r="D626" i="13"/>
  <c r="D629" i="13"/>
  <c r="D632" i="13"/>
  <c r="D635" i="13"/>
  <c r="D638" i="13"/>
  <c r="D641" i="13"/>
  <c r="D644" i="13"/>
  <c r="D647" i="13"/>
  <c r="D650" i="13"/>
  <c r="D653" i="13"/>
  <c r="D656" i="13"/>
  <c r="D659" i="13"/>
  <c r="D662" i="13"/>
  <c r="D665" i="13"/>
  <c r="D668" i="13"/>
  <c r="D671" i="13"/>
  <c r="D674" i="13"/>
  <c r="D677" i="13"/>
  <c r="D680" i="13"/>
  <c r="D683" i="13"/>
  <c r="D686" i="13"/>
  <c r="D689" i="13"/>
  <c r="D692" i="13"/>
  <c r="D695" i="13"/>
  <c r="D698" i="13"/>
  <c r="D701" i="13"/>
  <c r="D704" i="13"/>
  <c r="D707" i="13"/>
  <c r="D710" i="13"/>
  <c r="D713" i="13"/>
  <c r="D716" i="13"/>
  <c r="D719" i="13"/>
  <c r="D722" i="13"/>
  <c r="D725" i="13"/>
  <c r="D728" i="13"/>
  <c r="D731" i="13"/>
  <c r="D734" i="13"/>
  <c r="D737" i="13"/>
  <c r="D740" i="13"/>
  <c r="D743" i="13"/>
  <c r="D746" i="13"/>
  <c r="D749" i="13"/>
  <c r="D752" i="13"/>
  <c r="D755" i="13"/>
  <c r="D758" i="13"/>
  <c r="D761" i="13"/>
  <c r="D764" i="13"/>
  <c r="D767" i="13"/>
  <c r="D770" i="13"/>
  <c r="D773" i="13"/>
  <c r="D776" i="13"/>
  <c r="D779" i="13"/>
  <c r="D782" i="13"/>
  <c r="D785" i="13"/>
  <c r="D788" i="13"/>
  <c r="D791" i="13"/>
  <c r="D794" i="13"/>
  <c r="D797" i="13"/>
  <c r="D800" i="13"/>
  <c r="D803" i="13"/>
  <c r="D806" i="13"/>
  <c r="D809" i="13"/>
  <c r="D812" i="13"/>
  <c r="D815" i="13"/>
  <c r="D818" i="13"/>
  <c r="D821" i="13"/>
  <c r="D824" i="13"/>
  <c r="D827" i="13"/>
  <c r="D830" i="13"/>
  <c r="D833" i="13"/>
  <c r="D836" i="13"/>
  <c r="D839" i="13"/>
  <c r="D842" i="13"/>
  <c r="D845" i="13"/>
  <c r="D848" i="13"/>
  <c r="D851" i="13"/>
  <c r="D854" i="13"/>
  <c r="D857" i="13"/>
  <c r="D860" i="13"/>
  <c r="D863" i="13"/>
  <c r="D866" i="13"/>
  <c r="D869" i="13"/>
  <c r="D872" i="13"/>
  <c r="D875" i="13"/>
  <c r="D878" i="13"/>
  <c r="D881" i="13"/>
  <c r="D884" i="13"/>
  <c r="D887" i="13"/>
  <c r="D890" i="13"/>
  <c r="D893" i="13"/>
  <c r="D896" i="13"/>
  <c r="D899" i="13"/>
  <c r="D902" i="13"/>
  <c r="D905" i="13"/>
  <c r="D908" i="13"/>
  <c r="D911" i="13"/>
  <c r="D914" i="13"/>
  <c r="D917" i="13"/>
  <c r="D920" i="13"/>
  <c r="D923" i="13"/>
  <c r="D926" i="13"/>
  <c r="D929" i="13"/>
  <c r="D932" i="13"/>
  <c r="D935" i="13"/>
  <c r="D938" i="13"/>
  <c r="D941" i="13"/>
  <c r="D944" i="13"/>
  <c r="D947" i="13"/>
  <c r="D950" i="13"/>
  <c r="D953" i="13"/>
  <c r="D956" i="13"/>
  <c r="D959" i="13"/>
  <c r="D962" i="13"/>
  <c r="D965" i="13"/>
  <c r="D968" i="13"/>
  <c r="D971" i="13"/>
  <c r="D974" i="13"/>
  <c r="D977" i="13"/>
  <c r="D980" i="13"/>
  <c r="D983" i="13"/>
  <c r="D986" i="13"/>
  <c r="D989" i="13"/>
  <c r="D992" i="13"/>
  <c r="D995" i="13"/>
  <c r="D998" i="13"/>
  <c r="D1001" i="13"/>
  <c r="D1004" i="13"/>
  <c r="D1007" i="13"/>
  <c r="D1010" i="13"/>
  <c r="D1013" i="13"/>
  <c r="D1016" i="13"/>
  <c r="D1019" i="13"/>
  <c r="D1022" i="13"/>
  <c r="D1025" i="13"/>
  <c r="D1028" i="13"/>
  <c r="D1031" i="13"/>
  <c r="D1034" i="13"/>
  <c r="D1037" i="13"/>
  <c r="D1040" i="13"/>
  <c r="D1043" i="13"/>
  <c r="D1046" i="13"/>
  <c r="D1049" i="13"/>
  <c r="D1052" i="13"/>
  <c r="D1055" i="13"/>
  <c r="D1058" i="13"/>
  <c r="D1061" i="13"/>
  <c r="D1064" i="13"/>
  <c r="D1067" i="13"/>
  <c r="D1070" i="13"/>
  <c r="D1073" i="13"/>
  <c r="D1076" i="13"/>
  <c r="D1079" i="13"/>
  <c r="D1082" i="13"/>
  <c r="D1085" i="13"/>
  <c r="D1088" i="13"/>
  <c r="D1091" i="13"/>
  <c r="D1094" i="13"/>
  <c r="D1097" i="13"/>
  <c r="D1100" i="13"/>
  <c r="D1103" i="13"/>
  <c r="D1106" i="13"/>
  <c r="D1109" i="13"/>
  <c r="D1112" i="13"/>
  <c r="D1115" i="13"/>
  <c r="D1118" i="13"/>
  <c r="D1121" i="13"/>
  <c r="D1124" i="13"/>
  <c r="D1127" i="13"/>
  <c r="D1130" i="13"/>
  <c r="D1133" i="13"/>
  <c r="D1136" i="13"/>
  <c r="D1139" i="13"/>
  <c r="D1142" i="13"/>
  <c r="D1145" i="13"/>
  <c r="D1148" i="13"/>
  <c r="D1151" i="13"/>
  <c r="D1154" i="13"/>
  <c r="D1157" i="13"/>
  <c r="D1160" i="13"/>
  <c r="D1163" i="13"/>
  <c r="D1166" i="13"/>
  <c r="D1169" i="13"/>
  <c r="D1172" i="13"/>
  <c r="D1175" i="13"/>
  <c r="D1178" i="13"/>
  <c r="D1181" i="13"/>
  <c r="D1184" i="13"/>
  <c r="D1187" i="13"/>
  <c r="D1190" i="13"/>
  <c r="D1193" i="13"/>
  <c r="D1196" i="13"/>
  <c r="D1199" i="13"/>
  <c r="D1202" i="13"/>
  <c r="D1205" i="13"/>
  <c r="D1208" i="13"/>
  <c r="D1211" i="13"/>
  <c r="D1214" i="13"/>
  <c r="D1217" i="13"/>
  <c r="D1220" i="13"/>
  <c r="D1223" i="13"/>
  <c r="D1226" i="13"/>
  <c r="D1229" i="13"/>
  <c r="D1232" i="13"/>
  <c r="D1235" i="13"/>
  <c r="D1238" i="13"/>
  <c r="D1241" i="13"/>
  <c r="D1244" i="13"/>
  <c r="D1247" i="13"/>
  <c r="D1250" i="13"/>
  <c r="D1253" i="13"/>
  <c r="D1256" i="13"/>
  <c r="D1259" i="13"/>
  <c r="D1262" i="13"/>
  <c r="D1265" i="13"/>
  <c r="D1268" i="13"/>
  <c r="D1271" i="13"/>
  <c r="D1274" i="13"/>
  <c r="D1277" i="13"/>
  <c r="D1280" i="13"/>
  <c r="D1283" i="13"/>
  <c r="D1286" i="13"/>
  <c r="D1289" i="13"/>
  <c r="D1292" i="13"/>
  <c r="D1295" i="13"/>
  <c r="D1298" i="13"/>
  <c r="D1301" i="13"/>
  <c r="D1304" i="13"/>
  <c r="D1307" i="13"/>
  <c r="D1310" i="13"/>
  <c r="D1313" i="13"/>
  <c r="D1316" i="13"/>
  <c r="D1319" i="13"/>
  <c r="D1322" i="13"/>
  <c r="D1325" i="13"/>
  <c r="D1328" i="13"/>
  <c r="D1331" i="13"/>
  <c r="D1334" i="13"/>
  <c r="D1337" i="13"/>
  <c r="D1340" i="13"/>
  <c r="D1343" i="13"/>
  <c r="D1346" i="13"/>
  <c r="D1349" i="13"/>
  <c r="D1352" i="13"/>
  <c r="D1355" i="13"/>
  <c r="D1358" i="13"/>
  <c r="D1361" i="13"/>
  <c r="D1364" i="13"/>
  <c r="D1367" i="13"/>
  <c r="D1370" i="13"/>
  <c r="D1373" i="13"/>
  <c r="D1376" i="13"/>
  <c r="D1379" i="13"/>
  <c r="D1382" i="13"/>
  <c r="D1385" i="13"/>
  <c r="D1388" i="13"/>
  <c r="D1391" i="13"/>
  <c r="D1394" i="13"/>
  <c r="D1397" i="13"/>
  <c r="D1400" i="13"/>
  <c r="D1403" i="13"/>
  <c r="D1406" i="13"/>
  <c r="D1409" i="13"/>
  <c r="D1412" i="13"/>
  <c r="D1415" i="13"/>
  <c r="D1418" i="13"/>
  <c r="D1421" i="13"/>
  <c r="D1424" i="13"/>
  <c r="D1427" i="13"/>
  <c r="D1430" i="13"/>
  <c r="D1433" i="13"/>
  <c r="D1436" i="13"/>
  <c r="D1439" i="13"/>
  <c r="D1442" i="13"/>
  <c r="D1445" i="13"/>
  <c r="D1448" i="13"/>
  <c r="D1451" i="13"/>
  <c r="D1454" i="13"/>
  <c r="D1457" i="13"/>
  <c r="D1460" i="13"/>
  <c r="D1463" i="13"/>
  <c r="D1466" i="13"/>
  <c r="D1469" i="13"/>
  <c r="D1472" i="13"/>
  <c r="D1475" i="13"/>
  <c r="D1478" i="13"/>
  <c r="D1481" i="13"/>
  <c r="D1484" i="13"/>
  <c r="D1487" i="13"/>
  <c r="D1490" i="13"/>
  <c r="D1493" i="13"/>
  <c r="D1496" i="13"/>
  <c r="D1499" i="13"/>
  <c r="D1502" i="13"/>
  <c r="D1505" i="13"/>
  <c r="D1508" i="13"/>
  <c r="D1511" i="13"/>
  <c r="D1514" i="13"/>
  <c r="D1517" i="13"/>
  <c r="D1520" i="13"/>
  <c r="D1523" i="13"/>
  <c r="D1526" i="13"/>
  <c r="D1529" i="13"/>
  <c r="D1532" i="13"/>
  <c r="D1535" i="13"/>
  <c r="D1538" i="13"/>
  <c r="D1541" i="13"/>
  <c r="D1544" i="13"/>
  <c r="D1547" i="13"/>
  <c r="D1550" i="13"/>
  <c r="D1553" i="13"/>
  <c r="D1556" i="13"/>
  <c r="D1559" i="13"/>
  <c r="D1562" i="13"/>
  <c r="D1565" i="13"/>
  <c r="D1568" i="13"/>
  <c r="D1571" i="13"/>
  <c r="D1574" i="13"/>
  <c r="D1577" i="13"/>
  <c r="D1580" i="13"/>
  <c r="D1583" i="13"/>
  <c r="D1586" i="13"/>
  <c r="D1589" i="13"/>
  <c r="D1592" i="13"/>
  <c r="D1595" i="13"/>
  <c r="D1598" i="13"/>
  <c r="D1601" i="13"/>
  <c r="D1604" i="13"/>
  <c r="D1607" i="13"/>
  <c r="D1610" i="13"/>
  <c r="D1613" i="13"/>
  <c r="D1616" i="13"/>
  <c r="D1619" i="13"/>
  <c r="D1622" i="13"/>
  <c r="D1625" i="13"/>
  <c r="D1628" i="13"/>
  <c r="D1631" i="13"/>
  <c r="D1634" i="13"/>
  <c r="D1637" i="13"/>
  <c r="D1640" i="13"/>
  <c r="D1643" i="13"/>
  <c r="D1646" i="13"/>
  <c r="D1649" i="13"/>
  <c r="D1652" i="13"/>
  <c r="D1655" i="13"/>
  <c r="D1658" i="13"/>
  <c r="D1661" i="13"/>
  <c r="D1664" i="13"/>
  <c r="D1667" i="13"/>
  <c r="D1670" i="13"/>
  <c r="D1673" i="13"/>
  <c r="D1676" i="13"/>
  <c r="D1679" i="13"/>
  <c r="D1682" i="13"/>
  <c r="D1685" i="13"/>
  <c r="D1688" i="13"/>
  <c r="D1691" i="13"/>
  <c r="D1694" i="13"/>
  <c r="D1697" i="13"/>
  <c r="D1700" i="13"/>
  <c r="D1703" i="13"/>
  <c r="D1706" i="13"/>
  <c r="D1709" i="13"/>
  <c r="D1712" i="13"/>
  <c r="D1715" i="13"/>
  <c r="D1718" i="13"/>
  <c r="D1721" i="13"/>
  <c r="D1724" i="13"/>
  <c r="D1727" i="13"/>
  <c r="D1730" i="13"/>
  <c r="D1733" i="13"/>
  <c r="D1736" i="13"/>
  <c r="D1739" i="13"/>
  <c r="D1742" i="13"/>
  <c r="D1745" i="13"/>
  <c r="D1748" i="13"/>
  <c r="D1751" i="13"/>
  <c r="D1754" i="13"/>
  <c r="D1757" i="13"/>
  <c r="D1760" i="13"/>
  <c r="D1763" i="13"/>
  <c r="D1766" i="13"/>
  <c r="D1769" i="13"/>
  <c r="D1772" i="13"/>
  <c r="D1775" i="13"/>
  <c r="D1778" i="13"/>
  <c r="D1781" i="13"/>
  <c r="D1784" i="13"/>
  <c r="D1787" i="13"/>
  <c r="D1790" i="13"/>
  <c r="D1793" i="13"/>
  <c r="D1796" i="13"/>
  <c r="D1799" i="13"/>
  <c r="D1802" i="13"/>
  <c r="D1805" i="13"/>
  <c r="D1808" i="13"/>
  <c r="D1811" i="13"/>
  <c r="D1814" i="13"/>
  <c r="D1817" i="13"/>
  <c r="D1820" i="13"/>
  <c r="D1823" i="13"/>
  <c r="D1826" i="13"/>
  <c r="D1829" i="13"/>
  <c r="D1832" i="13"/>
  <c r="D1835" i="13"/>
  <c r="D1838" i="13"/>
  <c r="D1841" i="13"/>
  <c r="D1844" i="13"/>
  <c r="D1847" i="13"/>
  <c r="D1850" i="13"/>
  <c r="D1853" i="13"/>
  <c r="D1856" i="13"/>
  <c r="D1859" i="13"/>
  <c r="D1862" i="13"/>
  <c r="D1865" i="13"/>
  <c r="D1868" i="13"/>
  <c r="D1871" i="13"/>
  <c r="D1874" i="13"/>
  <c r="D1877" i="13"/>
  <c r="D1880" i="13"/>
  <c r="D1883" i="13"/>
  <c r="D1886" i="13"/>
  <c r="D1889" i="13"/>
  <c r="D1892" i="13"/>
  <c r="D1895" i="13"/>
  <c r="D1898" i="13"/>
  <c r="D1901" i="13"/>
  <c r="D1904" i="13"/>
  <c r="D1907" i="13"/>
  <c r="D1910" i="13"/>
  <c r="D1913" i="13"/>
  <c r="D1916" i="13"/>
  <c r="D1919" i="13"/>
  <c r="D1922" i="13"/>
  <c r="D1925" i="13"/>
  <c r="D1928" i="13"/>
  <c r="D1931" i="13"/>
  <c r="D1934" i="13"/>
  <c r="D1937" i="13"/>
  <c r="D1940" i="13"/>
  <c r="D1943" i="13"/>
  <c r="D1946" i="13"/>
  <c r="D1949" i="13"/>
  <c r="D1952" i="13"/>
  <c r="D1955" i="13"/>
  <c r="D1958" i="13"/>
  <c r="D1961" i="13"/>
  <c r="D1964" i="13"/>
  <c r="D1967" i="13"/>
  <c r="D1970" i="13"/>
  <c r="D1973" i="13"/>
  <c r="D1976" i="13"/>
  <c r="D1979" i="13"/>
  <c r="D1982" i="13"/>
  <c r="D1985" i="13"/>
  <c r="D1988" i="13"/>
  <c r="D1991" i="13"/>
  <c r="D1994" i="13"/>
  <c r="D1997" i="13"/>
  <c r="D2000" i="13"/>
  <c r="D2003" i="13"/>
  <c r="D2006" i="13"/>
  <c r="D2009" i="13"/>
  <c r="D2012" i="13"/>
  <c r="D2015" i="13"/>
  <c r="D2018" i="13"/>
  <c r="D2021" i="13"/>
  <c r="D2024" i="13"/>
  <c r="D2027" i="13"/>
  <c r="D2030" i="13"/>
  <c r="D2033" i="13"/>
  <c r="D2036" i="13"/>
  <c r="D2039" i="13"/>
  <c r="D2042" i="13"/>
  <c r="D2045" i="13"/>
  <c r="D2048" i="13"/>
  <c r="D2051" i="13"/>
  <c r="D2054" i="13"/>
  <c r="D2057" i="13"/>
  <c r="D2060" i="13"/>
  <c r="D2063" i="13"/>
  <c r="D2066" i="13"/>
  <c r="D2069" i="13"/>
  <c r="D2072" i="13"/>
  <c r="D2075" i="13"/>
  <c r="D2078" i="13"/>
  <c r="D2081" i="13"/>
  <c r="D2084" i="13"/>
  <c r="D2087" i="13"/>
  <c r="D2090" i="13"/>
  <c r="D2093" i="13"/>
  <c r="D2096" i="13"/>
  <c r="D2099" i="13"/>
  <c r="D2102" i="13"/>
  <c r="D2105" i="13"/>
  <c r="D2108" i="13"/>
  <c r="D2111" i="13"/>
  <c r="D2114" i="13"/>
  <c r="D2117" i="13"/>
  <c r="D2120" i="13"/>
  <c r="D2123" i="13"/>
  <c r="D2126" i="13"/>
  <c r="D2129" i="13"/>
  <c r="D2132" i="13"/>
  <c r="D2135" i="13"/>
  <c r="D2138" i="13"/>
  <c r="D2141" i="13"/>
  <c r="D2144" i="13"/>
  <c r="D2147" i="13"/>
  <c r="D2150" i="13"/>
  <c r="D2153" i="13"/>
  <c r="D2156" i="13"/>
  <c r="D2159" i="13"/>
  <c r="D2162" i="13"/>
  <c r="D2165" i="13"/>
  <c r="D2168" i="13"/>
  <c r="D2171" i="13"/>
  <c r="D2174" i="13"/>
  <c r="D2177" i="13"/>
  <c r="D2180" i="13"/>
  <c r="D2183" i="13"/>
  <c r="D2186" i="13"/>
  <c r="D2189" i="13"/>
  <c r="D2192" i="13"/>
  <c r="D2195" i="13"/>
  <c r="D2198" i="13"/>
  <c r="D2201" i="13"/>
  <c r="D2204" i="13"/>
  <c r="D2207" i="13"/>
  <c r="D2210" i="13"/>
  <c r="D2213" i="13"/>
  <c r="D2216" i="13"/>
  <c r="D2219" i="13"/>
  <c r="D2222" i="13"/>
  <c r="D2225" i="13"/>
  <c r="D2228" i="13"/>
  <c r="D2231" i="13"/>
  <c r="D2234" i="13"/>
  <c r="D2237" i="13"/>
  <c r="D2240" i="13"/>
  <c r="D2243" i="13"/>
  <c r="D2246" i="13"/>
  <c r="D2249" i="13"/>
  <c r="D2252" i="13"/>
  <c r="D2255" i="13"/>
  <c r="D2258" i="13"/>
  <c r="D2261" i="13"/>
  <c r="D2264" i="13"/>
  <c r="D2267" i="13"/>
  <c r="D2270" i="13"/>
  <c r="D2273" i="13"/>
  <c r="D2276" i="13"/>
  <c r="D2279" i="13"/>
  <c r="D2282" i="13"/>
  <c r="D2285" i="13"/>
  <c r="D2288" i="13"/>
  <c r="D2291" i="13"/>
  <c r="D2294" i="13"/>
  <c r="D2297" i="13"/>
  <c r="D2300" i="13"/>
  <c r="D2303" i="13"/>
  <c r="D2306" i="13"/>
  <c r="D2309" i="13"/>
  <c r="D2312" i="13"/>
  <c r="D2315" i="13"/>
  <c r="D2318" i="13"/>
  <c r="D2321" i="13"/>
  <c r="D2324" i="13"/>
  <c r="D2327" i="13"/>
  <c r="D2330" i="13"/>
  <c r="D2333" i="13"/>
  <c r="D2336" i="13"/>
  <c r="D2339" i="13"/>
  <c r="D2342" i="13"/>
  <c r="D2345" i="13"/>
  <c r="D2348" i="13"/>
  <c r="D2351" i="13"/>
  <c r="D2354" i="13"/>
  <c r="D2357" i="13"/>
  <c r="D2360" i="13"/>
  <c r="D2363" i="13"/>
  <c r="D2366" i="13"/>
  <c r="D2369" i="13"/>
  <c r="D2372" i="13"/>
  <c r="D2375" i="13"/>
  <c r="D2378" i="13"/>
  <c r="D2381" i="13"/>
  <c r="D2384" i="13"/>
  <c r="D2387" i="13"/>
  <c r="D2390" i="13"/>
  <c r="D2393" i="13"/>
  <c r="D2396" i="13"/>
  <c r="D2399" i="13"/>
  <c r="D2402" i="13"/>
  <c r="D2405" i="13"/>
  <c r="D2408" i="13"/>
  <c r="D2411" i="13"/>
  <c r="D2414" i="13"/>
  <c r="D2417" i="13"/>
  <c r="D2420" i="13"/>
  <c r="D2423" i="13"/>
  <c r="D2426" i="13"/>
  <c r="D2429" i="13"/>
  <c r="D2432" i="13"/>
  <c r="D2435" i="13"/>
  <c r="D2438" i="13"/>
  <c r="D2441" i="13"/>
  <c r="D2444" i="13"/>
  <c r="D2447" i="13"/>
  <c r="D2450" i="13"/>
  <c r="D2453" i="13"/>
  <c r="D2456" i="13"/>
  <c r="D2459" i="13"/>
  <c r="D2462" i="13"/>
  <c r="D2465" i="13"/>
  <c r="D2468" i="13"/>
  <c r="D2471" i="13"/>
  <c r="D2474" i="13"/>
  <c r="D2477" i="13"/>
  <c r="D2480" i="13"/>
  <c r="D2483" i="13"/>
  <c r="D2486" i="13"/>
  <c r="D2489" i="13"/>
  <c r="D2492" i="13"/>
  <c r="D2495" i="13"/>
  <c r="D2498" i="13"/>
  <c r="D2501" i="13"/>
  <c r="D2504" i="13"/>
  <c r="D2507" i="13"/>
  <c r="D2510" i="13"/>
  <c r="D2513" i="13"/>
  <c r="D2516" i="13"/>
  <c r="D2519" i="13"/>
  <c r="D2522" i="13"/>
  <c r="D2525" i="13"/>
  <c r="D2528" i="13"/>
  <c r="D2531" i="13"/>
  <c r="D2534" i="13"/>
  <c r="D2537" i="13"/>
  <c r="D2540" i="13"/>
  <c r="D2543" i="13"/>
  <c r="D2546" i="13"/>
  <c r="D2549" i="13"/>
  <c r="D2552" i="13"/>
  <c r="D2555" i="13"/>
  <c r="D2558" i="13"/>
  <c r="D2561" i="13"/>
  <c r="D2564" i="13"/>
  <c r="D2567" i="13"/>
  <c r="D2570" i="13"/>
  <c r="D2573" i="13"/>
  <c r="D2576" i="13"/>
  <c r="D2579" i="13"/>
  <c r="D2582" i="13"/>
  <c r="D2585" i="13"/>
  <c r="D2588" i="13"/>
  <c r="D2591" i="13"/>
  <c r="D2594" i="13"/>
  <c r="D2597" i="13"/>
  <c r="D2600" i="13"/>
  <c r="D2603" i="13"/>
  <c r="D2606" i="13"/>
  <c r="D2609" i="13"/>
  <c r="D2612" i="13"/>
  <c r="D2615" i="13"/>
  <c r="D2618" i="13"/>
  <c r="D2621" i="13"/>
  <c r="D2624" i="13"/>
  <c r="D2627" i="13"/>
  <c r="D2630" i="13"/>
  <c r="D2633" i="13"/>
  <c r="D2636" i="13"/>
  <c r="D2639" i="13"/>
  <c r="D2642" i="13"/>
  <c r="D2645" i="13"/>
  <c r="D2648" i="13"/>
  <c r="D2651" i="13"/>
  <c r="D2654" i="13"/>
  <c r="D2657" i="13"/>
  <c r="D2660" i="13"/>
  <c r="D2663" i="13"/>
  <c r="D2666" i="13"/>
  <c r="D2669" i="13"/>
  <c r="D2672" i="13"/>
  <c r="D2675" i="13"/>
  <c r="D2678" i="13"/>
  <c r="D2681" i="13"/>
  <c r="D2684" i="13"/>
  <c r="D2687" i="13"/>
  <c r="D2690" i="13"/>
  <c r="D2693" i="13"/>
  <c r="D2696" i="13"/>
  <c r="D2699" i="13"/>
  <c r="D2702" i="13"/>
  <c r="D2705" i="13"/>
  <c r="D2708" i="13"/>
  <c r="D2711" i="13"/>
  <c r="D2714" i="13"/>
  <c r="D2717" i="13"/>
  <c r="D2720" i="13"/>
  <c r="D2723" i="13"/>
  <c r="D2726" i="13"/>
  <c r="D2729" i="13"/>
  <c r="D2732" i="13"/>
  <c r="D2735" i="13"/>
  <c r="D2738" i="13"/>
  <c r="D2741" i="13"/>
  <c r="D2744" i="13"/>
  <c r="D2747" i="13"/>
  <c r="D2750" i="13"/>
  <c r="D2753" i="13"/>
  <c r="D2756" i="13"/>
  <c r="D2759" i="13"/>
  <c r="D2762" i="13"/>
  <c r="D2765" i="13"/>
  <c r="D2768" i="13"/>
  <c r="D2771" i="13"/>
  <c r="D2774" i="13"/>
  <c r="D2777" i="13"/>
  <c r="D2780" i="13"/>
  <c r="D2783" i="13"/>
  <c r="D2786" i="13"/>
  <c r="D2789" i="13"/>
  <c r="D2792" i="13"/>
  <c r="D2795" i="13"/>
  <c r="D2798" i="13"/>
  <c r="D2801" i="13"/>
  <c r="D2804" i="13"/>
  <c r="D2807" i="13"/>
  <c r="D2810" i="13"/>
  <c r="D2813" i="13"/>
  <c r="D2816" i="13"/>
  <c r="D2819" i="13"/>
  <c r="D2822" i="13"/>
  <c r="D2825" i="13"/>
  <c r="D2828" i="13"/>
  <c r="D2831" i="13"/>
  <c r="D2834" i="13"/>
  <c r="D2837" i="13"/>
  <c r="D2840" i="13"/>
  <c r="D2843" i="13"/>
  <c r="D2846" i="13"/>
  <c r="D2849" i="13"/>
  <c r="D2852" i="13"/>
  <c r="D2855" i="13"/>
  <c r="D2858" i="13"/>
  <c r="D2861" i="13"/>
  <c r="D2864" i="13"/>
  <c r="D2867" i="13"/>
  <c r="D2870" i="13"/>
  <c r="D2873" i="13"/>
  <c r="D2876" i="13"/>
  <c r="D2879" i="13"/>
  <c r="D2882" i="13"/>
  <c r="D2885" i="13"/>
  <c r="D2888" i="13"/>
  <c r="D2891" i="13"/>
  <c r="D2894" i="13"/>
  <c r="D2897" i="13"/>
  <c r="D2900" i="13"/>
  <c r="D2903" i="13"/>
  <c r="D2906" i="13"/>
  <c r="D2909" i="13"/>
  <c r="D2912" i="13"/>
  <c r="D2915" i="13"/>
  <c r="D2918" i="13"/>
  <c r="D2921" i="13"/>
  <c r="D2924" i="13"/>
  <c r="D2927" i="13"/>
  <c r="D2930" i="13"/>
  <c r="D2933" i="13"/>
  <c r="D2936" i="13"/>
  <c r="D2939" i="13"/>
  <c r="D2942" i="13"/>
  <c r="D2945" i="13"/>
  <c r="D2948" i="13"/>
  <c r="D2951" i="13"/>
  <c r="D2954" i="13"/>
  <c r="D2957" i="13"/>
  <c r="D2960" i="13"/>
  <c r="D2963" i="13"/>
  <c r="D2966" i="13"/>
  <c r="D2969" i="13"/>
  <c r="D2972" i="13"/>
  <c r="D2975" i="13"/>
  <c r="D2978" i="13"/>
  <c r="D2981" i="13"/>
  <c r="D2984" i="13"/>
  <c r="D2987" i="13"/>
  <c r="D2990" i="13"/>
  <c r="D2993" i="13"/>
  <c r="D2996" i="13"/>
  <c r="D2999" i="13"/>
  <c r="D3002" i="13"/>
  <c r="D3005" i="13"/>
  <c r="D3008" i="13"/>
  <c r="D3011" i="13"/>
  <c r="D3014" i="13"/>
  <c r="D3017" i="13"/>
  <c r="D3020" i="13"/>
  <c r="D3023" i="13"/>
  <c r="D3026" i="13"/>
  <c r="D3029" i="13"/>
  <c r="D3032" i="13"/>
  <c r="D3035" i="13"/>
  <c r="D3038" i="13"/>
  <c r="D3041" i="13"/>
  <c r="D3044" i="13"/>
  <c r="D3047" i="13"/>
  <c r="D3050" i="13"/>
  <c r="D3053" i="13"/>
  <c r="D3056" i="13"/>
  <c r="D3059" i="13"/>
  <c r="D3062" i="13"/>
  <c r="D3065" i="13"/>
  <c r="D3068" i="13"/>
  <c r="D3071" i="13"/>
  <c r="D3074" i="13"/>
  <c r="D3077" i="13"/>
  <c r="D3080" i="13"/>
  <c r="D3083" i="13"/>
  <c r="D3086" i="13"/>
  <c r="D3089" i="13"/>
  <c r="D3092" i="13"/>
  <c r="D3095" i="13"/>
  <c r="D3098" i="13"/>
  <c r="D3101" i="13"/>
  <c r="D3104" i="13"/>
  <c r="D3107" i="13"/>
  <c r="D3110" i="13"/>
  <c r="D3113" i="13"/>
  <c r="D3116" i="13"/>
  <c r="D3119" i="13"/>
  <c r="D3122" i="13"/>
  <c r="D3125" i="13"/>
  <c r="D3128" i="13"/>
  <c r="D3131" i="13"/>
  <c r="D3134" i="13"/>
  <c r="D3137" i="13"/>
  <c r="D3140" i="13"/>
  <c r="D3143" i="13"/>
  <c r="D3146" i="13"/>
  <c r="D3149" i="13"/>
  <c r="D3152" i="13"/>
  <c r="D3155" i="13"/>
  <c r="D3158" i="13"/>
  <c r="D3161" i="13"/>
  <c r="D3164" i="13"/>
  <c r="L3163" i="13"/>
  <c r="G3163" i="13"/>
  <c r="D12" i="3"/>
  <c r="D15" i="3"/>
  <c r="D18" i="3"/>
  <c r="D21" i="3"/>
  <c r="D24" i="3"/>
  <c r="D27" i="3"/>
  <c r="D30" i="3"/>
  <c r="D4" i="13"/>
  <c r="D7" i="13"/>
  <c r="D10" i="13"/>
  <c r="D13" i="13"/>
  <c r="D16" i="13"/>
  <c r="D19" i="13"/>
  <c r="D22" i="13"/>
  <c r="D25" i="13"/>
  <c r="D28" i="13"/>
  <c r="D31" i="13"/>
  <c r="D34" i="13"/>
  <c r="D37" i="13"/>
  <c r="D40" i="13"/>
  <c r="D43" i="13"/>
  <c r="D46" i="13"/>
  <c r="D49" i="13"/>
  <c r="D52" i="13"/>
  <c r="D55" i="13"/>
  <c r="D58" i="13"/>
  <c r="D61" i="13"/>
  <c r="D64" i="13"/>
  <c r="D67" i="13"/>
  <c r="D70" i="13"/>
  <c r="D73" i="13"/>
  <c r="D76" i="13"/>
  <c r="D79" i="13"/>
  <c r="D82" i="13"/>
  <c r="D85" i="13"/>
  <c r="D88" i="13"/>
  <c r="D91" i="13"/>
  <c r="D94" i="13"/>
  <c r="D97" i="13"/>
  <c r="D100" i="13"/>
  <c r="D103" i="13"/>
  <c r="D106" i="13"/>
  <c r="D109" i="13"/>
  <c r="D112" i="13"/>
  <c r="D115" i="13"/>
  <c r="D118" i="13"/>
  <c r="D121" i="13"/>
  <c r="D124" i="13"/>
  <c r="D127" i="13"/>
  <c r="D130" i="13"/>
  <c r="D133" i="13"/>
  <c r="D136" i="13"/>
  <c r="D139" i="13"/>
  <c r="D142" i="13"/>
  <c r="D145" i="13"/>
  <c r="D148" i="13"/>
  <c r="D151" i="13"/>
  <c r="D154" i="13"/>
  <c r="D157" i="13"/>
  <c r="D160" i="13"/>
  <c r="D163" i="13"/>
  <c r="D166" i="13"/>
  <c r="D169" i="13"/>
  <c r="D172" i="13"/>
  <c r="D175" i="13"/>
  <c r="D178" i="13"/>
  <c r="D181" i="13"/>
  <c r="D184" i="13"/>
  <c r="D187" i="13"/>
  <c r="D190" i="13"/>
  <c r="D193" i="13"/>
  <c r="D196" i="13"/>
  <c r="D199" i="13"/>
  <c r="D202" i="13"/>
  <c r="D205" i="13"/>
  <c r="D208" i="13"/>
  <c r="D211" i="13"/>
  <c r="D214" i="13"/>
  <c r="D217" i="13"/>
  <c r="D220" i="13"/>
  <c r="D223" i="13"/>
  <c r="D226" i="13"/>
  <c r="D229" i="13"/>
  <c r="D232" i="13"/>
  <c r="D235" i="13"/>
  <c r="D238" i="13"/>
  <c r="D241" i="13"/>
  <c r="D244" i="13"/>
  <c r="D247" i="13"/>
  <c r="D250" i="13"/>
  <c r="D253" i="13"/>
  <c r="D256" i="13"/>
  <c r="D259" i="13"/>
  <c r="D262" i="13"/>
  <c r="D265" i="13"/>
  <c r="D268" i="13"/>
  <c r="D271" i="13"/>
  <c r="D274" i="13"/>
  <c r="D277" i="13"/>
  <c r="D280" i="13"/>
  <c r="D283" i="13"/>
  <c r="D286" i="13"/>
  <c r="D289" i="13"/>
  <c r="D292" i="13"/>
  <c r="D295" i="13"/>
  <c r="D298" i="13"/>
  <c r="D301" i="13"/>
  <c r="D304" i="13"/>
  <c r="D307" i="13"/>
  <c r="D310" i="13"/>
  <c r="D313" i="13"/>
  <c r="D316" i="13"/>
  <c r="D319" i="13"/>
  <c r="D322" i="13"/>
  <c r="D325" i="13"/>
  <c r="D328" i="13"/>
  <c r="D331" i="13"/>
  <c r="D334" i="13"/>
  <c r="D337" i="13"/>
  <c r="D340" i="13"/>
  <c r="D343" i="13"/>
  <c r="D346" i="13"/>
  <c r="D349" i="13"/>
  <c r="D352" i="13"/>
  <c r="D355" i="13"/>
  <c r="D358" i="13"/>
  <c r="D361" i="13"/>
  <c r="D364" i="13"/>
  <c r="D367" i="13"/>
  <c r="D370" i="13"/>
  <c r="D373" i="13"/>
  <c r="D376" i="13"/>
  <c r="D379" i="13"/>
  <c r="D382" i="13"/>
  <c r="D385" i="13"/>
  <c r="D388" i="13"/>
  <c r="D391" i="13"/>
  <c r="D394" i="13"/>
  <c r="D397" i="13"/>
  <c r="D400" i="13"/>
  <c r="D403" i="13"/>
  <c r="D406" i="13"/>
  <c r="D409" i="13"/>
  <c r="D412" i="13"/>
  <c r="D415" i="13"/>
  <c r="D418" i="13"/>
  <c r="D421" i="13"/>
  <c r="D424" i="13"/>
  <c r="D427" i="13"/>
  <c r="D430" i="13"/>
  <c r="D433" i="13"/>
  <c r="D436" i="13"/>
  <c r="D439" i="13"/>
  <c r="D442" i="13"/>
  <c r="D445" i="13"/>
  <c r="D448" i="13"/>
  <c r="D451" i="13"/>
  <c r="D454" i="13"/>
  <c r="D457" i="13"/>
  <c r="D460" i="13"/>
  <c r="D463" i="13"/>
  <c r="D466" i="13"/>
  <c r="D469" i="13"/>
  <c r="D472" i="13"/>
  <c r="D475" i="13"/>
  <c r="D478" i="13"/>
  <c r="D481" i="13"/>
  <c r="D484" i="13"/>
  <c r="D487" i="13"/>
  <c r="D490" i="13"/>
  <c r="D493" i="13"/>
  <c r="D496" i="13"/>
  <c r="D499" i="13"/>
  <c r="D502" i="13"/>
  <c r="D505" i="13"/>
  <c r="D508" i="13"/>
  <c r="D511" i="13"/>
  <c r="D514" i="13"/>
  <c r="D517" i="13"/>
  <c r="D520" i="13"/>
  <c r="D523" i="13"/>
  <c r="D526" i="13"/>
  <c r="D529" i="13"/>
  <c r="D532" i="13"/>
  <c r="D535" i="13"/>
  <c r="D538" i="13"/>
  <c r="D541" i="13"/>
  <c r="D544" i="13"/>
  <c r="D547" i="13"/>
  <c r="D550" i="13"/>
  <c r="D553" i="13"/>
  <c r="D556" i="13"/>
  <c r="D559" i="13"/>
  <c r="D562" i="13"/>
  <c r="D565" i="13"/>
  <c r="D568" i="13"/>
  <c r="D571" i="13"/>
  <c r="D574" i="13"/>
  <c r="D577" i="13"/>
  <c r="D580" i="13"/>
  <c r="D583" i="13"/>
  <c r="D586" i="13"/>
  <c r="D589" i="13"/>
  <c r="D592" i="13"/>
  <c r="D595" i="13"/>
  <c r="D598" i="13"/>
  <c r="D601" i="13"/>
  <c r="D604" i="13"/>
  <c r="D607" i="13"/>
  <c r="D610" i="13"/>
  <c r="D613" i="13"/>
  <c r="D616" i="13"/>
  <c r="D619" i="13"/>
  <c r="D622" i="13"/>
  <c r="D625" i="13"/>
  <c r="D628" i="13"/>
  <c r="D631" i="13"/>
  <c r="D634" i="13"/>
  <c r="D637" i="13"/>
  <c r="D640" i="13"/>
  <c r="D643" i="13"/>
  <c r="D646" i="13"/>
  <c r="D649" i="13"/>
  <c r="D652" i="13"/>
  <c r="D655" i="13"/>
  <c r="D658" i="13"/>
  <c r="D661" i="13"/>
  <c r="D664" i="13"/>
  <c r="D667" i="13"/>
  <c r="D670" i="13"/>
  <c r="D673" i="13"/>
  <c r="D676" i="13"/>
  <c r="D679" i="13"/>
  <c r="D682" i="13"/>
  <c r="D685" i="13"/>
  <c r="D688" i="13"/>
  <c r="D691" i="13"/>
  <c r="D694" i="13"/>
  <c r="D697" i="13"/>
  <c r="D700" i="13"/>
  <c r="D703" i="13"/>
  <c r="D706" i="13"/>
  <c r="D709" i="13"/>
  <c r="D712" i="13"/>
  <c r="D715" i="13"/>
  <c r="D718" i="13"/>
  <c r="D721" i="13"/>
  <c r="D724" i="13"/>
  <c r="D727" i="13"/>
  <c r="D730" i="13"/>
  <c r="D733" i="13"/>
  <c r="D736" i="13"/>
  <c r="D739" i="13"/>
  <c r="D742" i="13"/>
  <c r="D745" i="13"/>
  <c r="D748" i="13"/>
  <c r="D751" i="13"/>
  <c r="D754" i="13"/>
  <c r="D757" i="13"/>
  <c r="D760" i="13"/>
  <c r="D763" i="13"/>
  <c r="D766" i="13"/>
  <c r="D769" i="13"/>
  <c r="D772" i="13"/>
  <c r="D775" i="13"/>
  <c r="D778" i="13"/>
  <c r="D781" i="13"/>
  <c r="D784" i="13"/>
  <c r="D787" i="13"/>
  <c r="D790" i="13"/>
  <c r="D793" i="13"/>
  <c r="D796" i="13"/>
  <c r="D799" i="13"/>
  <c r="D802" i="13"/>
  <c r="D805" i="13"/>
  <c r="D808" i="13"/>
  <c r="D811" i="13"/>
  <c r="D814" i="13"/>
  <c r="D817" i="13"/>
  <c r="D820" i="13"/>
  <c r="D823" i="13"/>
  <c r="D826" i="13"/>
  <c r="D829" i="13"/>
  <c r="D832" i="13"/>
  <c r="D835" i="13"/>
  <c r="D838" i="13"/>
  <c r="D841" i="13"/>
  <c r="D844" i="13"/>
  <c r="D847" i="13"/>
  <c r="D850" i="13"/>
  <c r="D853" i="13"/>
  <c r="D856" i="13"/>
  <c r="D859" i="13"/>
  <c r="D862" i="13"/>
  <c r="D865" i="13"/>
  <c r="D868" i="13"/>
  <c r="D871" i="13"/>
  <c r="D874" i="13"/>
  <c r="D877" i="13"/>
  <c r="D880" i="13"/>
  <c r="D883" i="13"/>
  <c r="D886" i="13"/>
  <c r="D889" i="13"/>
  <c r="D892" i="13"/>
  <c r="D895" i="13"/>
  <c r="D898" i="13"/>
  <c r="D901" i="13"/>
  <c r="D904" i="13"/>
  <c r="D907" i="13"/>
  <c r="D910" i="13"/>
  <c r="D913" i="13"/>
  <c r="D916" i="13"/>
  <c r="D919" i="13"/>
  <c r="D922" i="13"/>
  <c r="D925" i="13"/>
  <c r="D928" i="13"/>
  <c r="D931" i="13"/>
  <c r="D934" i="13"/>
  <c r="D937" i="13"/>
  <c r="D940" i="13"/>
  <c r="D943" i="13"/>
  <c r="D946" i="13"/>
  <c r="D949" i="13"/>
  <c r="D952" i="13"/>
  <c r="D955" i="13"/>
  <c r="D958" i="13"/>
  <c r="D961" i="13"/>
  <c r="D964" i="13"/>
  <c r="D967" i="13"/>
  <c r="D970" i="13"/>
  <c r="D973" i="13"/>
  <c r="D976" i="13"/>
  <c r="D979" i="13"/>
  <c r="D982" i="13"/>
  <c r="D985" i="13"/>
  <c r="D988" i="13"/>
  <c r="D991" i="13"/>
  <c r="D994" i="13"/>
  <c r="D997" i="13"/>
  <c r="D1000" i="13"/>
  <c r="D1003" i="13"/>
  <c r="D1006" i="13"/>
  <c r="D1009" i="13"/>
  <c r="D1012" i="13"/>
  <c r="D1015" i="13"/>
  <c r="D1018" i="13"/>
  <c r="D1021" i="13"/>
  <c r="D1024" i="13"/>
  <c r="D1027" i="13"/>
  <c r="D1030" i="13"/>
  <c r="D1033" i="13"/>
  <c r="D1036" i="13"/>
  <c r="D1039" i="13"/>
  <c r="D1042" i="13"/>
  <c r="D1045" i="13"/>
  <c r="D1048" i="13"/>
  <c r="D1051" i="13"/>
  <c r="D1054" i="13"/>
  <c r="D1057" i="13"/>
  <c r="D1060" i="13"/>
  <c r="D1063" i="13"/>
  <c r="D1066" i="13"/>
  <c r="D1069" i="13"/>
  <c r="D1072" i="13"/>
  <c r="D1075" i="13"/>
  <c r="D1078" i="13"/>
  <c r="D1081" i="13"/>
  <c r="D1084" i="13"/>
  <c r="D1087" i="13"/>
  <c r="D1090" i="13"/>
  <c r="D1093" i="13"/>
  <c r="D1096" i="13"/>
  <c r="D1099" i="13"/>
  <c r="D1102" i="13"/>
  <c r="D1105" i="13"/>
  <c r="D1108" i="13"/>
  <c r="D1111" i="13"/>
  <c r="D1114" i="13"/>
  <c r="D1117" i="13"/>
  <c r="D1120" i="13"/>
  <c r="D1123" i="13"/>
  <c r="D1126" i="13"/>
  <c r="D1129" i="13"/>
  <c r="D1132" i="13"/>
  <c r="D1135" i="13"/>
  <c r="D1138" i="13"/>
  <c r="D1141" i="13"/>
  <c r="D1144" i="13"/>
  <c r="D1147" i="13"/>
  <c r="D1150" i="13"/>
  <c r="D1153" i="13"/>
  <c r="D1156" i="13"/>
  <c r="D1159" i="13"/>
  <c r="D1162" i="13"/>
  <c r="D1165" i="13"/>
  <c r="D1168" i="13"/>
  <c r="D1171" i="13"/>
  <c r="D1174" i="13"/>
  <c r="D1177" i="13"/>
  <c r="D1180" i="13"/>
  <c r="D1183" i="13"/>
  <c r="D1186" i="13"/>
  <c r="D1189" i="13"/>
  <c r="D1192" i="13"/>
  <c r="D1195" i="13"/>
  <c r="D1198" i="13"/>
  <c r="D1201" i="13"/>
  <c r="D1204" i="13"/>
  <c r="D1207" i="13"/>
  <c r="D1210" i="13"/>
  <c r="D1213" i="13"/>
  <c r="D1216" i="13"/>
  <c r="D1219" i="13"/>
  <c r="D1222" i="13"/>
  <c r="D1225" i="13"/>
  <c r="D1228" i="13"/>
  <c r="D1231" i="13"/>
  <c r="D1234" i="13"/>
  <c r="D1237" i="13"/>
  <c r="D1240" i="13"/>
  <c r="D1243" i="13"/>
  <c r="D1246" i="13"/>
  <c r="D1249" i="13"/>
  <c r="D1252" i="13"/>
  <c r="D1255" i="13"/>
  <c r="D1258" i="13"/>
  <c r="D1261" i="13"/>
  <c r="D1264" i="13"/>
  <c r="D1267" i="13"/>
  <c r="D1270" i="13"/>
  <c r="D1273" i="13"/>
  <c r="D1276" i="13"/>
  <c r="D1279" i="13"/>
  <c r="D1282" i="13"/>
  <c r="D1285" i="13"/>
  <c r="D1288" i="13"/>
  <c r="D1291" i="13"/>
  <c r="D1294" i="13"/>
  <c r="D1297" i="13"/>
  <c r="D1300" i="13"/>
  <c r="D1303" i="13"/>
  <c r="D1306" i="13"/>
  <c r="D1309" i="13"/>
  <c r="D1312" i="13"/>
  <c r="D1315" i="13"/>
  <c r="D1318" i="13"/>
  <c r="D1321" i="13"/>
  <c r="D1324" i="13"/>
  <c r="D1327" i="13"/>
  <c r="D1330" i="13"/>
  <c r="D1333" i="13"/>
  <c r="D1336" i="13"/>
  <c r="D1339" i="13"/>
  <c r="D1342" i="13"/>
  <c r="D1345" i="13"/>
  <c r="D1348" i="13"/>
  <c r="D1351" i="13"/>
  <c r="D1354" i="13"/>
  <c r="D1357" i="13"/>
  <c r="D1360" i="13"/>
  <c r="D1363" i="13"/>
  <c r="D1366" i="13"/>
  <c r="D1369" i="13"/>
  <c r="D1372" i="13"/>
  <c r="D1375" i="13"/>
  <c r="D1378" i="13"/>
  <c r="D1381" i="13"/>
  <c r="D1384" i="13"/>
  <c r="D1387" i="13"/>
  <c r="D1390" i="13"/>
  <c r="D1393" i="13"/>
  <c r="D1396" i="13"/>
  <c r="D1399" i="13"/>
  <c r="D1402" i="13"/>
  <c r="D1405" i="13"/>
  <c r="D1408" i="13"/>
  <c r="D1411" i="13"/>
  <c r="D1414" i="13"/>
  <c r="D1417" i="13"/>
  <c r="D1420" i="13"/>
  <c r="D1423" i="13"/>
  <c r="D1426" i="13"/>
  <c r="D1429" i="13"/>
  <c r="D1432" i="13"/>
  <c r="D1435" i="13"/>
  <c r="D1438" i="13"/>
  <c r="D1441" i="13"/>
  <c r="D1444" i="13"/>
  <c r="D1447" i="13"/>
  <c r="D1450" i="13"/>
  <c r="D1453" i="13"/>
  <c r="D1456" i="13"/>
  <c r="D1459" i="13"/>
  <c r="D1462" i="13"/>
  <c r="D1465" i="13"/>
  <c r="D1468" i="13"/>
  <c r="D1471" i="13"/>
  <c r="D1474" i="13"/>
  <c r="D1477" i="13"/>
  <c r="D1480" i="13"/>
  <c r="D1483" i="13"/>
  <c r="D1486" i="13"/>
  <c r="D1489" i="13"/>
  <c r="D1492" i="13"/>
  <c r="D1495" i="13"/>
  <c r="D1498" i="13"/>
  <c r="D1501" i="13"/>
  <c r="D1504" i="13"/>
  <c r="D1507" i="13"/>
  <c r="D1510" i="13"/>
  <c r="D1513" i="13"/>
  <c r="D1516" i="13"/>
  <c r="D1519" i="13"/>
  <c r="D1522" i="13"/>
  <c r="D1525" i="13"/>
  <c r="D1528" i="13"/>
  <c r="D1531" i="13"/>
  <c r="D1534" i="13"/>
  <c r="D1537" i="13"/>
  <c r="D1540" i="13"/>
  <c r="D1543" i="13"/>
  <c r="D1546" i="13"/>
  <c r="D1549" i="13"/>
  <c r="D1552" i="13"/>
  <c r="D1555" i="13"/>
  <c r="D1558" i="13"/>
  <c r="D1561" i="13"/>
  <c r="D1564" i="13"/>
  <c r="D1567" i="13"/>
  <c r="D1570" i="13"/>
  <c r="D1573" i="13"/>
  <c r="D1576" i="13"/>
  <c r="D1579" i="13"/>
  <c r="D1582" i="13"/>
  <c r="D1585" i="13"/>
  <c r="D1588" i="13"/>
  <c r="D1591" i="13"/>
  <c r="D1594" i="13"/>
  <c r="D1597" i="13"/>
  <c r="D1600" i="13"/>
  <c r="D1603" i="13"/>
  <c r="D1606" i="13"/>
  <c r="D1609" i="13"/>
  <c r="D1612" i="13"/>
  <c r="D1615" i="13"/>
  <c r="D1618" i="13"/>
  <c r="D1621" i="13"/>
  <c r="D1624" i="13"/>
  <c r="D1627" i="13"/>
  <c r="D1630" i="13"/>
  <c r="D1633" i="13"/>
  <c r="D1636" i="13"/>
  <c r="D1639" i="13"/>
  <c r="D1642" i="13"/>
  <c r="D1645" i="13"/>
  <c r="D1648" i="13"/>
  <c r="D1651" i="13"/>
  <c r="D1654" i="13"/>
  <c r="D1657" i="13"/>
  <c r="D1660" i="13"/>
  <c r="D1663" i="13"/>
  <c r="D1666" i="13"/>
  <c r="D1669" i="13"/>
  <c r="D1672" i="13"/>
  <c r="D1675" i="13"/>
  <c r="D1678" i="13"/>
  <c r="D1681" i="13"/>
  <c r="D1684" i="13"/>
  <c r="D1687" i="13"/>
  <c r="D1690" i="13"/>
  <c r="D1693" i="13"/>
  <c r="D1696" i="13"/>
  <c r="D1699" i="13"/>
  <c r="D1702" i="13"/>
  <c r="D1705" i="13"/>
  <c r="D1708" i="13"/>
  <c r="D1711" i="13"/>
  <c r="D1714" i="13"/>
  <c r="D1717" i="13"/>
  <c r="D1720" i="13"/>
  <c r="D1723" i="13"/>
  <c r="D1726" i="13"/>
  <c r="D1729" i="13"/>
  <c r="D1732" i="13"/>
  <c r="D1735" i="13"/>
  <c r="D1738" i="13"/>
  <c r="D1741" i="13"/>
  <c r="D1744" i="13"/>
  <c r="D1747" i="13"/>
  <c r="D1750" i="13"/>
  <c r="D1753" i="13"/>
  <c r="D1756" i="13"/>
  <c r="D1759" i="13"/>
  <c r="D1762" i="13"/>
  <c r="D1765" i="13"/>
  <c r="D1768" i="13"/>
  <c r="D1771" i="13"/>
  <c r="D1774" i="13"/>
  <c r="D1777" i="13"/>
  <c r="D1780" i="13"/>
  <c r="D1783" i="13"/>
  <c r="D1786" i="13"/>
  <c r="D1789" i="13"/>
  <c r="D1792" i="13"/>
  <c r="D1795" i="13"/>
  <c r="D1798" i="13"/>
  <c r="D1801" i="13"/>
  <c r="D1804" i="13"/>
  <c r="D1807" i="13"/>
  <c r="D1810" i="13"/>
  <c r="D1813" i="13"/>
  <c r="D1816" i="13"/>
  <c r="D1819" i="13"/>
  <c r="D1822" i="13"/>
  <c r="D1825" i="13"/>
  <c r="D1828" i="13"/>
  <c r="D1831" i="13"/>
  <c r="D1834" i="13"/>
  <c r="D1837" i="13"/>
  <c r="D1840" i="13"/>
  <c r="D1843" i="13"/>
  <c r="D1846" i="13"/>
  <c r="D1849" i="13"/>
  <c r="D1852" i="13"/>
  <c r="D1855" i="13"/>
  <c r="D1858" i="13"/>
  <c r="D1861" i="13"/>
  <c r="D1864" i="13"/>
  <c r="D1867" i="13"/>
  <c r="D1870" i="13"/>
  <c r="D1873" i="13"/>
  <c r="D1876" i="13"/>
  <c r="D1879" i="13"/>
  <c r="D1882" i="13"/>
  <c r="D1885" i="13"/>
  <c r="D1888" i="13"/>
  <c r="D1891" i="13"/>
  <c r="D1894" i="13"/>
  <c r="D1897" i="13"/>
  <c r="D1900" i="13"/>
  <c r="D1903" i="13"/>
  <c r="D1906" i="13"/>
  <c r="D1909" i="13"/>
  <c r="D1912" i="13"/>
  <c r="D1915" i="13"/>
  <c r="D1918" i="13"/>
  <c r="D1921" i="13"/>
  <c r="D1924" i="13"/>
  <c r="D1927" i="13"/>
  <c r="D1930" i="13"/>
  <c r="D1933" i="13"/>
  <c r="D1936" i="13"/>
  <c r="D1939" i="13"/>
  <c r="D1942" i="13"/>
  <c r="D1945" i="13"/>
  <c r="D1948" i="13"/>
  <c r="D1951" i="13"/>
  <c r="D1954" i="13"/>
  <c r="D1957" i="13"/>
  <c r="D1960" i="13"/>
  <c r="D1963" i="13"/>
  <c r="D1966" i="13"/>
  <c r="D1969" i="13"/>
  <c r="D1972" i="13"/>
  <c r="D1975" i="13"/>
  <c r="D1978" i="13"/>
  <c r="D1981" i="13"/>
  <c r="D1984" i="13"/>
  <c r="D1987" i="13"/>
  <c r="D1990" i="13"/>
  <c r="D1993" i="13"/>
  <c r="D1996" i="13"/>
  <c r="D1999" i="13"/>
  <c r="D2002" i="13"/>
  <c r="D2005" i="13"/>
  <c r="D2008" i="13"/>
  <c r="D2011" i="13"/>
  <c r="D2014" i="13"/>
  <c r="D2017" i="13"/>
  <c r="D2020" i="13"/>
  <c r="D2023" i="13"/>
  <c r="D2026" i="13"/>
  <c r="D2029" i="13"/>
  <c r="D2032" i="13"/>
  <c r="D2035" i="13"/>
  <c r="D2038" i="13"/>
  <c r="D2041" i="13"/>
  <c r="D2044" i="13"/>
  <c r="D2047" i="13"/>
  <c r="D2050" i="13"/>
  <c r="D2053" i="13"/>
  <c r="D2056" i="13"/>
  <c r="D2059" i="13"/>
  <c r="D2062" i="13"/>
  <c r="D2065" i="13"/>
  <c r="D2068" i="13"/>
  <c r="D2071" i="13"/>
  <c r="D2074" i="13"/>
  <c r="D2077" i="13"/>
  <c r="D2080" i="13"/>
  <c r="D2083" i="13"/>
  <c r="D2086" i="13"/>
  <c r="D2089" i="13"/>
  <c r="D2092" i="13"/>
  <c r="D2095" i="13"/>
  <c r="D2098" i="13"/>
  <c r="D2101" i="13"/>
  <c r="D2104" i="13"/>
  <c r="D2107" i="13"/>
  <c r="D2110" i="13"/>
  <c r="D2113" i="13"/>
  <c r="D2116" i="13"/>
  <c r="D2119" i="13"/>
  <c r="D2122" i="13"/>
  <c r="D2125" i="13"/>
  <c r="D2128" i="13"/>
  <c r="D2131" i="13"/>
  <c r="D2134" i="13"/>
  <c r="D2137" i="13"/>
  <c r="D2140" i="13"/>
  <c r="D2143" i="13"/>
  <c r="D2146" i="13"/>
  <c r="D2149" i="13"/>
  <c r="D2152" i="13"/>
  <c r="D2155" i="13"/>
  <c r="D2158" i="13"/>
  <c r="D2161" i="13"/>
  <c r="D2164" i="13"/>
  <c r="D2167" i="13"/>
  <c r="D2170" i="13"/>
  <c r="D2173" i="13"/>
  <c r="D2176" i="13"/>
  <c r="D2179" i="13"/>
  <c r="D2182" i="13"/>
  <c r="D2185" i="13"/>
  <c r="D2188" i="13"/>
  <c r="D2191" i="13"/>
  <c r="D2194" i="13"/>
  <c r="D2197" i="13"/>
  <c r="D2200" i="13"/>
  <c r="D2203" i="13"/>
  <c r="D2206" i="13"/>
  <c r="D2209" i="13"/>
  <c r="D2212" i="13"/>
  <c r="D2215" i="13"/>
  <c r="D2218" i="13"/>
  <c r="D2221" i="13"/>
  <c r="D2224" i="13"/>
  <c r="D2227" i="13"/>
  <c r="D2230" i="13"/>
  <c r="D2233" i="13"/>
  <c r="D2236" i="13"/>
  <c r="D2239" i="13"/>
  <c r="D2242" i="13"/>
  <c r="D2245" i="13"/>
  <c r="D2248" i="13"/>
  <c r="D2251" i="13"/>
  <c r="D2254" i="13"/>
  <c r="D2257" i="13"/>
  <c r="D2260" i="13"/>
  <c r="D2263" i="13"/>
  <c r="D2266" i="13"/>
  <c r="D2269" i="13"/>
  <c r="D2272" i="13"/>
  <c r="D2275" i="13"/>
  <c r="D2278" i="13"/>
  <c r="D2281" i="13"/>
  <c r="D2284" i="13"/>
  <c r="D2287" i="13"/>
  <c r="D2290" i="13"/>
  <c r="D2293" i="13"/>
  <c r="D2296" i="13"/>
  <c r="D2299" i="13"/>
  <c r="D2302" i="13"/>
  <c r="D2305" i="13"/>
  <c r="D2308" i="13"/>
  <c r="D2311" i="13"/>
  <c r="D2314" i="13"/>
  <c r="D2317" i="13"/>
  <c r="D2320" i="13"/>
  <c r="D2323" i="13"/>
  <c r="D2326" i="13"/>
  <c r="D2329" i="13"/>
  <c r="D2332" i="13"/>
  <c r="D2335" i="13"/>
  <c r="D2338" i="13"/>
  <c r="D2341" i="13"/>
  <c r="D2344" i="13"/>
  <c r="D2347" i="13"/>
  <c r="D2350" i="13"/>
  <c r="D2353" i="13"/>
  <c r="D2356" i="13"/>
  <c r="D2359" i="13"/>
  <c r="D2362" i="13"/>
  <c r="D2365" i="13"/>
  <c r="D2368" i="13"/>
  <c r="D2371" i="13"/>
  <c r="D2374" i="13"/>
  <c r="D2377" i="13"/>
  <c r="D2380" i="13"/>
  <c r="D2383" i="13"/>
  <c r="D2386" i="13"/>
  <c r="D2389" i="13"/>
  <c r="D2392" i="13"/>
  <c r="D2395" i="13"/>
  <c r="D2398" i="13"/>
  <c r="D2401" i="13"/>
  <c r="D2404" i="13"/>
  <c r="D2407" i="13"/>
  <c r="D2410" i="13"/>
  <c r="D2413" i="13"/>
  <c r="D2416" i="13"/>
  <c r="D2419" i="13"/>
  <c r="D2422" i="13"/>
  <c r="D2425" i="13"/>
  <c r="D2428" i="13"/>
  <c r="D2431" i="13"/>
  <c r="D2434" i="13"/>
  <c r="D2437" i="13"/>
  <c r="D2440" i="13"/>
  <c r="D2443" i="13"/>
  <c r="D2446" i="13"/>
  <c r="D2449" i="13"/>
  <c r="D2452" i="13"/>
  <c r="D2455" i="13"/>
  <c r="D2458" i="13"/>
  <c r="D2461" i="13"/>
  <c r="D2464" i="13"/>
  <c r="D2467" i="13"/>
  <c r="D2470" i="13"/>
  <c r="D2473" i="13"/>
  <c r="D2476" i="13"/>
  <c r="D2479" i="13"/>
  <c r="D2482" i="13"/>
  <c r="D2485" i="13"/>
  <c r="D2488" i="13"/>
  <c r="D2491" i="13"/>
  <c r="D2494" i="13"/>
  <c r="D2497" i="13"/>
  <c r="D2500" i="13"/>
  <c r="D2503" i="13"/>
  <c r="D2506" i="13"/>
  <c r="D2509" i="13"/>
  <c r="D2512" i="13"/>
  <c r="D2515" i="13"/>
  <c r="D2518" i="13"/>
  <c r="D2521" i="13"/>
  <c r="D2524" i="13"/>
  <c r="D2527" i="13"/>
  <c r="D2530" i="13"/>
  <c r="D2533" i="13"/>
  <c r="D2536" i="13"/>
  <c r="D2539" i="13"/>
  <c r="D2542" i="13"/>
  <c r="D2545" i="13"/>
  <c r="D2548" i="13"/>
  <c r="D2551" i="13"/>
  <c r="D2554" i="13"/>
  <c r="D2557" i="13"/>
  <c r="D2560" i="13"/>
  <c r="D2563" i="13"/>
  <c r="D2566" i="13"/>
  <c r="D2569" i="13"/>
  <c r="D2572" i="13"/>
  <c r="D2575" i="13"/>
  <c r="D2578" i="13"/>
  <c r="D2581" i="13"/>
  <c r="D2584" i="13"/>
  <c r="D2587" i="13"/>
  <c r="D2590" i="13"/>
  <c r="D2593" i="13"/>
  <c r="D2596" i="13"/>
  <c r="D2599" i="13"/>
  <c r="D2602" i="13"/>
  <c r="D2605" i="13"/>
  <c r="D2608" i="13"/>
  <c r="D2611" i="13"/>
  <c r="D2614" i="13"/>
  <c r="D2617" i="13"/>
  <c r="D2620" i="13"/>
  <c r="D2623" i="13"/>
  <c r="D2626" i="13"/>
  <c r="D2629" i="13"/>
  <c r="D2632" i="13"/>
  <c r="D2635" i="13"/>
  <c r="D2638" i="13"/>
  <c r="D2641" i="13"/>
  <c r="D2644" i="13"/>
  <c r="D2647" i="13"/>
  <c r="D2650" i="13"/>
  <c r="D2653" i="13"/>
  <c r="D2656" i="13"/>
  <c r="D2659" i="13"/>
  <c r="D2662" i="13"/>
  <c r="D2665" i="13"/>
  <c r="D2668" i="13"/>
  <c r="D2671" i="13"/>
  <c r="D2674" i="13"/>
  <c r="D2677" i="13"/>
  <c r="D2680" i="13"/>
  <c r="D2683" i="13"/>
  <c r="D2686" i="13"/>
  <c r="D2689" i="13"/>
  <c r="D2692" i="13"/>
  <c r="D2695" i="13"/>
  <c r="D2698" i="13"/>
  <c r="D2701" i="13"/>
  <c r="D2704" i="13"/>
  <c r="D2707" i="13"/>
  <c r="D2710" i="13"/>
  <c r="D2713" i="13"/>
  <c r="D2716" i="13"/>
  <c r="D2719" i="13"/>
  <c r="D2722" i="13"/>
  <c r="D2725" i="13"/>
  <c r="D2728" i="13"/>
  <c r="D2731" i="13"/>
  <c r="D2734" i="13"/>
  <c r="D2737" i="13"/>
  <c r="D2740" i="13"/>
  <c r="D2743" i="13"/>
  <c r="D2746" i="13"/>
  <c r="D2749" i="13"/>
  <c r="D2752" i="13"/>
  <c r="D2755" i="13"/>
  <c r="D2758" i="13"/>
  <c r="D2761" i="13"/>
  <c r="D2764" i="13"/>
  <c r="D2767" i="13"/>
  <c r="D2770" i="13"/>
  <c r="D2773" i="13"/>
  <c r="D2776" i="13"/>
  <c r="D2779" i="13"/>
  <c r="D2782" i="13"/>
  <c r="D2785" i="13"/>
  <c r="D2788" i="13"/>
  <c r="D2791" i="13"/>
  <c r="D2794" i="13"/>
  <c r="D2797" i="13"/>
  <c r="D2800" i="13"/>
  <c r="D2803" i="13"/>
  <c r="D2806" i="13"/>
  <c r="D2809" i="13"/>
  <c r="D2812" i="13"/>
  <c r="D2815" i="13"/>
  <c r="D2818" i="13"/>
  <c r="D2821" i="13"/>
  <c r="D2824" i="13"/>
  <c r="D2827" i="13"/>
  <c r="D2830" i="13"/>
  <c r="D2833" i="13"/>
  <c r="D2836" i="13"/>
  <c r="D2839" i="13"/>
  <c r="D2842" i="13"/>
  <c r="D2845" i="13"/>
  <c r="D2848" i="13"/>
  <c r="D2851" i="13"/>
  <c r="D2854" i="13"/>
  <c r="D2857" i="13"/>
  <c r="D2860" i="13"/>
  <c r="D2863" i="13"/>
  <c r="D2866" i="13"/>
  <c r="D2869" i="13"/>
  <c r="D2872" i="13"/>
  <c r="D2875" i="13"/>
  <c r="D2878" i="13"/>
  <c r="D2881" i="13"/>
  <c r="D2884" i="13"/>
  <c r="D2887" i="13"/>
  <c r="D2890" i="13"/>
  <c r="D2893" i="13"/>
  <c r="D2896" i="13"/>
  <c r="D2899" i="13"/>
  <c r="D2902" i="13"/>
  <c r="D2905" i="13"/>
  <c r="D2908" i="13"/>
  <c r="D2911" i="13"/>
  <c r="D2914" i="13"/>
  <c r="D2917" i="13"/>
  <c r="D2920" i="13"/>
  <c r="D2923" i="13"/>
  <c r="D2926" i="13"/>
  <c r="D2929" i="13"/>
  <c r="D2932" i="13"/>
  <c r="D2935" i="13"/>
  <c r="D2938" i="13"/>
  <c r="D2941" i="13"/>
  <c r="D2944" i="13"/>
  <c r="D2947" i="13"/>
  <c r="D2950" i="13"/>
  <c r="D2953" i="13"/>
  <c r="D2956" i="13"/>
  <c r="D2959" i="13"/>
  <c r="D2962" i="13"/>
  <c r="D2965" i="13"/>
  <c r="D2968" i="13"/>
  <c r="D2971" i="13"/>
  <c r="D2974" i="13"/>
  <c r="D2977" i="13"/>
  <c r="D2980" i="13"/>
  <c r="D2983" i="13"/>
  <c r="D2986" i="13"/>
  <c r="D2989" i="13"/>
  <c r="D2992" i="13"/>
  <c r="D2995" i="13"/>
  <c r="D2998" i="13"/>
  <c r="D3001" i="13"/>
  <c r="D3004" i="13"/>
  <c r="D3007" i="13"/>
  <c r="D3010" i="13"/>
  <c r="D3013" i="13"/>
  <c r="D3016" i="13"/>
  <c r="D3019" i="13"/>
  <c r="D3022" i="13"/>
  <c r="D3025" i="13"/>
  <c r="D3028" i="13"/>
  <c r="D3031" i="13"/>
  <c r="D3034" i="13"/>
  <c r="D3037" i="13"/>
  <c r="D3040" i="13"/>
  <c r="D3043" i="13"/>
  <c r="D3046" i="13"/>
  <c r="D3049" i="13"/>
  <c r="D3052" i="13"/>
  <c r="D3055" i="13"/>
  <c r="D3058" i="13"/>
  <c r="D3061" i="13"/>
  <c r="D3064" i="13"/>
  <c r="D3067" i="13"/>
  <c r="D3070" i="13"/>
  <c r="D3073" i="13"/>
  <c r="D3076" i="13"/>
  <c r="D3079" i="13"/>
  <c r="D3082" i="13"/>
  <c r="D3085" i="13"/>
  <c r="D3088" i="13"/>
  <c r="D3091" i="13"/>
  <c r="D3094" i="13"/>
  <c r="D3097" i="13"/>
  <c r="D3100" i="13"/>
  <c r="D3103" i="13"/>
  <c r="D3106" i="13"/>
  <c r="D3109" i="13"/>
  <c r="D3112" i="13"/>
  <c r="D3115" i="13"/>
  <c r="D3118" i="13"/>
  <c r="D3121" i="13"/>
  <c r="D3124" i="13"/>
  <c r="D3127" i="13"/>
  <c r="D3130" i="13"/>
  <c r="D3133" i="13"/>
  <c r="D3136" i="13"/>
  <c r="D3139" i="13"/>
  <c r="D3142" i="13"/>
  <c r="D3145" i="13"/>
  <c r="D3148" i="13"/>
  <c r="D3151" i="13"/>
  <c r="D3154" i="13"/>
  <c r="D3157" i="13"/>
  <c r="D3160" i="13"/>
  <c r="D3163" i="13"/>
  <c r="L3162" i="13"/>
  <c r="G3162" i="13"/>
  <c r="D11" i="3"/>
  <c r="D14" i="3"/>
  <c r="D17" i="3"/>
  <c r="D20" i="3"/>
  <c r="D23" i="3"/>
  <c r="D26" i="3"/>
  <c r="D29" i="3"/>
  <c r="D32" i="3"/>
  <c r="D3" i="13"/>
  <c r="D6" i="13"/>
  <c r="D9" i="13"/>
  <c r="D12" i="13"/>
  <c r="D15" i="13"/>
  <c r="D18" i="13"/>
  <c r="D21" i="13"/>
  <c r="D24" i="13"/>
  <c r="D27" i="13"/>
  <c r="D30" i="13"/>
  <c r="D33" i="13"/>
  <c r="D36" i="13"/>
  <c r="D39" i="13"/>
  <c r="D42" i="13"/>
  <c r="D45" i="13"/>
  <c r="D48" i="13"/>
  <c r="D51" i="13"/>
  <c r="D54" i="13"/>
  <c r="D57" i="13"/>
  <c r="D60" i="13"/>
  <c r="D63" i="13"/>
  <c r="D66" i="13"/>
  <c r="D69" i="13"/>
  <c r="D72" i="13"/>
  <c r="D75" i="13"/>
  <c r="D78" i="13"/>
  <c r="D81" i="13"/>
  <c r="D84" i="13"/>
  <c r="D87" i="13"/>
  <c r="D90" i="13"/>
  <c r="D93" i="13"/>
  <c r="D96" i="13"/>
  <c r="D99" i="13"/>
  <c r="D102" i="13"/>
  <c r="D105" i="13"/>
  <c r="D108" i="13"/>
  <c r="D111" i="13"/>
  <c r="D114" i="13"/>
  <c r="D117" i="13"/>
  <c r="D120" i="13"/>
  <c r="D123" i="13"/>
  <c r="D126" i="13"/>
  <c r="D129" i="13"/>
  <c r="D132" i="13"/>
  <c r="D135" i="13"/>
  <c r="D138" i="13"/>
  <c r="D141" i="13"/>
  <c r="D144" i="13"/>
  <c r="D147" i="13"/>
  <c r="D150" i="13"/>
  <c r="D153" i="13"/>
  <c r="D156" i="13"/>
  <c r="D159" i="13"/>
  <c r="D162" i="13"/>
  <c r="D165" i="13"/>
  <c r="D168" i="13"/>
  <c r="D171" i="13"/>
  <c r="D174" i="13"/>
  <c r="D177" i="13"/>
  <c r="D180" i="13"/>
  <c r="D183" i="13"/>
  <c r="D186" i="13"/>
  <c r="D189" i="13"/>
  <c r="D192" i="13"/>
  <c r="D195" i="13"/>
  <c r="D198" i="13"/>
  <c r="D201" i="13"/>
  <c r="D204" i="13"/>
  <c r="D207" i="13"/>
  <c r="D210" i="13"/>
  <c r="D213" i="13"/>
  <c r="D216" i="13"/>
  <c r="D219" i="13"/>
  <c r="D222" i="13"/>
  <c r="D225" i="13"/>
  <c r="D228" i="13"/>
  <c r="D231" i="13"/>
  <c r="D234" i="13"/>
  <c r="D237" i="13"/>
  <c r="D240" i="13"/>
  <c r="D243" i="13"/>
  <c r="D246" i="13"/>
  <c r="D249" i="13"/>
  <c r="D252" i="13"/>
  <c r="D255" i="13"/>
  <c r="D258" i="13"/>
  <c r="D261" i="13"/>
  <c r="D264" i="13"/>
  <c r="D267" i="13"/>
  <c r="D270" i="13"/>
  <c r="D273" i="13"/>
  <c r="D276" i="13"/>
  <c r="D279" i="13"/>
  <c r="D282" i="13"/>
  <c r="D285" i="13"/>
  <c r="D288" i="13"/>
  <c r="D291" i="13"/>
  <c r="D294" i="13"/>
  <c r="D297" i="13"/>
  <c r="D300" i="13"/>
  <c r="D303" i="13"/>
  <c r="D306" i="13"/>
  <c r="D309" i="13"/>
  <c r="D312" i="13"/>
  <c r="D315" i="13"/>
  <c r="D318" i="13"/>
  <c r="D321" i="13"/>
  <c r="D324" i="13"/>
  <c r="D327" i="13"/>
  <c r="D330" i="13"/>
  <c r="D333" i="13"/>
  <c r="D336" i="13"/>
  <c r="D339" i="13"/>
  <c r="D342" i="13"/>
  <c r="D345" i="13"/>
  <c r="D348" i="13"/>
  <c r="D351" i="13"/>
  <c r="D354" i="13"/>
  <c r="D357" i="13"/>
  <c r="D360" i="13"/>
  <c r="D363" i="13"/>
  <c r="D366" i="13"/>
  <c r="D369" i="13"/>
  <c r="D372" i="13"/>
  <c r="D375" i="13"/>
  <c r="D378" i="13"/>
  <c r="D381" i="13"/>
  <c r="D384" i="13"/>
  <c r="D387" i="13"/>
  <c r="D390" i="13"/>
  <c r="D393" i="13"/>
  <c r="D396" i="13"/>
  <c r="D399" i="13"/>
  <c r="D402" i="13"/>
  <c r="D405" i="13"/>
  <c r="D408" i="13"/>
  <c r="D411" i="13"/>
  <c r="D414" i="13"/>
  <c r="D417" i="13"/>
  <c r="D420" i="13"/>
  <c r="D423" i="13"/>
  <c r="D426" i="13"/>
  <c r="D429" i="13"/>
  <c r="D432" i="13"/>
  <c r="D435" i="13"/>
  <c r="D438" i="13"/>
  <c r="D441" i="13"/>
  <c r="D444" i="13"/>
  <c r="D447" i="13"/>
  <c r="D450" i="13"/>
  <c r="D453" i="13"/>
  <c r="D456" i="13"/>
  <c r="D459" i="13"/>
  <c r="D462" i="13"/>
  <c r="D465" i="13"/>
  <c r="D468" i="13"/>
  <c r="D471" i="13"/>
  <c r="D474" i="13"/>
  <c r="D477" i="13"/>
  <c r="D480" i="13"/>
  <c r="D483" i="13"/>
  <c r="D486" i="13"/>
  <c r="D489" i="13"/>
  <c r="D492" i="13"/>
  <c r="D495" i="13"/>
  <c r="D498" i="13"/>
  <c r="D501" i="13"/>
  <c r="D504" i="13"/>
  <c r="D507" i="13"/>
  <c r="D510" i="13"/>
  <c r="D513" i="13"/>
  <c r="D516" i="13"/>
  <c r="D519" i="13"/>
  <c r="D522" i="13"/>
  <c r="D525" i="13"/>
  <c r="D528" i="13"/>
  <c r="D531" i="13"/>
  <c r="D534" i="13"/>
  <c r="D537" i="13"/>
  <c r="D540" i="13"/>
  <c r="D543" i="13"/>
  <c r="D546" i="13"/>
  <c r="D549" i="13"/>
  <c r="D552" i="13"/>
  <c r="D555" i="13"/>
  <c r="D558" i="13"/>
  <c r="D561" i="13"/>
  <c r="D564" i="13"/>
  <c r="D567" i="13"/>
  <c r="D570" i="13"/>
  <c r="D573" i="13"/>
  <c r="D576" i="13"/>
  <c r="D579" i="13"/>
  <c r="D582" i="13"/>
  <c r="D585" i="13"/>
  <c r="D588" i="13"/>
  <c r="D591" i="13"/>
  <c r="D594" i="13"/>
  <c r="D597" i="13"/>
  <c r="D600" i="13"/>
  <c r="D603" i="13"/>
  <c r="D606" i="13"/>
  <c r="D609" i="13"/>
  <c r="D612" i="13"/>
  <c r="D615" i="13"/>
  <c r="D618" i="13"/>
  <c r="D621" i="13"/>
  <c r="D624" i="13"/>
  <c r="D627" i="13"/>
  <c r="D630" i="13"/>
  <c r="D633" i="13"/>
  <c r="D636" i="13"/>
  <c r="D639" i="13"/>
  <c r="D642" i="13"/>
  <c r="D645" i="13"/>
  <c r="D648" i="13"/>
  <c r="D651" i="13"/>
  <c r="D654" i="13"/>
  <c r="D657" i="13"/>
  <c r="D660" i="13"/>
  <c r="D663" i="13"/>
  <c r="D666" i="13"/>
  <c r="D669" i="13"/>
  <c r="D672" i="13"/>
  <c r="D675" i="13"/>
  <c r="D678" i="13"/>
  <c r="D681" i="13"/>
  <c r="D684" i="13"/>
  <c r="D687" i="13"/>
  <c r="D690" i="13"/>
  <c r="D693" i="13"/>
  <c r="D696" i="13"/>
  <c r="D699" i="13"/>
  <c r="D702" i="13"/>
  <c r="D705" i="13"/>
  <c r="D708" i="13"/>
  <c r="D711" i="13"/>
  <c r="D714" i="13"/>
  <c r="D717" i="13"/>
  <c r="D720" i="13"/>
  <c r="D723" i="13"/>
  <c r="D726" i="13"/>
  <c r="D729" i="13"/>
  <c r="D732" i="13"/>
  <c r="D735" i="13"/>
  <c r="D738" i="13"/>
  <c r="D741" i="13"/>
  <c r="D744" i="13"/>
  <c r="D747" i="13"/>
  <c r="D750" i="13"/>
  <c r="D753" i="13"/>
  <c r="D756" i="13"/>
  <c r="D759" i="13"/>
  <c r="D762" i="13"/>
  <c r="D765" i="13"/>
  <c r="D768" i="13"/>
  <c r="D771" i="13"/>
  <c r="D774" i="13"/>
  <c r="D777" i="13"/>
  <c r="D780" i="13"/>
  <c r="D783" i="13"/>
  <c r="D786" i="13"/>
  <c r="D789" i="13"/>
  <c r="D792" i="13"/>
  <c r="D795" i="13"/>
  <c r="D798" i="13"/>
  <c r="D801" i="13"/>
  <c r="D804" i="13"/>
  <c r="D807" i="13"/>
  <c r="D810" i="13"/>
  <c r="D813" i="13"/>
  <c r="D816" i="13"/>
  <c r="D819" i="13"/>
  <c r="D822" i="13"/>
  <c r="D825" i="13"/>
  <c r="D828" i="13"/>
  <c r="D831" i="13"/>
  <c r="D834" i="13"/>
  <c r="D837" i="13"/>
  <c r="D840" i="13"/>
  <c r="D843" i="13"/>
  <c r="D846" i="13"/>
  <c r="D849" i="13"/>
  <c r="D852" i="13"/>
  <c r="D855" i="13"/>
  <c r="D858" i="13"/>
  <c r="D861" i="13"/>
  <c r="D864" i="13"/>
  <c r="D867" i="13"/>
  <c r="D870" i="13"/>
  <c r="D873" i="13"/>
  <c r="D876" i="13"/>
  <c r="D879" i="13"/>
  <c r="D882" i="13"/>
  <c r="D885" i="13"/>
  <c r="D888" i="13"/>
  <c r="D891" i="13"/>
  <c r="D894" i="13"/>
  <c r="D897" i="13"/>
  <c r="D900" i="13"/>
  <c r="D903" i="13"/>
  <c r="D906" i="13"/>
  <c r="D909" i="13"/>
  <c r="D912" i="13"/>
  <c r="D915" i="13"/>
  <c r="D918" i="13"/>
  <c r="D921" i="13"/>
  <c r="D924" i="13"/>
  <c r="D927" i="13"/>
  <c r="D930" i="13"/>
  <c r="D933" i="13"/>
  <c r="D936" i="13"/>
  <c r="D939" i="13"/>
  <c r="D942" i="13"/>
  <c r="D945" i="13"/>
  <c r="D948" i="13"/>
  <c r="D951" i="13"/>
  <c r="D954" i="13"/>
  <c r="D957" i="13"/>
  <c r="D960" i="13"/>
  <c r="D963" i="13"/>
  <c r="D966" i="13"/>
  <c r="D969" i="13"/>
  <c r="D972" i="13"/>
  <c r="D975" i="13"/>
  <c r="D978" i="13"/>
  <c r="D981" i="13"/>
  <c r="D984" i="13"/>
  <c r="D987" i="13"/>
  <c r="D990" i="13"/>
  <c r="D993" i="13"/>
  <c r="D996" i="13"/>
  <c r="D999" i="13"/>
  <c r="D1002" i="13"/>
  <c r="D1005" i="13"/>
  <c r="D1008" i="13"/>
  <c r="D1011" i="13"/>
  <c r="D1014" i="13"/>
  <c r="D1017" i="13"/>
  <c r="D1020" i="13"/>
  <c r="D1023" i="13"/>
  <c r="D1026" i="13"/>
  <c r="D1029" i="13"/>
  <c r="D1032" i="13"/>
  <c r="D1035" i="13"/>
  <c r="D1038" i="13"/>
  <c r="D1041" i="13"/>
  <c r="D1044" i="13"/>
  <c r="D1047" i="13"/>
  <c r="D1050" i="13"/>
  <c r="D1053" i="13"/>
  <c r="D1056" i="13"/>
  <c r="D1059" i="13"/>
  <c r="D1062" i="13"/>
  <c r="D1065" i="13"/>
  <c r="D1068" i="13"/>
  <c r="D1071" i="13"/>
  <c r="D1074" i="13"/>
  <c r="D1077" i="13"/>
  <c r="D1080" i="13"/>
  <c r="D1083" i="13"/>
  <c r="D1086" i="13"/>
  <c r="D1089" i="13"/>
  <c r="D1092" i="13"/>
  <c r="D1095" i="13"/>
  <c r="D1098" i="13"/>
  <c r="D1101" i="13"/>
  <c r="D1104" i="13"/>
  <c r="D1107" i="13"/>
  <c r="D1110" i="13"/>
  <c r="D1113" i="13"/>
  <c r="D1116" i="13"/>
  <c r="D1119" i="13"/>
  <c r="D1122" i="13"/>
  <c r="D1125" i="13"/>
  <c r="D1128" i="13"/>
  <c r="D1131" i="13"/>
  <c r="D1134" i="13"/>
  <c r="D1137" i="13"/>
  <c r="D1140" i="13"/>
  <c r="D1143" i="13"/>
  <c r="D1146" i="13"/>
  <c r="D1149" i="13"/>
  <c r="D1152" i="13"/>
  <c r="D1155" i="13"/>
  <c r="D1158" i="13"/>
  <c r="D1161" i="13"/>
  <c r="D1164" i="13"/>
  <c r="D1167" i="13"/>
  <c r="D1170" i="13"/>
  <c r="D1173" i="13"/>
  <c r="D1176" i="13"/>
  <c r="D1179" i="13"/>
  <c r="D1182" i="13"/>
  <c r="D1185" i="13"/>
  <c r="D1188" i="13"/>
  <c r="D1191" i="13"/>
  <c r="D1194" i="13"/>
  <c r="D1197" i="13"/>
  <c r="D1200" i="13"/>
  <c r="D1203" i="13"/>
  <c r="D1206" i="13"/>
  <c r="D1209" i="13"/>
  <c r="D1212" i="13"/>
  <c r="D1215" i="13"/>
  <c r="D1218" i="13"/>
  <c r="D1221" i="13"/>
  <c r="D1224" i="13"/>
  <c r="D1227" i="13"/>
  <c r="D1230" i="13"/>
  <c r="D1233" i="13"/>
  <c r="D1236" i="13"/>
  <c r="D1239" i="13"/>
  <c r="D1242" i="13"/>
  <c r="D1245" i="13"/>
  <c r="D1248" i="13"/>
  <c r="D1251" i="13"/>
  <c r="D1254" i="13"/>
  <c r="D1257" i="13"/>
  <c r="D1260" i="13"/>
  <c r="D1263" i="13"/>
  <c r="D1266" i="13"/>
  <c r="D1269" i="13"/>
  <c r="D1272" i="13"/>
  <c r="D1275" i="13"/>
  <c r="D1278" i="13"/>
  <c r="D1281" i="13"/>
  <c r="D1284" i="13"/>
  <c r="D1287" i="13"/>
  <c r="D1290" i="13"/>
  <c r="D1293" i="13"/>
  <c r="D1296" i="13"/>
  <c r="D1299" i="13"/>
  <c r="D1302" i="13"/>
  <c r="D1305" i="13"/>
  <c r="D1308" i="13"/>
  <c r="D1311" i="13"/>
  <c r="D1314" i="13"/>
  <c r="D1317" i="13"/>
  <c r="D1320" i="13"/>
  <c r="D1323" i="13"/>
  <c r="D1326" i="13"/>
  <c r="D1329" i="13"/>
  <c r="D1332" i="13"/>
  <c r="D1335" i="13"/>
  <c r="D1338" i="13"/>
  <c r="D1341" i="13"/>
  <c r="D1344" i="13"/>
  <c r="D1347" i="13"/>
  <c r="D1350" i="13"/>
  <c r="D1353" i="13"/>
  <c r="D1356" i="13"/>
  <c r="D1359" i="13"/>
  <c r="D1362" i="13"/>
  <c r="D1365" i="13"/>
  <c r="D1368" i="13"/>
  <c r="D1371" i="13"/>
  <c r="D1374" i="13"/>
  <c r="D1377" i="13"/>
  <c r="D1380" i="13"/>
  <c r="D1383" i="13"/>
  <c r="D1386" i="13"/>
  <c r="D1389" i="13"/>
  <c r="D1392" i="13"/>
  <c r="D1395" i="13"/>
  <c r="D1398" i="13"/>
  <c r="D1401" i="13"/>
  <c r="D1404" i="13"/>
  <c r="D1407" i="13"/>
  <c r="D1410" i="13"/>
  <c r="D1413" i="13"/>
  <c r="D1416" i="13"/>
  <c r="D1419" i="13"/>
  <c r="D1422" i="13"/>
  <c r="D1425" i="13"/>
  <c r="D1428" i="13"/>
  <c r="D1431" i="13"/>
  <c r="D1434" i="13"/>
  <c r="D1437" i="13"/>
  <c r="D1440" i="13"/>
  <c r="D1443" i="13"/>
  <c r="D1446" i="13"/>
  <c r="D1449" i="13"/>
  <c r="D1452" i="13"/>
  <c r="D1455" i="13"/>
  <c r="D1458" i="13"/>
  <c r="D1461" i="13"/>
  <c r="D1464" i="13"/>
  <c r="D1467" i="13"/>
  <c r="D1470" i="13"/>
  <c r="D1473" i="13"/>
  <c r="D1476" i="13"/>
  <c r="D1479" i="13"/>
  <c r="D1482" i="13"/>
  <c r="D1485" i="13"/>
  <c r="D1488" i="13"/>
  <c r="D1491" i="13"/>
  <c r="D1494" i="13"/>
  <c r="D1497" i="13"/>
  <c r="D1500" i="13"/>
  <c r="D1503" i="13"/>
  <c r="D1506" i="13"/>
  <c r="D1509" i="13"/>
  <c r="D1512" i="13"/>
  <c r="D1515" i="13"/>
  <c r="D1518" i="13"/>
  <c r="D1521" i="13"/>
  <c r="D1524" i="13"/>
  <c r="D1527" i="13"/>
  <c r="D1530" i="13"/>
  <c r="D1533" i="13"/>
  <c r="D1536" i="13"/>
  <c r="D1539" i="13"/>
  <c r="D1542" i="13"/>
  <c r="D1545" i="13"/>
  <c r="D1548" i="13"/>
  <c r="D1551" i="13"/>
  <c r="D1554" i="13"/>
  <c r="D1557" i="13"/>
  <c r="D1560" i="13"/>
  <c r="D1563" i="13"/>
  <c r="D1566" i="13"/>
  <c r="D1569" i="13"/>
  <c r="D1572" i="13"/>
  <c r="D1575" i="13"/>
  <c r="D1578" i="13"/>
  <c r="D1581" i="13"/>
  <c r="D1584" i="13"/>
  <c r="D1587" i="13"/>
  <c r="D1590" i="13"/>
  <c r="D1593" i="13"/>
  <c r="D1596" i="13"/>
  <c r="D1599" i="13"/>
  <c r="D1602" i="13"/>
  <c r="D1605" i="13"/>
  <c r="D1608" i="13"/>
  <c r="D1611" i="13"/>
  <c r="D1614" i="13"/>
  <c r="D1617" i="13"/>
  <c r="D1620" i="13"/>
  <c r="D1623" i="13"/>
  <c r="D1626" i="13"/>
  <c r="D1629" i="13"/>
  <c r="D1632" i="13"/>
  <c r="D1635" i="13"/>
  <c r="D1638" i="13"/>
  <c r="D1641" i="13"/>
  <c r="D1644" i="13"/>
  <c r="D1647" i="13"/>
  <c r="D1650" i="13"/>
  <c r="D1653" i="13"/>
  <c r="D1656" i="13"/>
  <c r="D1659" i="13"/>
  <c r="D1662" i="13"/>
  <c r="D1665" i="13"/>
  <c r="D1668" i="13"/>
  <c r="D1671" i="13"/>
  <c r="D1674" i="13"/>
  <c r="D1677" i="13"/>
  <c r="D1680" i="13"/>
  <c r="D1683" i="13"/>
  <c r="D1686" i="13"/>
  <c r="D1689" i="13"/>
  <c r="D1692" i="13"/>
  <c r="D1695" i="13"/>
  <c r="D1698" i="13"/>
  <c r="D1701" i="13"/>
  <c r="D1704" i="13"/>
  <c r="D1707" i="13"/>
  <c r="D1710" i="13"/>
  <c r="D1713" i="13"/>
  <c r="D1716" i="13"/>
  <c r="D1719" i="13"/>
  <c r="D1722" i="13"/>
  <c r="D1725" i="13"/>
  <c r="D1728" i="13"/>
  <c r="D1731" i="13"/>
  <c r="D1734" i="13"/>
  <c r="D1737" i="13"/>
  <c r="D1740" i="13"/>
  <c r="D1743" i="13"/>
  <c r="D1746" i="13"/>
  <c r="D1749" i="13"/>
  <c r="D1752" i="13"/>
  <c r="D1755" i="13"/>
  <c r="D1758" i="13"/>
  <c r="D1761" i="13"/>
  <c r="D1764" i="13"/>
  <c r="D1767" i="13"/>
  <c r="D1770" i="13"/>
  <c r="D1773" i="13"/>
  <c r="D1776" i="13"/>
  <c r="D1779" i="13"/>
  <c r="D1782" i="13"/>
  <c r="D1785" i="13"/>
  <c r="D1788" i="13"/>
  <c r="D1791" i="13"/>
  <c r="D1794" i="13"/>
  <c r="D1797" i="13"/>
  <c r="D1800" i="13"/>
  <c r="D1803" i="13"/>
  <c r="D1806" i="13"/>
  <c r="D1809" i="13"/>
  <c r="D1812" i="13"/>
  <c r="D1815" i="13"/>
  <c r="D1818" i="13"/>
  <c r="D1821" i="13"/>
  <c r="D1824" i="13"/>
  <c r="D1827" i="13"/>
  <c r="D1830" i="13"/>
  <c r="D1833" i="13"/>
  <c r="D1836" i="13"/>
  <c r="D1839" i="13"/>
  <c r="D1842" i="13"/>
  <c r="D1845" i="13"/>
  <c r="D1848" i="13"/>
  <c r="D1851" i="13"/>
  <c r="D1854" i="13"/>
  <c r="D1857" i="13"/>
  <c r="D1860" i="13"/>
  <c r="D1863" i="13"/>
  <c r="D1866" i="13"/>
  <c r="D1869" i="13"/>
  <c r="D1872" i="13"/>
  <c r="D1875" i="13"/>
  <c r="D1878" i="13"/>
  <c r="D1881" i="13"/>
  <c r="D1884" i="13"/>
  <c r="D1887" i="13"/>
  <c r="D1890" i="13"/>
  <c r="D1893" i="13"/>
  <c r="D1896" i="13"/>
  <c r="D1899" i="13"/>
  <c r="D1902" i="13"/>
  <c r="D1905" i="13"/>
  <c r="D1908" i="13"/>
  <c r="D1911" i="13"/>
  <c r="D1914" i="13"/>
  <c r="D1917" i="13"/>
  <c r="D1920" i="13"/>
  <c r="D1923" i="13"/>
  <c r="D1926" i="13"/>
  <c r="D1929" i="13"/>
  <c r="D1932" i="13"/>
  <c r="D1935" i="13"/>
  <c r="D1938" i="13"/>
  <c r="D1941" i="13"/>
  <c r="D1944" i="13"/>
  <c r="D1947" i="13"/>
  <c r="D1950" i="13"/>
  <c r="D1953" i="13"/>
  <c r="D1956" i="13"/>
  <c r="D1959" i="13"/>
  <c r="D1962" i="13"/>
  <c r="D1965" i="13"/>
  <c r="D1968" i="13"/>
  <c r="D1971" i="13"/>
  <c r="D1974" i="13"/>
  <c r="D1977" i="13"/>
  <c r="D1980" i="13"/>
  <c r="D1983" i="13"/>
  <c r="D1986" i="13"/>
  <c r="D1989" i="13"/>
  <c r="D1992" i="13"/>
  <c r="D1995" i="13"/>
  <c r="D1998" i="13"/>
  <c r="D2001" i="13"/>
  <c r="D2004" i="13"/>
  <c r="D2007" i="13"/>
  <c r="D2010" i="13"/>
  <c r="D2013" i="13"/>
  <c r="D2016" i="13"/>
  <c r="D2019" i="13"/>
  <c r="D2022" i="13"/>
  <c r="D2025" i="13"/>
  <c r="D2028" i="13"/>
  <c r="D2031" i="13"/>
  <c r="D2034" i="13"/>
  <c r="D2037" i="13"/>
  <c r="D2040" i="13"/>
  <c r="D2043" i="13"/>
  <c r="D2046" i="13"/>
  <c r="D2049" i="13"/>
  <c r="D2052" i="13"/>
  <c r="D2055" i="13"/>
  <c r="D2058" i="13"/>
  <c r="D2061" i="13"/>
  <c r="D2064" i="13"/>
  <c r="D2067" i="13"/>
  <c r="D2070" i="13"/>
  <c r="D2073" i="13"/>
  <c r="D2076" i="13"/>
  <c r="D2079" i="13"/>
  <c r="D2082" i="13"/>
  <c r="D2085" i="13"/>
  <c r="D2088" i="13"/>
  <c r="D2091" i="13"/>
  <c r="D2094" i="13"/>
  <c r="D2097" i="13"/>
  <c r="D2100" i="13"/>
  <c r="D2103" i="13"/>
  <c r="D2106" i="13"/>
  <c r="D2109" i="13"/>
  <c r="D2112" i="13"/>
  <c r="D2115" i="13"/>
  <c r="D2118" i="13"/>
  <c r="D2121" i="13"/>
  <c r="D2124" i="13"/>
  <c r="D2127" i="13"/>
  <c r="D2130" i="13"/>
  <c r="D2133" i="13"/>
  <c r="D2136" i="13"/>
  <c r="D2139" i="13"/>
  <c r="D2142" i="13"/>
  <c r="D2145" i="13"/>
  <c r="D2148" i="13"/>
  <c r="D2151" i="13"/>
  <c r="D2154" i="13"/>
  <c r="D2157" i="13"/>
  <c r="D2160" i="13"/>
  <c r="D2163" i="13"/>
  <c r="D2166" i="13"/>
  <c r="D2169" i="13"/>
  <c r="D2172" i="13"/>
  <c r="D2175" i="13"/>
  <c r="D2178" i="13"/>
  <c r="D2181" i="13"/>
  <c r="D2184" i="13"/>
  <c r="D2187" i="13"/>
  <c r="D2190" i="13"/>
  <c r="D2193" i="13"/>
  <c r="D2196" i="13"/>
  <c r="D2199" i="13"/>
  <c r="D2202" i="13"/>
  <c r="D2205" i="13"/>
  <c r="D2208" i="13"/>
  <c r="D2211" i="13"/>
  <c r="D2214" i="13"/>
  <c r="D2217" i="13"/>
  <c r="D2220" i="13"/>
  <c r="D2223" i="13"/>
  <c r="D2226" i="13"/>
  <c r="D2229" i="13"/>
  <c r="D2232" i="13"/>
  <c r="D2235" i="13"/>
  <c r="D2238" i="13"/>
  <c r="D2241" i="13"/>
  <c r="D2244" i="13"/>
  <c r="D2247" i="13"/>
  <c r="D2250" i="13"/>
  <c r="D2253" i="13"/>
  <c r="D2256" i="13"/>
  <c r="D2259" i="13"/>
  <c r="D2262" i="13"/>
  <c r="D2265" i="13"/>
  <c r="D2268" i="13"/>
  <c r="D2271" i="13"/>
  <c r="D2274" i="13"/>
  <c r="D2277" i="13"/>
  <c r="D2280" i="13"/>
  <c r="D2283" i="13"/>
  <c r="D2286" i="13"/>
  <c r="D2289" i="13"/>
  <c r="D2292" i="13"/>
  <c r="D2295" i="13"/>
  <c r="D2298" i="13"/>
  <c r="D2301" i="13"/>
  <c r="D2304" i="13"/>
  <c r="D2307" i="13"/>
  <c r="D2310" i="13"/>
  <c r="D2313" i="13"/>
  <c r="D2316" i="13"/>
  <c r="D2319" i="13"/>
  <c r="D2322" i="13"/>
  <c r="D2325" i="13"/>
  <c r="D2328" i="13"/>
  <c r="D2331" i="13"/>
  <c r="D2334" i="13"/>
  <c r="D2337" i="13"/>
  <c r="D2340" i="13"/>
  <c r="D2343" i="13"/>
  <c r="D2346" i="13"/>
  <c r="D2349" i="13"/>
  <c r="D2352" i="13"/>
  <c r="D2355" i="13"/>
  <c r="D2358" i="13"/>
  <c r="D2361" i="13"/>
  <c r="D2364" i="13"/>
  <c r="D2367" i="13"/>
  <c r="D2370" i="13"/>
  <c r="D2373" i="13"/>
  <c r="D2376" i="13"/>
  <c r="D2379" i="13"/>
  <c r="D2382" i="13"/>
  <c r="D2385" i="13"/>
  <c r="D2388" i="13"/>
  <c r="D2391" i="13"/>
  <c r="D2394" i="13"/>
  <c r="D2397" i="13"/>
  <c r="D2400" i="13"/>
  <c r="D2403" i="13"/>
  <c r="D2406" i="13"/>
  <c r="D2409" i="13"/>
  <c r="D2412" i="13"/>
  <c r="D2415" i="13"/>
  <c r="D2418" i="13"/>
  <c r="D2421" i="13"/>
  <c r="D2424" i="13"/>
  <c r="D2427" i="13"/>
  <c r="D2430" i="13"/>
  <c r="D2433" i="13"/>
  <c r="D2436" i="13"/>
  <c r="D2439" i="13"/>
  <c r="D2442" i="13"/>
  <c r="D2445" i="13"/>
  <c r="D2448" i="13"/>
  <c r="D2451" i="13"/>
  <c r="D2454" i="13"/>
  <c r="D2457" i="13"/>
  <c r="D2460" i="13"/>
  <c r="D2463" i="13"/>
  <c r="D2466" i="13"/>
  <c r="D2469" i="13"/>
  <c r="D2472" i="13"/>
  <c r="D2475" i="13"/>
  <c r="D2478" i="13"/>
  <c r="D2481" i="13"/>
  <c r="D2484" i="13"/>
  <c r="D2487" i="13"/>
  <c r="D2490" i="13"/>
  <c r="D2493" i="13"/>
  <c r="D2496" i="13"/>
  <c r="D2499" i="13"/>
  <c r="D2502" i="13"/>
  <c r="D2505" i="13"/>
  <c r="D2508" i="13"/>
  <c r="D2511" i="13"/>
  <c r="D2514" i="13"/>
  <c r="D2517" i="13"/>
  <c r="D2520" i="13"/>
  <c r="D2523" i="13"/>
  <c r="D2526" i="13"/>
  <c r="D2529" i="13"/>
  <c r="D2532" i="13"/>
  <c r="D2535" i="13"/>
  <c r="D2538" i="13"/>
  <c r="D2541" i="13"/>
  <c r="D2544" i="13"/>
  <c r="D2547" i="13"/>
  <c r="D2550" i="13"/>
  <c r="D2553" i="13"/>
  <c r="D2556" i="13"/>
  <c r="D2559" i="13"/>
  <c r="D2562" i="13"/>
  <c r="D2565" i="13"/>
  <c r="D2568" i="13"/>
  <c r="D2571" i="13"/>
  <c r="D2574" i="13"/>
  <c r="D2577" i="13"/>
  <c r="D2580" i="13"/>
  <c r="D2583" i="13"/>
  <c r="D2586" i="13"/>
  <c r="D2589" i="13"/>
  <c r="D2592" i="13"/>
  <c r="D2595" i="13"/>
  <c r="D2598" i="13"/>
  <c r="D2601" i="13"/>
  <c r="D2604" i="13"/>
  <c r="D2607" i="13"/>
  <c r="D2610" i="13"/>
  <c r="D2613" i="13"/>
  <c r="D2616" i="13"/>
  <c r="D2619" i="13"/>
  <c r="D2622" i="13"/>
  <c r="D2625" i="13"/>
  <c r="D2628" i="13"/>
  <c r="D2631" i="13"/>
  <c r="D2634" i="13"/>
  <c r="D2637" i="13"/>
  <c r="D2640" i="13"/>
  <c r="D2643" i="13"/>
  <c r="D2646" i="13"/>
  <c r="D2649" i="13"/>
  <c r="D2652" i="13"/>
  <c r="D2655" i="13"/>
  <c r="D2658" i="13"/>
  <c r="D2661" i="13"/>
  <c r="D2664" i="13"/>
  <c r="D2667" i="13"/>
  <c r="D2670" i="13"/>
  <c r="D2673" i="13"/>
  <c r="D2676" i="13"/>
  <c r="D2679" i="13"/>
  <c r="D2682" i="13"/>
  <c r="D2685" i="13"/>
  <c r="D2688" i="13"/>
  <c r="D2691" i="13"/>
  <c r="D2694" i="13"/>
  <c r="D2697" i="13"/>
  <c r="D2700" i="13"/>
  <c r="D2703" i="13"/>
  <c r="D2706" i="13"/>
  <c r="D2709" i="13"/>
  <c r="D2712" i="13"/>
  <c r="D2715" i="13"/>
  <c r="D2718" i="13"/>
  <c r="D2721" i="13"/>
  <c r="D2724" i="13"/>
  <c r="D2727" i="13"/>
  <c r="D2730" i="13"/>
  <c r="D2733" i="13"/>
  <c r="D2736" i="13"/>
  <c r="D2739" i="13"/>
  <c r="D2742" i="13"/>
  <c r="D2745" i="13"/>
  <c r="D2748" i="13"/>
  <c r="D2751" i="13"/>
  <c r="D2754" i="13"/>
  <c r="D2757" i="13"/>
  <c r="D2760" i="13"/>
  <c r="D2763" i="13"/>
  <c r="D2766" i="13"/>
  <c r="D2769" i="13"/>
  <c r="D2772" i="13"/>
  <c r="D2775" i="13"/>
  <c r="D2778" i="13"/>
  <c r="D2781" i="13"/>
  <c r="D2784" i="13"/>
  <c r="D2787" i="13"/>
  <c r="D2790" i="13"/>
  <c r="D2793" i="13"/>
  <c r="D2796" i="13"/>
  <c r="D2799" i="13"/>
  <c r="D2802" i="13"/>
  <c r="D2805" i="13"/>
  <c r="D2808" i="13"/>
  <c r="D2811" i="13"/>
  <c r="D2814" i="13"/>
  <c r="D2817" i="13"/>
  <c r="D2820" i="13"/>
  <c r="D2823" i="13"/>
  <c r="D2826" i="13"/>
  <c r="D2829" i="13"/>
  <c r="D2832" i="13"/>
  <c r="D2835" i="13"/>
  <c r="D2838" i="13"/>
  <c r="D2841" i="13"/>
  <c r="D2844" i="13"/>
  <c r="D2847" i="13"/>
  <c r="D2850" i="13"/>
  <c r="D2853" i="13"/>
  <c r="D2856" i="13"/>
  <c r="D2859" i="13"/>
  <c r="D2862" i="13"/>
  <c r="D2865" i="13"/>
  <c r="D2868" i="13"/>
  <c r="D2871" i="13"/>
  <c r="D2874" i="13"/>
  <c r="D2877" i="13"/>
  <c r="D2880" i="13"/>
  <c r="D2883" i="13"/>
  <c r="D2886" i="13"/>
  <c r="D2889" i="13"/>
  <c r="D2892" i="13"/>
  <c r="D2895" i="13"/>
  <c r="D2898" i="13"/>
  <c r="D2901" i="13"/>
  <c r="D2904" i="13"/>
  <c r="D2907" i="13"/>
  <c r="D2910" i="13"/>
  <c r="D2913" i="13"/>
  <c r="D2916" i="13"/>
  <c r="D2919" i="13"/>
  <c r="D2922" i="13"/>
  <c r="D2925" i="13"/>
  <c r="D2928" i="13"/>
  <c r="D2931" i="13"/>
  <c r="D2934" i="13"/>
  <c r="D2937" i="13"/>
  <c r="D2940" i="13"/>
  <c r="D2943" i="13"/>
  <c r="D2946" i="13"/>
  <c r="D2949" i="13"/>
  <c r="D2952" i="13"/>
  <c r="D2955" i="13"/>
  <c r="D2958" i="13"/>
  <c r="D2961" i="13"/>
  <c r="D2964" i="13"/>
  <c r="D2967" i="13"/>
  <c r="D2970" i="13"/>
  <c r="D2973" i="13"/>
  <c r="D2976" i="13"/>
  <c r="D2979" i="13"/>
  <c r="D2982" i="13"/>
  <c r="D2985" i="13"/>
  <c r="D2988" i="13"/>
  <c r="D2991" i="13"/>
  <c r="D2994" i="13"/>
  <c r="D2997" i="13"/>
  <c r="D3000" i="13"/>
  <c r="D3003" i="13"/>
  <c r="D3006" i="13"/>
  <c r="D3009" i="13"/>
  <c r="D3012" i="13"/>
  <c r="D3015" i="13"/>
  <c r="D3018" i="13"/>
  <c r="D3021" i="13"/>
  <c r="D3024" i="13"/>
  <c r="D3027" i="13"/>
  <c r="D3030" i="13"/>
  <c r="D3033" i="13"/>
  <c r="D3036" i="13"/>
  <c r="D3039" i="13"/>
  <c r="D3042" i="13"/>
  <c r="D3045" i="13"/>
  <c r="D3048" i="13"/>
  <c r="D3051" i="13"/>
  <c r="D3054" i="13"/>
  <c r="D3057" i="13"/>
  <c r="D3060" i="13"/>
  <c r="D3063" i="13"/>
  <c r="D3066" i="13"/>
  <c r="D3069" i="13"/>
  <c r="D3072" i="13"/>
  <c r="D3075" i="13"/>
  <c r="D3078" i="13"/>
  <c r="D3081" i="13"/>
  <c r="D3084" i="13"/>
  <c r="D3087" i="13"/>
  <c r="D3090" i="13"/>
  <c r="D3093" i="13"/>
  <c r="D3096" i="13"/>
  <c r="D3099" i="13"/>
  <c r="D3102" i="13"/>
  <c r="D3105" i="13"/>
  <c r="D3108" i="13"/>
  <c r="D3111" i="13"/>
  <c r="D3114" i="13"/>
  <c r="D3117" i="13"/>
  <c r="D3120" i="13"/>
  <c r="D3123" i="13"/>
  <c r="D3126" i="13"/>
  <c r="D3129" i="13"/>
  <c r="D3132" i="13"/>
  <c r="D3135" i="13"/>
  <c r="D3138" i="13"/>
  <c r="D3141" i="13"/>
  <c r="D3144" i="13"/>
  <c r="D3147" i="13"/>
  <c r="D3150" i="13"/>
  <c r="D3153" i="13"/>
  <c r="D3156" i="13"/>
  <c r="D3159" i="13"/>
  <c r="D3162" i="13"/>
  <c r="L3161" i="13"/>
  <c r="G3161" i="13"/>
  <c r="L3160" i="13"/>
  <c r="G3160" i="13"/>
  <c r="L3159" i="13"/>
  <c r="G3159" i="13"/>
  <c r="L3158" i="13"/>
  <c r="G3158" i="13"/>
  <c r="L3157" i="13"/>
  <c r="G3157" i="13"/>
  <c r="L3156" i="13"/>
  <c r="G3156" i="13"/>
  <c r="L3155" i="13"/>
  <c r="G3155" i="13"/>
  <c r="L3154" i="13"/>
  <c r="G3154" i="13"/>
  <c r="L3153" i="13"/>
  <c r="G3153" i="13"/>
  <c r="L3152" i="13"/>
  <c r="G3152" i="13"/>
  <c r="L3151" i="13"/>
  <c r="G3151" i="13"/>
  <c r="L3150" i="13"/>
  <c r="G3150" i="13"/>
  <c r="L3149" i="13"/>
  <c r="E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98" i="13"/>
  <c r="E299" i="13"/>
  <c r="E300" i="13"/>
  <c r="E301" i="13"/>
  <c r="E302" i="13"/>
  <c r="E303" i="13"/>
  <c r="E304" i="13"/>
  <c r="E305" i="13"/>
  <c r="E306" i="13"/>
  <c r="E307" i="13"/>
  <c r="E308" i="13"/>
  <c r="E309" i="13"/>
  <c r="E310" i="13"/>
  <c r="E311" i="13"/>
  <c r="E312" i="13"/>
  <c r="E313" i="13"/>
  <c r="E314" i="13"/>
  <c r="E315" i="13"/>
  <c r="E316" i="13"/>
  <c r="E317" i="13"/>
  <c r="E318" i="13"/>
  <c r="E319" i="13"/>
  <c r="E320" i="13"/>
  <c r="E321" i="13"/>
  <c r="E322" i="13"/>
  <c r="E323" i="13"/>
  <c r="E324" i="13"/>
  <c r="E325" i="13"/>
  <c r="E326" i="13"/>
  <c r="E327" i="13"/>
  <c r="E328" i="13"/>
  <c r="E329" i="13"/>
  <c r="E330" i="13"/>
  <c r="E331" i="13"/>
  <c r="E332" i="13"/>
  <c r="E333" i="13"/>
  <c r="E334" i="13"/>
  <c r="E335" i="13"/>
  <c r="E336" i="13"/>
  <c r="E337" i="13"/>
  <c r="E338" i="13"/>
  <c r="E339" i="13"/>
  <c r="E340" i="13"/>
  <c r="E341" i="13"/>
  <c r="E342" i="13"/>
  <c r="E343" i="13"/>
  <c r="E344" i="13"/>
  <c r="E345" i="13"/>
  <c r="E346" i="13"/>
  <c r="E347" i="13"/>
  <c r="E348" i="13"/>
  <c r="E349" i="13"/>
  <c r="E350" i="13"/>
  <c r="E351" i="13"/>
  <c r="E352" i="13"/>
  <c r="E353" i="13"/>
  <c r="E354" i="13"/>
  <c r="E355" i="13"/>
  <c r="E356" i="13"/>
  <c r="E357" i="13"/>
  <c r="E358" i="13"/>
  <c r="E359" i="13"/>
  <c r="E360" i="13"/>
  <c r="E361" i="13"/>
  <c r="E362" i="13"/>
  <c r="E363" i="13"/>
  <c r="E364" i="13"/>
  <c r="E365" i="13"/>
  <c r="E366" i="13"/>
  <c r="E367" i="13"/>
  <c r="E368" i="13"/>
  <c r="E369" i="13"/>
  <c r="E370" i="13"/>
  <c r="E371" i="13"/>
  <c r="E372" i="13"/>
  <c r="E373" i="13"/>
  <c r="E374" i="13"/>
  <c r="E375" i="13"/>
  <c r="E376" i="13"/>
  <c r="E377" i="13"/>
  <c r="E378" i="13"/>
  <c r="E379" i="13"/>
  <c r="E380" i="13"/>
  <c r="E381" i="13"/>
  <c r="E382" i="13"/>
  <c r="E383" i="13"/>
  <c r="E384" i="13"/>
  <c r="E385" i="13"/>
  <c r="E386" i="13"/>
  <c r="E387" i="13"/>
  <c r="E388" i="13"/>
  <c r="E389" i="13"/>
  <c r="E390" i="13"/>
  <c r="E391" i="13"/>
  <c r="E392" i="13"/>
  <c r="E393" i="13"/>
  <c r="E394" i="13"/>
  <c r="E395" i="13"/>
  <c r="E396" i="13"/>
  <c r="E397" i="13"/>
  <c r="E398" i="13"/>
  <c r="E399" i="13"/>
  <c r="E400" i="13"/>
  <c r="E401" i="13"/>
  <c r="E402" i="13"/>
  <c r="E403" i="13"/>
  <c r="E404" i="13"/>
  <c r="E405" i="13"/>
  <c r="E406" i="13"/>
  <c r="E407" i="13"/>
  <c r="E408" i="13"/>
  <c r="E409" i="13"/>
  <c r="E410" i="13"/>
  <c r="E411" i="13"/>
  <c r="E412" i="13"/>
  <c r="E413" i="13"/>
  <c r="E414" i="13"/>
  <c r="E415" i="13"/>
  <c r="E416" i="13"/>
  <c r="E417" i="13"/>
  <c r="E418" i="13"/>
  <c r="E419" i="13"/>
  <c r="E420" i="13"/>
  <c r="E421" i="13"/>
  <c r="E422" i="13"/>
  <c r="E423" i="13"/>
  <c r="E424" i="13"/>
  <c r="E425" i="13"/>
  <c r="E426" i="13"/>
  <c r="E427" i="13"/>
  <c r="E428" i="13"/>
  <c r="E429" i="13"/>
  <c r="E430" i="13"/>
  <c r="E431" i="13"/>
  <c r="E432" i="13"/>
  <c r="E433" i="13"/>
  <c r="E434" i="13"/>
  <c r="E435" i="13"/>
  <c r="E436" i="13"/>
  <c r="E437" i="13"/>
  <c r="E438" i="13"/>
  <c r="E439" i="13"/>
  <c r="E440" i="13"/>
  <c r="E441" i="13"/>
  <c r="E442" i="13"/>
  <c r="E443" i="13"/>
  <c r="E444" i="13"/>
  <c r="E445" i="13"/>
  <c r="E446" i="13"/>
  <c r="E447" i="13"/>
  <c r="E448" i="13"/>
  <c r="E449" i="13"/>
  <c r="E450" i="13"/>
  <c r="E451" i="13"/>
  <c r="E452" i="13"/>
  <c r="E453" i="13"/>
  <c r="E454" i="13"/>
  <c r="E455" i="13"/>
  <c r="E456" i="13"/>
  <c r="E457" i="13"/>
  <c r="E458" i="13"/>
  <c r="E459" i="13"/>
  <c r="E460" i="13"/>
  <c r="E461" i="13"/>
  <c r="E462" i="13"/>
  <c r="E463" i="13"/>
  <c r="E464" i="13"/>
  <c r="E465" i="13"/>
  <c r="E466" i="13"/>
  <c r="E467" i="13"/>
  <c r="E468" i="13"/>
  <c r="E469" i="13"/>
  <c r="E470" i="13"/>
  <c r="E471" i="13"/>
  <c r="E472" i="13"/>
  <c r="E473" i="13"/>
  <c r="E474" i="13"/>
  <c r="E475" i="13"/>
  <c r="E476" i="13"/>
  <c r="E477" i="13"/>
  <c r="E478" i="13"/>
  <c r="E479" i="13"/>
  <c r="E480" i="13"/>
  <c r="E481" i="13"/>
  <c r="E482" i="13"/>
  <c r="E483" i="13"/>
  <c r="E484" i="13"/>
  <c r="E485" i="13"/>
  <c r="E486" i="13"/>
  <c r="E487" i="13"/>
  <c r="E488" i="13"/>
  <c r="E489" i="13"/>
  <c r="E490" i="13"/>
  <c r="E491" i="13"/>
  <c r="E492" i="13"/>
  <c r="E493" i="13"/>
  <c r="E494" i="13"/>
  <c r="E495" i="13"/>
  <c r="E496" i="13"/>
  <c r="E497" i="13"/>
  <c r="E498" i="13"/>
  <c r="E499" i="13"/>
  <c r="E500" i="13"/>
  <c r="E501" i="13"/>
  <c r="E502" i="13"/>
  <c r="E503" i="13"/>
  <c r="E504" i="13"/>
  <c r="E505" i="13"/>
  <c r="E506" i="13"/>
  <c r="E507" i="13"/>
  <c r="E508" i="13"/>
  <c r="E509" i="13"/>
  <c r="E510" i="13"/>
  <c r="E511" i="13"/>
  <c r="E512" i="13"/>
  <c r="E513" i="13"/>
  <c r="E514" i="13"/>
  <c r="E515" i="13"/>
  <c r="E516" i="13"/>
  <c r="E517" i="13"/>
  <c r="E518" i="13"/>
  <c r="E519" i="13"/>
  <c r="E520" i="13"/>
  <c r="E521" i="13"/>
  <c r="E522" i="13"/>
  <c r="E523" i="13"/>
  <c r="E524" i="13"/>
  <c r="E525" i="13"/>
  <c r="E526" i="13"/>
  <c r="E527" i="13"/>
  <c r="E528" i="13"/>
  <c r="E529" i="13"/>
  <c r="E530" i="13"/>
  <c r="E531" i="13"/>
  <c r="E532" i="13"/>
  <c r="E533" i="13"/>
  <c r="E534" i="13"/>
  <c r="E535" i="13"/>
  <c r="E536" i="13"/>
  <c r="E537" i="13"/>
  <c r="E538" i="13"/>
  <c r="E539" i="13"/>
  <c r="E540" i="13"/>
  <c r="E541" i="13"/>
  <c r="E542" i="13"/>
  <c r="E543" i="13"/>
  <c r="E544" i="13"/>
  <c r="E545" i="13"/>
  <c r="E546" i="13"/>
  <c r="E547" i="13"/>
  <c r="E548" i="13"/>
  <c r="E549" i="13"/>
  <c r="E550" i="13"/>
  <c r="E551" i="13"/>
  <c r="E552" i="13"/>
  <c r="E553" i="13"/>
  <c r="E554" i="13"/>
  <c r="E555" i="13"/>
  <c r="E556" i="13"/>
  <c r="E557" i="13"/>
  <c r="E558" i="13"/>
  <c r="E559" i="13"/>
  <c r="E560" i="13"/>
  <c r="E561" i="13"/>
  <c r="E562" i="13"/>
  <c r="E563" i="13"/>
  <c r="E564" i="13"/>
  <c r="E565" i="13"/>
  <c r="E566" i="13"/>
  <c r="E567" i="13"/>
  <c r="E568" i="13"/>
  <c r="E569" i="13"/>
  <c r="E570" i="13"/>
  <c r="E571" i="13"/>
  <c r="E572" i="13"/>
  <c r="E573" i="13"/>
  <c r="E574" i="13"/>
  <c r="E575" i="13"/>
  <c r="E576" i="13"/>
  <c r="E577" i="13"/>
  <c r="E578" i="13"/>
  <c r="E579" i="13"/>
  <c r="E580" i="13"/>
  <c r="E581" i="13"/>
  <c r="E582" i="13"/>
  <c r="E583" i="13"/>
  <c r="E584" i="13"/>
  <c r="E585" i="13"/>
  <c r="E586" i="13"/>
  <c r="E587" i="13"/>
  <c r="E588" i="13"/>
  <c r="E589" i="13"/>
  <c r="E590" i="13"/>
  <c r="E591" i="13"/>
  <c r="E592" i="13"/>
  <c r="E593" i="13"/>
  <c r="E594" i="13"/>
  <c r="E595" i="13"/>
  <c r="E596" i="13"/>
  <c r="E597" i="13"/>
  <c r="E598" i="13"/>
  <c r="E599" i="13"/>
  <c r="E600" i="13"/>
  <c r="E601" i="13"/>
  <c r="E602" i="13"/>
  <c r="E603" i="13"/>
  <c r="E604" i="13"/>
  <c r="E605" i="13"/>
  <c r="E606" i="13"/>
  <c r="E607" i="13"/>
  <c r="E608" i="13"/>
  <c r="E609" i="13"/>
  <c r="E610" i="13"/>
  <c r="E611" i="13"/>
  <c r="E612" i="13"/>
  <c r="E613" i="13"/>
  <c r="E614" i="13"/>
  <c r="E615" i="13"/>
  <c r="E616" i="13"/>
  <c r="E617" i="13"/>
  <c r="E618" i="13"/>
  <c r="E619" i="13"/>
  <c r="E620" i="13"/>
  <c r="E621" i="13"/>
  <c r="E622" i="13"/>
  <c r="E623" i="13"/>
  <c r="E624" i="13"/>
  <c r="E625" i="13"/>
  <c r="E626" i="13"/>
  <c r="E627" i="13"/>
  <c r="E628" i="13"/>
  <c r="E629" i="13"/>
  <c r="E630" i="13"/>
  <c r="E631" i="13"/>
  <c r="E632" i="13"/>
  <c r="E633" i="13"/>
  <c r="E634" i="13"/>
  <c r="E635" i="13"/>
  <c r="E636" i="13"/>
  <c r="E637" i="13"/>
  <c r="E638" i="13"/>
  <c r="E639" i="13"/>
  <c r="E640" i="13"/>
  <c r="E641" i="13"/>
  <c r="E642" i="13"/>
  <c r="E643" i="13"/>
  <c r="E644" i="13"/>
  <c r="E645" i="13"/>
  <c r="E646" i="13"/>
  <c r="E647" i="13"/>
  <c r="E648" i="13"/>
  <c r="E649" i="13"/>
  <c r="E650" i="13"/>
  <c r="E651" i="13"/>
  <c r="E652" i="13"/>
  <c r="E653" i="13"/>
  <c r="E654" i="13"/>
  <c r="E655" i="13"/>
  <c r="E656" i="13"/>
  <c r="E657" i="13"/>
  <c r="E658" i="13"/>
  <c r="E659" i="13"/>
  <c r="E660" i="13"/>
  <c r="E661" i="13"/>
  <c r="E662" i="13"/>
  <c r="E663" i="13"/>
  <c r="E664" i="13"/>
  <c r="E665" i="13"/>
  <c r="E666" i="13"/>
  <c r="E667" i="13"/>
  <c r="E668" i="13"/>
  <c r="E669" i="13"/>
  <c r="E670" i="13"/>
  <c r="E671" i="13"/>
  <c r="E672" i="13"/>
  <c r="E673" i="13"/>
  <c r="E674" i="13"/>
  <c r="E675" i="13"/>
  <c r="E676" i="13"/>
  <c r="E677" i="13"/>
  <c r="E678" i="13"/>
  <c r="E679" i="13"/>
  <c r="E680" i="13"/>
  <c r="E681" i="13"/>
  <c r="E682" i="13"/>
  <c r="E683" i="13"/>
  <c r="E684" i="13"/>
  <c r="E685" i="13"/>
  <c r="E686" i="13"/>
  <c r="E687" i="13"/>
  <c r="E688" i="13"/>
  <c r="E689" i="13"/>
  <c r="E690" i="13"/>
  <c r="E691" i="13"/>
  <c r="E692" i="13"/>
  <c r="E693" i="13"/>
  <c r="E694" i="13"/>
  <c r="E695" i="13"/>
  <c r="E696" i="13"/>
  <c r="E697" i="13"/>
  <c r="E698" i="13"/>
  <c r="E699" i="13"/>
  <c r="E700" i="13"/>
  <c r="E701" i="13"/>
  <c r="E702" i="13"/>
  <c r="E703" i="13"/>
  <c r="E704" i="13"/>
  <c r="E705" i="13"/>
  <c r="E706" i="13"/>
  <c r="E707" i="13"/>
  <c r="E708" i="13"/>
  <c r="E709" i="13"/>
  <c r="E710" i="13"/>
  <c r="E711" i="13"/>
  <c r="E712" i="13"/>
  <c r="E713" i="13"/>
  <c r="E714" i="13"/>
  <c r="E715" i="13"/>
  <c r="E716" i="13"/>
  <c r="E717" i="13"/>
  <c r="E718" i="13"/>
  <c r="E719" i="13"/>
  <c r="E720" i="13"/>
  <c r="E721" i="13"/>
  <c r="E722" i="13"/>
  <c r="E723" i="13"/>
  <c r="E724" i="13"/>
  <c r="E725" i="13"/>
  <c r="E726" i="13"/>
  <c r="E727" i="13"/>
  <c r="E728" i="13"/>
  <c r="E729" i="13"/>
  <c r="E730" i="13"/>
  <c r="E731" i="13"/>
  <c r="E732" i="13"/>
  <c r="E733" i="13"/>
  <c r="E734" i="13"/>
  <c r="E735" i="13"/>
  <c r="E736" i="13"/>
  <c r="E737" i="13"/>
  <c r="E738" i="13"/>
  <c r="E739" i="13"/>
  <c r="E740" i="13"/>
  <c r="E741" i="13"/>
  <c r="E742" i="13"/>
  <c r="E743" i="13"/>
  <c r="E744" i="13"/>
  <c r="E745" i="13"/>
  <c r="E746" i="13"/>
  <c r="E747" i="13"/>
  <c r="E748" i="13"/>
  <c r="E749" i="13"/>
  <c r="E750" i="13"/>
  <c r="E751" i="13"/>
  <c r="E752" i="13"/>
  <c r="E753" i="13"/>
  <c r="E754" i="13"/>
  <c r="E755" i="13"/>
  <c r="E756" i="13"/>
  <c r="E757" i="13"/>
  <c r="E758" i="13"/>
  <c r="E759" i="13"/>
  <c r="E760" i="13"/>
  <c r="E761" i="13"/>
  <c r="E762" i="13"/>
  <c r="E763" i="13"/>
  <c r="E764" i="13"/>
  <c r="E765" i="13"/>
  <c r="E766" i="13"/>
  <c r="E767" i="13"/>
  <c r="E768" i="13"/>
  <c r="E769" i="13"/>
  <c r="E770" i="13"/>
  <c r="E771" i="13"/>
  <c r="E772" i="13"/>
  <c r="E773" i="13"/>
  <c r="E774" i="13"/>
  <c r="E775" i="13"/>
  <c r="E776" i="13"/>
  <c r="E777" i="13"/>
  <c r="E778" i="13"/>
  <c r="E779" i="13"/>
  <c r="E780" i="13"/>
  <c r="E781" i="13"/>
  <c r="E782" i="13"/>
  <c r="E783" i="13"/>
  <c r="E784" i="13"/>
  <c r="E785" i="13"/>
  <c r="E786" i="13"/>
  <c r="E787" i="13"/>
  <c r="E788" i="13"/>
  <c r="E789" i="13"/>
  <c r="E790" i="13"/>
  <c r="E791" i="13"/>
  <c r="E792" i="13"/>
  <c r="E793" i="13"/>
  <c r="E794" i="13"/>
  <c r="E795" i="13"/>
  <c r="E796" i="13"/>
  <c r="E797" i="13"/>
  <c r="E798" i="13"/>
  <c r="E799" i="13"/>
  <c r="E800" i="13"/>
  <c r="E801" i="13"/>
  <c r="E802" i="13"/>
  <c r="E803" i="13"/>
  <c r="E804" i="13"/>
  <c r="E805" i="13"/>
  <c r="E806" i="13"/>
  <c r="E807" i="13"/>
  <c r="E808" i="13"/>
  <c r="E809" i="13"/>
  <c r="E810" i="13"/>
  <c r="E811" i="13"/>
  <c r="E812" i="13"/>
  <c r="E813" i="13"/>
  <c r="E814" i="13"/>
  <c r="E815" i="13"/>
  <c r="E816" i="13"/>
  <c r="E817" i="13"/>
  <c r="E818" i="13"/>
  <c r="E819" i="13"/>
  <c r="E820" i="13"/>
  <c r="E821" i="13"/>
  <c r="E822" i="13"/>
  <c r="E823" i="13"/>
  <c r="E824" i="13"/>
  <c r="E825" i="13"/>
  <c r="E826" i="13"/>
  <c r="E827" i="13"/>
  <c r="E828" i="13"/>
  <c r="E829" i="13"/>
  <c r="E830" i="13"/>
  <c r="E831" i="13"/>
  <c r="E832" i="13"/>
  <c r="E833" i="13"/>
  <c r="E834" i="13"/>
  <c r="E835" i="13"/>
  <c r="E836" i="13"/>
  <c r="E837" i="13"/>
  <c r="E838" i="13"/>
  <c r="E839" i="13"/>
  <c r="E840" i="13"/>
  <c r="E841" i="13"/>
  <c r="E842" i="13"/>
  <c r="E843" i="13"/>
  <c r="E844" i="13"/>
  <c r="E845" i="13"/>
  <c r="E846" i="13"/>
  <c r="E847" i="13"/>
  <c r="E848" i="13"/>
  <c r="E849" i="13"/>
  <c r="E850" i="13"/>
  <c r="E851" i="13"/>
  <c r="E852" i="13"/>
  <c r="E853" i="13"/>
  <c r="E854" i="13"/>
  <c r="E855" i="13"/>
  <c r="E856" i="13"/>
  <c r="E857" i="13"/>
  <c r="E858" i="13"/>
  <c r="E859" i="13"/>
  <c r="E860" i="13"/>
  <c r="E861" i="13"/>
  <c r="E862" i="13"/>
  <c r="E863" i="13"/>
  <c r="E864" i="13"/>
  <c r="E865" i="13"/>
  <c r="E866" i="13"/>
  <c r="E867" i="13"/>
  <c r="E868" i="13"/>
  <c r="E869" i="13"/>
  <c r="E870" i="13"/>
  <c r="E871" i="13"/>
  <c r="E872" i="13"/>
  <c r="E873" i="13"/>
  <c r="E874" i="13"/>
  <c r="E875" i="13"/>
  <c r="E876" i="13"/>
  <c r="E877" i="13"/>
  <c r="E878" i="13"/>
  <c r="E879" i="13"/>
  <c r="E880" i="13"/>
  <c r="E881" i="13"/>
  <c r="E882" i="13"/>
  <c r="E883" i="13"/>
  <c r="E884" i="13"/>
  <c r="E885" i="13"/>
  <c r="E886" i="13"/>
  <c r="E887" i="13"/>
  <c r="E888" i="13"/>
  <c r="E889" i="13"/>
  <c r="E890" i="13"/>
  <c r="E891" i="13"/>
  <c r="E892" i="13"/>
  <c r="E893" i="13"/>
  <c r="E894" i="13"/>
  <c r="E895" i="13"/>
  <c r="E896" i="13"/>
  <c r="E897" i="13"/>
  <c r="E898" i="13"/>
  <c r="E899" i="13"/>
  <c r="E900" i="13"/>
  <c r="E901" i="13"/>
  <c r="E902" i="13"/>
  <c r="E903" i="13"/>
  <c r="E904" i="13"/>
  <c r="E905" i="13"/>
  <c r="E906" i="13"/>
  <c r="E907" i="13"/>
  <c r="E908" i="13"/>
  <c r="E909" i="13"/>
  <c r="E910" i="13"/>
  <c r="E911" i="13"/>
  <c r="E912" i="13"/>
  <c r="E913" i="13"/>
  <c r="E914" i="13"/>
  <c r="E915" i="13"/>
  <c r="E916" i="13"/>
  <c r="E917" i="13"/>
  <c r="E918" i="13"/>
  <c r="E919" i="13"/>
  <c r="E920" i="13"/>
  <c r="E921" i="13"/>
  <c r="E922" i="13"/>
  <c r="E923" i="13"/>
  <c r="E924" i="13"/>
  <c r="E925" i="13"/>
  <c r="E926" i="13"/>
  <c r="E927" i="13"/>
  <c r="E928" i="13"/>
  <c r="E929" i="13"/>
  <c r="E930" i="13"/>
  <c r="E931" i="13"/>
  <c r="E932" i="13"/>
  <c r="E933" i="13"/>
  <c r="E934" i="13"/>
  <c r="E935" i="13"/>
  <c r="E936" i="13"/>
  <c r="E937" i="13"/>
  <c r="E938" i="13"/>
  <c r="E939" i="13"/>
  <c r="E940" i="13"/>
  <c r="E941" i="13"/>
  <c r="E942" i="13"/>
  <c r="E943" i="13"/>
  <c r="E944" i="13"/>
  <c r="E945" i="13"/>
  <c r="E946" i="13"/>
  <c r="E947" i="13"/>
  <c r="E948" i="13"/>
  <c r="E949" i="13"/>
  <c r="E950" i="13"/>
  <c r="E951" i="13"/>
  <c r="E952" i="13"/>
  <c r="E953" i="13"/>
  <c r="E954" i="13"/>
  <c r="E955" i="13"/>
  <c r="E956" i="13"/>
  <c r="E957" i="13"/>
  <c r="E958" i="13"/>
  <c r="E959" i="13"/>
  <c r="E960" i="13"/>
  <c r="E961" i="13"/>
  <c r="E962" i="13"/>
  <c r="E963" i="13"/>
  <c r="E964" i="13"/>
  <c r="E965" i="13"/>
  <c r="E966" i="13"/>
  <c r="E967" i="13"/>
  <c r="E968" i="13"/>
  <c r="E969" i="13"/>
  <c r="E970" i="13"/>
  <c r="E971" i="13"/>
  <c r="E972" i="13"/>
  <c r="E973" i="13"/>
  <c r="E974" i="13"/>
  <c r="E975" i="13"/>
  <c r="E976" i="13"/>
  <c r="E977" i="13"/>
  <c r="E978" i="13"/>
  <c r="E979" i="13"/>
  <c r="E980" i="13"/>
  <c r="E981" i="13"/>
  <c r="E982" i="13"/>
  <c r="E983" i="13"/>
  <c r="E984" i="13"/>
  <c r="E985" i="13"/>
  <c r="E986" i="13"/>
  <c r="E987" i="13"/>
  <c r="E988" i="13"/>
  <c r="E989" i="13"/>
  <c r="E990" i="13"/>
  <c r="E991" i="13"/>
  <c r="E992" i="13"/>
  <c r="E993" i="13"/>
  <c r="E994" i="13"/>
  <c r="E995" i="13"/>
  <c r="E996" i="13"/>
  <c r="E997" i="13"/>
  <c r="E998" i="13"/>
  <c r="E999" i="13"/>
  <c r="E1000" i="13"/>
  <c r="E1001" i="13"/>
  <c r="E1002" i="13"/>
  <c r="E1003" i="13"/>
  <c r="E1004" i="13"/>
  <c r="E1005" i="13"/>
  <c r="E1006" i="13"/>
  <c r="E1007" i="13"/>
  <c r="E1008" i="13"/>
  <c r="E1009" i="13"/>
  <c r="E1010" i="13"/>
  <c r="E1011" i="13"/>
  <c r="E1012" i="13"/>
  <c r="E1013" i="13"/>
  <c r="E1014" i="13"/>
  <c r="E1015" i="13"/>
  <c r="E1016" i="13"/>
  <c r="E1017" i="13"/>
  <c r="E1018" i="13"/>
  <c r="E1019" i="13"/>
  <c r="E1020" i="13"/>
  <c r="E1021" i="13"/>
  <c r="E1022" i="13"/>
  <c r="E1023" i="13"/>
  <c r="E1024" i="13"/>
  <c r="E1025" i="13"/>
  <c r="E1026" i="13"/>
  <c r="E1027" i="13"/>
  <c r="E1028" i="13"/>
  <c r="E1029" i="13"/>
  <c r="E1030" i="13"/>
  <c r="E1031" i="13"/>
  <c r="E1032" i="13"/>
  <c r="E1033" i="13"/>
  <c r="E1034" i="13"/>
  <c r="E1035" i="13"/>
  <c r="E1036" i="13"/>
  <c r="E1037" i="13"/>
  <c r="E1038" i="13"/>
  <c r="E1039" i="13"/>
  <c r="E1040" i="13"/>
  <c r="E1041" i="13"/>
  <c r="E1042" i="13"/>
  <c r="E1043" i="13"/>
  <c r="E1044" i="13"/>
  <c r="E1045" i="13"/>
  <c r="E1046" i="13"/>
  <c r="E1047" i="13"/>
  <c r="E1048" i="13"/>
  <c r="E1049" i="13"/>
  <c r="E1050" i="13"/>
  <c r="E1051" i="13"/>
  <c r="E1052" i="13"/>
  <c r="E1053" i="13"/>
  <c r="E1054" i="13"/>
  <c r="E1055" i="13"/>
  <c r="E1056" i="13"/>
  <c r="E1057" i="13"/>
  <c r="E1058" i="13"/>
  <c r="E1059" i="13"/>
  <c r="E1060" i="13"/>
  <c r="E1061" i="13"/>
  <c r="E1062" i="13"/>
  <c r="E1063" i="13"/>
  <c r="E1064" i="13"/>
  <c r="E1065" i="13"/>
  <c r="E1066" i="13"/>
  <c r="E1067" i="13"/>
  <c r="E1068" i="13"/>
  <c r="E1069" i="13"/>
  <c r="E1070" i="13"/>
  <c r="E1071" i="13"/>
  <c r="E1072" i="13"/>
  <c r="E1073" i="13"/>
  <c r="E1074" i="13"/>
  <c r="E1075" i="13"/>
  <c r="E1076" i="13"/>
  <c r="E1077" i="13"/>
  <c r="E1078" i="13"/>
  <c r="E1079" i="13"/>
  <c r="E1080" i="13"/>
  <c r="E1081" i="13"/>
  <c r="E1082" i="13"/>
  <c r="E1083" i="13"/>
  <c r="E1084" i="13"/>
  <c r="E1085" i="13"/>
  <c r="E1086" i="13"/>
  <c r="E1087" i="13"/>
  <c r="E1088" i="13"/>
  <c r="E1089" i="13"/>
  <c r="E1090" i="13"/>
  <c r="E1091" i="13"/>
  <c r="E1092" i="13"/>
  <c r="E1093" i="13"/>
  <c r="E1094" i="13"/>
  <c r="E1095" i="13"/>
  <c r="E1096" i="13"/>
  <c r="E1097" i="13"/>
  <c r="E1098" i="13"/>
  <c r="E1099" i="13"/>
  <c r="E1100" i="13"/>
  <c r="E1101" i="13"/>
  <c r="E1102" i="13"/>
  <c r="E1103" i="13"/>
  <c r="E1104" i="13"/>
  <c r="E1105" i="13"/>
  <c r="E1106" i="13"/>
  <c r="E1107" i="13"/>
  <c r="E1108" i="13"/>
  <c r="E1109" i="13"/>
  <c r="E1110" i="13"/>
  <c r="E1111" i="13"/>
  <c r="E1112" i="13"/>
  <c r="E1113" i="13"/>
  <c r="E1114" i="13"/>
  <c r="E1115" i="13"/>
  <c r="E1116" i="13"/>
  <c r="E1117" i="13"/>
  <c r="E1118" i="13"/>
  <c r="E1119" i="13"/>
  <c r="E1120" i="13"/>
  <c r="E1121" i="13"/>
  <c r="E1122" i="13"/>
  <c r="E1123" i="13"/>
  <c r="E1124" i="13"/>
  <c r="E1125" i="13"/>
  <c r="E1126" i="13"/>
  <c r="E1127" i="13"/>
  <c r="E1128" i="13"/>
  <c r="E1129" i="13"/>
  <c r="E1130" i="13"/>
  <c r="E1131" i="13"/>
  <c r="E1132" i="13"/>
  <c r="E1133" i="13"/>
  <c r="E1134" i="13"/>
  <c r="E1135" i="13"/>
  <c r="E1136" i="13"/>
  <c r="E1137" i="13"/>
  <c r="E1138" i="13"/>
  <c r="E1139" i="13"/>
  <c r="E1140" i="13"/>
  <c r="E1141" i="13"/>
  <c r="E1142" i="13"/>
  <c r="E1143" i="13"/>
  <c r="E1144" i="13"/>
  <c r="E1145" i="13"/>
  <c r="E1146" i="13"/>
  <c r="E1147" i="13"/>
  <c r="E1148" i="13"/>
  <c r="E1149" i="13"/>
  <c r="E1150" i="13"/>
  <c r="E1151" i="13"/>
  <c r="E1152" i="13"/>
  <c r="E1153" i="13"/>
  <c r="E1154" i="13"/>
  <c r="E1155" i="13"/>
  <c r="E1156" i="13"/>
  <c r="E1157" i="13"/>
  <c r="E1158" i="13"/>
  <c r="E1159" i="13"/>
  <c r="E1160" i="13"/>
  <c r="E1161" i="13"/>
  <c r="E1162" i="13"/>
  <c r="E1163" i="13"/>
  <c r="E1164" i="13"/>
  <c r="E1165" i="13"/>
  <c r="E1166" i="13"/>
  <c r="E1167" i="13"/>
  <c r="E1168" i="13"/>
  <c r="E1169" i="13"/>
  <c r="E1170" i="13"/>
  <c r="E1171" i="13"/>
  <c r="E1172" i="13"/>
  <c r="E1173" i="13"/>
  <c r="E1174" i="13"/>
  <c r="E1175" i="13"/>
  <c r="E1176" i="13"/>
  <c r="E1177" i="13"/>
  <c r="E1178" i="13"/>
  <c r="E1179" i="13"/>
  <c r="E1180" i="13"/>
  <c r="E1181" i="13"/>
  <c r="E1182" i="13"/>
  <c r="E1183" i="13"/>
  <c r="E1184" i="13"/>
  <c r="E1185" i="13"/>
  <c r="E1186" i="13"/>
  <c r="E1187" i="13"/>
  <c r="E1188" i="13"/>
  <c r="E1189" i="13"/>
  <c r="E1190" i="13"/>
  <c r="E1191" i="13"/>
  <c r="E1192" i="13"/>
  <c r="E1193" i="13"/>
  <c r="E1194" i="13"/>
  <c r="E1195" i="13"/>
  <c r="E1196" i="13"/>
  <c r="E1197" i="13"/>
  <c r="E1198" i="13"/>
  <c r="E1199" i="13"/>
  <c r="E1200" i="13"/>
  <c r="E1201" i="13"/>
  <c r="E1202" i="13"/>
  <c r="E1203" i="13"/>
  <c r="E1204" i="13"/>
  <c r="E1205" i="13"/>
  <c r="E1206" i="13"/>
  <c r="E1207" i="13"/>
  <c r="E1208" i="13"/>
  <c r="E1209" i="13"/>
  <c r="E1210" i="13"/>
  <c r="E1211" i="13"/>
  <c r="E1212" i="13"/>
  <c r="E1213" i="13"/>
  <c r="E1214" i="13"/>
  <c r="E1215" i="13"/>
  <c r="E1216" i="13"/>
  <c r="E1217" i="13"/>
  <c r="E1218" i="13"/>
  <c r="E1219" i="13"/>
  <c r="E1220" i="13"/>
  <c r="E1221" i="13"/>
  <c r="E1222" i="13"/>
  <c r="E1223" i="13"/>
  <c r="E1224" i="13"/>
  <c r="E1225" i="13"/>
  <c r="E1226" i="13"/>
  <c r="E1227" i="13"/>
  <c r="E1228" i="13"/>
  <c r="E1229" i="13"/>
  <c r="E1230" i="13"/>
  <c r="E1231" i="13"/>
  <c r="E1232" i="13"/>
  <c r="E1233" i="13"/>
  <c r="E1234" i="13"/>
  <c r="E1235" i="13"/>
  <c r="E1236" i="13"/>
  <c r="E1237" i="13"/>
  <c r="E1238" i="13"/>
  <c r="E1239" i="13"/>
  <c r="E1240" i="13"/>
  <c r="E1241" i="13"/>
  <c r="E1242" i="13"/>
  <c r="E1243" i="13"/>
  <c r="E1244" i="13"/>
  <c r="E1245" i="13"/>
  <c r="E1246" i="13"/>
  <c r="E1247" i="13"/>
  <c r="E1248" i="13"/>
  <c r="E1249" i="13"/>
  <c r="E1250" i="13"/>
  <c r="E1251" i="13"/>
  <c r="E1252" i="13"/>
  <c r="E1253" i="13"/>
  <c r="E1254" i="13"/>
  <c r="E1255" i="13"/>
  <c r="E1256" i="13"/>
  <c r="E1257" i="13"/>
  <c r="E1258" i="13"/>
  <c r="E1259" i="13"/>
  <c r="E1260" i="13"/>
  <c r="E1261" i="13"/>
  <c r="E1262" i="13"/>
  <c r="E1263" i="13"/>
  <c r="E1264" i="13"/>
  <c r="E1265" i="13"/>
  <c r="E1266" i="13"/>
  <c r="E1267" i="13"/>
  <c r="E1268" i="13"/>
  <c r="E1269" i="13"/>
  <c r="E1270" i="13"/>
  <c r="E1271" i="13"/>
  <c r="E1272" i="13"/>
  <c r="E1273" i="13"/>
  <c r="E1274" i="13"/>
  <c r="E1275" i="13"/>
  <c r="E1276" i="13"/>
  <c r="E1277" i="13"/>
  <c r="E1278" i="13"/>
  <c r="E1279" i="13"/>
  <c r="E1280" i="13"/>
  <c r="E1281" i="13"/>
  <c r="E1282" i="13"/>
  <c r="E1283" i="13"/>
  <c r="E1284" i="13"/>
  <c r="E1285" i="13"/>
  <c r="E1286" i="13"/>
  <c r="E1287" i="13"/>
  <c r="E1288" i="13"/>
  <c r="E1289" i="13"/>
  <c r="E1290" i="13"/>
  <c r="E1291" i="13"/>
  <c r="E1292" i="13"/>
  <c r="E1293" i="13"/>
  <c r="E1294" i="13"/>
  <c r="E1295" i="13"/>
  <c r="E1296" i="13"/>
  <c r="E1297" i="13"/>
  <c r="E1298" i="13"/>
  <c r="E1299" i="13"/>
  <c r="E1300" i="13"/>
  <c r="E1301" i="13"/>
  <c r="E1302" i="13"/>
  <c r="E1303" i="13"/>
  <c r="E1304" i="13"/>
  <c r="E1305" i="13"/>
  <c r="E1306" i="13"/>
  <c r="E1307" i="13"/>
  <c r="E1308" i="13"/>
  <c r="E1309" i="13"/>
  <c r="E1310" i="13"/>
  <c r="E1311" i="13"/>
  <c r="E1312" i="13"/>
  <c r="E1313" i="13"/>
  <c r="E1314" i="13"/>
  <c r="E1315" i="13"/>
  <c r="E1316" i="13"/>
  <c r="E1317" i="13"/>
  <c r="E1318" i="13"/>
  <c r="E1319" i="13"/>
  <c r="E1320" i="13"/>
  <c r="E1321" i="13"/>
  <c r="E1322" i="13"/>
  <c r="E1323" i="13"/>
  <c r="E1324" i="13"/>
  <c r="E1325" i="13"/>
  <c r="E1326" i="13"/>
  <c r="E1327" i="13"/>
  <c r="E1328" i="13"/>
  <c r="E1329" i="13"/>
  <c r="E1330" i="13"/>
  <c r="E1331" i="13"/>
  <c r="E1332" i="13"/>
  <c r="E1333" i="13"/>
  <c r="E1334" i="13"/>
  <c r="E1335" i="13"/>
  <c r="E1336" i="13"/>
  <c r="E1337" i="13"/>
  <c r="E1338" i="13"/>
  <c r="E1339" i="13"/>
  <c r="E1340" i="13"/>
  <c r="E1341" i="13"/>
  <c r="E1342" i="13"/>
  <c r="E1343" i="13"/>
  <c r="E1344" i="13"/>
  <c r="E1345" i="13"/>
  <c r="E1346" i="13"/>
  <c r="E1347" i="13"/>
  <c r="E1348" i="13"/>
  <c r="E1349" i="13"/>
  <c r="E1350" i="13"/>
  <c r="E1351" i="13"/>
  <c r="E1352" i="13"/>
  <c r="E1353" i="13"/>
  <c r="E1354" i="13"/>
  <c r="E1355" i="13"/>
  <c r="E1356" i="13"/>
  <c r="E1357" i="13"/>
  <c r="E1358" i="13"/>
  <c r="E1359" i="13"/>
  <c r="E1360" i="13"/>
  <c r="E1361" i="13"/>
  <c r="E1362" i="13"/>
  <c r="E1363" i="13"/>
  <c r="E1364" i="13"/>
  <c r="E1365" i="13"/>
  <c r="E1366" i="13"/>
  <c r="E1367" i="13"/>
  <c r="E1368" i="13"/>
  <c r="E1369" i="13"/>
  <c r="E1370" i="13"/>
  <c r="E1371" i="13"/>
  <c r="E1372" i="13"/>
  <c r="E1373" i="13"/>
  <c r="E1374" i="13"/>
  <c r="E1375" i="13"/>
  <c r="E1376" i="13"/>
  <c r="E1377" i="13"/>
  <c r="E1378" i="13"/>
  <c r="E1379" i="13"/>
  <c r="E1380" i="13"/>
  <c r="E1381" i="13"/>
  <c r="E1382" i="13"/>
  <c r="E1383" i="13"/>
  <c r="E1384" i="13"/>
  <c r="E1385" i="13"/>
  <c r="E1386" i="13"/>
  <c r="E1387" i="13"/>
  <c r="E1388" i="13"/>
  <c r="E1389" i="13"/>
  <c r="E1390" i="13"/>
  <c r="E1391" i="13"/>
  <c r="E1392" i="13"/>
  <c r="E1393" i="13"/>
  <c r="E1394" i="13"/>
  <c r="E1395" i="13"/>
  <c r="E1396" i="13"/>
  <c r="E1397" i="13"/>
  <c r="E1398" i="13"/>
  <c r="E1399" i="13"/>
  <c r="E1400" i="13"/>
  <c r="E1401" i="13"/>
  <c r="E1402" i="13"/>
  <c r="E1403" i="13"/>
  <c r="E1404" i="13"/>
  <c r="E1405" i="13"/>
  <c r="E1406" i="13"/>
  <c r="E1407" i="13"/>
  <c r="E1408" i="13"/>
  <c r="E1409" i="13"/>
  <c r="E1410" i="13"/>
  <c r="E1411" i="13"/>
  <c r="E1412" i="13"/>
  <c r="E1413" i="13"/>
  <c r="E1414" i="13"/>
  <c r="E1415" i="13"/>
  <c r="E1416" i="13"/>
  <c r="E1417" i="13"/>
  <c r="E1418" i="13"/>
  <c r="E1419" i="13"/>
  <c r="E1420" i="13"/>
  <c r="E1421" i="13"/>
  <c r="E1422" i="13"/>
  <c r="E1423" i="13"/>
  <c r="E1424" i="13"/>
  <c r="E1425" i="13"/>
  <c r="E1426" i="13"/>
  <c r="E1427" i="13"/>
  <c r="E1428" i="13"/>
  <c r="E1429" i="13"/>
  <c r="E1430" i="13"/>
  <c r="E1431" i="13"/>
  <c r="E1432" i="13"/>
  <c r="E1433" i="13"/>
  <c r="E1434" i="13"/>
  <c r="E1435" i="13"/>
  <c r="E1436" i="13"/>
  <c r="E1437" i="13"/>
  <c r="E1438" i="13"/>
  <c r="E1439" i="13"/>
  <c r="E1440" i="13"/>
  <c r="E1441" i="13"/>
  <c r="E1442" i="13"/>
  <c r="E1443" i="13"/>
  <c r="E1444" i="13"/>
  <c r="E1445" i="13"/>
  <c r="E1446" i="13"/>
  <c r="E1447" i="13"/>
  <c r="E1448" i="13"/>
  <c r="E1449" i="13"/>
  <c r="E1450" i="13"/>
  <c r="E1451" i="13"/>
  <c r="E1452" i="13"/>
  <c r="E1453" i="13"/>
  <c r="E1454" i="13"/>
  <c r="E1455" i="13"/>
  <c r="E1456" i="13"/>
  <c r="E1457" i="13"/>
  <c r="E1458" i="13"/>
  <c r="E1459" i="13"/>
  <c r="E1460" i="13"/>
  <c r="E1461" i="13"/>
  <c r="E1462" i="13"/>
  <c r="E1463" i="13"/>
  <c r="E1464" i="13"/>
  <c r="E1465" i="13"/>
  <c r="E1466" i="13"/>
  <c r="E1467" i="13"/>
  <c r="E1468" i="13"/>
  <c r="E1469" i="13"/>
  <c r="E1470" i="13"/>
  <c r="E1471" i="13"/>
  <c r="E1472" i="13"/>
  <c r="E1473" i="13"/>
  <c r="E1474" i="13"/>
  <c r="E1475" i="13"/>
  <c r="E1476" i="13"/>
  <c r="E1477" i="13"/>
  <c r="E1478" i="13"/>
  <c r="E1479" i="13"/>
  <c r="E1480" i="13"/>
  <c r="E1481" i="13"/>
  <c r="E1482" i="13"/>
  <c r="E1483" i="13"/>
  <c r="E1484" i="13"/>
  <c r="E1485" i="13"/>
  <c r="E1486" i="13"/>
  <c r="E1487" i="13"/>
  <c r="E1488" i="13"/>
  <c r="E1489" i="13"/>
  <c r="E1490" i="13"/>
  <c r="E1491" i="13"/>
  <c r="E1492" i="13"/>
  <c r="E1493" i="13"/>
  <c r="E1494" i="13"/>
  <c r="E1495" i="13"/>
  <c r="E1496" i="13"/>
  <c r="E1497" i="13"/>
  <c r="E1498" i="13"/>
  <c r="E1499" i="13"/>
  <c r="E1500" i="13"/>
  <c r="E1501" i="13"/>
  <c r="E1502" i="13"/>
  <c r="E1503" i="13"/>
  <c r="E1504" i="13"/>
  <c r="E1505" i="13"/>
  <c r="E1506" i="13"/>
  <c r="E1507" i="13"/>
  <c r="E1508" i="13"/>
  <c r="E1509" i="13"/>
  <c r="E1510" i="13"/>
  <c r="E1511" i="13"/>
  <c r="E1512" i="13"/>
  <c r="E1513" i="13"/>
  <c r="E1514" i="13"/>
  <c r="E1515" i="13"/>
  <c r="E1516" i="13"/>
  <c r="E1517" i="13"/>
  <c r="E1518" i="13"/>
  <c r="E1519" i="13"/>
  <c r="E1520" i="13"/>
  <c r="E1521" i="13"/>
  <c r="E1522" i="13"/>
  <c r="E1523" i="13"/>
  <c r="E1524" i="13"/>
  <c r="E1525" i="13"/>
  <c r="E1526" i="13"/>
  <c r="E1527" i="13"/>
  <c r="E1528" i="13"/>
  <c r="E1529" i="13"/>
  <c r="E1530" i="13"/>
  <c r="E1531" i="13"/>
  <c r="E1532" i="13"/>
  <c r="E1533" i="13"/>
  <c r="E1534" i="13"/>
  <c r="E1535" i="13"/>
  <c r="E1536" i="13"/>
  <c r="E1537" i="13"/>
  <c r="E1538" i="13"/>
  <c r="E1539" i="13"/>
  <c r="E1540" i="13"/>
  <c r="E1541" i="13"/>
  <c r="E1542" i="13"/>
  <c r="E1543" i="13"/>
  <c r="E1544" i="13"/>
  <c r="E1545" i="13"/>
  <c r="E1546" i="13"/>
  <c r="E1547" i="13"/>
  <c r="E1548" i="13"/>
  <c r="E1549" i="13"/>
  <c r="E1550" i="13"/>
  <c r="E1551" i="13"/>
  <c r="E1552" i="13"/>
  <c r="E1553" i="13"/>
  <c r="E1554" i="13"/>
  <c r="E1555" i="13"/>
  <c r="E1556" i="13"/>
  <c r="E1557" i="13"/>
  <c r="E1558" i="13"/>
  <c r="E1559" i="13"/>
  <c r="E1560" i="13"/>
  <c r="E1561" i="13"/>
  <c r="E1562" i="13"/>
  <c r="E1563" i="13"/>
  <c r="E1564" i="13"/>
  <c r="E1565" i="13"/>
  <c r="E1566" i="13"/>
  <c r="E1567" i="13"/>
  <c r="E1568" i="13"/>
  <c r="E1569" i="13"/>
  <c r="E1570" i="13"/>
  <c r="E1571" i="13"/>
  <c r="E1572" i="13"/>
  <c r="E1573" i="13"/>
  <c r="E1574" i="13"/>
  <c r="E1575" i="13"/>
  <c r="E1576" i="13"/>
  <c r="E1577" i="13"/>
  <c r="E1578" i="13"/>
  <c r="E1579" i="13"/>
  <c r="E1580" i="13"/>
  <c r="E1581" i="13"/>
  <c r="E1582" i="13"/>
  <c r="E1583" i="13"/>
  <c r="E1584" i="13"/>
  <c r="E1585" i="13"/>
  <c r="E1586" i="13"/>
  <c r="E1587" i="13"/>
  <c r="E1588" i="13"/>
  <c r="E1589" i="13"/>
  <c r="E1590" i="13"/>
  <c r="E1591" i="13"/>
  <c r="E1592" i="13"/>
  <c r="E1593" i="13"/>
  <c r="E1594" i="13"/>
  <c r="E1595" i="13"/>
  <c r="E1596" i="13"/>
  <c r="E1597" i="13"/>
  <c r="E1598" i="13"/>
  <c r="E1599" i="13"/>
  <c r="E1600" i="13"/>
  <c r="E1601" i="13"/>
  <c r="E1602" i="13"/>
  <c r="E1603" i="13"/>
  <c r="E1604" i="13"/>
  <c r="E1605" i="13"/>
  <c r="E1606" i="13"/>
  <c r="E1607" i="13"/>
  <c r="E1608" i="13"/>
  <c r="E1609" i="13"/>
  <c r="E1610" i="13"/>
  <c r="E1611" i="13"/>
  <c r="E1612" i="13"/>
  <c r="E1613" i="13"/>
  <c r="E1614" i="13"/>
  <c r="E1615" i="13"/>
  <c r="E1616" i="13"/>
  <c r="E1617" i="13"/>
  <c r="E1618" i="13"/>
  <c r="E1619" i="13"/>
  <c r="E1620" i="13"/>
  <c r="E1621" i="13"/>
  <c r="E1622" i="13"/>
  <c r="E1623" i="13"/>
  <c r="E1624" i="13"/>
  <c r="E1625" i="13"/>
  <c r="E1626" i="13"/>
  <c r="E1627" i="13"/>
  <c r="E1628" i="13"/>
  <c r="E1629" i="13"/>
  <c r="E1630" i="13"/>
  <c r="E1631" i="13"/>
  <c r="E1632" i="13"/>
  <c r="E1633" i="13"/>
  <c r="E1634" i="13"/>
  <c r="E1635" i="13"/>
  <c r="E1636" i="13"/>
  <c r="E1637" i="13"/>
  <c r="E1638" i="13"/>
  <c r="E1639" i="13"/>
  <c r="E1640" i="13"/>
  <c r="E1641" i="13"/>
  <c r="E1642" i="13"/>
  <c r="E1643" i="13"/>
  <c r="E1644" i="13"/>
  <c r="E1645" i="13"/>
  <c r="E1646" i="13"/>
  <c r="E1647" i="13"/>
  <c r="E1648" i="13"/>
  <c r="E1649" i="13"/>
  <c r="E1650" i="13"/>
  <c r="E1651" i="13"/>
  <c r="E1652" i="13"/>
  <c r="E1653" i="13"/>
  <c r="E1654" i="13"/>
  <c r="E1655" i="13"/>
  <c r="E1656" i="13"/>
  <c r="E1657" i="13"/>
  <c r="E1658" i="13"/>
  <c r="E1659" i="13"/>
  <c r="E1660" i="13"/>
  <c r="E1661" i="13"/>
  <c r="E1662" i="13"/>
  <c r="E1663" i="13"/>
  <c r="E1664" i="13"/>
  <c r="E1665" i="13"/>
  <c r="E1666" i="13"/>
  <c r="E1667" i="13"/>
  <c r="E1668" i="13"/>
  <c r="E1669" i="13"/>
  <c r="E1670" i="13"/>
  <c r="E1671" i="13"/>
  <c r="E1672" i="13"/>
  <c r="E1673" i="13"/>
  <c r="E1674" i="13"/>
  <c r="E1675" i="13"/>
  <c r="E1676" i="13"/>
  <c r="E1677" i="13"/>
  <c r="E1678" i="13"/>
  <c r="E1679" i="13"/>
  <c r="E1680" i="13"/>
  <c r="E1681" i="13"/>
  <c r="E1682" i="13"/>
  <c r="E1683" i="13"/>
  <c r="E1684" i="13"/>
  <c r="E1685" i="13"/>
  <c r="E1686" i="13"/>
  <c r="E1687" i="13"/>
  <c r="E1688" i="13"/>
  <c r="E1689" i="13"/>
  <c r="E1690" i="13"/>
  <c r="E1691" i="13"/>
  <c r="E1692" i="13"/>
  <c r="E1693" i="13"/>
  <c r="E1694" i="13"/>
  <c r="E1695" i="13"/>
  <c r="E1696" i="13"/>
  <c r="E1697" i="13"/>
  <c r="E1698" i="13"/>
  <c r="E1699" i="13"/>
  <c r="E1700" i="13"/>
  <c r="E1701" i="13"/>
  <c r="E1702" i="13"/>
  <c r="E1703" i="13"/>
  <c r="E1704" i="13"/>
  <c r="E1705" i="13"/>
  <c r="E1706" i="13"/>
  <c r="E1707" i="13"/>
  <c r="E1708" i="13"/>
  <c r="E1709" i="13"/>
  <c r="E1710" i="13"/>
  <c r="E1711" i="13"/>
  <c r="E1712" i="13"/>
  <c r="E1713" i="13"/>
  <c r="E1714" i="13"/>
  <c r="E1715" i="13"/>
  <c r="E1716" i="13"/>
  <c r="E1717" i="13"/>
  <c r="E1718" i="13"/>
  <c r="E1719" i="13"/>
  <c r="E1720" i="13"/>
  <c r="E1721" i="13"/>
  <c r="E1722" i="13"/>
  <c r="E1723" i="13"/>
  <c r="E1724" i="13"/>
  <c r="E1725" i="13"/>
  <c r="E1726" i="13"/>
  <c r="E1727" i="13"/>
  <c r="E1728" i="13"/>
  <c r="E1729" i="13"/>
  <c r="E1730" i="13"/>
  <c r="E1731" i="13"/>
  <c r="E1732" i="13"/>
  <c r="E1733" i="13"/>
  <c r="E1734" i="13"/>
  <c r="E1735" i="13"/>
  <c r="E1736" i="13"/>
  <c r="E1737" i="13"/>
  <c r="E1738" i="13"/>
  <c r="E1739" i="13"/>
  <c r="E1740" i="13"/>
  <c r="E1741" i="13"/>
  <c r="E1742" i="13"/>
  <c r="E1743" i="13"/>
  <c r="E1744" i="13"/>
  <c r="E1745" i="13"/>
  <c r="E1746" i="13"/>
  <c r="E1747" i="13"/>
  <c r="E1748" i="13"/>
  <c r="E1749" i="13"/>
  <c r="E1750" i="13"/>
  <c r="E1751" i="13"/>
  <c r="E1752" i="13"/>
  <c r="E1753" i="13"/>
  <c r="E1754" i="13"/>
  <c r="E1755" i="13"/>
  <c r="E1756" i="13"/>
  <c r="E1757" i="13"/>
  <c r="E1758" i="13"/>
  <c r="E1759" i="13"/>
  <c r="E1760" i="13"/>
  <c r="E1761" i="13"/>
  <c r="E1762" i="13"/>
  <c r="E1763" i="13"/>
  <c r="E1764" i="13"/>
  <c r="E1765" i="13"/>
  <c r="E1766" i="13"/>
  <c r="E1767" i="13"/>
  <c r="E1768" i="13"/>
  <c r="E1769" i="13"/>
  <c r="E1770" i="13"/>
  <c r="E1771" i="13"/>
  <c r="E1772" i="13"/>
  <c r="E1773" i="13"/>
  <c r="E1774" i="13"/>
  <c r="E1775" i="13"/>
  <c r="E1776" i="13"/>
  <c r="E1777" i="13"/>
  <c r="E1778" i="13"/>
  <c r="E1779" i="13"/>
  <c r="E1780" i="13"/>
  <c r="E1781" i="13"/>
  <c r="E1782" i="13"/>
  <c r="E1783" i="13"/>
  <c r="E1784" i="13"/>
  <c r="E1785" i="13"/>
  <c r="E1786" i="13"/>
  <c r="E1787" i="13"/>
  <c r="E1788" i="13"/>
  <c r="E1789" i="13"/>
  <c r="E1790" i="13"/>
  <c r="E1791" i="13"/>
  <c r="E1792" i="13"/>
  <c r="E1793" i="13"/>
  <c r="E1794" i="13"/>
  <c r="E1795" i="13"/>
  <c r="E1796" i="13"/>
  <c r="E1797" i="13"/>
  <c r="E1798" i="13"/>
  <c r="E1799" i="13"/>
  <c r="E1800" i="13"/>
  <c r="E1801" i="13"/>
  <c r="E1802" i="13"/>
  <c r="E1803" i="13"/>
  <c r="E1804" i="13"/>
  <c r="E1805" i="13"/>
  <c r="E1806" i="13"/>
  <c r="E1807" i="13"/>
  <c r="E1808" i="13"/>
  <c r="E1809" i="13"/>
  <c r="E1810" i="13"/>
  <c r="E1811" i="13"/>
  <c r="E1812" i="13"/>
  <c r="E1813" i="13"/>
  <c r="E1814" i="13"/>
  <c r="E1815" i="13"/>
  <c r="E1816" i="13"/>
  <c r="E1817" i="13"/>
  <c r="E1818" i="13"/>
  <c r="E1819" i="13"/>
  <c r="E1820" i="13"/>
  <c r="E1821" i="13"/>
  <c r="E1822" i="13"/>
  <c r="E1823" i="13"/>
  <c r="E1824" i="13"/>
  <c r="E1825" i="13"/>
  <c r="E1826" i="13"/>
  <c r="E1827" i="13"/>
  <c r="E1828" i="13"/>
  <c r="E1829" i="13"/>
  <c r="E1830" i="13"/>
  <c r="E1831" i="13"/>
  <c r="E1832" i="13"/>
  <c r="E1833" i="13"/>
  <c r="E1834" i="13"/>
  <c r="E1835" i="13"/>
  <c r="E1836" i="13"/>
  <c r="E1837" i="13"/>
  <c r="E1838" i="13"/>
  <c r="E1839" i="13"/>
  <c r="E1840" i="13"/>
  <c r="E1841" i="13"/>
  <c r="E1842" i="13"/>
  <c r="E1843" i="13"/>
  <c r="E1844" i="13"/>
  <c r="E1845" i="13"/>
  <c r="E1846" i="13"/>
  <c r="E1847" i="13"/>
  <c r="E1848" i="13"/>
  <c r="E1849" i="13"/>
  <c r="E1850" i="13"/>
  <c r="E1851" i="13"/>
  <c r="E1852" i="13"/>
  <c r="E1853" i="13"/>
  <c r="E1854" i="13"/>
  <c r="E1855" i="13"/>
  <c r="E1856" i="13"/>
  <c r="E1857" i="13"/>
  <c r="E1858" i="13"/>
  <c r="E1859" i="13"/>
  <c r="E1860" i="13"/>
  <c r="E1861" i="13"/>
  <c r="E1862" i="13"/>
  <c r="E1863" i="13"/>
  <c r="E1864" i="13"/>
  <c r="E1865" i="13"/>
  <c r="E1866" i="13"/>
  <c r="E1867" i="13"/>
  <c r="E1868" i="13"/>
  <c r="E1869" i="13"/>
  <c r="E1870" i="13"/>
  <c r="E1871" i="13"/>
  <c r="E1872" i="13"/>
  <c r="E1873" i="13"/>
  <c r="E1874" i="13"/>
  <c r="E1875" i="13"/>
  <c r="E1876" i="13"/>
  <c r="E1877" i="13"/>
  <c r="E1878" i="13"/>
  <c r="E1879" i="13"/>
  <c r="E1880" i="13"/>
  <c r="E1881" i="13"/>
  <c r="E1882" i="13"/>
  <c r="E1883" i="13"/>
  <c r="E1884" i="13"/>
  <c r="E1885" i="13"/>
  <c r="E1886" i="13"/>
  <c r="E1887" i="13"/>
  <c r="E1888" i="13"/>
  <c r="E1889" i="13"/>
  <c r="E1890" i="13"/>
  <c r="E1891" i="13"/>
  <c r="E1892" i="13"/>
  <c r="E1893" i="13"/>
  <c r="E1894" i="13"/>
  <c r="E1895" i="13"/>
  <c r="E1896" i="13"/>
  <c r="E1897" i="13"/>
  <c r="E1898" i="13"/>
  <c r="E1899" i="13"/>
  <c r="E1900" i="13"/>
  <c r="E1901" i="13"/>
  <c r="E1902" i="13"/>
  <c r="E1903" i="13"/>
  <c r="E1904" i="13"/>
  <c r="E1905" i="13"/>
  <c r="E1906" i="13"/>
  <c r="E1907" i="13"/>
  <c r="E1908" i="13"/>
  <c r="E1909" i="13"/>
  <c r="E1910" i="13"/>
  <c r="E1911" i="13"/>
  <c r="E1912" i="13"/>
  <c r="E1913" i="13"/>
  <c r="E1914" i="13"/>
  <c r="E1915" i="13"/>
  <c r="E1916" i="13"/>
  <c r="E1917" i="13"/>
  <c r="E1918" i="13"/>
  <c r="E1919" i="13"/>
  <c r="E1920" i="13"/>
  <c r="E1921" i="13"/>
  <c r="E1922" i="13"/>
  <c r="E1923" i="13"/>
  <c r="E1924" i="13"/>
  <c r="E1925" i="13"/>
  <c r="E1926" i="13"/>
  <c r="E1927" i="13"/>
  <c r="E1928" i="13"/>
  <c r="E1929" i="13"/>
  <c r="E1930" i="13"/>
  <c r="E1931" i="13"/>
  <c r="E1932" i="13"/>
  <c r="E1933" i="13"/>
  <c r="E1934" i="13"/>
  <c r="E1935" i="13"/>
  <c r="E1936" i="13"/>
  <c r="E1937" i="13"/>
  <c r="E1938" i="13"/>
  <c r="E1939" i="13"/>
  <c r="E1940" i="13"/>
  <c r="E1941" i="13"/>
  <c r="E1942" i="13"/>
  <c r="E1943" i="13"/>
  <c r="E1944" i="13"/>
  <c r="E1945" i="13"/>
  <c r="E1946" i="13"/>
  <c r="E1947" i="13"/>
  <c r="E1948" i="13"/>
  <c r="E1949" i="13"/>
  <c r="E1950" i="13"/>
  <c r="E1951" i="13"/>
  <c r="E1952" i="13"/>
  <c r="E1953" i="13"/>
  <c r="E1954" i="13"/>
  <c r="E1955" i="13"/>
  <c r="E1956" i="13"/>
  <c r="E1957" i="13"/>
  <c r="E1958" i="13"/>
  <c r="E1959" i="13"/>
  <c r="E1960" i="13"/>
  <c r="E1961" i="13"/>
  <c r="E1962" i="13"/>
  <c r="E1963" i="13"/>
  <c r="E1964" i="13"/>
  <c r="E1965" i="13"/>
  <c r="E1966" i="13"/>
  <c r="E1967" i="13"/>
  <c r="E1968" i="13"/>
  <c r="E1969" i="13"/>
  <c r="E1970" i="13"/>
  <c r="E1971" i="13"/>
  <c r="E1972" i="13"/>
  <c r="E1973" i="13"/>
  <c r="E1974" i="13"/>
  <c r="E1975" i="13"/>
  <c r="E1976" i="13"/>
  <c r="E1977" i="13"/>
  <c r="E1978" i="13"/>
  <c r="E1979" i="13"/>
  <c r="E1980" i="13"/>
  <c r="E1981" i="13"/>
  <c r="E1982" i="13"/>
  <c r="E1983" i="13"/>
  <c r="E1984" i="13"/>
  <c r="E1985" i="13"/>
  <c r="E1986" i="13"/>
  <c r="E1987" i="13"/>
  <c r="E1988" i="13"/>
  <c r="E1989" i="13"/>
  <c r="E1990" i="13"/>
  <c r="E1991" i="13"/>
  <c r="E1992" i="13"/>
  <c r="E1993" i="13"/>
  <c r="E1994" i="13"/>
  <c r="E1995" i="13"/>
  <c r="E1996" i="13"/>
  <c r="E1997" i="13"/>
  <c r="E1998" i="13"/>
  <c r="E1999" i="13"/>
  <c r="E2000" i="13"/>
  <c r="E2001" i="13"/>
  <c r="E2002" i="13"/>
  <c r="E2003" i="13"/>
  <c r="E2004" i="13"/>
  <c r="E2005" i="13"/>
  <c r="E2006" i="13"/>
  <c r="E2007" i="13"/>
  <c r="E2008" i="13"/>
  <c r="E2009" i="13"/>
  <c r="E2010" i="13"/>
  <c r="E2011" i="13"/>
  <c r="E2012" i="13"/>
  <c r="E2013" i="13"/>
  <c r="E2014" i="13"/>
  <c r="E2015" i="13"/>
  <c r="E2016" i="13"/>
  <c r="E2017" i="13"/>
  <c r="E2018" i="13"/>
  <c r="E2019" i="13"/>
  <c r="E2020" i="13"/>
  <c r="E2021" i="13"/>
  <c r="E2022" i="13"/>
  <c r="E2023" i="13"/>
  <c r="E2024" i="13"/>
  <c r="E2025" i="13"/>
  <c r="E2026" i="13"/>
  <c r="E2027" i="13"/>
  <c r="E2028" i="13"/>
  <c r="E2029" i="13"/>
  <c r="E2030" i="13"/>
  <c r="E2031" i="13"/>
  <c r="E2032" i="13"/>
  <c r="E2033" i="13"/>
  <c r="E2034" i="13"/>
  <c r="E2035" i="13"/>
  <c r="E2036" i="13"/>
  <c r="E2037" i="13"/>
  <c r="E2038" i="13"/>
  <c r="E2039" i="13"/>
  <c r="E2040" i="13"/>
  <c r="E2041" i="13"/>
  <c r="E2042" i="13"/>
  <c r="E2043" i="13"/>
  <c r="E2044" i="13"/>
  <c r="E2045" i="13"/>
  <c r="E2046" i="13"/>
  <c r="E2047" i="13"/>
  <c r="E2048" i="13"/>
  <c r="E2049" i="13"/>
  <c r="E2050" i="13"/>
  <c r="E2051" i="13"/>
  <c r="E2052" i="13"/>
  <c r="E2053" i="13"/>
  <c r="E2054" i="13"/>
  <c r="E2055" i="13"/>
  <c r="E2056" i="13"/>
  <c r="E2057" i="13"/>
  <c r="E2058" i="13"/>
  <c r="E2059" i="13"/>
  <c r="E2060" i="13"/>
  <c r="E2061" i="13"/>
  <c r="E2062" i="13"/>
  <c r="E2063" i="13"/>
  <c r="E2064" i="13"/>
  <c r="E2065" i="13"/>
  <c r="E2066" i="13"/>
  <c r="E2067" i="13"/>
  <c r="E2068" i="13"/>
  <c r="E2069" i="13"/>
  <c r="E2070" i="13"/>
  <c r="E2071" i="13"/>
  <c r="E2072" i="13"/>
  <c r="E2073" i="13"/>
  <c r="E2074" i="13"/>
  <c r="E2075" i="13"/>
  <c r="E2076" i="13"/>
  <c r="E2077" i="13"/>
  <c r="E2078" i="13"/>
  <c r="E2079" i="13"/>
  <c r="E2080" i="13"/>
  <c r="E2081" i="13"/>
  <c r="E2082" i="13"/>
  <c r="E2083" i="13"/>
  <c r="E2084" i="13"/>
  <c r="E2085" i="13"/>
  <c r="E2086" i="13"/>
  <c r="E2087" i="13"/>
  <c r="E2088" i="13"/>
  <c r="E2089" i="13"/>
  <c r="E2090" i="13"/>
  <c r="E2091" i="13"/>
  <c r="E2092" i="13"/>
  <c r="E2093" i="13"/>
  <c r="E2094" i="13"/>
  <c r="E2095" i="13"/>
  <c r="E2096" i="13"/>
  <c r="E2097" i="13"/>
  <c r="E2098" i="13"/>
  <c r="E2099" i="13"/>
  <c r="E2100" i="13"/>
  <c r="E2101" i="13"/>
  <c r="E2102" i="13"/>
  <c r="E2103" i="13"/>
  <c r="E2104" i="13"/>
  <c r="E2105" i="13"/>
  <c r="E2106" i="13"/>
  <c r="E2107" i="13"/>
  <c r="E2108" i="13"/>
  <c r="E2109" i="13"/>
  <c r="E2110" i="13"/>
  <c r="E2111" i="13"/>
  <c r="E2112" i="13"/>
  <c r="E2113" i="13"/>
  <c r="E2114" i="13"/>
  <c r="E2115" i="13"/>
  <c r="E2116" i="13"/>
  <c r="E2117" i="13"/>
  <c r="E2118" i="13"/>
  <c r="E2119" i="13"/>
  <c r="E2120" i="13"/>
  <c r="E2121" i="13"/>
  <c r="E2122" i="13"/>
  <c r="E2123" i="13"/>
  <c r="E2124" i="13"/>
  <c r="E2125" i="13"/>
  <c r="E2126" i="13"/>
  <c r="E2127" i="13"/>
  <c r="E2128" i="13"/>
  <c r="E2129" i="13"/>
  <c r="E2130" i="13"/>
  <c r="E2131" i="13"/>
  <c r="E2132" i="13"/>
  <c r="E2133" i="13"/>
  <c r="E2134" i="13"/>
  <c r="E2135" i="13"/>
  <c r="E2136" i="13"/>
  <c r="E2137" i="13"/>
  <c r="E2138" i="13"/>
  <c r="E2139" i="13"/>
  <c r="E2140" i="13"/>
  <c r="E2141" i="13"/>
  <c r="E2142" i="13"/>
  <c r="E2143" i="13"/>
  <c r="E2144" i="13"/>
  <c r="E2145" i="13"/>
  <c r="E2146" i="13"/>
  <c r="E2147" i="13"/>
  <c r="E2148" i="13"/>
  <c r="E2149" i="13"/>
  <c r="E2150" i="13"/>
  <c r="E2151" i="13"/>
  <c r="E2152" i="13"/>
  <c r="E2153" i="13"/>
  <c r="E2154" i="13"/>
  <c r="E2155" i="13"/>
  <c r="E2156" i="13"/>
  <c r="E2157" i="13"/>
  <c r="E2158" i="13"/>
  <c r="E2159" i="13"/>
  <c r="E2160" i="13"/>
  <c r="E2161" i="13"/>
  <c r="E2162" i="13"/>
  <c r="E2163" i="13"/>
  <c r="E2164" i="13"/>
  <c r="E2165" i="13"/>
  <c r="E2166" i="13"/>
  <c r="E2167" i="13"/>
  <c r="E2168" i="13"/>
  <c r="E2169" i="13"/>
  <c r="E2170" i="13"/>
  <c r="E2171" i="13"/>
  <c r="E2172" i="13"/>
  <c r="E2173" i="13"/>
  <c r="E2174" i="13"/>
  <c r="E2175" i="13"/>
  <c r="E2176" i="13"/>
  <c r="E2177" i="13"/>
  <c r="E2178" i="13"/>
  <c r="E2179" i="13"/>
  <c r="E2180" i="13"/>
  <c r="E2181" i="13"/>
  <c r="E2182" i="13"/>
  <c r="E2183" i="13"/>
  <c r="E2184" i="13"/>
  <c r="E2185" i="13"/>
  <c r="E2186" i="13"/>
  <c r="E2187" i="13"/>
  <c r="E2188" i="13"/>
  <c r="E2189" i="13"/>
  <c r="E2190" i="13"/>
  <c r="E2191" i="13"/>
  <c r="E2192" i="13"/>
  <c r="E2193" i="13"/>
  <c r="E2194" i="13"/>
  <c r="E2195" i="13"/>
  <c r="E2196" i="13"/>
  <c r="E2197" i="13"/>
  <c r="E2198" i="13"/>
  <c r="E2199" i="13"/>
  <c r="E2200" i="13"/>
  <c r="E2201" i="13"/>
  <c r="E2202" i="13"/>
  <c r="E2203" i="13"/>
  <c r="E2204" i="13"/>
  <c r="E2205" i="13"/>
  <c r="E2206" i="13"/>
  <c r="E2207" i="13"/>
  <c r="E2208" i="13"/>
  <c r="E2209" i="13"/>
  <c r="E2210" i="13"/>
  <c r="E2211" i="13"/>
  <c r="E2212" i="13"/>
  <c r="E2213" i="13"/>
  <c r="E2214" i="13"/>
  <c r="E2215" i="13"/>
  <c r="E2216" i="13"/>
  <c r="E2217" i="13"/>
  <c r="E2218" i="13"/>
  <c r="E2219" i="13"/>
  <c r="E2220" i="13"/>
  <c r="E2221" i="13"/>
  <c r="E2222" i="13"/>
  <c r="E2223" i="13"/>
  <c r="E2224" i="13"/>
  <c r="E2225" i="13"/>
  <c r="E2226" i="13"/>
  <c r="E2227" i="13"/>
  <c r="E2228" i="13"/>
  <c r="E2229" i="13"/>
  <c r="E2230" i="13"/>
  <c r="E2231" i="13"/>
  <c r="E2232" i="13"/>
  <c r="E2233" i="13"/>
  <c r="E2234" i="13"/>
  <c r="E2235" i="13"/>
  <c r="E2236" i="13"/>
  <c r="E2237" i="13"/>
  <c r="E2238" i="13"/>
  <c r="E2239" i="13"/>
  <c r="E2240" i="13"/>
  <c r="E2241" i="13"/>
  <c r="E2242" i="13"/>
  <c r="E2243" i="13"/>
  <c r="E2244" i="13"/>
  <c r="E2245" i="13"/>
  <c r="E2246" i="13"/>
  <c r="E2247" i="13"/>
  <c r="E2248" i="13"/>
  <c r="E2249" i="13"/>
  <c r="E2250" i="13"/>
  <c r="E2251" i="13"/>
  <c r="E2252" i="13"/>
  <c r="E2253" i="13"/>
  <c r="E2254" i="13"/>
  <c r="E2255" i="13"/>
  <c r="E2256" i="13"/>
  <c r="E2257" i="13"/>
  <c r="E2258" i="13"/>
  <c r="E2259" i="13"/>
  <c r="E2260" i="13"/>
  <c r="E2261" i="13"/>
  <c r="E2262" i="13"/>
  <c r="E2263" i="13"/>
  <c r="E2264" i="13"/>
  <c r="E2265" i="13"/>
  <c r="E2266" i="13"/>
  <c r="E2267" i="13"/>
  <c r="E2268" i="13"/>
  <c r="E2269" i="13"/>
  <c r="E2270" i="13"/>
  <c r="E2271" i="13"/>
  <c r="E2272" i="13"/>
  <c r="E2273" i="13"/>
  <c r="E2274" i="13"/>
  <c r="E2275" i="13"/>
  <c r="E2276" i="13"/>
  <c r="E2277" i="13"/>
  <c r="E2278" i="13"/>
  <c r="E2279" i="13"/>
  <c r="E2280" i="13"/>
  <c r="E2281" i="13"/>
  <c r="E2282" i="13"/>
  <c r="E2283" i="13"/>
  <c r="E2284" i="13"/>
  <c r="E2285" i="13"/>
  <c r="E2286" i="13"/>
  <c r="E2287" i="13"/>
  <c r="E2288" i="13"/>
  <c r="E2289" i="13"/>
  <c r="E2290" i="13"/>
  <c r="E2291" i="13"/>
  <c r="E2292" i="13"/>
  <c r="E2293" i="13"/>
  <c r="E2294" i="13"/>
  <c r="E2295" i="13"/>
  <c r="E2296" i="13"/>
  <c r="E2297" i="13"/>
  <c r="E2298" i="13"/>
  <c r="E2299" i="13"/>
  <c r="E2300" i="13"/>
  <c r="E2301" i="13"/>
  <c r="E2302" i="13"/>
  <c r="E2303" i="13"/>
  <c r="E2304" i="13"/>
  <c r="E2305" i="13"/>
  <c r="E2306" i="13"/>
  <c r="E2307" i="13"/>
  <c r="E2308" i="13"/>
  <c r="E2309" i="13"/>
  <c r="E2310" i="13"/>
  <c r="E2311" i="13"/>
  <c r="E2312" i="13"/>
  <c r="E2313" i="13"/>
  <c r="E2314" i="13"/>
  <c r="E2315" i="13"/>
  <c r="E2316" i="13"/>
  <c r="E2317" i="13"/>
  <c r="E2318" i="13"/>
  <c r="E2319" i="13"/>
  <c r="E2320" i="13"/>
  <c r="E2321" i="13"/>
  <c r="E2322" i="13"/>
  <c r="E2323" i="13"/>
  <c r="E2324" i="13"/>
  <c r="E2325" i="13"/>
  <c r="E2326" i="13"/>
  <c r="E2327" i="13"/>
  <c r="E2328" i="13"/>
  <c r="E2329" i="13"/>
  <c r="E2330" i="13"/>
  <c r="E2331" i="13"/>
  <c r="E2332" i="13"/>
  <c r="E2333" i="13"/>
  <c r="E2334" i="13"/>
  <c r="E2335" i="13"/>
  <c r="E2336" i="13"/>
  <c r="E2337" i="13"/>
  <c r="E2338" i="13"/>
  <c r="E2339" i="13"/>
  <c r="E2340" i="13"/>
  <c r="E2341" i="13"/>
  <c r="E2342" i="13"/>
  <c r="E2343" i="13"/>
  <c r="E2344" i="13"/>
  <c r="E2345" i="13"/>
  <c r="E2346" i="13"/>
  <c r="E2347" i="13"/>
  <c r="E2348" i="13"/>
  <c r="E2349" i="13"/>
  <c r="E2350" i="13"/>
  <c r="E2351" i="13"/>
  <c r="E2352" i="13"/>
  <c r="E2353" i="13"/>
  <c r="E2354" i="13"/>
  <c r="E2355" i="13"/>
  <c r="E2356" i="13"/>
  <c r="E2357" i="13"/>
  <c r="E2358" i="13"/>
  <c r="E2359" i="13"/>
  <c r="E2360" i="13"/>
  <c r="E2361" i="13"/>
  <c r="E2362" i="13"/>
  <c r="E2363" i="13"/>
  <c r="E2364" i="13"/>
  <c r="E2365" i="13"/>
  <c r="E2366" i="13"/>
  <c r="E2367" i="13"/>
  <c r="E2368" i="13"/>
  <c r="E2369" i="13"/>
  <c r="E2370" i="13"/>
  <c r="E2371" i="13"/>
  <c r="E2372" i="13"/>
  <c r="E2373" i="13"/>
  <c r="E2374" i="13"/>
  <c r="E2375" i="13"/>
  <c r="E2376" i="13"/>
  <c r="E2377" i="13"/>
  <c r="E2378" i="13"/>
  <c r="E2379" i="13"/>
  <c r="E2380" i="13"/>
  <c r="E2381" i="13"/>
  <c r="E2382" i="13"/>
  <c r="E2383" i="13"/>
  <c r="E2384" i="13"/>
  <c r="E2385" i="13"/>
  <c r="E2386" i="13"/>
  <c r="E2387" i="13"/>
  <c r="E2388" i="13"/>
  <c r="E2389" i="13"/>
  <c r="E2390" i="13"/>
  <c r="E2391" i="13"/>
  <c r="E2392" i="13"/>
  <c r="E2393" i="13"/>
  <c r="E2394" i="13"/>
  <c r="E2395" i="13"/>
  <c r="E2396" i="13"/>
  <c r="E2397" i="13"/>
  <c r="E2398" i="13"/>
  <c r="E2399" i="13"/>
  <c r="E2400" i="13"/>
  <c r="E2401" i="13"/>
  <c r="E2402" i="13"/>
  <c r="E2403" i="13"/>
  <c r="E2404" i="13"/>
  <c r="E2405" i="13"/>
  <c r="E2406" i="13"/>
  <c r="E2407" i="13"/>
  <c r="E2408" i="13"/>
  <c r="E2409" i="13"/>
  <c r="E2410" i="13"/>
  <c r="E2411" i="13"/>
  <c r="E2412" i="13"/>
  <c r="E2413" i="13"/>
  <c r="E2414" i="13"/>
  <c r="E2415" i="13"/>
  <c r="E2416" i="13"/>
  <c r="E2417" i="13"/>
  <c r="E2418" i="13"/>
  <c r="E2419" i="13"/>
  <c r="E2420" i="13"/>
  <c r="E2421" i="13"/>
  <c r="E2422" i="13"/>
  <c r="E2423" i="13"/>
  <c r="E2424" i="13"/>
  <c r="E2425" i="13"/>
  <c r="E2426" i="13"/>
  <c r="E2427" i="13"/>
  <c r="E2428" i="13"/>
  <c r="E2429" i="13"/>
  <c r="E2430" i="13"/>
  <c r="E2431" i="13"/>
  <c r="E2432" i="13"/>
  <c r="E2433" i="13"/>
  <c r="E2434" i="13"/>
  <c r="E2435" i="13"/>
  <c r="E2436" i="13"/>
  <c r="E2437" i="13"/>
  <c r="E2438" i="13"/>
  <c r="E2439" i="13"/>
  <c r="E2440" i="13"/>
  <c r="E2441" i="13"/>
  <c r="E2442" i="13"/>
  <c r="E2443" i="13"/>
  <c r="E2444" i="13"/>
  <c r="E2445" i="13"/>
  <c r="E2446" i="13"/>
  <c r="E2447" i="13"/>
  <c r="E2448" i="13"/>
  <c r="E2449" i="13"/>
  <c r="E2450" i="13"/>
  <c r="E2451" i="13"/>
  <c r="E2452" i="13"/>
  <c r="E2453" i="13"/>
  <c r="E2454" i="13"/>
  <c r="E2455" i="13"/>
  <c r="E2456" i="13"/>
  <c r="E2457" i="13"/>
  <c r="E2458" i="13"/>
  <c r="E2459" i="13"/>
  <c r="E2460" i="13"/>
  <c r="E2461" i="13"/>
  <c r="E2462" i="13"/>
  <c r="E2463" i="13"/>
  <c r="E2464" i="13"/>
  <c r="E2465" i="13"/>
  <c r="E2466" i="13"/>
  <c r="E2467" i="13"/>
  <c r="E2468" i="13"/>
  <c r="E2469" i="13"/>
  <c r="E2470" i="13"/>
  <c r="E2471" i="13"/>
  <c r="E2472" i="13"/>
  <c r="E2473" i="13"/>
  <c r="E2474" i="13"/>
  <c r="E2475" i="13"/>
  <c r="E2476" i="13"/>
  <c r="E2477" i="13"/>
  <c r="E2478" i="13"/>
  <c r="E2479" i="13"/>
  <c r="E2480" i="13"/>
  <c r="E2481" i="13"/>
  <c r="E2482" i="13"/>
  <c r="E2483" i="13"/>
  <c r="E2484" i="13"/>
  <c r="E2485" i="13"/>
  <c r="E2486" i="13"/>
  <c r="E2487" i="13"/>
  <c r="E2488" i="13"/>
  <c r="E2489" i="13"/>
  <c r="E2490" i="13"/>
  <c r="E2491" i="13"/>
  <c r="E2492" i="13"/>
  <c r="E2493" i="13"/>
  <c r="E2494" i="13"/>
  <c r="E2495" i="13"/>
  <c r="E2496" i="13"/>
  <c r="E2497" i="13"/>
  <c r="E2498" i="13"/>
  <c r="E2499" i="13"/>
  <c r="E2500" i="13"/>
  <c r="E2501" i="13"/>
  <c r="E2502" i="13"/>
  <c r="E2503" i="13"/>
  <c r="E2504" i="13"/>
  <c r="E2505" i="13"/>
  <c r="E2506" i="13"/>
  <c r="E2507" i="13"/>
  <c r="E2508" i="13"/>
  <c r="E2509" i="13"/>
  <c r="E2510" i="13"/>
  <c r="E2511" i="13"/>
  <c r="E2512" i="13"/>
  <c r="E2513" i="13"/>
  <c r="E2514" i="13"/>
  <c r="E2515" i="13"/>
  <c r="E2516" i="13"/>
  <c r="E2517" i="13"/>
  <c r="E2518" i="13"/>
  <c r="E2519" i="13"/>
  <c r="E2520" i="13"/>
  <c r="E2521" i="13"/>
  <c r="E2522" i="13"/>
  <c r="E2523" i="13"/>
  <c r="E2524" i="13"/>
  <c r="E2525" i="13"/>
  <c r="E2526" i="13"/>
  <c r="E2527" i="13"/>
  <c r="E2528" i="13"/>
  <c r="E2529" i="13"/>
  <c r="E2530" i="13"/>
  <c r="E2531" i="13"/>
  <c r="E2532" i="13"/>
  <c r="E2533" i="13"/>
  <c r="E2534" i="13"/>
  <c r="E2535" i="13"/>
  <c r="E2536" i="13"/>
  <c r="E2537" i="13"/>
  <c r="E2538" i="13"/>
  <c r="E2539" i="13"/>
  <c r="E2540" i="13"/>
  <c r="E2541" i="13"/>
  <c r="E2542" i="13"/>
  <c r="E2543" i="13"/>
  <c r="E2544" i="13"/>
  <c r="E2545" i="13"/>
  <c r="E2546" i="13"/>
  <c r="E2547" i="13"/>
  <c r="E2548" i="13"/>
  <c r="E2549" i="13"/>
  <c r="E2550" i="13"/>
  <c r="E2551" i="13"/>
  <c r="E2552" i="13"/>
  <c r="E2553" i="13"/>
  <c r="E2554" i="13"/>
  <c r="E2555" i="13"/>
  <c r="E2556" i="13"/>
  <c r="E2557" i="13"/>
  <c r="E2558" i="13"/>
  <c r="E2559" i="13"/>
  <c r="E2560" i="13"/>
  <c r="E2561" i="13"/>
  <c r="E2562" i="13"/>
  <c r="E2563" i="13"/>
  <c r="E2564" i="13"/>
  <c r="E2565" i="13"/>
  <c r="E2566" i="13"/>
  <c r="E2567" i="13"/>
  <c r="E2568" i="13"/>
  <c r="E2569" i="13"/>
  <c r="E2570" i="13"/>
  <c r="E2571" i="13"/>
  <c r="E2572" i="13"/>
  <c r="E2573" i="13"/>
  <c r="E2574" i="13"/>
  <c r="E2575" i="13"/>
  <c r="E2576" i="13"/>
  <c r="E2577" i="13"/>
  <c r="E2578" i="13"/>
  <c r="E2579" i="13"/>
  <c r="E2580" i="13"/>
  <c r="E2581" i="13"/>
  <c r="E2582" i="13"/>
  <c r="E2583" i="13"/>
  <c r="E2584" i="13"/>
  <c r="E2585" i="13"/>
  <c r="E2586" i="13"/>
  <c r="E2587" i="13"/>
  <c r="E2588" i="13"/>
  <c r="E2589" i="13"/>
  <c r="E2590" i="13"/>
  <c r="E2591" i="13"/>
  <c r="E2592" i="13"/>
  <c r="E2593" i="13"/>
  <c r="E2594" i="13"/>
  <c r="E2595" i="13"/>
  <c r="E2596" i="13"/>
  <c r="E2597" i="13"/>
  <c r="E2598" i="13"/>
  <c r="E2599" i="13"/>
  <c r="E2600" i="13"/>
  <c r="E2601" i="13"/>
  <c r="E2602" i="13"/>
  <c r="E2603" i="13"/>
  <c r="E2604" i="13"/>
  <c r="E2605" i="13"/>
  <c r="E2606" i="13"/>
  <c r="E2607" i="13"/>
  <c r="E2608" i="13"/>
  <c r="E2609" i="13"/>
  <c r="E2610" i="13"/>
  <c r="E2611" i="13"/>
  <c r="E2612" i="13"/>
  <c r="E2613" i="13"/>
  <c r="E2614" i="13"/>
  <c r="E2615" i="13"/>
  <c r="E2616" i="13"/>
  <c r="E2617" i="13"/>
  <c r="E2618" i="13"/>
  <c r="E2619" i="13"/>
  <c r="E2620" i="13"/>
  <c r="E2621" i="13"/>
  <c r="E2622" i="13"/>
  <c r="E2623" i="13"/>
  <c r="E2624" i="13"/>
  <c r="E2625" i="13"/>
  <c r="E2626" i="13"/>
  <c r="E2627" i="13"/>
  <c r="E2628" i="13"/>
  <c r="E2629" i="13"/>
  <c r="E2630" i="13"/>
  <c r="E2631" i="13"/>
  <c r="E2632" i="13"/>
  <c r="E2633" i="13"/>
  <c r="E2634" i="13"/>
  <c r="E2635" i="13"/>
  <c r="E2636" i="13"/>
  <c r="E2637" i="13"/>
  <c r="E2638" i="13"/>
  <c r="E2639" i="13"/>
  <c r="E2640" i="13"/>
  <c r="E2641" i="13"/>
  <c r="E2642" i="13"/>
  <c r="E2643" i="13"/>
  <c r="E2644" i="13"/>
  <c r="E2645" i="13"/>
  <c r="E2646" i="13"/>
  <c r="E2647" i="13"/>
  <c r="E2648" i="13"/>
  <c r="E2649" i="13"/>
  <c r="E2650" i="13"/>
  <c r="E2651" i="13"/>
  <c r="E2652" i="13"/>
  <c r="E2653" i="13"/>
  <c r="E2654" i="13"/>
  <c r="E2655" i="13"/>
  <c r="E2656" i="13"/>
  <c r="E2657" i="13"/>
  <c r="E2658" i="13"/>
  <c r="E2659" i="13"/>
  <c r="E2660" i="13"/>
  <c r="E2661" i="13"/>
  <c r="E2662" i="13"/>
  <c r="E2663" i="13"/>
  <c r="E2664" i="13"/>
  <c r="E2665" i="13"/>
  <c r="E2666" i="13"/>
  <c r="E2667" i="13"/>
  <c r="E2668" i="13"/>
  <c r="E2669" i="13"/>
  <c r="E2670" i="13"/>
  <c r="E2671" i="13"/>
  <c r="E2672" i="13"/>
  <c r="E2673" i="13"/>
  <c r="E2674" i="13"/>
  <c r="E2675" i="13"/>
  <c r="E2676" i="13"/>
  <c r="E2677" i="13"/>
  <c r="E2678" i="13"/>
  <c r="E2679" i="13"/>
  <c r="E2680" i="13"/>
  <c r="E2681" i="13"/>
  <c r="E2682" i="13"/>
  <c r="E2683" i="13"/>
  <c r="E2684" i="13"/>
  <c r="E2685" i="13"/>
  <c r="E2686" i="13"/>
  <c r="E2687" i="13"/>
  <c r="E2688" i="13"/>
  <c r="E2689" i="13"/>
  <c r="E2690" i="13"/>
  <c r="E2691" i="13"/>
  <c r="E2692" i="13"/>
  <c r="E2693" i="13"/>
  <c r="E2694" i="13"/>
  <c r="E2695" i="13"/>
  <c r="E2696" i="13"/>
  <c r="E2697" i="13"/>
  <c r="E2698" i="13"/>
  <c r="E2699" i="13"/>
  <c r="E2700" i="13"/>
  <c r="E2701" i="13"/>
  <c r="E2702" i="13"/>
  <c r="E2703" i="13"/>
  <c r="E2704" i="13"/>
  <c r="E2705" i="13"/>
  <c r="E2706" i="13"/>
  <c r="E2707" i="13"/>
  <c r="E2708" i="13"/>
  <c r="E2709" i="13"/>
  <c r="E2710" i="13"/>
  <c r="E2711" i="13"/>
  <c r="E2712" i="13"/>
  <c r="E2713" i="13"/>
  <c r="E2714" i="13"/>
  <c r="E2715" i="13"/>
  <c r="E2716" i="13"/>
  <c r="E2717" i="13"/>
  <c r="E2718" i="13"/>
  <c r="E2719" i="13"/>
  <c r="E2720" i="13"/>
  <c r="E2721" i="13"/>
  <c r="E2722" i="13"/>
  <c r="E2723" i="13"/>
  <c r="E2724" i="13"/>
  <c r="E2725" i="13"/>
  <c r="E2726" i="13"/>
  <c r="E2727" i="13"/>
  <c r="E2728" i="13"/>
  <c r="E2729" i="13"/>
  <c r="E2730" i="13"/>
  <c r="E2731" i="13"/>
  <c r="E2732" i="13"/>
  <c r="E2733" i="13"/>
  <c r="E2734" i="13"/>
  <c r="E2735" i="13"/>
  <c r="E2736" i="13"/>
  <c r="E2737" i="13"/>
  <c r="E2738" i="13"/>
  <c r="E2739" i="13"/>
  <c r="E2740" i="13"/>
  <c r="E2741" i="13"/>
  <c r="E2742" i="13"/>
  <c r="E2743" i="13"/>
  <c r="E2744" i="13"/>
  <c r="E2745" i="13"/>
  <c r="E2746" i="13"/>
  <c r="E2747" i="13"/>
  <c r="E2748" i="13"/>
  <c r="E2749" i="13"/>
  <c r="E2750" i="13"/>
  <c r="E2751" i="13"/>
  <c r="E2752" i="13"/>
  <c r="E2753" i="13"/>
  <c r="E2754" i="13"/>
  <c r="E2755" i="13"/>
  <c r="E2756" i="13"/>
  <c r="E2757" i="13"/>
  <c r="E2758" i="13"/>
  <c r="E2759" i="13"/>
  <c r="E2760" i="13"/>
  <c r="E2761" i="13"/>
  <c r="E2762" i="13"/>
  <c r="E2763" i="13"/>
  <c r="E2764" i="13"/>
  <c r="E2765" i="13"/>
  <c r="E2766" i="13"/>
  <c r="E2767" i="13"/>
  <c r="E2768" i="13"/>
  <c r="E2769" i="13"/>
  <c r="E2770" i="13"/>
  <c r="E2771" i="13"/>
  <c r="E2772" i="13"/>
  <c r="E2773" i="13"/>
  <c r="E2774" i="13"/>
  <c r="E2775" i="13"/>
  <c r="E2776" i="13"/>
  <c r="E2777" i="13"/>
  <c r="E2778" i="13"/>
  <c r="E2779" i="13"/>
  <c r="E2780" i="13"/>
  <c r="E2781" i="13"/>
  <c r="E2782" i="13"/>
  <c r="E2783" i="13"/>
  <c r="E2784" i="13"/>
  <c r="E2785" i="13"/>
  <c r="E2786" i="13"/>
  <c r="E2787" i="13"/>
  <c r="E2788" i="13"/>
  <c r="E2789" i="13"/>
  <c r="E2790" i="13"/>
  <c r="E2791" i="13"/>
  <c r="E2792" i="13"/>
  <c r="E2793" i="13"/>
  <c r="E2794" i="13"/>
  <c r="E2795" i="13"/>
  <c r="E2796" i="13"/>
  <c r="E2797" i="13"/>
  <c r="E2798" i="13"/>
  <c r="E2799" i="13"/>
  <c r="E2800" i="13"/>
  <c r="E2801" i="13"/>
  <c r="E2802" i="13"/>
  <c r="E2803" i="13"/>
  <c r="E2804" i="13"/>
  <c r="E2805" i="13"/>
  <c r="E2806" i="13"/>
  <c r="E2807" i="13"/>
  <c r="E2808" i="13"/>
  <c r="E2809" i="13"/>
  <c r="E2810" i="13"/>
  <c r="E2811" i="13"/>
  <c r="E2812" i="13"/>
  <c r="E2813" i="13"/>
  <c r="E2814" i="13"/>
  <c r="E2815" i="13"/>
  <c r="E2816" i="13"/>
  <c r="E2817" i="13"/>
  <c r="E2818" i="13"/>
  <c r="E2819" i="13"/>
  <c r="E2820" i="13"/>
  <c r="E2821" i="13"/>
  <c r="E2822" i="13"/>
  <c r="E2823" i="13"/>
  <c r="E2824" i="13"/>
  <c r="E2825" i="13"/>
  <c r="E2826" i="13"/>
  <c r="E2827" i="13"/>
  <c r="E2828" i="13"/>
  <c r="E2829" i="13"/>
  <c r="E2830" i="13"/>
  <c r="E2831" i="13"/>
  <c r="E2832" i="13"/>
  <c r="E2833" i="13"/>
  <c r="E2834" i="13"/>
  <c r="E2835" i="13"/>
  <c r="E2836" i="13"/>
  <c r="E2837" i="13"/>
  <c r="E2838" i="13"/>
  <c r="E2839" i="13"/>
  <c r="E2840" i="13"/>
  <c r="E2841" i="13"/>
  <c r="E2842" i="13"/>
  <c r="E2843" i="13"/>
  <c r="E2844" i="13"/>
  <c r="E2845" i="13"/>
  <c r="E2846" i="13"/>
  <c r="E2847" i="13"/>
  <c r="E2848" i="13"/>
  <c r="E2849" i="13"/>
  <c r="E2850" i="13"/>
  <c r="E2851" i="13"/>
  <c r="E2852" i="13"/>
  <c r="E2853" i="13"/>
  <c r="E2854" i="13"/>
  <c r="E2855" i="13"/>
  <c r="E2856" i="13"/>
  <c r="E2857" i="13"/>
  <c r="E2858" i="13"/>
  <c r="E2859" i="13"/>
  <c r="E2860" i="13"/>
  <c r="E2861" i="13"/>
  <c r="E2862" i="13"/>
  <c r="E2863" i="13"/>
  <c r="E2864" i="13"/>
  <c r="E2865" i="13"/>
  <c r="E2866" i="13"/>
  <c r="E2867" i="13"/>
  <c r="E2868" i="13"/>
  <c r="E2869" i="13"/>
  <c r="E2870" i="13"/>
  <c r="E2871" i="13"/>
  <c r="E2872" i="13"/>
  <c r="E2873" i="13"/>
  <c r="E2874" i="13"/>
  <c r="E2875" i="13"/>
  <c r="E2876" i="13"/>
  <c r="E2877" i="13"/>
  <c r="E2878" i="13"/>
  <c r="E2879" i="13"/>
  <c r="E2880" i="13"/>
  <c r="E2881" i="13"/>
  <c r="E2882" i="13"/>
  <c r="E2883" i="13"/>
  <c r="E2884" i="13"/>
  <c r="E2885" i="13"/>
  <c r="E2886" i="13"/>
  <c r="E2887" i="13"/>
  <c r="E2888" i="13"/>
  <c r="E2889" i="13"/>
  <c r="E2890" i="13"/>
  <c r="E2891" i="13"/>
  <c r="E2892" i="13"/>
  <c r="E2893" i="13"/>
  <c r="E2894" i="13"/>
  <c r="E2895" i="13"/>
  <c r="E2896" i="13"/>
  <c r="E2897" i="13"/>
  <c r="E2898" i="13"/>
  <c r="E2899" i="13"/>
  <c r="E2900" i="13"/>
  <c r="E2901" i="13"/>
  <c r="E2902" i="13"/>
  <c r="E2903" i="13"/>
  <c r="E2904" i="13"/>
  <c r="E2905" i="13"/>
  <c r="E2906" i="13"/>
  <c r="E2907" i="13"/>
  <c r="E2908" i="13"/>
  <c r="E2909" i="13"/>
  <c r="E2910" i="13"/>
  <c r="E2911" i="13"/>
  <c r="E2912" i="13"/>
  <c r="E2913" i="13"/>
  <c r="E2914" i="13"/>
  <c r="E2915" i="13"/>
  <c r="E2916" i="13"/>
  <c r="E2917" i="13"/>
  <c r="E2918" i="13"/>
  <c r="E2919" i="13"/>
  <c r="E2920" i="13"/>
  <c r="E2921" i="13"/>
  <c r="E2922" i="13"/>
  <c r="E2923" i="13"/>
  <c r="E2924" i="13"/>
  <c r="E2925" i="13"/>
  <c r="E2926" i="13"/>
  <c r="E2927" i="13"/>
  <c r="E2928" i="13"/>
  <c r="E2929" i="13"/>
  <c r="E2930" i="13"/>
  <c r="E2931" i="13"/>
  <c r="E2932" i="13"/>
  <c r="E2933" i="13"/>
  <c r="E2934" i="13"/>
  <c r="E2935" i="13"/>
  <c r="E2936" i="13"/>
  <c r="E2937" i="13"/>
  <c r="E2938" i="13"/>
  <c r="E2939" i="13"/>
  <c r="E2940" i="13"/>
  <c r="E2941" i="13"/>
  <c r="E2942" i="13"/>
  <c r="E2943" i="13"/>
  <c r="E2944" i="13"/>
  <c r="E2945" i="13"/>
  <c r="E2946" i="13"/>
  <c r="E2947" i="13"/>
  <c r="E2948" i="13"/>
  <c r="E2949" i="13"/>
  <c r="E2950" i="13"/>
  <c r="E2951" i="13"/>
  <c r="E2952" i="13"/>
  <c r="E2953" i="13"/>
  <c r="E2954" i="13"/>
  <c r="E2955" i="13"/>
  <c r="E2956" i="13"/>
  <c r="E2957" i="13"/>
  <c r="E2958" i="13"/>
  <c r="E2959" i="13"/>
  <c r="E2960" i="13"/>
  <c r="E2961" i="13"/>
  <c r="E2962" i="13"/>
  <c r="E2963" i="13"/>
  <c r="E2964" i="13"/>
  <c r="E2965" i="13"/>
  <c r="E2966" i="13"/>
  <c r="E2967" i="13"/>
  <c r="E2968" i="13"/>
  <c r="E2969" i="13"/>
  <c r="E2970" i="13"/>
  <c r="E2971" i="13"/>
  <c r="E2972" i="13"/>
  <c r="E2973" i="13"/>
  <c r="E2974" i="13"/>
  <c r="E2975" i="13"/>
  <c r="E2976" i="13"/>
  <c r="E2977" i="13"/>
  <c r="E2978" i="13"/>
  <c r="E2979" i="13"/>
  <c r="E2980" i="13"/>
  <c r="E2981" i="13"/>
  <c r="E2982" i="13"/>
  <c r="E2983" i="13"/>
  <c r="E2984" i="13"/>
  <c r="E2985" i="13"/>
  <c r="E2986" i="13"/>
  <c r="E2987" i="13"/>
  <c r="E2988" i="13"/>
  <c r="E2989" i="13"/>
  <c r="E2990" i="13"/>
  <c r="E2991" i="13"/>
  <c r="E2992" i="13"/>
  <c r="E2993" i="13"/>
  <c r="E2994" i="13"/>
  <c r="E2995" i="13"/>
  <c r="E2996" i="13"/>
  <c r="E2997" i="13"/>
  <c r="E2998" i="13"/>
  <c r="E2999" i="13"/>
  <c r="E3000" i="13"/>
  <c r="E3001" i="13"/>
  <c r="E3002" i="13"/>
  <c r="E3003" i="13"/>
  <c r="E3004" i="13"/>
  <c r="E3005" i="13"/>
  <c r="E3006" i="13"/>
  <c r="E3007" i="13"/>
  <c r="E3008" i="13"/>
  <c r="E3009" i="13"/>
  <c r="E3010" i="13"/>
  <c r="E3011" i="13"/>
  <c r="E3012" i="13"/>
  <c r="E3013" i="13"/>
  <c r="E3014" i="13"/>
  <c r="E3015" i="13"/>
  <c r="E3016" i="13"/>
  <c r="E3017" i="13"/>
  <c r="E3018" i="13"/>
  <c r="E3019" i="13"/>
  <c r="E3020" i="13"/>
  <c r="E3021" i="13"/>
  <c r="E3022" i="13"/>
  <c r="E3023" i="13"/>
  <c r="E3024" i="13"/>
  <c r="E3025" i="13"/>
  <c r="E3026" i="13"/>
  <c r="E3027" i="13"/>
  <c r="E3028" i="13"/>
  <c r="E3029" i="13"/>
  <c r="E3030" i="13"/>
  <c r="E3031" i="13"/>
  <c r="E3032" i="13"/>
  <c r="E3033" i="13"/>
  <c r="E3034" i="13"/>
  <c r="E3035" i="13"/>
  <c r="E3036" i="13"/>
  <c r="E3037" i="13"/>
  <c r="E3038" i="13"/>
  <c r="E3039" i="13"/>
  <c r="E3040" i="13"/>
  <c r="E3041" i="13"/>
  <c r="E3042" i="13"/>
  <c r="E3043" i="13"/>
  <c r="E3044" i="13"/>
  <c r="E3045" i="13"/>
  <c r="E3046" i="13"/>
  <c r="E3047" i="13"/>
  <c r="E3048" i="13"/>
  <c r="E3049" i="13"/>
  <c r="E3050" i="13"/>
  <c r="E3051" i="13"/>
  <c r="E3052" i="13"/>
  <c r="E3053" i="13"/>
  <c r="E3054" i="13"/>
  <c r="E3055" i="13"/>
  <c r="E3056" i="13"/>
  <c r="E3057" i="13"/>
  <c r="E3058" i="13"/>
  <c r="E3059" i="13"/>
  <c r="E3060" i="13"/>
  <c r="E3061" i="13"/>
  <c r="E3062" i="13"/>
  <c r="E3063" i="13"/>
  <c r="E3064" i="13"/>
  <c r="E3065" i="13"/>
  <c r="E3066" i="13"/>
  <c r="E3067" i="13"/>
  <c r="E3068" i="13"/>
  <c r="E3069" i="13"/>
  <c r="E3070" i="13"/>
  <c r="E3071" i="13"/>
  <c r="E3072" i="13"/>
  <c r="E3073" i="13"/>
  <c r="E3074" i="13"/>
  <c r="E3075" i="13"/>
  <c r="E3076" i="13"/>
  <c r="E3077" i="13"/>
  <c r="E3078" i="13"/>
  <c r="E3079" i="13"/>
  <c r="E3080" i="13"/>
  <c r="E3081" i="13"/>
  <c r="E3082" i="13"/>
  <c r="E3083" i="13"/>
  <c r="E3084" i="13"/>
  <c r="E3085" i="13"/>
  <c r="E3086" i="13"/>
  <c r="E3087" i="13"/>
  <c r="E3088" i="13"/>
  <c r="E3089" i="13"/>
  <c r="E3090" i="13"/>
  <c r="E3091" i="13"/>
  <c r="E3092" i="13"/>
  <c r="E3093" i="13"/>
  <c r="E3094" i="13"/>
  <c r="E3095" i="13"/>
  <c r="E3096" i="13"/>
  <c r="E3097" i="13"/>
  <c r="E3098" i="13"/>
  <c r="E3099" i="13"/>
  <c r="E3100" i="13"/>
  <c r="E3101" i="13"/>
  <c r="E3102" i="13"/>
  <c r="E3103" i="13"/>
  <c r="E3104" i="13"/>
  <c r="E3105" i="13"/>
  <c r="E3106" i="13"/>
  <c r="E3107" i="13"/>
  <c r="E3108" i="13"/>
  <c r="E3109" i="13"/>
  <c r="E3110" i="13"/>
  <c r="E3111" i="13"/>
  <c r="E3112" i="13"/>
  <c r="E3113" i="13"/>
  <c r="E3114" i="13"/>
  <c r="E3115" i="13"/>
  <c r="E3116" i="13"/>
  <c r="E3117" i="13"/>
  <c r="E3118" i="13"/>
  <c r="E3119" i="13"/>
  <c r="E3120" i="13"/>
  <c r="E3121" i="13"/>
  <c r="E3122" i="13"/>
  <c r="E3123" i="13"/>
  <c r="E3124" i="13"/>
  <c r="E3125" i="13"/>
  <c r="E3126" i="13"/>
  <c r="E3127" i="13"/>
  <c r="E3128" i="13"/>
  <c r="E3129" i="13"/>
  <c r="E3130" i="13"/>
  <c r="E3131" i="13"/>
  <c r="E3132" i="13"/>
  <c r="E3133" i="13"/>
  <c r="E3134" i="13"/>
  <c r="E3135" i="13"/>
  <c r="E3136" i="13"/>
  <c r="E3137" i="13"/>
  <c r="E3138" i="13"/>
  <c r="E3139" i="13"/>
  <c r="E3140" i="13"/>
  <c r="E3141" i="13"/>
  <c r="E3142" i="13"/>
  <c r="E3143" i="13"/>
  <c r="E3144" i="13"/>
  <c r="E3145" i="13"/>
  <c r="E3146" i="13"/>
  <c r="E3147" i="13"/>
  <c r="E3148" i="13"/>
  <c r="E3149" i="13"/>
  <c r="G3149" i="13"/>
  <c r="L3148" i="13"/>
  <c r="G3148" i="13"/>
  <c r="L3147" i="13"/>
  <c r="G3147" i="13"/>
  <c r="L3146" i="13"/>
  <c r="G3146" i="13"/>
  <c r="L3145" i="13"/>
  <c r="G3145" i="13"/>
  <c r="L3144" i="13"/>
  <c r="G3144" i="13"/>
  <c r="L3143" i="13"/>
  <c r="G3143" i="13"/>
  <c r="L3142" i="13"/>
  <c r="G3142" i="13"/>
  <c r="L3141" i="13"/>
  <c r="G3141" i="13"/>
  <c r="L3140" i="13"/>
  <c r="G3140" i="13"/>
  <c r="L3139" i="13"/>
  <c r="G3139" i="13"/>
  <c r="L3138" i="13"/>
  <c r="G3138" i="13"/>
  <c r="L3137" i="13"/>
  <c r="G3137" i="13"/>
  <c r="L3136" i="13"/>
  <c r="G3136" i="13"/>
  <c r="L3135" i="13"/>
  <c r="G3135" i="13"/>
  <c r="L3134" i="13"/>
  <c r="G3134" i="13"/>
  <c r="L3133" i="13"/>
  <c r="G3133" i="13"/>
  <c r="L3132" i="13"/>
  <c r="G3132" i="13"/>
  <c r="L3131" i="13"/>
  <c r="G3131" i="13"/>
  <c r="L3130" i="13"/>
  <c r="G3130" i="13"/>
  <c r="L3129" i="13"/>
  <c r="G3129" i="13"/>
  <c r="L3128" i="13"/>
  <c r="G3128" i="13"/>
  <c r="L3127" i="13"/>
  <c r="G3127" i="13"/>
  <c r="L3126" i="13"/>
  <c r="G3126" i="13"/>
  <c r="L3125" i="13"/>
  <c r="G3125" i="13"/>
  <c r="L3124" i="13"/>
  <c r="G3124" i="13"/>
  <c r="L3123" i="13"/>
  <c r="G3123" i="13"/>
  <c r="L3122" i="13"/>
  <c r="G3122" i="13"/>
  <c r="L3121" i="13"/>
  <c r="G3121" i="13"/>
  <c r="L3120" i="13"/>
  <c r="G3120" i="13"/>
  <c r="L3119" i="13"/>
  <c r="G3119" i="13"/>
  <c r="L3118" i="13"/>
  <c r="G3118" i="13"/>
  <c r="L3117" i="13"/>
  <c r="G3117" i="13"/>
  <c r="L3116" i="13"/>
  <c r="G3116" i="13"/>
  <c r="L3115" i="13"/>
  <c r="G3115" i="13"/>
  <c r="L3114" i="13"/>
  <c r="G3114" i="13"/>
  <c r="L3113" i="13"/>
  <c r="G3113" i="13"/>
  <c r="L3112" i="13"/>
  <c r="G3112" i="13"/>
  <c r="L3111" i="13"/>
  <c r="G3111" i="13"/>
  <c r="L3110" i="13"/>
  <c r="G3110" i="13"/>
  <c r="L3109" i="13"/>
  <c r="G3109" i="13"/>
  <c r="L3108" i="13"/>
  <c r="G3108" i="13"/>
  <c r="L3107" i="13"/>
  <c r="G3107" i="13"/>
  <c r="L3106" i="13"/>
  <c r="G3106" i="13"/>
  <c r="L3105" i="13"/>
  <c r="G3105" i="13"/>
  <c r="L3104" i="13"/>
  <c r="G3104" i="13"/>
  <c r="L3103" i="13"/>
  <c r="G3103" i="13"/>
  <c r="L3102" i="13"/>
  <c r="G3102" i="13"/>
  <c r="L3101" i="13"/>
  <c r="G3101" i="13"/>
  <c r="L3100" i="13"/>
  <c r="G3100" i="13"/>
  <c r="L3099" i="13"/>
  <c r="G3099" i="13"/>
  <c r="L3098" i="13"/>
  <c r="G3098" i="13"/>
  <c r="L3097" i="13"/>
  <c r="G3097" i="13"/>
  <c r="L3096" i="13"/>
  <c r="G3096" i="13"/>
  <c r="L3095" i="13"/>
  <c r="G3095" i="13"/>
  <c r="L3094" i="13"/>
  <c r="G3094" i="13"/>
  <c r="L3093" i="13"/>
  <c r="G3093" i="13"/>
  <c r="L3092" i="13"/>
  <c r="G3092" i="13"/>
  <c r="L3091" i="13"/>
  <c r="G3091" i="13"/>
  <c r="L3090" i="13"/>
  <c r="G3090" i="13"/>
  <c r="L3089" i="13"/>
  <c r="G3089" i="13"/>
  <c r="L3088" i="13"/>
  <c r="G3088" i="13"/>
  <c r="L3087" i="13"/>
  <c r="G3087" i="13"/>
  <c r="L3086" i="13"/>
  <c r="G3086" i="13"/>
  <c r="L3085" i="13"/>
  <c r="G3085" i="13"/>
  <c r="L3084" i="13"/>
  <c r="G3084" i="13"/>
  <c r="L3083" i="13"/>
  <c r="G3083" i="13"/>
  <c r="L3082" i="13"/>
  <c r="G3082" i="13"/>
  <c r="L3081" i="13"/>
  <c r="G3081" i="13"/>
  <c r="L3080" i="13"/>
  <c r="G3080" i="13"/>
  <c r="L3079" i="13"/>
  <c r="G3079" i="13"/>
  <c r="L3078" i="13"/>
  <c r="G3078" i="13"/>
  <c r="L3077" i="13"/>
  <c r="G3077" i="13"/>
  <c r="L3076" i="13"/>
  <c r="G3076" i="13"/>
  <c r="L3075" i="13"/>
  <c r="G3075" i="13"/>
  <c r="L3074" i="13"/>
  <c r="G3074" i="13"/>
  <c r="L3073" i="13"/>
  <c r="G3073" i="13"/>
  <c r="L3072" i="13"/>
  <c r="G3072" i="13"/>
  <c r="L3071" i="13"/>
  <c r="G3071" i="13"/>
  <c r="L3070" i="13"/>
  <c r="G3070" i="13"/>
  <c r="L3069" i="13"/>
  <c r="G3069" i="13"/>
  <c r="L3068" i="13"/>
  <c r="G3068" i="13"/>
  <c r="L3067" i="13"/>
  <c r="G3067" i="13"/>
  <c r="L3066" i="13"/>
  <c r="G3066" i="13"/>
  <c r="L3065" i="13"/>
  <c r="G3065" i="13"/>
  <c r="L3064" i="13"/>
  <c r="G3064" i="13"/>
  <c r="L3063" i="13"/>
  <c r="G3063" i="13"/>
  <c r="L3062" i="13"/>
  <c r="G3062" i="13"/>
  <c r="L3061" i="13"/>
  <c r="G3061" i="13"/>
  <c r="L3060" i="13"/>
  <c r="G3060" i="13"/>
  <c r="L3059" i="13"/>
  <c r="G3059" i="13"/>
  <c r="L3058" i="13"/>
  <c r="G3058" i="13"/>
  <c r="L3057" i="13"/>
  <c r="G3057" i="13"/>
  <c r="L3056" i="13"/>
  <c r="G3056" i="13"/>
  <c r="L3055" i="13"/>
  <c r="G3055" i="13"/>
  <c r="L3054" i="13"/>
  <c r="G3054" i="13"/>
  <c r="L3053" i="13"/>
  <c r="G3053" i="13"/>
  <c r="L3052" i="13"/>
  <c r="G3052" i="13"/>
  <c r="L3051" i="13"/>
  <c r="G3051" i="13"/>
  <c r="L3050" i="13"/>
  <c r="G3050" i="13"/>
  <c r="L3049" i="13"/>
  <c r="G3049" i="13"/>
  <c r="L3048" i="13"/>
  <c r="G3048" i="13"/>
  <c r="L3047" i="13"/>
  <c r="G3047" i="13"/>
  <c r="L3046" i="13"/>
  <c r="G3046" i="13"/>
  <c r="L3045" i="13"/>
  <c r="G3045" i="13"/>
  <c r="L3044" i="13"/>
  <c r="G3044" i="13"/>
  <c r="L3043" i="13"/>
  <c r="G3043" i="13"/>
  <c r="L3042" i="13"/>
  <c r="G3042" i="13"/>
  <c r="L3041" i="13"/>
  <c r="G3041" i="13"/>
  <c r="L3040" i="13"/>
  <c r="G3040" i="13"/>
  <c r="L3039" i="13"/>
  <c r="G3039" i="13"/>
  <c r="L3038" i="13"/>
  <c r="G3038" i="13"/>
  <c r="L3037" i="13"/>
  <c r="G3037" i="13"/>
  <c r="L3036" i="13"/>
  <c r="G3036" i="13"/>
  <c r="L3035" i="13"/>
  <c r="G3035" i="13"/>
  <c r="L3034" i="13"/>
  <c r="G3034" i="13"/>
  <c r="L3033" i="13"/>
  <c r="G3033" i="13"/>
  <c r="L3032" i="13"/>
  <c r="G3032" i="13"/>
  <c r="L3031" i="13"/>
  <c r="G3031" i="13"/>
  <c r="L3030" i="13"/>
  <c r="G3030" i="13"/>
  <c r="L3029" i="13"/>
  <c r="G3029" i="13"/>
  <c r="L3028" i="13"/>
  <c r="G3028" i="13"/>
  <c r="L3027" i="13"/>
  <c r="G3027" i="13"/>
  <c r="L3026" i="13"/>
  <c r="G3026" i="13"/>
  <c r="L3025" i="13"/>
  <c r="G3025" i="13"/>
  <c r="L3024" i="13"/>
  <c r="G3024" i="13"/>
  <c r="L3023" i="13"/>
  <c r="G3023" i="13"/>
  <c r="L3022" i="13"/>
  <c r="G3022" i="13"/>
  <c r="L3021" i="13"/>
  <c r="G3021" i="13"/>
  <c r="L3020" i="13"/>
  <c r="G3020" i="13"/>
  <c r="L3019" i="13"/>
  <c r="G3019" i="13"/>
  <c r="L3018" i="13"/>
  <c r="G3018" i="13"/>
  <c r="L3017" i="13"/>
  <c r="G3017" i="13"/>
  <c r="L3016" i="13"/>
  <c r="G3016" i="13"/>
  <c r="L3015" i="13"/>
  <c r="G3015" i="13"/>
  <c r="L3014" i="13"/>
  <c r="G3014" i="13"/>
  <c r="L3013" i="13"/>
  <c r="G3013" i="13"/>
  <c r="L3012" i="13"/>
  <c r="G3012" i="13"/>
  <c r="L3011" i="13"/>
  <c r="G3011" i="13"/>
  <c r="L3010" i="13"/>
  <c r="G3010" i="13"/>
  <c r="L3009" i="13"/>
  <c r="G3009" i="13"/>
  <c r="L3008" i="13"/>
  <c r="G3008" i="13"/>
  <c r="L3007" i="13"/>
  <c r="G3007" i="13"/>
  <c r="L3006" i="13"/>
  <c r="G3006" i="13"/>
  <c r="L3005" i="13"/>
  <c r="G3005" i="13"/>
  <c r="L3004" i="13"/>
  <c r="G3004" i="13"/>
  <c r="L3003" i="13"/>
  <c r="G3003" i="13"/>
  <c r="L3002" i="13"/>
  <c r="G3002" i="13"/>
  <c r="L3001" i="13"/>
  <c r="G3001" i="13"/>
  <c r="L3000" i="13"/>
  <c r="G3000" i="13"/>
  <c r="L2999" i="13"/>
  <c r="G2999" i="13"/>
  <c r="L2998" i="13"/>
  <c r="G2998" i="13"/>
  <c r="L2997" i="13"/>
  <c r="G2997" i="13"/>
  <c r="L2996" i="13"/>
  <c r="G2996" i="13"/>
  <c r="L2995" i="13"/>
  <c r="G2995" i="13"/>
  <c r="L2994" i="13"/>
  <c r="G2994" i="13"/>
  <c r="L2993" i="13"/>
  <c r="G2993" i="13"/>
  <c r="L2992" i="13"/>
  <c r="G2992" i="13"/>
  <c r="L2991" i="13"/>
  <c r="G2991" i="13"/>
  <c r="L2990" i="13"/>
  <c r="G2990" i="13"/>
  <c r="L2989" i="13"/>
  <c r="G2989" i="13"/>
  <c r="L2988" i="13"/>
  <c r="G2988" i="13"/>
  <c r="L2987" i="13"/>
  <c r="G2987" i="13"/>
  <c r="L2986" i="13"/>
  <c r="G2986" i="13"/>
  <c r="L2985" i="13"/>
  <c r="G2985" i="13"/>
  <c r="L2984" i="13"/>
  <c r="G2984" i="13"/>
  <c r="L2983" i="13"/>
  <c r="G2983" i="13"/>
  <c r="L2982" i="13"/>
  <c r="G2982" i="13"/>
  <c r="L2981" i="13"/>
  <c r="G2981" i="13"/>
  <c r="L2980" i="13"/>
  <c r="G2980" i="13"/>
  <c r="L2979" i="13"/>
  <c r="G2979" i="13"/>
  <c r="L2978" i="13"/>
  <c r="G2978" i="13"/>
  <c r="L2977" i="13"/>
  <c r="G2977" i="13"/>
  <c r="L2976" i="13"/>
  <c r="G2976" i="13"/>
  <c r="L2975" i="13"/>
  <c r="G2975" i="13"/>
  <c r="L2974" i="13"/>
  <c r="G2974" i="13"/>
  <c r="L2973" i="13"/>
  <c r="G2973" i="13"/>
  <c r="L2972" i="13"/>
  <c r="G2972" i="13"/>
  <c r="L2971" i="13"/>
  <c r="G2971" i="13"/>
  <c r="L2970" i="13"/>
  <c r="G2970" i="13"/>
  <c r="L2969" i="13"/>
  <c r="G2969" i="13"/>
  <c r="L2968" i="13"/>
  <c r="G2968" i="13"/>
  <c r="L2967" i="13"/>
  <c r="G2967" i="13"/>
  <c r="L2966" i="13"/>
  <c r="G2966" i="13"/>
  <c r="L2965" i="13"/>
  <c r="G2965" i="13"/>
  <c r="L2964" i="13"/>
  <c r="G2964" i="13"/>
  <c r="L2963" i="13"/>
  <c r="G2963" i="13"/>
  <c r="L2962" i="13"/>
  <c r="G2962" i="13"/>
  <c r="L2961" i="13"/>
  <c r="G2961" i="13"/>
  <c r="L2960" i="13"/>
  <c r="G2960" i="13"/>
  <c r="L2959" i="13"/>
  <c r="G2959" i="13"/>
  <c r="L2958" i="13"/>
  <c r="G2958" i="13"/>
  <c r="L2957" i="13"/>
  <c r="G2957" i="13"/>
  <c r="L2956" i="13"/>
  <c r="G2956" i="13"/>
  <c r="L2955" i="13"/>
  <c r="G2955" i="13"/>
  <c r="L2954" i="13"/>
  <c r="G2954" i="13"/>
  <c r="L2953" i="13"/>
  <c r="G2953" i="13"/>
  <c r="L2952" i="13"/>
  <c r="G2952" i="13"/>
  <c r="L2951" i="13"/>
  <c r="G2951" i="13"/>
  <c r="L2950" i="13"/>
  <c r="G2950" i="13"/>
  <c r="L2949" i="13"/>
  <c r="G2949" i="13"/>
  <c r="L2948" i="13"/>
  <c r="G2948" i="13"/>
  <c r="L2947" i="13"/>
  <c r="G2947" i="13"/>
  <c r="L2946" i="13"/>
  <c r="G2946" i="13"/>
  <c r="L2945" i="13"/>
  <c r="G2945" i="13"/>
  <c r="L2944" i="13"/>
  <c r="G2944" i="13"/>
  <c r="L2943" i="13"/>
  <c r="G2943" i="13"/>
  <c r="L2942" i="13"/>
  <c r="G2942" i="13"/>
  <c r="L2941" i="13"/>
  <c r="G2941" i="13"/>
  <c r="L2940" i="13"/>
  <c r="G2940" i="13"/>
  <c r="L2939" i="13"/>
  <c r="G2939" i="13"/>
  <c r="L2938" i="13"/>
  <c r="G2938" i="13"/>
  <c r="L2937" i="13"/>
  <c r="G2937" i="13"/>
  <c r="L2936" i="13"/>
  <c r="G2936" i="13"/>
  <c r="L2935" i="13"/>
  <c r="G2935" i="13"/>
  <c r="L2934" i="13"/>
  <c r="G2934" i="13"/>
  <c r="L2933" i="13"/>
  <c r="G2933" i="13"/>
  <c r="L2932" i="13"/>
  <c r="G2932" i="13"/>
  <c r="L2931" i="13"/>
  <c r="G2931" i="13"/>
  <c r="L2930" i="13"/>
  <c r="G2930" i="13"/>
  <c r="L2929" i="13"/>
  <c r="G2929" i="13"/>
  <c r="L2928" i="13"/>
  <c r="G2928" i="13"/>
  <c r="L2927" i="13"/>
  <c r="G2927" i="13"/>
  <c r="L2926" i="13"/>
  <c r="G2926" i="13"/>
  <c r="L2925" i="13"/>
  <c r="G2925" i="13"/>
  <c r="L2924" i="13"/>
  <c r="G2924" i="13"/>
  <c r="L2923" i="13"/>
  <c r="G2923" i="13"/>
  <c r="L2922" i="13"/>
  <c r="G2922" i="13"/>
  <c r="L2921" i="13"/>
  <c r="G2921" i="13"/>
  <c r="L2920" i="13"/>
  <c r="G2920" i="13"/>
  <c r="L2919" i="13"/>
  <c r="G2919" i="13"/>
  <c r="L2918" i="13"/>
  <c r="G2918" i="13"/>
  <c r="L2917" i="13"/>
  <c r="G2917" i="13"/>
  <c r="L2916" i="13"/>
  <c r="G2916" i="13"/>
  <c r="L2915" i="13"/>
  <c r="G2915" i="13"/>
  <c r="L2914" i="13"/>
  <c r="G2914" i="13"/>
  <c r="L2913" i="13"/>
  <c r="G2913" i="13"/>
  <c r="L2912" i="13"/>
  <c r="G2912" i="13"/>
  <c r="L2911" i="13"/>
  <c r="G2911" i="13"/>
  <c r="L2910" i="13"/>
  <c r="G2910" i="13"/>
  <c r="L2909" i="13"/>
  <c r="G2909" i="13"/>
  <c r="L2908" i="13"/>
  <c r="G2908" i="13"/>
  <c r="L2907" i="13"/>
  <c r="G2907" i="13"/>
  <c r="L2906" i="13"/>
  <c r="G2906" i="13"/>
  <c r="L2905" i="13"/>
  <c r="G2905" i="13"/>
  <c r="L2904" i="13"/>
  <c r="G2904" i="13"/>
  <c r="L2903" i="13"/>
  <c r="G2903" i="13"/>
  <c r="L2902" i="13"/>
  <c r="G2902" i="13"/>
  <c r="L2901" i="13"/>
  <c r="G2901" i="13"/>
  <c r="L2900" i="13"/>
  <c r="G2900" i="13"/>
  <c r="L2899" i="13"/>
  <c r="G2899" i="13"/>
  <c r="L2898" i="13"/>
  <c r="G2898" i="13"/>
  <c r="L2897" i="13"/>
  <c r="G2897" i="13"/>
  <c r="L2896" i="13"/>
  <c r="G2896" i="13"/>
  <c r="L2895" i="13"/>
  <c r="G2895" i="13"/>
  <c r="L2894" i="13"/>
  <c r="G2894" i="13"/>
  <c r="L2893" i="13"/>
  <c r="G2893" i="13"/>
  <c r="L2892" i="13"/>
  <c r="G2892" i="13"/>
  <c r="L2891" i="13"/>
  <c r="G2891" i="13"/>
  <c r="L2890" i="13"/>
  <c r="G2890" i="13"/>
  <c r="L2889" i="13"/>
  <c r="G2889" i="13"/>
  <c r="L2888" i="13"/>
  <c r="G2888" i="13"/>
  <c r="L2887" i="13"/>
  <c r="G2887" i="13"/>
  <c r="L2886" i="13"/>
  <c r="G2886" i="13"/>
  <c r="L2885" i="13"/>
  <c r="G2885" i="13"/>
  <c r="L2884" i="13"/>
  <c r="G2884" i="13"/>
  <c r="L2883" i="13"/>
  <c r="G2883" i="13"/>
  <c r="L2882" i="13"/>
  <c r="G2882" i="13"/>
  <c r="L2881" i="13"/>
  <c r="G2881" i="13"/>
  <c r="L2880" i="13"/>
  <c r="G2880" i="13"/>
  <c r="L2879" i="13"/>
  <c r="G2879" i="13"/>
  <c r="L2878" i="13"/>
  <c r="G2878" i="13"/>
  <c r="L2877" i="13"/>
  <c r="G2877" i="13"/>
  <c r="L2876" i="13"/>
  <c r="G2876" i="13"/>
  <c r="L2875" i="13"/>
  <c r="G2875" i="13"/>
  <c r="L2874" i="13"/>
  <c r="G2874" i="13"/>
  <c r="L2873" i="13"/>
  <c r="G2873" i="13"/>
  <c r="L2872" i="13"/>
  <c r="G2872" i="13"/>
  <c r="L2871" i="13"/>
  <c r="G2871" i="13"/>
  <c r="L2870" i="13"/>
  <c r="G2870" i="13"/>
  <c r="L2869" i="13"/>
  <c r="G2869" i="13"/>
  <c r="L2868" i="13"/>
  <c r="G2868" i="13"/>
  <c r="L2867" i="13"/>
  <c r="G2867" i="13"/>
  <c r="L2866" i="13"/>
  <c r="G2866" i="13"/>
  <c r="L2865" i="13"/>
  <c r="G2865" i="13"/>
  <c r="L2864" i="13"/>
  <c r="G2864" i="13"/>
  <c r="L2863" i="13"/>
  <c r="G2863" i="13"/>
  <c r="L2862" i="13"/>
  <c r="G2862" i="13"/>
  <c r="L2861" i="13"/>
  <c r="G2861" i="13"/>
  <c r="L2860" i="13"/>
  <c r="G2860" i="13"/>
  <c r="L2859" i="13"/>
  <c r="G2859" i="13"/>
  <c r="L2858" i="13"/>
  <c r="G2858" i="13"/>
  <c r="L2857" i="13"/>
  <c r="G2857" i="13"/>
  <c r="L2856" i="13"/>
  <c r="G2856" i="13"/>
  <c r="L2855" i="13"/>
  <c r="G2855" i="13"/>
  <c r="L2854" i="13"/>
  <c r="G2854" i="13"/>
  <c r="L2853" i="13"/>
  <c r="G2853" i="13"/>
  <c r="L2852" i="13"/>
  <c r="G2852" i="13"/>
  <c r="L2851" i="13"/>
  <c r="G2851" i="13"/>
  <c r="L2850" i="13"/>
  <c r="G2850" i="13"/>
  <c r="L2849" i="13"/>
  <c r="G2849" i="13"/>
  <c r="L2848" i="13"/>
  <c r="G2848" i="13"/>
  <c r="L2847" i="13"/>
  <c r="G2847" i="13"/>
  <c r="L2846" i="13"/>
  <c r="G2846" i="13"/>
  <c r="L2845" i="13"/>
  <c r="G2845" i="13"/>
  <c r="L2844" i="13"/>
  <c r="G2844" i="13"/>
  <c r="L2843" i="13"/>
  <c r="G2843" i="13"/>
  <c r="L2842" i="13"/>
  <c r="G2842" i="13"/>
  <c r="L2841" i="13"/>
  <c r="G2841" i="13"/>
  <c r="L2840" i="13"/>
  <c r="G2840" i="13"/>
  <c r="L2839" i="13"/>
  <c r="G2839" i="13"/>
  <c r="L2838" i="13"/>
  <c r="G2838" i="13"/>
  <c r="L2837" i="13"/>
  <c r="G2837" i="13"/>
  <c r="L2836" i="13"/>
  <c r="G2836" i="13"/>
  <c r="L2835" i="13"/>
  <c r="G2835" i="13"/>
  <c r="L2834" i="13"/>
  <c r="G2834" i="13"/>
  <c r="L2833" i="13"/>
  <c r="G2833" i="13"/>
  <c r="L2832" i="13"/>
  <c r="G2832" i="13"/>
  <c r="L2831" i="13"/>
  <c r="G2831" i="13"/>
  <c r="L2830" i="13"/>
  <c r="G2830" i="13"/>
  <c r="L2829" i="13"/>
  <c r="G2829" i="13"/>
  <c r="L2828" i="13"/>
  <c r="G2828" i="13"/>
  <c r="L2827" i="13"/>
  <c r="G2827" i="13"/>
  <c r="L2826" i="13"/>
  <c r="G2826" i="13"/>
  <c r="L2825" i="13"/>
  <c r="G2825" i="13"/>
  <c r="L2824" i="13"/>
  <c r="G2824" i="13"/>
  <c r="L2823" i="13"/>
  <c r="G2823" i="13"/>
  <c r="L2822" i="13"/>
  <c r="G2822" i="13"/>
  <c r="L2821" i="13"/>
  <c r="G2821" i="13"/>
  <c r="L2820" i="13"/>
  <c r="G2820" i="13"/>
  <c r="L2819" i="13"/>
  <c r="G2819" i="13"/>
  <c r="L2818" i="13"/>
  <c r="G2818" i="13"/>
  <c r="L2817" i="13"/>
  <c r="G2817" i="13"/>
  <c r="L2816" i="13"/>
  <c r="G2816" i="13"/>
  <c r="L2815" i="13"/>
  <c r="G2815" i="13"/>
  <c r="L2814" i="13"/>
  <c r="G2814" i="13"/>
  <c r="L2813" i="13"/>
  <c r="G2813" i="13"/>
  <c r="L2812" i="13"/>
  <c r="G2812" i="13"/>
  <c r="L2811" i="13"/>
  <c r="G2811" i="13"/>
  <c r="L2810" i="13"/>
  <c r="G2810" i="13"/>
  <c r="L2809" i="13"/>
  <c r="G2809" i="13"/>
  <c r="L2808" i="13"/>
  <c r="G2808" i="13"/>
  <c r="L2807" i="13"/>
  <c r="G2807" i="13"/>
  <c r="L2806" i="13"/>
  <c r="G2806" i="13"/>
  <c r="L2805" i="13"/>
  <c r="G2805" i="13"/>
  <c r="L2804" i="13"/>
  <c r="G2804" i="13"/>
  <c r="L2803" i="13"/>
  <c r="G2803" i="13"/>
  <c r="L2802" i="13"/>
  <c r="G2802" i="13"/>
  <c r="L2801" i="13"/>
  <c r="G2801" i="13"/>
  <c r="L2800" i="13"/>
  <c r="G2800" i="13"/>
  <c r="L2799" i="13"/>
  <c r="G2799" i="13"/>
  <c r="L2798" i="13"/>
  <c r="G2798" i="13"/>
  <c r="L2797" i="13"/>
  <c r="G2797" i="13"/>
  <c r="L2796" i="13"/>
  <c r="G2796" i="13"/>
  <c r="L2795" i="13"/>
  <c r="G2795" i="13"/>
  <c r="L2794" i="13"/>
  <c r="G2794" i="13"/>
  <c r="L2793" i="13"/>
  <c r="G2793" i="13"/>
  <c r="L2792" i="13"/>
  <c r="G2792" i="13"/>
  <c r="L2791" i="13"/>
  <c r="G2791" i="13"/>
  <c r="L2790" i="13"/>
  <c r="G2790" i="13"/>
  <c r="L2789" i="13"/>
  <c r="G2789" i="13"/>
  <c r="L2788" i="13"/>
  <c r="G2788" i="13"/>
  <c r="L2787" i="13"/>
  <c r="G2787" i="13"/>
  <c r="L2786" i="13"/>
  <c r="G2786" i="13"/>
  <c r="L2785" i="13"/>
  <c r="G2785" i="13"/>
  <c r="L2784" i="13"/>
  <c r="G2784" i="13"/>
  <c r="L2783" i="13"/>
  <c r="G2783" i="13"/>
  <c r="L2782" i="13"/>
  <c r="G2782" i="13"/>
  <c r="L2781" i="13"/>
  <c r="G2781" i="13"/>
  <c r="L2780" i="13"/>
  <c r="G2780" i="13"/>
  <c r="L2779" i="13"/>
  <c r="G2779" i="13"/>
  <c r="L2778" i="13"/>
  <c r="G2778" i="13"/>
  <c r="L2777" i="13"/>
  <c r="G2777" i="13"/>
  <c r="L2776" i="13"/>
  <c r="G2776" i="13"/>
  <c r="L2775" i="13"/>
  <c r="G2775" i="13"/>
  <c r="L2774" i="13"/>
  <c r="G2774" i="13"/>
  <c r="L2773" i="13"/>
  <c r="G2773" i="13"/>
  <c r="L2772" i="13"/>
  <c r="G2772" i="13"/>
  <c r="L2771" i="13"/>
  <c r="G2771" i="13"/>
  <c r="L2770" i="13"/>
  <c r="G2770" i="13"/>
  <c r="L2769" i="13"/>
  <c r="G2769" i="13"/>
  <c r="L2768" i="13"/>
  <c r="G2768" i="13"/>
  <c r="L2767" i="13"/>
  <c r="G2767" i="13"/>
  <c r="L2766" i="13"/>
  <c r="G2766" i="13"/>
  <c r="L2765" i="13"/>
  <c r="G2765" i="13"/>
  <c r="L2764" i="13"/>
  <c r="G2764" i="13"/>
  <c r="L2763" i="13"/>
  <c r="G2763" i="13"/>
  <c r="L2762" i="13"/>
  <c r="G2762" i="13"/>
  <c r="L2761" i="13"/>
  <c r="G2761" i="13"/>
  <c r="L2760" i="13"/>
  <c r="G2760" i="13"/>
  <c r="L2759" i="13"/>
  <c r="G2759" i="13"/>
  <c r="L2758" i="13"/>
  <c r="G2758" i="13"/>
  <c r="L2757" i="13"/>
  <c r="G2757" i="13"/>
  <c r="L2756" i="13"/>
  <c r="G2756" i="13"/>
  <c r="L2755" i="13"/>
  <c r="G2755" i="13"/>
  <c r="L2754" i="13"/>
  <c r="G2754" i="13"/>
  <c r="L2753" i="13"/>
  <c r="G2753" i="13"/>
  <c r="L2752" i="13"/>
  <c r="G2752" i="13"/>
  <c r="L2751" i="13"/>
  <c r="G2751" i="13"/>
  <c r="L2750" i="13"/>
  <c r="G2750" i="13"/>
  <c r="L2749" i="13"/>
  <c r="G2749" i="13"/>
  <c r="L2748" i="13"/>
  <c r="G2748" i="13"/>
  <c r="L2747" i="13"/>
  <c r="G2747" i="13"/>
  <c r="L2746" i="13"/>
  <c r="G2746" i="13"/>
  <c r="L2745" i="13"/>
  <c r="G2745" i="13"/>
  <c r="L2744" i="13"/>
  <c r="G2744" i="13"/>
  <c r="L2743" i="13"/>
  <c r="G2743" i="13"/>
  <c r="L2742" i="13"/>
  <c r="G2742" i="13"/>
  <c r="L2741" i="13"/>
  <c r="G2741" i="13"/>
  <c r="L2740" i="13"/>
  <c r="G2740" i="13"/>
  <c r="L2739" i="13"/>
  <c r="G2739" i="13"/>
  <c r="L2738" i="13"/>
  <c r="G2738" i="13"/>
  <c r="L2737" i="13"/>
  <c r="G2737" i="13"/>
  <c r="L2736" i="13"/>
  <c r="G2736" i="13"/>
  <c r="L2735" i="13"/>
  <c r="G2735" i="13"/>
  <c r="L2734" i="13"/>
  <c r="G2734" i="13"/>
  <c r="L2733" i="13"/>
  <c r="G2733" i="13"/>
  <c r="L2732" i="13"/>
  <c r="G2732" i="13"/>
  <c r="L2731" i="13"/>
  <c r="G2731" i="13"/>
  <c r="L2730" i="13"/>
  <c r="G2730" i="13"/>
  <c r="L2729" i="13"/>
  <c r="G2729" i="13"/>
  <c r="L2728" i="13"/>
  <c r="G2728" i="13"/>
  <c r="L2727" i="13"/>
  <c r="G2727" i="13"/>
  <c r="L2726" i="13"/>
  <c r="G2726" i="13"/>
  <c r="L2725" i="13"/>
  <c r="G2725" i="13"/>
  <c r="L2724" i="13"/>
  <c r="G2724" i="13"/>
  <c r="L2723" i="13"/>
  <c r="G2723" i="13"/>
  <c r="L2722" i="13"/>
  <c r="G2722" i="13"/>
  <c r="L2721" i="13"/>
  <c r="G2721" i="13"/>
  <c r="L2720" i="13"/>
  <c r="G2720" i="13"/>
  <c r="L2719" i="13"/>
  <c r="G2719" i="13"/>
  <c r="L2718" i="13"/>
  <c r="G2718" i="13"/>
  <c r="L2717" i="13"/>
  <c r="G2717" i="13"/>
  <c r="L2716" i="13"/>
  <c r="G2716" i="13"/>
  <c r="L2715" i="13"/>
  <c r="G2715" i="13"/>
  <c r="L2714" i="13"/>
  <c r="G2714" i="13"/>
  <c r="L2713" i="13"/>
  <c r="G2713" i="13"/>
  <c r="L2712" i="13"/>
  <c r="G2712" i="13"/>
  <c r="L2711" i="13"/>
  <c r="G2711" i="13"/>
  <c r="L2710" i="13"/>
  <c r="G2710" i="13"/>
  <c r="L2709" i="13"/>
  <c r="G2709" i="13"/>
  <c r="L2708" i="13"/>
  <c r="G2708" i="13"/>
  <c r="L2707" i="13"/>
  <c r="G2707" i="13"/>
  <c r="L2706" i="13"/>
  <c r="G2706" i="13"/>
  <c r="L2705" i="13"/>
  <c r="G2705" i="13"/>
  <c r="L2704" i="13"/>
  <c r="G2704" i="13"/>
  <c r="L2703" i="13"/>
  <c r="G2703" i="13"/>
  <c r="L2702" i="13"/>
  <c r="G2702" i="13"/>
  <c r="L2701" i="13"/>
  <c r="G2701" i="13"/>
  <c r="L2700" i="13"/>
  <c r="G2700" i="13"/>
  <c r="L2699" i="13"/>
  <c r="G2699" i="13"/>
  <c r="L2698" i="13"/>
  <c r="G2698" i="13"/>
  <c r="L2697" i="13"/>
  <c r="G2697" i="13"/>
  <c r="L2696" i="13"/>
  <c r="G2696" i="13"/>
  <c r="L2695" i="13"/>
  <c r="G2695" i="13"/>
  <c r="L2694" i="13"/>
  <c r="G2694" i="13"/>
  <c r="L2693" i="13"/>
  <c r="G2693" i="13"/>
  <c r="L2692" i="13"/>
  <c r="G2692" i="13"/>
  <c r="L2691" i="13"/>
  <c r="G2691" i="13"/>
  <c r="L2690" i="13"/>
  <c r="G2690" i="13"/>
  <c r="L2689" i="13"/>
  <c r="G2689" i="13"/>
  <c r="L2688" i="13"/>
  <c r="G2688" i="13"/>
  <c r="L2687" i="13"/>
  <c r="G2687" i="13"/>
  <c r="L2686" i="13"/>
  <c r="G2686" i="13"/>
  <c r="L2685" i="13"/>
  <c r="G2685" i="13"/>
  <c r="L2684" i="13"/>
  <c r="G2684" i="13"/>
  <c r="L2683" i="13"/>
  <c r="G2683" i="13"/>
  <c r="L2682" i="13"/>
  <c r="G2682" i="13"/>
  <c r="L2681" i="13"/>
  <c r="G2681" i="13"/>
  <c r="L2680" i="13"/>
  <c r="G2680" i="13"/>
  <c r="L2679" i="13"/>
  <c r="G2679" i="13"/>
  <c r="L2678" i="13"/>
  <c r="G2678" i="13"/>
  <c r="L2677" i="13"/>
  <c r="G2677" i="13"/>
  <c r="L2676" i="13"/>
  <c r="G2676" i="13"/>
  <c r="L2675" i="13"/>
  <c r="G2675" i="13"/>
  <c r="L2674" i="13"/>
  <c r="G2674" i="13"/>
  <c r="L2673" i="13"/>
  <c r="G2673" i="13"/>
  <c r="L2672" i="13"/>
  <c r="G2672" i="13"/>
  <c r="L2671" i="13"/>
  <c r="G2671" i="13"/>
  <c r="L2670" i="13"/>
  <c r="G2670" i="13"/>
  <c r="L2669" i="13"/>
  <c r="G2669" i="13"/>
  <c r="L2668" i="13"/>
  <c r="G2668" i="13"/>
  <c r="L2667" i="13"/>
  <c r="G2667" i="13"/>
  <c r="L2666" i="13"/>
  <c r="G2666" i="13"/>
  <c r="L2665" i="13"/>
  <c r="G2665" i="13"/>
  <c r="L2664" i="13"/>
  <c r="G2664" i="13"/>
  <c r="L2663" i="13"/>
  <c r="G2663" i="13"/>
  <c r="L2662" i="13"/>
  <c r="G2662" i="13"/>
  <c r="L2661" i="13"/>
  <c r="G2661" i="13"/>
  <c r="L2660" i="13"/>
  <c r="G2660" i="13"/>
  <c r="L2659" i="13"/>
  <c r="G2659" i="13"/>
  <c r="L2658" i="13"/>
  <c r="G2658" i="13"/>
  <c r="L2657" i="13"/>
  <c r="G2657" i="13"/>
  <c r="L2656" i="13"/>
  <c r="G2656" i="13"/>
  <c r="L2655" i="13"/>
  <c r="G2655" i="13"/>
  <c r="L2654" i="13"/>
  <c r="G2654" i="13"/>
  <c r="L2653" i="13"/>
  <c r="G2653" i="13"/>
  <c r="L2652" i="13"/>
  <c r="G2652" i="13"/>
  <c r="L2651" i="13"/>
  <c r="G2651" i="13"/>
  <c r="L2650" i="13"/>
  <c r="G2650" i="13"/>
  <c r="L2649" i="13"/>
  <c r="G2649" i="13"/>
  <c r="L2648" i="13"/>
  <c r="G2648" i="13"/>
  <c r="L2647" i="13"/>
  <c r="G2647" i="13"/>
  <c r="L2646" i="13"/>
  <c r="G2646" i="13"/>
  <c r="L2645" i="13"/>
  <c r="G2645" i="13"/>
  <c r="L2644" i="13"/>
  <c r="G2644" i="13"/>
  <c r="L2643" i="13"/>
  <c r="G2643" i="13"/>
  <c r="L2642" i="13"/>
  <c r="G2642" i="13"/>
  <c r="L2641" i="13"/>
  <c r="G2641" i="13"/>
  <c r="L2640" i="13"/>
  <c r="G2640" i="13"/>
  <c r="L2639" i="13"/>
  <c r="G2639" i="13"/>
  <c r="L2638" i="13"/>
  <c r="G2638" i="13"/>
  <c r="L2637" i="13"/>
  <c r="G2637" i="13"/>
  <c r="L2636" i="13"/>
  <c r="G2636" i="13"/>
  <c r="L2635" i="13"/>
  <c r="G2635" i="13"/>
  <c r="L2634" i="13"/>
  <c r="G2634" i="13"/>
  <c r="L2633" i="13"/>
  <c r="G2633" i="13"/>
  <c r="L2632" i="13"/>
  <c r="G2632" i="13"/>
  <c r="L2631" i="13"/>
  <c r="G2631" i="13"/>
  <c r="L2630" i="13"/>
  <c r="G2630" i="13"/>
  <c r="L2629" i="13"/>
  <c r="G2629" i="13"/>
  <c r="L2628" i="13"/>
  <c r="G2628" i="13"/>
  <c r="L2627" i="13"/>
  <c r="G2627" i="13"/>
  <c r="L2626" i="13"/>
  <c r="G2626" i="13"/>
  <c r="L2625" i="13"/>
  <c r="G2625" i="13"/>
  <c r="L2624" i="13"/>
  <c r="G2624" i="13"/>
  <c r="L2623" i="13"/>
  <c r="G2623" i="13"/>
  <c r="L2622" i="13"/>
  <c r="G2622" i="13"/>
  <c r="L2621" i="13"/>
  <c r="G2621" i="13"/>
  <c r="L2620" i="13"/>
  <c r="G2620" i="13"/>
  <c r="L2619" i="13"/>
  <c r="G2619" i="13"/>
  <c r="L2618" i="13"/>
  <c r="G2618" i="13"/>
  <c r="L2617" i="13"/>
  <c r="G2617" i="13"/>
  <c r="L2616" i="13"/>
  <c r="G2616" i="13"/>
  <c r="L2615" i="13"/>
  <c r="G2615" i="13"/>
  <c r="L2614" i="13"/>
  <c r="G2614" i="13"/>
  <c r="L2613" i="13"/>
  <c r="G2613" i="13"/>
  <c r="L2612" i="13"/>
  <c r="G2612" i="13"/>
  <c r="L2611" i="13"/>
  <c r="G2611" i="13"/>
  <c r="L2610" i="13"/>
  <c r="G2610" i="13"/>
  <c r="L2609" i="13"/>
  <c r="G2609" i="13"/>
  <c r="L2608" i="13"/>
  <c r="G2608" i="13"/>
  <c r="L2607" i="13"/>
  <c r="G2607" i="13"/>
  <c r="L2606" i="13"/>
  <c r="G2606" i="13"/>
  <c r="L2605" i="13"/>
  <c r="G2605" i="13"/>
  <c r="L2604" i="13"/>
  <c r="G2604" i="13"/>
  <c r="L2603" i="13"/>
  <c r="G2603" i="13"/>
  <c r="L2602" i="13"/>
  <c r="G2602" i="13"/>
  <c r="L2601" i="13"/>
  <c r="G2601" i="13"/>
  <c r="L2600" i="13"/>
  <c r="G2600" i="13"/>
  <c r="L2599" i="13"/>
  <c r="G2599" i="13"/>
  <c r="L2598" i="13"/>
  <c r="G2598" i="13"/>
  <c r="L2597" i="13"/>
  <c r="G2597" i="13"/>
  <c r="L2596" i="13"/>
  <c r="G2596" i="13"/>
  <c r="L2595" i="13"/>
  <c r="G2595" i="13"/>
  <c r="L2594" i="13"/>
  <c r="G2594" i="13"/>
  <c r="L2593" i="13"/>
  <c r="G2593" i="13"/>
  <c r="L2592" i="13"/>
  <c r="G2592" i="13"/>
  <c r="L2591" i="13"/>
  <c r="G2591" i="13"/>
  <c r="L2590" i="13"/>
  <c r="G2590" i="13"/>
  <c r="L2589" i="13"/>
  <c r="G2589" i="13"/>
  <c r="L2588" i="13"/>
  <c r="G2588" i="13"/>
  <c r="L2587" i="13"/>
  <c r="G2587" i="13"/>
  <c r="L2586" i="13"/>
  <c r="G2586" i="13"/>
  <c r="L2585" i="13"/>
  <c r="G2585" i="13"/>
  <c r="L2584" i="13"/>
  <c r="G2584" i="13"/>
  <c r="L2583" i="13"/>
  <c r="G2583" i="13"/>
  <c r="L2582" i="13"/>
  <c r="G2582" i="13"/>
  <c r="L2581" i="13"/>
  <c r="G2581" i="13"/>
  <c r="L2580" i="13"/>
  <c r="G2580" i="13"/>
  <c r="L2579" i="13"/>
  <c r="G2579" i="13"/>
  <c r="L2578" i="13"/>
  <c r="G2578" i="13"/>
  <c r="L2577" i="13"/>
  <c r="G2577" i="13"/>
  <c r="L2576" i="13"/>
  <c r="G2576" i="13"/>
  <c r="L2575" i="13"/>
  <c r="G2575" i="13"/>
  <c r="L2574" i="13"/>
  <c r="G2574" i="13"/>
  <c r="L2573" i="13"/>
  <c r="G2573" i="13"/>
  <c r="L2572" i="13"/>
  <c r="G2572" i="13"/>
  <c r="L2571" i="13"/>
  <c r="G2571" i="13"/>
  <c r="L2570" i="13"/>
  <c r="G2570" i="13"/>
  <c r="L2569" i="13"/>
  <c r="G2569" i="13"/>
  <c r="L2568" i="13"/>
  <c r="G2568" i="13"/>
  <c r="L2567" i="13"/>
  <c r="G2567" i="13"/>
  <c r="L2566" i="13"/>
  <c r="G2566" i="13"/>
  <c r="L2565" i="13"/>
  <c r="G2565" i="13"/>
  <c r="L2564" i="13"/>
  <c r="G2564" i="13"/>
  <c r="L2563" i="13"/>
  <c r="G2563" i="13"/>
  <c r="L2562" i="13"/>
  <c r="G2562" i="13"/>
  <c r="L2561" i="13"/>
  <c r="G2561" i="13"/>
  <c r="L2560" i="13"/>
  <c r="G2560" i="13"/>
  <c r="L2559" i="13"/>
  <c r="G2559" i="13"/>
  <c r="L2558" i="13"/>
  <c r="G2558" i="13"/>
  <c r="L2557" i="13"/>
  <c r="G2557" i="13"/>
  <c r="L2556" i="13"/>
  <c r="G2556" i="13"/>
  <c r="L2555" i="13"/>
  <c r="G2555" i="13"/>
  <c r="L2554" i="13"/>
  <c r="G2554" i="13"/>
  <c r="L2553" i="13"/>
  <c r="G2553" i="13"/>
  <c r="L2552" i="13"/>
  <c r="G2552" i="13"/>
  <c r="L2551" i="13"/>
  <c r="G2551" i="13"/>
  <c r="L2550" i="13"/>
  <c r="G2550" i="13"/>
  <c r="L2549" i="13"/>
  <c r="G2549" i="13"/>
  <c r="L2548" i="13"/>
  <c r="G2548" i="13"/>
  <c r="L2547" i="13"/>
  <c r="G2547" i="13"/>
  <c r="L2546" i="13"/>
  <c r="G2546" i="13"/>
  <c r="L2545" i="13"/>
  <c r="G2545" i="13"/>
  <c r="L2544" i="13"/>
  <c r="G2544" i="13"/>
  <c r="L2543" i="13"/>
  <c r="G2543" i="13"/>
  <c r="L2542" i="13"/>
  <c r="G2542" i="13"/>
  <c r="L2541" i="13"/>
  <c r="G2541" i="13"/>
  <c r="L2540" i="13"/>
  <c r="G2540" i="13"/>
  <c r="L2539" i="13"/>
  <c r="G2539" i="13"/>
  <c r="L2538" i="13"/>
  <c r="G2538" i="13"/>
  <c r="L2537" i="13"/>
  <c r="G2537" i="13"/>
  <c r="L2536" i="13"/>
  <c r="G2536" i="13"/>
  <c r="L2535" i="13"/>
  <c r="G2535" i="13"/>
  <c r="L2534" i="13"/>
  <c r="G2534" i="13"/>
  <c r="L2533" i="13"/>
  <c r="G2533" i="13"/>
  <c r="L2532" i="13"/>
  <c r="G2532" i="13"/>
  <c r="L2531" i="13"/>
  <c r="G2531" i="13"/>
  <c r="L2530" i="13"/>
  <c r="G2530" i="13"/>
  <c r="L2529" i="13"/>
  <c r="G2529" i="13"/>
  <c r="L2528" i="13"/>
  <c r="G2528" i="13"/>
  <c r="L2527" i="13"/>
  <c r="G2527" i="13"/>
  <c r="L2526" i="13"/>
  <c r="G2526" i="13"/>
  <c r="L2525" i="13"/>
  <c r="G2525" i="13"/>
  <c r="L2524" i="13"/>
  <c r="G2524" i="13"/>
  <c r="L2523" i="13"/>
  <c r="G2523" i="13"/>
  <c r="L2522" i="13"/>
  <c r="G2522" i="13"/>
  <c r="L2521" i="13"/>
  <c r="G2521" i="13"/>
  <c r="L2520" i="13"/>
  <c r="G2520" i="13"/>
  <c r="L2519" i="13"/>
  <c r="G2519" i="13"/>
  <c r="L2518" i="13"/>
  <c r="G2518" i="13"/>
  <c r="L2517" i="13"/>
  <c r="G2517" i="13"/>
  <c r="L2516" i="13"/>
  <c r="G2516" i="13"/>
  <c r="L2515" i="13"/>
  <c r="G2515" i="13"/>
  <c r="L2514" i="13"/>
  <c r="G2514" i="13"/>
  <c r="L2513" i="13"/>
  <c r="G2513" i="13"/>
  <c r="L2512" i="13"/>
  <c r="G2512" i="13"/>
  <c r="L2511" i="13"/>
  <c r="G2511" i="13"/>
  <c r="L2510" i="13"/>
  <c r="G2510" i="13"/>
  <c r="L2509" i="13"/>
  <c r="G2509" i="13"/>
  <c r="L2508" i="13"/>
  <c r="G2508" i="13"/>
  <c r="L2507" i="13"/>
  <c r="G2507" i="13"/>
  <c r="L2506" i="13"/>
  <c r="G2506" i="13"/>
  <c r="L2505" i="13"/>
  <c r="G2505" i="13"/>
  <c r="L2504" i="13"/>
  <c r="G2504" i="13"/>
  <c r="L2503" i="13"/>
  <c r="G2503" i="13"/>
  <c r="L2502" i="13"/>
  <c r="G2502" i="13"/>
  <c r="L2501" i="13"/>
  <c r="G2501" i="13"/>
  <c r="L2500" i="13"/>
  <c r="G2500" i="13"/>
  <c r="L2499" i="13"/>
  <c r="G2499" i="13"/>
  <c r="L2498" i="13"/>
  <c r="G2498" i="13"/>
  <c r="L2497" i="13"/>
  <c r="G2497" i="13"/>
  <c r="L2496" i="13"/>
  <c r="G2496" i="13"/>
  <c r="L2495" i="13"/>
  <c r="G2495" i="13"/>
  <c r="L2494" i="13"/>
  <c r="G2494" i="13"/>
  <c r="L2493" i="13"/>
  <c r="G2493" i="13"/>
  <c r="L2492" i="13"/>
  <c r="G2492" i="13"/>
  <c r="L2491" i="13"/>
  <c r="G2491" i="13"/>
  <c r="L2490" i="13"/>
  <c r="G2490" i="13"/>
  <c r="L2489" i="13"/>
  <c r="G2489" i="13"/>
  <c r="L2488" i="13"/>
  <c r="G2488" i="13"/>
  <c r="L2487" i="13"/>
  <c r="G2487" i="13"/>
  <c r="L2486" i="13"/>
  <c r="G2486" i="13"/>
  <c r="L2485" i="13"/>
  <c r="G2485" i="13"/>
  <c r="L2484" i="13"/>
  <c r="G2484" i="13"/>
  <c r="L2483" i="13"/>
  <c r="G2483" i="13"/>
  <c r="L2482" i="13"/>
  <c r="G2482" i="13"/>
  <c r="L2481" i="13"/>
  <c r="G2481" i="13"/>
  <c r="L2480" i="13"/>
  <c r="G2480" i="13"/>
  <c r="L2479" i="13"/>
  <c r="G2479" i="13"/>
  <c r="L2478" i="13"/>
  <c r="G2478" i="13"/>
  <c r="L2477" i="13"/>
  <c r="G2477" i="13"/>
  <c r="L2476" i="13"/>
  <c r="G2476" i="13"/>
  <c r="L2475" i="13"/>
  <c r="G2475" i="13"/>
  <c r="L2474" i="13"/>
  <c r="G2474" i="13"/>
  <c r="L2473" i="13"/>
  <c r="G2473" i="13"/>
  <c r="L2472" i="13"/>
  <c r="G2472" i="13"/>
  <c r="L2471" i="13"/>
  <c r="G2471" i="13"/>
  <c r="L2470" i="13"/>
  <c r="G2470" i="13"/>
  <c r="L2469" i="13"/>
  <c r="G2469" i="13"/>
  <c r="L2468" i="13"/>
  <c r="G2468" i="13"/>
  <c r="L2467" i="13"/>
  <c r="G2467" i="13"/>
  <c r="L2466" i="13"/>
  <c r="G2466" i="13"/>
  <c r="L2465" i="13"/>
  <c r="G2465" i="13"/>
  <c r="L2464" i="13"/>
  <c r="G2464" i="13"/>
  <c r="L2463" i="13"/>
  <c r="G2463" i="13"/>
  <c r="L2462" i="13"/>
  <c r="G2462" i="13"/>
  <c r="L2461" i="13"/>
  <c r="G2461" i="13"/>
  <c r="L2460" i="13"/>
  <c r="G2460" i="13"/>
  <c r="L2459" i="13"/>
  <c r="G2459" i="13"/>
  <c r="L2458" i="13"/>
  <c r="G2458" i="13"/>
  <c r="L2457" i="13"/>
  <c r="G2457" i="13"/>
  <c r="L2456" i="13"/>
  <c r="G2456" i="13"/>
  <c r="L2455" i="13"/>
  <c r="G2455" i="13"/>
  <c r="L2454" i="13"/>
  <c r="G2454" i="13"/>
  <c r="L2453" i="13"/>
  <c r="G2453" i="13"/>
  <c r="L2452" i="13"/>
  <c r="G2452" i="13"/>
  <c r="L2451" i="13"/>
  <c r="G2451" i="13"/>
  <c r="L2450" i="13"/>
  <c r="G2450" i="13"/>
  <c r="L2449" i="13"/>
  <c r="G2449" i="13"/>
  <c r="L2448" i="13"/>
  <c r="G2448" i="13"/>
  <c r="L2447" i="13"/>
  <c r="G2447" i="13"/>
  <c r="L2446" i="13"/>
  <c r="G2446" i="13"/>
  <c r="L2445" i="13"/>
  <c r="G2445" i="13"/>
  <c r="L2444" i="13"/>
  <c r="G2444" i="13"/>
  <c r="L2443" i="13"/>
  <c r="G2443" i="13"/>
  <c r="L2442" i="13"/>
  <c r="G2442" i="13"/>
  <c r="L2441" i="13"/>
  <c r="G2441" i="13"/>
  <c r="L2440" i="13"/>
  <c r="G2440" i="13"/>
  <c r="L2439" i="13"/>
  <c r="G2439" i="13"/>
  <c r="L2438" i="13"/>
  <c r="G2438" i="13"/>
  <c r="L2437" i="13"/>
  <c r="G2437" i="13"/>
  <c r="L2436" i="13"/>
  <c r="G2436" i="13"/>
  <c r="L2435" i="13"/>
  <c r="G2435" i="13"/>
  <c r="L2434" i="13"/>
  <c r="G2434" i="13"/>
  <c r="L2433" i="13"/>
  <c r="G2433" i="13"/>
  <c r="L2432" i="13"/>
  <c r="G2432" i="13"/>
  <c r="L2431" i="13"/>
  <c r="G2431" i="13"/>
  <c r="L2430" i="13"/>
  <c r="G2430" i="13"/>
  <c r="L2429" i="13"/>
  <c r="G2429" i="13"/>
  <c r="L2428" i="13"/>
  <c r="G2428" i="13"/>
  <c r="L2427" i="13"/>
  <c r="G2427" i="13"/>
  <c r="L2426" i="13"/>
  <c r="G2426" i="13"/>
  <c r="L2425" i="13"/>
  <c r="G2425" i="13"/>
  <c r="L2424" i="13"/>
  <c r="G2424" i="13"/>
  <c r="L2423" i="13"/>
  <c r="G2423" i="13"/>
  <c r="L2422" i="13"/>
  <c r="G2422" i="13"/>
  <c r="L2421" i="13"/>
  <c r="G2421" i="13"/>
  <c r="L2420" i="13"/>
  <c r="G2420" i="13"/>
  <c r="L2419" i="13"/>
  <c r="G2419" i="13"/>
  <c r="L2418" i="13"/>
  <c r="G2418" i="13"/>
  <c r="L2417" i="13"/>
  <c r="G2417" i="13"/>
  <c r="L2416" i="13"/>
  <c r="G2416" i="13"/>
  <c r="L2415" i="13"/>
  <c r="G2415" i="13"/>
  <c r="L2414" i="13"/>
  <c r="G2414" i="13"/>
  <c r="L2413" i="13"/>
  <c r="G2413" i="13"/>
  <c r="L2412" i="13"/>
  <c r="G2412" i="13"/>
  <c r="L2411" i="13"/>
  <c r="G2411" i="13"/>
  <c r="L2410" i="13"/>
  <c r="G2410" i="13"/>
  <c r="L2409" i="13"/>
  <c r="G2409" i="13"/>
  <c r="L2408" i="13"/>
  <c r="G2408" i="13"/>
  <c r="L2407" i="13"/>
  <c r="G2407" i="13"/>
  <c r="L2406" i="13"/>
  <c r="G2406" i="13"/>
  <c r="L2405" i="13"/>
  <c r="G2405" i="13"/>
  <c r="L2404" i="13"/>
  <c r="G2404" i="13"/>
  <c r="L2403" i="13"/>
  <c r="G2403" i="13"/>
  <c r="L2402" i="13"/>
  <c r="G2402" i="13"/>
  <c r="L2401" i="13"/>
  <c r="G2401" i="13"/>
  <c r="L2400" i="13"/>
  <c r="G2400" i="13"/>
  <c r="L2399" i="13"/>
  <c r="G2399" i="13"/>
  <c r="L2398" i="13"/>
  <c r="G2398" i="13"/>
  <c r="L2397" i="13"/>
  <c r="G2397" i="13"/>
  <c r="L2396" i="13"/>
  <c r="G2396" i="13"/>
  <c r="L2395" i="13"/>
  <c r="G2395" i="13"/>
  <c r="L2394" i="13"/>
  <c r="G2394" i="13"/>
  <c r="L2393" i="13"/>
  <c r="G2393" i="13"/>
  <c r="L2392" i="13"/>
  <c r="G2392" i="13"/>
  <c r="L2391" i="13"/>
  <c r="G2391" i="13"/>
  <c r="L2390" i="13"/>
  <c r="G2390" i="13"/>
  <c r="L2389" i="13"/>
  <c r="G2389" i="13"/>
  <c r="L2388" i="13"/>
  <c r="G2388" i="13"/>
  <c r="L2387" i="13"/>
  <c r="G2387" i="13"/>
  <c r="L2386" i="13"/>
  <c r="G2386" i="13"/>
  <c r="L2385" i="13"/>
  <c r="G2385" i="13"/>
  <c r="L2384" i="13"/>
  <c r="G2384" i="13"/>
  <c r="L2383" i="13"/>
  <c r="G2383" i="13"/>
  <c r="L2382" i="13"/>
  <c r="G2382" i="13"/>
  <c r="L2381" i="13"/>
  <c r="G2381" i="13"/>
  <c r="L2380" i="13"/>
  <c r="G2380" i="13"/>
  <c r="L2379" i="13"/>
  <c r="G2379" i="13"/>
  <c r="L2378" i="13"/>
  <c r="G2378" i="13"/>
  <c r="L2377" i="13"/>
  <c r="G2377" i="13"/>
  <c r="L2376" i="13"/>
  <c r="G2376" i="13"/>
  <c r="L2375" i="13"/>
  <c r="G2375" i="13"/>
  <c r="L2374" i="13"/>
  <c r="G2374" i="13"/>
  <c r="L2373" i="13"/>
  <c r="G2373" i="13"/>
  <c r="L2372" i="13"/>
  <c r="G2372" i="13"/>
  <c r="L2371" i="13"/>
  <c r="G2371" i="13"/>
  <c r="L2370" i="13"/>
  <c r="G2370" i="13"/>
  <c r="L2369" i="13"/>
  <c r="G2369" i="13"/>
  <c r="L2368" i="13"/>
  <c r="G2368" i="13"/>
  <c r="L2367" i="13"/>
  <c r="G2367" i="13"/>
  <c r="L2366" i="13"/>
  <c r="G2366" i="13"/>
  <c r="L2365" i="13"/>
  <c r="G2365" i="13"/>
  <c r="L2364" i="13"/>
  <c r="G2364" i="13"/>
  <c r="L2363" i="13"/>
  <c r="G2363" i="13"/>
  <c r="L2362" i="13"/>
  <c r="G2362" i="13"/>
  <c r="L2361" i="13"/>
  <c r="G2361" i="13"/>
  <c r="L2360" i="13"/>
  <c r="G2360" i="13"/>
  <c r="L2359" i="13"/>
  <c r="G2359" i="13"/>
  <c r="L2358" i="13"/>
  <c r="G2358" i="13"/>
  <c r="L2357" i="13"/>
  <c r="G2357" i="13"/>
  <c r="L2356" i="13"/>
  <c r="G2356" i="13"/>
  <c r="L2355" i="13"/>
  <c r="G2355" i="13"/>
  <c r="L2354" i="13"/>
  <c r="G2354" i="13"/>
  <c r="L2353" i="13"/>
  <c r="G2353" i="13"/>
  <c r="L2352" i="13"/>
  <c r="G2352" i="13"/>
  <c r="L2351" i="13"/>
  <c r="G2351" i="13"/>
  <c r="L2350" i="13"/>
  <c r="G2350" i="13"/>
  <c r="L2349" i="13"/>
  <c r="G2349" i="13"/>
  <c r="L2348" i="13"/>
  <c r="G2348" i="13"/>
  <c r="L2347" i="13"/>
  <c r="G2347" i="13"/>
  <c r="L2346" i="13"/>
  <c r="G2346" i="13"/>
  <c r="L2345" i="13"/>
  <c r="G2345" i="13"/>
  <c r="L2344" i="13"/>
  <c r="G2344" i="13"/>
  <c r="L2343" i="13"/>
  <c r="G2343" i="13"/>
  <c r="L2342" i="13"/>
  <c r="G2342" i="13"/>
  <c r="L2341" i="13"/>
  <c r="G2341" i="13"/>
  <c r="L2340" i="13"/>
  <c r="G2340" i="13"/>
  <c r="L2339" i="13"/>
  <c r="G2339" i="13"/>
  <c r="L2338" i="13"/>
  <c r="G2338" i="13"/>
  <c r="L2337" i="13"/>
  <c r="G2337" i="13"/>
  <c r="L2336" i="13"/>
  <c r="G2336" i="13"/>
  <c r="L2335" i="13"/>
  <c r="G2335" i="13"/>
  <c r="L2334" i="13"/>
  <c r="G2334" i="13"/>
  <c r="L2333" i="13"/>
  <c r="G2333" i="13"/>
  <c r="L2332" i="13"/>
  <c r="G2332" i="13"/>
  <c r="L2331" i="13"/>
  <c r="G2331" i="13"/>
  <c r="L2330" i="13"/>
  <c r="G2330" i="13"/>
  <c r="L2329" i="13"/>
  <c r="G2329" i="13"/>
  <c r="L2328" i="13"/>
  <c r="G2328" i="13"/>
  <c r="L2327" i="13"/>
  <c r="G2327" i="13"/>
  <c r="L2326" i="13"/>
  <c r="G2326" i="13"/>
  <c r="L2325" i="13"/>
  <c r="G2325" i="13"/>
  <c r="L2324" i="13"/>
  <c r="G2324" i="13"/>
  <c r="L2323" i="13"/>
  <c r="G2323" i="13"/>
  <c r="L2322" i="13"/>
  <c r="G2322" i="13"/>
  <c r="L2321" i="13"/>
  <c r="G2321" i="13"/>
  <c r="L2320" i="13"/>
  <c r="G2320" i="13"/>
  <c r="L2319" i="13"/>
  <c r="G2319" i="13"/>
  <c r="L2318" i="13"/>
  <c r="G2318" i="13"/>
  <c r="L2317" i="13"/>
  <c r="G2317" i="13"/>
  <c r="L2316" i="13"/>
  <c r="G2316" i="13"/>
  <c r="L2315" i="13"/>
  <c r="G2315" i="13"/>
  <c r="L2314" i="13"/>
  <c r="G2314" i="13"/>
  <c r="L2313" i="13"/>
  <c r="G2313" i="13"/>
  <c r="L2312" i="13"/>
  <c r="G2312" i="13"/>
  <c r="L2311" i="13"/>
  <c r="G2311" i="13"/>
  <c r="L2310" i="13"/>
  <c r="G2310" i="13"/>
  <c r="L2309" i="13"/>
  <c r="G2309" i="13"/>
  <c r="L2308" i="13"/>
  <c r="G2308" i="13"/>
  <c r="L2307" i="13"/>
  <c r="G2307" i="13"/>
  <c r="L2306" i="13"/>
  <c r="G2306" i="13"/>
  <c r="L2305" i="13"/>
  <c r="G2305" i="13"/>
  <c r="L2304" i="13"/>
  <c r="G2304" i="13"/>
  <c r="L2303" i="13"/>
  <c r="G2303" i="13"/>
  <c r="L2302" i="13"/>
  <c r="G2302" i="13"/>
  <c r="L2301" i="13"/>
  <c r="G2301" i="13"/>
  <c r="L2300" i="13"/>
  <c r="G2300" i="13"/>
  <c r="L2299" i="13"/>
  <c r="G2299" i="13"/>
  <c r="L2298" i="13"/>
  <c r="G2298" i="13"/>
  <c r="L2297" i="13"/>
  <c r="G2297" i="13"/>
  <c r="L2296" i="13"/>
  <c r="G2296" i="13"/>
  <c r="L2295" i="13"/>
  <c r="G2295" i="13"/>
  <c r="L2294" i="13"/>
  <c r="G2294" i="13"/>
  <c r="L2293" i="13"/>
  <c r="G2293" i="13"/>
  <c r="L2292" i="13"/>
  <c r="G2292" i="13"/>
  <c r="L2291" i="13"/>
  <c r="G2291" i="13"/>
  <c r="L2290" i="13"/>
  <c r="G2290" i="13"/>
  <c r="L2289" i="13"/>
  <c r="G2289" i="13"/>
  <c r="L2288" i="13"/>
  <c r="G2288" i="13"/>
  <c r="L2287" i="13"/>
  <c r="G2287" i="13"/>
  <c r="L2286" i="13"/>
  <c r="G2286" i="13"/>
  <c r="L2285" i="13"/>
  <c r="G2285" i="13"/>
  <c r="L2284" i="13"/>
  <c r="G2284" i="13"/>
  <c r="L2283" i="13"/>
  <c r="G2283" i="13"/>
  <c r="L2282" i="13"/>
  <c r="G2282" i="13"/>
  <c r="L2281" i="13"/>
  <c r="G2281" i="13"/>
  <c r="L2280" i="13"/>
  <c r="G2280" i="13"/>
  <c r="L2279" i="13"/>
  <c r="G2279" i="13"/>
  <c r="L2278" i="13"/>
  <c r="G2278" i="13"/>
  <c r="L2277" i="13"/>
  <c r="G2277" i="13"/>
  <c r="L2276" i="13"/>
  <c r="G2276" i="13"/>
  <c r="L2275" i="13"/>
  <c r="G2275" i="13"/>
  <c r="L2274" i="13"/>
  <c r="G2274" i="13"/>
  <c r="L2273" i="13"/>
  <c r="G2273" i="13"/>
  <c r="L2272" i="13"/>
  <c r="G2272" i="13"/>
  <c r="L2271" i="13"/>
  <c r="G2271" i="13"/>
  <c r="L2270" i="13"/>
  <c r="G2270" i="13"/>
  <c r="L2269" i="13"/>
  <c r="G2269" i="13"/>
  <c r="L2268" i="13"/>
  <c r="G2268" i="13"/>
  <c r="L2267" i="13"/>
  <c r="G2267" i="13"/>
  <c r="L2266" i="13"/>
  <c r="G2266" i="13"/>
  <c r="L2265" i="13"/>
  <c r="G2265" i="13"/>
  <c r="L2264" i="13"/>
  <c r="G2264" i="13"/>
  <c r="L2263" i="13"/>
  <c r="G2263" i="13"/>
  <c r="L2262" i="13"/>
  <c r="G2262" i="13"/>
  <c r="L2261" i="13"/>
  <c r="G2261" i="13"/>
  <c r="L2260" i="13"/>
  <c r="G2260" i="13"/>
  <c r="L2259" i="13"/>
  <c r="G2259" i="13"/>
  <c r="L2258" i="13"/>
  <c r="G2258" i="13"/>
  <c r="L2257" i="13"/>
  <c r="G2257" i="13"/>
  <c r="L2256" i="13"/>
  <c r="G2256" i="13"/>
  <c r="L2255" i="13"/>
  <c r="G2255" i="13"/>
  <c r="L2254" i="13"/>
  <c r="G2254" i="13"/>
  <c r="L2253" i="13"/>
  <c r="G2253" i="13"/>
  <c r="L2252" i="13"/>
  <c r="G2252" i="13"/>
  <c r="L2251" i="13"/>
  <c r="G2251" i="13"/>
  <c r="L2250" i="13"/>
  <c r="G2250" i="13"/>
  <c r="L2249" i="13"/>
  <c r="G2249" i="13"/>
  <c r="L2248" i="13"/>
  <c r="G2248" i="13"/>
  <c r="L2247" i="13"/>
  <c r="G2247" i="13"/>
  <c r="L2246" i="13"/>
  <c r="G2246" i="13"/>
  <c r="L2245" i="13"/>
  <c r="G2245" i="13"/>
  <c r="L2244" i="13"/>
  <c r="G2244" i="13"/>
  <c r="L2243" i="13"/>
  <c r="G2243" i="13"/>
  <c r="L2242" i="13"/>
  <c r="G2242" i="13"/>
  <c r="L2241" i="13"/>
  <c r="G2241" i="13"/>
  <c r="L2240" i="13"/>
  <c r="G2240" i="13"/>
  <c r="L2239" i="13"/>
  <c r="G2239" i="13"/>
  <c r="L2238" i="13"/>
  <c r="G2238" i="13"/>
  <c r="L2237" i="13"/>
  <c r="G2237" i="13"/>
  <c r="L2236" i="13"/>
  <c r="G2236" i="13"/>
  <c r="L2235" i="13"/>
  <c r="G2235" i="13"/>
  <c r="L2234" i="13"/>
  <c r="G2234" i="13"/>
  <c r="L2233" i="13"/>
  <c r="G2233" i="13"/>
  <c r="L2232" i="13"/>
  <c r="G2232" i="13"/>
  <c r="L2231" i="13"/>
  <c r="G2231" i="13"/>
  <c r="L2230" i="13"/>
  <c r="G2230" i="13"/>
  <c r="L2229" i="13"/>
  <c r="G2229" i="13"/>
  <c r="L2228" i="13"/>
  <c r="G2228" i="13"/>
  <c r="L2227" i="13"/>
  <c r="G2227" i="13"/>
  <c r="L2226" i="13"/>
  <c r="G2226" i="13"/>
  <c r="L2225" i="13"/>
  <c r="G2225" i="13"/>
  <c r="L2224" i="13"/>
  <c r="G2224" i="13"/>
  <c r="L2223" i="13"/>
  <c r="G2223" i="13"/>
  <c r="L2222" i="13"/>
  <c r="G2222" i="13"/>
  <c r="L2221" i="13"/>
  <c r="G2221" i="13"/>
  <c r="L2220" i="13"/>
  <c r="G2220" i="13"/>
  <c r="L2219" i="13"/>
  <c r="G2219" i="13"/>
  <c r="L2218" i="13"/>
  <c r="G2218" i="13"/>
  <c r="L2217" i="13"/>
  <c r="G2217" i="13"/>
  <c r="L2216" i="13"/>
  <c r="G2216" i="13"/>
  <c r="L2215" i="13"/>
  <c r="G2215" i="13"/>
  <c r="L2214" i="13"/>
  <c r="G2214" i="13"/>
  <c r="L2213" i="13"/>
  <c r="G2213" i="13"/>
  <c r="L2212" i="13"/>
  <c r="G2212" i="13"/>
  <c r="L2211" i="13"/>
  <c r="G2211" i="13"/>
  <c r="L2210" i="13"/>
  <c r="G2210" i="13"/>
  <c r="L2209" i="13"/>
  <c r="G2209" i="13"/>
  <c r="L2208" i="13"/>
  <c r="G2208" i="13"/>
  <c r="L2207" i="13"/>
  <c r="G2207" i="13"/>
  <c r="L2206" i="13"/>
  <c r="G2206" i="13"/>
  <c r="L2205" i="13"/>
  <c r="G2205" i="13"/>
  <c r="L2204" i="13"/>
  <c r="G2204" i="13"/>
  <c r="L2203" i="13"/>
  <c r="G2203" i="13"/>
  <c r="L2202" i="13"/>
  <c r="G2202" i="13"/>
  <c r="L2201" i="13"/>
  <c r="G2201" i="13"/>
  <c r="L2200" i="13"/>
  <c r="G2200" i="13"/>
  <c r="L2199" i="13"/>
  <c r="G2199" i="13"/>
  <c r="L2198" i="13"/>
  <c r="G2198" i="13"/>
  <c r="L2197" i="13"/>
  <c r="G2197" i="13"/>
  <c r="L2196" i="13"/>
  <c r="G2196" i="13"/>
  <c r="L2195" i="13"/>
  <c r="G2195" i="13"/>
  <c r="L2194" i="13"/>
  <c r="G2194" i="13"/>
  <c r="L2193" i="13"/>
  <c r="G2193" i="13"/>
  <c r="L2192" i="13"/>
  <c r="G2192" i="13"/>
  <c r="L2191" i="13"/>
  <c r="G2191" i="13"/>
  <c r="L2190" i="13"/>
  <c r="G2190" i="13"/>
  <c r="L2189" i="13"/>
  <c r="G2189" i="13"/>
  <c r="L2188" i="13"/>
  <c r="G2188" i="13"/>
  <c r="L2187" i="13"/>
  <c r="G2187" i="13"/>
  <c r="L2186" i="13"/>
  <c r="G2186" i="13"/>
  <c r="L2185" i="13"/>
  <c r="G2185" i="13"/>
  <c r="L2184" i="13"/>
  <c r="G2184" i="13"/>
  <c r="L2183" i="13"/>
  <c r="G2183" i="13"/>
  <c r="L2182" i="13"/>
  <c r="G2182" i="13"/>
  <c r="L2181" i="13"/>
  <c r="G2181" i="13"/>
  <c r="L2180" i="13"/>
  <c r="G2180" i="13"/>
  <c r="L2179" i="13"/>
  <c r="G2179" i="13"/>
  <c r="L2178" i="13"/>
  <c r="G2178" i="13"/>
  <c r="L2177" i="13"/>
  <c r="G2177" i="13"/>
  <c r="L2176" i="13"/>
  <c r="G2176" i="13"/>
  <c r="L2175" i="13"/>
  <c r="G2175" i="13"/>
  <c r="L2174" i="13"/>
  <c r="G2174" i="13"/>
  <c r="L2173" i="13"/>
  <c r="G2173" i="13"/>
  <c r="L2172" i="13"/>
  <c r="G2172" i="13"/>
  <c r="L2171" i="13"/>
  <c r="G2171" i="13"/>
  <c r="L2170" i="13"/>
  <c r="G2170" i="13"/>
  <c r="L2169" i="13"/>
  <c r="G2169" i="13"/>
  <c r="L2168" i="13"/>
  <c r="G2168" i="13"/>
  <c r="L2167" i="13"/>
  <c r="G2167" i="13"/>
  <c r="L2166" i="13"/>
  <c r="G2166" i="13"/>
  <c r="L2165" i="13"/>
  <c r="G2165" i="13"/>
  <c r="L2164" i="13"/>
  <c r="G2164" i="13"/>
  <c r="L2163" i="13"/>
  <c r="G2163" i="13"/>
  <c r="L2162" i="13"/>
  <c r="G2162" i="13"/>
  <c r="L2161" i="13"/>
  <c r="G2161" i="13"/>
  <c r="L2160" i="13"/>
  <c r="G2160" i="13"/>
  <c r="L2159" i="13"/>
  <c r="G2159" i="13"/>
  <c r="L2158" i="13"/>
  <c r="G2158" i="13"/>
  <c r="L2157" i="13"/>
  <c r="G2157" i="13"/>
  <c r="L2156" i="13"/>
  <c r="G2156" i="13"/>
  <c r="L2155" i="13"/>
  <c r="G2155" i="13"/>
  <c r="L2154" i="13"/>
  <c r="G2154" i="13"/>
  <c r="L2153" i="13"/>
  <c r="G2153" i="13"/>
  <c r="L2152" i="13"/>
  <c r="G2152" i="13"/>
  <c r="L2151" i="13"/>
  <c r="G2151" i="13"/>
  <c r="L2150" i="13"/>
  <c r="G2150" i="13"/>
  <c r="L2149" i="13"/>
  <c r="G2149" i="13"/>
  <c r="L2148" i="13"/>
  <c r="G2148" i="13"/>
  <c r="L2147" i="13"/>
  <c r="G2147" i="13"/>
  <c r="L2146" i="13"/>
  <c r="G2146" i="13"/>
  <c r="L2145" i="13"/>
  <c r="G2145" i="13"/>
  <c r="L2144" i="13"/>
  <c r="G2144" i="13"/>
  <c r="L2143" i="13"/>
  <c r="G2143" i="13"/>
  <c r="L2142" i="13"/>
  <c r="G2142" i="13"/>
  <c r="L2141" i="13"/>
  <c r="G2141" i="13"/>
  <c r="L2140" i="13"/>
  <c r="G2140" i="13"/>
  <c r="L2139" i="13"/>
  <c r="G2139" i="13"/>
  <c r="L2138" i="13"/>
  <c r="G2138" i="13"/>
  <c r="L2137" i="13"/>
  <c r="G2137" i="13"/>
  <c r="L2136" i="13"/>
  <c r="G2136" i="13"/>
  <c r="L2135" i="13"/>
  <c r="G2135" i="13"/>
  <c r="L2134" i="13"/>
  <c r="G2134" i="13"/>
  <c r="L2133" i="13"/>
  <c r="G2133" i="13"/>
  <c r="L2132" i="13"/>
  <c r="G2132" i="13"/>
  <c r="L2131" i="13"/>
  <c r="G2131" i="13"/>
  <c r="L2130" i="13"/>
  <c r="G2130" i="13"/>
  <c r="L2129" i="13"/>
  <c r="G2129" i="13"/>
  <c r="L2128" i="13"/>
  <c r="G2128" i="13"/>
  <c r="L2127" i="13"/>
  <c r="G2127" i="13"/>
  <c r="L2126" i="13"/>
  <c r="G2126" i="13"/>
  <c r="L2125" i="13"/>
  <c r="G2125" i="13"/>
  <c r="L2124" i="13"/>
  <c r="G2124" i="13"/>
  <c r="L2123" i="13"/>
  <c r="G2123" i="13"/>
  <c r="L2122" i="13"/>
  <c r="G2122" i="13"/>
  <c r="L2121" i="13"/>
  <c r="G2121" i="13"/>
  <c r="L2120" i="13"/>
  <c r="G2120" i="13"/>
  <c r="L2119" i="13"/>
  <c r="G2119" i="13"/>
  <c r="L2118" i="13"/>
  <c r="G2118" i="13"/>
  <c r="L2117" i="13"/>
  <c r="G2117" i="13"/>
  <c r="L2116" i="13"/>
  <c r="G2116" i="13"/>
  <c r="L2115" i="13"/>
  <c r="G2115" i="13"/>
  <c r="L2114" i="13"/>
  <c r="G2114" i="13"/>
  <c r="L2113" i="13"/>
  <c r="G2113" i="13"/>
  <c r="L2112" i="13"/>
  <c r="G2112" i="13"/>
  <c r="L2111" i="13"/>
  <c r="G2111" i="13"/>
  <c r="L2110" i="13"/>
  <c r="G2110" i="13"/>
  <c r="L2109" i="13"/>
  <c r="G2109" i="13"/>
  <c r="L2108" i="13"/>
  <c r="G2108" i="13"/>
  <c r="L2107" i="13"/>
  <c r="G2107" i="13"/>
  <c r="L2106" i="13"/>
  <c r="G2106" i="13"/>
  <c r="L2105" i="13"/>
  <c r="G2105" i="13"/>
  <c r="L2104" i="13"/>
  <c r="G2104" i="13"/>
  <c r="L2103" i="13"/>
  <c r="G2103" i="13"/>
  <c r="L2102" i="13"/>
  <c r="G2102" i="13"/>
  <c r="L2101" i="13"/>
  <c r="G2101" i="13"/>
  <c r="L2100" i="13"/>
  <c r="G2100" i="13"/>
  <c r="L2099" i="13"/>
  <c r="G2099" i="13"/>
  <c r="L2098" i="13"/>
  <c r="G2098" i="13"/>
  <c r="L2097" i="13"/>
  <c r="G2097" i="13"/>
  <c r="L2096" i="13"/>
  <c r="G2096" i="13"/>
  <c r="L2095" i="13"/>
  <c r="G2095" i="13"/>
  <c r="L2094" i="13"/>
  <c r="G2094" i="13"/>
  <c r="L2093" i="13"/>
  <c r="G2093" i="13"/>
  <c r="L2092" i="13"/>
  <c r="G2092" i="13"/>
  <c r="L2091" i="13"/>
  <c r="G2091" i="13"/>
  <c r="L2090" i="13"/>
  <c r="G2090" i="13"/>
  <c r="L2089" i="13"/>
  <c r="G2089" i="13"/>
  <c r="L2088" i="13"/>
  <c r="G2088" i="13"/>
  <c r="L2087" i="13"/>
  <c r="G2087" i="13"/>
  <c r="L2086" i="13"/>
  <c r="G2086" i="13"/>
  <c r="L2085" i="13"/>
  <c r="G2085" i="13"/>
  <c r="L2084" i="13"/>
  <c r="G2084" i="13"/>
  <c r="L2083" i="13"/>
  <c r="G2083" i="13"/>
  <c r="L2082" i="13"/>
  <c r="G2082" i="13"/>
  <c r="L2081" i="13"/>
  <c r="G2081" i="13"/>
  <c r="L2080" i="13"/>
  <c r="G2080" i="13"/>
  <c r="L2079" i="13"/>
  <c r="G2079" i="13"/>
  <c r="L2078" i="13"/>
  <c r="G2078" i="13"/>
  <c r="L2077" i="13"/>
  <c r="G2077" i="13"/>
  <c r="L2076" i="13"/>
  <c r="G2076" i="13"/>
  <c r="L2075" i="13"/>
  <c r="G2075" i="13"/>
  <c r="L2074" i="13"/>
  <c r="G2074" i="13"/>
  <c r="L2073" i="13"/>
  <c r="G2073" i="13"/>
  <c r="L2072" i="13"/>
  <c r="G2072" i="13"/>
  <c r="L2071" i="13"/>
  <c r="G2071" i="13"/>
  <c r="L2070" i="13"/>
  <c r="G2070" i="13"/>
  <c r="L2069" i="13"/>
  <c r="G2069" i="13"/>
  <c r="L2068" i="13"/>
  <c r="G2068" i="13"/>
  <c r="L2067" i="13"/>
  <c r="G2067" i="13"/>
  <c r="L2066" i="13"/>
  <c r="G2066" i="13"/>
  <c r="L2065" i="13"/>
  <c r="G2065" i="13"/>
  <c r="L2064" i="13"/>
  <c r="G2064" i="13"/>
  <c r="L2063" i="13"/>
  <c r="G2063" i="13"/>
  <c r="L2062" i="13"/>
  <c r="G2062" i="13"/>
  <c r="L2061" i="13"/>
  <c r="G2061" i="13"/>
  <c r="L2060" i="13"/>
  <c r="G2060" i="13"/>
  <c r="L2059" i="13"/>
  <c r="G2059" i="13"/>
  <c r="L2058" i="13"/>
  <c r="G2058" i="13"/>
  <c r="L2057" i="13"/>
  <c r="G2057" i="13"/>
  <c r="L2056" i="13"/>
  <c r="G2056" i="13"/>
  <c r="L2055" i="13"/>
  <c r="G2055" i="13"/>
  <c r="L2054" i="13"/>
  <c r="G2054" i="13"/>
  <c r="L2053" i="13"/>
  <c r="G2053" i="13"/>
  <c r="L2052" i="13"/>
  <c r="G2052" i="13"/>
  <c r="L2051" i="13"/>
  <c r="G2051" i="13"/>
  <c r="L2050" i="13"/>
  <c r="G2050" i="13"/>
  <c r="L2049" i="13"/>
  <c r="G2049" i="13"/>
  <c r="L2048" i="13"/>
  <c r="G2048" i="13"/>
  <c r="L2047" i="13"/>
  <c r="G2047" i="13"/>
  <c r="L2046" i="13"/>
  <c r="G2046" i="13"/>
  <c r="L2045" i="13"/>
  <c r="G2045" i="13"/>
  <c r="L2044" i="13"/>
  <c r="G2044" i="13"/>
  <c r="L2043" i="13"/>
  <c r="G2043" i="13"/>
  <c r="L2042" i="13"/>
  <c r="G2042" i="13"/>
  <c r="L2041" i="13"/>
  <c r="G2041" i="13"/>
  <c r="L2040" i="13"/>
  <c r="G2040" i="13"/>
  <c r="L2039" i="13"/>
  <c r="G2039" i="13"/>
  <c r="L2038" i="13"/>
  <c r="G2038" i="13"/>
  <c r="L2037" i="13"/>
  <c r="G2037" i="13"/>
  <c r="L2036" i="13"/>
  <c r="G2036" i="13"/>
  <c r="L2035" i="13"/>
  <c r="G2035" i="13"/>
  <c r="L2034" i="13"/>
  <c r="G2034" i="13"/>
  <c r="L2033" i="13"/>
  <c r="G2033" i="13"/>
  <c r="L2032" i="13"/>
  <c r="G2032" i="13"/>
  <c r="L2031" i="13"/>
  <c r="G2031" i="13"/>
  <c r="L2030" i="13"/>
  <c r="G2030" i="13"/>
  <c r="L2029" i="13"/>
  <c r="G2029" i="13"/>
  <c r="L2028" i="13"/>
  <c r="G2028" i="13"/>
  <c r="L2027" i="13"/>
  <c r="G2027" i="13"/>
  <c r="L2026" i="13"/>
  <c r="G2026" i="13"/>
  <c r="L2025" i="13"/>
  <c r="G2025" i="13"/>
  <c r="L2024" i="13"/>
  <c r="G2024" i="13"/>
  <c r="L2023" i="13"/>
  <c r="G2023" i="13"/>
  <c r="L2022" i="13"/>
  <c r="G2022" i="13"/>
  <c r="L2021" i="13"/>
  <c r="G2021" i="13"/>
  <c r="L2020" i="13"/>
  <c r="G2020" i="13"/>
  <c r="L2019" i="13"/>
  <c r="G2019" i="13"/>
  <c r="L2018" i="13"/>
  <c r="G2018" i="13"/>
  <c r="L2017" i="13"/>
  <c r="G2017" i="13"/>
  <c r="L2016" i="13"/>
  <c r="G2016" i="13"/>
  <c r="L2015" i="13"/>
  <c r="G2015" i="13"/>
  <c r="L2014" i="13"/>
  <c r="G2014" i="13"/>
  <c r="L2013" i="13"/>
  <c r="G2013" i="13"/>
  <c r="L2012" i="13"/>
  <c r="G2012" i="13"/>
  <c r="L2011" i="13"/>
  <c r="G2011" i="13"/>
  <c r="L2010" i="13"/>
  <c r="G2010" i="13"/>
  <c r="L2009" i="13"/>
  <c r="G2009" i="13"/>
  <c r="L2008" i="13"/>
  <c r="G2008" i="13"/>
  <c r="L2007" i="13"/>
  <c r="G2007" i="13"/>
  <c r="L2006" i="13"/>
  <c r="G2006" i="13"/>
  <c r="L2005" i="13"/>
  <c r="G2005" i="13"/>
  <c r="L2004" i="13"/>
  <c r="G2004" i="13"/>
  <c r="L2003" i="13"/>
  <c r="G2003" i="13"/>
  <c r="L2002" i="13"/>
  <c r="G2002" i="13"/>
  <c r="L2001" i="13"/>
  <c r="G2001" i="13"/>
  <c r="L2000" i="13"/>
  <c r="G2000" i="13"/>
  <c r="L1999" i="13"/>
  <c r="G1999" i="13"/>
  <c r="L1998" i="13"/>
  <c r="G1998" i="13"/>
  <c r="L1997" i="13"/>
  <c r="G1997" i="13"/>
  <c r="L1996" i="13"/>
  <c r="G1996" i="13"/>
  <c r="L1995" i="13"/>
  <c r="G1995" i="13"/>
  <c r="L1994" i="13"/>
  <c r="G1994" i="13"/>
  <c r="L1993" i="13"/>
  <c r="G1993" i="13"/>
  <c r="L1992" i="13"/>
  <c r="G1992" i="13"/>
  <c r="L1991" i="13"/>
  <c r="G1991" i="13"/>
  <c r="L1990" i="13"/>
  <c r="G1990" i="13"/>
  <c r="L1989" i="13"/>
  <c r="G1989" i="13"/>
  <c r="L1988" i="13"/>
  <c r="G1988" i="13"/>
  <c r="L1987" i="13"/>
  <c r="G1987" i="13"/>
  <c r="L1986" i="13"/>
  <c r="G1986" i="13"/>
  <c r="L1985" i="13"/>
  <c r="G1985" i="13"/>
  <c r="L1984" i="13"/>
  <c r="G1984" i="13"/>
  <c r="L1983" i="13"/>
  <c r="G1983" i="13"/>
  <c r="L1982" i="13"/>
  <c r="G1982" i="13"/>
  <c r="L1981" i="13"/>
  <c r="G1981" i="13"/>
  <c r="L1980" i="13"/>
  <c r="G1980" i="13"/>
  <c r="L1979" i="13"/>
  <c r="G1979" i="13"/>
  <c r="L1978" i="13"/>
  <c r="G1978" i="13"/>
  <c r="L1977" i="13"/>
  <c r="G1977" i="13"/>
  <c r="L1976" i="13"/>
  <c r="G1976" i="13"/>
  <c r="L1975" i="13"/>
  <c r="G1975" i="13"/>
  <c r="L1974" i="13"/>
  <c r="G1974" i="13"/>
  <c r="L1973" i="13"/>
  <c r="G1973" i="13"/>
  <c r="L1972" i="13"/>
  <c r="G1972" i="13"/>
  <c r="L1971" i="13"/>
  <c r="G1971" i="13"/>
  <c r="L1970" i="13"/>
  <c r="G1970" i="13"/>
  <c r="L1969" i="13"/>
  <c r="G1969" i="13"/>
  <c r="L1968" i="13"/>
  <c r="G1968" i="13"/>
  <c r="L1967" i="13"/>
  <c r="G1967" i="13"/>
  <c r="L1966" i="13"/>
  <c r="G1966" i="13"/>
  <c r="L1965" i="13"/>
  <c r="G1965" i="13"/>
  <c r="L1964" i="13"/>
  <c r="G1964" i="13"/>
  <c r="L1963" i="13"/>
  <c r="G1963" i="13"/>
  <c r="L1962" i="13"/>
  <c r="G1962" i="13"/>
  <c r="L1961" i="13"/>
  <c r="G1961" i="13"/>
  <c r="L1960" i="13"/>
  <c r="G1960" i="13"/>
  <c r="L1959" i="13"/>
  <c r="G1959" i="13"/>
  <c r="L1958" i="13"/>
  <c r="G1958" i="13"/>
  <c r="L1957" i="13"/>
  <c r="G1957" i="13"/>
  <c r="L1956" i="13"/>
  <c r="G1956" i="13"/>
  <c r="L1955" i="13"/>
  <c r="G1955" i="13"/>
  <c r="L1954" i="13"/>
  <c r="G1954" i="13"/>
  <c r="L1953" i="13"/>
  <c r="G1953" i="13"/>
  <c r="L1952" i="13"/>
  <c r="G1952" i="13"/>
  <c r="L1951" i="13"/>
  <c r="G1951" i="13"/>
  <c r="L1950" i="13"/>
  <c r="G1950" i="13"/>
  <c r="L1949" i="13"/>
  <c r="G1949" i="13"/>
  <c r="L1948" i="13"/>
  <c r="G1948" i="13"/>
  <c r="L1947" i="13"/>
  <c r="G1947" i="13"/>
  <c r="L1946" i="13"/>
  <c r="G1946" i="13"/>
  <c r="L1945" i="13"/>
  <c r="G1945" i="13"/>
  <c r="L1944" i="13"/>
  <c r="G1944" i="13"/>
  <c r="L1943" i="13"/>
  <c r="G1943" i="13"/>
  <c r="L1942" i="13"/>
  <c r="G1942" i="13"/>
  <c r="L1941" i="13"/>
  <c r="G1941" i="13"/>
  <c r="L1940" i="13"/>
  <c r="G1940" i="13"/>
  <c r="L1939" i="13"/>
  <c r="G1939" i="13"/>
  <c r="L1938" i="13"/>
  <c r="G1938" i="13"/>
  <c r="L1937" i="13"/>
  <c r="G1937" i="13"/>
  <c r="L1936" i="13"/>
  <c r="G1936" i="13"/>
  <c r="L1935" i="13"/>
  <c r="G1935" i="13"/>
  <c r="L1934" i="13"/>
  <c r="G1934" i="13"/>
  <c r="L1933" i="13"/>
  <c r="G1933" i="13"/>
  <c r="L1932" i="13"/>
  <c r="G1932" i="13"/>
  <c r="L1931" i="13"/>
  <c r="G1931" i="13"/>
  <c r="L1930" i="13"/>
  <c r="G1930" i="13"/>
  <c r="L1929" i="13"/>
  <c r="G1929" i="13"/>
  <c r="L1928" i="13"/>
  <c r="G1928" i="13"/>
  <c r="L1927" i="13"/>
  <c r="G1927" i="13"/>
  <c r="L1926" i="13"/>
  <c r="G1926" i="13"/>
  <c r="L1925" i="13"/>
  <c r="G1925" i="13"/>
  <c r="L1924" i="13"/>
  <c r="G1924" i="13"/>
  <c r="L1923" i="13"/>
  <c r="G1923" i="13"/>
  <c r="L1922" i="13"/>
  <c r="G1922" i="13"/>
  <c r="L1921" i="13"/>
  <c r="G1921" i="13"/>
  <c r="L1920" i="13"/>
  <c r="G1920" i="13"/>
  <c r="L1919" i="13"/>
  <c r="G1919" i="13"/>
  <c r="L1918" i="13"/>
  <c r="G1918" i="13"/>
  <c r="L1917" i="13"/>
  <c r="G1917" i="13"/>
  <c r="L1916" i="13"/>
  <c r="G1916" i="13"/>
  <c r="L1915" i="13"/>
  <c r="G1915" i="13"/>
  <c r="L1914" i="13"/>
  <c r="G1914" i="13"/>
  <c r="L1913" i="13"/>
  <c r="G1913" i="13"/>
  <c r="L1912" i="13"/>
  <c r="G1912" i="13"/>
  <c r="L1911" i="13"/>
  <c r="G1911" i="13"/>
  <c r="L1910" i="13"/>
  <c r="G1910" i="13"/>
  <c r="L1909" i="13"/>
  <c r="G1909" i="13"/>
  <c r="L1908" i="13"/>
  <c r="G1908" i="13"/>
  <c r="L1907" i="13"/>
  <c r="G1907" i="13"/>
  <c r="L1906" i="13"/>
  <c r="G1906" i="13"/>
  <c r="L1905" i="13"/>
  <c r="G1905" i="13"/>
  <c r="L1904" i="13"/>
  <c r="G1904" i="13"/>
  <c r="L1903" i="13"/>
  <c r="G1903" i="13"/>
  <c r="L1902" i="13"/>
  <c r="G1902" i="13"/>
  <c r="L1901" i="13"/>
  <c r="G1901" i="13"/>
  <c r="L1900" i="13"/>
  <c r="G1900" i="13"/>
  <c r="L1899" i="13"/>
  <c r="G1899" i="13"/>
  <c r="L1898" i="13"/>
  <c r="G1898" i="13"/>
  <c r="L1897" i="13"/>
  <c r="G1897" i="13"/>
  <c r="L1896" i="13"/>
  <c r="G1896" i="13"/>
  <c r="L1895" i="13"/>
  <c r="G1895" i="13"/>
  <c r="L1894" i="13"/>
  <c r="G1894" i="13"/>
  <c r="L1893" i="13"/>
  <c r="G1893" i="13"/>
  <c r="L1892" i="13"/>
  <c r="G1892" i="13"/>
  <c r="L1891" i="13"/>
  <c r="G1891" i="13"/>
  <c r="L1890" i="13"/>
  <c r="G1890" i="13"/>
  <c r="L1889" i="13"/>
  <c r="G1889" i="13"/>
  <c r="L1888" i="13"/>
  <c r="G1888" i="13"/>
  <c r="L1887" i="13"/>
  <c r="G1887" i="13"/>
  <c r="L1886" i="13"/>
  <c r="G1886" i="13"/>
  <c r="L1885" i="13"/>
  <c r="G1885" i="13"/>
  <c r="L1884" i="13"/>
  <c r="G1884" i="13"/>
  <c r="L1883" i="13"/>
  <c r="G1883" i="13"/>
  <c r="L1882" i="13"/>
  <c r="G1882" i="13"/>
  <c r="L1881" i="13"/>
  <c r="G1881" i="13"/>
  <c r="L1880" i="13"/>
  <c r="G1880" i="13"/>
  <c r="L1879" i="13"/>
  <c r="G1879" i="13"/>
  <c r="L1878" i="13"/>
  <c r="G1878" i="13"/>
  <c r="L1877" i="13"/>
  <c r="G1877" i="13"/>
  <c r="L1876" i="13"/>
  <c r="G1876" i="13"/>
  <c r="L1875" i="13"/>
  <c r="G1875" i="13"/>
  <c r="L1874" i="13"/>
  <c r="G1874" i="13"/>
  <c r="L1873" i="13"/>
  <c r="G1873" i="13"/>
  <c r="L1872" i="13"/>
  <c r="G1872" i="13"/>
  <c r="L1871" i="13"/>
  <c r="G1871" i="13"/>
  <c r="L1870" i="13"/>
  <c r="G1870" i="13"/>
  <c r="L1869" i="13"/>
  <c r="G1869" i="13"/>
  <c r="L1868" i="13"/>
  <c r="G1868" i="13"/>
  <c r="L1867" i="13"/>
  <c r="G1867" i="13"/>
  <c r="L1866" i="13"/>
  <c r="G1866" i="13"/>
  <c r="L1865" i="13"/>
  <c r="G1865" i="13"/>
  <c r="L1864" i="13"/>
  <c r="G1864" i="13"/>
  <c r="L1863" i="13"/>
  <c r="G1863" i="13"/>
  <c r="L1862" i="13"/>
  <c r="G1862" i="13"/>
  <c r="L1861" i="13"/>
  <c r="G1861" i="13"/>
  <c r="L1860" i="13"/>
  <c r="G1860" i="13"/>
  <c r="L1859" i="13"/>
  <c r="G1859" i="13"/>
  <c r="L1858" i="13"/>
  <c r="G1858" i="13"/>
  <c r="L1857" i="13"/>
  <c r="G1857" i="13"/>
  <c r="L1856" i="13"/>
  <c r="G1856" i="13"/>
  <c r="L1855" i="13"/>
  <c r="G1855" i="13"/>
  <c r="L1854" i="13"/>
  <c r="G1854" i="13"/>
  <c r="L1853" i="13"/>
  <c r="G1853" i="13"/>
  <c r="L1852" i="13"/>
  <c r="G1852" i="13"/>
  <c r="L1851" i="13"/>
  <c r="G1851" i="13"/>
  <c r="L1850" i="13"/>
  <c r="G1850" i="13"/>
  <c r="L1849" i="13"/>
  <c r="G1849" i="13"/>
  <c r="L1848" i="13"/>
  <c r="G1848" i="13"/>
  <c r="L1847" i="13"/>
  <c r="G1847" i="13"/>
  <c r="L1846" i="13"/>
  <c r="G1846" i="13"/>
  <c r="L1845" i="13"/>
  <c r="G1845" i="13"/>
  <c r="L1844" i="13"/>
  <c r="G1844" i="13"/>
  <c r="L1843" i="13"/>
  <c r="G1843" i="13"/>
  <c r="L1842" i="13"/>
  <c r="G1842" i="13"/>
  <c r="L1841" i="13"/>
  <c r="G1841" i="13"/>
  <c r="L1840" i="13"/>
  <c r="G1840" i="13"/>
  <c r="L1839" i="13"/>
  <c r="G1839" i="13"/>
  <c r="L1838" i="13"/>
  <c r="G1838" i="13"/>
  <c r="L1837" i="13"/>
  <c r="G1837" i="13"/>
  <c r="L1836" i="13"/>
  <c r="G1836" i="13"/>
  <c r="L1835" i="13"/>
  <c r="G1835" i="13"/>
  <c r="L1834" i="13"/>
  <c r="G1834" i="13"/>
  <c r="L1833" i="13"/>
  <c r="G1833" i="13"/>
  <c r="L1832" i="13"/>
  <c r="G1832" i="13"/>
  <c r="L1831" i="13"/>
  <c r="G1831" i="13"/>
  <c r="L1830" i="13"/>
  <c r="G1830" i="13"/>
  <c r="L1829" i="13"/>
  <c r="G1829" i="13"/>
  <c r="L1828" i="13"/>
  <c r="G1828" i="13"/>
  <c r="L1827" i="13"/>
  <c r="G1827" i="13"/>
  <c r="L1826" i="13"/>
  <c r="G1826" i="13"/>
  <c r="L1825" i="13"/>
  <c r="G1825" i="13"/>
  <c r="L1824" i="13"/>
  <c r="G1824" i="13"/>
  <c r="L1823" i="13"/>
  <c r="G1823" i="13"/>
  <c r="L1822" i="13"/>
  <c r="G1822" i="13"/>
  <c r="L1821" i="13"/>
  <c r="G1821" i="13"/>
  <c r="L1820" i="13"/>
  <c r="G1820" i="13"/>
  <c r="L1819" i="13"/>
  <c r="G1819" i="13"/>
  <c r="L1818" i="13"/>
  <c r="G1818" i="13"/>
  <c r="L1817" i="13"/>
  <c r="G1817" i="13"/>
  <c r="L1816" i="13"/>
  <c r="G1816" i="13"/>
  <c r="L1815" i="13"/>
  <c r="G1815" i="13"/>
  <c r="L1814" i="13"/>
  <c r="G1814" i="13"/>
  <c r="L1813" i="13"/>
  <c r="G1813" i="13"/>
  <c r="L1812" i="13"/>
  <c r="G1812" i="13"/>
  <c r="L1811" i="13"/>
  <c r="G1811" i="13"/>
  <c r="L1810" i="13"/>
  <c r="G1810" i="13"/>
  <c r="L1809" i="13"/>
  <c r="G1809" i="13"/>
  <c r="L1808" i="13"/>
  <c r="G1808" i="13"/>
  <c r="L1807" i="13"/>
  <c r="G1807" i="13"/>
  <c r="L1806" i="13"/>
  <c r="G1806" i="13"/>
  <c r="L1805" i="13"/>
  <c r="G1805" i="13"/>
  <c r="L1804" i="13"/>
  <c r="G1804" i="13"/>
  <c r="L1803" i="13"/>
  <c r="G1803" i="13"/>
  <c r="L1802" i="13"/>
  <c r="G1802" i="13"/>
  <c r="L1801" i="13"/>
  <c r="G1801" i="13"/>
  <c r="L1800" i="13"/>
  <c r="G1800" i="13"/>
  <c r="L1799" i="13"/>
  <c r="G1799" i="13"/>
  <c r="L1798" i="13"/>
  <c r="G1798" i="13"/>
  <c r="L1797" i="13"/>
  <c r="G1797" i="13"/>
  <c r="L1796" i="13"/>
  <c r="G1796" i="13"/>
  <c r="L1795" i="13"/>
  <c r="G1795" i="13"/>
  <c r="L1794" i="13"/>
  <c r="G1794" i="13"/>
  <c r="L1793" i="13"/>
  <c r="G1793" i="13"/>
  <c r="L1792" i="13"/>
  <c r="G1792" i="13"/>
  <c r="L1791" i="13"/>
  <c r="G1791" i="13"/>
  <c r="L1790" i="13"/>
  <c r="G1790" i="13"/>
  <c r="L1789" i="13"/>
  <c r="G1789" i="13"/>
  <c r="L1788" i="13"/>
  <c r="G1788" i="13"/>
  <c r="L1787" i="13"/>
  <c r="G1787" i="13"/>
  <c r="L1786" i="13"/>
  <c r="G1786" i="13"/>
  <c r="L1785" i="13"/>
  <c r="G1785" i="13"/>
  <c r="L1784" i="13"/>
  <c r="G1784" i="13"/>
  <c r="L1783" i="13"/>
  <c r="G1783" i="13"/>
  <c r="L1782" i="13"/>
  <c r="G1782" i="13"/>
  <c r="L1781" i="13"/>
  <c r="G1781" i="13"/>
  <c r="L1780" i="13"/>
  <c r="G1780" i="13"/>
  <c r="L1779" i="13"/>
  <c r="G1779" i="13"/>
  <c r="L1778" i="13"/>
  <c r="G1778" i="13"/>
  <c r="L1777" i="13"/>
  <c r="G1777" i="13"/>
  <c r="L1776" i="13"/>
  <c r="G1776" i="13"/>
  <c r="L1775" i="13"/>
  <c r="G1775" i="13"/>
  <c r="L1774" i="13"/>
  <c r="G1774" i="13"/>
  <c r="L1773" i="13"/>
  <c r="G1773" i="13"/>
  <c r="L1772" i="13"/>
  <c r="G1772" i="13"/>
  <c r="L1771" i="13"/>
  <c r="G1771" i="13"/>
  <c r="L1770" i="13"/>
  <c r="G1770" i="13"/>
  <c r="L1769" i="13"/>
  <c r="G1769" i="13"/>
  <c r="L1768" i="13"/>
  <c r="G1768" i="13"/>
  <c r="L1767" i="13"/>
  <c r="G1767" i="13"/>
  <c r="L1766" i="13"/>
  <c r="G1766" i="13"/>
  <c r="L1765" i="13"/>
  <c r="G1765" i="13"/>
  <c r="L1764" i="13"/>
  <c r="G1764" i="13"/>
  <c r="L1763" i="13"/>
  <c r="G1763" i="13"/>
  <c r="L1762" i="13"/>
  <c r="G1762" i="13"/>
  <c r="L1761" i="13"/>
  <c r="G1761" i="13"/>
  <c r="L1760" i="13"/>
  <c r="G1760" i="13"/>
  <c r="L1759" i="13"/>
  <c r="G1759" i="13"/>
  <c r="L1758" i="13"/>
  <c r="G1758" i="13"/>
  <c r="L1757" i="13"/>
  <c r="G1757" i="13"/>
  <c r="L1756" i="13"/>
  <c r="G1756" i="13"/>
  <c r="L1755" i="13"/>
  <c r="G1755" i="13"/>
  <c r="L1754" i="13"/>
  <c r="G1754" i="13"/>
  <c r="L1753" i="13"/>
  <c r="G1753" i="13"/>
  <c r="L1752" i="13"/>
  <c r="G1752" i="13"/>
  <c r="L1751" i="13"/>
  <c r="G1751" i="13"/>
  <c r="L1750" i="13"/>
  <c r="G1750" i="13"/>
  <c r="L1749" i="13"/>
  <c r="G1749" i="13"/>
  <c r="L1748" i="13"/>
  <c r="G1748" i="13"/>
  <c r="L1747" i="13"/>
  <c r="G1747" i="13"/>
  <c r="L1746" i="13"/>
  <c r="G1746" i="13"/>
  <c r="L1745" i="13"/>
  <c r="G1745" i="13"/>
  <c r="L1744" i="13"/>
  <c r="G1744" i="13"/>
  <c r="L1743" i="13"/>
  <c r="G1743" i="13"/>
  <c r="L1742" i="13"/>
  <c r="G1742" i="13"/>
  <c r="L1741" i="13"/>
  <c r="G1741" i="13"/>
  <c r="L1740" i="13"/>
  <c r="G1740" i="13"/>
  <c r="L1739" i="13"/>
  <c r="G1739" i="13"/>
  <c r="L1738" i="13"/>
  <c r="G1738" i="13"/>
  <c r="L1737" i="13"/>
  <c r="G1737" i="13"/>
  <c r="L1736" i="13"/>
  <c r="G1736" i="13"/>
  <c r="L1735" i="13"/>
  <c r="G1735" i="13"/>
  <c r="L1734" i="13"/>
  <c r="G1734" i="13"/>
  <c r="L1733" i="13"/>
  <c r="G1733" i="13"/>
  <c r="L1732" i="13"/>
  <c r="G1732" i="13"/>
  <c r="L1731" i="13"/>
  <c r="G1731" i="13"/>
  <c r="L1730" i="13"/>
  <c r="G1730" i="13"/>
  <c r="L1729" i="13"/>
  <c r="G1729" i="13"/>
  <c r="L1728" i="13"/>
  <c r="G1728" i="13"/>
  <c r="L1727" i="13"/>
  <c r="G1727" i="13"/>
  <c r="L1726" i="13"/>
  <c r="G1726" i="13"/>
  <c r="L1725" i="13"/>
  <c r="G1725" i="13"/>
  <c r="L1724" i="13"/>
  <c r="G1724" i="13"/>
  <c r="L1723" i="13"/>
  <c r="G1723" i="13"/>
  <c r="L1722" i="13"/>
  <c r="G1722" i="13"/>
  <c r="L1721" i="13"/>
  <c r="G1721" i="13"/>
  <c r="L1720" i="13"/>
  <c r="G1720" i="13"/>
  <c r="L1719" i="13"/>
  <c r="G1719" i="13"/>
  <c r="L1718" i="13"/>
  <c r="G1718" i="13"/>
  <c r="L1717" i="13"/>
  <c r="G1717" i="13"/>
  <c r="L1716" i="13"/>
  <c r="G1716" i="13"/>
  <c r="L1715" i="13"/>
  <c r="G1715" i="13"/>
  <c r="L1714" i="13"/>
  <c r="G1714" i="13"/>
  <c r="L1713" i="13"/>
  <c r="G1713" i="13"/>
  <c r="L1712" i="13"/>
  <c r="G1712" i="13"/>
  <c r="L1711" i="13"/>
  <c r="G1711" i="13"/>
  <c r="L1710" i="13"/>
  <c r="G1710" i="13"/>
  <c r="L1709" i="13"/>
  <c r="G1709" i="13"/>
  <c r="L1708" i="13"/>
  <c r="G1708" i="13"/>
  <c r="L1707" i="13"/>
  <c r="G1707" i="13"/>
  <c r="L1706" i="13"/>
  <c r="G1706" i="13"/>
  <c r="L1705" i="13"/>
  <c r="G1705" i="13"/>
  <c r="L1704" i="13"/>
  <c r="G1704" i="13"/>
  <c r="L1703" i="13"/>
  <c r="G1703" i="13"/>
  <c r="L1702" i="13"/>
  <c r="G1702" i="13"/>
  <c r="L1701" i="13"/>
  <c r="G1701" i="13"/>
  <c r="L1700" i="13"/>
  <c r="G1700" i="13"/>
  <c r="L1699" i="13"/>
  <c r="G1699" i="13"/>
  <c r="L1698" i="13"/>
  <c r="G1698" i="13"/>
  <c r="L1697" i="13"/>
  <c r="G1697" i="13"/>
  <c r="L1696" i="13"/>
  <c r="G1696" i="13"/>
  <c r="L1695" i="13"/>
  <c r="G1695" i="13"/>
  <c r="L1694" i="13"/>
  <c r="G1694" i="13"/>
  <c r="L1693" i="13"/>
  <c r="G1693" i="13"/>
  <c r="L1692" i="13"/>
  <c r="G1692" i="13"/>
  <c r="L1691" i="13"/>
  <c r="G1691" i="13"/>
  <c r="L1690" i="13"/>
  <c r="G1690" i="13"/>
  <c r="L1689" i="13"/>
  <c r="G1689" i="13"/>
  <c r="L1688" i="13"/>
  <c r="G1688" i="13"/>
  <c r="L1687" i="13"/>
  <c r="G1687" i="13"/>
  <c r="L1686" i="13"/>
  <c r="G1686" i="13"/>
  <c r="L1685" i="13"/>
  <c r="G1685" i="13"/>
  <c r="L1684" i="13"/>
  <c r="G1684" i="13"/>
  <c r="L1683" i="13"/>
  <c r="G1683" i="13"/>
  <c r="L1682" i="13"/>
  <c r="G1682" i="13"/>
  <c r="L1681" i="13"/>
  <c r="G1681" i="13"/>
  <c r="L1680" i="13"/>
  <c r="G1680" i="13"/>
  <c r="L1679" i="13"/>
  <c r="G1679" i="13"/>
  <c r="L1678" i="13"/>
  <c r="G1678" i="13"/>
  <c r="L1677" i="13"/>
  <c r="G1677" i="13"/>
  <c r="L1676" i="13"/>
  <c r="G1676" i="13"/>
  <c r="L1675" i="13"/>
  <c r="G1675" i="13"/>
  <c r="L1674" i="13"/>
  <c r="G1674" i="13"/>
  <c r="L1673" i="13"/>
  <c r="G1673" i="13"/>
  <c r="L1672" i="13"/>
  <c r="G1672" i="13"/>
  <c r="L1671" i="13"/>
  <c r="G1671" i="13"/>
  <c r="L1670" i="13"/>
  <c r="G1670" i="13"/>
  <c r="L1669" i="13"/>
  <c r="G1669" i="13"/>
  <c r="L1668" i="13"/>
  <c r="G1668" i="13"/>
  <c r="L1667" i="13"/>
  <c r="G1667" i="13"/>
  <c r="L1666" i="13"/>
  <c r="G1666" i="13"/>
  <c r="L1665" i="13"/>
  <c r="G1665" i="13"/>
  <c r="L1664" i="13"/>
  <c r="G1664" i="13"/>
  <c r="L1663" i="13"/>
  <c r="G1663" i="13"/>
  <c r="L1662" i="13"/>
  <c r="G1662" i="13"/>
  <c r="L1661" i="13"/>
  <c r="G1661" i="13"/>
  <c r="L1660" i="13"/>
  <c r="G1660" i="13"/>
  <c r="L1659" i="13"/>
  <c r="G1659" i="13"/>
  <c r="L1658" i="13"/>
  <c r="G1658" i="13"/>
  <c r="L1657" i="13"/>
  <c r="G1657" i="13"/>
  <c r="L1656" i="13"/>
  <c r="G1656" i="13"/>
  <c r="L1655" i="13"/>
  <c r="G1655" i="13"/>
  <c r="L1654" i="13"/>
  <c r="G1654" i="13"/>
  <c r="L1653" i="13"/>
  <c r="G1653" i="13"/>
  <c r="L1652" i="13"/>
  <c r="G1652" i="13"/>
  <c r="L1651" i="13"/>
  <c r="G1651" i="13"/>
  <c r="L1650" i="13"/>
  <c r="G1650" i="13"/>
  <c r="L1649" i="13"/>
  <c r="G1649" i="13"/>
  <c r="L1648" i="13"/>
  <c r="G1648" i="13"/>
  <c r="L1647" i="13"/>
  <c r="G1647" i="13"/>
  <c r="L1646" i="13"/>
  <c r="G1646" i="13"/>
  <c r="L1645" i="13"/>
  <c r="G1645" i="13"/>
  <c r="L1644" i="13"/>
  <c r="G1644" i="13"/>
  <c r="L1643" i="13"/>
  <c r="G1643" i="13"/>
  <c r="L1642" i="13"/>
  <c r="G1642" i="13"/>
  <c r="L1641" i="13"/>
  <c r="G1641" i="13"/>
  <c r="L1640" i="13"/>
  <c r="G1640" i="13"/>
  <c r="L1639" i="13"/>
  <c r="G1639" i="13"/>
  <c r="L1638" i="13"/>
  <c r="G1638" i="13"/>
  <c r="L1637" i="13"/>
  <c r="G1637" i="13"/>
  <c r="L1636" i="13"/>
  <c r="G1636" i="13"/>
  <c r="L1635" i="13"/>
  <c r="G1635" i="13"/>
  <c r="L1634" i="13"/>
  <c r="G1634" i="13"/>
  <c r="L1633" i="13"/>
  <c r="G1633" i="13"/>
  <c r="L1632" i="13"/>
  <c r="G1632" i="13"/>
  <c r="L1631" i="13"/>
  <c r="G1631" i="13"/>
  <c r="L1630" i="13"/>
  <c r="G1630" i="13"/>
  <c r="L1629" i="13"/>
  <c r="G1629" i="13"/>
  <c r="L1628" i="13"/>
  <c r="G1628" i="13"/>
  <c r="L1627" i="13"/>
  <c r="G1627" i="13"/>
  <c r="L1626" i="13"/>
  <c r="G1626" i="13"/>
  <c r="L1625" i="13"/>
  <c r="G1625" i="13"/>
  <c r="L1624" i="13"/>
  <c r="G1624" i="13"/>
  <c r="L1623" i="13"/>
  <c r="G1623" i="13"/>
  <c r="L1622" i="13"/>
  <c r="G1622" i="13"/>
  <c r="L1621" i="13"/>
  <c r="G1621" i="13"/>
  <c r="L1620" i="13"/>
  <c r="G1620" i="13"/>
  <c r="L1619" i="13"/>
  <c r="G1619" i="13"/>
  <c r="L1618" i="13"/>
  <c r="G1618" i="13"/>
  <c r="L1617" i="13"/>
  <c r="G1617" i="13"/>
  <c r="L1616" i="13"/>
  <c r="G1616" i="13"/>
  <c r="L1615" i="13"/>
  <c r="G1615" i="13"/>
  <c r="L1614" i="13"/>
  <c r="G1614" i="13"/>
  <c r="L1613" i="13"/>
  <c r="G1613" i="13"/>
  <c r="L1612" i="13"/>
  <c r="G1612" i="13"/>
  <c r="L1611" i="13"/>
  <c r="G1611" i="13"/>
  <c r="L1610" i="13"/>
  <c r="G1610" i="13"/>
  <c r="L1609" i="13"/>
  <c r="G1609" i="13"/>
  <c r="L1608" i="13"/>
  <c r="G1608" i="13"/>
  <c r="L1607" i="13"/>
  <c r="G1607" i="13"/>
  <c r="L1606" i="13"/>
  <c r="G1606" i="13"/>
  <c r="L1605" i="13"/>
  <c r="G1605" i="13"/>
  <c r="L1604" i="13"/>
  <c r="G1604" i="13"/>
  <c r="L1603" i="13"/>
  <c r="G1603" i="13"/>
  <c r="L1602" i="13"/>
  <c r="G1602" i="13"/>
  <c r="L1601" i="13"/>
  <c r="G1601" i="13"/>
  <c r="L1600" i="13"/>
  <c r="G1600" i="13"/>
  <c r="L1599" i="13"/>
  <c r="G1599" i="13"/>
  <c r="L1598" i="13"/>
  <c r="G1598" i="13"/>
  <c r="L1597" i="13"/>
  <c r="G1597" i="13"/>
  <c r="L1596" i="13"/>
  <c r="G1596" i="13"/>
  <c r="L1595" i="13"/>
  <c r="G1595" i="13"/>
  <c r="L1594" i="13"/>
  <c r="G1594" i="13"/>
  <c r="L1593" i="13"/>
  <c r="G1593" i="13"/>
  <c r="L1592" i="13"/>
  <c r="G1592" i="13"/>
  <c r="L1591" i="13"/>
  <c r="G1591" i="13"/>
  <c r="L1590" i="13"/>
  <c r="G1590" i="13"/>
  <c r="L1589" i="13"/>
  <c r="G1589" i="13"/>
  <c r="L1588" i="13"/>
  <c r="G1588" i="13"/>
  <c r="L1587" i="13"/>
  <c r="G1587" i="13"/>
  <c r="L1586" i="13"/>
  <c r="G1586" i="13"/>
  <c r="L1585" i="13"/>
  <c r="G1585" i="13"/>
  <c r="L1584" i="13"/>
  <c r="G1584" i="13"/>
  <c r="L1583" i="13"/>
  <c r="G1583" i="13"/>
  <c r="L1582" i="13"/>
  <c r="G1582" i="13"/>
  <c r="L1581" i="13"/>
  <c r="G1581" i="13"/>
  <c r="L1580" i="13"/>
  <c r="G1580" i="13"/>
  <c r="L1579" i="13"/>
  <c r="G1579" i="13"/>
  <c r="L1578" i="13"/>
  <c r="G1578" i="13"/>
  <c r="L1577" i="13"/>
  <c r="G1577" i="13"/>
  <c r="L1576" i="13"/>
  <c r="G1576" i="13"/>
  <c r="L1575" i="13"/>
  <c r="G1575" i="13"/>
  <c r="L1574" i="13"/>
  <c r="G1574" i="13"/>
  <c r="L1573" i="13"/>
  <c r="G1573" i="13"/>
  <c r="L1572" i="13"/>
  <c r="G1572" i="13"/>
  <c r="L1571" i="13"/>
  <c r="G1571" i="13"/>
  <c r="L1570" i="13"/>
  <c r="G1570" i="13"/>
  <c r="L1569" i="13"/>
  <c r="G1569" i="13"/>
  <c r="L1568" i="13"/>
  <c r="G1568" i="13"/>
  <c r="L1567" i="13"/>
  <c r="G1567" i="13"/>
  <c r="L1566" i="13"/>
  <c r="G1566" i="13"/>
  <c r="L1565" i="13"/>
  <c r="G1565" i="13"/>
  <c r="L1564" i="13"/>
  <c r="G1564" i="13"/>
  <c r="L1563" i="13"/>
  <c r="G1563" i="13"/>
  <c r="L1562" i="13"/>
  <c r="G1562" i="13"/>
  <c r="L1561" i="13"/>
  <c r="G1561" i="13"/>
  <c r="L1560" i="13"/>
  <c r="G1560" i="13"/>
  <c r="L1559" i="13"/>
  <c r="G1559" i="13"/>
  <c r="L1558" i="13"/>
  <c r="G1558" i="13"/>
  <c r="L1557" i="13"/>
  <c r="G1557" i="13"/>
  <c r="L1556" i="13"/>
  <c r="G1556" i="13"/>
  <c r="L1555" i="13"/>
  <c r="G1555" i="13"/>
  <c r="L1554" i="13"/>
  <c r="G1554" i="13"/>
  <c r="L1553" i="13"/>
  <c r="G1553" i="13"/>
  <c r="L1552" i="13"/>
  <c r="G1552" i="13"/>
  <c r="L1551" i="13"/>
  <c r="G1551" i="13"/>
  <c r="L1550" i="13"/>
  <c r="G1550" i="13"/>
  <c r="L1549" i="13"/>
  <c r="G1549" i="13"/>
  <c r="L1548" i="13"/>
  <c r="G1548" i="13"/>
  <c r="L1547" i="13"/>
  <c r="G1547" i="13"/>
  <c r="L1546" i="13"/>
  <c r="G1546" i="13"/>
  <c r="L1545" i="13"/>
  <c r="G1545" i="13"/>
  <c r="L1544" i="13"/>
  <c r="G1544" i="13"/>
  <c r="L1543" i="13"/>
  <c r="G1543" i="13"/>
  <c r="L1542" i="13"/>
  <c r="G1542" i="13"/>
  <c r="L1541" i="13"/>
  <c r="G1541" i="13"/>
  <c r="L1540" i="13"/>
  <c r="G1540" i="13"/>
  <c r="L1539" i="13"/>
  <c r="G1539" i="13"/>
  <c r="L1538" i="13"/>
  <c r="G1538" i="13"/>
  <c r="L1537" i="13"/>
  <c r="G1537" i="13"/>
  <c r="L1536" i="13"/>
  <c r="G1536" i="13"/>
  <c r="L1535" i="13"/>
  <c r="G1535" i="13"/>
  <c r="L1534" i="13"/>
  <c r="G1534" i="13"/>
  <c r="L1533" i="13"/>
  <c r="G1533" i="13"/>
  <c r="L1532" i="13"/>
  <c r="G1532" i="13"/>
  <c r="L1531" i="13"/>
  <c r="G1531" i="13"/>
  <c r="L1530" i="13"/>
  <c r="G1530" i="13"/>
  <c r="L1529" i="13"/>
  <c r="G1529" i="13"/>
  <c r="L1528" i="13"/>
  <c r="G1528" i="13"/>
  <c r="L1527" i="13"/>
  <c r="G1527" i="13"/>
  <c r="L1526" i="13"/>
  <c r="G1526" i="13"/>
  <c r="L1525" i="13"/>
  <c r="G1525" i="13"/>
  <c r="L1524" i="13"/>
  <c r="G1524" i="13"/>
  <c r="L1523" i="13"/>
  <c r="G1523" i="13"/>
  <c r="L1522" i="13"/>
  <c r="G1522" i="13"/>
  <c r="L1521" i="13"/>
  <c r="G1521" i="13"/>
  <c r="L1520" i="13"/>
  <c r="G1520" i="13"/>
  <c r="L1519" i="13"/>
  <c r="G1519" i="13"/>
  <c r="L1518" i="13"/>
  <c r="G1518" i="13"/>
  <c r="L1517" i="13"/>
  <c r="G1517" i="13"/>
  <c r="L1516" i="13"/>
  <c r="G1516" i="13"/>
  <c r="L1515" i="13"/>
  <c r="G1515" i="13"/>
  <c r="L1514" i="13"/>
  <c r="G1514" i="13"/>
  <c r="L1513" i="13"/>
  <c r="G1513" i="13"/>
  <c r="L1512" i="13"/>
  <c r="G1512" i="13"/>
  <c r="L1511" i="13"/>
  <c r="G1511" i="13"/>
  <c r="L1510" i="13"/>
  <c r="G1510" i="13"/>
  <c r="L1509" i="13"/>
  <c r="G1509" i="13"/>
  <c r="L1508" i="13"/>
  <c r="G1508" i="13"/>
  <c r="L1507" i="13"/>
  <c r="G1507" i="13"/>
  <c r="L1506" i="13"/>
  <c r="G1506" i="13"/>
  <c r="L1505" i="13"/>
  <c r="G1505" i="13"/>
  <c r="L1504" i="13"/>
  <c r="G1504" i="13"/>
  <c r="L1503" i="13"/>
  <c r="G1503" i="13"/>
  <c r="L1502" i="13"/>
  <c r="G1502" i="13"/>
  <c r="L1501" i="13"/>
  <c r="G1501" i="13"/>
  <c r="L1500" i="13"/>
  <c r="G1500" i="13"/>
  <c r="L1499" i="13"/>
  <c r="G1499" i="13"/>
  <c r="L1498" i="13"/>
  <c r="G1498" i="13"/>
  <c r="L1497" i="13"/>
  <c r="G1497" i="13"/>
  <c r="L1496" i="13"/>
  <c r="G1496" i="13"/>
  <c r="L1495" i="13"/>
  <c r="G1495" i="13"/>
  <c r="L1494" i="13"/>
  <c r="G1494" i="13"/>
  <c r="L1493" i="13"/>
  <c r="G1493" i="13"/>
  <c r="L1492" i="13"/>
  <c r="G1492" i="13"/>
  <c r="L1491" i="13"/>
  <c r="G1491" i="13"/>
  <c r="L1490" i="13"/>
  <c r="G1490" i="13"/>
  <c r="L1489" i="13"/>
  <c r="G1489" i="13"/>
  <c r="L1488" i="13"/>
  <c r="G1488" i="13"/>
  <c r="L1487" i="13"/>
  <c r="G1487" i="13"/>
  <c r="L1486" i="13"/>
  <c r="G1486" i="13"/>
  <c r="L1485" i="13"/>
  <c r="G1485" i="13"/>
  <c r="L1484" i="13"/>
  <c r="G1484" i="13"/>
  <c r="L1483" i="13"/>
  <c r="G1483" i="13"/>
  <c r="L1482" i="13"/>
  <c r="G1482" i="13"/>
  <c r="L1481" i="13"/>
  <c r="G1481" i="13"/>
  <c r="L1480" i="13"/>
  <c r="G1480" i="13"/>
  <c r="L1479" i="13"/>
  <c r="G1479" i="13"/>
  <c r="L1478" i="13"/>
  <c r="G1478" i="13"/>
  <c r="L1477" i="13"/>
  <c r="G1477" i="13"/>
  <c r="L1476" i="13"/>
  <c r="G1476" i="13"/>
  <c r="L1475" i="13"/>
  <c r="G1475" i="13"/>
  <c r="L1474" i="13"/>
  <c r="G1474" i="13"/>
  <c r="L1473" i="13"/>
  <c r="G1473" i="13"/>
  <c r="L1472" i="13"/>
  <c r="G1472" i="13"/>
  <c r="L1471" i="13"/>
  <c r="G1471" i="13"/>
  <c r="L1470" i="13"/>
  <c r="G1470" i="13"/>
  <c r="L1469" i="13"/>
  <c r="G1469" i="13"/>
  <c r="L1468" i="13"/>
  <c r="G1468" i="13"/>
  <c r="L1467" i="13"/>
  <c r="G1467" i="13"/>
  <c r="L1466" i="13"/>
  <c r="G1466" i="13"/>
  <c r="L1465" i="13"/>
  <c r="G1465" i="13"/>
  <c r="L1464" i="13"/>
  <c r="G1464" i="13"/>
  <c r="L1463" i="13"/>
  <c r="G1463" i="13"/>
  <c r="L1462" i="13"/>
  <c r="G1462" i="13"/>
  <c r="L1461" i="13"/>
  <c r="G1461" i="13"/>
  <c r="L1460" i="13"/>
  <c r="G1460" i="13"/>
  <c r="L1459" i="13"/>
  <c r="G1459" i="13"/>
  <c r="L1458" i="13"/>
  <c r="G1458" i="13"/>
  <c r="L1457" i="13"/>
  <c r="G1457" i="13"/>
  <c r="L1456" i="13"/>
  <c r="G1456" i="13"/>
  <c r="L1455" i="13"/>
  <c r="G1455" i="13"/>
  <c r="L1454" i="13"/>
  <c r="G1454" i="13"/>
  <c r="L1453" i="13"/>
  <c r="G1453" i="13"/>
  <c r="L1452" i="13"/>
  <c r="G1452" i="13"/>
  <c r="L1451" i="13"/>
  <c r="G1451" i="13"/>
  <c r="L1450" i="13"/>
  <c r="G1450" i="13"/>
  <c r="L1449" i="13"/>
  <c r="G1449" i="13"/>
  <c r="L1448" i="13"/>
  <c r="G1448" i="13"/>
  <c r="L1447" i="13"/>
  <c r="G1447" i="13"/>
  <c r="L1446" i="13"/>
  <c r="G1446" i="13"/>
  <c r="L1445" i="13"/>
  <c r="G1445" i="13"/>
  <c r="L1444" i="13"/>
  <c r="G1444" i="13"/>
  <c r="L1443" i="13"/>
  <c r="G1443" i="13"/>
  <c r="L1442" i="13"/>
  <c r="G1442" i="13"/>
  <c r="L1441" i="13"/>
  <c r="G1441" i="13"/>
  <c r="L1440" i="13"/>
  <c r="G1440" i="13"/>
  <c r="L1439" i="13"/>
  <c r="G1439" i="13"/>
  <c r="L1438" i="13"/>
  <c r="G1438" i="13"/>
  <c r="L1437" i="13"/>
  <c r="G1437" i="13"/>
  <c r="L1436" i="13"/>
  <c r="G1436" i="13"/>
  <c r="L1435" i="13"/>
  <c r="G1435" i="13"/>
  <c r="L1434" i="13"/>
  <c r="G1434" i="13"/>
  <c r="L1433" i="13"/>
  <c r="G1433" i="13"/>
  <c r="L1432" i="13"/>
  <c r="G1432" i="13"/>
  <c r="L1431" i="13"/>
  <c r="G1431" i="13"/>
  <c r="L1430" i="13"/>
  <c r="G1430" i="13"/>
  <c r="L1429" i="13"/>
  <c r="G1429" i="13"/>
  <c r="L1428" i="13"/>
  <c r="G1428" i="13"/>
  <c r="L1427" i="13"/>
  <c r="G1427" i="13"/>
  <c r="L1426" i="13"/>
  <c r="G1426" i="13"/>
  <c r="L1425" i="13"/>
  <c r="G1425" i="13"/>
  <c r="L1424" i="13"/>
  <c r="G1424" i="13"/>
  <c r="L1423" i="13"/>
  <c r="G1423" i="13"/>
  <c r="L1422" i="13"/>
  <c r="G1422" i="13"/>
  <c r="L1421" i="13"/>
  <c r="G1421" i="13"/>
  <c r="L1420" i="13"/>
  <c r="G1420" i="13"/>
  <c r="L1419" i="13"/>
  <c r="G1419" i="13"/>
  <c r="L1418" i="13"/>
  <c r="G1418" i="13"/>
  <c r="L1417" i="13"/>
  <c r="G1417" i="13"/>
  <c r="L1416" i="13"/>
  <c r="G1416" i="13"/>
  <c r="L1415" i="13"/>
  <c r="G1415" i="13"/>
  <c r="L1414" i="13"/>
  <c r="G1414" i="13"/>
  <c r="L1413" i="13"/>
  <c r="G1413" i="13"/>
  <c r="L1412" i="13"/>
  <c r="G1412" i="13"/>
  <c r="L1411" i="13"/>
  <c r="G1411" i="13"/>
  <c r="L1410" i="13"/>
  <c r="G1410" i="13"/>
  <c r="L1409" i="13"/>
  <c r="G1409" i="13"/>
  <c r="L1408" i="13"/>
  <c r="G1408" i="13"/>
  <c r="L1407" i="13"/>
  <c r="G1407" i="13"/>
  <c r="L1406" i="13"/>
  <c r="G1406" i="13"/>
  <c r="L1405" i="13"/>
  <c r="G1405" i="13"/>
  <c r="L1404" i="13"/>
  <c r="G1404" i="13"/>
  <c r="L1403" i="13"/>
  <c r="G1403" i="13"/>
  <c r="L1402" i="13"/>
  <c r="G1402" i="13"/>
  <c r="L1401" i="13"/>
  <c r="G1401" i="13"/>
  <c r="L1400" i="13"/>
  <c r="G1400" i="13"/>
  <c r="L1399" i="13"/>
  <c r="G1399" i="13"/>
  <c r="L1398" i="13"/>
  <c r="G1398" i="13"/>
  <c r="L1397" i="13"/>
  <c r="G1397" i="13"/>
  <c r="L1396" i="13"/>
  <c r="G1396" i="13"/>
  <c r="L1395" i="13"/>
  <c r="G1395" i="13"/>
  <c r="L1394" i="13"/>
  <c r="G1394" i="13"/>
  <c r="L1393" i="13"/>
  <c r="G1393" i="13"/>
  <c r="L1392" i="13"/>
  <c r="G1392" i="13"/>
  <c r="L1391" i="13"/>
  <c r="G1391" i="13"/>
  <c r="L1390" i="13"/>
  <c r="G1390" i="13"/>
  <c r="L1389" i="13"/>
  <c r="G1389" i="13"/>
  <c r="L1388" i="13"/>
  <c r="G1388" i="13"/>
  <c r="L1387" i="13"/>
  <c r="G1387" i="13"/>
  <c r="L1386" i="13"/>
  <c r="G1386" i="13"/>
  <c r="L1385" i="13"/>
  <c r="G1385" i="13"/>
  <c r="L1384" i="13"/>
  <c r="G1384" i="13"/>
  <c r="L1383" i="13"/>
  <c r="G1383" i="13"/>
  <c r="L1382" i="13"/>
  <c r="G1382" i="13"/>
  <c r="L1381" i="13"/>
  <c r="G1381" i="13"/>
  <c r="L1380" i="13"/>
  <c r="G1380" i="13"/>
  <c r="L1379" i="13"/>
  <c r="G1379" i="13"/>
  <c r="L1378" i="13"/>
  <c r="G1378" i="13"/>
  <c r="L1377" i="13"/>
  <c r="G1377" i="13"/>
  <c r="L1376" i="13"/>
  <c r="G1376" i="13"/>
  <c r="L1375" i="13"/>
  <c r="G1375" i="13"/>
  <c r="L1374" i="13"/>
  <c r="G1374" i="13"/>
  <c r="L1373" i="13"/>
  <c r="G1373" i="13"/>
  <c r="L1372" i="13"/>
  <c r="G1372" i="13"/>
  <c r="L1371" i="13"/>
  <c r="G1371" i="13"/>
  <c r="L1370" i="13"/>
  <c r="G1370" i="13"/>
  <c r="L1369" i="13"/>
  <c r="G1369" i="13"/>
  <c r="L1368" i="13"/>
  <c r="G1368" i="13"/>
  <c r="L1367" i="13"/>
  <c r="G1367" i="13"/>
  <c r="L1366" i="13"/>
  <c r="G1366" i="13"/>
  <c r="L1365" i="13"/>
  <c r="G1365" i="13"/>
  <c r="L1364" i="13"/>
  <c r="G1364" i="13"/>
  <c r="L1363" i="13"/>
  <c r="G1363" i="13"/>
  <c r="L1362" i="13"/>
  <c r="G1362" i="13"/>
  <c r="L1361" i="13"/>
  <c r="G1361" i="13"/>
  <c r="L1360" i="13"/>
  <c r="G1360" i="13"/>
  <c r="L1359" i="13"/>
  <c r="G1359" i="13"/>
  <c r="L1358" i="13"/>
  <c r="G1358" i="13"/>
  <c r="L1357" i="13"/>
  <c r="G1357" i="13"/>
  <c r="L1356" i="13"/>
  <c r="G1356" i="13"/>
  <c r="L1355" i="13"/>
  <c r="G1355" i="13"/>
  <c r="L1354" i="13"/>
  <c r="G1354" i="13"/>
  <c r="L1353" i="13"/>
  <c r="G1353" i="13"/>
  <c r="L1352" i="13"/>
  <c r="G1352" i="13"/>
  <c r="L1351" i="13"/>
  <c r="G1351" i="13"/>
  <c r="L1350" i="13"/>
  <c r="G1350" i="13"/>
  <c r="L1349" i="13"/>
  <c r="G1349" i="13"/>
  <c r="L1348" i="13"/>
  <c r="G1348" i="13"/>
  <c r="L1347" i="13"/>
  <c r="G1347" i="13"/>
  <c r="L1346" i="13"/>
  <c r="G1346" i="13"/>
  <c r="L1345" i="13"/>
  <c r="G1345" i="13"/>
  <c r="L1344" i="13"/>
  <c r="G1344" i="13"/>
  <c r="L1343" i="13"/>
  <c r="G1343" i="13"/>
  <c r="L1342" i="13"/>
  <c r="G1342" i="13"/>
  <c r="L1341" i="13"/>
  <c r="G1341" i="13"/>
  <c r="L1340" i="13"/>
  <c r="G1340" i="13"/>
  <c r="L1339" i="13"/>
  <c r="G1339" i="13"/>
  <c r="L1338" i="13"/>
  <c r="G1338" i="13"/>
  <c r="L1337" i="13"/>
  <c r="G1337" i="13"/>
  <c r="L1336" i="13"/>
  <c r="G1336" i="13"/>
  <c r="L1335" i="13"/>
  <c r="G1335" i="13"/>
  <c r="L1334" i="13"/>
  <c r="G1334" i="13"/>
  <c r="L1333" i="13"/>
  <c r="G1333" i="13"/>
  <c r="L1332" i="13"/>
  <c r="G1332" i="13"/>
  <c r="L1331" i="13"/>
  <c r="G1331" i="13"/>
  <c r="L1330" i="13"/>
  <c r="G1330" i="13"/>
  <c r="L1329" i="13"/>
  <c r="G1329" i="13"/>
  <c r="L1328" i="13"/>
  <c r="G1328" i="13"/>
  <c r="L1327" i="13"/>
  <c r="G1327" i="13"/>
  <c r="L1326" i="13"/>
  <c r="G1326" i="13"/>
  <c r="L1325" i="13"/>
  <c r="G1325" i="13"/>
  <c r="L1324" i="13"/>
  <c r="G1324" i="13"/>
  <c r="L1323" i="13"/>
  <c r="G1323" i="13"/>
  <c r="L1322" i="13"/>
  <c r="G1322" i="13"/>
  <c r="L1321" i="13"/>
  <c r="G1321" i="13"/>
  <c r="L1320" i="13"/>
  <c r="G1320" i="13"/>
  <c r="L1319" i="13"/>
  <c r="G1319" i="13"/>
  <c r="L1318" i="13"/>
  <c r="G1318" i="13"/>
  <c r="L1317" i="13"/>
  <c r="G1317" i="13"/>
  <c r="L1316" i="13"/>
  <c r="G1316" i="13"/>
  <c r="L1315" i="13"/>
  <c r="G1315" i="13"/>
  <c r="L1314" i="13"/>
  <c r="G1314" i="13"/>
  <c r="L1313" i="13"/>
  <c r="G1313" i="13"/>
  <c r="L1312" i="13"/>
  <c r="G1312" i="13"/>
  <c r="L1311" i="13"/>
  <c r="G1311" i="13"/>
  <c r="L1310" i="13"/>
  <c r="G1310" i="13"/>
  <c r="L1309" i="13"/>
  <c r="G1309" i="13"/>
  <c r="L1308" i="13"/>
  <c r="G1308" i="13"/>
  <c r="L1307" i="13"/>
  <c r="G1307" i="13"/>
  <c r="L1306" i="13"/>
  <c r="G1306" i="13"/>
  <c r="L1305" i="13"/>
  <c r="G1305" i="13"/>
  <c r="L1304" i="13"/>
  <c r="G1304" i="13"/>
  <c r="L1303" i="13"/>
  <c r="G1303" i="13"/>
  <c r="L1302" i="13"/>
  <c r="G1302" i="13"/>
  <c r="L1301" i="13"/>
  <c r="G1301" i="13"/>
  <c r="L1300" i="13"/>
  <c r="G1300" i="13"/>
  <c r="L1299" i="13"/>
  <c r="G1299" i="13"/>
  <c r="L1298" i="13"/>
  <c r="G1298" i="13"/>
  <c r="L1297" i="13"/>
  <c r="G1297" i="13"/>
  <c r="L1296" i="13"/>
  <c r="G1296" i="13"/>
  <c r="L1295" i="13"/>
  <c r="G1295" i="13"/>
  <c r="L1294" i="13"/>
  <c r="G1294" i="13"/>
  <c r="L1293" i="13"/>
  <c r="G1293" i="13"/>
  <c r="L1292" i="13"/>
  <c r="G1292" i="13"/>
  <c r="L1291" i="13"/>
  <c r="G1291" i="13"/>
  <c r="L1290" i="13"/>
  <c r="G1290" i="13"/>
  <c r="L1289" i="13"/>
  <c r="G1289" i="13"/>
  <c r="L1288" i="13"/>
  <c r="G1288" i="13"/>
  <c r="L1287" i="13"/>
  <c r="G1287" i="13"/>
  <c r="L1286" i="13"/>
  <c r="G1286" i="13"/>
  <c r="L1285" i="13"/>
  <c r="G1285" i="13"/>
  <c r="L1284" i="13"/>
  <c r="G1284" i="13"/>
  <c r="L1283" i="13"/>
  <c r="G1283" i="13"/>
  <c r="L1282" i="13"/>
  <c r="G1282" i="13"/>
  <c r="L1281" i="13"/>
  <c r="G1281" i="13"/>
  <c r="L1280" i="13"/>
  <c r="G1280" i="13"/>
  <c r="L1279" i="13"/>
  <c r="G1279" i="13"/>
  <c r="L1278" i="13"/>
  <c r="G1278" i="13"/>
  <c r="L1277" i="13"/>
  <c r="G1277" i="13"/>
  <c r="L1276" i="13"/>
  <c r="G1276" i="13"/>
  <c r="L1275" i="13"/>
  <c r="G1275" i="13"/>
  <c r="L1274" i="13"/>
  <c r="G1274" i="13"/>
  <c r="L1273" i="13"/>
  <c r="G1273" i="13"/>
  <c r="L1272" i="13"/>
  <c r="G1272" i="13"/>
  <c r="L1271" i="13"/>
  <c r="G1271" i="13"/>
  <c r="L1270" i="13"/>
  <c r="G1270" i="13"/>
  <c r="L1269" i="13"/>
  <c r="G1269" i="13"/>
  <c r="L1268" i="13"/>
  <c r="G1268" i="13"/>
  <c r="L1267" i="13"/>
  <c r="G1267" i="13"/>
  <c r="L1266" i="13"/>
  <c r="G1266" i="13"/>
  <c r="L1265" i="13"/>
  <c r="G1265" i="13"/>
  <c r="L1264" i="13"/>
  <c r="G1264" i="13"/>
  <c r="L1263" i="13"/>
  <c r="G1263" i="13"/>
  <c r="L1262" i="13"/>
  <c r="G1262" i="13"/>
  <c r="L1261" i="13"/>
  <c r="G1261" i="13"/>
  <c r="L1260" i="13"/>
  <c r="G1260" i="13"/>
  <c r="L1259" i="13"/>
  <c r="G1259" i="13"/>
  <c r="L1258" i="13"/>
  <c r="G1258" i="13"/>
  <c r="L1257" i="13"/>
  <c r="G1257" i="13"/>
  <c r="L1256" i="13"/>
  <c r="G1256" i="13"/>
  <c r="L1255" i="13"/>
  <c r="G1255" i="13"/>
  <c r="L1254" i="13"/>
  <c r="G1254" i="13"/>
  <c r="L1253" i="13"/>
  <c r="G1253" i="13"/>
  <c r="L1252" i="13"/>
  <c r="G1252" i="13"/>
  <c r="L1251" i="13"/>
  <c r="G1251" i="13"/>
  <c r="L1250" i="13"/>
  <c r="G1250" i="13"/>
  <c r="L1249" i="13"/>
  <c r="G1249" i="13"/>
  <c r="L1248" i="13"/>
  <c r="G1248" i="13"/>
  <c r="L1247" i="13"/>
  <c r="G1247" i="13"/>
  <c r="L1246" i="13"/>
  <c r="G1246" i="13"/>
  <c r="L1245" i="13"/>
  <c r="G1245" i="13"/>
  <c r="L1244" i="13"/>
  <c r="G1244" i="13"/>
  <c r="L1243" i="13"/>
  <c r="G1243" i="13"/>
  <c r="L1242" i="13"/>
  <c r="G1242" i="13"/>
  <c r="L1241" i="13"/>
  <c r="G1241" i="13"/>
  <c r="L1240" i="13"/>
  <c r="G1240" i="13"/>
  <c r="L1239" i="13"/>
  <c r="G1239" i="13"/>
  <c r="L1238" i="13"/>
  <c r="G1238" i="13"/>
  <c r="L1237" i="13"/>
  <c r="G1237" i="13"/>
  <c r="L1236" i="13"/>
  <c r="G1236" i="13"/>
  <c r="L1235" i="13"/>
  <c r="G1235" i="13"/>
  <c r="L1234" i="13"/>
  <c r="G1234" i="13"/>
  <c r="L1233" i="13"/>
  <c r="G1233" i="13"/>
  <c r="L1232" i="13"/>
  <c r="G1232" i="13"/>
  <c r="L1231" i="13"/>
  <c r="G1231" i="13"/>
  <c r="L1230" i="13"/>
  <c r="G1230" i="13"/>
  <c r="L1229" i="13"/>
  <c r="G1229" i="13"/>
  <c r="L1228" i="13"/>
  <c r="G1228" i="13"/>
  <c r="L1227" i="13"/>
  <c r="G1227" i="13"/>
  <c r="L1226" i="13"/>
  <c r="G1226" i="13"/>
  <c r="L1225" i="13"/>
  <c r="G1225" i="13"/>
  <c r="L1224" i="13"/>
  <c r="G1224" i="13"/>
  <c r="L1223" i="13"/>
  <c r="G1223" i="13"/>
  <c r="L1222" i="13"/>
  <c r="G1222" i="13"/>
  <c r="L1221" i="13"/>
  <c r="G1221" i="13"/>
  <c r="L1220" i="13"/>
  <c r="G1220" i="13"/>
  <c r="L1219" i="13"/>
  <c r="G1219" i="13"/>
  <c r="L1218" i="13"/>
  <c r="G1218" i="13"/>
  <c r="L1217" i="13"/>
  <c r="G1217" i="13"/>
  <c r="L1216" i="13"/>
  <c r="G1216" i="13"/>
  <c r="L1215" i="13"/>
  <c r="G1215" i="13"/>
  <c r="L1214" i="13"/>
  <c r="G1214" i="13"/>
  <c r="L1213" i="13"/>
  <c r="G1213" i="13"/>
  <c r="L1212" i="13"/>
  <c r="G1212" i="13"/>
  <c r="L1211" i="13"/>
  <c r="G1211" i="13"/>
  <c r="L1210" i="13"/>
  <c r="G1210" i="13"/>
  <c r="L1209" i="13"/>
  <c r="G1209" i="13"/>
  <c r="L1208" i="13"/>
  <c r="G1208" i="13"/>
  <c r="L1207" i="13"/>
  <c r="G1207" i="13"/>
  <c r="L1206" i="13"/>
  <c r="G1206" i="13"/>
  <c r="L1205" i="13"/>
  <c r="G1205" i="13"/>
  <c r="L1204" i="13"/>
  <c r="G1204" i="13"/>
  <c r="L1203" i="13"/>
  <c r="G1203" i="13"/>
  <c r="L1202" i="13"/>
  <c r="G1202" i="13"/>
  <c r="L1201" i="13"/>
  <c r="G1201" i="13"/>
  <c r="L1200" i="13"/>
  <c r="G1200" i="13"/>
  <c r="L1199" i="13"/>
  <c r="G1199" i="13"/>
  <c r="L1198" i="13"/>
  <c r="G1198" i="13"/>
  <c r="L1197" i="13"/>
  <c r="G1197" i="13"/>
  <c r="L1196" i="13"/>
  <c r="G1196" i="13"/>
  <c r="L1195" i="13"/>
  <c r="G1195" i="13"/>
  <c r="L1194" i="13"/>
  <c r="G1194" i="13"/>
  <c r="L1193" i="13"/>
  <c r="G1193" i="13"/>
  <c r="L1192" i="13"/>
  <c r="G1192" i="13"/>
  <c r="L1191" i="13"/>
  <c r="G1191" i="13"/>
  <c r="L1190" i="13"/>
  <c r="G1190" i="13"/>
  <c r="L1189" i="13"/>
  <c r="G1189" i="13"/>
  <c r="L1188" i="13"/>
  <c r="G1188" i="13"/>
  <c r="L1187" i="13"/>
  <c r="G1187" i="13"/>
  <c r="L1186" i="13"/>
  <c r="G1186" i="13"/>
  <c r="L1185" i="13"/>
  <c r="G1185" i="13"/>
  <c r="L1184" i="13"/>
  <c r="G1184" i="13"/>
  <c r="L1183" i="13"/>
  <c r="G1183" i="13"/>
  <c r="L1182" i="13"/>
  <c r="G1182" i="13"/>
  <c r="L1181" i="13"/>
  <c r="G1181" i="13"/>
  <c r="L1180" i="13"/>
  <c r="G1180" i="13"/>
  <c r="L1179" i="13"/>
  <c r="G1179" i="13"/>
  <c r="L1178" i="13"/>
  <c r="G1178" i="13"/>
  <c r="L1177" i="13"/>
  <c r="G1177" i="13"/>
  <c r="L1176" i="13"/>
  <c r="G1176" i="13"/>
  <c r="L1175" i="13"/>
  <c r="G1175" i="13"/>
  <c r="L1174" i="13"/>
  <c r="G1174" i="13"/>
  <c r="L1173" i="13"/>
  <c r="G1173" i="13"/>
  <c r="L1172" i="13"/>
  <c r="G1172" i="13"/>
  <c r="L1171" i="13"/>
  <c r="G1171" i="13"/>
  <c r="L1170" i="13"/>
  <c r="G1170" i="13"/>
  <c r="L1169" i="13"/>
  <c r="G1169" i="13"/>
  <c r="L1168" i="13"/>
  <c r="G1168" i="13"/>
  <c r="L1167" i="13"/>
  <c r="G1167" i="13"/>
  <c r="L1166" i="13"/>
  <c r="G1166" i="13"/>
  <c r="L1165" i="13"/>
  <c r="G1165" i="13"/>
  <c r="L1164" i="13"/>
  <c r="G1164" i="13"/>
  <c r="L1163" i="13"/>
  <c r="G1163" i="13"/>
  <c r="L1162" i="13"/>
  <c r="G1162" i="13"/>
  <c r="L1161" i="13"/>
  <c r="G1161" i="13"/>
  <c r="L1160" i="13"/>
  <c r="G1160" i="13"/>
  <c r="L1159" i="13"/>
  <c r="G1159" i="13"/>
  <c r="L1158" i="13"/>
  <c r="G1158" i="13"/>
  <c r="L1157" i="13"/>
  <c r="G1157" i="13"/>
  <c r="L1156" i="13"/>
  <c r="G1156" i="13"/>
  <c r="L1155" i="13"/>
  <c r="G1155" i="13"/>
  <c r="L1154" i="13"/>
  <c r="G1154" i="13"/>
  <c r="L1153" i="13"/>
  <c r="G1153" i="13"/>
  <c r="L1152" i="13"/>
  <c r="G1152" i="13"/>
  <c r="L1151" i="13"/>
  <c r="G1151" i="13"/>
  <c r="L1150" i="13"/>
  <c r="G1150" i="13"/>
  <c r="L1149" i="13"/>
  <c r="G1149" i="13"/>
  <c r="L1148" i="13"/>
  <c r="G1148" i="13"/>
  <c r="L1147" i="13"/>
  <c r="G1147" i="13"/>
  <c r="L1146" i="13"/>
  <c r="G1146" i="13"/>
  <c r="L1145" i="13"/>
  <c r="G1145" i="13"/>
  <c r="L1144" i="13"/>
  <c r="G1144" i="13"/>
  <c r="L1143" i="13"/>
  <c r="G1143" i="13"/>
  <c r="L1142" i="13"/>
  <c r="G1142" i="13"/>
  <c r="L1141" i="13"/>
  <c r="G1141" i="13"/>
  <c r="L1140" i="13"/>
  <c r="G1140" i="13"/>
  <c r="L1139" i="13"/>
  <c r="G1139" i="13"/>
  <c r="L1138" i="13"/>
  <c r="G1138" i="13"/>
  <c r="L1137" i="13"/>
  <c r="G1137" i="13"/>
  <c r="L1136" i="13"/>
  <c r="G1136" i="13"/>
  <c r="L1135" i="13"/>
  <c r="G1135" i="13"/>
  <c r="L1134" i="13"/>
  <c r="G1134" i="13"/>
  <c r="L1133" i="13"/>
  <c r="G1133" i="13"/>
  <c r="L1132" i="13"/>
  <c r="G1132" i="13"/>
  <c r="L1131" i="13"/>
  <c r="G1131" i="13"/>
  <c r="L1130" i="13"/>
  <c r="G1130" i="13"/>
  <c r="L1129" i="13"/>
  <c r="G1129" i="13"/>
  <c r="L1128" i="13"/>
  <c r="G1128" i="13"/>
  <c r="L1127" i="13"/>
  <c r="G1127" i="13"/>
  <c r="L1126" i="13"/>
  <c r="G1126" i="13"/>
  <c r="L1125" i="13"/>
  <c r="G1125" i="13"/>
  <c r="L1124" i="13"/>
  <c r="G1124" i="13"/>
  <c r="L1123" i="13"/>
  <c r="G1123" i="13"/>
  <c r="L1122" i="13"/>
  <c r="G1122" i="13"/>
  <c r="L1121" i="13"/>
  <c r="G1121" i="13"/>
  <c r="L1120" i="13"/>
  <c r="G1120" i="13"/>
  <c r="L1119" i="13"/>
  <c r="G1119" i="13"/>
  <c r="L1118" i="13"/>
  <c r="G1118" i="13"/>
  <c r="L1117" i="13"/>
  <c r="G1117" i="13"/>
  <c r="L1116" i="13"/>
  <c r="G1116" i="13"/>
  <c r="L1115" i="13"/>
  <c r="G1115" i="13"/>
  <c r="L1114" i="13"/>
  <c r="G1114" i="13"/>
  <c r="L1113" i="13"/>
  <c r="G1113" i="13"/>
  <c r="L1112" i="13"/>
  <c r="G1112" i="13"/>
  <c r="L1111" i="13"/>
  <c r="G1111" i="13"/>
  <c r="L1110" i="13"/>
  <c r="G1110" i="13"/>
  <c r="L1109" i="13"/>
  <c r="G1109" i="13"/>
  <c r="L1108" i="13"/>
  <c r="G1108" i="13"/>
  <c r="L1107" i="13"/>
  <c r="G1107" i="13"/>
  <c r="L1106" i="13"/>
  <c r="G1106" i="13"/>
  <c r="L1105" i="13"/>
  <c r="G1105" i="13"/>
  <c r="L1104" i="13"/>
  <c r="G1104" i="13"/>
  <c r="L1103" i="13"/>
  <c r="G1103" i="13"/>
  <c r="L1102" i="13"/>
  <c r="G1102" i="13"/>
  <c r="L1101" i="13"/>
  <c r="G1101" i="13"/>
  <c r="L1100" i="13"/>
  <c r="G1100" i="13"/>
  <c r="L1099" i="13"/>
  <c r="G1099" i="13"/>
  <c r="L1098" i="13"/>
  <c r="G1098" i="13"/>
  <c r="L1097" i="13"/>
  <c r="G1097" i="13"/>
  <c r="L1096" i="13"/>
  <c r="G1096" i="13"/>
  <c r="L1095" i="13"/>
  <c r="G1095" i="13"/>
  <c r="L1094" i="13"/>
  <c r="G1094" i="13"/>
  <c r="L1093" i="13"/>
  <c r="G1093" i="13"/>
  <c r="L1092" i="13"/>
  <c r="G1092" i="13"/>
  <c r="L1091" i="13"/>
  <c r="G1091" i="13"/>
  <c r="L1090" i="13"/>
  <c r="G1090" i="13"/>
  <c r="L1089" i="13"/>
  <c r="G1089" i="13"/>
  <c r="L1088" i="13"/>
  <c r="G1088" i="13"/>
  <c r="L1087" i="13"/>
  <c r="G1087" i="13"/>
  <c r="L1086" i="13"/>
  <c r="G1086" i="13"/>
  <c r="L1085" i="13"/>
  <c r="G1085" i="13"/>
  <c r="L1084" i="13"/>
  <c r="G1084" i="13"/>
  <c r="L1083" i="13"/>
  <c r="G1083" i="13"/>
  <c r="L1082" i="13"/>
  <c r="G1082" i="13"/>
  <c r="L1081" i="13"/>
  <c r="G1081" i="13"/>
  <c r="L1080" i="13"/>
  <c r="G1080" i="13"/>
  <c r="L1079" i="13"/>
  <c r="G1079" i="13"/>
  <c r="L1078" i="13"/>
  <c r="G1078" i="13"/>
  <c r="L1077" i="13"/>
  <c r="G1077" i="13"/>
  <c r="L1076" i="13"/>
  <c r="G1076" i="13"/>
  <c r="L1075" i="13"/>
  <c r="G1075" i="13"/>
  <c r="L1074" i="13"/>
  <c r="G1074" i="13"/>
  <c r="L1073" i="13"/>
  <c r="G1073" i="13"/>
  <c r="L1072" i="13"/>
  <c r="G1072" i="13"/>
  <c r="L1071" i="13"/>
  <c r="G1071" i="13"/>
  <c r="L1070" i="13"/>
  <c r="G1070" i="13"/>
  <c r="L1069" i="13"/>
  <c r="G1069" i="13"/>
  <c r="L1068" i="13"/>
  <c r="G1068" i="13"/>
  <c r="L1067" i="13"/>
  <c r="G1067" i="13"/>
  <c r="L1066" i="13"/>
  <c r="G1066" i="13"/>
  <c r="L1065" i="13"/>
  <c r="G1065" i="13"/>
  <c r="L1064" i="13"/>
  <c r="G1064" i="13"/>
  <c r="L1063" i="13"/>
  <c r="G1063" i="13"/>
  <c r="L1062" i="13"/>
  <c r="G1062" i="13"/>
  <c r="L1061" i="13"/>
  <c r="G1061" i="13"/>
  <c r="L1060" i="13"/>
  <c r="G1060" i="13"/>
  <c r="L1059" i="13"/>
  <c r="G1059" i="13"/>
  <c r="L1058" i="13"/>
  <c r="G1058" i="13"/>
  <c r="L1057" i="13"/>
  <c r="G1057" i="13"/>
  <c r="L1056" i="13"/>
  <c r="G1056" i="13"/>
  <c r="L1055" i="13"/>
  <c r="G1055" i="13"/>
  <c r="L1054" i="13"/>
  <c r="G1054" i="13"/>
  <c r="L1053" i="13"/>
  <c r="G1053" i="13"/>
  <c r="L1052" i="13"/>
  <c r="G1052" i="13"/>
  <c r="L1051" i="13"/>
  <c r="G1051" i="13"/>
  <c r="L1050" i="13"/>
  <c r="G1050" i="13"/>
  <c r="L1049" i="13"/>
  <c r="G1049" i="13"/>
  <c r="L1048" i="13"/>
  <c r="G1048" i="13"/>
  <c r="L1047" i="13"/>
  <c r="G1047" i="13"/>
  <c r="L1046" i="13"/>
  <c r="G1046" i="13"/>
  <c r="L1045" i="13"/>
  <c r="G1045" i="13"/>
  <c r="L1044" i="13"/>
  <c r="G1044" i="13"/>
  <c r="L1043" i="13"/>
  <c r="G1043" i="13"/>
  <c r="L1042" i="13"/>
  <c r="G1042" i="13"/>
  <c r="L1041" i="13"/>
  <c r="G1041" i="13"/>
  <c r="L1040" i="13"/>
  <c r="G1040" i="13"/>
  <c r="L1039" i="13"/>
  <c r="G1039" i="13"/>
  <c r="L1038" i="13"/>
  <c r="G1038" i="13"/>
  <c r="L1037" i="13"/>
  <c r="G1037" i="13"/>
  <c r="L1036" i="13"/>
  <c r="G1036" i="13"/>
  <c r="L1035" i="13"/>
  <c r="G1035" i="13"/>
  <c r="L1034" i="13"/>
  <c r="G1034" i="13"/>
  <c r="L1033" i="13"/>
  <c r="G1033" i="13"/>
  <c r="L1032" i="13"/>
  <c r="G1032" i="13"/>
  <c r="L1031" i="13"/>
  <c r="G1031" i="13"/>
  <c r="L1030" i="13"/>
  <c r="G1030" i="13"/>
  <c r="L1029" i="13"/>
  <c r="G1029" i="13"/>
  <c r="L1028" i="13"/>
  <c r="G1028" i="13"/>
  <c r="L1027" i="13"/>
  <c r="G1027" i="13"/>
  <c r="L1026" i="13"/>
  <c r="G1026" i="13"/>
  <c r="L1025" i="13"/>
  <c r="G1025" i="13"/>
  <c r="L1024" i="13"/>
  <c r="G1024" i="13"/>
  <c r="L1023" i="13"/>
  <c r="G1023" i="13"/>
  <c r="L1022" i="13"/>
  <c r="G1022" i="13"/>
  <c r="L1021" i="13"/>
  <c r="G1021" i="13"/>
  <c r="L1020" i="13"/>
  <c r="G1020" i="13"/>
  <c r="L1019" i="13"/>
  <c r="G1019" i="13"/>
  <c r="L1018" i="13"/>
  <c r="G1018" i="13"/>
  <c r="L1017" i="13"/>
  <c r="G1017" i="13"/>
  <c r="L1016" i="13"/>
  <c r="G1016" i="13"/>
  <c r="L1015" i="13"/>
  <c r="G1015" i="13"/>
  <c r="L1014" i="13"/>
  <c r="G1014" i="13"/>
  <c r="L1013" i="13"/>
  <c r="G1013" i="13"/>
  <c r="L1012" i="13"/>
  <c r="G1012" i="13"/>
  <c r="L1011" i="13"/>
  <c r="G1011" i="13"/>
  <c r="L1010" i="13"/>
  <c r="G1010" i="13"/>
  <c r="L1009" i="13"/>
  <c r="G1009" i="13"/>
  <c r="L1008" i="13"/>
  <c r="G1008" i="13"/>
  <c r="L1007" i="13"/>
  <c r="G1007" i="13"/>
  <c r="L1006" i="13"/>
  <c r="G1006" i="13"/>
  <c r="L1005" i="13"/>
  <c r="G1005" i="13"/>
  <c r="L1004" i="13"/>
  <c r="G1004" i="13"/>
  <c r="L1003" i="13"/>
  <c r="G1003" i="13"/>
  <c r="L1002" i="13"/>
  <c r="G1002" i="13"/>
  <c r="L1001" i="13"/>
  <c r="G1001" i="13"/>
  <c r="L1000" i="13"/>
  <c r="G1000" i="13"/>
  <c r="L999" i="13"/>
  <c r="G999" i="13"/>
  <c r="L998" i="13"/>
  <c r="G998" i="13"/>
  <c r="L997" i="13"/>
  <c r="G997" i="13"/>
  <c r="L996" i="13"/>
  <c r="G996" i="13"/>
  <c r="L995" i="13"/>
  <c r="G995" i="13"/>
  <c r="L994" i="13"/>
  <c r="G994" i="13"/>
  <c r="L993" i="13"/>
  <c r="G993" i="13"/>
  <c r="L992" i="13"/>
  <c r="G992" i="13"/>
  <c r="L991" i="13"/>
  <c r="G991" i="13"/>
  <c r="L990" i="13"/>
  <c r="G990" i="13"/>
  <c r="L989" i="13"/>
  <c r="G989" i="13"/>
  <c r="L988" i="13"/>
  <c r="G988" i="13"/>
  <c r="L987" i="13"/>
  <c r="G987" i="13"/>
  <c r="L986" i="13"/>
  <c r="G986" i="13"/>
  <c r="L985" i="13"/>
  <c r="G985" i="13"/>
  <c r="L984" i="13"/>
  <c r="G984" i="13"/>
  <c r="L983" i="13"/>
  <c r="G983" i="13"/>
  <c r="L982" i="13"/>
  <c r="G982" i="13"/>
  <c r="L981" i="13"/>
  <c r="G981" i="13"/>
  <c r="L980" i="13"/>
  <c r="G980" i="13"/>
  <c r="L979" i="13"/>
  <c r="G979" i="13"/>
  <c r="L978" i="13"/>
  <c r="G978" i="13"/>
  <c r="L977" i="13"/>
  <c r="G977" i="13"/>
  <c r="L976" i="13"/>
  <c r="G976" i="13"/>
  <c r="L975" i="13"/>
  <c r="G975" i="13"/>
  <c r="L974" i="13"/>
  <c r="G974" i="13"/>
  <c r="L973" i="13"/>
  <c r="G973" i="13"/>
  <c r="L972" i="13"/>
  <c r="G972" i="13"/>
  <c r="L971" i="13"/>
  <c r="G971" i="13"/>
  <c r="L970" i="13"/>
  <c r="G970" i="13"/>
  <c r="L969" i="13"/>
  <c r="G969" i="13"/>
  <c r="L968" i="13"/>
  <c r="G968" i="13"/>
  <c r="L967" i="13"/>
  <c r="G967" i="13"/>
  <c r="L966" i="13"/>
  <c r="G966" i="13"/>
  <c r="L965" i="13"/>
  <c r="G965" i="13"/>
  <c r="L964" i="13"/>
  <c r="G964" i="13"/>
  <c r="L963" i="13"/>
  <c r="G963" i="13"/>
  <c r="L962" i="13"/>
  <c r="G962" i="13"/>
  <c r="L961" i="13"/>
  <c r="G961" i="13"/>
  <c r="L960" i="13"/>
  <c r="G960" i="13"/>
  <c r="L959" i="13"/>
  <c r="G959" i="13"/>
  <c r="L958" i="13"/>
  <c r="G958" i="13"/>
  <c r="L957" i="13"/>
  <c r="G957" i="13"/>
  <c r="L956" i="13"/>
  <c r="G956" i="13"/>
  <c r="L955" i="13"/>
  <c r="G955" i="13"/>
  <c r="L954" i="13"/>
  <c r="G954" i="13"/>
  <c r="L953" i="13"/>
  <c r="G953" i="13"/>
  <c r="L952" i="13"/>
  <c r="G952" i="13"/>
  <c r="L951" i="13"/>
  <c r="G951" i="13"/>
  <c r="L950" i="13"/>
  <c r="G950" i="13"/>
  <c r="L949" i="13"/>
  <c r="G949" i="13"/>
  <c r="L948" i="13"/>
  <c r="G948" i="13"/>
  <c r="L947" i="13"/>
  <c r="G947" i="13"/>
  <c r="L946" i="13"/>
  <c r="G946" i="13"/>
  <c r="L945" i="13"/>
  <c r="G945" i="13"/>
  <c r="L944" i="13"/>
  <c r="G944" i="13"/>
  <c r="L943" i="13"/>
  <c r="G943" i="13"/>
  <c r="L942" i="13"/>
  <c r="G942" i="13"/>
  <c r="L941" i="13"/>
  <c r="G941" i="13"/>
  <c r="L940" i="13"/>
  <c r="G940" i="13"/>
  <c r="L939" i="13"/>
  <c r="G939" i="13"/>
  <c r="L938" i="13"/>
  <c r="G938" i="13"/>
  <c r="L937" i="13"/>
  <c r="G937" i="13"/>
  <c r="L936" i="13"/>
  <c r="G936" i="13"/>
  <c r="L935" i="13"/>
  <c r="G935" i="13"/>
  <c r="L934" i="13"/>
  <c r="G934" i="13"/>
  <c r="L933" i="13"/>
  <c r="G933" i="13"/>
  <c r="L932" i="13"/>
  <c r="G932" i="13"/>
  <c r="L931" i="13"/>
  <c r="G931" i="13"/>
  <c r="L930" i="13"/>
  <c r="G930" i="13"/>
  <c r="L929" i="13"/>
  <c r="G929" i="13"/>
  <c r="L928" i="13"/>
  <c r="G928" i="13"/>
  <c r="L927" i="13"/>
  <c r="G927" i="13"/>
  <c r="L926" i="13"/>
  <c r="G926" i="13"/>
  <c r="L925" i="13"/>
  <c r="G925" i="13"/>
  <c r="L924" i="13"/>
  <c r="G924" i="13"/>
  <c r="L923" i="13"/>
  <c r="G923" i="13"/>
  <c r="L922" i="13"/>
  <c r="G922" i="13"/>
  <c r="L921" i="13"/>
  <c r="G921" i="13"/>
  <c r="L920" i="13"/>
  <c r="G920" i="13"/>
  <c r="L919" i="13"/>
  <c r="G919" i="13"/>
  <c r="L918" i="13"/>
  <c r="G918" i="13"/>
  <c r="L917" i="13"/>
  <c r="G917" i="13"/>
  <c r="L916" i="13"/>
  <c r="G916" i="13"/>
  <c r="L915" i="13"/>
  <c r="G915" i="13"/>
  <c r="L914" i="13"/>
  <c r="G914" i="13"/>
  <c r="L913" i="13"/>
  <c r="G913" i="13"/>
  <c r="L912" i="13"/>
  <c r="G912" i="13"/>
  <c r="L911" i="13"/>
  <c r="G911" i="13"/>
  <c r="L910" i="13"/>
  <c r="G910" i="13"/>
  <c r="L909" i="13"/>
  <c r="G909" i="13"/>
  <c r="L908" i="13"/>
  <c r="G908" i="13"/>
  <c r="L907" i="13"/>
  <c r="G907" i="13"/>
  <c r="L906" i="13"/>
  <c r="G906" i="13"/>
  <c r="L905" i="13"/>
  <c r="G905" i="13"/>
  <c r="L904" i="13"/>
  <c r="G904" i="13"/>
  <c r="L903" i="13"/>
  <c r="G903" i="13"/>
  <c r="L902" i="13"/>
  <c r="G902" i="13"/>
  <c r="L901" i="13"/>
  <c r="G901" i="13"/>
  <c r="L900" i="13"/>
  <c r="G900" i="13"/>
  <c r="L899" i="13"/>
  <c r="G899" i="13"/>
  <c r="L898" i="13"/>
  <c r="G898" i="13"/>
  <c r="L897" i="13"/>
  <c r="G897" i="13"/>
  <c r="L896" i="13"/>
  <c r="G896" i="13"/>
  <c r="L895" i="13"/>
  <c r="G895" i="13"/>
  <c r="L894" i="13"/>
  <c r="G894" i="13"/>
  <c r="L893" i="13"/>
  <c r="G893" i="13"/>
  <c r="L892" i="13"/>
  <c r="G892" i="13"/>
  <c r="L891" i="13"/>
  <c r="G891" i="13"/>
  <c r="L890" i="13"/>
  <c r="G890" i="13"/>
  <c r="L889" i="13"/>
  <c r="G889" i="13"/>
  <c r="L888" i="13"/>
  <c r="G888" i="13"/>
  <c r="L887" i="13"/>
  <c r="G887" i="13"/>
  <c r="L886" i="13"/>
  <c r="G886" i="13"/>
  <c r="L885" i="13"/>
  <c r="G885" i="13"/>
  <c r="L884" i="13"/>
  <c r="G884" i="13"/>
  <c r="L883" i="13"/>
  <c r="G883" i="13"/>
  <c r="L882" i="13"/>
  <c r="G882" i="13"/>
  <c r="L881" i="13"/>
  <c r="G881" i="13"/>
  <c r="L880" i="13"/>
  <c r="G880" i="13"/>
  <c r="L879" i="13"/>
  <c r="G879" i="13"/>
  <c r="L878" i="13"/>
  <c r="G878" i="13"/>
  <c r="L877" i="13"/>
  <c r="G877" i="13"/>
  <c r="L876" i="13"/>
  <c r="G876" i="13"/>
  <c r="L875" i="13"/>
  <c r="G875" i="13"/>
  <c r="L874" i="13"/>
  <c r="G874" i="13"/>
  <c r="L873" i="13"/>
  <c r="G873" i="13"/>
  <c r="L872" i="13"/>
  <c r="G872" i="13"/>
  <c r="L871" i="13"/>
  <c r="G871" i="13"/>
  <c r="L870" i="13"/>
  <c r="G870" i="13"/>
  <c r="L869" i="13"/>
  <c r="G869" i="13"/>
  <c r="L868" i="13"/>
  <c r="G868" i="13"/>
  <c r="L867" i="13"/>
  <c r="G867" i="13"/>
  <c r="L866" i="13"/>
  <c r="G866" i="13"/>
  <c r="L865" i="13"/>
  <c r="G865" i="13"/>
  <c r="L864" i="13"/>
  <c r="G864" i="13"/>
  <c r="L863" i="13"/>
  <c r="G863" i="13"/>
  <c r="L862" i="13"/>
  <c r="G862" i="13"/>
  <c r="L861" i="13"/>
  <c r="G861" i="13"/>
  <c r="L860" i="13"/>
  <c r="G860" i="13"/>
  <c r="L859" i="13"/>
  <c r="G859" i="13"/>
  <c r="L858" i="13"/>
  <c r="G858" i="13"/>
  <c r="L857" i="13"/>
  <c r="G857" i="13"/>
  <c r="L856" i="13"/>
  <c r="G856" i="13"/>
  <c r="L855" i="13"/>
  <c r="G855" i="13"/>
  <c r="L854" i="13"/>
  <c r="G854" i="13"/>
  <c r="L853" i="13"/>
  <c r="G853" i="13"/>
  <c r="L852" i="13"/>
  <c r="G852" i="13"/>
  <c r="L851" i="13"/>
  <c r="G851" i="13"/>
  <c r="L850" i="13"/>
  <c r="G850" i="13"/>
  <c r="L849" i="13"/>
  <c r="G849" i="13"/>
  <c r="L848" i="13"/>
  <c r="G848" i="13"/>
  <c r="L847" i="13"/>
  <c r="G847" i="13"/>
  <c r="L846" i="13"/>
  <c r="G846" i="13"/>
  <c r="L845" i="13"/>
  <c r="G845" i="13"/>
  <c r="L844" i="13"/>
  <c r="G844" i="13"/>
  <c r="L843" i="13"/>
  <c r="G843" i="13"/>
  <c r="L842" i="13"/>
  <c r="G842" i="13"/>
  <c r="L841" i="13"/>
  <c r="G841" i="13"/>
  <c r="L840" i="13"/>
  <c r="G840" i="13"/>
  <c r="L839" i="13"/>
  <c r="G839" i="13"/>
  <c r="L838" i="13"/>
  <c r="G838" i="13"/>
  <c r="L837" i="13"/>
  <c r="G837" i="13"/>
  <c r="L836" i="13"/>
  <c r="G836" i="13"/>
  <c r="L835" i="13"/>
  <c r="G835" i="13"/>
  <c r="L834" i="13"/>
  <c r="G834" i="13"/>
  <c r="L833" i="13"/>
  <c r="G833" i="13"/>
  <c r="L832" i="13"/>
  <c r="G832" i="13"/>
  <c r="L831" i="13"/>
  <c r="G831" i="13"/>
  <c r="L830" i="13"/>
  <c r="G830" i="13"/>
  <c r="L829" i="13"/>
  <c r="G829" i="13"/>
  <c r="L828" i="13"/>
  <c r="G828" i="13"/>
  <c r="L827" i="13"/>
  <c r="G827" i="13"/>
  <c r="L826" i="13"/>
  <c r="G826" i="13"/>
  <c r="L825" i="13"/>
  <c r="G825" i="13"/>
  <c r="L824" i="13"/>
  <c r="G824" i="13"/>
  <c r="L823" i="13"/>
  <c r="G823" i="13"/>
  <c r="L822" i="13"/>
  <c r="G822" i="13"/>
  <c r="L821" i="13"/>
  <c r="G821" i="13"/>
  <c r="L820" i="13"/>
  <c r="G820" i="13"/>
  <c r="L819" i="13"/>
  <c r="G819" i="13"/>
  <c r="L818" i="13"/>
  <c r="G818" i="13"/>
  <c r="L817" i="13"/>
  <c r="G817" i="13"/>
  <c r="L816" i="13"/>
  <c r="G816" i="13"/>
  <c r="L815" i="13"/>
  <c r="G815" i="13"/>
  <c r="L814" i="13"/>
  <c r="G814" i="13"/>
  <c r="L813" i="13"/>
  <c r="G813" i="13"/>
  <c r="L812" i="13"/>
  <c r="G812" i="13"/>
  <c r="L811" i="13"/>
  <c r="G811" i="13"/>
  <c r="L810" i="13"/>
  <c r="G810" i="13"/>
  <c r="L809" i="13"/>
  <c r="G809" i="13"/>
  <c r="L808" i="13"/>
  <c r="G808" i="13"/>
  <c r="L807" i="13"/>
  <c r="G807" i="13"/>
  <c r="L806" i="13"/>
  <c r="G806" i="13"/>
  <c r="L805" i="13"/>
  <c r="G805" i="13"/>
  <c r="L804" i="13"/>
  <c r="G804" i="13"/>
  <c r="L803" i="13"/>
  <c r="G803" i="13"/>
  <c r="L802" i="13"/>
  <c r="G802" i="13"/>
  <c r="L801" i="13"/>
  <c r="G801" i="13"/>
  <c r="L800" i="13"/>
  <c r="G800" i="13"/>
  <c r="L799" i="13"/>
  <c r="G799" i="13"/>
  <c r="L798" i="13"/>
  <c r="G798" i="13"/>
  <c r="L797" i="13"/>
  <c r="G797" i="13"/>
  <c r="L796" i="13"/>
  <c r="G796" i="13"/>
  <c r="L795" i="13"/>
  <c r="G795" i="13"/>
  <c r="L794" i="13"/>
  <c r="G794" i="13"/>
  <c r="L793" i="13"/>
  <c r="G793" i="13"/>
  <c r="L792" i="13"/>
  <c r="G792" i="13"/>
  <c r="L791" i="13"/>
  <c r="G791" i="13"/>
  <c r="L790" i="13"/>
  <c r="G790" i="13"/>
  <c r="L789" i="13"/>
  <c r="G789" i="13"/>
  <c r="L788" i="13"/>
  <c r="G788" i="13"/>
  <c r="L787" i="13"/>
  <c r="G787" i="13"/>
  <c r="L786" i="13"/>
  <c r="G786" i="13"/>
  <c r="L785" i="13"/>
  <c r="G785" i="13"/>
  <c r="L784" i="13"/>
  <c r="G784" i="13"/>
  <c r="L783" i="13"/>
  <c r="G783" i="13"/>
  <c r="L782" i="13"/>
  <c r="G782" i="13"/>
  <c r="L781" i="13"/>
  <c r="G781" i="13"/>
  <c r="L780" i="13"/>
  <c r="G780" i="13"/>
  <c r="L779" i="13"/>
  <c r="G779" i="13"/>
  <c r="L778" i="13"/>
  <c r="G778" i="13"/>
  <c r="L777" i="13"/>
  <c r="G777" i="13"/>
  <c r="L776" i="13"/>
  <c r="G776" i="13"/>
  <c r="L775" i="13"/>
  <c r="G775" i="13"/>
  <c r="L774" i="13"/>
  <c r="G774" i="13"/>
  <c r="L773" i="13"/>
  <c r="G773" i="13"/>
  <c r="L772" i="13"/>
  <c r="G772" i="13"/>
  <c r="L771" i="13"/>
  <c r="G771" i="13"/>
  <c r="L770" i="13"/>
  <c r="G770" i="13"/>
  <c r="L769" i="13"/>
  <c r="G769" i="13"/>
  <c r="L768" i="13"/>
  <c r="G768" i="13"/>
  <c r="L767" i="13"/>
  <c r="G767" i="13"/>
  <c r="L766" i="13"/>
  <c r="G766" i="13"/>
  <c r="L765" i="13"/>
  <c r="G765" i="13"/>
  <c r="L764" i="13"/>
  <c r="G764" i="13"/>
  <c r="L763" i="13"/>
  <c r="G763" i="13"/>
  <c r="L762" i="13"/>
  <c r="G762" i="13"/>
  <c r="L761" i="13"/>
  <c r="G761" i="13"/>
  <c r="L760" i="13"/>
  <c r="G760" i="13"/>
  <c r="L759" i="13"/>
  <c r="G759" i="13"/>
  <c r="L758" i="13"/>
  <c r="G758" i="13"/>
  <c r="L757" i="13"/>
  <c r="G757" i="13"/>
  <c r="L756" i="13"/>
  <c r="G756" i="13"/>
  <c r="L755" i="13"/>
  <c r="G755" i="13"/>
  <c r="L754" i="13"/>
  <c r="G754" i="13"/>
  <c r="L753" i="13"/>
  <c r="G753" i="13"/>
  <c r="L752" i="13"/>
  <c r="G752" i="13"/>
  <c r="L751" i="13"/>
  <c r="G751" i="13"/>
  <c r="L750" i="13"/>
  <c r="G750" i="13"/>
  <c r="L749" i="13"/>
  <c r="G749" i="13"/>
  <c r="L748" i="13"/>
  <c r="G748" i="13"/>
  <c r="L747" i="13"/>
  <c r="G747" i="13"/>
  <c r="L746" i="13"/>
  <c r="G746" i="13"/>
  <c r="L745" i="13"/>
  <c r="G745" i="13"/>
  <c r="L744" i="13"/>
  <c r="G744" i="13"/>
  <c r="L743" i="13"/>
  <c r="G743" i="13"/>
  <c r="L742" i="13"/>
  <c r="G742" i="13"/>
  <c r="L741" i="13"/>
  <c r="G741" i="13"/>
  <c r="L740" i="13"/>
  <c r="G740" i="13"/>
  <c r="L739" i="13"/>
  <c r="G739" i="13"/>
  <c r="L738" i="13"/>
  <c r="G738" i="13"/>
  <c r="L737" i="13"/>
  <c r="G737" i="13"/>
  <c r="L736" i="13"/>
  <c r="G736" i="13"/>
  <c r="L735" i="13"/>
  <c r="G735" i="13"/>
  <c r="L734" i="13"/>
  <c r="G734" i="13"/>
  <c r="L733" i="13"/>
  <c r="G733" i="13"/>
  <c r="L732" i="13"/>
  <c r="G732" i="13"/>
  <c r="L731" i="13"/>
  <c r="G731" i="13"/>
  <c r="L730" i="13"/>
  <c r="G730" i="13"/>
  <c r="L729" i="13"/>
  <c r="G729" i="13"/>
  <c r="L728" i="13"/>
  <c r="G728" i="13"/>
  <c r="L727" i="13"/>
  <c r="G727" i="13"/>
  <c r="L726" i="13"/>
  <c r="G726" i="13"/>
  <c r="L725" i="13"/>
  <c r="G725" i="13"/>
  <c r="L724" i="13"/>
  <c r="G724" i="13"/>
  <c r="L723" i="13"/>
  <c r="G723" i="13"/>
  <c r="L722" i="13"/>
  <c r="G722" i="13"/>
  <c r="L721" i="13"/>
  <c r="G721" i="13"/>
  <c r="L720" i="13"/>
  <c r="G720" i="13"/>
  <c r="L719" i="13"/>
  <c r="G719" i="13"/>
  <c r="L718" i="13"/>
  <c r="G718" i="13"/>
  <c r="L717" i="13"/>
  <c r="G717" i="13"/>
  <c r="L716" i="13"/>
  <c r="G716" i="13"/>
  <c r="L715" i="13"/>
  <c r="G715" i="13"/>
  <c r="L714" i="13"/>
  <c r="G714" i="13"/>
  <c r="L713" i="13"/>
  <c r="G713" i="13"/>
  <c r="L712" i="13"/>
  <c r="G712" i="13"/>
  <c r="L711" i="13"/>
  <c r="G711" i="13"/>
  <c r="L710" i="13"/>
  <c r="G710" i="13"/>
  <c r="L709" i="13"/>
  <c r="G709" i="13"/>
  <c r="L708" i="13"/>
  <c r="G708" i="13"/>
  <c r="L707" i="13"/>
  <c r="G707" i="13"/>
  <c r="L706" i="13"/>
  <c r="G706" i="13"/>
  <c r="L705" i="13"/>
  <c r="G705" i="13"/>
  <c r="L704" i="13"/>
  <c r="G704" i="13"/>
  <c r="L703" i="13"/>
  <c r="G703" i="13"/>
  <c r="L702" i="13"/>
  <c r="G702" i="13"/>
  <c r="L701" i="13"/>
  <c r="G701" i="13"/>
  <c r="L700" i="13"/>
  <c r="G700" i="13"/>
  <c r="L699" i="13"/>
  <c r="G699" i="13"/>
  <c r="L698" i="13"/>
  <c r="G698" i="13"/>
  <c r="L697" i="13"/>
  <c r="G697" i="13"/>
  <c r="L696" i="13"/>
  <c r="G696" i="13"/>
  <c r="L695" i="13"/>
  <c r="G695" i="13"/>
  <c r="L694" i="13"/>
  <c r="G694" i="13"/>
  <c r="L693" i="13"/>
  <c r="G693" i="13"/>
  <c r="L692" i="13"/>
  <c r="G692" i="13"/>
  <c r="L691" i="13"/>
  <c r="G691" i="13"/>
  <c r="L690" i="13"/>
  <c r="G690" i="13"/>
  <c r="L689" i="13"/>
  <c r="G689" i="13"/>
  <c r="L688" i="13"/>
  <c r="G688" i="13"/>
  <c r="L687" i="13"/>
  <c r="G687" i="13"/>
  <c r="L686" i="13"/>
  <c r="G686" i="13"/>
  <c r="L685" i="13"/>
  <c r="G685" i="13"/>
  <c r="L684" i="13"/>
  <c r="G684" i="13"/>
  <c r="L683" i="13"/>
  <c r="G683" i="13"/>
  <c r="L682" i="13"/>
  <c r="G682" i="13"/>
  <c r="L681" i="13"/>
  <c r="G681" i="13"/>
  <c r="L680" i="13"/>
  <c r="G680" i="13"/>
  <c r="L679" i="13"/>
  <c r="G679" i="13"/>
  <c r="L678" i="13"/>
  <c r="G678" i="13"/>
  <c r="L677" i="13"/>
  <c r="G677" i="13"/>
  <c r="L676" i="13"/>
  <c r="G676" i="13"/>
  <c r="L675" i="13"/>
  <c r="G675" i="13"/>
  <c r="L674" i="13"/>
  <c r="G674" i="13"/>
  <c r="L673" i="13"/>
  <c r="G673" i="13"/>
  <c r="L672" i="13"/>
  <c r="G672" i="13"/>
  <c r="L671" i="13"/>
  <c r="G671" i="13"/>
  <c r="L670" i="13"/>
  <c r="G670" i="13"/>
  <c r="L669" i="13"/>
  <c r="G669" i="13"/>
  <c r="L668" i="13"/>
  <c r="G668" i="13"/>
  <c r="L667" i="13"/>
  <c r="G667" i="13"/>
  <c r="L666" i="13"/>
  <c r="G666" i="13"/>
  <c r="L665" i="13"/>
  <c r="G665" i="13"/>
  <c r="L664" i="13"/>
  <c r="G664" i="13"/>
  <c r="L663" i="13"/>
  <c r="G663" i="13"/>
  <c r="L662" i="13"/>
  <c r="G662" i="13"/>
  <c r="L661" i="13"/>
  <c r="G661" i="13"/>
  <c r="L660" i="13"/>
  <c r="G660" i="13"/>
  <c r="L659" i="13"/>
  <c r="G659" i="13"/>
  <c r="L658" i="13"/>
  <c r="G658" i="13"/>
  <c r="L657" i="13"/>
  <c r="G657" i="13"/>
  <c r="L656" i="13"/>
  <c r="G656" i="13"/>
  <c r="L655" i="13"/>
  <c r="G655" i="13"/>
  <c r="L654" i="13"/>
  <c r="G654" i="13"/>
  <c r="L653" i="13"/>
  <c r="G653" i="13"/>
  <c r="L652" i="13"/>
  <c r="G652" i="13"/>
  <c r="L651" i="13"/>
  <c r="G651" i="13"/>
  <c r="L650" i="13"/>
  <c r="G650" i="13"/>
  <c r="L649" i="13"/>
  <c r="G649" i="13"/>
  <c r="L648" i="13"/>
  <c r="G648" i="13"/>
  <c r="L647" i="13"/>
  <c r="G647" i="13"/>
  <c r="L646" i="13"/>
  <c r="G646" i="13"/>
  <c r="L645" i="13"/>
  <c r="G645" i="13"/>
  <c r="L644" i="13"/>
  <c r="G644" i="13"/>
  <c r="L643" i="13"/>
  <c r="G643" i="13"/>
  <c r="L642" i="13"/>
  <c r="G642" i="13"/>
  <c r="L641" i="13"/>
  <c r="G641" i="13"/>
  <c r="L640" i="13"/>
  <c r="G640" i="13"/>
  <c r="L639" i="13"/>
  <c r="G639" i="13"/>
  <c r="L638" i="13"/>
  <c r="G638" i="13"/>
  <c r="L637" i="13"/>
  <c r="G637" i="13"/>
  <c r="L636" i="13"/>
  <c r="G636" i="13"/>
  <c r="L635" i="13"/>
  <c r="G635" i="13"/>
  <c r="L634" i="13"/>
  <c r="G634" i="13"/>
  <c r="L633" i="13"/>
  <c r="G633" i="13"/>
  <c r="L632" i="13"/>
  <c r="G632" i="13"/>
  <c r="L631" i="13"/>
  <c r="G631" i="13"/>
  <c r="L630" i="13"/>
  <c r="G630" i="13"/>
  <c r="L629" i="13"/>
  <c r="G629" i="13"/>
  <c r="L628" i="13"/>
  <c r="G628" i="13"/>
  <c r="L627" i="13"/>
  <c r="G627" i="13"/>
  <c r="L626" i="13"/>
  <c r="G626" i="13"/>
  <c r="L625" i="13"/>
  <c r="G625" i="13"/>
  <c r="L624" i="13"/>
  <c r="G624" i="13"/>
  <c r="L623" i="13"/>
  <c r="G623" i="13"/>
  <c r="L622" i="13"/>
  <c r="G622" i="13"/>
  <c r="L621" i="13"/>
  <c r="G621" i="13"/>
  <c r="L620" i="13"/>
  <c r="G620" i="13"/>
  <c r="L619" i="13"/>
  <c r="G619" i="13"/>
  <c r="L618" i="13"/>
  <c r="G618" i="13"/>
  <c r="L617" i="13"/>
  <c r="G617" i="13"/>
  <c r="L616" i="13"/>
  <c r="G616" i="13"/>
  <c r="L615" i="13"/>
  <c r="G615" i="13"/>
  <c r="L614" i="13"/>
  <c r="G614" i="13"/>
  <c r="L613" i="13"/>
  <c r="G613" i="13"/>
  <c r="L612" i="13"/>
  <c r="G612" i="13"/>
  <c r="L611" i="13"/>
  <c r="G611" i="13"/>
  <c r="L610" i="13"/>
  <c r="G610" i="13"/>
  <c r="L609" i="13"/>
  <c r="G609" i="13"/>
  <c r="L608" i="13"/>
  <c r="G608" i="13"/>
  <c r="L607" i="13"/>
  <c r="G607" i="13"/>
  <c r="L606" i="13"/>
  <c r="G606" i="13"/>
  <c r="L605" i="13"/>
  <c r="G605" i="13"/>
  <c r="L604" i="13"/>
  <c r="G604" i="13"/>
  <c r="L603" i="13"/>
  <c r="G603" i="13"/>
  <c r="L602" i="13"/>
  <c r="G602" i="13"/>
  <c r="L601" i="13"/>
  <c r="G601" i="13"/>
  <c r="L600" i="13"/>
  <c r="G600" i="13"/>
  <c r="L599" i="13"/>
  <c r="G599" i="13"/>
  <c r="L598" i="13"/>
  <c r="G598" i="13"/>
  <c r="L597" i="13"/>
  <c r="G597" i="13"/>
  <c r="L596" i="13"/>
  <c r="G596" i="13"/>
  <c r="L595" i="13"/>
  <c r="G595" i="13"/>
  <c r="L594" i="13"/>
  <c r="G594" i="13"/>
  <c r="L593" i="13"/>
  <c r="G593" i="13"/>
  <c r="L592" i="13"/>
  <c r="G592" i="13"/>
  <c r="L591" i="13"/>
  <c r="G591" i="13"/>
  <c r="L590" i="13"/>
  <c r="G590" i="13"/>
  <c r="L589" i="13"/>
  <c r="G589" i="13"/>
  <c r="L588" i="13"/>
  <c r="G588" i="13"/>
  <c r="L587" i="13"/>
  <c r="G587" i="13"/>
  <c r="L586" i="13"/>
  <c r="G586" i="13"/>
  <c r="L585" i="13"/>
  <c r="G585" i="13"/>
  <c r="L584" i="13"/>
  <c r="G584" i="13"/>
  <c r="L583" i="13"/>
  <c r="G583" i="13"/>
  <c r="L582" i="13"/>
  <c r="G582" i="13"/>
  <c r="L581" i="13"/>
  <c r="G581" i="13"/>
  <c r="L580" i="13"/>
  <c r="G580" i="13"/>
  <c r="L579" i="13"/>
  <c r="G579" i="13"/>
  <c r="L578" i="13"/>
  <c r="G578" i="13"/>
  <c r="L577" i="13"/>
  <c r="G577" i="13"/>
  <c r="L576" i="13"/>
  <c r="G576" i="13"/>
  <c r="L575" i="13"/>
  <c r="G575" i="13"/>
  <c r="L574" i="13"/>
  <c r="G574" i="13"/>
  <c r="L573" i="13"/>
  <c r="G573" i="13"/>
  <c r="L572" i="13"/>
  <c r="G572" i="13"/>
  <c r="L571" i="13"/>
  <c r="G571" i="13"/>
  <c r="L570" i="13"/>
  <c r="G570" i="13"/>
  <c r="L569" i="13"/>
  <c r="G569" i="13"/>
  <c r="L568" i="13"/>
  <c r="G568" i="13"/>
  <c r="L567" i="13"/>
  <c r="G567" i="13"/>
  <c r="L566" i="13"/>
  <c r="G566" i="13"/>
  <c r="L565" i="13"/>
  <c r="G565" i="13"/>
  <c r="L564" i="13"/>
  <c r="G564" i="13"/>
  <c r="L563" i="13"/>
  <c r="G563" i="13"/>
  <c r="L562" i="13"/>
  <c r="G562" i="13"/>
  <c r="L561" i="13"/>
  <c r="G561" i="13"/>
  <c r="L560" i="13"/>
  <c r="G560" i="13"/>
  <c r="L559" i="13"/>
  <c r="G559" i="13"/>
  <c r="L558" i="13"/>
  <c r="G558" i="13"/>
  <c r="L557" i="13"/>
  <c r="G557" i="13"/>
  <c r="L556" i="13"/>
  <c r="G556" i="13"/>
  <c r="L555" i="13"/>
  <c r="G555" i="13"/>
  <c r="L554" i="13"/>
  <c r="G554" i="13"/>
  <c r="L553" i="13"/>
  <c r="G553" i="13"/>
  <c r="L552" i="13"/>
  <c r="G552" i="13"/>
  <c r="L551" i="13"/>
  <c r="G551" i="13"/>
  <c r="L550" i="13"/>
  <c r="G550" i="13"/>
  <c r="L549" i="13"/>
  <c r="G549" i="13"/>
  <c r="L548" i="13"/>
  <c r="G548" i="13"/>
  <c r="L547" i="13"/>
  <c r="G547" i="13"/>
  <c r="L546" i="13"/>
  <c r="G546" i="13"/>
  <c r="L545" i="13"/>
  <c r="G545" i="13"/>
  <c r="L544" i="13"/>
  <c r="G544" i="13"/>
  <c r="L543" i="13"/>
  <c r="G543" i="13"/>
  <c r="L542" i="13"/>
  <c r="G542" i="13"/>
  <c r="L541" i="13"/>
  <c r="G541" i="13"/>
  <c r="L540" i="13"/>
  <c r="G540" i="13"/>
  <c r="L539" i="13"/>
  <c r="G539" i="13"/>
  <c r="L538" i="13"/>
  <c r="G538" i="13"/>
  <c r="L537" i="13"/>
  <c r="G537" i="13"/>
  <c r="L536" i="13"/>
  <c r="G536" i="13"/>
  <c r="L535" i="13"/>
  <c r="G535" i="13"/>
  <c r="L534" i="13"/>
  <c r="G534" i="13"/>
  <c r="L533" i="13"/>
  <c r="G533" i="13"/>
  <c r="L532" i="13"/>
  <c r="G532" i="13"/>
  <c r="L531" i="13"/>
  <c r="G531" i="13"/>
  <c r="L530" i="13"/>
  <c r="G530" i="13"/>
  <c r="L529" i="13"/>
  <c r="G529" i="13"/>
  <c r="L528" i="13"/>
  <c r="G528" i="13"/>
  <c r="L527" i="13"/>
  <c r="G527" i="13"/>
  <c r="L526" i="13"/>
  <c r="G526" i="13"/>
  <c r="L525" i="13"/>
  <c r="G525" i="13"/>
  <c r="L524" i="13"/>
  <c r="G524" i="13"/>
  <c r="L523" i="13"/>
  <c r="G523" i="13"/>
  <c r="L522" i="13"/>
  <c r="G522" i="13"/>
  <c r="L521" i="13"/>
  <c r="G521" i="13"/>
  <c r="L520" i="13"/>
  <c r="G520" i="13"/>
  <c r="L519" i="13"/>
  <c r="G519" i="13"/>
  <c r="L518" i="13"/>
  <c r="G518" i="13"/>
  <c r="L517" i="13"/>
  <c r="G517" i="13"/>
  <c r="L516" i="13"/>
  <c r="G516" i="13"/>
  <c r="L515" i="13"/>
  <c r="G515" i="13"/>
  <c r="L514" i="13"/>
  <c r="G514" i="13"/>
  <c r="L513" i="13"/>
  <c r="G513" i="13"/>
  <c r="L512" i="13"/>
  <c r="G512" i="13"/>
  <c r="L511" i="13"/>
  <c r="G511" i="13"/>
  <c r="L510" i="13"/>
  <c r="G510" i="13"/>
  <c r="L509" i="13"/>
  <c r="G509" i="13"/>
  <c r="L508" i="13"/>
  <c r="G508" i="13"/>
  <c r="L507" i="13"/>
  <c r="G507" i="13"/>
  <c r="L506" i="13"/>
  <c r="G506" i="13"/>
  <c r="L505" i="13"/>
  <c r="G505" i="13"/>
  <c r="L504" i="13"/>
  <c r="G504" i="13"/>
  <c r="L503" i="13"/>
  <c r="G503" i="13"/>
  <c r="L502" i="13"/>
  <c r="G502" i="13"/>
  <c r="L501" i="13"/>
  <c r="G501" i="13"/>
  <c r="L500" i="13"/>
  <c r="G500" i="13"/>
  <c r="L499" i="13"/>
  <c r="G499" i="13"/>
  <c r="L498" i="13"/>
  <c r="G498" i="13"/>
  <c r="L497" i="13"/>
  <c r="G497" i="13"/>
  <c r="L496" i="13"/>
  <c r="G496" i="13"/>
  <c r="L495" i="13"/>
  <c r="G495" i="13"/>
  <c r="L494" i="13"/>
  <c r="G494" i="13"/>
  <c r="L493" i="13"/>
  <c r="G493" i="13"/>
  <c r="L492" i="13"/>
  <c r="G492" i="13"/>
  <c r="L491" i="13"/>
  <c r="G491" i="13"/>
  <c r="L490" i="13"/>
  <c r="G490" i="13"/>
  <c r="L489" i="13"/>
  <c r="G489" i="13"/>
  <c r="L488" i="13"/>
  <c r="G488" i="13"/>
  <c r="L487" i="13"/>
  <c r="G487" i="13"/>
  <c r="L486" i="13"/>
  <c r="G486" i="13"/>
  <c r="L485" i="13"/>
  <c r="G485" i="13"/>
  <c r="L484" i="13"/>
  <c r="G484" i="13"/>
  <c r="L483" i="13"/>
  <c r="G483" i="13"/>
  <c r="L482" i="13"/>
  <c r="G482" i="13"/>
  <c r="L481" i="13"/>
  <c r="G481" i="13"/>
  <c r="L480" i="13"/>
  <c r="G480" i="13"/>
  <c r="L479" i="13"/>
  <c r="G479" i="13"/>
  <c r="L478" i="13"/>
  <c r="G478" i="13"/>
  <c r="L477" i="13"/>
  <c r="G477" i="13"/>
  <c r="L476" i="13"/>
  <c r="G476" i="13"/>
  <c r="L475" i="13"/>
  <c r="G475" i="13"/>
  <c r="L474" i="13"/>
  <c r="G474" i="13"/>
  <c r="L473" i="13"/>
  <c r="G473" i="13"/>
  <c r="L472" i="13"/>
  <c r="G472" i="13"/>
  <c r="L471" i="13"/>
  <c r="G471" i="13"/>
  <c r="L470" i="13"/>
  <c r="G470" i="13"/>
  <c r="L469" i="13"/>
  <c r="G469" i="13"/>
  <c r="L468" i="13"/>
  <c r="G468" i="13"/>
  <c r="L467" i="13"/>
  <c r="G467" i="13"/>
  <c r="L466" i="13"/>
  <c r="G466" i="13"/>
  <c r="L465" i="13"/>
  <c r="G465" i="13"/>
  <c r="L464" i="13"/>
  <c r="G464" i="13"/>
  <c r="L463" i="13"/>
  <c r="G463" i="13"/>
  <c r="L462" i="13"/>
  <c r="G462" i="13"/>
  <c r="L461" i="13"/>
  <c r="G461" i="13"/>
  <c r="L460" i="13"/>
  <c r="G460" i="13"/>
  <c r="L459" i="13"/>
  <c r="G459" i="13"/>
  <c r="L458" i="13"/>
  <c r="G458" i="13"/>
  <c r="L457" i="13"/>
  <c r="G457" i="13"/>
  <c r="L456" i="13"/>
  <c r="G456" i="13"/>
  <c r="L455" i="13"/>
  <c r="G455" i="13"/>
  <c r="L454" i="13"/>
  <c r="G454" i="13"/>
  <c r="L453" i="13"/>
  <c r="G453" i="13"/>
  <c r="L452" i="13"/>
  <c r="G452" i="13"/>
  <c r="L451" i="13"/>
  <c r="G451" i="13"/>
  <c r="L450" i="13"/>
  <c r="G450" i="13"/>
  <c r="L449" i="13"/>
  <c r="G449" i="13"/>
  <c r="L448" i="13"/>
  <c r="G448" i="13"/>
  <c r="L447" i="13"/>
  <c r="G447" i="13"/>
  <c r="L446" i="13"/>
  <c r="G446" i="13"/>
  <c r="L445" i="13"/>
  <c r="G445" i="13"/>
  <c r="L444" i="13"/>
  <c r="G444" i="13"/>
  <c r="L443" i="13"/>
  <c r="G443" i="13"/>
  <c r="L442" i="13"/>
  <c r="G442" i="13"/>
  <c r="L441" i="13"/>
  <c r="G441" i="13"/>
  <c r="L440" i="13"/>
  <c r="G440" i="13"/>
  <c r="L439" i="13"/>
  <c r="G439" i="13"/>
  <c r="L438" i="13"/>
  <c r="G438" i="13"/>
  <c r="L437" i="13"/>
  <c r="G437" i="13"/>
  <c r="L436" i="13"/>
  <c r="G436" i="13"/>
  <c r="L435" i="13"/>
  <c r="G435" i="13"/>
  <c r="L434" i="13"/>
  <c r="G434" i="13"/>
  <c r="L433" i="13"/>
  <c r="G433" i="13"/>
  <c r="L432" i="13"/>
  <c r="G432" i="13"/>
  <c r="L431" i="13"/>
  <c r="G431" i="13"/>
  <c r="L430" i="13"/>
  <c r="G430" i="13"/>
  <c r="L429" i="13"/>
  <c r="G429" i="13"/>
  <c r="L428" i="13"/>
  <c r="G428" i="13"/>
  <c r="L427" i="13"/>
  <c r="G427" i="13"/>
  <c r="L426" i="13"/>
  <c r="G426" i="13"/>
  <c r="L425" i="13"/>
  <c r="G425" i="13"/>
  <c r="L424" i="13"/>
  <c r="G424" i="13"/>
  <c r="L423" i="13"/>
  <c r="G423" i="13"/>
  <c r="L422" i="13"/>
  <c r="G422" i="13"/>
  <c r="L421" i="13"/>
  <c r="G421" i="13"/>
  <c r="L420" i="13"/>
  <c r="G420" i="13"/>
  <c r="L419" i="13"/>
  <c r="G419" i="13"/>
  <c r="L418" i="13"/>
  <c r="G418" i="13"/>
  <c r="L417" i="13"/>
  <c r="G417" i="13"/>
  <c r="L416" i="13"/>
  <c r="G416" i="13"/>
  <c r="L415" i="13"/>
  <c r="G415" i="13"/>
  <c r="L414" i="13"/>
  <c r="G414" i="13"/>
  <c r="L413" i="13"/>
  <c r="G413" i="13"/>
  <c r="L412" i="13"/>
  <c r="G412" i="13"/>
  <c r="L411" i="13"/>
  <c r="G411" i="13"/>
  <c r="L410" i="13"/>
  <c r="G410" i="13"/>
  <c r="L409" i="13"/>
  <c r="G409" i="13"/>
  <c r="L408" i="13"/>
  <c r="G408" i="13"/>
  <c r="L407" i="13"/>
  <c r="G407" i="13"/>
  <c r="L406" i="13"/>
  <c r="G406" i="13"/>
  <c r="L405" i="13"/>
  <c r="G405" i="13"/>
  <c r="L404" i="13"/>
  <c r="G404" i="13"/>
  <c r="L403" i="13"/>
  <c r="G403" i="13"/>
  <c r="L402" i="13"/>
  <c r="G402" i="13"/>
  <c r="L401" i="13"/>
  <c r="G401" i="13"/>
  <c r="L400" i="13"/>
  <c r="G400" i="13"/>
  <c r="L399" i="13"/>
  <c r="G399" i="13"/>
  <c r="L398" i="13"/>
  <c r="G398" i="13"/>
  <c r="L397" i="13"/>
  <c r="G397" i="13"/>
  <c r="L396" i="13"/>
  <c r="G396" i="13"/>
  <c r="L395" i="13"/>
  <c r="G395" i="13"/>
  <c r="L394" i="13"/>
  <c r="G394" i="13"/>
  <c r="L393" i="13"/>
  <c r="G393" i="13"/>
  <c r="L392" i="13"/>
  <c r="G392" i="13"/>
  <c r="L391" i="13"/>
  <c r="G391" i="13"/>
  <c r="L390" i="13"/>
  <c r="G390" i="13"/>
  <c r="L389" i="13"/>
  <c r="G389" i="13"/>
  <c r="L388" i="13"/>
  <c r="G388" i="13"/>
  <c r="L387" i="13"/>
  <c r="G387" i="13"/>
  <c r="L386" i="13"/>
  <c r="G386" i="13"/>
  <c r="L385" i="13"/>
  <c r="G385" i="13"/>
  <c r="L384" i="13"/>
  <c r="G384" i="13"/>
  <c r="L383" i="13"/>
  <c r="G383" i="13"/>
  <c r="L382" i="13"/>
  <c r="G382" i="13"/>
  <c r="L381" i="13"/>
  <c r="G381" i="13"/>
  <c r="L380" i="13"/>
  <c r="G380" i="13"/>
  <c r="L379" i="13"/>
  <c r="G379" i="13"/>
  <c r="L378" i="13"/>
  <c r="G378" i="13"/>
  <c r="L377" i="13"/>
  <c r="G377" i="13"/>
  <c r="L376" i="13"/>
  <c r="G376" i="13"/>
  <c r="L375" i="13"/>
  <c r="G375" i="13"/>
  <c r="L374" i="13"/>
  <c r="G374" i="13"/>
  <c r="L373" i="13"/>
  <c r="G373" i="13"/>
  <c r="L372" i="13"/>
  <c r="G372" i="13"/>
  <c r="L371" i="13"/>
  <c r="G371" i="13"/>
  <c r="L370" i="13"/>
  <c r="G370" i="13"/>
  <c r="L369" i="13"/>
  <c r="G369" i="13"/>
  <c r="L368" i="13"/>
  <c r="G368" i="13"/>
  <c r="L367" i="13"/>
  <c r="G367" i="13"/>
  <c r="L366" i="13"/>
  <c r="G366" i="13"/>
  <c r="L365" i="13"/>
  <c r="G365" i="13"/>
  <c r="L364" i="13"/>
  <c r="G364" i="13"/>
  <c r="L363" i="13"/>
  <c r="G363" i="13"/>
  <c r="L362" i="13"/>
  <c r="G362" i="13"/>
  <c r="L361" i="13"/>
  <c r="G361" i="13"/>
  <c r="L360" i="13"/>
  <c r="G360" i="13"/>
  <c r="L359" i="13"/>
  <c r="G359" i="13"/>
  <c r="L358" i="13"/>
  <c r="G358" i="13"/>
  <c r="L357" i="13"/>
  <c r="G357" i="13"/>
  <c r="L356" i="13"/>
  <c r="G356" i="13"/>
  <c r="L355" i="13"/>
  <c r="G355" i="13"/>
  <c r="L354" i="13"/>
  <c r="G354" i="13"/>
  <c r="L353" i="13"/>
  <c r="G353" i="13"/>
  <c r="L352" i="13"/>
  <c r="G352" i="13"/>
  <c r="L351" i="13"/>
  <c r="G351" i="13"/>
  <c r="L350" i="13"/>
  <c r="G350" i="13"/>
  <c r="L349" i="13"/>
  <c r="G349" i="13"/>
  <c r="L348" i="13"/>
  <c r="G348" i="13"/>
  <c r="L347" i="13"/>
  <c r="G347" i="13"/>
  <c r="L346" i="13"/>
  <c r="G346" i="13"/>
  <c r="L345" i="13"/>
  <c r="G345" i="13"/>
  <c r="L344" i="13"/>
  <c r="G344" i="13"/>
  <c r="L343" i="13"/>
  <c r="G343" i="13"/>
  <c r="L342" i="13"/>
  <c r="G342" i="13"/>
  <c r="L341" i="13"/>
  <c r="G341" i="13"/>
  <c r="L340" i="13"/>
  <c r="G340" i="13"/>
  <c r="L339" i="13"/>
  <c r="G339" i="13"/>
  <c r="L338" i="13"/>
  <c r="G338" i="13"/>
  <c r="L337" i="13"/>
  <c r="G337" i="13"/>
  <c r="L336" i="13"/>
  <c r="G336" i="13"/>
  <c r="L335" i="13"/>
  <c r="G335" i="13"/>
  <c r="L334" i="13"/>
  <c r="G334" i="13"/>
  <c r="L333" i="13"/>
  <c r="G333" i="13"/>
  <c r="L332" i="13"/>
  <c r="G332" i="13"/>
  <c r="L331" i="13"/>
  <c r="G331" i="13"/>
  <c r="L330" i="13"/>
  <c r="G330" i="13"/>
  <c r="L329" i="13"/>
  <c r="G329" i="13"/>
  <c r="L328" i="13"/>
  <c r="G328" i="13"/>
  <c r="L327" i="13"/>
  <c r="G327" i="13"/>
  <c r="L326" i="13"/>
  <c r="G326" i="13"/>
  <c r="L325" i="13"/>
  <c r="G325" i="13"/>
  <c r="L324" i="13"/>
  <c r="G324" i="13"/>
  <c r="L323" i="13"/>
  <c r="G323" i="13"/>
  <c r="L322" i="13"/>
  <c r="G322" i="13"/>
  <c r="L321" i="13"/>
  <c r="G321" i="13"/>
  <c r="L320" i="13"/>
  <c r="G320" i="13"/>
  <c r="L319" i="13"/>
  <c r="G319" i="13"/>
  <c r="L318" i="13"/>
  <c r="G318" i="13"/>
  <c r="L317" i="13"/>
  <c r="G317" i="13"/>
  <c r="L316" i="13"/>
  <c r="G316" i="13"/>
  <c r="L315" i="13"/>
  <c r="G315" i="13"/>
  <c r="L314" i="13"/>
  <c r="G314" i="13"/>
  <c r="L313" i="13"/>
  <c r="G313" i="13"/>
  <c r="L312" i="13"/>
  <c r="G312" i="13"/>
  <c r="L311" i="13"/>
  <c r="G311" i="13"/>
  <c r="L310" i="13"/>
  <c r="G310" i="13"/>
  <c r="L309" i="13"/>
  <c r="G309" i="13"/>
  <c r="L308" i="13"/>
  <c r="G308" i="13"/>
  <c r="L307" i="13"/>
  <c r="G307" i="13"/>
  <c r="L306" i="13"/>
  <c r="G306" i="13"/>
  <c r="L305" i="13"/>
  <c r="G305" i="13"/>
  <c r="L304" i="13"/>
  <c r="G304" i="13"/>
  <c r="L303" i="13"/>
  <c r="G303" i="13"/>
  <c r="L302" i="13"/>
  <c r="G302" i="13"/>
  <c r="L301" i="13"/>
  <c r="G301" i="13"/>
  <c r="L300" i="13"/>
  <c r="G300" i="13"/>
  <c r="L299" i="13"/>
  <c r="G299" i="13"/>
  <c r="L298" i="13"/>
  <c r="G298" i="13"/>
  <c r="L297" i="13"/>
  <c r="G297" i="13"/>
  <c r="L296" i="13"/>
  <c r="G296" i="13"/>
  <c r="L295" i="13"/>
  <c r="G295" i="13"/>
  <c r="L294" i="13"/>
  <c r="G294" i="13"/>
  <c r="L293" i="13"/>
  <c r="G293" i="13"/>
  <c r="L292" i="13"/>
  <c r="G292" i="13"/>
  <c r="L291" i="13"/>
  <c r="G291" i="13"/>
  <c r="L290" i="13"/>
  <c r="G290" i="13"/>
  <c r="L289" i="13"/>
  <c r="G289" i="13"/>
  <c r="L288" i="13"/>
  <c r="G288" i="13"/>
  <c r="L287" i="13"/>
  <c r="G287" i="13"/>
  <c r="L286" i="13"/>
  <c r="G286" i="13"/>
  <c r="L285" i="13"/>
  <c r="G285" i="13"/>
  <c r="L284" i="13"/>
  <c r="G284" i="13"/>
  <c r="L283" i="13"/>
  <c r="G283" i="13"/>
  <c r="L282" i="13"/>
  <c r="G282" i="13"/>
  <c r="L281" i="13"/>
  <c r="G281" i="13"/>
  <c r="L280" i="13"/>
  <c r="G280" i="13"/>
  <c r="L279" i="13"/>
  <c r="G279" i="13"/>
  <c r="L278" i="13"/>
  <c r="G278" i="13"/>
  <c r="L277" i="13"/>
  <c r="G277" i="13"/>
  <c r="L276" i="13"/>
  <c r="G276" i="13"/>
  <c r="L275" i="13"/>
  <c r="G275" i="13"/>
  <c r="L274" i="13"/>
  <c r="G274" i="13"/>
  <c r="L273" i="13"/>
  <c r="G273" i="13"/>
  <c r="L272" i="13"/>
  <c r="G272" i="13"/>
  <c r="L271" i="13"/>
  <c r="G271" i="13"/>
  <c r="L270" i="13"/>
  <c r="G270" i="13"/>
  <c r="L269" i="13"/>
  <c r="G269" i="13"/>
  <c r="L268" i="13"/>
  <c r="G268" i="13"/>
  <c r="L267" i="13"/>
  <c r="G267" i="13"/>
  <c r="L266" i="13"/>
  <c r="G266" i="13"/>
  <c r="L265" i="13"/>
  <c r="G265" i="13"/>
  <c r="L264" i="13"/>
  <c r="G264" i="13"/>
  <c r="L263" i="13"/>
  <c r="G263" i="13"/>
  <c r="L262" i="13"/>
  <c r="G262" i="13"/>
  <c r="L261" i="13"/>
  <c r="G261" i="13"/>
  <c r="L260" i="13"/>
  <c r="G260" i="13"/>
  <c r="L259" i="13"/>
  <c r="G259" i="13"/>
  <c r="L258" i="13"/>
  <c r="G258" i="13"/>
  <c r="L257" i="13"/>
  <c r="G257" i="13"/>
  <c r="L256" i="13"/>
  <c r="G256" i="13"/>
  <c r="L255" i="13"/>
  <c r="G255" i="13"/>
  <c r="L254" i="13"/>
  <c r="G254" i="13"/>
  <c r="L253" i="13"/>
  <c r="G253" i="13"/>
  <c r="L252" i="13"/>
  <c r="G252" i="13"/>
  <c r="L251" i="13"/>
  <c r="G251" i="13"/>
  <c r="L250" i="13"/>
  <c r="G250" i="13"/>
  <c r="L249" i="13"/>
  <c r="G249" i="13"/>
  <c r="L248" i="13"/>
  <c r="G248" i="13"/>
  <c r="L247" i="13"/>
  <c r="G247" i="13"/>
  <c r="L246" i="13"/>
  <c r="G246" i="13"/>
  <c r="L245" i="13"/>
  <c r="G245" i="13"/>
  <c r="L244" i="13"/>
  <c r="G244" i="13"/>
  <c r="L243" i="13"/>
  <c r="G243" i="13"/>
  <c r="L242" i="13"/>
  <c r="G242" i="13"/>
  <c r="L241" i="13"/>
  <c r="G241" i="13"/>
  <c r="L240" i="13"/>
  <c r="G240" i="13"/>
  <c r="L239" i="13"/>
  <c r="G239" i="13"/>
  <c r="L238" i="13"/>
  <c r="G238" i="13"/>
  <c r="L237" i="13"/>
  <c r="G237" i="13"/>
  <c r="L236" i="13"/>
  <c r="G236" i="13"/>
  <c r="L235" i="13"/>
  <c r="G235" i="13"/>
  <c r="L234" i="13"/>
  <c r="G234" i="13"/>
  <c r="L233" i="13"/>
  <c r="G233" i="13"/>
  <c r="L232" i="13"/>
  <c r="G232" i="13"/>
  <c r="L231" i="13"/>
  <c r="G231" i="13"/>
  <c r="L230" i="13"/>
  <c r="G230" i="13"/>
  <c r="L229" i="13"/>
  <c r="G229" i="13"/>
  <c r="L228" i="13"/>
  <c r="G228" i="13"/>
  <c r="L227" i="13"/>
  <c r="G227" i="13"/>
  <c r="L226" i="13"/>
  <c r="G226" i="13"/>
  <c r="L225" i="13"/>
  <c r="G225" i="13"/>
  <c r="L224" i="13"/>
  <c r="G224" i="13"/>
  <c r="L223" i="13"/>
  <c r="G223" i="13"/>
  <c r="L222" i="13"/>
  <c r="G222" i="13"/>
  <c r="L221" i="13"/>
  <c r="G221" i="13"/>
  <c r="L220" i="13"/>
  <c r="G220" i="13"/>
  <c r="L219" i="13"/>
  <c r="G219" i="13"/>
  <c r="L218" i="13"/>
  <c r="G218" i="13"/>
  <c r="L217" i="13"/>
  <c r="G217" i="13"/>
  <c r="L216" i="13"/>
  <c r="G216" i="13"/>
  <c r="L215" i="13"/>
  <c r="G215" i="13"/>
  <c r="L214" i="13"/>
  <c r="G214" i="13"/>
  <c r="L213" i="13"/>
  <c r="G213" i="13"/>
  <c r="L212" i="13"/>
  <c r="G212" i="13"/>
  <c r="L211" i="13"/>
  <c r="G211" i="13"/>
  <c r="L210" i="13"/>
  <c r="G210" i="13"/>
  <c r="L209" i="13"/>
  <c r="G209" i="13"/>
  <c r="L208" i="13"/>
  <c r="G208" i="13"/>
  <c r="L207" i="13"/>
  <c r="G207" i="13"/>
  <c r="L206" i="13"/>
  <c r="G206" i="13"/>
  <c r="L205" i="13"/>
  <c r="G205" i="13"/>
  <c r="L204" i="13"/>
  <c r="G204" i="13"/>
  <c r="L203" i="13"/>
  <c r="G203" i="13"/>
  <c r="L202" i="13"/>
  <c r="G202" i="13"/>
  <c r="L201" i="13"/>
  <c r="G201" i="13"/>
  <c r="L200" i="13"/>
  <c r="G200" i="13"/>
  <c r="L199" i="13"/>
  <c r="G199" i="13"/>
  <c r="L198" i="13"/>
  <c r="G198" i="13"/>
  <c r="L197" i="13"/>
  <c r="G197" i="13"/>
  <c r="L196" i="13"/>
  <c r="G196" i="13"/>
  <c r="L195" i="13"/>
  <c r="G195" i="13"/>
  <c r="L194" i="13"/>
  <c r="G194" i="13"/>
  <c r="L193" i="13"/>
  <c r="G193" i="13"/>
  <c r="L192" i="13"/>
  <c r="G192" i="13"/>
  <c r="L191" i="13"/>
  <c r="G191" i="13"/>
  <c r="L190" i="13"/>
  <c r="G190" i="13"/>
  <c r="L189" i="13"/>
  <c r="G189" i="13"/>
  <c r="L188" i="13"/>
  <c r="G188" i="13"/>
  <c r="L187" i="13"/>
  <c r="G187" i="13"/>
  <c r="L186" i="13"/>
  <c r="G186" i="13"/>
  <c r="L185" i="13"/>
  <c r="G185" i="13"/>
  <c r="L184" i="13"/>
  <c r="G184" i="13"/>
  <c r="L183" i="13"/>
  <c r="G183" i="13"/>
  <c r="L182" i="13"/>
  <c r="G182" i="13"/>
  <c r="L181" i="13"/>
  <c r="G181" i="13"/>
  <c r="L180" i="13"/>
  <c r="G180" i="13"/>
  <c r="L179" i="13"/>
  <c r="G179" i="13"/>
  <c r="L178" i="13"/>
  <c r="G178" i="13"/>
  <c r="L177" i="13"/>
  <c r="G177" i="13"/>
  <c r="L176" i="13"/>
  <c r="G176" i="13"/>
  <c r="L175" i="13"/>
  <c r="G175" i="13"/>
  <c r="L174" i="13"/>
  <c r="G174" i="13"/>
  <c r="L173" i="13"/>
  <c r="G173" i="13"/>
  <c r="L172" i="13"/>
  <c r="G172" i="13"/>
  <c r="L171" i="13"/>
  <c r="G171" i="13"/>
  <c r="L170" i="13"/>
  <c r="G170" i="13"/>
  <c r="L169" i="13"/>
  <c r="G169" i="13"/>
  <c r="L168" i="13"/>
  <c r="G168" i="13"/>
  <c r="L167" i="13"/>
  <c r="G167" i="13"/>
  <c r="L166" i="13"/>
  <c r="G166" i="13"/>
  <c r="L165" i="13"/>
  <c r="G165" i="13"/>
  <c r="L164" i="13"/>
  <c r="G164" i="13"/>
  <c r="L163" i="13"/>
  <c r="G163" i="13"/>
  <c r="L162" i="13"/>
  <c r="G162" i="13"/>
  <c r="L161" i="13"/>
  <c r="G161" i="13"/>
  <c r="L160" i="13"/>
  <c r="G160" i="13"/>
  <c r="L159" i="13"/>
  <c r="G159" i="13"/>
  <c r="L158" i="13"/>
  <c r="G158" i="13"/>
  <c r="L157" i="13"/>
  <c r="G157" i="13"/>
  <c r="L156" i="13"/>
  <c r="G156" i="13"/>
  <c r="L155" i="13"/>
  <c r="G155" i="13"/>
  <c r="L154" i="13"/>
  <c r="G154" i="13"/>
  <c r="L153" i="13"/>
  <c r="G153" i="13"/>
  <c r="L152" i="13"/>
  <c r="G152" i="13"/>
  <c r="L151" i="13"/>
  <c r="G151" i="13"/>
  <c r="L150" i="13"/>
  <c r="G150" i="13"/>
  <c r="L149" i="13"/>
  <c r="G149" i="13"/>
  <c r="L148" i="13"/>
  <c r="G148" i="13"/>
  <c r="L147" i="13"/>
  <c r="G147" i="13"/>
  <c r="L146" i="13"/>
  <c r="G146" i="13"/>
  <c r="L145" i="13"/>
  <c r="G145" i="13"/>
  <c r="L144" i="13"/>
  <c r="G144" i="13"/>
  <c r="L143" i="13"/>
  <c r="G143" i="13"/>
  <c r="L142" i="13"/>
  <c r="G142" i="13"/>
  <c r="L141" i="13"/>
  <c r="G141" i="13"/>
  <c r="L140" i="13"/>
  <c r="G140" i="13"/>
  <c r="L139" i="13"/>
  <c r="G139" i="13"/>
  <c r="L138" i="13"/>
  <c r="G138" i="13"/>
  <c r="L137" i="13"/>
  <c r="G137" i="13"/>
  <c r="L136" i="13"/>
  <c r="G136" i="13"/>
  <c r="L135" i="13"/>
  <c r="G135" i="13"/>
  <c r="L134" i="13"/>
  <c r="G134" i="13"/>
  <c r="L133" i="13"/>
  <c r="G133" i="13"/>
  <c r="L132" i="13"/>
  <c r="G132" i="13"/>
  <c r="L131" i="13"/>
  <c r="G131" i="13"/>
  <c r="L130" i="13"/>
  <c r="G130" i="13"/>
  <c r="L129" i="13"/>
  <c r="G129" i="13"/>
  <c r="L128" i="13"/>
  <c r="G128" i="13"/>
  <c r="L127" i="13"/>
  <c r="G127" i="13"/>
  <c r="L126" i="13"/>
  <c r="G126" i="13"/>
  <c r="L125" i="13"/>
  <c r="G125" i="13"/>
  <c r="L124" i="13"/>
  <c r="G124" i="13"/>
  <c r="L123" i="13"/>
  <c r="G123" i="13"/>
  <c r="L122" i="13"/>
  <c r="G122" i="13"/>
  <c r="L121" i="13"/>
  <c r="G121" i="13"/>
  <c r="L120" i="13"/>
  <c r="G120" i="13"/>
  <c r="L119" i="13"/>
  <c r="G119" i="13"/>
  <c r="L118" i="13"/>
  <c r="G118" i="13"/>
  <c r="L117" i="13"/>
  <c r="G117" i="13"/>
  <c r="L116" i="13"/>
  <c r="G116" i="13"/>
  <c r="L115" i="13"/>
  <c r="G115" i="13"/>
  <c r="L114" i="13"/>
  <c r="G114" i="13"/>
  <c r="L113" i="13"/>
  <c r="G113" i="13"/>
  <c r="L112" i="13"/>
  <c r="G112" i="13"/>
  <c r="L111" i="13"/>
  <c r="G111" i="13"/>
  <c r="L110" i="13"/>
  <c r="G110" i="13"/>
  <c r="L109" i="13"/>
  <c r="G109" i="13"/>
  <c r="L108" i="13"/>
  <c r="G108" i="13"/>
  <c r="L107" i="13"/>
  <c r="G107" i="13"/>
  <c r="L106" i="13"/>
  <c r="G106" i="13"/>
  <c r="L105" i="13"/>
  <c r="G105" i="13"/>
  <c r="L104" i="13"/>
  <c r="G104" i="13"/>
  <c r="L103" i="13"/>
  <c r="G103" i="13"/>
  <c r="L102" i="13"/>
  <c r="G102" i="13"/>
  <c r="L101" i="13"/>
  <c r="G101" i="13"/>
  <c r="L100" i="13"/>
  <c r="G100" i="13"/>
  <c r="L99" i="13"/>
  <c r="G99" i="13"/>
  <c r="L98" i="13"/>
  <c r="G98" i="13"/>
  <c r="L97" i="13"/>
  <c r="G97" i="13"/>
  <c r="L96" i="13"/>
  <c r="G96" i="13"/>
  <c r="L95" i="13"/>
  <c r="G95" i="13"/>
  <c r="L94" i="13"/>
  <c r="G94" i="13"/>
  <c r="L93" i="13"/>
  <c r="G93" i="13"/>
  <c r="L92" i="13"/>
  <c r="G92" i="13"/>
  <c r="L91" i="13"/>
  <c r="G91" i="13"/>
  <c r="L90" i="13"/>
  <c r="G90" i="13"/>
  <c r="L89" i="13"/>
  <c r="G89" i="13"/>
  <c r="L88" i="13"/>
  <c r="G88" i="13"/>
  <c r="L87" i="13"/>
  <c r="G87" i="13"/>
  <c r="L86" i="13"/>
  <c r="G86" i="13"/>
  <c r="L85" i="13"/>
  <c r="G85" i="13"/>
  <c r="L84" i="13"/>
  <c r="G84" i="13"/>
  <c r="L83" i="13"/>
  <c r="G83" i="13"/>
  <c r="L82" i="13"/>
  <c r="G82" i="13"/>
  <c r="L81" i="13"/>
  <c r="G81" i="13"/>
  <c r="L80" i="13"/>
  <c r="G80" i="13"/>
  <c r="L79" i="13"/>
  <c r="G79" i="13"/>
  <c r="L78" i="13"/>
  <c r="G78" i="13"/>
  <c r="L77" i="13"/>
  <c r="G77" i="13"/>
  <c r="L76" i="13"/>
  <c r="G76" i="13"/>
  <c r="L75" i="13"/>
  <c r="G75" i="13"/>
  <c r="L74" i="13"/>
  <c r="G74" i="13"/>
  <c r="L73" i="13"/>
  <c r="G73" i="13"/>
  <c r="L72" i="13"/>
  <c r="G72" i="13"/>
  <c r="L71" i="13"/>
  <c r="G71" i="13"/>
  <c r="L70" i="13"/>
  <c r="G70" i="13"/>
  <c r="L69" i="13"/>
  <c r="G69" i="13"/>
  <c r="L68" i="13"/>
  <c r="G68" i="13"/>
  <c r="L67" i="13"/>
  <c r="G67" i="13"/>
  <c r="L66" i="13"/>
  <c r="G66" i="13"/>
  <c r="L65" i="13"/>
  <c r="G65" i="13"/>
  <c r="L64" i="13"/>
  <c r="G64" i="13"/>
  <c r="L63" i="13"/>
  <c r="G63" i="13"/>
  <c r="L62" i="13"/>
  <c r="G62" i="13"/>
  <c r="L61" i="13"/>
  <c r="G61" i="13"/>
  <c r="L60" i="13"/>
  <c r="G60" i="13"/>
  <c r="L59" i="13"/>
  <c r="G59" i="13"/>
  <c r="L58" i="13"/>
  <c r="G58" i="13"/>
  <c r="L57" i="13"/>
  <c r="G57" i="13"/>
  <c r="L56" i="13"/>
  <c r="G56" i="13"/>
  <c r="L55" i="13"/>
  <c r="G55" i="13"/>
  <c r="L54" i="13"/>
  <c r="G54" i="13"/>
  <c r="L53" i="13"/>
  <c r="G53" i="13"/>
  <c r="L52" i="13"/>
  <c r="G52" i="13"/>
  <c r="L51" i="13"/>
  <c r="G51" i="13"/>
  <c r="L50" i="13"/>
  <c r="G50" i="13"/>
  <c r="L49" i="13"/>
  <c r="G49" i="13"/>
  <c r="L48" i="13"/>
  <c r="G48" i="13"/>
  <c r="L47" i="13"/>
  <c r="G47" i="13"/>
  <c r="L46" i="13"/>
  <c r="G46" i="13"/>
  <c r="L45" i="13"/>
  <c r="G45" i="13"/>
  <c r="L44" i="13"/>
  <c r="G44" i="13"/>
  <c r="L43" i="13"/>
  <c r="G43" i="13"/>
  <c r="L42" i="13"/>
  <c r="G42" i="13"/>
  <c r="L41" i="13"/>
  <c r="G41" i="13"/>
  <c r="L40" i="13"/>
  <c r="G40" i="13"/>
  <c r="L39" i="13"/>
  <c r="G39" i="13"/>
  <c r="L38" i="13"/>
  <c r="G38" i="13"/>
  <c r="L37" i="13"/>
  <c r="G37" i="13"/>
  <c r="L36" i="13"/>
  <c r="G36" i="13"/>
  <c r="L35" i="13"/>
  <c r="G35" i="13"/>
  <c r="L34" i="13"/>
  <c r="G34" i="13"/>
  <c r="L33" i="13"/>
  <c r="G33" i="13"/>
  <c r="L32" i="13"/>
  <c r="G32" i="13"/>
  <c r="L31" i="13"/>
  <c r="G31" i="13"/>
  <c r="L30" i="13"/>
  <c r="G30" i="13"/>
  <c r="L29" i="13"/>
  <c r="G29" i="13"/>
  <c r="L28" i="13"/>
  <c r="G28" i="13"/>
  <c r="L27" i="13"/>
  <c r="G27" i="13"/>
  <c r="L26" i="13"/>
  <c r="G26" i="13"/>
  <c r="L25" i="13"/>
  <c r="G25" i="13"/>
  <c r="L24" i="13"/>
  <c r="G24" i="13"/>
  <c r="L23" i="13"/>
  <c r="G23" i="13"/>
  <c r="L22" i="13"/>
  <c r="G22" i="13"/>
  <c r="L21" i="13"/>
  <c r="G21" i="13"/>
  <c r="L20" i="13"/>
  <c r="G20" i="13"/>
  <c r="L19" i="13"/>
  <c r="G19" i="13"/>
  <c r="L18" i="13"/>
  <c r="G18" i="13"/>
  <c r="L17" i="13"/>
  <c r="G17" i="13"/>
  <c r="L16" i="13"/>
  <c r="G16" i="13"/>
  <c r="L15" i="13"/>
  <c r="G15" i="13"/>
  <c r="L14" i="13"/>
  <c r="G14" i="13"/>
  <c r="L13" i="13"/>
  <c r="G13" i="13"/>
  <c r="L12" i="13"/>
  <c r="G12" i="13"/>
  <c r="L11" i="13"/>
  <c r="G11" i="13"/>
  <c r="L10" i="13"/>
  <c r="G10" i="13"/>
  <c r="L9" i="13"/>
  <c r="G9" i="13"/>
  <c r="L8" i="13"/>
  <c r="G8" i="13"/>
  <c r="L7" i="13"/>
  <c r="G7" i="13"/>
  <c r="L6" i="13"/>
  <c r="G6" i="13"/>
  <c r="L5" i="13"/>
  <c r="G5" i="13"/>
  <c r="L4" i="13"/>
  <c r="G4" i="13"/>
  <c r="L3" i="13"/>
  <c r="G3" i="13"/>
  <c r="L2" i="13"/>
  <c r="G2" i="13"/>
  <c r="G16" i="1"/>
  <c r="W7" i="1"/>
  <c r="T8" i="1"/>
  <c r="W8" i="1"/>
  <c r="Q9" i="1"/>
  <c r="T9" i="1"/>
  <c r="W9" i="1"/>
  <c r="Q10" i="1"/>
  <c r="T10" i="1"/>
  <c r="W10" i="1"/>
  <c r="P11" i="1"/>
  <c r="Q11" i="1"/>
  <c r="T11" i="1"/>
  <c r="W11" i="1"/>
  <c r="P12" i="1"/>
  <c r="Q12" i="1"/>
  <c r="T12" i="1"/>
  <c r="W12" i="1"/>
  <c r="P13" i="1"/>
  <c r="Q13" i="1"/>
  <c r="T13" i="1"/>
  <c r="W13" i="1"/>
  <c r="P14" i="1"/>
  <c r="Q14" i="1"/>
  <c r="T14" i="1"/>
  <c r="W14" i="1"/>
  <c r="Q15" i="1"/>
  <c r="T15" i="1"/>
  <c r="W15" i="1"/>
  <c r="Q16" i="1"/>
  <c r="T16" i="1"/>
  <c r="W16" i="1"/>
  <c r="V7" i="1"/>
  <c r="S8" i="1"/>
  <c r="V8" i="1"/>
  <c r="S9" i="1"/>
  <c r="V9" i="1"/>
  <c r="S10" i="1"/>
  <c r="V10" i="1"/>
  <c r="S11" i="1"/>
  <c r="V11" i="1"/>
  <c r="S12" i="1"/>
  <c r="V12" i="1"/>
  <c r="S13" i="1"/>
  <c r="V13" i="1"/>
  <c r="S14" i="1"/>
  <c r="V14" i="1"/>
  <c r="S15" i="1"/>
  <c r="V15" i="1"/>
  <c r="S16" i="1"/>
  <c r="V16" i="1"/>
  <c r="U7" i="1"/>
  <c r="R8" i="1"/>
  <c r="U8" i="1"/>
  <c r="R9" i="1"/>
  <c r="U9" i="1"/>
  <c r="R10" i="1"/>
  <c r="U10" i="1"/>
  <c r="R11" i="1"/>
  <c r="U11" i="1"/>
  <c r="R12" i="1"/>
  <c r="U12" i="1"/>
  <c r="R13" i="1"/>
  <c r="U13" i="1"/>
  <c r="R14" i="1"/>
  <c r="U14" i="1"/>
  <c r="R15" i="1"/>
  <c r="U15" i="1"/>
  <c r="R16" i="1"/>
  <c r="U16" i="1"/>
  <c r="G10" i="1"/>
  <c r="G11" i="1"/>
  <c r="G12" i="1"/>
  <c r="G13" i="1"/>
  <c r="G14" i="1"/>
  <c r="G15" i="1"/>
  <c r="G9" i="1"/>
  <c r="X49" i="9"/>
  <c r="W47" i="9"/>
  <c r="W48" i="9"/>
  <c r="W49" i="9"/>
  <c r="W46" i="9"/>
  <c r="P38" i="12"/>
  <c r="P39" i="12"/>
  <c r="P40" i="12"/>
  <c r="P41" i="12"/>
  <c r="P42" i="12"/>
  <c r="P43" i="12"/>
  <c r="P44" i="12"/>
  <c r="P45" i="12"/>
  <c r="P3" i="12"/>
  <c r="P4" i="12"/>
  <c r="P5" i="12"/>
  <c r="P6" i="12"/>
  <c r="P7" i="12"/>
  <c r="P8" i="12"/>
  <c r="P9" i="12"/>
  <c r="P2" i="12"/>
  <c r="H46" i="9"/>
  <c r="G46" i="9"/>
  <c r="F46" i="9"/>
  <c r="H45" i="9"/>
  <c r="G45" i="9"/>
  <c r="F45" i="9"/>
  <c r="E45" i="9"/>
  <c r="H44" i="9"/>
  <c r="G44" i="9"/>
  <c r="F44" i="9"/>
  <c r="E44" i="9"/>
  <c r="H43" i="9"/>
  <c r="G43" i="9"/>
  <c r="F43" i="9"/>
  <c r="E43" i="9"/>
  <c r="H42" i="9"/>
  <c r="G42" i="9"/>
  <c r="F42" i="9"/>
  <c r="E42" i="9"/>
  <c r="H41" i="9"/>
  <c r="G41" i="9"/>
  <c r="F41" i="9"/>
  <c r="E41" i="9"/>
  <c r="H40" i="9"/>
  <c r="G40" i="9"/>
  <c r="F40" i="9"/>
  <c r="E40" i="9"/>
  <c r="H39" i="9"/>
  <c r="G39" i="9"/>
  <c r="F39" i="9"/>
  <c r="E39" i="9"/>
  <c r="H38" i="9"/>
  <c r="G38" i="9"/>
  <c r="F38" i="9"/>
  <c r="E38" i="9"/>
  <c r="H37" i="9"/>
  <c r="G37" i="9"/>
  <c r="F37" i="9"/>
  <c r="E37" i="9"/>
  <c r="H36" i="9"/>
  <c r="G36" i="9"/>
  <c r="F36" i="9"/>
  <c r="E36" i="9"/>
  <c r="H35" i="9"/>
  <c r="G35" i="9"/>
  <c r="F35" i="9"/>
  <c r="E35" i="9"/>
  <c r="H34" i="9"/>
  <c r="G34" i="9"/>
  <c r="F34" i="9"/>
  <c r="E34" i="9"/>
  <c r="H33" i="9"/>
  <c r="G33" i="9"/>
  <c r="F33" i="9"/>
  <c r="E33" i="9"/>
  <c r="H32" i="9"/>
  <c r="G32" i="9"/>
  <c r="F32" i="9"/>
  <c r="E32" i="9"/>
  <c r="H31" i="9"/>
  <c r="G31" i="9"/>
  <c r="F31" i="9"/>
  <c r="E31" i="9"/>
  <c r="H30" i="9"/>
  <c r="G30" i="9"/>
  <c r="F30" i="9"/>
  <c r="E30" i="9"/>
  <c r="H29" i="9"/>
  <c r="G29" i="9"/>
  <c r="F29" i="9"/>
  <c r="E29" i="9"/>
  <c r="H28" i="9"/>
  <c r="G28" i="9"/>
  <c r="F28" i="9"/>
  <c r="E28" i="9"/>
  <c r="H27" i="9"/>
  <c r="G27" i="9"/>
  <c r="F27" i="9"/>
  <c r="E27" i="9"/>
  <c r="H26" i="9"/>
  <c r="G26" i="9"/>
  <c r="F26" i="9"/>
  <c r="E26" i="9"/>
  <c r="H25" i="9"/>
  <c r="G25" i="9"/>
  <c r="F25" i="9"/>
  <c r="E25" i="9"/>
  <c r="H24" i="9"/>
  <c r="G24" i="9"/>
  <c r="F24" i="9"/>
  <c r="E24" i="9"/>
  <c r="H23" i="9"/>
  <c r="G23" i="9"/>
  <c r="F23" i="9"/>
  <c r="E23" i="9"/>
  <c r="H22" i="9"/>
  <c r="G22" i="9"/>
  <c r="F22" i="9"/>
  <c r="H21" i="9"/>
  <c r="G21" i="9"/>
  <c r="F21" i="9"/>
  <c r="E21" i="9"/>
  <c r="H20" i="9"/>
  <c r="G20" i="9"/>
  <c r="F20" i="9"/>
  <c r="E20" i="9"/>
  <c r="H19" i="9"/>
  <c r="G19" i="9"/>
  <c r="F19" i="9"/>
  <c r="E19" i="9"/>
  <c r="H18" i="9"/>
  <c r="G18" i="9"/>
  <c r="F18" i="9"/>
  <c r="E18" i="9"/>
  <c r="H17" i="9"/>
  <c r="G17" i="9"/>
  <c r="F17" i="9"/>
  <c r="E17" i="9"/>
  <c r="H16" i="9"/>
  <c r="G16" i="9"/>
  <c r="F16" i="9"/>
  <c r="E16" i="9"/>
  <c r="H15" i="9"/>
  <c r="G15" i="9"/>
  <c r="F15" i="9"/>
  <c r="E15" i="9"/>
  <c r="H14" i="9"/>
  <c r="G14" i="9"/>
  <c r="F14" i="9"/>
  <c r="E14" i="9"/>
  <c r="H13" i="9"/>
  <c r="G13" i="9"/>
  <c r="F13" i="9"/>
  <c r="E13" i="9"/>
  <c r="H12" i="9"/>
  <c r="G12" i="9"/>
  <c r="F12" i="9"/>
  <c r="E12" i="9"/>
  <c r="H11" i="9"/>
  <c r="G11" i="9"/>
  <c r="F11" i="9"/>
  <c r="E11" i="9"/>
  <c r="H10" i="9"/>
  <c r="G10" i="9"/>
  <c r="F10" i="9"/>
  <c r="E10" i="9"/>
  <c r="H9" i="9"/>
  <c r="G9" i="9"/>
  <c r="F9" i="9"/>
  <c r="E9" i="9"/>
  <c r="H8" i="9"/>
  <c r="G8" i="9"/>
  <c r="F8" i="9"/>
  <c r="E8" i="9"/>
  <c r="H7" i="9"/>
  <c r="G7" i="9"/>
  <c r="F7" i="9"/>
  <c r="E7" i="9"/>
  <c r="H6" i="9"/>
  <c r="G6" i="9"/>
  <c r="F6" i="9"/>
  <c r="E6" i="9"/>
  <c r="H5" i="9"/>
  <c r="G5" i="9"/>
  <c r="F5" i="9"/>
  <c r="E5" i="9"/>
  <c r="H4" i="9"/>
  <c r="G4" i="9"/>
  <c r="F4" i="9"/>
  <c r="E4" i="9"/>
  <c r="AG6" i="9"/>
  <c r="AG7" i="9"/>
  <c r="AG8" i="9"/>
  <c r="AG9" i="9"/>
  <c r="AG10" i="9"/>
  <c r="AG11" i="9"/>
  <c r="AG12" i="9"/>
  <c r="AG13" i="9"/>
  <c r="AG14" i="9"/>
  <c r="AG15" i="9"/>
  <c r="AG16" i="9"/>
  <c r="AG17" i="9"/>
  <c r="AG18" i="9"/>
  <c r="AG19" i="9"/>
  <c r="AG20" i="9"/>
  <c r="AG21" i="9"/>
  <c r="AG22" i="9"/>
  <c r="AG23" i="9"/>
  <c r="AG24" i="9"/>
  <c r="AG25" i="9"/>
  <c r="AG26" i="9"/>
  <c r="AG27" i="9"/>
  <c r="AG28" i="9"/>
  <c r="AG29" i="9"/>
  <c r="AG30" i="9"/>
  <c r="AG31" i="9"/>
  <c r="AG32" i="9"/>
  <c r="AG33" i="9"/>
  <c r="AG34" i="9"/>
  <c r="AG35" i="9"/>
  <c r="AF6" i="9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E6" i="9"/>
  <c r="AE7" i="9"/>
  <c r="AE8" i="9"/>
  <c r="AE9" i="9"/>
  <c r="AE10" i="9"/>
  <c r="AE11" i="9"/>
  <c r="AE12" i="9"/>
  <c r="AE13" i="9"/>
  <c r="AE14" i="9"/>
  <c r="AE15" i="9"/>
  <c r="AE16" i="9"/>
  <c r="AE17" i="9"/>
  <c r="AE18" i="9"/>
  <c r="AE19" i="9"/>
  <c r="AE20" i="9"/>
  <c r="AE21" i="9"/>
  <c r="AE22" i="9"/>
  <c r="AE23" i="9"/>
  <c r="AE24" i="9"/>
  <c r="AE25" i="9"/>
  <c r="AE26" i="9"/>
  <c r="AE27" i="9"/>
  <c r="AE28" i="9"/>
  <c r="AE29" i="9"/>
  <c r="AE30" i="9"/>
  <c r="AE31" i="9"/>
  <c r="AE32" i="9"/>
  <c r="AE33" i="9"/>
  <c r="AE34" i="9"/>
  <c r="AE3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K5" i="9"/>
  <c r="K6" i="9"/>
  <c r="K7" i="9"/>
  <c r="K8" i="9"/>
  <c r="K9" i="9"/>
  <c r="K10" i="9"/>
  <c r="K11" i="9"/>
  <c r="K12" i="9"/>
  <c r="K4" i="9"/>
  <c r="L4" i="9"/>
  <c r="L5" i="9"/>
  <c r="L6" i="9"/>
  <c r="L7" i="9"/>
  <c r="L8" i="9"/>
  <c r="L9" i="9"/>
  <c r="L10" i="9"/>
  <c r="L11" i="9"/>
  <c r="L12" i="9"/>
  <c r="L28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9" i="3"/>
  <c r="L30" i="3"/>
  <c r="L31" i="3"/>
  <c r="L32" i="3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Q35" i="9"/>
  <c r="P35" i="9"/>
  <c r="Q34" i="9"/>
  <c r="Q33" i="9"/>
  <c r="P33" i="9"/>
  <c r="Q32" i="9"/>
  <c r="Q31" i="9"/>
  <c r="P31" i="9"/>
  <c r="Q30" i="9"/>
  <c r="Q29" i="9"/>
  <c r="P29" i="9"/>
  <c r="Q28" i="9"/>
  <c r="P26" i="9"/>
  <c r="P27" i="9"/>
  <c r="Q26" i="9"/>
  <c r="Q25" i="9"/>
  <c r="P21" i="9"/>
  <c r="P22" i="9"/>
  <c r="P23" i="9"/>
  <c r="P24" i="9"/>
  <c r="Q21" i="9"/>
  <c r="Q20" i="9"/>
  <c r="P15" i="9"/>
  <c r="P16" i="9"/>
  <c r="P17" i="9"/>
  <c r="P18" i="9"/>
  <c r="P19" i="9"/>
  <c r="Q15" i="9"/>
  <c r="Q14" i="9"/>
  <c r="P7" i="9"/>
  <c r="P8" i="9"/>
  <c r="P9" i="9"/>
  <c r="P10" i="9"/>
  <c r="P11" i="9"/>
  <c r="P12" i="9"/>
  <c r="P13" i="9"/>
  <c r="Q7" i="9"/>
  <c r="Q6" i="9"/>
  <c r="L7" i="3"/>
  <c r="M7" i="3"/>
  <c r="L8" i="3"/>
  <c r="L9" i="3"/>
  <c r="L10" i="3"/>
  <c r="L11" i="3"/>
  <c r="L12" i="3"/>
  <c r="L13" i="3"/>
  <c r="I8" i="10"/>
  <c r="I9" i="10"/>
  <c r="I10" i="10"/>
  <c r="I11" i="10"/>
  <c r="I7" i="10"/>
  <c r="H61" i="9"/>
  <c r="H62" i="9"/>
  <c r="H65" i="9"/>
  <c r="H66" i="9"/>
  <c r="H68" i="9"/>
  <c r="H63" i="9"/>
  <c r="F64" i="9"/>
  <c r="G7" i="3"/>
  <c r="H3" i="9"/>
  <c r="E3" i="9"/>
  <c r="F3" i="9"/>
  <c r="G3" i="9"/>
  <c r="D3" i="9"/>
  <c r="F63" i="9"/>
  <c r="E68" i="9"/>
  <c r="G60" i="9"/>
  <c r="E67" i="9"/>
  <c r="E66" i="9"/>
  <c r="G66" i="9"/>
  <c r="F66" i="9"/>
  <c r="F61" i="9"/>
  <c r="E61" i="9"/>
  <c r="G61" i="9"/>
  <c r="E63" i="9"/>
  <c r="G64" i="9"/>
  <c r="E64" i="9"/>
  <c r="G65" i="9"/>
  <c r="H64" i="9"/>
  <c r="E62" i="9"/>
  <c r="G63" i="9"/>
  <c r="H60" i="9"/>
  <c r="F60" i="9"/>
  <c r="E60" i="9"/>
  <c r="G62" i="9"/>
  <c r="F62" i="9"/>
  <c r="G68" i="9"/>
  <c r="F68" i="9"/>
  <c r="H67" i="9"/>
  <c r="G67" i="9"/>
  <c r="F67" i="9"/>
  <c r="F65" i="9"/>
  <c r="E65" i="9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</calcChain>
</file>

<file path=xl/comments1.xml><?xml version="1.0" encoding="utf-8"?>
<comments xmlns="http://schemas.openxmlformats.org/spreadsheetml/2006/main">
  <authors>
    <author>ZL</author>
  </authors>
  <commentLis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fishluv_3432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0新手引导
1单人训练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主，左，右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ZL</author>
  </authors>
  <commentLis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fishluv_3432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主，左，右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ZL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fishluv_3432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主，左，右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ZL</author>
  </authors>
  <commentList>
    <comment ref="AJ4" authorId="0" shapeId="0">
      <text>
        <r>
          <rPr>
            <b/>
            <sz val="9"/>
            <color indexed="81"/>
            <rFont val="宋体"/>
            <family val="3"/>
            <charset val="134"/>
          </rPr>
          <t>主，左，右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K34" authorId="0" shapeId="0">
      <text>
        <r>
          <rPr>
            <b/>
            <sz val="9"/>
            <color indexed="81"/>
            <rFont val="宋体"/>
            <family val="3"/>
            <charset val="134"/>
          </rPr>
          <t>主，左，右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ZL:</t>
        </r>
        <r>
          <rPr>
            <sz val="9"/>
            <color indexed="81"/>
            <rFont val="宋体"/>
            <family val="3"/>
            <charset val="134"/>
          </rPr>
          <t xml:space="preserve">
老的ID是111</t>
        </r>
      </text>
    </comment>
  </commentList>
</comments>
</file>

<file path=xl/sharedStrings.xml><?xml version="1.0" encoding="utf-8"?>
<sst xmlns="http://schemas.openxmlformats.org/spreadsheetml/2006/main" count="31233" uniqueCount="15999">
  <si>
    <t>begin</t>
  </si>
  <si>
    <t>uint16</t>
  </si>
  <si>
    <t>string</t>
  </si>
  <si>
    <t>notNull</t>
  </si>
  <si>
    <t>B</t>
  </si>
  <si>
    <t>E</t>
    <phoneticPr fontId="4" type="noConversion"/>
  </si>
  <si>
    <r>
      <t>i</t>
    </r>
    <r>
      <rPr>
        <sz val="11"/>
        <color indexed="8"/>
        <rFont val="宋体"/>
        <family val="3"/>
        <charset val="134"/>
      </rPr>
      <t>d</t>
    </r>
    <phoneticPr fontId="4" type="noConversion"/>
  </si>
  <si>
    <t>需要奖杯数</t>
    <phoneticPr fontId="4" type="noConversion"/>
  </si>
  <si>
    <t>降级奖杯数</t>
    <phoneticPr fontId="4" type="noConversion"/>
  </si>
  <si>
    <t>等级</t>
    <phoneticPr fontId="4" type="noConversion"/>
  </si>
  <si>
    <t>标题</t>
    <phoneticPr fontId="4" type="noConversion"/>
  </si>
  <si>
    <t>竞技场名称</t>
    <phoneticPr fontId="4" type="noConversion"/>
  </si>
  <si>
    <r>
      <t>P</t>
    </r>
    <r>
      <rPr>
        <sz val="11"/>
        <color indexed="8"/>
        <rFont val="宋体"/>
        <family val="3"/>
        <charset val="134"/>
      </rPr>
      <t>VP场景</t>
    </r>
    <phoneticPr fontId="4" type="noConversion"/>
  </si>
  <si>
    <t>美术图标</t>
    <phoneticPr fontId="4" type="noConversion"/>
  </si>
  <si>
    <t>title</t>
  </si>
  <si>
    <t>id</t>
    <phoneticPr fontId="4" type="noConversion"/>
  </si>
  <si>
    <t>end</t>
  </si>
  <si>
    <t>level</t>
    <phoneticPr fontId="4" type="noConversion"/>
  </si>
  <si>
    <r>
      <t>n</t>
    </r>
    <r>
      <rPr>
        <sz val="11"/>
        <color indexed="8"/>
        <rFont val="宋体"/>
        <family val="3"/>
        <charset val="134"/>
      </rPr>
      <t>ame</t>
    </r>
    <phoneticPr fontId="4" type="noConversion"/>
  </si>
  <si>
    <t>trophyLimit</t>
    <phoneticPr fontId="4" type="noConversion"/>
  </si>
  <si>
    <t>demoteTrophyLimit</t>
    <phoneticPr fontId="4" type="noConversion"/>
  </si>
  <si>
    <t>icon</t>
    <phoneticPr fontId="4" type="noConversion"/>
  </si>
  <si>
    <t>E</t>
  </si>
  <si>
    <t>卡牌</t>
    <phoneticPr fontId="4" type="noConversion"/>
  </si>
  <si>
    <t>卡牌等级</t>
    <phoneticPr fontId="4" type="noConversion"/>
  </si>
  <si>
    <t>name</t>
    <phoneticPr fontId="4" type="noConversion"/>
  </si>
  <si>
    <t>E</t>
    <phoneticPr fontId="4" type="noConversion"/>
  </si>
  <si>
    <t>B</t>
    <phoneticPr fontId="4" type="noConversion"/>
  </si>
  <si>
    <t>ID</t>
    <phoneticPr fontId="4" type="noConversion"/>
  </si>
  <si>
    <t>prevToNext</t>
  </si>
  <si>
    <t>骑士</t>
  </si>
  <si>
    <t>弓箭手</t>
  </si>
  <si>
    <t>哥布林</t>
  </si>
  <si>
    <t>巨人</t>
  </si>
  <si>
    <t>火球</t>
  </si>
  <si>
    <t>幼龙</t>
  </si>
  <si>
    <t>箭雨</t>
  </si>
  <si>
    <t>骷髅兵</t>
  </si>
  <si>
    <t>炸弹人</t>
  </si>
  <si>
    <t>初始奖杯</t>
    <phoneticPr fontId="4" type="noConversion"/>
  </si>
  <si>
    <t>玩家等级</t>
    <phoneticPr fontId="4" type="noConversion"/>
  </si>
  <si>
    <t>playerLevel</t>
    <phoneticPr fontId="4" type="noConversion"/>
  </si>
  <si>
    <r>
      <t>e</t>
    </r>
    <r>
      <rPr>
        <sz val="11"/>
        <color indexed="8"/>
        <rFont val="宋体"/>
        <family val="3"/>
        <charset val="134"/>
      </rPr>
      <t>nd</t>
    </r>
    <phoneticPr fontId="4" type="noConversion"/>
  </si>
  <si>
    <t>新增竞技场里机器人的配置《ArenasRobot》  具体字段和规则，等薛刚制作战斗时确定</t>
    <phoneticPr fontId="4" type="noConversion"/>
  </si>
  <si>
    <t>新增新手训练配置《Tutorial》  具体字段和规则，等薛刚制作战斗时确定</t>
    <phoneticPr fontId="4" type="noConversion"/>
  </si>
  <si>
    <t>训练营</t>
    <phoneticPr fontId="4" type="noConversion"/>
  </si>
  <si>
    <t>1阶竞技场</t>
    <phoneticPr fontId="4" type="noConversion"/>
  </si>
  <si>
    <t>2阶竞技场</t>
  </si>
  <si>
    <t>3阶竞技场</t>
  </si>
  <si>
    <t>4阶竞技场</t>
  </si>
  <si>
    <t>5阶竞技场</t>
  </si>
  <si>
    <t>6阶竞技场</t>
  </si>
  <si>
    <t>7阶竞技场</t>
  </si>
  <si>
    <t>8阶竞技场</t>
  </si>
  <si>
    <t>竞技场增加1级</t>
    <phoneticPr fontId="4" type="noConversion"/>
  </si>
  <si>
    <t>cardsLevel</t>
    <phoneticPr fontId="4" type="noConversion"/>
  </si>
  <si>
    <r>
      <t>uint16</t>
    </r>
    <r>
      <rPr>
        <sz val="11"/>
        <color indexed="8"/>
        <rFont val="宋体"/>
        <family val="3"/>
        <charset val="134"/>
      </rPr>
      <t>[]</t>
    </r>
    <phoneticPr fontId="4" type="noConversion"/>
  </si>
  <si>
    <t>initialTrophy</t>
    <phoneticPr fontId="4" type="noConversion"/>
  </si>
  <si>
    <t>cards</t>
    <phoneticPr fontId="4" type="noConversion"/>
  </si>
  <si>
    <t>id</t>
    <phoneticPr fontId="4" type="noConversion"/>
  </si>
  <si>
    <t>int32[]</t>
    <phoneticPr fontId="4" type="noConversion"/>
  </si>
  <si>
    <r>
      <t>e</t>
    </r>
    <r>
      <rPr>
        <sz val="11"/>
        <color indexed="8"/>
        <rFont val="宋体"/>
        <family val="3"/>
        <charset val="134"/>
      </rPr>
      <t>nd</t>
    </r>
    <phoneticPr fontId="4" type="noConversion"/>
  </si>
  <si>
    <t>robotNameLeft</t>
    <phoneticPr fontId="4" type="noConversion"/>
  </si>
  <si>
    <t>robotNameRight</t>
    <phoneticPr fontId="4" type="noConversion"/>
  </si>
  <si>
    <t>随机名字前缀</t>
    <phoneticPr fontId="4" type="noConversion"/>
  </si>
  <si>
    <t>随机名字后缀</t>
    <phoneticPr fontId="4" type="noConversion"/>
  </si>
  <si>
    <t>B</t>
    <phoneticPr fontId="4" type="noConversion"/>
  </si>
  <si>
    <t>狼.</t>
  </si>
  <si>
    <t>指挥官</t>
  </si>
  <si>
    <t>熊.</t>
  </si>
  <si>
    <t>保护神</t>
  </si>
  <si>
    <t>亡骨.</t>
  </si>
  <si>
    <t>帝王</t>
  </si>
  <si>
    <t>刹那.</t>
  </si>
  <si>
    <t>冠军</t>
  </si>
  <si>
    <t>破魔.</t>
  </si>
  <si>
    <t>国王</t>
  </si>
  <si>
    <t>血锤.</t>
  </si>
  <si>
    <t>行政官</t>
  </si>
  <si>
    <t>保罗.</t>
  </si>
  <si>
    <t>王子</t>
  </si>
  <si>
    <t>贝塔.</t>
  </si>
  <si>
    <t>伊维特</t>
  </si>
  <si>
    <t>锤石.</t>
  </si>
  <si>
    <t>岩石</t>
  </si>
  <si>
    <t>盖伦.</t>
  </si>
  <si>
    <t>高富帅</t>
  </si>
  <si>
    <t>迦娜.</t>
  </si>
  <si>
    <t>正太</t>
  </si>
  <si>
    <t>提莫.</t>
  </si>
  <si>
    <t>大叔</t>
  </si>
  <si>
    <t>乔治.</t>
  </si>
  <si>
    <t>男神</t>
  </si>
  <si>
    <t>达勒.</t>
  </si>
  <si>
    <t>山丘之王</t>
  </si>
  <si>
    <t>珀西.</t>
  </si>
  <si>
    <t>齐天大圣</t>
  </si>
  <si>
    <t>邓肯.</t>
  </si>
  <si>
    <t>众星之子</t>
  </si>
  <si>
    <t>墨菲.</t>
  </si>
  <si>
    <t>鸟人</t>
  </si>
  <si>
    <t>卡特.</t>
  </si>
  <si>
    <t>胖子</t>
  </si>
  <si>
    <t>特纳.</t>
  </si>
  <si>
    <t>大帝</t>
  </si>
  <si>
    <t>贝克.</t>
  </si>
  <si>
    <t>巨魔战将</t>
  </si>
  <si>
    <t>雪莱.</t>
  </si>
  <si>
    <t>混沌骑士</t>
  </si>
  <si>
    <t>沃克.</t>
  </si>
  <si>
    <t>撼地神牛</t>
  </si>
  <si>
    <t>欧文.</t>
  </si>
  <si>
    <t>蝙蝠骑士</t>
  </si>
  <si>
    <t>柯克.</t>
  </si>
  <si>
    <t>暗影恶魔</t>
  </si>
  <si>
    <t>基思.</t>
  </si>
  <si>
    <t>熊战士</t>
  </si>
  <si>
    <t>霍尔.</t>
  </si>
  <si>
    <t>骷髅王</t>
  </si>
  <si>
    <t>艾迪.</t>
  </si>
  <si>
    <t>风行者</t>
  </si>
  <si>
    <t>加里.</t>
  </si>
  <si>
    <t>德鲁伊</t>
  </si>
  <si>
    <t>希尔.</t>
  </si>
  <si>
    <t>鬼哭战神</t>
  </si>
  <si>
    <t>贝尔.</t>
  </si>
  <si>
    <t>兽人</t>
  </si>
  <si>
    <t>泰勒.</t>
  </si>
  <si>
    <t>天马座</t>
  </si>
  <si>
    <t>瓦伦.</t>
  </si>
  <si>
    <t>盗火者</t>
  </si>
  <si>
    <t>库克.</t>
  </si>
  <si>
    <t>侏儒神匠</t>
  </si>
  <si>
    <t>格林.</t>
  </si>
  <si>
    <t>圣骑之王</t>
  </si>
  <si>
    <t>奎克.</t>
  </si>
  <si>
    <t>沙漠神</t>
  </si>
  <si>
    <t>康德.</t>
  </si>
  <si>
    <t>雷神</t>
  </si>
  <si>
    <t>图灵.</t>
  </si>
  <si>
    <t>猎魔者</t>
  </si>
  <si>
    <t>牛顿.</t>
  </si>
  <si>
    <t>擎天巨神</t>
  </si>
  <si>
    <t>霍金.</t>
  </si>
  <si>
    <t>邪神</t>
  </si>
  <si>
    <t>高斯.</t>
  </si>
  <si>
    <t>大力神</t>
  </si>
  <si>
    <t>玻尔.</t>
  </si>
  <si>
    <t>牧树者</t>
  </si>
  <si>
    <t>瓦特.</t>
  </si>
  <si>
    <t>北海巨妖</t>
  </si>
  <si>
    <t>欧拉.</t>
  </si>
  <si>
    <t>金牛座</t>
  </si>
  <si>
    <t>安培.</t>
  </si>
  <si>
    <t>征服者</t>
  </si>
  <si>
    <t>欧姆.</t>
  </si>
  <si>
    <t>时空主宰</t>
  </si>
  <si>
    <t>焦耳.</t>
  </si>
  <si>
    <t>海盗王</t>
  </si>
  <si>
    <t>赫兹.</t>
  </si>
  <si>
    <t>善龙之王</t>
  </si>
  <si>
    <t>库仑.</t>
  </si>
  <si>
    <t>法老王</t>
  </si>
  <si>
    <t>摩尔.</t>
  </si>
  <si>
    <t>冥狼神</t>
  </si>
  <si>
    <t>香农.</t>
  </si>
  <si>
    <t>征服骑士</t>
  </si>
  <si>
    <t>费马.</t>
  </si>
  <si>
    <t>冥王</t>
  </si>
  <si>
    <t>费米.</t>
  </si>
  <si>
    <t>海皇</t>
  </si>
  <si>
    <t>佩恩.</t>
  </si>
  <si>
    <t>天父</t>
  </si>
  <si>
    <t>乔尔.</t>
  </si>
  <si>
    <t>地之元素</t>
  </si>
  <si>
    <t>拜伦.</t>
  </si>
  <si>
    <t>圣盔虫</t>
  </si>
  <si>
    <t>福勒.</t>
  </si>
  <si>
    <t>战争骑士</t>
  </si>
  <si>
    <t>康尼.</t>
  </si>
  <si>
    <t>太阳神</t>
  </si>
  <si>
    <t>埃伦.</t>
  </si>
  <si>
    <t>不灭战神</t>
  </si>
  <si>
    <t>马克.</t>
  </si>
  <si>
    <t>世界树</t>
  </si>
  <si>
    <t>马奇.</t>
  </si>
  <si>
    <t>独眼巨人</t>
  </si>
  <si>
    <t>亨利.</t>
  </si>
  <si>
    <t>黄金之王</t>
  </si>
  <si>
    <t>巴顿.</t>
  </si>
  <si>
    <t>大天使长</t>
  </si>
  <si>
    <t>福特.</t>
  </si>
  <si>
    <t>破晓之神</t>
  </si>
  <si>
    <t>肖.</t>
  </si>
  <si>
    <t>异界邪神</t>
  </si>
  <si>
    <t>本.</t>
  </si>
  <si>
    <t>睡神</t>
  </si>
  <si>
    <t>王.</t>
  </si>
  <si>
    <t>炼狱魔王</t>
  </si>
  <si>
    <t>丹.</t>
  </si>
  <si>
    <t>环世巨蟒</t>
  </si>
  <si>
    <t>哈维.</t>
  </si>
  <si>
    <t>双子座</t>
  </si>
  <si>
    <t>卡卡.</t>
  </si>
  <si>
    <t>天方夜谭</t>
  </si>
  <si>
    <t>卡福.</t>
  </si>
  <si>
    <t>始祖巨人</t>
  </si>
  <si>
    <t>贝隆.</t>
  </si>
  <si>
    <t>血夜伯爵</t>
  </si>
  <si>
    <t>范尼.</t>
  </si>
  <si>
    <t>吞世魔狼</t>
  </si>
  <si>
    <t>特里.</t>
  </si>
  <si>
    <t>勇气战神</t>
  </si>
  <si>
    <t>罗本.</t>
  </si>
  <si>
    <t>圆桌统领</t>
  </si>
  <si>
    <t>鲁尼.</t>
  </si>
  <si>
    <t>炎魔</t>
  </si>
  <si>
    <t>卡恩.</t>
  </si>
  <si>
    <t>万妖之祖</t>
  </si>
  <si>
    <t>巴蒂.</t>
  </si>
  <si>
    <t>终战兵器</t>
  </si>
  <si>
    <t>劳尔.</t>
  </si>
  <si>
    <t>隐匿之神</t>
  </si>
  <si>
    <t>梅西.</t>
  </si>
  <si>
    <t>凤凰座</t>
  </si>
  <si>
    <t>拉姆.</t>
  </si>
  <si>
    <t>狮心王座</t>
  </si>
  <si>
    <t>巴乔.</t>
  </si>
  <si>
    <t>通灵猎手</t>
  </si>
  <si>
    <t>托蒂.</t>
  </si>
  <si>
    <t>机关人</t>
  </si>
  <si>
    <t>古蒂.</t>
  </si>
  <si>
    <t>逆袭者</t>
  </si>
  <si>
    <t>博扬.</t>
  </si>
  <si>
    <t>灵魂猎手</t>
  </si>
  <si>
    <t>菲戈.</t>
  </si>
  <si>
    <t>阿努比斯</t>
  </si>
  <si>
    <t>切赫.</t>
  </si>
  <si>
    <t>疾风</t>
  </si>
  <si>
    <t>帕托.</t>
  </si>
  <si>
    <t>万兽烈帝</t>
  </si>
  <si>
    <t>皮雷.</t>
  </si>
  <si>
    <t>轮魔</t>
  </si>
  <si>
    <t>托尼.</t>
  </si>
  <si>
    <t>恐惧杀手</t>
  </si>
  <si>
    <t>莱曼.</t>
  </si>
  <si>
    <t>赤鬼</t>
  </si>
  <si>
    <t>加戈.</t>
  </si>
  <si>
    <t>小丑</t>
  </si>
  <si>
    <t>华金.</t>
  </si>
  <si>
    <t>土著</t>
  </si>
  <si>
    <t>迭戈.</t>
  </si>
  <si>
    <t>圣殿刺客</t>
  </si>
  <si>
    <t>温格.</t>
  </si>
  <si>
    <t>无面骑士</t>
  </si>
  <si>
    <t>德科.</t>
  </si>
  <si>
    <t>无常</t>
  </si>
  <si>
    <t>玛塔.</t>
  </si>
  <si>
    <t>熊猫</t>
  </si>
  <si>
    <t>贝利.</t>
  </si>
  <si>
    <t>水元素</t>
  </si>
  <si>
    <t>基恩.</t>
  </si>
  <si>
    <t>血色伯爵</t>
  </si>
  <si>
    <t>马塔.</t>
  </si>
  <si>
    <t>浑沌</t>
  </si>
  <si>
    <t>齐沃.</t>
  </si>
  <si>
    <t>食人花</t>
  </si>
  <si>
    <t>芬南.</t>
  </si>
  <si>
    <t>腾蛇</t>
  </si>
  <si>
    <t>马凯.</t>
  </si>
  <si>
    <t>死神</t>
  </si>
  <si>
    <t>埃辛.</t>
  </si>
  <si>
    <t>冰翼</t>
  </si>
  <si>
    <t>雷纳.</t>
  </si>
  <si>
    <t>飓风领主</t>
  </si>
  <si>
    <t>桑顿.</t>
  </si>
  <si>
    <t>爆破先锋</t>
  </si>
  <si>
    <t>弗兰.</t>
  </si>
  <si>
    <t>玄武</t>
  </si>
  <si>
    <t>穆图.</t>
  </si>
  <si>
    <t>浩劫</t>
  </si>
  <si>
    <t>索萨.</t>
  </si>
  <si>
    <t>眼魔</t>
  </si>
  <si>
    <t>纳尼.</t>
  </si>
  <si>
    <t>黑暗骑士</t>
  </si>
  <si>
    <t>迪达.</t>
  </si>
  <si>
    <t>符文石魔</t>
  </si>
  <si>
    <t>皮克.</t>
  </si>
  <si>
    <t>夜影剑魔</t>
  </si>
  <si>
    <t>希勒.</t>
  </si>
  <si>
    <t>火焰魔王</t>
  </si>
  <si>
    <t>伦辛.</t>
  </si>
  <si>
    <t>龙骸</t>
  </si>
  <si>
    <t>索林.</t>
  </si>
  <si>
    <t>无双战帝</t>
  </si>
  <si>
    <t>西塞.</t>
  </si>
  <si>
    <t>锁甲兽</t>
  </si>
  <si>
    <t>波利.</t>
  </si>
  <si>
    <t>木鬼</t>
  </si>
  <si>
    <t>麦孔.</t>
  </si>
  <si>
    <t>刽子手</t>
  </si>
  <si>
    <t>哲科.</t>
  </si>
  <si>
    <t>电磁狂尸</t>
  </si>
  <si>
    <t>博班.</t>
  </si>
  <si>
    <t>雷原巨像</t>
  </si>
  <si>
    <t>科科.</t>
  </si>
  <si>
    <t>伽利略</t>
  </si>
  <si>
    <t>恩克.</t>
  </si>
  <si>
    <t>达尔文</t>
  </si>
  <si>
    <t>奥多.</t>
  </si>
  <si>
    <t>阿基米德</t>
  </si>
  <si>
    <t>佩佩.</t>
  </si>
  <si>
    <t>爱因斯坦</t>
  </si>
  <si>
    <t>汉克.</t>
  </si>
  <si>
    <t>特斯拉</t>
  </si>
  <si>
    <t>雅辛.</t>
  </si>
  <si>
    <t>诺贝尔</t>
  </si>
  <si>
    <t>里瑟.</t>
  </si>
  <si>
    <t>薛定谔</t>
  </si>
  <si>
    <t>图雷.</t>
  </si>
  <si>
    <t>门捷列夫</t>
  </si>
  <si>
    <t>蒙松.</t>
  </si>
  <si>
    <t>哥白尼</t>
  </si>
  <si>
    <t>弗雷.</t>
  </si>
  <si>
    <t>帕斯卡</t>
  </si>
  <si>
    <t>莱尔.</t>
  </si>
  <si>
    <t>拉格朗日</t>
  </si>
  <si>
    <t>绍尔.</t>
  </si>
  <si>
    <t>开普勒</t>
  </si>
  <si>
    <t>久利.</t>
  </si>
  <si>
    <t>德布罗意</t>
  </si>
  <si>
    <t>苏克.</t>
  </si>
  <si>
    <t>法拉第</t>
  </si>
  <si>
    <t>邓加.</t>
  </si>
  <si>
    <t>爱迪生</t>
  </si>
  <si>
    <t>卡劳.</t>
  </si>
  <si>
    <t>曼哈顿</t>
  </si>
  <si>
    <t>西芒.</t>
  </si>
  <si>
    <t>哥德尔</t>
  </si>
  <si>
    <t>莫塔.</t>
  </si>
  <si>
    <t>惠更斯</t>
  </si>
  <si>
    <t>奥谢.</t>
  </si>
  <si>
    <t>普朗克</t>
  </si>
  <si>
    <t>埃布.</t>
  </si>
  <si>
    <t>卢瑟福</t>
  </si>
  <si>
    <t>扬森.</t>
  </si>
  <si>
    <t>海森堡</t>
  </si>
  <si>
    <t>胡安.</t>
  </si>
  <si>
    <t>哥德巴赫</t>
  </si>
  <si>
    <t>加雷.</t>
  </si>
  <si>
    <t>欧拉</t>
  </si>
  <si>
    <t>迪福.</t>
  </si>
  <si>
    <t>黎曼</t>
  </si>
  <si>
    <t>罗基.</t>
  </si>
  <si>
    <t>暗骑士</t>
  </si>
  <si>
    <t>若奥.</t>
  </si>
  <si>
    <t>剑斗士</t>
  </si>
  <si>
    <t>萨哈.</t>
  </si>
  <si>
    <t>法魔</t>
  </si>
  <si>
    <t>多尼.</t>
  </si>
  <si>
    <t>主教</t>
  </si>
  <si>
    <t>佐拉.</t>
  </si>
  <si>
    <t>精灵</t>
  </si>
  <si>
    <t>图亚.</t>
  </si>
  <si>
    <t>元素使</t>
  </si>
  <si>
    <t>德尚.</t>
  </si>
  <si>
    <t>剑术诗人</t>
  </si>
  <si>
    <t>鹰眼.</t>
  </si>
  <si>
    <t>大地行者</t>
  </si>
  <si>
    <t>佣兵.</t>
  </si>
  <si>
    <t>银月游侠</t>
  </si>
  <si>
    <t>河马.</t>
  </si>
  <si>
    <t>咒术诗人</t>
  </si>
  <si>
    <t>河豚.</t>
  </si>
  <si>
    <t>长老</t>
  </si>
  <si>
    <t>黑鱼.</t>
  </si>
  <si>
    <t>黑暗精灵</t>
  </si>
  <si>
    <t>猴子.</t>
  </si>
  <si>
    <t>深渊刺客</t>
  </si>
  <si>
    <t>虎.</t>
  </si>
  <si>
    <t>暗影游侠</t>
  </si>
  <si>
    <t>鲸.</t>
  </si>
  <si>
    <t>狂咒术士</t>
  </si>
  <si>
    <t>马.</t>
  </si>
  <si>
    <t>霸主</t>
  </si>
  <si>
    <t>虾.</t>
  </si>
  <si>
    <t>暴君</t>
  </si>
  <si>
    <t>蟹.</t>
  </si>
  <si>
    <t>战争工匠</t>
  </si>
  <si>
    <t>鸭.</t>
  </si>
  <si>
    <t>哈迪斯</t>
  </si>
  <si>
    <t>雁.</t>
  </si>
  <si>
    <t>宙斯</t>
  </si>
  <si>
    <t>羊驼.</t>
  </si>
  <si>
    <t>波塞冬</t>
  </si>
  <si>
    <t>蚁.</t>
  </si>
  <si>
    <t>阿波罗</t>
  </si>
  <si>
    <t>鹰.</t>
  </si>
  <si>
    <t>地狱犬</t>
  </si>
  <si>
    <t>蜘蛛.</t>
  </si>
  <si>
    <t>百臂巨人</t>
  </si>
  <si>
    <t>猪.</t>
  </si>
  <si>
    <t>安康鱼</t>
  </si>
  <si>
    <t>巨浪.</t>
  </si>
  <si>
    <t>变色龙</t>
  </si>
  <si>
    <t>大汉.</t>
  </si>
  <si>
    <t>大螯虾</t>
  </si>
  <si>
    <t>人狼.</t>
  </si>
  <si>
    <t>大黄蜂</t>
  </si>
  <si>
    <t>狂龙.</t>
  </si>
  <si>
    <t>金枪鱼</t>
  </si>
  <si>
    <t>剑龙.</t>
  </si>
  <si>
    <t>土拨鼠</t>
  </si>
  <si>
    <t>角龙.</t>
  </si>
  <si>
    <t>响尾蛇</t>
  </si>
  <si>
    <t>弹弓.</t>
  </si>
  <si>
    <t>信天翁</t>
  </si>
  <si>
    <t>飞火.</t>
  </si>
  <si>
    <t>眼镜蛇</t>
  </si>
  <si>
    <t>犀牛.</t>
  </si>
  <si>
    <t>银环蛇</t>
  </si>
  <si>
    <t>腾云.</t>
  </si>
  <si>
    <t>萤火虫</t>
  </si>
  <si>
    <t>冲锋.</t>
  </si>
  <si>
    <t>长臂猿</t>
  </si>
  <si>
    <t>瘟疫.</t>
  </si>
  <si>
    <t>擎天柱</t>
  </si>
  <si>
    <t>狂飙.</t>
  </si>
  <si>
    <t>救护车</t>
  </si>
  <si>
    <t>声波.</t>
  </si>
  <si>
    <t>宇宙飞碟</t>
  </si>
  <si>
    <t>贝拉.</t>
  </si>
  <si>
    <t>大力金刚</t>
  </si>
  <si>
    <t>豹.</t>
  </si>
  <si>
    <t>补天士</t>
  </si>
  <si>
    <t>壁虎.</t>
  </si>
  <si>
    <t>剑齿虎</t>
  </si>
  <si>
    <t>蝙蝠.</t>
  </si>
  <si>
    <t>威震天</t>
  </si>
  <si>
    <t>苍鹰.</t>
  </si>
  <si>
    <t>红蜘蛛</t>
  </si>
  <si>
    <t>狗.</t>
  </si>
  <si>
    <t>惊天雷</t>
  </si>
  <si>
    <t>海马.</t>
  </si>
  <si>
    <t>混天豹</t>
  </si>
  <si>
    <t>鹿.</t>
  </si>
  <si>
    <t>震荡波</t>
  </si>
  <si>
    <t>骆驼.</t>
  </si>
  <si>
    <t>铁甲龙</t>
  </si>
  <si>
    <t>蟒蛇.</t>
  </si>
  <si>
    <t>三角龙</t>
  </si>
  <si>
    <t>猫.</t>
  </si>
  <si>
    <t>棱背龙</t>
  </si>
  <si>
    <t>牛.</t>
  </si>
  <si>
    <t>巨无霸</t>
  </si>
  <si>
    <t>狮.</t>
  </si>
  <si>
    <t>天使</t>
  </si>
  <si>
    <t>兔子.</t>
  </si>
  <si>
    <t>和平使者</t>
  </si>
  <si>
    <t>王蛇.</t>
  </si>
  <si>
    <t>领袖</t>
  </si>
  <si>
    <t>蜗牛.</t>
  </si>
  <si>
    <t>龙</t>
  </si>
  <si>
    <t>蝎子.</t>
  </si>
  <si>
    <t>荣耀者</t>
  </si>
  <si>
    <t>羊.</t>
  </si>
  <si>
    <t>上帝</t>
  </si>
  <si>
    <t>幻影.</t>
  </si>
  <si>
    <t>神</t>
  </si>
  <si>
    <t>闪电.</t>
  </si>
  <si>
    <t>勇者</t>
  </si>
  <si>
    <t>白.</t>
  </si>
  <si>
    <t>黑.</t>
  </si>
  <si>
    <t>领导者</t>
  </si>
  <si>
    <t>无双.</t>
  </si>
  <si>
    <t>统治者</t>
  </si>
  <si>
    <t>不朽.</t>
  </si>
  <si>
    <t>异乡人</t>
  </si>
  <si>
    <t>爱.</t>
  </si>
  <si>
    <t>异族人</t>
  </si>
  <si>
    <t>神.</t>
  </si>
  <si>
    <t>保护者</t>
  </si>
  <si>
    <t>舞.</t>
  </si>
  <si>
    <t>胜利者</t>
  </si>
  <si>
    <t>魂.</t>
  </si>
  <si>
    <t>威尔斯</t>
  </si>
  <si>
    <t>解.</t>
  </si>
  <si>
    <t>门徒</t>
  </si>
  <si>
    <t>虚.</t>
  </si>
  <si>
    <t>五月天</t>
  </si>
  <si>
    <t>真.</t>
  </si>
  <si>
    <t>上帝之名</t>
  </si>
  <si>
    <t>恋.</t>
  </si>
  <si>
    <t>神圣之矛</t>
  </si>
  <si>
    <t>伊.</t>
  </si>
  <si>
    <t>教授</t>
  </si>
  <si>
    <t>翎.</t>
  </si>
  <si>
    <t>战争之王</t>
  </si>
  <si>
    <t>浅.</t>
  </si>
  <si>
    <t>战神</t>
  </si>
  <si>
    <t>影.</t>
  </si>
  <si>
    <t>龙傲天</t>
  </si>
  <si>
    <t>涵.</t>
  </si>
  <si>
    <t>恶魔</t>
  </si>
  <si>
    <t>艾维.</t>
  </si>
  <si>
    <t>恐惧魔王</t>
  </si>
  <si>
    <t>奥玛.</t>
  </si>
  <si>
    <t>圣骑士</t>
  </si>
  <si>
    <t>奥特.</t>
  </si>
  <si>
    <t>剑圣</t>
  </si>
  <si>
    <t>彼得.</t>
  </si>
  <si>
    <t>先知</t>
  </si>
  <si>
    <t>波特.</t>
  </si>
  <si>
    <t>酋长</t>
  </si>
  <si>
    <t>德国.</t>
  </si>
  <si>
    <t>暗影猎手</t>
  </si>
  <si>
    <t>法国.</t>
  </si>
  <si>
    <t>死亡骑士</t>
  </si>
  <si>
    <t>菲尔.</t>
  </si>
  <si>
    <t>巫妖</t>
  </si>
  <si>
    <t>斐瑞.</t>
  </si>
  <si>
    <t>巫妖王</t>
  </si>
  <si>
    <t>昆顿.</t>
  </si>
  <si>
    <t>领主</t>
  </si>
  <si>
    <t>昆特.</t>
  </si>
  <si>
    <t>恶魔猎手</t>
  </si>
  <si>
    <t>昆西.</t>
  </si>
  <si>
    <t>守望者</t>
  </si>
  <si>
    <t>拉丁.</t>
  </si>
  <si>
    <t>祭司</t>
  </si>
  <si>
    <t>莱安.</t>
  </si>
  <si>
    <t>迷失之牙</t>
  </si>
  <si>
    <t>雷根.</t>
  </si>
  <si>
    <t>暗黑元首</t>
  </si>
  <si>
    <t>雷哲.</t>
  </si>
  <si>
    <t>暗夜猎手</t>
  </si>
  <si>
    <t>理查.</t>
  </si>
  <si>
    <t>暗裔剑魔</t>
  </si>
  <si>
    <t>鲁宾.</t>
  </si>
  <si>
    <t>暗影之拳</t>
  </si>
  <si>
    <t>罗宾.</t>
  </si>
  <si>
    <t>宝石骑士</t>
  </si>
  <si>
    <t>罗德.</t>
  </si>
  <si>
    <t>冰晶凤凰</t>
  </si>
  <si>
    <t>罗恩.</t>
  </si>
  <si>
    <t>不祥之刃</t>
  </si>
  <si>
    <t>罗里.</t>
  </si>
  <si>
    <t>策士统领</t>
  </si>
  <si>
    <t>罗伊.</t>
  </si>
  <si>
    <t>潮汐海灵</t>
  </si>
  <si>
    <t>洛克.</t>
  </si>
  <si>
    <t>惩戒之箭</t>
  </si>
  <si>
    <t>麦伦.</t>
  </si>
  <si>
    <t>大发明家</t>
  </si>
  <si>
    <t>米亚.</t>
  </si>
  <si>
    <t>刀锋意志</t>
  </si>
  <si>
    <t>摩顿.</t>
  </si>
  <si>
    <t>刀锋之影</t>
  </si>
  <si>
    <t>摩菲.</t>
  </si>
  <si>
    <t>德邦总管</t>
  </si>
  <si>
    <t>摩西.</t>
  </si>
  <si>
    <t>德玛西亚</t>
  </si>
  <si>
    <t>莫尔.</t>
  </si>
  <si>
    <t>堕落天使</t>
  </si>
  <si>
    <t>莫雷.</t>
  </si>
  <si>
    <t>恶魔小丑</t>
  </si>
  <si>
    <t>纳特.</t>
  </si>
  <si>
    <t>发条魔灵</t>
  </si>
  <si>
    <t>奈登.</t>
  </si>
  <si>
    <t>法外狂徒</t>
  </si>
  <si>
    <t>尼尔.</t>
  </si>
  <si>
    <t>放逐之刃</t>
  </si>
  <si>
    <t>尼克.</t>
  </si>
  <si>
    <t>风暴之怒</t>
  </si>
  <si>
    <t>纽曼.</t>
  </si>
  <si>
    <t>复仇焰魂</t>
  </si>
  <si>
    <t>诺顿.</t>
  </si>
  <si>
    <t>钢铁大使</t>
  </si>
  <si>
    <t>诺尔.</t>
  </si>
  <si>
    <t>海洋之灾</t>
  </si>
  <si>
    <t>诺曼.</t>
  </si>
  <si>
    <t>寒冰射手</t>
  </si>
  <si>
    <t>诺亚.</t>
  </si>
  <si>
    <t>荒漠屠夫</t>
  </si>
  <si>
    <t>欧恩.</t>
  </si>
  <si>
    <t>机械公敌</t>
  </si>
  <si>
    <t>派恩.</t>
  </si>
  <si>
    <t>机械先驱</t>
  </si>
  <si>
    <t>派克.</t>
  </si>
  <si>
    <t>疾风剑豪</t>
  </si>
  <si>
    <t>培迪.</t>
  </si>
  <si>
    <t>荆棘之兴</t>
  </si>
  <si>
    <t>裴吉.</t>
  </si>
  <si>
    <t>九尾妖狐</t>
  </si>
  <si>
    <t>佩儿.</t>
  </si>
  <si>
    <t>巨魔之王</t>
  </si>
  <si>
    <t>皮特.</t>
  </si>
  <si>
    <t>狂暴之心</t>
  </si>
  <si>
    <t>瑞秋.</t>
  </si>
  <si>
    <t>狂野猎手</t>
  </si>
  <si>
    <t>萨拉.</t>
  </si>
  <si>
    <t>雷霆咆哮</t>
  </si>
  <si>
    <t>赛门.</t>
  </si>
  <si>
    <t>炼金术士</t>
  </si>
  <si>
    <t>山迪.</t>
  </si>
  <si>
    <t>凛冬之怒</t>
  </si>
  <si>
    <t>山姆.</t>
  </si>
  <si>
    <t>流浪法师</t>
  </si>
  <si>
    <t>史丹.</t>
  </si>
  <si>
    <t>麦林炮手</t>
  </si>
  <si>
    <t>希腊.</t>
  </si>
  <si>
    <t>蛮族之王</t>
  </si>
  <si>
    <t>锡德.</t>
  </si>
  <si>
    <t>魔蛇之拥</t>
  </si>
  <si>
    <t>肖恩.</t>
  </si>
  <si>
    <t>末日使者</t>
  </si>
  <si>
    <t>艾达.</t>
  </si>
  <si>
    <t>暮光之眼</t>
  </si>
  <si>
    <t>艾拉.</t>
  </si>
  <si>
    <t>牛头酋长</t>
  </si>
  <si>
    <t>艾西.</t>
  </si>
  <si>
    <t>扭曲树精</t>
  </si>
  <si>
    <t>柏莎.</t>
  </si>
  <si>
    <t>披甲龙龟</t>
  </si>
  <si>
    <t>多拉.</t>
  </si>
  <si>
    <t>熔岩巨兽</t>
  </si>
  <si>
    <t>多琳.</t>
  </si>
  <si>
    <t>沙漠死神</t>
  </si>
  <si>
    <t>尔莎.</t>
  </si>
  <si>
    <t>赏金猎人</t>
  </si>
  <si>
    <t>费怡.</t>
  </si>
  <si>
    <t>哨兵之殇</t>
  </si>
  <si>
    <t>费滋.</t>
  </si>
  <si>
    <t>深海泰坦</t>
  </si>
  <si>
    <t>盖尔.</t>
  </si>
  <si>
    <t>深渊巨口</t>
  </si>
  <si>
    <t>海伦.</t>
  </si>
  <si>
    <t>审判天使</t>
  </si>
  <si>
    <t>赫达.</t>
  </si>
  <si>
    <t>生化魔人</t>
  </si>
  <si>
    <t>赫蒂.</t>
  </si>
  <si>
    <t>圣枪游侠</t>
  </si>
  <si>
    <t>胡达.</t>
  </si>
  <si>
    <t>嗜血猎手</t>
  </si>
  <si>
    <t>卡拉.</t>
  </si>
  <si>
    <t>首领之傲</t>
  </si>
  <si>
    <t>卡萝.</t>
  </si>
  <si>
    <t>水晶先锋</t>
  </si>
  <si>
    <t>凯丝.</t>
  </si>
  <si>
    <t>亡灵勇士</t>
  </si>
  <si>
    <t>柯拉.</t>
  </si>
  <si>
    <t>瘟疫之源</t>
  </si>
  <si>
    <t>伊甸.</t>
  </si>
  <si>
    <t>无极剑圣</t>
  </si>
  <si>
    <t>伊芙.</t>
  </si>
  <si>
    <t>无双剑姬</t>
  </si>
  <si>
    <t>阿狸.</t>
  </si>
  <si>
    <t>虚空行者</t>
  </si>
  <si>
    <t>艾希.</t>
  </si>
  <si>
    <t>虚空先知</t>
  </si>
  <si>
    <t>波比.</t>
  </si>
  <si>
    <t>虚空之眼</t>
  </si>
  <si>
    <t>菲兹.</t>
  </si>
  <si>
    <t>雪人骑士</t>
  </si>
  <si>
    <t>基兰.</t>
  </si>
  <si>
    <t>迅捷斥候</t>
  </si>
  <si>
    <t>杰斯.</t>
  </si>
  <si>
    <t>野兽之灵</t>
  </si>
  <si>
    <t>凯尔.</t>
  </si>
  <si>
    <t>影流之主</t>
  </si>
  <si>
    <t>凯南.</t>
  </si>
  <si>
    <t>永恒梦魇</t>
  </si>
  <si>
    <t>库奇.</t>
  </si>
  <si>
    <t>远古巫灵</t>
  </si>
  <si>
    <t>奎因.</t>
  </si>
  <si>
    <t>战争之影</t>
  </si>
  <si>
    <t>兰博.</t>
  </si>
  <si>
    <t>典狱长</t>
  </si>
  <si>
    <t>茂凯.</t>
  </si>
  <si>
    <t>行刑官</t>
  </si>
  <si>
    <t>蒙多.</t>
  </si>
  <si>
    <t>机器人</t>
  </si>
  <si>
    <t>魔腾.</t>
  </si>
  <si>
    <t>掘墓者</t>
  </si>
  <si>
    <t>努努.</t>
  </si>
  <si>
    <t>狂战士</t>
  </si>
  <si>
    <t>潘森.</t>
  </si>
  <si>
    <t>掠夺者</t>
  </si>
  <si>
    <t>锐雯.</t>
  </si>
  <si>
    <t>收割者</t>
  </si>
  <si>
    <t>瑞兹.</t>
  </si>
  <si>
    <t>探险家</t>
  </si>
  <si>
    <t>萨科.</t>
  </si>
  <si>
    <t>天启者</t>
  </si>
  <si>
    <t>赛恩.</t>
  </si>
  <si>
    <t>执法官</t>
  </si>
  <si>
    <t>娑娜.</t>
  </si>
  <si>
    <t>追猎者</t>
  </si>
  <si>
    <t>泰隆.</t>
  </si>
  <si>
    <t>酒桶</t>
  </si>
  <si>
    <t>图奇.</t>
  </si>
  <si>
    <t>盲僧</t>
  </si>
  <si>
    <t>薇恩.</t>
  </si>
  <si>
    <t>半人马</t>
  </si>
  <si>
    <t>维迦.</t>
  </si>
  <si>
    <t>邦德</t>
  </si>
  <si>
    <t>扎克.</t>
  </si>
  <si>
    <t>船长</t>
  </si>
  <si>
    <t>赵信.</t>
  </si>
  <si>
    <t>大天使</t>
  </si>
  <si>
    <t>昆.</t>
  </si>
  <si>
    <t>稻草人</t>
  </si>
  <si>
    <t>劫.</t>
  </si>
  <si>
    <t>狗熊</t>
  </si>
  <si>
    <t>慎.</t>
  </si>
  <si>
    <t>剑魔</t>
  </si>
  <si>
    <t>蔚.</t>
  </si>
  <si>
    <t>皎月</t>
  </si>
  <si>
    <t>易.</t>
  </si>
  <si>
    <t>巨魔</t>
  </si>
  <si>
    <t>琼.</t>
  </si>
  <si>
    <t>蛮子</t>
  </si>
  <si>
    <t>乔.</t>
  </si>
  <si>
    <t>梦魇</t>
  </si>
  <si>
    <t>李.</t>
  </si>
  <si>
    <t>末日</t>
  </si>
  <si>
    <t>梅.</t>
  </si>
  <si>
    <t>牛头人</t>
  </si>
  <si>
    <t>简.</t>
  </si>
  <si>
    <t>四阿哥</t>
  </si>
  <si>
    <t>琴.</t>
  </si>
  <si>
    <t>吸血鬼</t>
  </si>
  <si>
    <t>凯.</t>
  </si>
  <si>
    <t>雪人</t>
  </si>
  <si>
    <t>兰.</t>
  </si>
  <si>
    <t>鱼人</t>
  </si>
  <si>
    <t>飞.</t>
  </si>
  <si>
    <t>苏.</t>
  </si>
  <si>
    <t>隐形刺客</t>
  </si>
  <si>
    <t>罗.</t>
  </si>
  <si>
    <t>湮灭法师</t>
  </si>
  <si>
    <t>佑.</t>
  </si>
  <si>
    <t>熊猫酒仙</t>
  </si>
  <si>
    <t>灭.</t>
  </si>
  <si>
    <t>死亡先知</t>
  </si>
  <si>
    <t>音.</t>
  </si>
  <si>
    <t>死灵飞龙</t>
  </si>
  <si>
    <t>意.</t>
  </si>
  <si>
    <t>死灵法师</t>
  </si>
  <si>
    <t>烟.</t>
  </si>
  <si>
    <t>嗜血狂魔</t>
  </si>
  <si>
    <t>眠.</t>
  </si>
  <si>
    <t>神灵武士</t>
  </si>
  <si>
    <t>漩.</t>
  </si>
  <si>
    <t>深渊领主</t>
  </si>
  <si>
    <t>逝.</t>
  </si>
  <si>
    <t>山岭巨人</t>
  </si>
  <si>
    <t>泠.</t>
  </si>
  <si>
    <t>冥界亚龙</t>
  </si>
  <si>
    <t>祭.</t>
  </si>
  <si>
    <t>流浪剑客</t>
  </si>
  <si>
    <t>演.</t>
  </si>
  <si>
    <t>灵魂守卫</t>
  </si>
  <si>
    <t>堕.</t>
  </si>
  <si>
    <t>骷髅射手</t>
  </si>
  <si>
    <t>火.</t>
  </si>
  <si>
    <t>剧毒术士</t>
  </si>
  <si>
    <t>亚瑟</t>
  </si>
  <si>
    <t>精灵守卫</t>
  </si>
  <si>
    <t>夏娃.</t>
  </si>
  <si>
    <t>舰队统帅</t>
  </si>
  <si>
    <t>艾琳.</t>
  </si>
  <si>
    <t>极寒幽魂</t>
  </si>
  <si>
    <t>艾玛.</t>
  </si>
  <si>
    <t>祸乱之源</t>
  </si>
  <si>
    <t>艾咪.</t>
  </si>
  <si>
    <t>灰烬之灵</t>
  </si>
  <si>
    <t>艾娜.</t>
  </si>
  <si>
    <t>幻影刺客</t>
  </si>
  <si>
    <t>艾娃.</t>
  </si>
  <si>
    <t>黑暗贤者</t>
  </si>
  <si>
    <t>艾薇.</t>
  </si>
  <si>
    <t>寒冬飞龙</t>
  </si>
  <si>
    <t>爱琳.</t>
  </si>
  <si>
    <t>光之守卫</t>
  </si>
  <si>
    <t>爱玛.</t>
  </si>
  <si>
    <t>复仇之魂</t>
  </si>
  <si>
    <t>安娜.</t>
  </si>
  <si>
    <t>风暴之灵</t>
  </si>
  <si>
    <t>安妮.</t>
  </si>
  <si>
    <t>发条地精</t>
  </si>
  <si>
    <t>邦妮.</t>
  </si>
  <si>
    <t>恶魔巫师</t>
  </si>
  <si>
    <t>贝蒂.</t>
  </si>
  <si>
    <t>地狱领主</t>
  </si>
  <si>
    <t>贝琪.</t>
  </si>
  <si>
    <t>地穴刺客</t>
  </si>
  <si>
    <t>贝丝.</t>
  </si>
  <si>
    <t>大魔导师</t>
  </si>
  <si>
    <t>黛碧.</t>
  </si>
  <si>
    <t>大地之灵</t>
  </si>
  <si>
    <t>黛儿.</t>
  </si>
  <si>
    <t>沉默术士</t>
  </si>
  <si>
    <t>黛娜.</t>
  </si>
  <si>
    <t>潮汐猎人</t>
  </si>
  <si>
    <t>黛西.</t>
  </si>
  <si>
    <t>不朽尸王</t>
  </si>
  <si>
    <t>梵妮.</t>
  </si>
  <si>
    <t>变体精灵</t>
  </si>
  <si>
    <t>汉娜.</t>
  </si>
  <si>
    <t>暗影萨满</t>
  </si>
  <si>
    <t>汉妮.</t>
  </si>
  <si>
    <t>暗影牧师</t>
  </si>
  <si>
    <t>姬儿.</t>
  </si>
  <si>
    <t>暗夜魔王</t>
  </si>
  <si>
    <t>姬玛.</t>
  </si>
  <si>
    <t>双头龙</t>
  </si>
  <si>
    <t>婕咪.</t>
  </si>
  <si>
    <t>噬魂鬼</t>
  </si>
  <si>
    <t>绮莉.</t>
  </si>
  <si>
    <t>食人魔</t>
  </si>
  <si>
    <t>唐娜.</t>
  </si>
  <si>
    <t>神谕者</t>
  </si>
  <si>
    <t>婕拉.</t>
  </si>
  <si>
    <t>龙骑士</t>
  </si>
  <si>
    <t>璐璐.</t>
  </si>
  <si>
    <t>主宰</t>
  </si>
  <si>
    <t>娜美.</t>
  </si>
  <si>
    <t>幽鬼</t>
  </si>
  <si>
    <t>琳.</t>
  </si>
  <si>
    <t>影魔</t>
  </si>
  <si>
    <t>珍.</t>
  </si>
  <si>
    <t>巫医</t>
  </si>
  <si>
    <t>黛.</t>
  </si>
  <si>
    <t>术士</t>
  </si>
  <si>
    <t>佩格.</t>
  </si>
  <si>
    <t>兽王</t>
  </si>
  <si>
    <t>苏珊.</t>
  </si>
  <si>
    <t>沙王</t>
  </si>
  <si>
    <t>维娜.</t>
  </si>
  <si>
    <t>谜团</t>
  </si>
  <si>
    <t>卡玛.</t>
  </si>
  <si>
    <t>狼人</t>
  </si>
  <si>
    <t>丽莲.</t>
  </si>
  <si>
    <t>斧王</t>
  </si>
  <si>
    <t>林赛.</t>
  </si>
  <si>
    <t>霸王龙</t>
  </si>
  <si>
    <t>托比.</t>
  </si>
  <si>
    <t>康斯坦丁</t>
  </si>
  <si>
    <t>玛丽.</t>
  </si>
  <si>
    <t>白富美</t>
  </si>
  <si>
    <t>温迪.</t>
  </si>
  <si>
    <t>暴走萝莉</t>
  </si>
  <si>
    <t>苏西.</t>
  </si>
  <si>
    <t>冰霜女巫</t>
  </si>
  <si>
    <t>曼蒂.</t>
  </si>
  <si>
    <t>彩虹女神</t>
  </si>
  <si>
    <t>优拉.</t>
  </si>
  <si>
    <t>凤凰</t>
  </si>
  <si>
    <t>穆琳.</t>
  </si>
  <si>
    <t>夫人</t>
  </si>
  <si>
    <t>赛拉.</t>
  </si>
  <si>
    <t>公主</t>
  </si>
  <si>
    <t>埃达.</t>
  </si>
  <si>
    <t>寡妇</t>
  </si>
  <si>
    <t>沙伦.</t>
  </si>
  <si>
    <t>光辉女郎</t>
  </si>
  <si>
    <t>泰丝.</t>
  </si>
  <si>
    <t>诡术妖姬</t>
  </si>
  <si>
    <t>赫拉.</t>
  </si>
  <si>
    <t>贵妇</t>
  </si>
  <si>
    <t>百鸟.</t>
  </si>
  <si>
    <t>海洋女神</t>
  </si>
  <si>
    <t>蝉.</t>
  </si>
  <si>
    <t>和平女神</t>
  </si>
  <si>
    <t>羔羊.</t>
  </si>
  <si>
    <t>黑暗之女</t>
  </si>
  <si>
    <t>火鸡.</t>
  </si>
  <si>
    <t>花之神</t>
  </si>
  <si>
    <t>鸡.</t>
  </si>
  <si>
    <t>唤潮鲛姬</t>
  </si>
  <si>
    <t>雷鸟.</t>
  </si>
  <si>
    <t>家庭主妇</t>
  </si>
  <si>
    <t>麻雀.</t>
  </si>
  <si>
    <t>剑姬</t>
  </si>
  <si>
    <t>乌鸦.</t>
  </si>
  <si>
    <t>皎月女神</t>
  </si>
  <si>
    <t>云雀.</t>
  </si>
  <si>
    <t>黎明女神</t>
  </si>
  <si>
    <t>浪花.</t>
  </si>
  <si>
    <t>龙血武姬</t>
  </si>
  <si>
    <t>刀刃.</t>
  </si>
  <si>
    <t>萝莉</t>
  </si>
  <si>
    <t>月娇.</t>
  </si>
  <si>
    <t>玛丽苏</t>
  </si>
  <si>
    <t>如花.</t>
  </si>
  <si>
    <t>魅惑魔女</t>
  </si>
  <si>
    <t>红.</t>
  </si>
  <si>
    <t>母狼</t>
  </si>
  <si>
    <t>无情.</t>
  </si>
  <si>
    <t>牧羊女</t>
  </si>
  <si>
    <t>夏雪.</t>
  </si>
  <si>
    <t>女皇</t>
  </si>
  <si>
    <t>熊猫.</t>
  </si>
  <si>
    <t>女神</t>
  </si>
  <si>
    <t>凤羽.</t>
  </si>
  <si>
    <t>女妖</t>
  </si>
  <si>
    <t>幽兰.</t>
  </si>
  <si>
    <t>女战士</t>
  </si>
  <si>
    <t>疾风.</t>
  </si>
  <si>
    <t>皮城女警</t>
  </si>
  <si>
    <t>月影.</t>
  </si>
  <si>
    <t>琴瑟仙女</t>
  </si>
  <si>
    <t>血灵.</t>
  </si>
  <si>
    <t>少女</t>
  </si>
  <si>
    <t>丽儿.</t>
  </si>
  <si>
    <t>淑女</t>
  </si>
  <si>
    <t>水.</t>
  </si>
  <si>
    <t>曙光女神</t>
  </si>
  <si>
    <t>眷恋.</t>
  </si>
  <si>
    <t>仙灵女巫</t>
  </si>
  <si>
    <t>夕.</t>
  </si>
  <si>
    <t>仙女龙</t>
  </si>
  <si>
    <t>蝶舞.</t>
  </si>
  <si>
    <t>小精灵</t>
  </si>
  <si>
    <t>默.</t>
  </si>
  <si>
    <t>小仙女</t>
  </si>
  <si>
    <t>泪.</t>
  </si>
  <si>
    <t>妖姬</t>
  </si>
  <si>
    <t>晶莹.</t>
  </si>
  <si>
    <t>御姐</t>
  </si>
  <si>
    <t>灵魂.</t>
  </si>
  <si>
    <t>月亮女神</t>
  </si>
  <si>
    <t>梦.</t>
  </si>
  <si>
    <t>战争女神</t>
  </si>
  <si>
    <t>誓约.</t>
  </si>
  <si>
    <t>智慧女神</t>
  </si>
  <si>
    <t>神圣.</t>
  </si>
  <si>
    <t>死亡天使</t>
  </si>
  <si>
    <t>星星.</t>
  </si>
  <si>
    <t>蜘蛛女王</t>
  </si>
  <si>
    <t>美丽.</t>
  </si>
  <si>
    <t>恐乱女神</t>
  </si>
  <si>
    <t>可爱.</t>
  </si>
  <si>
    <t>暗夜精灵</t>
  </si>
  <si>
    <t>优雅.</t>
  </si>
  <si>
    <t>夜之魔女</t>
  </si>
  <si>
    <t>黎明.</t>
  </si>
  <si>
    <t>纷争女神</t>
  </si>
  <si>
    <t>尊贵.</t>
  </si>
  <si>
    <t>翡翠灵女</t>
  </si>
  <si>
    <t>雏菊</t>
  </si>
  <si>
    <t>仙女座</t>
  </si>
  <si>
    <t>冰冥女神</t>
  </si>
  <si>
    <t>英灵赞歌</t>
  </si>
  <si>
    <t>奇迹天使</t>
  </si>
  <si>
    <t>月之女神</t>
  </si>
  <si>
    <t>风之精灵</t>
  </si>
  <si>
    <t>冥后</t>
  </si>
  <si>
    <t>饥荒骑士</t>
  </si>
  <si>
    <t>海盗女王</t>
  </si>
  <si>
    <t>勇气女神</t>
  </si>
  <si>
    <t>炉火女神</t>
  </si>
  <si>
    <t>音律女神</t>
  </si>
  <si>
    <t>美爱女神</t>
  </si>
  <si>
    <t>海洋之心</t>
  </si>
  <si>
    <t>繁育女神</t>
  </si>
  <si>
    <t>幻惑女巫</t>
  </si>
  <si>
    <t>灾厄之女</t>
  </si>
  <si>
    <t>天后</t>
  </si>
  <si>
    <t>月夜剑姬</t>
  </si>
  <si>
    <t>虚影假面</t>
  </si>
  <si>
    <t>风雷法师</t>
  </si>
  <si>
    <t>风舞者</t>
  </si>
  <si>
    <t>星月巫女</t>
  </si>
  <si>
    <t>美杜莎</t>
  </si>
  <si>
    <t>圣光牧师</t>
  </si>
  <si>
    <t>玉面狐</t>
  </si>
  <si>
    <t>凶星射手</t>
  </si>
  <si>
    <t>朱雀</t>
  </si>
  <si>
    <t>狐妖</t>
  </si>
  <si>
    <t>维纳斯</t>
  </si>
  <si>
    <t>雅典娜</t>
  </si>
  <si>
    <t>鸟身女妖</t>
  </si>
  <si>
    <t>狩猎女神</t>
  </si>
  <si>
    <t>布谷鸟</t>
  </si>
  <si>
    <t>凤尾蝶</t>
  </si>
  <si>
    <t>极乐鸟</t>
  </si>
  <si>
    <t>金翅雀</t>
  </si>
  <si>
    <t>天堂鸟</t>
  </si>
  <si>
    <t>知更鸟</t>
  </si>
  <si>
    <t>艾丽塔</t>
  </si>
  <si>
    <t>黑寡妇</t>
  </si>
  <si>
    <t>蔷薇骑士</t>
  </si>
  <si>
    <t>血天使</t>
  </si>
  <si>
    <t>灵动舞者</t>
  </si>
  <si>
    <t>褐雨燕</t>
  </si>
  <si>
    <t>猫头鹰</t>
  </si>
  <si>
    <t>小夜</t>
  </si>
  <si>
    <t>太平公主</t>
  </si>
  <si>
    <t>爱丽丝</t>
  </si>
  <si>
    <t>绮丽儿</t>
  </si>
  <si>
    <t>克莉丝汀</t>
  </si>
  <si>
    <t>克莱儿</t>
  </si>
  <si>
    <t>辛西亚</t>
  </si>
  <si>
    <t>黛西</t>
  </si>
  <si>
    <t>月桂树</t>
  </si>
  <si>
    <t>E</t>
    <phoneticPr fontId="4" type="noConversion"/>
  </si>
  <si>
    <t>戴安娜</t>
  </si>
  <si>
    <t>id</t>
  </si>
  <si>
    <t>登录名</t>
    <phoneticPr fontId="4" type="noConversion"/>
  </si>
  <si>
    <t>匹配值：match_arena_step1_trophyDelta[竞技场等阶]</t>
    <phoneticPr fontId="4" type="noConversion"/>
  </si>
  <si>
    <t>战胜获得金币</t>
    <phoneticPr fontId="4" type="noConversion"/>
  </si>
  <si>
    <t>每次捐赠普卡数量</t>
    <phoneticPr fontId="4" type="noConversion"/>
  </si>
  <si>
    <t>每次捐赠橙卡数量</t>
    <phoneticPr fontId="4" type="noConversion"/>
  </si>
  <si>
    <t>每8小时请求普卡数量</t>
    <phoneticPr fontId="4" type="noConversion"/>
  </si>
  <si>
    <t>每8小时请求橙卡数量</t>
    <phoneticPr fontId="4" type="noConversion"/>
  </si>
  <si>
    <t>rewardGold</t>
    <phoneticPr fontId="4" type="noConversion"/>
  </si>
  <si>
    <t>donationCommonNum</t>
    <phoneticPr fontId="4" type="noConversion"/>
  </si>
  <si>
    <t>donationRareNum</t>
    <phoneticPr fontId="4" type="noConversion"/>
  </si>
  <si>
    <t>reuqestCommonNum</t>
    <phoneticPr fontId="4" type="noConversion"/>
  </si>
  <si>
    <t>reuqestRareNum</t>
    <phoneticPr fontId="4" type="noConversion"/>
  </si>
  <si>
    <t>donationValueMax</t>
    <phoneticPr fontId="4" type="noConversion"/>
  </si>
  <si>
    <t>捐赠值上限</t>
    <phoneticPr fontId="4" type="noConversion"/>
  </si>
  <si>
    <t>亡灵</t>
  </si>
  <si>
    <t>野蛮人</t>
  </si>
  <si>
    <t>小皮卡</t>
  </si>
  <si>
    <t>武神</t>
  </si>
  <si>
    <t>火枪手</t>
  </si>
  <si>
    <t>法师</t>
  </si>
  <si>
    <t>骷髅海</t>
  </si>
  <si>
    <t>女巫</t>
  </si>
  <si>
    <t>骷髅巨人</t>
  </si>
  <si>
    <t>石头人</t>
  </si>
  <si>
    <t>小石头人</t>
  </si>
  <si>
    <t>寒冰法师</t>
  </si>
  <si>
    <t>震击</t>
  </si>
  <si>
    <t>火箭</t>
  </si>
  <si>
    <t>哥布林桶</t>
  </si>
  <si>
    <t>冻结</t>
  </si>
  <si>
    <t>镜像</t>
  </si>
  <si>
    <t>闪电</t>
  </si>
  <si>
    <t>毒药</t>
  </si>
  <si>
    <t>加农炮</t>
  </si>
  <si>
    <t>特斯拉线圈</t>
  </si>
  <si>
    <t>迫击炮</t>
  </si>
  <si>
    <t>墓地</t>
  </si>
  <si>
    <t>地狱之塔</t>
  </si>
  <si>
    <t>炸弹塔</t>
  </si>
  <si>
    <t>X弩</t>
  </si>
  <si>
    <t>三枪手</t>
    <phoneticPr fontId="4" type="noConversion"/>
  </si>
  <si>
    <t>黑王子</t>
    <phoneticPr fontId="4" type="noConversion"/>
  </si>
  <si>
    <t>亡灵群</t>
    <phoneticPr fontId="4" type="noConversion"/>
  </si>
  <si>
    <t>野猪</t>
    <phoneticPr fontId="4" type="noConversion"/>
  </si>
  <si>
    <t>气球</t>
    <phoneticPr fontId="4" type="noConversion"/>
  </si>
  <si>
    <t>能量器</t>
    <phoneticPr fontId="4" type="noConversion"/>
  </si>
  <si>
    <t>哥布林屋</t>
    <phoneticPr fontId="4" type="noConversion"/>
  </si>
  <si>
    <t>野蛮人家</t>
    <phoneticPr fontId="4" type="noConversion"/>
  </si>
  <si>
    <t>狂暴</t>
    <phoneticPr fontId="4" type="noConversion"/>
  </si>
  <si>
    <t>json</t>
    <phoneticPr fontId="4" type="noConversion"/>
  </si>
  <si>
    <t>竞技场等级</t>
    <phoneticPr fontId="4" type="noConversion"/>
  </si>
  <si>
    <t>卡牌数</t>
    <phoneticPr fontId="4" type="noConversion"/>
  </si>
  <si>
    <t>品质</t>
  </si>
  <si>
    <t>等级上限</t>
  </si>
  <si>
    <t>竞技场</t>
    <phoneticPr fontId="4" type="noConversion"/>
  </si>
  <si>
    <t>1,1,1,1,1,1,1,1</t>
  </si>
  <si>
    <t>1,1,1,2,1,1,1,1</t>
  </si>
  <si>
    <t>1,1,1,1,2,1,1,1</t>
  </si>
  <si>
    <t>1,1,1,1,1,2,1,1</t>
  </si>
  <si>
    <t>1,1,1,1,1,1,2,1</t>
  </si>
  <si>
    <t>1,1,1,1,1,1,1,2</t>
  </si>
  <si>
    <t>1,1,2,2,1,1,1,1</t>
  </si>
  <si>
    <t>fishluv_1</t>
    <phoneticPr fontId="4" type="noConversion"/>
  </si>
  <si>
    <t>fishluv_2</t>
  </si>
  <si>
    <t>fishluv_3</t>
  </si>
  <si>
    <t>fishluv_4</t>
  </si>
  <si>
    <t>fishluv_5</t>
  </si>
  <si>
    <t>fishluv_6</t>
  </si>
  <si>
    <t>fishluv_7</t>
  </si>
  <si>
    <t>fishluv_8</t>
  </si>
  <si>
    <t>fishluv_9</t>
  </si>
  <si>
    <t>fishluv_10</t>
  </si>
  <si>
    <t>fishluv_11</t>
  </si>
  <si>
    <t>fishluv_12</t>
  </si>
  <si>
    <t>fishluv_13</t>
  </si>
  <si>
    <t>fishluv_14</t>
  </si>
  <si>
    <t>fishluv_15</t>
  </si>
  <si>
    <t>fishluv_16</t>
  </si>
  <si>
    <t>fishluv_17</t>
  </si>
  <si>
    <t>fishluv_18</t>
  </si>
  <si>
    <t>fishluv_19</t>
  </si>
  <si>
    <t>fishluv_20</t>
  </si>
  <si>
    <t>fishluv_21</t>
  </si>
  <si>
    <t>fishluv_22</t>
  </si>
  <si>
    <t>fishluv_23</t>
  </si>
  <si>
    <t>fishluv_24</t>
  </si>
  <si>
    <t>fishluv_25</t>
  </si>
  <si>
    <t>fishluv_26</t>
  </si>
  <si>
    <t>fishluv_27</t>
  </si>
  <si>
    <t>fishluv_28</t>
  </si>
  <si>
    <t>fishluv_29</t>
  </si>
  <si>
    <t>fishluv_30</t>
  </si>
  <si>
    <t>fishluv_31</t>
  </si>
  <si>
    <t>fishluv_32</t>
  </si>
  <si>
    <t>fishluv_33</t>
  </si>
  <si>
    <t>fishluv_34</t>
  </si>
  <si>
    <t>fishluv_35</t>
  </si>
  <si>
    <t>fishluv_36</t>
  </si>
  <si>
    <t>fishluv_37</t>
  </si>
  <si>
    <t>fishluv_38</t>
  </si>
  <si>
    <t>fishluv_39</t>
  </si>
  <si>
    <t>fishluv_40</t>
  </si>
  <si>
    <t>fishluv_41</t>
  </si>
  <si>
    <t>fishluv_42</t>
  </si>
  <si>
    <t>fishluv_43</t>
  </si>
  <si>
    <t>fishluv_44</t>
  </si>
  <si>
    <t>fishluv_45</t>
  </si>
  <si>
    <t>fishluv_46</t>
  </si>
  <si>
    <t>fishluv_47</t>
  </si>
  <si>
    <t>fishluv_48</t>
  </si>
  <si>
    <t>fishluv_49</t>
  </si>
  <si>
    <t>fishluv_50</t>
  </si>
  <si>
    <t>fishluv_51</t>
  </si>
  <si>
    <t>fishluv_52</t>
  </si>
  <si>
    <t>fishluv_53</t>
  </si>
  <si>
    <t>fishluv_54</t>
  </si>
  <si>
    <t>fishluv_55</t>
  </si>
  <si>
    <t>fishluv_56</t>
  </si>
  <si>
    <t>fishluv_57</t>
  </si>
  <si>
    <t>fishluv_58</t>
  </si>
  <si>
    <t>fishluv_59</t>
  </si>
  <si>
    <t>fishluv_60</t>
  </si>
  <si>
    <t>fishluv_61</t>
  </si>
  <si>
    <t>fishluv_62</t>
  </si>
  <si>
    <t>fishluv_63</t>
  </si>
  <si>
    <t>fishluv_64</t>
  </si>
  <si>
    <t>fishluv_65</t>
  </si>
  <si>
    <t>fishluv_66</t>
  </si>
  <si>
    <t>fishluv_67</t>
  </si>
  <si>
    <t>fishluv_68</t>
  </si>
  <si>
    <t>fishluv_69</t>
  </si>
  <si>
    <t>fishluv_70</t>
  </si>
  <si>
    <t>fishluv_71</t>
  </si>
  <si>
    <t>fishluv_72</t>
  </si>
  <si>
    <t>fishluv_73</t>
  </si>
  <si>
    <t>fishluv_74</t>
  </si>
  <si>
    <t>fishluv_75</t>
  </si>
  <si>
    <t>fishluv_76</t>
  </si>
  <si>
    <t>fishluv_77</t>
  </si>
  <si>
    <t>fishluv_78</t>
  </si>
  <si>
    <t>fishluv_79</t>
  </si>
  <si>
    <t>fishluv_80</t>
  </si>
  <si>
    <t>fishluv_81</t>
  </si>
  <si>
    <t>fishluv_82</t>
  </si>
  <si>
    <t>fishluv_83</t>
  </si>
  <si>
    <t>fishluv_84</t>
  </si>
  <si>
    <t>fishluv_85</t>
  </si>
  <si>
    <t>fishluv_86</t>
  </si>
  <si>
    <t>fishluv_87</t>
  </si>
  <si>
    <t>fishluv_88</t>
  </si>
  <si>
    <t>fishluv_89</t>
  </si>
  <si>
    <t>fishluv_90</t>
  </si>
  <si>
    <t>fishluv_91</t>
  </si>
  <si>
    <t>fishluv_92</t>
  </si>
  <si>
    <t>fishluv_93</t>
  </si>
  <si>
    <t>fishluv_94</t>
  </si>
  <si>
    <t>fishluv_95</t>
  </si>
  <si>
    <t>fishluv_96</t>
  </si>
  <si>
    <t>fishluv_97</t>
  </si>
  <si>
    <t>fishluv_98</t>
  </si>
  <si>
    <t>fishluv_99</t>
  </si>
  <si>
    <t>fishluv_100</t>
  </si>
  <si>
    <t>fishluv_101</t>
  </si>
  <si>
    <t>fishluv_102</t>
  </si>
  <si>
    <t>fishluv_103</t>
  </si>
  <si>
    <t>fishluv_104</t>
  </si>
  <si>
    <t>fishluv_105</t>
  </si>
  <si>
    <t>fishluv_106</t>
  </si>
  <si>
    <t>fishluv_107</t>
  </si>
  <si>
    <t>fishluv_108</t>
  </si>
  <si>
    <t>fishluv_109</t>
  </si>
  <si>
    <t>fishluv_110</t>
  </si>
  <si>
    <t>fishluv_111</t>
  </si>
  <si>
    <t>fishluv_112</t>
  </si>
  <si>
    <t>fishluv_113</t>
  </si>
  <si>
    <t>fishluv_114</t>
  </si>
  <si>
    <t>fishluv_115</t>
  </si>
  <si>
    <t>fishluv_116</t>
  </si>
  <si>
    <t>fishluv_117</t>
  </si>
  <si>
    <t>fishluv_118</t>
  </si>
  <si>
    <t>fishluv_119</t>
  </si>
  <si>
    <t>fishluv_120</t>
  </si>
  <si>
    <t>fishluv_121</t>
  </si>
  <si>
    <t>fishluv_122</t>
  </si>
  <si>
    <t>fishluv_123</t>
  </si>
  <si>
    <t>fishluv_124</t>
  </si>
  <si>
    <t>fishluv_125</t>
  </si>
  <si>
    <t>fishluv_126</t>
  </si>
  <si>
    <t>fishluv_127</t>
  </si>
  <si>
    <t>fishluv_128</t>
  </si>
  <si>
    <t>fishluv_129</t>
  </si>
  <si>
    <t>fishluv_130</t>
  </si>
  <si>
    <t>fishluv_131</t>
  </si>
  <si>
    <t>fishluv_132</t>
  </si>
  <si>
    <t>fishluv_133</t>
  </si>
  <si>
    <t>fishluv_134</t>
  </si>
  <si>
    <t>fishluv_135</t>
  </si>
  <si>
    <t>fishluv_136</t>
  </si>
  <si>
    <t>fishluv_137</t>
  </si>
  <si>
    <t>fishluv_138</t>
  </si>
  <si>
    <t>fishluv_139</t>
  </si>
  <si>
    <t>fishluv_140</t>
  </si>
  <si>
    <t>fishluv_141</t>
  </si>
  <si>
    <t>fishluv_142</t>
  </si>
  <si>
    <t>fishluv_143</t>
  </si>
  <si>
    <t>fishluv_144</t>
  </si>
  <si>
    <t>fishluv_145</t>
  </si>
  <si>
    <t>fishluv_146</t>
  </si>
  <si>
    <t>fishluv_147</t>
  </si>
  <si>
    <t>fishluv_148</t>
  </si>
  <si>
    <t>fishluv_149</t>
  </si>
  <si>
    <t>fishluv_150</t>
  </si>
  <si>
    <t>fishluv_151</t>
  </si>
  <si>
    <t>fishluv_152</t>
  </si>
  <si>
    <t>fishluv_153</t>
  </si>
  <si>
    <t>fishluv_154</t>
  </si>
  <si>
    <t>fishluv_155</t>
  </si>
  <si>
    <t>fishluv_156</t>
  </si>
  <si>
    <t>fishluv_157</t>
  </si>
  <si>
    <t>fishluv_158</t>
  </si>
  <si>
    <t>fishluv_159</t>
  </si>
  <si>
    <t>fishluv_160</t>
  </si>
  <si>
    <t>fishluv_161</t>
  </si>
  <si>
    <t>fishluv_162</t>
  </si>
  <si>
    <t>fishluv_163</t>
  </si>
  <si>
    <t>fishluv_164</t>
  </si>
  <si>
    <t>fishluv_165</t>
  </si>
  <si>
    <t>fishluv_166</t>
  </si>
  <si>
    <t>fishluv_167</t>
  </si>
  <si>
    <t>fishluv_168</t>
  </si>
  <si>
    <t>fishluv_169</t>
  </si>
  <si>
    <t>fishluv_170</t>
  </si>
  <si>
    <t>fishluv_171</t>
  </si>
  <si>
    <t>fishluv_172</t>
  </si>
  <si>
    <t>fishluv_173</t>
  </si>
  <si>
    <t>fishluv_174</t>
  </si>
  <si>
    <t>fishluv_175</t>
  </si>
  <si>
    <t>fishluv_176</t>
  </si>
  <si>
    <t>fishluv_177</t>
  </si>
  <si>
    <t>fishluv_178</t>
  </si>
  <si>
    <t>fishluv_179</t>
  </si>
  <si>
    <t>fishluv_180</t>
  </si>
  <si>
    <t>fishluv_181</t>
  </si>
  <si>
    <t>fishluv_182</t>
  </si>
  <si>
    <t>fishluv_183</t>
  </si>
  <si>
    <t>fishluv_184</t>
  </si>
  <si>
    <t>fishluv_185</t>
  </si>
  <si>
    <t>fishluv_186</t>
  </si>
  <si>
    <t>fishluv_187</t>
  </si>
  <si>
    <t>fishluv_188</t>
  </si>
  <si>
    <t>fishluv_189</t>
  </si>
  <si>
    <t>fishluv_190</t>
  </si>
  <si>
    <t>fishluv_191</t>
  </si>
  <si>
    <t>fishluv_192</t>
  </si>
  <si>
    <t>fishluv_193</t>
  </si>
  <si>
    <t>fishluv_194</t>
  </si>
  <si>
    <t>fishluv_195</t>
  </si>
  <si>
    <t>fishluv_196</t>
  </si>
  <si>
    <t>fishluv_197</t>
  </si>
  <si>
    <t>fishluv_198</t>
  </si>
  <si>
    <t>fishluv_199</t>
  </si>
  <si>
    <t>fishluv_200</t>
  </si>
  <si>
    <t>fishluv_201</t>
  </si>
  <si>
    <t>fishluv_202</t>
  </si>
  <si>
    <t>fishluv_203</t>
  </si>
  <si>
    <t>fishluv_204</t>
  </si>
  <si>
    <t>fishluv_205</t>
  </si>
  <si>
    <t>fishluv_206</t>
  </si>
  <si>
    <t>fishluv_207</t>
  </si>
  <si>
    <t>fishluv_208</t>
  </si>
  <si>
    <t>fishluv_209</t>
  </si>
  <si>
    <t>fishluv_210</t>
  </si>
  <si>
    <t>fishluv_211</t>
  </si>
  <si>
    <t>fishluv_212</t>
  </si>
  <si>
    <t>fishluv_213</t>
  </si>
  <si>
    <t>fishluv_214</t>
  </si>
  <si>
    <t>fishluv_215</t>
  </si>
  <si>
    <t>fishluv_216</t>
  </si>
  <si>
    <t>fishluv_217</t>
  </si>
  <si>
    <t>fishluv_218</t>
  </si>
  <si>
    <t>fishluv_219</t>
  </si>
  <si>
    <t>fishluv_220</t>
  </si>
  <si>
    <t>fishluv_221</t>
  </si>
  <si>
    <t>fishluv_222</t>
  </si>
  <si>
    <t>fishluv_223</t>
  </si>
  <si>
    <t>fishluv_224</t>
  </si>
  <si>
    <t>fishluv_225</t>
  </si>
  <si>
    <t>fishluv_226</t>
  </si>
  <si>
    <t>fishluv_227</t>
  </si>
  <si>
    <t>fishluv_228</t>
  </si>
  <si>
    <t>fishluv_229</t>
  </si>
  <si>
    <t>fishluv_230</t>
  </si>
  <si>
    <t>fishluv_231</t>
  </si>
  <si>
    <t>fishluv_232</t>
  </si>
  <si>
    <t>fishluv_233</t>
  </si>
  <si>
    <t>fishluv_234</t>
  </si>
  <si>
    <t>fishluv_235</t>
  </si>
  <si>
    <t>fishluv_236</t>
  </si>
  <si>
    <t>fishluv_237</t>
  </si>
  <si>
    <t>fishluv_238</t>
  </si>
  <si>
    <t>fishluv_239</t>
  </si>
  <si>
    <t>fishluv_240</t>
  </si>
  <si>
    <t>fishluv_241</t>
  </si>
  <si>
    <t>fishluv_242</t>
  </si>
  <si>
    <t>fishluv_243</t>
  </si>
  <si>
    <t>fishluv_244</t>
  </si>
  <si>
    <t>fishluv_245</t>
  </si>
  <si>
    <t>fishluv_246</t>
  </si>
  <si>
    <t>fishluv_247</t>
  </si>
  <si>
    <t>fishluv_248</t>
  </si>
  <si>
    <t>fishluv_249</t>
  </si>
  <si>
    <t>fishluv_250</t>
  </si>
  <si>
    <t>fishluv_251</t>
  </si>
  <si>
    <t>fishluv_252</t>
  </si>
  <si>
    <t>fishluv_253</t>
  </si>
  <si>
    <t>fishluv_254</t>
  </si>
  <si>
    <t>fishluv_255</t>
  </si>
  <si>
    <t>fishluv_256</t>
  </si>
  <si>
    <t>fishluv_257</t>
  </si>
  <si>
    <t>fishluv_258</t>
  </si>
  <si>
    <t>fishluv_259</t>
  </si>
  <si>
    <t>fishluv_260</t>
  </si>
  <si>
    <t>fishluv_261</t>
  </si>
  <si>
    <t>fishluv_262</t>
  </si>
  <si>
    <t>fishluv_263</t>
  </si>
  <si>
    <t>fishluv_264</t>
  </si>
  <si>
    <t>fishluv_265</t>
  </si>
  <si>
    <t>fishluv_266</t>
  </si>
  <si>
    <t>fishluv_267</t>
  </si>
  <si>
    <t>fishluv_268</t>
  </si>
  <si>
    <t>fishluv_269</t>
  </si>
  <si>
    <t>fishluv_270</t>
  </si>
  <si>
    <t>fishluv_271</t>
  </si>
  <si>
    <t>fishluv_272</t>
  </si>
  <si>
    <t>fishluv_273</t>
  </si>
  <si>
    <t>fishluv_274</t>
  </si>
  <si>
    <t>fishluv_275</t>
  </si>
  <si>
    <t>fishluv_276</t>
  </si>
  <si>
    <t>fishluv_277</t>
  </si>
  <si>
    <t>fishluv_278</t>
  </si>
  <si>
    <t>fishluv_279</t>
  </si>
  <si>
    <t>fishluv_280</t>
  </si>
  <si>
    <t>fishluv_281</t>
  </si>
  <si>
    <t>fishluv_282</t>
  </si>
  <si>
    <t>fishluv_283</t>
  </si>
  <si>
    <t>fishluv_284</t>
  </si>
  <si>
    <t>fishluv_285</t>
  </si>
  <si>
    <t>fishluv_286</t>
  </si>
  <si>
    <t>fishluv_287</t>
  </si>
  <si>
    <t>fishluv_288</t>
  </si>
  <si>
    <t>fishluv_289</t>
  </si>
  <si>
    <t>fishluv_290</t>
  </si>
  <si>
    <t>fishluv_291</t>
  </si>
  <si>
    <t>fishluv_292</t>
  </si>
  <si>
    <t>fishluv_293</t>
  </si>
  <si>
    <t>fishluv_294</t>
  </si>
  <si>
    <t>fishluv_295</t>
  </si>
  <si>
    <t>fishluv_296</t>
  </si>
  <si>
    <t>fishluv_297</t>
  </si>
  <si>
    <t>fishluv_298</t>
  </si>
  <si>
    <t>fishluv_299</t>
  </si>
  <si>
    <t>fishluv_300</t>
  </si>
  <si>
    <t>fishluv_301</t>
  </si>
  <si>
    <t>fishluv_302</t>
  </si>
  <si>
    <t>fishluv_303</t>
  </si>
  <si>
    <t>fishluv_304</t>
  </si>
  <si>
    <t>fishluv_305</t>
  </si>
  <si>
    <t>fishluv_306</t>
  </si>
  <si>
    <t>fishluv_307</t>
  </si>
  <si>
    <t>fishluv_308</t>
  </si>
  <si>
    <t>fishluv_309</t>
  </si>
  <si>
    <t>fishluv_310</t>
  </si>
  <si>
    <t>fishluv_311</t>
  </si>
  <si>
    <t>fishluv_312</t>
  </si>
  <si>
    <t>fishluv_313</t>
  </si>
  <si>
    <t>fishluv_314</t>
  </si>
  <si>
    <t>fishluv_315</t>
  </si>
  <si>
    <t>fishluv_316</t>
  </si>
  <si>
    <t>fishluv_317</t>
  </si>
  <si>
    <t>fishluv_318</t>
  </si>
  <si>
    <t>fishluv_319</t>
  </si>
  <si>
    <t>fishluv_320</t>
  </si>
  <si>
    <t>fishluv_321</t>
  </si>
  <si>
    <t>fishluv_322</t>
  </si>
  <si>
    <t>fishluv_323</t>
  </si>
  <si>
    <t>fishluv_324</t>
  </si>
  <si>
    <t>fishluv_325</t>
  </si>
  <si>
    <t>fishluv_326</t>
  </si>
  <si>
    <t>fishluv_327</t>
  </si>
  <si>
    <t>fishluv_328</t>
  </si>
  <si>
    <t>fishluv_329</t>
  </si>
  <si>
    <t>fishluv_330</t>
  </si>
  <si>
    <t>fishluv_331</t>
  </si>
  <si>
    <t>fishluv_332</t>
  </si>
  <si>
    <t>fishluv_333</t>
  </si>
  <si>
    <t>fishluv_334</t>
  </si>
  <si>
    <t>fishluv_335</t>
  </si>
  <si>
    <t>fishluv_336</t>
  </si>
  <si>
    <t>fishluv_337</t>
  </si>
  <si>
    <t>fishluv_338</t>
  </si>
  <si>
    <t>fishluv_339</t>
  </si>
  <si>
    <t>fishluv_340</t>
  </si>
  <si>
    <t>fishluv_341</t>
  </si>
  <si>
    <t>fishluv_342</t>
  </si>
  <si>
    <t>fishluv_343</t>
  </si>
  <si>
    <t>fishluv_344</t>
  </si>
  <si>
    <t>fishluv_345</t>
  </si>
  <si>
    <t>fishluv_346</t>
  </si>
  <si>
    <t>fishluv_347</t>
  </si>
  <si>
    <t>fishluv_348</t>
  </si>
  <si>
    <t>fishluv_349</t>
  </si>
  <si>
    <t>fishluv_350</t>
  </si>
  <si>
    <t>fishluv_351</t>
  </si>
  <si>
    <t>fishluv_352</t>
  </si>
  <si>
    <t>fishluv_353</t>
  </si>
  <si>
    <t>fishluv_354</t>
  </si>
  <si>
    <t>fishluv_355</t>
  </si>
  <si>
    <t>fishluv_356</t>
  </si>
  <si>
    <t>fishluv_357</t>
  </si>
  <si>
    <t>fishluv_358</t>
  </si>
  <si>
    <t>fishluv_359</t>
  </si>
  <si>
    <t>fishluv_360</t>
  </si>
  <si>
    <t>fishluv_361</t>
  </si>
  <si>
    <t>fishluv_362</t>
  </si>
  <si>
    <t>fishluv_363</t>
  </si>
  <si>
    <t>fishluv_364</t>
  </si>
  <si>
    <t>fishluv_365</t>
  </si>
  <si>
    <t>fishluv_366</t>
  </si>
  <si>
    <t>fishluv_367</t>
  </si>
  <si>
    <t>fishluv_368</t>
  </si>
  <si>
    <t>fishluv_369</t>
  </si>
  <si>
    <t>fishluv_370</t>
  </si>
  <si>
    <t>fishluv_371</t>
  </si>
  <si>
    <t>fishluv_372</t>
  </si>
  <si>
    <t>fishluv_373</t>
  </si>
  <si>
    <t>fishluv_374</t>
  </si>
  <si>
    <t>fishluv_375</t>
  </si>
  <si>
    <t>fishluv_376</t>
  </si>
  <si>
    <t>fishluv_377</t>
  </si>
  <si>
    <t>fishluv_378</t>
  </si>
  <si>
    <t>fishluv_379</t>
  </si>
  <si>
    <t>fishluv_380</t>
  </si>
  <si>
    <t>fishluv_381</t>
  </si>
  <si>
    <t>fishluv_382</t>
  </si>
  <si>
    <t>fishluv_383</t>
  </si>
  <si>
    <t>fishluv_384</t>
  </si>
  <si>
    <t>fishluv_385</t>
  </si>
  <si>
    <t>fishluv_386</t>
  </si>
  <si>
    <t>fishluv_387</t>
  </si>
  <si>
    <t>fishluv_388</t>
  </si>
  <si>
    <t>fishluv_389</t>
  </si>
  <si>
    <t>fishluv_390</t>
  </si>
  <si>
    <t>fishluv_391</t>
  </si>
  <si>
    <t>fishluv_392</t>
  </si>
  <si>
    <t>fishluv_393</t>
  </si>
  <si>
    <t>fishluv_394</t>
  </si>
  <si>
    <t>fishluv_395</t>
  </si>
  <si>
    <t>fishluv_396</t>
  </si>
  <si>
    <t>fishluv_397</t>
  </si>
  <si>
    <t>fishluv_398</t>
  </si>
  <si>
    <t>fishluv_399</t>
  </si>
  <si>
    <t>fishluv_400</t>
  </si>
  <si>
    <t>fishluv_401</t>
  </si>
  <si>
    <t>fishluv_402</t>
  </si>
  <si>
    <t>fishluv_403</t>
  </si>
  <si>
    <t>fishluv_404</t>
  </si>
  <si>
    <t>fishluv_405</t>
  </si>
  <si>
    <t>fishluv_406</t>
  </si>
  <si>
    <t>fishluv_407</t>
  </si>
  <si>
    <t>fishluv_408</t>
  </si>
  <si>
    <t>fishluv_409</t>
  </si>
  <si>
    <t>fishluv_410</t>
  </si>
  <si>
    <t>fishluv_411</t>
  </si>
  <si>
    <t>fishluv_412</t>
  </si>
  <si>
    <t>fishluv_413</t>
  </si>
  <si>
    <t>fishluv_414</t>
  </si>
  <si>
    <t>fishluv_415</t>
  </si>
  <si>
    <t>fishluv_416</t>
  </si>
  <si>
    <t>fishluv_417</t>
  </si>
  <si>
    <t>fishluv_418</t>
  </si>
  <si>
    <t>fishluv_419</t>
  </si>
  <si>
    <t>fishluv_420</t>
  </si>
  <si>
    <t>fishluv_421</t>
  </si>
  <si>
    <t>fishluv_422</t>
  </si>
  <si>
    <t>fishluv_423</t>
  </si>
  <si>
    <t>fishluv_424</t>
  </si>
  <si>
    <t>fishluv_425</t>
  </si>
  <si>
    <t>fishluv_426</t>
  </si>
  <si>
    <t>fishluv_427</t>
  </si>
  <si>
    <t>fishluv_428</t>
  </si>
  <si>
    <t>fishluv_429</t>
  </si>
  <si>
    <t>fishluv_430</t>
  </si>
  <si>
    <t>fishluv_431</t>
  </si>
  <si>
    <t>fishluv_432</t>
  </si>
  <si>
    <t>fishluv_433</t>
  </si>
  <si>
    <t>fishluv_434</t>
  </si>
  <si>
    <t>fishluv_435</t>
  </si>
  <si>
    <t>fishluv_436</t>
  </si>
  <si>
    <t>fishluv_437</t>
  </si>
  <si>
    <t>fishluv_438</t>
  </si>
  <si>
    <t>fishluv_439</t>
  </si>
  <si>
    <t>fishluv_440</t>
  </si>
  <si>
    <t>fishluv_441</t>
  </si>
  <si>
    <t>fishluv_442</t>
  </si>
  <si>
    <t>fishluv_443</t>
  </si>
  <si>
    <t>fishluv_444</t>
  </si>
  <si>
    <t>fishluv_445</t>
  </si>
  <si>
    <t>fishluv_446</t>
  </si>
  <si>
    <t>fishluv_447</t>
  </si>
  <si>
    <t>fishluv_448</t>
  </si>
  <si>
    <t>fishluv_449</t>
  </si>
  <si>
    <t>fishluv_450</t>
  </si>
  <si>
    <t>fishluv_451</t>
  </si>
  <si>
    <t>fishluv_452</t>
  </si>
  <si>
    <t>fishluv_453</t>
  </si>
  <si>
    <t>fishluv_454</t>
  </si>
  <si>
    <t>fishluv_455</t>
  </si>
  <si>
    <t>fishluv_456</t>
  </si>
  <si>
    <t>fishluv_457</t>
  </si>
  <si>
    <t>fishluv_458</t>
  </si>
  <si>
    <t>fishluv_459</t>
  </si>
  <si>
    <t>fishluv_460</t>
  </si>
  <si>
    <t>fishluv_461</t>
  </si>
  <si>
    <t>fishluv_462</t>
  </si>
  <si>
    <t>fishluv_463</t>
  </si>
  <si>
    <t>fishluv_464</t>
  </si>
  <si>
    <t>fishluv_465</t>
  </si>
  <si>
    <t>fishluv_466</t>
  </si>
  <si>
    <t>fishluv_467</t>
  </si>
  <si>
    <t>fishluv_468</t>
  </si>
  <si>
    <t>fishluv_469</t>
  </si>
  <si>
    <t>fishluv_470</t>
  </si>
  <si>
    <t>fishluv_471</t>
  </si>
  <si>
    <t>fishluv_472</t>
  </si>
  <si>
    <t>fishluv_473</t>
  </si>
  <si>
    <t>fishluv_474</t>
  </si>
  <si>
    <t>fishluv_475</t>
  </si>
  <si>
    <t>fishluv_476</t>
  </si>
  <si>
    <t>fishluv_477</t>
  </si>
  <si>
    <t>fishluv_478</t>
  </si>
  <si>
    <t>fishluv_479</t>
  </si>
  <si>
    <t>fishluv_480</t>
  </si>
  <si>
    <t>fishluv_481</t>
  </si>
  <si>
    <t>fishluv_482</t>
  </si>
  <si>
    <t>fishluv_483</t>
  </si>
  <si>
    <t>fishluv_484</t>
  </si>
  <si>
    <t>fishluv_485</t>
  </si>
  <si>
    <t>fishluv_486</t>
  </si>
  <si>
    <t>fishluv_487</t>
  </si>
  <si>
    <t>fishluv_488</t>
  </si>
  <si>
    <t>fishluv_489</t>
  </si>
  <si>
    <t>fishluv_490</t>
  </si>
  <si>
    <t>fishluv_491</t>
  </si>
  <si>
    <t>fishluv_492</t>
  </si>
  <si>
    <t>fishluv_493</t>
  </si>
  <si>
    <t>fishluv_494</t>
  </si>
  <si>
    <t>fishluv_495</t>
  </si>
  <si>
    <t>fishluv_496</t>
  </si>
  <si>
    <t>fishluv_497</t>
  </si>
  <si>
    <t>fishluv_498</t>
  </si>
  <si>
    <t>fishluv_499</t>
  </si>
  <si>
    <t>fishluv_500</t>
  </si>
  <si>
    <t>fishluv_501</t>
  </si>
  <si>
    <t>fishluv_502</t>
  </si>
  <si>
    <t>fishluv_503</t>
  </si>
  <si>
    <t>fishluv_504</t>
  </si>
  <si>
    <t>fishluv_505</t>
  </si>
  <si>
    <t>fishluv_506</t>
  </si>
  <si>
    <t>fishluv_507</t>
  </si>
  <si>
    <t>fishluv_508</t>
  </si>
  <si>
    <t>fishluv_509</t>
  </si>
  <si>
    <t>fishluv_510</t>
  </si>
  <si>
    <t>fishluv_511</t>
  </si>
  <si>
    <t>fishluv_512</t>
  </si>
  <si>
    <t>fishluv_513</t>
  </si>
  <si>
    <t>fishluv_514</t>
  </si>
  <si>
    <t>fishluv_515</t>
  </si>
  <si>
    <t>fishluv_516</t>
  </si>
  <si>
    <t>fishluv_517</t>
  </si>
  <si>
    <t>fishluv_518</t>
  </si>
  <si>
    <t>fishluv_519</t>
  </si>
  <si>
    <t>fishluv_520</t>
  </si>
  <si>
    <t>fishluv_521</t>
  </si>
  <si>
    <t>fishluv_522</t>
  </si>
  <si>
    <t>fishluv_523</t>
  </si>
  <si>
    <t>fishluv_524</t>
  </si>
  <si>
    <t>fishluv_525</t>
  </si>
  <si>
    <t>fishluv_526</t>
  </si>
  <si>
    <t>fishluv_527</t>
  </si>
  <si>
    <t>fishluv_528</t>
  </si>
  <si>
    <t>fishluv_529</t>
  </si>
  <si>
    <t>fishluv_530</t>
  </si>
  <si>
    <t>fishluv_531</t>
  </si>
  <si>
    <t>fishluv_532</t>
  </si>
  <si>
    <t>fishluv_533</t>
  </si>
  <si>
    <t>fishluv_534</t>
  </si>
  <si>
    <t>fishluv_535</t>
  </si>
  <si>
    <t>fishluv_536</t>
  </si>
  <si>
    <t>fishluv_537</t>
  </si>
  <si>
    <t>fishluv_538</t>
  </si>
  <si>
    <t>fishluv_539</t>
  </si>
  <si>
    <t>fishluv_540</t>
  </si>
  <si>
    <t>fishluv_541</t>
  </si>
  <si>
    <t>fishluv_542</t>
  </si>
  <si>
    <t>fishluv_543</t>
  </si>
  <si>
    <t>fishluv_544</t>
  </si>
  <si>
    <t>fishluv_545</t>
  </si>
  <si>
    <t>fishluv_546</t>
  </si>
  <si>
    <t>fishluv_547</t>
  </si>
  <si>
    <t>fishluv_548</t>
  </si>
  <si>
    <t>fishluv_549</t>
  </si>
  <si>
    <t>fishluv_550</t>
  </si>
  <si>
    <t>fishluv_551</t>
  </si>
  <si>
    <t>fishluv_552</t>
  </si>
  <si>
    <t>fishluv_553</t>
  </si>
  <si>
    <t>fishluv_554</t>
  </si>
  <si>
    <t>fishluv_555</t>
  </si>
  <si>
    <t>fishluv_556</t>
  </si>
  <si>
    <t>fishluv_557</t>
  </si>
  <si>
    <t>fishluv_558</t>
  </si>
  <si>
    <t>fishluv_559</t>
  </si>
  <si>
    <t>fishluv_560</t>
  </si>
  <si>
    <t>fishluv_561</t>
  </si>
  <si>
    <t>fishluv_562</t>
  </si>
  <si>
    <t>fishluv_563</t>
  </si>
  <si>
    <t>fishluv_564</t>
  </si>
  <si>
    <t>fishluv_565</t>
  </si>
  <si>
    <t>fishluv_566</t>
  </si>
  <si>
    <t>fishluv_567</t>
  </si>
  <si>
    <t>fishluv_568</t>
  </si>
  <si>
    <t>fishluv_569</t>
  </si>
  <si>
    <t>fishluv_570</t>
  </si>
  <si>
    <t>fishluv_571</t>
  </si>
  <si>
    <t>fishluv_572</t>
  </si>
  <si>
    <t>fishluv_573</t>
  </si>
  <si>
    <t>fishluv_574</t>
  </si>
  <si>
    <t>fishluv_575</t>
  </si>
  <si>
    <t>fishluv_576</t>
  </si>
  <si>
    <t>fishluv_577</t>
  </si>
  <si>
    <t>fishluv_578</t>
  </si>
  <si>
    <t>fishluv_579</t>
  </si>
  <si>
    <t>fishluv_580</t>
  </si>
  <si>
    <t>fishluv_581</t>
  </si>
  <si>
    <t>fishluv_582</t>
  </si>
  <si>
    <t>fishluv_583</t>
  </si>
  <si>
    <t>fishluv_584</t>
  </si>
  <si>
    <t>fishluv_585</t>
  </si>
  <si>
    <t>fishluv_586</t>
  </si>
  <si>
    <t>fishluv_587</t>
  </si>
  <si>
    <t>fishluv_588</t>
  </si>
  <si>
    <t>fishluv_589</t>
  </si>
  <si>
    <t>fishluv_590</t>
  </si>
  <si>
    <t>fishluv_591</t>
  </si>
  <si>
    <t>fishluv_592</t>
  </si>
  <si>
    <t>fishluv_593</t>
  </si>
  <si>
    <t>fishluv_594</t>
  </si>
  <si>
    <t>fishluv_595</t>
  </si>
  <si>
    <t>fishluv_596</t>
  </si>
  <si>
    <t>fishluv_597</t>
  </si>
  <si>
    <t>fishluv_598</t>
  </si>
  <si>
    <t>fishluv_599</t>
  </si>
  <si>
    <t>fishluv_600</t>
  </si>
  <si>
    <t>fishluv_601</t>
  </si>
  <si>
    <t>fishluv_602</t>
  </si>
  <si>
    <t>fishluv_603</t>
  </si>
  <si>
    <t>fishluv_604</t>
  </si>
  <si>
    <t>fishluv_605</t>
  </si>
  <si>
    <t>fishluv_606</t>
  </si>
  <si>
    <t>fishluv_607</t>
  </si>
  <si>
    <t>fishluv_608</t>
  </si>
  <si>
    <t>fishluv_609</t>
  </si>
  <si>
    <t>fishluv_610</t>
  </si>
  <si>
    <t>fishluv_611</t>
  </si>
  <si>
    <t>fishluv_612</t>
  </si>
  <si>
    <t>fishluv_613</t>
  </si>
  <si>
    <t>fishluv_614</t>
  </si>
  <si>
    <t>fishluv_615</t>
  </si>
  <si>
    <t>fishluv_616</t>
  </si>
  <si>
    <t>fishluv_617</t>
  </si>
  <si>
    <t>fishluv_618</t>
  </si>
  <si>
    <t>fishluv_619</t>
  </si>
  <si>
    <t>fishluv_620</t>
  </si>
  <si>
    <t>fishluv_621</t>
  </si>
  <si>
    <t>fishluv_622</t>
  </si>
  <si>
    <t>fishluv_623</t>
  </si>
  <si>
    <t>fishluv_624</t>
  </si>
  <si>
    <t>fishluv_625</t>
  </si>
  <si>
    <t>fishluv_626</t>
  </si>
  <si>
    <t>fishluv_627</t>
  </si>
  <si>
    <t>fishluv_628</t>
  </si>
  <si>
    <t>fishluv_629</t>
  </si>
  <si>
    <t>fishluv_630</t>
  </si>
  <si>
    <t>fishluv_631</t>
  </si>
  <si>
    <t>fishluv_632</t>
  </si>
  <si>
    <t>fishluv_633</t>
  </si>
  <si>
    <t>fishluv_634</t>
  </si>
  <si>
    <t>fishluv_635</t>
  </si>
  <si>
    <t>fishluv_636</t>
  </si>
  <si>
    <t>fishluv_637</t>
  </si>
  <si>
    <t>fishluv_638</t>
  </si>
  <si>
    <t>fishluv_639</t>
  </si>
  <si>
    <t>fishluv_640</t>
  </si>
  <si>
    <t>fishluv_641</t>
  </si>
  <si>
    <t>fishluv_642</t>
  </si>
  <si>
    <t>fishluv_643</t>
  </si>
  <si>
    <t>fishluv_644</t>
  </si>
  <si>
    <t>fishluv_645</t>
  </si>
  <si>
    <t>fishluv_646</t>
  </si>
  <si>
    <t>fishluv_647</t>
  </si>
  <si>
    <t>fishluv_648</t>
  </si>
  <si>
    <t>fishluv_649</t>
  </si>
  <si>
    <t>fishluv_650</t>
  </si>
  <si>
    <t>fishluv_651</t>
  </si>
  <si>
    <t>fishluv_652</t>
  </si>
  <si>
    <t>fishluv_653</t>
  </si>
  <si>
    <t>fishluv_654</t>
  </si>
  <si>
    <t>fishluv_655</t>
  </si>
  <si>
    <t>fishluv_656</t>
  </si>
  <si>
    <t>fishluv_657</t>
  </si>
  <si>
    <t>fishluv_658</t>
  </si>
  <si>
    <t>fishluv_659</t>
  </si>
  <si>
    <t>fishluv_660</t>
  </si>
  <si>
    <t>fishluv_661</t>
  </si>
  <si>
    <t>fishluv_662</t>
  </si>
  <si>
    <t>fishluv_663</t>
  </si>
  <si>
    <t>fishluv_664</t>
  </si>
  <si>
    <t>fishluv_665</t>
  </si>
  <si>
    <t>fishluv_666</t>
  </si>
  <si>
    <t>fishluv_667</t>
  </si>
  <si>
    <t>fishluv_668</t>
  </si>
  <si>
    <t>fishluv_669</t>
  </si>
  <si>
    <t>fishluv_670</t>
  </si>
  <si>
    <t>fishluv_671</t>
  </si>
  <si>
    <t>fishluv_672</t>
  </si>
  <si>
    <t>fishluv_673</t>
  </si>
  <si>
    <t>fishluv_674</t>
  </si>
  <si>
    <t>fishluv_675</t>
  </si>
  <si>
    <t>fishluv_676</t>
  </si>
  <si>
    <t>fishluv_677</t>
  </si>
  <si>
    <t>fishluv_678</t>
  </si>
  <si>
    <t>fishluv_679</t>
  </si>
  <si>
    <t>fishluv_680</t>
  </si>
  <si>
    <t>fishluv_681</t>
  </si>
  <si>
    <t>fishluv_682</t>
  </si>
  <si>
    <t>fishluv_683</t>
  </si>
  <si>
    <t>fishluv_684</t>
  </si>
  <si>
    <t>fishluv_685</t>
  </si>
  <si>
    <t>fishluv_686</t>
  </si>
  <si>
    <t>fishluv_687</t>
  </si>
  <si>
    <t>fishluv_688</t>
  </si>
  <si>
    <t>fishluv_689</t>
  </si>
  <si>
    <t>fishluv_690</t>
  </si>
  <si>
    <t>fishluv_691</t>
  </si>
  <si>
    <t>fishluv_692</t>
  </si>
  <si>
    <t>fishluv_693</t>
  </si>
  <si>
    <t>fishluv_694</t>
  </si>
  <si>
    <t>fishluv_695</t>
  </si>
  <si>
    <t>fishluv_696</t>
  </si>
  <si>
    <t>fishluv_697</t>
  </si>
  <si>
    <t>fishluv_698</t>
  </si>
  <si>
    <t>fishluv_699</t>
  </si>
  <si>
    <t>fishluv_700</t>
  </si>
  <si>
    <t>fishluv_701</t>
  </si>
  <si>
    <t>fishluv_702</t>
  </si>
  <si>
    <t>fishluv_703</t>
  </si>
  <si>
    <t>fishluv_704</t>
  </si>
  <si>
    <t>fishluv_705</t>
  </si>
  <si>
    <t>fishluv_706</t>
  </si>
  <si>
    <t>fishluv_707</t>
  </si>
  <si>
    <t>fishluv_708</t>
  </si>
  <si>
    <t>fishluv_709</t>
  </si>
  <si>
    <t>fishluv_710</t>
  </si>
  <si>
    <t>fishluv_711</t>
  </si>
  <si>
    <t>fishluv_712</t>
  </si>
  <si>
    <t>fishluv_713</t>
  </si>
  <si>
    <t>fishluv_714</t>
  </si>
  <si>
    <t>fishluv_715</t>
  </si>
  <si>
    <t>fishluv_716</t>
  </si>
  <si>
    <t>fishluv_717</t>
  </si>
  <si>
    <t>fishluv_718</t>
  </si>
  <si>
    <t>fishluv_719</t>
  </si>
  <si>
    <t>fishluv_720</t>
  </si>
  <si>
    <t>fishluv_721</t>
  </si>
  <si>
    <t>fishluv_722</t>
  </si>
  <si>
    <t>fishluv_723</t>
  </si>
  <si>
    <t>fishluv_724</t>
  </si>
  <si>
    <t>fishluv_725</t>
  </si>
  <si>
    <t>fishluv_726</t>
  </si>
  <si>
    <t>fishluv_727</t>
  </si>
  <si>
    <t>fishluv_728</t>
  </si>
  <si>
    <t>fishluv_729</t>
  </si>
  <si>
    <t>fishluv_730</t>
  </si>
  <si>
    <t>fishluv_731</t>
  </si>
  <si>
    <t>fishluv_732</t>
  </si>
  <si>
    <t>fishluv_733</t>
  </si>
  <si>
    <t>fishluv_734</t>
  </si>
  <si>
    <t>fishluv_735</t>
  </si>
  <si>
    <t>fishluv_736</t>
  </si>
  <si>
    <t>fishluv_737</t>
  </si>
  <si>
    <t>fishluv_738</t>
  </si>
  <si>
    <t>fishluv_739</t>
  </si>
  <si>
    <t>fishluv_740</t>
  </si>
  <si>
    <t>fishluv_741</t>
  </si>
  <si>
    <t>fishluv_742</t>
  </si>
  <si>
    <t>fishluv_743</t>
  </si>
  <si>
    <t>fishluv_744</t>
  </si>
  <si>
    <t>fishluv_745</t>
  </si>
  <si>
    <t>fishluv_746</t>
  </si>
  <si>
    <t>fishluv_747</t>
  </si>
  <si>
    <t>fishluv_748</t>
  </si>
  <si>
    <t>fishluv_749</t>
  </si>
  <si>
    <t>fishluv_750</t>
  </si>
  <si>
    <t>fishluv_751</t>
  </si>
  <si>
    <t>fishluv_752</t>
  </si>
  <si>
    <t>fishluv_753</t>
  </si>
  <si>
    <t>fishluv_754</t>
  </si>
  <si>
    <t>fishluv_755</t>
  </si>
  <si>
    <t>fishluv_756</t>
  </si>
  <si>
    <t>fishluv_757</t>
  </si>
  <si>
    <t>fishluv_758</t>
  </si>
  <si>
    <t>fishluv_759</t>
  </si>
  <si>
    <t>fishluv_760</t>
  </si>
  <si>
    <t>fishluv_761</t>
  </si>
  <si>
    <t>fishluv_762</t>
  </si>
  <si>
    <t>fishluv_763</t>
  </si>
  <si>
    <t>fishluv_764</t>
  </si>
  <si>
    <t>fishluv_765</t>
  </si>
  <si>
    <t>fishluv_766</t>
  </si>
  <si>
    <t>fishluv_767</t>
  </si>
  <si>
    <t>fishluv_768</t>
  </si>
  <si>
    <t>fishluv_769</t>
  </si>
  <si>
    <t>fishluv_770</t>
  </si>
  <si>
    <t>fishluv_771</t>
  </si>
  <si>
    <t>fishluv_772</t>
  </si>
  <si>
    <t>fishluv_773</t>
  </si>
  <si>
    <t>fishluv_774</t>
  </si>
  <si>
    <t>fishluv_775</t>
  </si>
  <si>
    <t>fishluv_776</t>
  </si>
  <si>
    <t>fishluv_777</t>
  </si>
  <si>
    <t>fishluv_778</t>
  </si>
  <si>
    <t>fishluv_779</t>
  </si>
  <si>
    <t>fishluv_780</t>
  </si>
  <si>
    <t>fishluv_781</t>
  </si>
  <si>
    <t>fishluv_782</t>
  </si>
  <si>
    <t>fishluv_783</t>
  </si>
  <si>
    <t>fishluv_784</t>
  </si>
  <si>
    <t>fishluv_785</t>
  </si>
  <si>
    <t>fishluv_786</t>
  </si>
  <si>
    <t>fishluv_787</t>
  </si>
  <si>
    <t>fishluv_788</t>
  </si>
  <si>
    <t>fishluv_789</t>
  </si>
  <si>
    <t>fishluv_790</t>
  </si>
  <si>
    <t>fishluv_791</t>
  </si>
  <si>
    <t>fishluv_792</t>
  </si>
  <si>
    <t>fishluv_793</t>
  </si>
  <si>
    <t>fishluv_794</t>
  </si>
  <si>
    <t>fishluv_795</t>
  </si>
  <si>
    <t>fishluv_796</t>
  </si>
  <si>
    <t>fishluv_797</t>
  </si>
  <si>
    <t>fishluv_798</t>
  </si>
  <si>
    <t>fishluv_799</t>
  </si>
  <si>
    <t>fishluv_800</t>
  </si>
  <si>
    <t>fishluv_801</t>
  </si>
  <si>
    <t>fishluv_802</t>
  </si>
  <si>
    <t>fishluv_803</t>
  </si>
  <si>
    <t>fishluv_804</t>
  </si>
  <si>
    <t>fishluv_805</t>
  </si>
  <si>
    <t>fishluv_806</t>
  </si>
  <si>
    <t>fishluv_807</t>
  </si>
  <si>
    <t>fishluv_808</t>
  </si>
  <si>
    <t>fishluv_809</t>
  </si>
  <si>
    <t>fishluv_810</t>
  </si>
  <si>
    <t>fishluv_811</t>
  </si>
  <si>
    <t>fishluv_812</t>
  </si>
  <si>
    <t>fishluv_813</t>
  </si>
  <si>
    <t>fishluv_814</t>
  </si>
  <si>
    <t>fishluv_815</t>
  </si>
  <si>
    <t>fishluv_816</t>
  </si>
  <si>
    <t>fishluv_817</t>
  </si>
  <si>
    <t>fishluv_818</t>
  </si>
  <si>
    <t>fishluv_819</t>
  </si>
  <si>
    <t>fishluv_820</t>
  </si>
  <si>
    <t>fishluv_821</t>
  </si>
  <si>
    <t>fishluv_822</t>
  </si>
  <si>
    <t>fishluv_823</t>
  </si>
  <si>
    <t>fishluv_824</t>
  </si>
  <si>
    <t>fishluv_825</t>
  </si>
  <si>
    <t>fishluv_826</t>
  </si>
  <si>
    <t>fishluv_827</t>
  </si>
  <si>
    <t>fishluv_828</t>
  </si>
  <si>
    <t>fishluv_829</t>
  </si>
  <si>
    <t>fishluv_830</t>
  </si>
  <si>
    <t>fishluv_831</t>
  </si>
  <si>
    <t>fishluv_832</t>
  </si>
  <si>
    <t>fishluv_833</t>
  </si>
  <si>
    <t>fishluv_834</t>
  </si>
  <si>
    <t>fishluv_835</t>
  </si>
  <si>
    <t>fishluv_836</t>
  </si>
  <si>
    <t>fishluv_837</t>
  </si>
  <si>
    <t>fishluv_838</t>
  </si>
  <si>
    <t>fishluv_839</t>
  </si>
  <si>
    <t>fishluv_840</t>
  </si>
  <si>
    <t>fishluv_841</t>
  </si>
  <si>
    <t>fishluv_842</t>
  </si>
  <si>
    <t>fishluv_843</t>
  </si>
  <si>
    <t>fishluv_844</t>
  </si>
  <si>
    <t>fishluv_845</t>
  </si>
  <si>
    <t>fishluv_846</t>
  </si>
  <si>
    <t>fishluv_847</t>
  </si>
  <si>
    <t>fishluv_848</t>
  </si>
  <si>
    <t>fishluv_849</t>
  </si>
  <si>
    <t>fishluv_850</t>
  </si>
  <si>
    <t>fishluv_851</t>
  </si>
  <si>
    <t>fishluv_852</t>
  </si>
  <si>
    <t>fishluv_853</t>
  </si>
  <si>
    <t>fishluv_854</t>
  </si>
  <si>
    <t>fishluv_855</t>
  </si>
  <si>
    <t>fishluv_856</t>
  </si>
  <si>
    <t>fishluv_857</t>
  </si>
  <si>
    <t>fishluv_858</t>
  </si>
  <si>
    <t>fishluv_859</t>
  </si>
  <si>
    <t>fishluv_860</t>
  </si>
  <si>
    <t>fishluv_861</t>
  </si>
  <si>
    <t>fishluv_862</t>
  </si>
  <si>
    <t>fishluv_863</t>
  </si>
  <si>
    <t>fishluv_864</t>
  </si>
  <si>
    <t>fishluv_865</t>
  </si>
  <si>
    <t>fishluv_866</t>
  </si>
  <si>
    <t>fishluv_867</t>
  </si>
  <si>
    <t>fishluv_868</t>
  </si>
  <si>
    <t>fishluv_869</t>
  </si>
  <si>
    <t>fishluv_870</t>
  </si>
  <si>
    <t>fishluv_871</t>
  </si>
  <si>
    <t>fishluv_872</t>
  </si>
  <si>
    <t>fishluv_873</t>
  </si>
  <si>
    <t>fishluv_874</t>
  </si>
  <si>
    <t>fishluv_875</t>
  </si>
  <si>
    <t>fishluv_876</t>
  </si>
  <si>
    <t>fishluv_877</t>
  </si>
  <si>
    <t>fishluv_878</t>
  </si>
  <si>
    <t>fishluv_879</t>
  </si>
  <si>
    <t>fishluv_880</t>
  </si>
  <si>
    <t>fishluv_881</t>
  </si>
  <si>
    <t>fishluv_882</t>
  </si>
  <si>
    <t>fishluv_883</t>
  </si>
  <si>
    <t>fishluv_884</t>
  </si>
  <si>
    <t>fishluv_885</t>
  </si>
  <si>
    <t>fishluv_886</t>
  </si>
  <si>
    <t>fishluv_887</t>
  </si>
  <si>
    <t>fishluv_888</t>
  </si>
  <si>
    <t>fishluv_889</t>
  </si>
  <si>
    <t>fishluv_890</t>
  </si>
  <si>
    <t>fishluv_891</t>
  </si>
  <si>
    <t>fishluv_892</t>
  </si>
  <si>
    <t>fishluv_893</t>
  </si>
  <si>
    <t>fishluv_894</t>
  </si>
  <si>
    <t>fishluv_895</t>
  </si>
  <si>
    <t>fishluv_896</t>
  </si>
  <si>
    <t>fishluv_897</t>
  </si>
  <si>
    <t>fishluv_898</t>
  </si>
  <si>
    <t>fishluv_899</t>
  </si>
  <si>
    <t>fishluv_900</t>
  </si>
  <si>
    <t>fishluv_901</t>
  </si>
  <si>
    <t>fishluv_902</t>
  </si>
  <si>
    <t>fishluv_903</t>
  </si>
  <si>
    <t>fishluv_904</t>
  </si>
  <si>
    <t>fishluv_905</t>
  </si>
  <si>
    <t>fishluv_906</t>
  </si>
  <si>
    <t>fishluv_907</t>
  </si>
  <si>
    <t>fishluv_908</t>
  </si>
  <si>
    <t>fishluv_909</t>
  </si>
  <si>
    <t>fishluv_910</t>
  </si>
  <si>
    <t>fishluv_911</t>
  </si>
  <si>
    <t>fishluv_912</t>
  </si>
  <si>
    <t>fishluv_913</t>
  </si>
  <si>
    <t>fishluv_914</t>
  </si>
  <si>
    <t>fishluv_915</t>
  </si>
  <si>
    <t>fishluv_916</t>
  </si>
  <si>
    <t>fishluv_917</t>
  </si>
  <si>
    <t>fishluv_918</t>
  </si>
  <si>
    <t>fishluv_919</t>
  </si>
  <si>
    <t>fishluv_920</t>
  </si>
  <si>
    <t>fishluv_921</t>
  </si>
  <si>
    <t>fishluv_922</t>
  </si>
  <si>
    <t>fishluv_923</t>
  </si>
  <si>
    <t>fishluv_924</t>
  </si>
  <si>
    <t>fishluv_925</t>
  </si>
  <si>
    <t>fishluv_926</t>
  </si>
  <si>
    <t>fishluv_927</t>
  </si>
  <si>
    <t>fishluv_928</t>
  </si>
  <si>
    <t>fishluv_929</t>
  </si>
  <si>
    <t>fishluv_930</t>
  </si>
  <si>
    <t>fishluv_931</t>
  </si>
  <si>
    <t>fishluv_932</t>
  </si>
  <si>
    <t>fishluv_933</t>
  </si>
  <si>
    <t>fishluv_934</t>
  </si>
  <si>
    <t>fishluv_935</t>
  </si>
  <si>
    <t>fishluv_936</t>
  </si>
  <si>
    <t>fishluv_937</t>
  </si>
  <si>
    <t>fishluv_938</t>
  </si>
  <si>
    <t>fishluv_939</t>
  </si>
  <si>
    <t>fishluv_940</t>
  </si>
  <si>
    <t>fishluv_941</t>
  </si>
  <si>
    <t>fishluv_942</t>
  </si>
  <si>
    <t>fishluv_943</t>
  </si>
  <si>
    <t>fishluv_944</t>
  </si>
  <si>
    <t>fishluv_945</t>
  </si>
  <si>
    <t>fishluv_946</t>
  </si>
  <si>
    <t>fishluv_947</t>
  </si>
  <si>
    <t>fishluv_948</t>
  </si>
  <si>
    <t>fishluv_949</t>
  </si>
  <si>
    <t>fishluv_950</t>
  </si>
  <si>
    <t>fishluv_951</t>
  </si>
  <si>
    <t>fishluv_952</t>
  </si>
  <si>
    <t>fishluv_953</t>
  </si>
  <si>
    <t>fishluv_954</t>
  </si>
  <si>
    <t>fishluv_955</t>
  </si>
  <si>
    <t>fishluv_956</t>
  </si>
  <si>
    <t>fishluv_957</t>
  </si>
  <si>
    <t>fishluv_958</t>
  </si>
  <si>
    <t>fishluv_959</t>
  </si>
  <si>
    <t>fishluv_960</t>
  </si>
  <si>
    <t>fishluv_961</t>
  </si>
  <si>
    <t>fishluv_962</t>
  </si>
  <si>
    <t>fishluv_963</t>
  </si>
  <si>
    <t>fishluv_964</t>
  </si>
  <si>
    <t>fishluv_965</t>
  </si>
  <si>
    <t>fishluv_966</t>
  </si>
  <si>
    <t>fishluv_967</t>
  </si>
  <si>
    <t>fishluv_968</t>
  </si>
  <si>
    <t>fishluv_969</t>
  </si>
  <si>
    <t>fishluv_970</t>
  </si>
  <si>
    <t>fishluv_971</t>
  </si>
  <si>
    <t>fishluv_972</t>
  </si>
  <si>
    <t>fishluv_973</t>
  </si>
  <si>
    <t>fishluv_974</t>
  </si>
  <si>
    <t>fishluv_975</t>
  </si>
  <si>
    <t>fishluv_976</t>
  </si>
  <si>
    <t>fishluv_977</t>
  </si>
  <si>
    <t>fishluv_978</t>
  </si>
  <si>
    <t>fishluv_979</t>
  </si>
  <si>
    <t>fishluv_980</t>
  </si>
  <si>
    <t>fishluv_981</t>
  </si>
  <si>
    <t>fishluv_982</t>
  </si>
  <si>
    <t>fishluv_983</t>
  </si>
  <si>
    <t>fishluv_984</t>
  </si>
  <si>
    <t>fishluv_985</t>
  </si>
  <si>
    <t>fishluv_986</t>
  </si>
  <si>
    <t>fishluv_987</t>
  </si>
  <si>
    <t>fishluv_988</t>
  </si>
  <si>
    <t>fishluv_989</t>
  </si>
  <si>
    <t>fishluv_990</t>
  </si>
  <si>
    <t>fishluv_991</t>
  </si>
  <si>
    <t>fishluv_992</t>
  </si>
  <si>
    <t>fishluv_993</t>
  </si>
  <si>
    <t>fishluv_994</t>
  </si>
  <si>
    <t>fishluv_995</t>
  </si>
  <si>
    <t>fishluv_996</t>
  </si>
  <si>
    <t>fishluv_997</t>
  </si>
  <si>
    <t>fishluv_998</t>
  </si>
  <si>
    <t>fishluv_999</t>
  </si>
  <si>
    <t>fishluv_1000</t>
  </si>
  <si>
    <t>fishluv_1001</t>
  </si>
  <si>
    <t>fishluv_1002</t>
  </si>
  <si>
    <t>fishluv_1003</t>
  </si>
  <si>
    <t>fishluv_1004</t>
  </si>
  <si>
    <t>fishluv_1005</t>
  </si>
  <si>
    <t>fishluv_1006</t>
  </si>
  <si>
    <t>fishluv_1007</t>
  </si>
  <si>
    <t>fishluv_1008</t>
  </si>
  <si>
    <t>fishluv_1009</t>
  </si>
  <si>
    <t>fishluv_1010</t>
  </si>
  <si>
    <t>fishluv_1011</t>
  </si>
  <si>
    <t>fishluv_1012</t>
  </si>
  <si>
    <t>fishluv_1013</t>
  </si>
  <si>
    <t>fishluv_1014</t>
  </si>
  <si>
    <t>fishluv_1015</t>
  </si>
  <si>
    <t>fishluv_1016</t>
  </si>
  <si>
    <t>fishluv_1017</t>
  </si>
  <si>
    <t>fishluv_1018</t>
  </si>
  <si>
    <t>fishluv_1019</t>
  </si>
  <si>
    <t>fishluv_1020</t>
  </si>
  <si>
    <t>fishluv_1021</t>
  </si>
  <si>
    <t>fishluv_1022</t>
  </si>
  <si>
    <t>fishluv_1023</t>
  </si>
  <si>
    <t>fishluv_1024</t>
  </si>
  <si>
    <t>fishluv_1025</t>
  </si>
  <si>
    <t>fishluv_1026</t>
  </si>
  <si>
    <t>fishluv_1027</t>
  </si>
  <si>
    <t>fishluv_1028</t>
  </si>
  <si>
    <t>fishluv_1029</t>
  </si>
  <si>
    <t>fishluv_1030</t>
  </si>
  <si>
    <t>fishluv_1031</t>
  </si>
  <si>
    <t>fishluv_1032</t>
  </si>
  <si>
    <t>fishluv_1033</t>
  </si>
  <si>
    <t>fishluv_1034</t>
  </si>
  <si>
    <t>fishluv_1035</t>
  </si>
  <si>
    <t>fishluv_1036</t>
  </si>
  <si>
    <t>fishluv_1037</t>
  </si>
  <si>
    <t>fishluv_1038</t>
  </si>
  <si>
    <t>fishluv_1039</t>
  </si>
  <si>
    <t>fishluv_1040</t>
  </si>
  <si>
    <t>fishluv_1041</t>
  </si>
  <si>
    <t>fishluv_1042</t>
  </si>
  <si>
    <t>fishluv_1043</t>
  </si>
  <si>
    <t>fishluv_1044</t>
  </si>
  <si>
    <t>fishluv_1045</t>
  </si>
  <si>
    <t>fishluv_1046</t>
  </si>
  <si>
    <t>fishluv_1047</t>
  </si>
  <si>
    <t>fishluv_1048</t>
  </si>
  <si>
    <t>fishluv_1049</t>
  </si>
  <si>
    <t>fishluv_1050</t>
  </si>
  <si>
    <t>fishluv_1051</t>
  </si>
  <si>
    <t>fishluv_1052</t>
  </si>
  <si>
    <t>fishluv_1053</t>
  </si>
  <si>
    <t>fishluv_1054</t>
  </si>
  <si>
    <t>fishluv_1055</t>
  </si>
  <si>
    <t>fishluv_1056</t>
  </si>
  <si>
    <t>fishluv_1057</t>
  </si>
  <si>
    <t>fishluv_1058</t>
  </si>
  <si>
    <t>fishluv_1059</t>
  </si>
  <si>
    <t>fishluv_1060</t>
  </si>
  <si>
    <t>fishluv_1061</t>
  </si>
  <si>
    <t>fishluv_1062</t>
  </si>
  <si>
    <t>fishluv_1063</t>
  </si>
  <si>
    <t>fishluv_1064</t>
  </si>
  <si>
    <t>fishluv_1065</t>
  </si>
  <si>
    <t>fishluv_1066</t>
  </si>
  <si>
    <t>fishluv_1067</t>
  </si>
  <si>
    <t>fishluv_1068</t>
  </si>
  <si>
    <t>fishluv_1069</t>
  </si>
  <si>
    <t>fishluv_1070</t>
  </si>
  <si>
    <t>fishluv_1071</t>
  </si>
  <si>
    <t>fishluv_1072</t>
  </si>
  <si>
    <t>fishluv_1073</t>
  </si>
  <si>
    <t>fishluv_1074</t>
  </si>
  <si>
    <t>fishluv_1075</t>
  </si>
  <si>
    <t>fishluv_1076</t>
  </si>
  <si>
    <t>fishluv_1077</t>
  </si>
  <si>
    <t>fishluv_1078</t>
  </si>
  <si>
    <t>fishluv_1079</t>
  </si>
  <si>
    <t>fishluv_1080</t>
  </si>
  <si>
    <t>fishluv_1081</t>
  </si>
  <si>
    <t>fishluv_1082</t>
  </si>
  <si>
    <t>fishluv_1083</t>
  </si>
  <si>
    <t>fishluv_1084</t>
  </si>
  <si>
    <t>fishluv_1085</t>
  </si>
  <si>
    <t>fishluv_1086</t>
  </si>
  <si>
    <t>fishluv_1087</t>
  </si>
  <si>
    <t>fishluv_1088</t>
  </si>
  <si>
    <t>fishluv_1089</t>
  </si>
  <si>
    <t>fishluv_1090</t>
  </si>
  <si>
    <t>fishluv_1091</t>
  </si>
  <si>
    <t>fishluv_1092</t>
  </si>
  <si>
    <t>fishluv_1093</t>
  </si>
  <si>
    <t>fishluv_1094</t>
  </si>
  <si>
    <t>fishluv_1095</t>
  </si>
  <si>
    <t>fishluv_1096</t>
  </si>
  <si>
    <t>fishluv_1097</t>
  </si>
  <si>
    <t>fishluv_1098</t>
  </si>
  <si>
    <t>fishluv_1099</t>
  </si>
  <si>
    <t>fishluv_1100</t>
  </si>
  <si>
    <t>fishluv_1101</t>
  </si>
  <si>
    <t>fishluv_1102</t>
  </si>
  <si>
    <t>fishluv_1103</t>
  </si>
  <si>
    <t>fishluv_1104</t>
  </si>
  <si>
    <t>fishluv_1105</t>
  </si>
  <si>
    <t>fishluv_1106</t>
  </si>
  <si>
    <t>fishluv_1107</t>
  </si>
  <si>
    <t>fishluv_1108</t>
  </si>
  <si>
    <t>fishluv_1109</t>
  </si>
  <si>
    <t>fishluv_1110</t>
  </si>
  <si>
    <t>fishluv_1111</t>
  </si>
  <si>
    <t>fishluv_1112</t>
  </si>
  <si>
    <t>fishluv_1113</t>
  </si>
  <si>
    <t>fishluv_1114</t>
  </si>
  <si>
    <t>fishluv_1115</t>
  </si>
  <si>
    <t>fishluv_1116</t>
  </si>
  <si>
    <t>fishluv_1117</t>
  </si>
  <si>
    <t>fishluv_1118</t>
  </si>
  <si>
    <t>fishluv_1119</t>
  </si>
  <si>
    <t>fishluv_1120</t>
  </si>
  <si>
    <t>fishluv_1121</t>
  </si>
  <si>
    <t>fishluv_1122</t>
  </si>
  <si>
    <t>fishluv_1123</t>
  </si>
  <si>
    <t>fishluv_1124</t>
  </si>
  <si>
    <t>fishluv_1125</t>
  </si>
  <si>
    <t>fishluv_1126</t>
  </si>
  <si>
    <t>fishluv_1127</t>
  </si>
  <si>
    <t>fishluv_1128</t>
  </si>
  <si>
    <t>fishluv_1129</t>
  </si>
  <si>
    <t>fishluv_1130</t>
  </si>
  <si>
    <t>fishluv_1131</t>
  </si>
  <si>
    <t>fishluv_1132</t>
  </si>
  <si>
    <t>fishluv_1133</t>
  </si>
  <si>
    <t>fishluv_1134</t>
  </si>
  <si>
    <t>fishluv_1135</t>
  </si>
  <si>
    <t>fishluv_1136</t>
  </si>
  <si>
    <t>fishluv_1137</t>
  </si>
  <si>
    <t>fishluv_1138</t>
  </si>
  <si>
    <t>fishluv_1139</t>
  </si>
  <si>
    <t>fishluv_1140</t>
  </si>
  <si>
    <t>fishluv_1141</t>
  </si>
  <si>
    <t>fishluv_1142</t>
  </si>
  <si>
    <t>fishluv_1143</t>
  </si>
  <si>
    <t>fishluv_1144</t>
  </si>
  <si>
    <t>fishluv_1145</t>
  </si>
  <si>
    <t>fishluv_1146</t>
  </si>
  <si>
    <t>fishluv_1147</t>
  </si>
  <si>
    <t>fishluv_1148</t>
  </si>
  <si>
    <t>fishluv_1149</t>
  </si>
  <si>
    <t>fishluv_1150</t>
  </si>
  <si>
    <t>fishluv_1151</t>
  </si>
  <si>
    <t>fishluv_1152</t>
  </si>
  <si>
    <t>fishluv_1153</t>
  </si>
  <si>
    <t>fishluv_1154</t>
  </si>
  <si>
    <t>fishluv_1155</t>
  </si>
  <si>
    <t>fishluv_1156</t>
  </si>
  <si>
    <t>fishluv_1157</t>
  </si>
  <si>
    <t>fishluv_1158</t>
  </si>
  <si>
    <t>fishluv_1159</t>
  </si>
  <si>
    <t>fishluv_1160</t>
  </si>
  <si>
    <t>fishluv_1161</t>
  </si>
  <si>
    <t>fishluv_1162</t>
  </si>
  <si>
    <t>fishluv_1163</t>
  </si>
  <si>
    <t>fishluv_1164</t>
  </si>
  <si>
    <t>fishluv_1165</t>
  </si>
  <si>
    <t>fishluv_1166</t>
  </si>
  <si>
    <t>fishluv_1167</t>
  </si>
  <si>
    <t>fishluv_1168</t>
  </si>
  <si>
    <t>fishluv_1169</t>
  </si>
  <si>
    <t>fishluv_1170</t>
  </si>
  <si>
    <t>fishluv_1171</t>
  </si>
  <si>
    <t>fishluv_1172</t>
  </si>
  <si>
    <t>fishluv_1173</t>
  </si>
  <si>
    <t>fishluv_1174</t>
  </si>
  <si>
    <t>fishluv_1175</t>
  </si>
  <si>
    <t>fishluv_1176</t>
  </si>
  <si>
    <t>fishluv_1177</t>
  </si>
  <si>
    <t>fishluv_1178</t>
  </si>
  <si>
    <t>fishluv_1179</t>
  </si>
  <si>
    <t>fishluv_1180</t>
  </si>
  <si>
    <t>fishluv_1181</t>
  </si>
  <si>
    <t>fishluv_1182</t>
  </si>
  <si>
    <t>fishluv_1183</t>
  </si>
  <si>
    <t>fishluv_1184</t>
  </si>
  <si>
    <t>fishluv_1185</t>
  </si>
  <si>
    <t>fishluv_1186</t>
  </si>
  <si>
    <t>fishluv_1187</t>
  </si>
  <si>
    <t>fishluv_1188</t>
  </si>
  <si>
    <t>fishluv_1189</t>
  </si>
  <si>
    <t>fishluv_1190</t>
  </si>
  <si>
    <t>fishluv_1191</t>
  </si>
  <si>
    <t>fishluv_1192</t>
  </si>
  <si>
    <t>fishluv_1193</t>
  </si>
  <si>
    <t>fishluv_1194</t>
  </si>
  <si>
    <t>fishluv_1195</t>
  </si>
  <si>
    <t>fishluv_1196</t>
  </si>
  <si>
    <t>fishluv_1197</t>
  </si>
  <si>
    <t>fishluv_1198</t>
  </si>
  <si>
    <t>fishluv_1199</t>
  </si>
  <si>
    <t>fishluv_1200</t>
  </si>
  <si>
    <t>fishluv_1201</t>
  </si>
  <si>
    <t>fishluv_1202</t>
  </si>
  <si>
    <t>fishluv_1203</t>
  </si>
  <si>
    <t>fishluv_1204</t>
  </si>
  <si>
    <t>fishluv_1205</t>
  </si>
  <si>
    <t>fishluv_1206</t>
  </si>
  <si>
    <t>fishluv_1207</t>
  </si>
  <si>
    <t>fishluv_1208</t>
  </si>
  <si>
    <t>fishluv_1209</t>
  </si>
  <si>
    <t>fishluv_1210</t>
  </si>
  <si>
    <t>fishluv_1211</t>
  </si>
  <si>
    <t>fishluv_1212</t>
  </si>
  <si>
    <t>fishluv_1213</t>
  </si>
  <si>
    <t>fishluv_1214</t>
  </si>
  <si>
    <t>fishluv_1215</t>
  </si>
  <si>
    <t>fishluv_1216</t>
  </si>
  <si>
    <t>fishluv_1217</t>
  </si>
  <si>
    <t>fishluv_1218</t>
  </si>
  <si>
    <t>fishluv_1219</t>
  </si>
  <si>
    <t>fishluv_1220</t>
  </si>
  <si>
    <t>fishluv_1221</t>
  </si>
  <si>
    <t>fishluv_1222</t>
  </si>
  <si>
    <t>fishluv_1223</t>
  </si>
  <si>
    <t>fishluv_1224</t>
  </si>
  <si>
    <t>fishluv_1225</t>
  </si>
  <si>
    <t>fishluv_1226</t>
  </si>
  <si>
    <t>fishluv_1227</t>
  </si>
  <si>
    <t>fishluv_1228</t>
  </si>
  <si>
    <t>fishluv_1229</t>
  </si>
  <si>
    <t>fishluv_1230</t>
  </si>
  <si>
    <t>fishluv_1231</t>
  </si>
  <si>
    <t>fishluv_1232</t>
  </si>
  <si>
    <t>fishluv_1233</t>
  </si>
  <si>
    <t>fishluv_1234</t>
  </si>
  <si>
    <t>fishluv_1235</t>
  </si>
  <si>
    <t>fishluv_1236</t>
  </si>
  <si>
    <t>fishluv_1237</t>
  </si>
  <si>
    <t>fishluv_1238</t>
  </si>
  <si>
    <t>fishluv_1239</t>
  </si>
  <si>
    <t>fishluv_1240</t>
  </si>
  <si>
    <t>fishluv_1241</t>
  </si>
  <si>
    <t>fishluv_1242</t>
  </si>
  <si>
    <t>fishluv_1243</t>
  </si>
  <si>
    <t>fishluv_1244</t>
  </si>
  <si>
    <t>fishluv_1245</t>
  </si>
  <si>
    <t>fishluv_1246</t>
  </si>
  <si>
    <t>fishluv_1247</t>
  </si>
  <si>
    <t>fishluv_1248</t>
  </si>
  <si>
    <t>fishluv_1249</t>
  </si>
  <si>
    <t>fishluv_1250</t>
  </si>
  <si>
    <t>fishluv_1251</t>
  </si>
  <si>
    <t>fishluv_1252</t>
  </si>
  <si>
    <t>fishluv_1253</t>
  </si>
  <si>
    <t>fishluv_1254</t>
  </si>
  <si>
    <t>fishluv_1255</t>
  </si>
  <si>
    <t>fishluv_1256</t>
  </si>
  <si>
    <t>fishluv_1257</t>
  </si>
  <si>
    <t>fishluv_1258</t>
  </si>
  <si>
    <t>fishluv_1259</t>
  </si>
  <si>
    <t>fishluv_1260</t>
  </si>
  <si>
    <t>fishluv_1261</t>
  </si>
  <si>
    <t>fishluv_1262</t>
  </si>
  <si>
    <t>fishluv_1263</t>
  </si>
  <si>
    <t>fishluv_1264</t>
  </si>
  <si>
    <t>fishluv_1265</t>
  </si>
  <si>
    <t>fishluv_1266</t>
  </si>
  <si>
    <t>fishluv_1267</t>
  </si>
  <si>
    <t>fishluv_1268</t>
  </si>
  <si>
    <t>fishluv_1269</t>
  </si>
  <si>
    <t>fishluv_1270</t>
  </si>
  <si>
    <t>fishluv_1271</t>
  </si>
  <si>
    <t>fishluv_1272</t>
  </si>
  <si>
    <t>fishluv_1273</t>
  </si>
  <si>
    <t>fishluv_1274</t>
  </si>
  <si>
    <t>fishluv_1275</t>
  </si>
  <si>
    <t>fishluv_1276</t>
  </si>
  <si>
    <t>fishluv_1277</t>
  </si>
  <si>
    <t>fishluv_1278</t>
  </si>
  <si>
    <t>fishluv_1279</t>
  </si>
  <si>
    <t>fishluv_1280</t>
  </si>
  <si>
    <t>fishluv_1281</t>
  </si>
  <si>
    <t>fishluv_1282</t>
  </si>
  <si>
    <t>fishluv_1283</t>
  </si>
  <si>
    <t>fishluv_1284</t>
  </si>
  <si>
    <t>fishluv_1285</t>
  </si>
  <si>
    <t>fishluv_1286</t>
  </si>
  <si>
    <t>fishluv_1287</t>
  </si>
  <si>
    <t>fishluv_1288</t>
  </si>
  <si>
    <t>fishluv_1289</t>
  </si>
  <si>
    <t>fishluv_1290</t>
  </si>
  <si>
    <t>fishluv_1291</t>
  </si>
  <si>
    <t>fishluv_1292</t>
  </si>
  <si>
    <t>fishluv_1293</t>
  </si>
  <si>
    <t>fishluv_1294</t>
  </si>
  <si>
    <t>fishluv_1295</t>
  </si>
  <si>
    <t>fishluv_1296</t>
  </si>
  <si>
    <t>fishluv_1297</t>
  </si>
  <si>
    <t>fishluv_1298</t>
  </si>
  <si>
    <t>fishluv_1299</t>
  </si>
  <si>
    <t>fishluv_1300</t>
  </si>
  <si>
    <t>fishluv_1301</t>
  </si>
  <si>
    <t>fishluv_1302</t>
  </si>
  <si>
    <t>fishluv_1303</t>
  </si>
  <si>
    <t>fishluv_1304</t>
  </si>
  <si>
    <t>fishluv_1305</t>
  </si>
  <si>
    <t>fishluv_1306</t>
  </si>
  <si>
    <t>fishluv_1307</t>
  </si>
  <si>
    <t>fishluv_1308</t>
  </si>
  <si>
    <t>fishluv_1309</t>
  </si>
  <si>
    <t>fishluv_1310</t>
  </si>
  <si>
    <t>fishluv_1311</t>
  </si>
  <si>
    <t>fishluv_1312</t>
  </si>
  <si>
    <t>fishluv_1313</t>
  </si>
  <si>
    <t>fishluv_1314</t>
  </si>
  <si>
    <t>fishluv_1315</t>
  </si>
  <si>
    <t>fishluv_1316</t>
  </si>
  <si>
    <t>fishluv_1317</t>
  </si>
  <si>
    <t>fishluv_1318</t>
  </si>
  <si>
    <t>fishluv_1319</t>
  </si>
  <si>
    <t>fishluv_1320</t>
  </si>
  <si>
    <t>fishluv_1321</t>
  </si>
  <si>
    <t>fishluv_1322</t>
  </si>
  <si>
    <t>fishluv_1323</t>
  </si>
  <si>
    <t>fishluv_1324</t>
  </si>
  <si>
    <t>fishluv_1325</t>
  </si>
  <si>
    <t>fishluv_1326</t>
  </si>
  <si>
    <t>fishluv_1327</t>
  </si>
  <si>
    <t>fishluv_1328</t>
  </si>
  <si>
    <t>fishluv_1329</t>
  </si>
  <si>
    <t>fishluv_1330</t>
  </si>
  <si>
    <t>fishluv_1331</t>
  </si>
  <si>
    <t>fishluv_1332</t>
  </si>
  <si>
    <t>fishluv_1333</t>
  </si>
  <si>
    <t>fishluv_1334</t>
  </si>
  <si>
    <t>fishluv_1335</t>
  </si>
  <si>
    <t>fishluv_1336</t>
  </si>
  <si>
    <t>fishluv_1337</t>
  </si>
  <si>
    <t>fishluv_1338</t>
  </si>
  <si>
    <t>fishluv_1339</t>
  </si>
  <si>
    <t>fishluv_1340</t>
  </si>
  <si>
    <t>fishluv_1341</t>
  </si>
  <si>
    <t>fishluv_1342</t>
  </si>
  <si>
    <t>fishluv_1343</t>
  </si>
  <si>
    <t>fishluv_1344</t>
  </si>
  <si>
    <t>fishluv_1345</t>
  </si>
  <si>
    <t>fishluv_1346</t>
  </si>
  <si>
    <t>fishluv_1347</t>
  </si>
  <si>
    <t>fishluv_1348</t>
  </si>
  <si>
    <t>fishluv_1349</t>
  </si>
  <si>
    <t>fishluv_1350</t>
  </si>
  <si>
    <t>fishluv_1351</t>
  </si>
  <si>
    <t>fishluv_1352</t>
  </si>
  <si>
    <t>fishluv_1353</t>
  </si>
  <si>
    <t>fishluv_1354</t>
  </si>
  <si>
    <t>fishluv_1355</t>
  </si>
  <si>
    <t>fishluv_1356</t>
  </si>
  <si>
    <t>fishluv_1357</t>
  </si>
  <si>
    <t>fishluv_1358</t>
  </si>
  <si>
    <t>fishluv_1359</t>
  </si>
  <si>
    <t>fishluv_1360</t>
  </si>
  <si>
    <t>fishluv_1361</t>
  </si>
  <si>
    <t>fishluv_1362</t>
  </si>
  <si>
    <t>fishluv_1363</t>
  </si>
  <si>
    <t>fishluv_1364</t>
  </si>
  <si>
    <t>fishluv_1365</t>
  </si>
  <si>
    <t>fishluv_1366</t>
  </si>
  <si>
    <t>fishluv_1367</t>
  </si>
  <si>
    <t>fishluv_1368</t>
  </si>
  <si>
    <t>fishluv_1369</t>
  </si>
  <si>
    <t>fishluv_1370</t>
  </si>
  <si>
    <t>fishluv_1371</t>
  </si>
  <si>
    <t>fishluv_1372</t>
  </si>
  <si>
    <t>fishluv_1373</t>
  </si>
  <si>
    <t>fishluv_1374</t>
  </si>
  <si>
    <t>fishluv_1375</t>
  </si>
  <si>
    <t>fishluv_1376</t>
  </si>
  <si>
    <t>fishluv_1377</t>
  </si>
  <si>
    <t>fishluv_1378</t>
  </si>
  <si>
    <t>fishluv_1379</t>
  </si>
  <si>
    <t>fishluv_1380</t>
  </si>
  <si>
    <t>fishluv_1381</t>
  </si>
  <si>
    <t>fishluv_1382</t>
  </si>
  <si>
    <t>fishluv_1383</t>
  </si>
  <si>
    <t>fishluv_1384</t>
  </si>
  <si>
    <t>fishluv_1385</t>
  </si>
  <si>
    <t>fishluv_1386</t>
  </si>
  <si>
    <t>fishluv_1387</t>
  </si>
  <si>
    <t>fishluv_1388</t>
  </si>
  <si>
    <t>fishluv_1389</t>
  </si>
  <si>
    <t>fishluv_1390</t>
  </si>
  <si>
    <t>fishluv_1391</t>
  </si>
  <si>
    <t>fishluv_1392</t>
  </si>
  <si>
    <t>fishluv_1393</t>
  </si>
  <si>
    <t>fishluv_1394</t>
  </si>
  <si>
    <t>fishluv_1395</t>
  </si>
  <si>
    <t>fishluv_1396</t>
  </si>
  <si>
    <t>fishluv_1397</t>
  </si>
  <si>
    <t>fishluv_1398</t>
  </si>
  <si>
    <t>fishluv_1399</t>
  </si>
  <si>
    <t>fishluv_1400</t>
  </si>
  <si>
    <t>fishluv_1401</t>
  </si>
  <si>
    <t>fishluv_1402</t>
  </si>
  <si>
    <t>fishluv_1403</t>
  </si>
  <si>
    <t>fishluv_1404</t>
  </si>
  <si>
    <t>fishluv_1405</t>
  </si>
  <si>
    <t>fishluv_1406</t>
  </si>
  <si>
    <t>fishluv_1407</t>
  </si>
  <si>
    <t>fishluv_1408</t>
  </si>
  <si>
    <t>fishluv_1409</t>
  </si>
  <si>
    <t>fishluv_1410</t>
  </si>
  <si>
    <t>fishluv_1411</t>
  </si>
  <si>
    <t>fishluv_1412</t>
  </si>
  <si>
    <t>fishluv_1413</t>
  </si>
  <si>
    <t>fishluv_1414</t>
  </si>
  <si>
    <t>fishluv_1415</t>
  </si>
  <si>
    <t>fishluv_1416</t>
  </si>
  <si>
    <t>fishluv_1417</t>
  </si>
  <si>
    <t>fishluv_1418</t>
  </si>
  <si>
    <t>fishluv_1419</t>
  </si>
  <si>
    <t>fishluv_1420</t>
  </si>
  <si>
    <t>fishluv_1421</t>
  </si>
  <si>
    <t>fishluv_1422</t>
  </si>
  <si>
    <t>fishluv_1423</t>
  </si>
  <si>
    <t>fishluv_1424</t>
  </si>
  <si>
    <t>fishluv_1425</t>
  </si>
  <si>
    <t>fishluv_1426</t>
  </si>
  <si>
    <t>fishluv_1427</t>
  </si>
  <si>
    <t>fishluv_1428</t>
  </si>
  <si>
    <t>fishluv_1429</t>
  </si>
  <si>
    <t>fishluv_1430</t>
  </si>
  <si>
    <t>fishluv_1431</t>
  </si>
  <si>
    <t>fishluv_1432</t>
  </si>
  <si>
    <t>fishluv_1433</t>
  </si>
  <si>
    <t>fishluv_1434</t>
  </si>
  <si>
    <t>fishluv_1435</t>
  </si>
  <si>
    <t>fishluv_1436</t>
  </si>
  <si>
    <t>fishluv_1437</t>
  </si>
  <si>
    <t>fishluv_1438</t>
  </si>
  <si>
    <t>fishluv_1439</t>
  </si>
  <si>
    <t>fishluv_1440</t>
  </si>
  <si>
    <t>fishluv_1441</t>
  </si>
  <si>
    <t>fishluv_1442</t>
  </si>
  <si>
    <t>fishluv_1443</t>
  </si>
  <si>
    <t>fishluv_1444</t>
  </si>
  <si>
    <t>fishluv_1445</t>
  </si>
  <si>
    <t>fishluv_1446</t>
  </si>
  <si>
    <t>fishluv_1447</t>
  </si>
  <si>
    <t>fishluv_1448</t>
  </si>
  <si>
    <t>fishluv_1449</t>
  </si>
  <si>
    <t>fishluv_1450</t>
  </si>
  <si>
    <t>fishluv_1451</t>
  </si>
  <si>
    <t>fishluv_1452</t>
  </si>
  <si>
    <t>fishluv_1453</t>
  </si>
  <si>
    <t>fishluv_1454</t>
  </si>
  <si>
    <t>fishluv_1455</t>
  </si>
  <si>
    <t>fishluv_1456</t>
  </si>
  <si>
    <t>fishluv_1457</t>
  </si>
  <si>
    <t>fishluv_1458</t>
  </si>
  <si>
    <t>fishluv_1459</t>
  </si>
  <si>
    <t>fishluv_1460</t>
  </si>
  <si>
    <t>fishluv_1461</t>
  </si>
  <si>
    <t>fishluv_1462</t>
  </si>
  <si>
    <t>fishluv_1463</t>
  </si>
  <si>
    <t>fishluv_1464</t>
  </si>
  <si>
    <t>fishluv_1465</t>
  </si>
  <si>
    <t>fishluv_1466</t>
  </si>
  <si>
    <t>fishluv_1467</t>
  </si>
  <si>
    <t>fishluv_1468</t>
  </si>
  <si>
    <t>fishluv_1469</t>
  </si>
  <si>
    <t>fishluv_1470</t>
  </si>
  <si>
    <t>fishluv_1471</t>
  </si>
  <si>
    <t>fishluv_1472</t>
  </si>
  <si>
    <t>fishluv_1473</t>
  </si>
  <si>
    <t>fishluv_1474</t>
  </si>
  <si>
    <t>fishluv_1475</t>
  </si>
  <si>
    <t>fishluv_1476</t>
  </si>
  <si>
    <t>fishluv_1477</t>
  </si>
  <si>
    <t>fishluv_1478</t>
  </si>
  <si>
    <t>fishluv_1479</t>
  </si>
  <si>
    <t>fishluv_1480</t>
  </si>
  <si>
    <t>fishluv_1481</t>
  </si>
  <si>
    <t>fishluv_1482</t>
  </si>
  <si>
    <t>fishluv_1483</t>
  </si>
  <si>
    <t>fishluv_1484</t>
  </si>
  <si>
    <t>fishluv_1485</t>
  </si>
  <si>
    <t>fishluv_1486</t>
  </si>
  <si>
    <t>fishluv_1487</t>
  </si>
  <si>
    <t>fishluv_1488</t>
  </si>
  <si>
    <t>fishluv_1489</t>
  </si>
  <si>
    <t>fishluv_1490</t>
  </si>
  <si>
    <t>fishluv_1491</t>
  </si>
  <si>
    <t>fishluv_1492</t>
  </si>
  <si>
    <t>fishluv_1493</t>
  </si>
  <si>
    <t>fishluv_1494</t>
  </si>
  <si>
    <t>fishluv_1495</t>
  </si>
  <si>
    <t>fishluv_1496</t>
  </si>
  <si>
    <t>fishluv_1497</t>
  </si>
  <si>
    <t>fishluv_1498</t>
  </si>
  <si>
    <t>fishluv_1499</t>
  </si>
  <si>
    <t>fishluv_1500</t>
  </si>
  <si>
    <t>fishluv_1501</t>
  </si>
  <si>
    <t>fishluv_1502</t>
  </si>
  <si>
    <t>fishluv_1503</t>
  </si>
  <si>
    <t>fishluv_1504</t>
  </si>
  <si>
    <t>fishluv_1505</t>
  </si>
  <si>
    <t>fishluv_1506</t>
  </si>
  <si>
    <t>fishluv_1507</t>
  </si>
  <si>
    <t>fishluv_1508</t>
  </si>
  <si>
    <t>fishluv_1509</t>
  </si>
  <si>
    <t>fishluv_1510</t>
  </si>
  <si>
    <t>fishluv_1511</t>
  </si>
  <si>
    <t>fishluv_1512</t>
  </si>
  <si>
    <t>fishluv_1513</t>
  </si>
  <si>
    <t>fishluv_1514</t>
  </si>
  <si>
    <t>fishluv_1515</t>
  </si>
  <si>
    <t>fishluv_1516</t>
  </si>
  <si>
    <t>fishluv_1517</t>
  </si>
  <si>
    <t>fishluv_1518</t>
  </si>
  <si>
    <t>fishluv_1519</t>
  </si>
  <si>
    <t>fishluv_1520</t>
  </si>
  <si>
    <t>fishluv_1521</t>
  </si>
  <si>
    <t>fishluv_1522</t>
  </si>
  <si>
    <t>fishluv_1523</t>
  </si>
  <si>
    <t>fishluv_1524</t>
  </si>
  <si>
    <t>fishluv_1525</t>
  </si>
  <si>
    <t>fishluv_1526</t>
  </si>
  <si>
    <t>fishluv_1527</t>
  </si>
  <si>
    <t>fishluv_1528</t>
  </si>
  <si>
    <t>fishluv_1529</t>
  </si>
  <si>
    <t>fishluv_1530</t>
  </si>
  <si>
    <t>fishluv_1531</t>
  </si>
  <si>
    <t>fishluv_1532</t>
  </si>
  <si>
    <t>fishluv_1533</t>
  </si>
  <si>
    <t>fishluv_1534</t>
  </si>
  <si>
    <t>fishluv_1535</t>
  </si>
  <si>
    <t>fishluv_1536</t>
  </si>
  <si>
    <t>fishluv_1537</t>
  </si>
  <si>
    <t>fishluv_1538</t>
  </si>
  <si>
    <t>fishluv_1539</t>
  </si>
  <si>
    <t>fishluv_1540</t>
  </si>
  <si>
    <t>fishluv_1541</t>
  </si>
  <si>
    <t>fishluv_1542</t>
  </si>
  <si>
    <t>fishluv_1543</t>
  </si>
  <si>
    <t>fishluv_1544</t>
  </si>
  <si>
    <t>fishluv_1545</t>
  </si>
  <si>
    <t>fishluv_1546</t>
  </si>
  <si>
    <t>fishluv_1547</t>
  </si>
  <si>
    <t>fishluv_1548</t>
  </si>
  <si>
    <t>fishluv_1549</t>
  </si>
  <si>
    <t>fishluv_1550</t>
  </si>
  <si>
    <t>fishluv_1551</t>
  </si>
  <si>
    <t>fishluv_1552</t>
  </si>
  <si>
    <t>fishluv_1553</t>
  </si>
  <si>
    <t>fishluv_1554</t>
  </si>
  <si>
    <t>fishluv_1555</t>
  </si>
  <si>
    <t>fishluv_1556</t>
  </si>
  <si>
    <t>fishluv_1557</t>
  </si>
  <si>
    <t>fishluv_1558</t>
  </si>
  <si>
    <t>fishluv_1559</t>
  </si>
  <si>
    <t>fishluv_1560</t>
  </si>
  <si>
    <t>fishluv_1561</t>
  </si>
  <si>
    <t>fishluv_1562</t>
  </si>
  <si>
    <t>fishluv_1563</t>
  </si>
  <si>
    <t>fishluv_1564</t>
  </si>
  <si>
    <t>fishluv_1565</t>
  </si>
  <si>
    <t>fishluv_1566</t>
  </si>
  <si>
    <t>fishluv_1567</t>
  </si>
  <si>
    <t>fishluv_1568</t>
  </si>
  <si>
    <t>fishluv_1569</t>
  </si>
  <si>
    <t>fishluv_1570</t>
  </si>
  <si>
    <t>fishluv_1571</t>
  </si>
  <si>
    <t>fishluv_1572</t>
  </si>
  <si>
    <t>fishluv_1573</t>
  </si>
  <si>
    <t>fishluv_1574</t>
  </si>
  <si>
    <t>fishluv_1575</t>
  </si>
  <si>
    <t>fishluv_1576</t>
  </si>
  <si>
    <t>fishluv_1577</t>
  </si>
  <si>
    <t>fishluv_1578</t>
  </si>
  <si>
    <t>fishluv_1579</t>
  </si>
  <si>
    <t>fishluv_1580</t>
  </si>
  <si>
    <t>fishluv_1581</t>
  </si>
  <si>
    <t>fishluv_1582</t>
  </si>
  <si>
    <t>fishluv_1583</t>
  </si>
  <si>
    <t>fishluv_1584</t>
  </si>
  <si>
    <t>fishluv_1585</t>
  </si>
  <si>
    <t>fishluv_1586</t>
  </si>
  <si>
    <t>fishluv_1587</t>
  </si>
  <si>
    <t>fishluv_1588</t>
  </si>
  <si>
    <t>fishluv_1589</t>
  </si>
  <si>
    <t>fishluv_1590</t>
  </si>
  <si>
    <t>fishluv_1591</t>
  </si>
  <si>
    <t>fishluv_1592</t>
  </si>
  <si>
    <t>fishluv_1593</t>
  </si>
  <si>
    <t>fishluv_1594</t>
  </si>
  <si>
    <t>fishluv_1595</t>
  </si>
  <si>
    <t>fishluv_1596</t>
  </si>
  <si>
    <t>fishluv_1597</t>
  </si>
  <si>
    <t>fishluv_1598</t>
  </si>
  <si>
    <t>fishluv_1599</t>
  </si>
  <si>
    <t>fishluv_1600</t>
  </si>
  <si>
    <t>fishluv_1601</t>
  </si>
  <si>
    <t>fishluv_1602</t>
  </si>
  <si>
    <t>fishluv_1603</t>
  </si>
  <si>
    <t>fishluv_1604</t>
  </si>
  <si>
    <t>fishluv_1605</t>
  </si>
  <si>
    <t>fishluv_1606</t>
  </si>
  <si>
    <t>fishluv_1607</t>
  </si>
  <si>
    <t>fishluv_1608</t>
  </si>
  <si>
    <t>fishluv_1609</t>
  </si>
  <si>
    <t>fishluv_1610</t>
  </si>
  <si>
    <t>fishluv_1611</t>
  </si>
  <si>
    <t>fishluv_1612</t>
  </si>
  <si>
    <t>fishluv_1613</t>
  </si>
  <si>
    <t>fishluv_1614</t>
  </si>
  <si>
    <t>fishluv_1615</t>
  </si>
  <si>
    <t>fishluv_1616</t>
  </si>
  <si>
    <t>fishluv_1617</t>
  </si>
  <si>
    <t>fishluv_1618</t>
  </si>
  <si>
    <t>fishluv_1619</t>
  </si>
  <si>
    <t>fishluv_1620</t>
  </si>
  <si>
    <t>fishluv_1621</t>
  </si>
  <si>
    <t>fishluv_1622</t>
  </si>
  <si>
    <t>fishluv_1623</t>
  </si>
  <si>
    <t>fishluv_1624</t>
  </si>
  <si>
    <t>fishluv_1625</t>
  </si>
  <si>
    <t>fishluv_1626</t>
  </si>
  <si>
    <t>fishluv_1627</t>
  </si>
  <si>
    <t>fishluv_1628</t>
  </si>
  <si>
    <t>fishluv_1629</t>
  </si>
  <si>
    <t>fishluv_1630</t>
  </si>
  <si>
    <t>fishluv_1631</t>
  </si>
  <si>
    <t>fishluv_1632</t>
  </si>
  <si>
    <t>fishluv_1633</t>
  </si>
  <si>
    <t>fishluv_1634</t>
  </si>
  <si>
    <t>fishluv_1635</t>
  </si>
  <si>
    <t>fishluv_1636</t>
  </si>
  <si>
    <t>fishluv_1637</t>
  </si>
  <si>
    <t>fishluv_1638</t>
  </si>
  <si>
    <t>fishluv_1639</t>
  </si>
  <si>
    <t>fishluv_1640</t>
  </si>
  <si>
    <t>fishluv_1641</t>
  </si>
  <si>
    <t>fishluv_1642</t>
  </si>
  <si>
    <t>fishluv_1643</t>
  </si>
  <si>
    <t>fishluv_1644</t>
  </si>
  <si>
    <t>fishluv_1645</t>
  </si>
  <si>
    <t>fishluv_1646</t>
  </si>
  <si>
    <t>fishluv_1647</t>
  </si>
  <si>
    <t>fishluv_1648</t>
  </si>
  <si>
    <t>fishluv_1649</t>
  </si>
  <si>
    <t>fishluv_1650</t>
  </si>
  <si>
    <t>fishluv_1651</t>
  </si>
  <si>
    <t>fishluv_1652</t>
  </si>
  <si>
    <t>fishluv_1653</t>
  </si>
  <si>
    <t>fishluv_1654</t>
  </si>
  <si>
    <t>fishluv_1655</t>
  </si>
  <si>
    <t>fishluv_1656</t>
  </si>
  <si>
    <t>fishluv_1657</t>
  </si>
  <si>
    <t>fishluv_1658</t>
  </si>
  <si>
    <t>fishluv_1659</t>
  </si>
  <si>
    <t>fishluv_1660</t>
  </si>
  <si>
    <t>fishluv_1661</t>
  </si>
  <si>
    <t>fishluv_1662</t>
  </si>
  <si>
    <t>fishluv_1663</t>
  </si>
  <si>
    <t>fishluv_1664</t>
  </si>
  <si>
    <t>fishluv_1665</t>
  </si>
  <si>
    <t>fishluv_1666</t>
  </si>
  <si>
    <t>fishluv_1667</t>
  </si>
  <si>
    <t>fishluv_1668</t>
  </si>
  <si>
    <t>fishluv_1669</t>
  </si>
  <si>
    <t>fishluv_1670</t>
  </si>
  <si>
    <t>fishluv_1671</t>
  </si>
  <si>
    <t>fishluv_1672</t>
  </si>
  <si>
    <t>fishluv_1673</t>
  </si>
  <si>
    <t>fishluv_1674</t>
  </si>
  <si>
    <t>fishluv_1675</t>
  </si>
  <si>
    <t>fishluv_1676</t>
  </si>
  <si>
    <t>fishluv_1677</t>
  </si>
  <si>
    <t>fishluv_1678</t>
  </si>
  <si>
    <t>fishluv_1679</t>
  </si>
  <si>
    <t>fishluv_1680</t>
  </si>
  <si>
    <t>fishluv_1681</t>
  </si>
  <si>
    <t>fishluv_1682</t>
  </si>
  <si>
    <t>fishluv_1683</t>
  </si>
  <si>
    <t>fishluv_1684</t>
  </si>
  <si>
    <t>fishluv_1685</t>
  </si>
  <si>
    <t>fishluv_1686</t>
  </si>
  <si>
    <t>fishluv_1687</t>
  </si>
  <si>
    <t>fishluv_1688</t>
  </si>
  <si>
    <t>fishluv_1689</t>
  </si>
  <si>
    <t>fishluv_1690</t>
  </si>
  <si>
    <t>fishluv_1691</t>
  </si>
  <si>
    <t>fishluv_1692</t>
  </si>
  <si>
    <t>fishluv_1693</t>
  </si>
  <si>
    <t>fishluv_1694</t>
  </si>
  <si>
    <t>fishluv_1695</t>
  </si>
  <si>
    <t>fishluv_1696</t>
  </si>
  <si>
    <t>fishluv_1697</t>
  </si>
  <si>
    <t>fishluv_1698</t>
  </si>
  <si>
    <t>fishluv_1699</t>
  </si>
  <si>
    <t>fishluv_1700</t>
  </si>
  <si>
    <t>fishluv_1701</t>
  </si>
  <si>
    <t>fishluv_1702</t>
  </si>
  <si>
    <t>fishluv_1703</t>
  </si>
  <si>
    <t>fishluv_1704</t>
  </si>
  <si>
    <t>fishluv_1705</t>
  </si>
  <si>
    <t>fishluv_1706</t>
  </si>
  <si>
    <t>fishluv_1707</t>
  </si>
  <si>
    <t>fishluv_1708</t>
  </si>
  <si>
    <t>fishluv_1709</t>
  </si>
  <si>
    <t>fishluv_1710</t>
  </si>
  <si>
    <t>fishluv_1711</t>
  </si>
  <si>
    <t>fishluv_1712</t>
  </si>
  <si>
    <t>fishluv_1713</t>
  </si>
  <si>
    <t>fishluv_1714</t>
  </si>
  <si>
    <t>fishluv_1715</t>
  </si>
  <si>
    <t>fishluv_1716</t>
  </si>
  <si>
    <t>fishluv_1717</t>
  </si>
  <si>
    <t>fishluv_1718</t>
  </si>
  <si>
    <t>fishluv_1719</t>
  </si>
  <si>
    <t>fishluv_1720</t>
  </si>
  <si>
    <t>fishluv_1721</t>
  </si>
  <si>
    <t>fishluv_1722</t>
  </si>
  <si>
    <t>fishluv_1723</t>
  </si>
  <si>
    <t>fishluv_1724</t>
  </si>
  <si>
    <t>fishluv_1725</t>
  </si>
  <si>
    <t>fishluv_1726</t>
  </si>
  <si>
    <t>fishluv_1727</t>
  </si>
  <si>
    <t>fishluv_1728</t>
  </si>
  <si>
    <t>fishluv_1729</t>
  </si>
  <si>
    <t>fishluv_1730</t>
  </si>
  <si>
    <t>fishluv_1731</t>
  </si>
  <si>
    <t>fishluv_1732</t>
  </si>
  <si>
    <t>fishluv_1733</t>
  </si>
  <si>
    <t>fishluv_1734</t>
  </si>
  <si>
    <t>fishluv_1735</t>
  </si>
  <si>
    <t>fishluv_1736</t>
  </si>
  <si>
    <t>fishluv_1737</t>
  </si>
  <si>
    <t>fishluv_1738</t>
  </si>
  <si>
    <t>fishluv_1739</t>
  </si>
  <si>
    <t>fishluv_1740</t>
  </si>
  <si>
    <t>fishluv_1741</t>
  </si>
  <si>
    <t>fishluv_1742</t>
  </si>
  <si>
    <t>fishluv_1743</t>
  </si>
  <si>
    <t>fishluv_1744</t>
  </si>
  <si>
    <t>fishluv_1745</t>
  </si>
  <si>
    <t>fishluv_1746</t>
  </si>
  <si>
    <t>fishluv_1747</t>
  </si>
  <si>
    <t>fishluv_1748</t>
  </si>
  <si>
    <t>fishluv_1749</t>
  </si>
  <si>
    <t>fishluv_1750</t>
  </si>
  <si>
    <t>fishluv_1751</t>
  </si>
  <si>
    <t>fishluv_1752</t>
  </si>
  <si>
    <t>fishluv_1753</t>
  </si>
  <si>
    <t>fishluv_1754</t>
  </si>
  <si>
    <t>fishluv_1755</t>
  </si>
  <si>
    <t>fishluv_1756</t>
  </si>
  <si>
    <t>fishluv_1757</t>
  </si>
  <si>
    <t>fishluv_1758</t>
  </si>
  <si>
    <t>fishluv_1759</t>
  </si>
  <si>
    <t>fishluv_1760</t>
  </si>
  <si>
    <t>fishluv_1761</t>
  </si>
  <si>
    <t>fishluv_1762</t>
  </si>
  <si>
    <t>fishluv_1763</t>
  </si>
  <si>
    <t>fishluv_1764</t>
  </si>
  <si>
    <t>fishluv_1765</t>
  </si>
  <si>
    <t>fishluv_1766</t>
  </si>
  <si>
    <t>fishluv_1767</t>
  </si>
  <si>
    <t>fishluv_1768</t>
  </si>
  <si>
    <t>fishluv_1769</t>
  </si>
  <si>
    <t>fishluv_1770</t>
  </si>
  <si>
    <t>fishluv_1771</t>
  </si>
  <si>
    <t>fishluv_1772</t>
  </si>
  <si>
    <t>fishluv_1773</t>
  </si>
  <si>
    <t>fishluv_1774</t>
  </si>
  <si>
    <t>fishluv_1775</t>
  </si>
  <si>
    <t>fishluv_1776</t>
  </si>
  <si>
    <t>fishluv_1777</t>
  </si>
  <si>
    <t>fishluv_1778</t>
  </si>
  <si>
    <t>fishluv_1779</t>
  </si>
  <si>
    <t>fishluv_1780</t>
  </si>
  <si>
    <t>fishluv_1781</t>
  </si>
  <si>
    <t>fishluv_1782</t>
  </si>
  <si>
    <t>fishluv_1783</t>
  </si>
  <si>
    <t>fishluv_1784</t>
  </si>
  <si>
    <t>fishluv_1785</t>
  </si>
  <si>
    <t>fishluv_1786</t>
  </si>
  <si>
    <t>fishluv_1787</t>
  </si>
  <si>
    <t>fishluv_1788</t>
  </si>
  <si>
    <t>fishluv_1789</t>
  </si>
  <si>
    <t>fishluv_1790</t>
  </si>
  <si>
    <t>fishluv_1791</t>
  </si>
  <si>
    <t>fishluv_1792</t>
  </si>
  <si>
    <t>fishluv_1793</t>
  </si>
  <si>
    <t>fishluv_1794</t>
  </si>
  <si>
    <t>fishluv_1795</t>
  </si>
  <si>
    <t>fishluv_1796</t>
  </si>
  <si>
    <t>fishluv_1797</t>
  </si>
  <si>
    <t>fishluv_1798</t>
  </si>
  <si>
    <t>fishluv_1799</t>
  </si>
  <si>
    <t>fishluv_1800</t>
  </si>
  <si>
    <t>fishluv_1801</t>
  </si>
  <si>
    <t>fishluv_1802</t>
  </si>
  <si>
    <t>fishluv_1803</t>
  </si>
  <si>
    <t>fishluv_1804</t>
  </si>
  <si>
    <t>fishluv_1805</t>
  </si>
  <si>
    <t>fishluv_1806</t>
  </si>
  <si>
    <t>fishluv_1807</t>
  </si>
  <si>
    <t>fishluv_1808</t>
  </si>
  <si>
    <t>fishluv_1809</t>
  </si>
  <si>
    <t>fishluv_1810</t>
  </si>
  <si>
    <t>fishluv_1811</t>
  </si>
  <si>
    <t>fishluv_1812</t>
  </si>
  <si>
    <t>fishluv_1813</t>
  </si>
  <si>
    <t>fishluv_1814</t>
  </si>
  <si>
    <t>fishluv_1815</t>
  </si>
  <si>
    <t>fishluv_1816</t>
  </si>
  <si>
    <t>fishluv_1817</t>
  </si>
  <si>
    <t>fishluv_1818</t>
  </si>
  <si>
    <t>fishluv_1819</t>
  </si>
  <si>
    <t>fishluv_1820</t>
  </si>
  <si>
    <t>fishluv_1821</t>
  </si>
  <si>
    <t>fishluv_1822</t>
  </si>
  <si>
    <t>fishluv_1823</t>
  </si>
  <si>
    <t>fishluv_1824</t>
  </si>
  <si>
    <t>fishluv_1825</t>
  </si>
  <si>
    <t>fishluv_1826</t>
  </si>
  <si>
    <t>fishluv_1827</t>
  </si>
  <si>
    <t>fishluv_1828</t>
  </si>
  <si>
    <t>fishluv_1829</t>
  </si>
  <si>
    <t>fishluv_1830</t>
  </si>
  <si>
    <t>fishluv_1831</t>
  </si>
  <si>
    <t>fishluv_1832</t>
  </si>
  <si>
    <t>fishluv_1833</t>
  </si>
  <si>
    <t>fishluv_1834</t>
  </si>
  <si>
    <t>fishluv_1835</t>
  </si>
  <si>
    <t>fishluv_1836</t>
  </si>
  <si>
    <t>fishluv_1837</t>
  </si>
  <si>
    <t>fishluv_1838</t>
  </si>
  <si>
    <t>fishluv_1839</t>
  </si>
  <si>
    <t>fishluv_1840</t>
  </si>
  <si>
    <t>fishluv_1841</t>
  </si>
  <si>
    <t>fishluv_1842</t>
  </si>
  <si>
    <t>fishluv_1843</t>
  </si>
  <si>
    <t>fishluv_1844</t>
  </si>
  <si>
    <t>fishluv_1845</t>
  </si>
  <si>
    <t>fishluv_1846</t>
  </si>
  <si>
    <t>fishluv_1847</t>
  </si>
  <si>
    <t>fishluv_1848</t>
  </si>
  <si>
    <t>fishluv_1849</t>
  </si>
  <si>
    <t>fishluv_1850</t>
  </si>
  <si>
    <t>fishluv_1851</t>
  </si>
  <si>
    <t>fishluv_1852</t>
  </si>
  <si>
    <t>fishluv_1853</t>
  </si>
  <si>
    <t>fishluv_1854</t>
  </si>
  <si>
    <t>fishluv_1855</t>
  </si>
  <si>
    <t>fishluv_1856</t>
  </si>
  <si>
    <t>fishluv_1857</t>
  </si>
  <si>
    <t>fishluv_1858</t>
  </si>
  <si>
    <t>fishluv_1859</t>
  </si>
  <si>
    <t>fishluv_1860</t>
  </si>
  <si>
    <t>fishluv_1861</t>
  </si>
  <si>
    <t>fishluv_1862</t>
  </si>
  <si>
    <t>fishluv_1863</t>
  </si>
  <si>
    <t>fishluv_1864</t>
  </si>
  <si>
    <t>fishluv_1865</t>
  </si>
  <si>
    <t>fishluv_1866</t>
  </si>
  <si>
    <t>fishluv_1867</t>
  </si>
  <si>
    <t>fishluv_1868</t>
  </si>
  <si>
    <t>fishluv_1869</t>
  </si>
  <si>
    <t>fishluv_1870</t>
  </si>
  <si>
    <t>fishluv_1871</t>
  </si>
  <si>
    <t>fishluv_1872</t>
  </si>
  <si>
    <t>fishluv_1873</t>
  </si>
  <si>
    <t>fishluv_1874</t>
  </si>
  <si>
    <t>fishluv_1875</t>
  </si>
  <si>
    <t>fishluv_1876</t>
  </si>
  <si>
    <t>fishluv_1877</t>
  </si>
  <si>
    <t>fishluv_1878</t>
  </si>
  <si>
    <t>fishluv_1879</t>
  </si>
  <si>
    <t>fishluv_1880</t>
  </si>
  <si>
    <t>fishluv_1881</t>
  </si>
  <si>
    <t>fishluv_1882</t>
  </si>
  <si>
    <t>fishluv_1883</t>
  </si>
  <si>
    <t>fishluv_1884</t>
  </si>
  <si>
    <t>fishluv_1885</t>
  </si>
  <si>
    <t>fishluv_1886</t>
  </si>
  <si>
    <t>fishluv_1887</t>
  </si>
  <si>
    <t>fishluv_1888</t>
  </si>
  <si>
    <t>fishluv_1889</t>
  </si>
  <si>
    <t>fishluv_1890</t>
  </si>
  <si>
    <t>fishluv_1891</t>
  </si>
  <si>
    <t>fishluv_1892</t>
  </si>
  <si>
    <t>fishluv_1893</t>
  </si>
  <si>
    <t>fishluv_1894</t>
  </si>
  <si>
    <t>fishluv_1895</t>
  </si>
  <si>
    <t>fishluv_1896</t>
  </si>
  <si>
    <t>fishluv_1897</t>
  </si>
  <si>
    <t>fishluv_1898</t>
  </si>
  <si>
    <t>fishluv_1899</t>
  </si>
  <si>
    <t>fishluv_1900</t>
  </si>
  <si>
    <t>fishluv_1901</t>
  </si>
  <si>
    <t>fishluv_1902</t>
  </si>
  <si>
    <t>fishluv_1903</t>
  </si>
  <si>
    <t>fishluv_1904</t>
  </si>
  <si>
    <t>fishluv_1905</t>
  </si>
  <si>
    <t>fishluv_1906</t>
  </si>
  <si>
    <t>fishluv_1907</t>
  </si>
  <si>
    <t>fishluv_1908</t>
  </si>
  <si>
    <t>fishluv_1909</t>
  </si>
  <si>
    <t>fishluv_1910</t>
  </si>
  <si>
    <t>fishluv_1911</t>
  </si>
  <si>
    <t>fishluv_1912</t>
  </si>
  <si>
    <t>fishluv_1913</t>
  </si>
  <si>
    <t>fishluv_1914</t>
  </si>
  <si>
    <t>fishluv_1915</t>
  </si>
  <si>
    <t>fishluv_1916</t>
  </si>
  <si>
    <t>fishluv_1917</t>
  </si>
  <si>
    <t>fishluv_1918</t>
  </si>
  <si>
    <t>fishluv_1919</t>
  </si>
  <si>
    <t>fishluv_1920</t>
  </si>
  <si>
    <t>fishluv_1921</t>
  </si>
  <si>
    <t>fishluv_1922</t>
  </si>
  <si>
    <t>fishluv_1923</t>
  </si>
  <si>
    <t>fishluv_1924</t>
  </si>
  <si>
    <t>fishluv_1925</t>
  </si>
  <si>
    <t>fishluv_1926</t>
  </si>
  <si>
    <t>fishluv_1927</t>
  </si>
  <si>
    <t>fishluv_1928</t>
  </si>
  <si>
    <t>fishluv_1929</t>
  </si>
  <si>
    <t>fishluv_1930</t>
  </si>
  <si>
    <t>fishluv_1931</t>
  </si>
  <si>
    <t>fishluv_1932</t>
  </si>
  <si>
    <t>fishluv_1933</t>
  </si>
  <si>
    <t>fishluv_1934</t>
  </si>
  <si>
    <t>fishluv_1935</t>
  </si>
  <si>
    <t>fishluv_1936</t>
  </si>
  <si>
    <t>fishluv_1937</t>
  </si>
  <si>
    <t>fishluv_1938</t>
  </si>
  <si>
    <t>fishluv_1939</t>
  </si>
  <si>
    <t>fishluv_1940</t>
  </si>
  <si>
    <t>fishluv_1941</t>
  </si>
  <si>
    <t>fishluv_1942</t>
  </si>
  <si>
    <t>fishluv_1943</t>
  </si>
  <si>
    <t>fishluv_1944</t>
  </si>
  <si>
    <t>fishluv_1945</t>
  </si>
  <si>
    <t>fishluv_1946</t>
  </si>
  <si>
    <t>fishluv_1947</t>
  </si>
  <si>
    <t>fishluv_1948</t>
  </si>
  <si>
    <t>fishluv_1949</t>
  </si>
  <si>
    <t>fishluv_1950</t>
  </si>
  <si>
    <t>fishluv_1951</t>
  </si>
  <si>
    <t>fishluv_1952</t>
  </si>
  <si>
    <t>fishluv_1953</t>
  </si>
  <si>
    <t>fishluv_1954</t>
  </si>
  <si>
    <t>fishluv_1955</t>
  </si>
  <si>
    <t>fishluv_1956</t>
  </si>
  <si>
    <t>fishluv_1957</t>
  </si>
  <si>
    <t>fishluv_1958</t>
  </si>
  <si>
    <t>fishluv_1959</t>
  </si>
  <si>
    <t>fishluv_1960</t>
  </si>
  <si>
    <t>fishluv_1961</t>
  </si>
  <si>
    <t>fishluv_1962</t>
  </si>
  <si>
    <t>fishluv_1963</t>
  </si>
  <si>
    <t>fishluv_1964</t>
  </si>
  <si>
    <t>fishluv_1965</t>
  </si>
  <si>
    <t>fishluv_1966</t>
  </si>
  <si>
    <t>fishluv_1967</t>
  </si>
  <si>
    <t>fishluv_1968</t>
  </si>
  <si>
    <t>fishluv_1969</t>
  </si>
  <si>
    <t>fishluv_1970</t>
  </si>
  <si>
    <t>fishluv_1971</t>
  </si>
  <si>
    <t>fishluv_1972</t>
  </si>
  <si>
    <t>fishluv_1973</t>
  </si>
  <si>
    <t>fishluv_1974</t>
  </si>
  <si>
    <t>fishluv_1975</t>
  </si>
  <si>
    <t>fishluv_1976</t>
  </si>
  <si>
    <t>fishluv_1977</t>
  </si>
  <si>
    <t>fishluv_1978</t>
  </si>
  <si>
    <t>fishluv_1979</t>
  </si>
  <si>
    <t>fishluv_1980</t>
  </si>
  <si>
    <t>fishluv_1981</t>
  </si>
  <si>
    <t>fishluv_1982</t>
  </si>
  <si>
    <t>fishluv_1983</t>
  </si>
  <si>
    <t>fishluv_1984</t>
  </si>
  <si>
    <t>fishluv_1985</t>
  </si>
  <si>
    <t>fishluv_1986</t>
  </si>
  <si>
    <t>fishluv_1987</t>
  </si>
  <si>
    <t>fishluv_1988</t>
  </si>
  <si>
    <t>fishluv_1989</t>
  </si>
  <si>
    <t>fishluv_1990</t>
  </si>
  <si>
    <t>fishluv_1991</t>
  </si>
  <si>
    <t>fishluv_1992</t>
  </si>
  <si>
    <t>fishluv_1993</t>
  </si>
  <si>
    <t>fishluv_1994</t>
  </si>
  <si>
    <t>fishluv_1995</t>
  </si>
  <si>
    <t>fishluv_1996</t>
  </si>
  <si>
    <t>fishluv_1997</t>
  </si>
  <si>
    <t>fishluv_1998</t>
  </si>
  <si>
    <t>fishluv_1999</t>
  </si>
  <si>
    <t>fishluv_2000</t>
  </si>
  <si>
    <t>fishluv_2001</t>
  </si>
  <si>
    <t>fishluv_2002</t>
  </si>
  <si>
    <t>fishluv_2003</t>
  </si>
  <si>
    <t>fishluv_2004</t>
  </si>
  <si>
    <t>fishluv_2005</t>
  </si>
  <si>
    <t>fishluv_2006</t>
  </si>
  <si>
    <t>fishluv_2007</t>
  </si>
  <si>
    <t>fishluv_2008</t>
  </si>
  <si>
    <t>fishluv_2009</t>
  </si>
  <si>
    <t>fishluv_2010</t>
  </si>
  <si>
    <t>fishluv_2011</t>
  </si>
  <si>
    <t>fishluv_2012</t>
  </si>
  <si>
    <t>fishluv_2013</t>
  </si>
  <si>
    <t>fishluv_2014</t>
  </si>
  <si>
    <t>fishluv_2015</t>
  </si>
  <si>
    <t>fishluv_2016</t>
  </si>
  <si>
    <t>fishluv_2017</t>
  </si>
  <si>
    <t>fishluv_2018</t>
  </si>
  <si>
    <t>fishluv_2019</t>
  </si>
  <si>
    <t>fishluv_2020</t>
  </si>
  <si>
    <t>fishluv_2021</t>
  </si>
  <si>
    <t>fishluv_2022</t>
  </si>
  <si>
    <t>fishluv_2023</t>
  </si>
  <si>
    <t>fishluv_2024</t>
  </si>
  <si>
    <t>fishluv_2025</t>
  </si>
  <si>
    <t>fishluv_2026</t>
  </si>
  <si>
    <t>fishluv_2027</t>
  </si>
  <si>
    <t>fishluv_2028</t>
  </si>
  <si>
    <t>fishluv_2029</t>
  </si>
  <si>
    <t>fishluv_2030</t>
  </si>
  <si>
    <t>fishluv_2031</t>
  </si>
  <si>
    <t>fishluv_2032</t>
  </si>
  <si>
    <t>fishluv_2033</t>
  </si>
  <si>
    <t>fishluv_2034</t>
  </si>
  <si>
    <t>fishluv_2035</t>
  </si>
  <si>
    <t>fishluv_2036</t>
  </si>
  <si>
    <t>fishluv_2037</t>
  </si>
  <si>
    <t>fishluv_2038</t>
  </si>
  <si>
    <t>fishluv_2039</t>
  </si>
  <si>
    <t>fishluv_2040</t>
  </si>
  <si>
    <t>fishluv_2041</t>
  </si>
  <si>
    <t>fishluv_2042</t>
  </si>
  <si>
    <t>fishluv_2043</t>
  </si>
  <si>
    <t>fishluv_2044</t>
  </si>
  <si>
    <t>fishluv_2045</t>
  </si>
  <si>
    <t>fishluv_2046</t>
  </si>
  <si>
    <t>fishluv_2047</t>
  </si>
  <si>
    <t>fishluv_2048</t>
  </si>
  <si>
    <t>fishluv_2049</t>
  </si>
  <si>
    <t>fishluv_2050</t>
  </si>
  <si>
    <t>fishluv_2051</t>
  </si>
  <si>
    <t>fishluv_2052</t>
  </si>
  <si>
    <t>fishluv_2053</t>
  </si>
  <si>
    <t>fishluv_2054</t>
  </si>
  <si>
    <t>fishluv_2055</t>
  </si>
  <si>
    <t>fishluv_2056</t>
  </si>
  <si>
    <t>fishluv_2057</t>
  </si>
  <si>
    <t>fishluv_2058</t>
  </si>
  <si>
    <t>fishluv_2059</t>
  </si>
  <si>
    <t>fishluv_2060</t>
  </si>
  <si>
    <t>fishluv_2061</t>
  </si>
  <si>
    <t>fishluv_2062</t>
  </si>
  <si>
    <t>fishluv_2063</t>
  </si>
  <si>
    <t>fishluv_2064</t>
  </si>
  <si>
    <t>fishluv_2065</t>
  </si>
  <si>
    <t>fishluv_2066</t>
  </si>
  <si>
    <t>fishluv_2067</t>
  </si>
  <si>
    <t>fishluv_2068</t>
  </si>
  <si>
    <t>fishluv_2069</t>
  </si>
  <si>
    <t>fishluv_2070</t>
  </si>
  <si>
    <t>fishluv_2071</t>
  </si>
  <si>
    <t>fishluv_2072</t>
  </si>
  <si>
    <t>fishluv_2073</t>
  </si>
  <si>
    <t>fishluv_2074</t>
  </si>
  <si>
    <t>fishluv_2075</t>
  </si>
  <si>
    <t>fishluv_2076</t>
  </si>
  <si>
    <t>fishluv_2077</t>
  </si>
  <si>
    <t>fishluv_2078</t>
  </si>
  <si>
    <t>fishluv_2079</t>
  </si>
  <si>
    <t>fishluv_2080</t>
  </si>
  <si>
    <t>fishluv_2081</t>
  </si>
  <si>
    <t>fishluv_2082</t>
  </si>
  <si>
    <t>fishluv_2083</t>
  </si>
  <si>
    <t>fishluv_2084</t>
  </si>
  <si>
    <t>fishluv_2085</t>
  </si>
  <si>
    <t>fishluv_2086</t>
  </si>
  <si>
    <t>fishluv_2087</t>
  </si>
  <si>
    <t>fishluv_2088</t>
  </si>
  <si>
    <t>fishluv_2089</t>
  </si>
  <si>
    <t>fishluv_2090</t>
  </si>
  <si>
    <t>fishluv_2091</t>
  </si>
  <si>
    <t>fishluv_2092</t>
  </si>
  <si>
    <t>fishluv_2093</t>
  </si>
  <si>
    <t>fishluv_2094</t>
  </si>
  <si>
    <t>fishluv_2095</t>
  </si>
  <si>
    <t>fishluv_2096</t>
  </si>
  <si>
    <t>fishluv_2097</t>
  </si>
  <si>
    <t>fishluv_2098</t>
  </si>
  <si>
    <t>fishluv_2099</t>
  </si>
  <si>
    <t>fishluv_2100</t>
  </si>
  <si>
    <t>fishluv_2101</t>
  </si>
  <si>
    <t>fishluv_2102</t>
  </si>
  <si>
    <t>fishluv_2103</t>
  </si>
  <si>
    <t>fishluv_2104</t>
  </si>
  <si>
    <t>fishluv_2105</t>
  </si>
  <si>
    <t>fishluv_2106</t>
  </si>
  <si>
    <t>fishluv_2107</t>
  </si>
  <si>
    <t>fishluv_2108</t>
  </si>
  <si>
    <t>fishluv_2109</t>
  </si>
  <si>
    <t>fishluv_2110</t>
  </si>
  <si>
    <t>fishluv_2111</t>
  </si>
  <si>
    <t>fishluv_2112</t>
  </si>
  <si>
    <t>fishluv_2113</t>
  </si>
  <si>
    <t>fishluv_2114</t>
  </si>
  <si>
    <t>fishluv_2115</t>
  </si>
  <si>
    <t>fishluv_2116</t>
  </si>
  <si>
    <t>fishluv_2117</t>
  </si>
  <si>
    <t>fishluv_2118</t>
  </si>
  <si>
    <t>fishluv_2119</t>
  </si>
  <si>
    <t>fishluv_2120</t>
  </si>
  <si>
    <t>fishluv_2121</t>
  </si>
  <si>
    <t>fishluv_2122</t>
  </si>
  <si>
    <t>fishluv_2123</t>
  </si>
  <si>
    <t>fishluv_2124</t>
  </si>
  <si>
    <t>fishluv_2125</t>
  </si>
  <si>
    <t>fishluv_2126</t>
  </si>
  <si>
    <t>fishluv_2127</t>
  </si>
  <si>
    <t>fishluv_2128</t>
  </si>
  <si>
    <t>fishluv_2129</t>
  </si>
  <si>
    <t>fishluv_2130</t>
  </si>
  <si>
    <t>fishluv_2131</t>
  </si>
  <si>
    <t>fishluv_2132</t>
  </si>
  <si>
    <t>fishluv_2133</t>
  </si>
  <si>
    <t>fishluv_2134</t>
  </si>
  <si>
    <t>fishluv_2135</t>
  </si>
  <si>
    <t>fishluv_2136</t>
  </si>
  <si>
    <t>fishluv_2137</t>
  </si>
  <si>
    <t>fishluv_2138</t>
  </si>
  <si>
    <t>fishluv_2139</t>
  </si>
  <si>
    <t>fishluv_2140</t>
  </si>
  <si>
    <t>fishluv_2141</t>
  </si>
  <si>
    <t>fishluv_2142</t>
  </si>
  <si>
    <t>fishluv_2143</t>
  </si>
  <si>
    <t>fishluv_2144</t>
  </si>
  <si>
    <t>fishluv_2145</t>
  </si>
  <si>
    <t>fishluv_2146</t>
  </si>
  <si>
    <t>fishluv_2147</t>
  </si>
  <si>
    <t>fishluv_2148</t>
  </si>
  <si>
    <t>fishluv_2149</t>
  </si>
  <si>
    <t>fishluv_2150</t>
  </si>
  <si>
    <t>fishluv_2151</t>
  </si>
  <si>
    <t>fishluv_2152</t>
  </si>
  <si>
    <t>fishluv_2153</t>
  </si>
  <si>
    <t>fishluv_2154</t>
  </si>
  <si>
    <t>fishluv_2155</t>
  </si>
  <si>
    <t>fishluv_2156</t>
  </si>
  <si>
    <t>fishluv_2157</t>
  </si>
  <si>
    <t>fishluv_2158</t>
  </si>
  <si>
    <t>fishluv_2159</t>
  </si>
  <si>
    <t>fishluv_2160</t>
  </si>
  <si>
    <t>fishluv_2161</t>
  </si>
  <si>
    <t>fishluv_2162</t>
  </si>
  <si>
    <t>fishluv_2163</t>
  </si>
  <si>
    <t>fishluv_2164</t>
  </si>
  <si>
    <t>fishluv_2165</t>
  </si>
  <si>
    <t>fishluv_2166</t>
  </si>
  <si>
    <t>fishluv_2167</t>
  </si>
  <si>
    <t>fishluv_2168</t>
  </si>
  <si>
    <t>fishluv_2169</t>
  </si>
  <si>
    <t>fishluv_2170</t>
  </si>
  <si>
    <t>fishluv_2171</t>
  </si>
  <si>
    <t>fishluv_2172</t>
  </si>
  <si>
    <t>fishluv_2173</t>
  </si>
  <si>
    <t>fishluv_2174</t>
  </si>
  <si>
    <t>fishluv_2175</t>
  </si>
  <si>
    <t>fishluv_2176</t>
  </si>
  <si>
    <t>fishluv_2177</t>
  </si>
  <si>
    <t>fishluv_2178</t>
  </si>
  <si>
    <t>fishluv_2179</t>
  </si>
  <si>
    <t>fishluv_2180</t>
  </si>
  <si>
    <t>fishluv_2181</t>
  </si>
  <si>
    <t>fishluv_2182</t>
  </si>
  <si>
    <t>fishluv_2183</t>
  </si>
  <si>
    <t>fishluv_2184</t>
  </si>
  <si>
    <t>fishluv_2185</t>
  </si>
  <si>
    <t>fishluv_2186</t>
  </si>
  <si>
    <t>fishluv_2187</t>
  </si>
  <si>
    <t>fishluv_2188</t>
  </si>
  <si>
    <t>fishluv_2189</t>
  </si>
  <si>
    <t>fishluv_2190</t>
  </si>
  <si>
    <t>fishluv_2191</t>
  </si>
  <si>
    <t>fishluv_2192</t>
  </si>
  <si>
    <t>fishluv_2193</t>
  </si>
  <si>
    <t>fishluv_2194</t>
  </si>
  <si>
    <t>fishluv_2195</t>
  </si>
  <si>
    <t>fishluv_2196</t>
  </si>
  <si>
    <t>fishluv_2197</t>
  </si>
  <si>
    <t>fishluv_2198</t>
  </si>
  <si>
    <t>fishluv_2199</t>
  </si>
  <si>
    <t>fishluv_2200</t>
  </si>
  <si>
    <t>fishluv_2201</t>
  </si>
  <si>
    <t>fishluv_2202</t>
  </si>
  <si>
    <t>fishluv_2203</t>
  </si>
  <si>
    <t>fishluv_2204</t>
  </si>
  <si>
    <t>fishluv_2205</t>
  </si>
  <si>
    <t>fishluv_2206</t>
  </si>
  <si>
    <t>fishluv_2207</t>
  </si>
  <si>
    <t>fishluv_2208</t>
  </si>
  <si>
    <t>fishluv_2209</t>
  </si>
  <si>
    <t>fishluv_2210</t>
  </si>
  <si>
    <t>fishluv_2211</t>
  </si>
  <si>
    <t>fishluv_2212</t>
  </si>
  <si>
    <t>fishluv_2213</t>
  </si>
  <si>
    <t>fishluv_2214</t>
  </si>
  <si>
    <t>fishluv_2215</t>
  </si>
  <si>
    <t>fishluv_2216</t>
  </si>
  <si>
    <t>fishluv_2217</t>
  </si>
  <si>
    <t>fishluv_2218</t>
  </si>
  <si>
    <t>fishluv_2219</t>
  </si>
  <si>
    <t>fishluv_2220</t>
  </si>
  <si>
    <t>fishluv_2221</t>
  </si>
  <si>
    <t>fishluv_2222</t>
  </si>
  <si>
    <t>fishluv_2223</t>
  </si>
  <si>
    <t>fishluv_2224</t>
  </si>
  <si>
    <t>fishluv_2225</t>
  </si>
  <si>
    <t>fishluv_2226</t>
  </si>
  <si>
    <t>fishluv_2227</t>
  </si>
  <si>
    <t>fishluv_2228</t>
  </si>
  <si>
    <t>fishluv_2229</t>
  </si>
  <si>
    <t>fishluv_2230</t>
  </si>
  <si>
    <t>fishluv_2231</t>
  </si>
  <si>
    <t>fishluv_2232</t>
  </si>
  <si>
    <t>fishluv_2233</t>
  </si>
  <si>
    <t>fishluv_2234</t>
  </si>
  <si>
    <t>fishluv_2235</t>
  </si>
  <si>
    <t>fishluv_2236</t>
  </si>
  <si>
    <t>fishluv_2237</t>
  </si>
  <si>
    <t>fishluv_2238</t>
  </si>
  <si>
    <t>fishluv_2239</t>
  </si>
  <si>
    <t>fishluv_2240</t>
  </si>
  <si>
    <t>fishluv_2241</t>
  </si>
  <si>
    <t>fishluv_2242</t>
  </si>
  <si>
    <t>fishluv_2243</t>
  </si>
  <si>
    <t>fishluv_2244</t>
  </si>
  <si>
    <t>fishluv_2245</t>
  </si>
  <si>
    <t>fishluv_2246</t>
  </si>
  <si>
    <t>fishluv_2247</t>
  </si>
  <si>
    <t>fishluv_2248</t>
  </si>
  <si>
    <t>fishluv_2249</t>
  </si>
  <si>
    <t>fishluv_2250</t>
  </si>
  <si>
    <t>fishluv_2251</t>
  </si>
  <si>
    <t>fishluv_2252</t>
  </si>
  <si>
    <t>fishluv_2253</t>
  </si>
  <si>
    <t>fishluv_2254</t>
  </si>
  <si>
    <t>fishluv_2255</t>
  </si>
  <si>
    <t>fishluv_2256</t>
  </si>
  <si>
    <t>fishluv_2257</t>
  </si>
  <si>
    <t>fishluv_2258</t>
  </si>
  <si>
    <t>fishluv_2259</t>
  </si>
  <si>
    <t>fishluv_2260</t>
  </si>
  <si>
    <t>fishluv_2261</t>
  </si>
  <si>
    <t>fishluv_2262</t>
  </si>
  <si>
    <t>fishluv_2263</t>
  </si>
  <si>
    <t>fishluv_2264</t>
  </si>
  <si>
    <t>fishluv_2265</t>
  </si>
  <si>
    <t>fishluv_2266</t>
  </si>
  <si>
    <t>fishluv_2267</t>
  </si>
  <si>
    <t>fishluv_2268</t>
  </si>
  <si>
    <t>fishluv_2269</t>
  </si>
  <si>
    <t>fishluv_2270</t>
  </si>
  <si>
    <t>fishluv_2271</t>
  </si>
  <si>
    <t>fishluv_2272</t>
  </si>
  <si>
    <t>fishluv_2273</t>
  </si>
  <si>
    <t>fishluv_2274</t>
  </si>
  <si>
    <t>fishluv_2275</t>
  </si>
  <si>
    <t>fishluv_2276</t>
  </si>
  <si>
    <t>fishluv_2277</t>
  </si>
  <si>
    <t>fishluv_2278</t>
  </si>
  <si>
    <t>fishluv_2279</t>
  </si>
  <si>
    <t>fishluv_2280</t>
  </si>
  <si>
    <t>fishluv_2281</t>
  </si>
  <si>
    <t>fishluv_2282</t>
  </si>
  <si>
    <t>fishluv_2283</t>
  </si>
  <si>
    <t>fishluv_2284</t>
  </si>
  <si>
    <t>fishluv_2285</t>
  </si>
  <si>
    <t>fishluv_2286</t>
  </si>
  <si>
    <t>fishluv_2287</t>
  </si>
  <si>
    <t>fishluv_2288</t>
  </si>
  <si>
    <t>fishluv_2289</t>
  </si>
  <si>
    <t>fishluv_2290</t>
  </si>
  <si>
    <t>fishluv_2291</t>
  </si>
  <si>
    <t>fishluv_2292</t>
  </si>
  <si>
    <t>fishluv_2293</t>
  </si>
  <si>
    <t>fishluv_2294</t>
  </si>
  <si>
    <t>fishluv_2295</t>
  </si>
  <si>
    <t>fishluv_2296</t>
  </si>
  <si>
    <t>fishluv_2297</t>
  </si>
  <si>
    <t>fishluv_2298</t>
  </si>
  <si>
    <t>fishluv_2299</t>
  </si>
  <si>
    <t>fishluv_2300</t>
  </si>
  <si>
    <t>fishluv_2301</t>
  </si>
  <si>
    <t>fishluv_2302</t>
  </si>
  <si>
    <t>fishluv_2303</t>
  </si>
  <si>
    <t>fishluv_2304</t>
  </si>
  <si>
    <t>fishluv_2305</t>
  </si>
  <si>
    <t>fishluv_2306</t>
  </si>
  <si>
    <t>fishluv_2307</t>
  </si>
  <si>
    <t>fishluv_2308</t>
  </si>
  <si>
    <t>fishluv_2309</t>
  </si>
  <si>
    <t>fishluv_2310</t>
  </si>
  <si>
    <t>fishluv_2311</t>
  </si>
  <si>
    <t>fishluv_2312</t>
  </si>
  <si>
    <t>fishluv_2313</t>
  </si>
  <si>
    <t>fishluv_2314</t>
  </si>
  <si>
    <t>fishluv_2315</t>
  </si>
  <si>
    <t>fishluv_2316</t>
  </si>
  <si>
    <t>fishluv_2317</t>
  </si>
  <si>
    <t>fishluv_2318</t>
  </si>
  <si>
    <t>fishluv_2319</t>
  </si>
  <si>
    <t>fishluv_2320</t>
  </si>
  <si>
    <t>fishluv_2321</t>
  </si>
  <si>
    <t>fishluv_2322</t>
  </si>
  <si>
    <t>fishluv_2323</t>
  </si>
  <si>
    <t>fishluv_2324</t>
  </si>
  <si>
    <t>fishluv_2325</t>
  </si>
  <si>
    <t>fishluv_2326</t>
  </si>
  <si>
    <t>fishluv_2327</t>
  </si>
  <si>
    <t>fishluv_2328</t>
  </si>
  <si>
    <t>fishluv_2329</t>
  </si>
  <si>
    <t>fishluv_2330</t>
  </si>
  <si>
    <t>fishluv_2331</t>
  </si>
  <si>
    <t>fishluv_2332</t>
  </si>
  <si>
    <t>fishluv_2333</t>
  </si>
  <si>
    <t>fishluv_2334</t>
  </si>
  <si>
    <t>fishluv_2335</t>
  </si>
  <si>
    <t>fishluv_2336</t>
  </si>
  <si>
    <t>fishluv_2337</t>
  </si>
  <si>
    <t>fishluv_2338</t>
  </si>
  <si>
    <t>fishluv_2339</t>
  </si>
  <si>
    <t>fishluv_2340</t>
  </si>
  <si>
    <t>fishluv_2341</t>
  </si>
  <si>
    <t>fishluv_2342</t>
  </si>
  <si>
    <t>fishluv_2343</t>
  </si>
  <si>
    <t>fishluv_2344</t>
  </si>
  <si>
    <t>fishluv_2345</t>
  </si>
  <si>
    <t>fishluv_2346</t>
  </si>
  <si>
    <t>fishluv_2347</t>
  </si>
  <si>
    <t>fishluv_2348</t>
  </si>
  <si>
    <t>fishluv_2349</t>
  </si>
  <si>
    <t>fishluv_2350</t>
  </si>
  <si>
    <t>fishluv_2351</t>
  </si>
  <si>
    <t>fishluv_2352</t>
  </si>
  <si>
    <t>fishluv_2353</t>
  </si>
  <si>
    <t>fishluv_2354</t>
  </si>
  <si>
    <t>fishluv_2355</t>
  </si>
  <si>
    <t>fishluv_2356</t>
  </si>
  <si>
    <t>fishluv_2357</t>
  </si>
  <si>
    <t>fishluv_2358</t>
  </si>
  <si>
    <t>fishluv_2359</t>
  </si>
  <si>
    <t>fishluv_2360</t>
  </si>
  <si>
    <t>fishluv_2361</t>
  </si>
  <si>
    <t>fishluv_2362</t>
  </si>
  <si>
    <t>fishluv_2363</t>
  </si>
  <si>
    <t>fishluv_2364</t>
  </si>
  <si>
    <t>fishluv_2365</t>
  </si>
  <si>
    <t>fishluv_2366</t>
  </si>
  <si>
    <t>fishluv_2367</t>
  </si>
  <si>
    <t>fishluv_2368</t>
  </si>
  <si>
    <t>fishluv_2369</t>
  </si>
  <si>
    <t>fishluv_2370</t>
  </si>
  <si>
    <t>fishluv_2371</t>
  </si>
  <si>
    <t>fishluv_2372</t>
  </si>
  <si>
    <t>fishluv_2373</t>
  </si>
  <si>
    <t>fishluv_2374</t>
  </si>
  <si>
    <t>fishluv_2375</t>
  </si>
  <si>
    <t>fishluv_2376</t>
  </si>
  <si>
    <t>fishluv_2377</t>
  </si>
  <si>
    <t>fishluv_2378</t>
  </si>
  <si>
    <t>fishluv_2379</t>
  </si>
  <si>
    <t>fishluv_2380</t>
  </si>
  <si>
    <t>fishluv_2381</t>
  </si>
  <si>
    <t>fishluv_2382</t>
  </si>
  <si>
    <t>fishluv_2383</t>
  </si>
  <si>
    <t>fishluv_2384</t>
  </si>
  <si>
    <t>fishluv_2385</t>
  </si>
  <si>
    <t>fishluv_2386</t>
  </si>
  <si>
    <t>fishluv_2387</t>
  </si>
  <si>
    <t>fishluv_2388</t>
  </si>
  <si>
    <t>fishluv_2389</t>
  </si>
  <si>
    <t>fishluv_2390</t>
  </si>
  <si>
    <t>fishluv_2391</t>
  </si>
  <si>
    <t>fishluv_2392</t>
  </si>
  <si>
    <t>fishluv_2393</t>
  </si>
  <si>
    <t>fishluv_2394</t>
  </si>
  <si>
    <t>fishluv_2395</t>
  </si>
  <si>
    <t>fishluv_2396</t>
  </si>
  <si>
    <t>fishluv_2397</t>
  </si>
  <si>
    <t>fishluv_2398</t>
  </si>
  <si>
    <t>fishluv_2399</t>
  </si>
  <si>
    <t>fishluv_2400</t>
  </si>
  <si>
    <t>fishluv_2401</t>
  </si>
  <si>
    <t>fishluv_2402</t>
  </si>
  <si>
    <t>fishluv_2403</t>
  </si>
  <si>
    <t>fishluv_2404</t>
  </si>
  <si>
    <t>fishluv_2405</t>
  </si>
  <si>
    <t>fishluv_2406</t>
  </si>
  <si>
    <t>fishluv_2407</t>
  </si>
  <si>
    <t>fishluv_2408</t>
  </si>
  <si>
    <t>fishluv_2409</t>
  </si>
  <si>
    <t>fishluv_2410</t>
  </si>
  <si>
    <t>fishluv_2411</t>
  </si>
  <si>
    <t>fishluv_2412</t>
  </si>
  <si>
    <t>fishluv_2413</t>
  </si>
  <si>
    <t>fishluv_2414</t>
  </si>
  <si>
    <t>fishluv_2415</t>
  </si>
  <si>
    <t>fishluv_2416</t>
  </si>
  <si>
    <t>fishluv_2417</t>
  </si>
  <si>
    <t>fishluv_2418</t>
  </si>
  <si>
    <t>fishluv_2419</t>
  </si>
  <si>
    <t>fishluv_2420</t>
  </si>
  <si>
    <t>fishluv_2421</t>
  </si>
  <si>
    <t>fishluv_2422</t>
  </si>
  <si>
    <t>fishluv_2423</t>
  </si>
  <si>
    <t>fishluv_2424</t>
  </si>
  <si>
    <t>fishluv_2425</t>
  </si>
  <si>
    <t>fishluv_2426</t>
  </si>
  <si>
    <t>fishluv_2427</t>
  </si>
  <si>
    <t>fishluv_2428</t>
  </si>
  <si>
    <t>fishluv_2429</t>
  </si>
  <si>
    <t>fishluv_2430</t>
  </si>
  <si>
    <t>fishluv_2431</t>
  </si>
  <si>
    <t>fishluv_2432</t>
  </si>
  <si>
    <t>fishluv_2433</t>
  </si>
  <si>
    <t>fishluv_2434</t>
  </si>
  <si>
    <t>fishluv_2435</t>
  </si>
  <si>
    <t>fishluv_2436</t>
  </si>
  <si>
    <t>fishluv_2437</t>
  </si>
  <si>
    <t>fishluv_2438</t>
  </si>
  <si>
    <t>fishluv_2439</t>
  </si>
  <si>
    <t>fishluv_2440</t>
  </si>
  <si>
    <t>fishluv_2441</t>
  </si>
  <si>
    <t>fishluv_2442</t>
  </si>
  <si>
    <t>fishluv_2443</t>
  </si>
  <si>
    <t>fishluv_2444</t>
  </si>
  <si>
    <t>fishluv_2445</t>
  </si>
  <si>
    <t>fishluv_2446</t>
  </si>
  <si>
    <t>fishluv_2447</t>
  </si>
  <si>
    <t>fishluv_2448</t>
  </si>
  <si>
    <t>fishluv_2449</t>
  </si>
  <si>
    <t>fishluv_2450</t>
  </si>
  <si>
    <t>fishluv_2451</t>
  </si>
  <si>
    <t>fishluv_2452</t>
  </si>
  <si>
    <t>fishluv_2453</t>
  </si>
  <si>
    <t>fishluv_2454</t>
  </si>
  <si>
    <t>fishluv_2455</t>
  </si>
  <si>
    <t>fishluv_2456</t>
  </si>
  <si>
    <t>fishluv_2457</t>
  </si>
  <si>
    <t>fishluv_2458</t>
  </si>
  <si>
    <t>fishluv_2459</t>
  </si>
  <si>
    <t>fishluv_2460</t>
  </si>
  <si>
    <t>fishluv_2461</t>
  </si>
  <si>
    <t>fishluv_2462</t>
  </si>
  <si>
    <t>fishluv_2463</t>
  </si>
  <si>
    <t>fishluv_2464</t>
  </si>
  <si>
    <t>fishluv_2465</t>
  </si>
  <si>
    <t>fishluv_2466</t>
  </si>
  <si>
    <t>fishluv_2467</t>
  </si>
  <si>
    <t>fishluv_2468</t>
  </si>
  <si>
    <t>fishluv_2469</t>
  </si>
  <si>
    <t>fishluv_2470</t>
  </si>
  <si>
    <t>fishluv_2471</t>
  </si>
  <si>
    <t>fishluv_2472</t>
  </si>
  <si>
    <t>fishluv_2473</t>
  </si>
  <si>
    <t>fishluv_2474</t>
  </si>
  <si>
    <t>fishluv_2475</t>
  </si>
  <si>
    <t>fishluv_2476</t>
  </si>
  <si>
    <t>fishluv_2477</t>
  </si>
  <si>
    <t>fishluv_2478</t>
  </si>
  <si>
    <t>fishluv_2479</t>
  </si>
  <si>
    <t>fishluv_2480</t>
  </si>
  <si>
    <t>fishluv_2481</t>
  </si>
  <si>
    <t>fishluv_2482</t>
  </si>
  <si>
    <t>fishluv_2483</t>
  </si>
  <si>
    <t>fishluv_2484</t>
  </si>
  <si>
    <t>fishluv_2485</t>
  </si>
  <si>
    <t>fishluv_2486</t>
  </si>
  <si>
    <t>fishluv_2487</t>
  </si>
  <si>
    <t>fishluv_2488</t>
  </si>
  <si>
    <t>fishluv_2489</t>
  </si>
  <si>
    <t>fishluv_2490</t>
  </si>
  <si>
    <t>fishluv_2491</t>
  </si>
  <si>
    <t>fishluv_2492</t>
  </si>
  <si>
    <t>fishluv_2493</t>
  </si>
  <si>
    <t>fishluv_2494</t>
  </si>
  <si>
    <t>fishluv_2495</t>
  </si>
  <si>
    <t>fishluv_2496</t>
  </si>
  <si>
    <t>fishluv_2497</t>
  </si>
  <si>
    <t>fishluv_2498</t>
  </si>
  <si>
    <t>fishluv_2499</t>
  </si>
  <si>
    <t>fishluv_2500</t>
  </si>
  <si>
    <t>fishluv_2501</t>
  </si>
  <si>
    <t>fishluv_2502</t>
  </si>
  <si>
    <t>fishluv_2503</t>
  </si>
  <si>
    <t>fishluv_2504</t>
  </si>
  <si>
    <t>fishluv_2505</t>
  </si>
  <si>
    <t>fishluv_2506</t>
  </si>
  <si>
    <t>fishluv_2507</t>
  </si>
  <si>
    <t>fishluv_2508</t>
  </si>
  <si>
    <t>fishluv_2509</t>
  </si>
  <si>
    <t>fishluv_2510</t>
  </si>
  <si>
    <t>fishluv_2511</t>
  </si>
  <si>
    <t>fishluv_2512</t>
  </si>
  <si>
    <t>fishluv_2513</t>
  </si>
  <si>
    <t>fishluv_2514</t>
  </si>
  <si>
    <t>fishluv_2515</t>
  </si>
  <si>
    <t>fishluv_2516</t>
  </si>
  <si>
    <t>fishluv_2517</t>
  </si>
  <si>
    <t>fishluv_2518</t>
  </si>
  <si>
    <t>fishluv_2519</t>
  </si>
  <si>
    <t>fishluv_2520</t>
  </si>
  <si>
    <t>fishluv_2521</t>
  </si>
  <si>
    <t>fishluv_2522</t>
  </si>
  <si>
    <t>fishluv_2523</t>
  </si>
  <si>
    <t>fishluv_2524</t>
  </si>
  <si>
    <t>fishluv_2525</t>
  </si>
  <si>
    <t>fishluv_2526</t>
  </si>
  <si>
    <t>fishluv_2527</t>
  </si>
  <si>
    <t>fishluv_2528</t>
  </si>
  <si>
    <t>fishluv_2529</t>
  </si>
  <si>
    <t>fishluv_2530</t>
  </si>
  <si>
    <t>fishluv_2531</t>
  </si>
  <si>
    <t>fishluv_2532</t>
  </si>
  <si>
    <t>fishluv_2533</t>
  </si>
  <si>
    <t>fishluv_2534</t>
  </si>
  <si>
    <t>fishluv_2535</t>
  </si>
  <si>
    <t>fishluv_2536</t>
  </si>
  <si>
    <t>fishluv_2537</t>
  </si>
  <si>
    <t>fishluv_2538</t>
  </si>
  <si>
    <t>fishluv_2539</t>
  </si>
  <si>
    <t>fishluv_2540</t>
  </si>
  <si>
    <t>fishluv_2541</t>
  </si>
  <si>
    <t>fishluv_2542</t>
  </si>
  <si>
    <t>fishluv_2543</t>
  </si>
  <si>
    <t>fishluv_2544</t>
  </si>
  <si>
    <t>fishluv_2545</t>
  </si>
  <si>
    <t>fishluv_2546</t>
  </si>
  <si>
    <t>fishluv_2547</t>
  </si>
  <si>
    <t>fishluv_2548</t>
  </si>
  <si>
    <t>fishluv_2549</t>
  </si>
  <si>
    <t>fishluv_2550</t>
  </si>
  <si>
    <t>fishluv_2551</t>
  </si>
  <si>
    <t>fishluv_2552</t>
  </si>
  <si>
    <t>fishluv_2553</t>
  </si>
  <si>
    <t>fishluv_2554</t>
  </si>
  <si>
    <t>fishluv_2555</t>
  </si>
  <si>
    <t>fishluv_2556</t>
  </si>
  <si>
    <t>fishluv_2557</t>
  </si>
  <si>
    <t>fishluv_2558</t>
  </si>
  <si>
    <t>fishluv_2559</t>
  </si>
  <si>
    <t>fishluv_2560</t>
  </si>
  <si>
    <t>fishluv_2561</t>
  </si>
  <si>
    <t>fishluv_2562</t>
  </si>
  <si>
    <t>fishluv_2563</t>
  </si>
  <si>
    <t>fishluv_2564</t>
  </si>
  <si>
    <t>fishluv_2565</t>
  </si>
  <si>
    <t>fishluv_2566</t>
  </si>
  <si>
    <t>fishluv_2567</t>
  </si>
  <si>
    <t>fishluv_2568</t>
  </si>
  <si>
    <t>fishluv_2569</t>
  </si>
  <si>
    <t>fishluv_2570</t>
  </si>
  <si>
    <t>fishluv_2571</t>
  </si>
  <si>
    <t>fishluv_2572</t>
  </si>
  <si>
    <t>fishluv_2573</t>
  </si>
  <si>
    <t>fishluv_2574</t>
  </si>
  <si>
    <t>fishluv_2575</t>
  </si>
  <si>
    <t>fishluv_2576</t>
  </si>
  <si>
    <t>fishluv_2577</t>
  </si>
  <si>
    <t>fishluv_2578</t>
  </si>
  <si>
    <t>fishluv_2579</t>
  </si>
  <si>
    <t>fishluv_2580</t>
  </si>
  <si>
    <t>fishluv_2581</t>
  </si>
  <si>
    <t>fishluv_2582</t>
  </si>
  <si>
    <t>fishluv_2583</t>
  </si>
  <si>
    <t>fishluv_2584</t>
  </si>
  <si>
    <t>fishluv_2585</t>
  </si>
  <si>
    <t>fishluv_2586</t>
  </si>
  <si>
    <t>fishluv_2587</t>
  </si>
  <si>
    <t>fishluv_2588</t>
  </si>
  <si>
    <t>fishluv_2589</t>
  </si>
  <si>
    <t>fishluv_2590</t>
  </si>
  <si>
    <t>fishluv_2591</t>
  </si>
  <si>
    <t>fishluv_2592</t>
  </si>
  <si>
    <t>fishluv_2593</t>
  </si>
  <si>
    <t>fishluv_2594</t>
  </si>
  <si>
    <t>fishluv_2595</t>
  </si>
  <si>
    <t>fishluv_2596</t>
  </si>
  <si>
    <t>fishluv_2597</t>
  </si>
  <si>
    <t>fishluv_2598</t>
  </si>
  <si>
    <t>fishluv_2599</t>
  </si>
  <si>
    <t>fishluv_2600</t>
  </si>
  <si>
    <t>fishluv_2601</t>
  </si>
  <si>
    <t>fishluv_2602</t>
  </si>
  <si>
    <t>fishluv_2603</t>
  </si>
  <si>
    <t>fishluv_2604</t>
  </si>
  <si>
    <t>fishluv_2605</t>
  </si>
  <si>
    <t>fishluv_2606</t>
  </si>
  <si>
    <t>fishluv_2607</t>
  </si>
  <si>
    <t>fishluv_2608</t>
  </si>
  <si>
    <t>fishluv_2609</t>
  </si>
  <si>
    <t>fishluv_2610</t>
  </si>
  <si>
    <t>fishluv_2611</t>
  </si>
  <si>
    <t>fishluv_2612</t>
  </si>
  <si>
    <t>fishluv_2613</t>
  </si>
  <si>
    <t>fishluv_2614</t>
  </si>
  <si>
    <t>fishluv_2615</t>
  </si>
  <si>
    <t>fishluv_2616</t>
  </si>
  <si>
    <t>fishluv_2617</t>
  </si>
  <si>
    <t>fishluv_2618</t>
  </si>
  <si>
    <t>fishluv_2619</t>
  </si>
  <si>
    <t>fishluv_2620</t>
  </si>
  <si>
    <t>fishluv_2621</t>
  </si>
  <si>
    <t>fishluv_2622</t>
  </si>
  <si>
    <t>fishluv_2623</t>
  </si>
  <si>
    <t>fishluv_2624</t>
  </si>
  <si>
    <t>fishluv_2625</t>
  </si>
  <si>
    <t>fishluv_2626</t>
  </si>
  <si>
    <t>fishluv_2627</t>
  </si>
  <si>
    <t>fishluv_2628</t>
  </si>
  <si>
    <t>fishluv_2629</t>
  </si>
  <si>
    <t>fishluv_2630</t>
  </si>
  <si>
    <t>fishluv_2631</t>
  </si>
  <si>
    <t>fishluv_2632</t>
  </si>
  <si>
    <t>fishluv_2633</t>
  </si>
  <si>
    <t>fishluv_2634</t>
  </si>
  <si>
    <t>fishluv_2635</t>
  </si>
  <si>
    <t>fishluv_2636</t>
  </si>
  <si>
    <t>fishluv_2637</t>
  </si>
  <si>
    <t>fishluv_2638</t>
  </si>
  <si>
    <t>fishluv_2639</t>
  </si>
  <si>
    <t>fishluv_2640</t>
  </si>
  <si>
    <t>fishluv_2641</t>
  </si>
  <si>
    <t>fishluv_2642</t>
  </si>
  <si>
    <t>fishluv_2643</t>
  </si>
  <si>
    <t>fishluv_2644</t>
  </si>
  <si>
    <t>fishluv_2645</t>
  </si>
  <si>
    <t>fishluv_2646</t>
  </si>
  <si>
    <t>fishluv_2647</t>
  </si>
  <si>
    <t>fishluv_2648</t>
  </si>
  <si>
    <t>fishluv_2649</t>
  </si>
  <si>
    <t>fishluv_2650</t>
  </si>
  <si>
    <t>fishluv_2651</t>
  </si>
  <si>
    <t>fishluv_2652</t>
  </si>
  <si>
    <t>fishluv_2653</t>
  </si>
  <si>
    <t>fishluv_2654</t>
  </si>
  <si>
    <t>fishluv_2655</t>
  </si>
  <si>
    <t>fishluv_2656</t>
  </si>
  <si>
    <t>fishluv_2657</t>
  </si>
  <si>
    <t>fishluv_2658</t>
  </si>
  <si>
    <t>fishluv_2659</t>
  </si>
  <si>
    <t>fishluv_2660</t>
  </si>
  <si>
    <t>fishluv_2661</t>
  </si>
  <si>
    <t>fishluv_2662</t>
  </si>
  <si>
    <t>fishluv_2663</t>
  </si>
  <si>
    <t>fishluv_2664</t>
  </si>
  <si>
    <t>fishluv_2665</t>
  </si>
  <si>
    <t>fishluv_2666</t>
  </si>
  <si>
    <t>fishluv_2667</t>
  </si>
  <si>
    <t>fishluv_2668</t>
  </si>
  <si>
    <t>fishluv_2669</t>
  </si>
  <si>
    <t>fishluv_2670</t>
  </si>
  <si>
    <t>fishluv_2671</t>
  </si>
  <si>
    <t>fishluv_2672</t>
  </si>
  <si>
    <t>fishluv_2673</t>
  </si>
  <si>
    <t>fishluv_2674</t>
  </si>
  <si>
    <t>fishluv_2675</t>
  </si>
  <si>
    <t>fishluv_2676</t>
  </si>
  <si>
    <t>fishluv_2677</t>
  </si>
  <si>
    <t>fishluv_2678</t>
  </si>
  <si>
    <t>fishluv_2679</t>
  </si>
  <si>
    <t>fishluv_2680</t>
  </si>
  <si>
    <t>fishluv_2681</t>
  </si>
  <si>
    <t>fishluv_2682</t>
  </si>
  <si>
    <t>fishluv_2683</t>
  </si>
  <si>
    <t>fishluv_2684</t>
  </si>
  <si>
    <t>fishluv_2685</t>
  </si>
  <si>
    <t>fishluv_2686</t>
  </si>
  <si>
    <t>fishluv_2687</t>
  </si>
  <si>
    <t>fishluv_2688</t>
  </si>
  <si>
    <t>fishluv_2689</t>
  </si>
  <si>
    <t>fishluv_2690</t>
  </si>
  <si>
    <t>fishluv_2691</t>
  </si>
  <si>
    <t>fishluv_2692</t>
  </si>
  <si>
    <t>fishluv_2693</t>
  </si>
  <si>
    <t>fishluv_2694</t>
  </si>
  <si>
    <t>fishluv_2695</t>
  </si>
  <si>
    <t>fishluv_2696</t>
  </si>
  <si>
    <t>fishluv_2697</t>
  </si>
  <si>
    <t>fishluv_2698</t>
  </si>
  <si>
    <t>fishluv_2699</t>
  </si>
  <si>
    <t>fishluv_2700</t>
  </si>
  <si>
    <t>fishluv_2701</t>
  </si>
  <si>
    <t>fishluv_2702</t>
  </si>
  <si>
    <t>fishluv_2703</t>
  </si>
  <si>
    <t>fishluv_2704</t>
  </si>
  <si>
    <t>fishluv_2705</t>
  </si>
  <si>
    <t>fishluv_2706</t>
  </si>
  <si>
    <t>fishluv_2707</t>
  </si>
  <si>
    <t>fishluv_2708</t>
  </si>
  <si>
    <t>fishluv_2709</t>
  </si>
  <si>
    <t>fishluv_2710</t>
  </si>
  <si>
    <t>fishluv_2711</t>
  </si>
  <si>
    <t>fishluv_2712</t>
  </si>
  <si>
    <t>fishluv_2713</t>
  </si>
  <si>
    <t>fishluv_2714</t>
  </si>
  <si>
    <t>fishluv_2715</t>
  </si>
  <si>
    <t>fishluv_2716</t>
  </si>
  <si>
    <t>fishluv_2717</t>
  </si>
  <si>
    <t>fishluv_2718</t>
  </si>
  <si>
    <t>fishluv_2719</t>
  </si>
  <si>
    <t>fishluv_2720</t>
  </si>
  <si>
    <t>fishluv_2721</t>
  </si>
  <si>
    <t>fishluv_2722</t>
  </si>
  <si>
    <t>fishluv_2723</t>
  </si>
  <si>
    <t>fishluv_2724</t>
  </si>
  <si>
    <t>fishluv_2725</t>
  </si>
  <si>
    <t>fishluv_2726</t>
  </si>
  <si>
    <t>fishluv_2727</t>
  </si>
  <si>
    <t>fishluv_2728</t>
  </si>
  <si>
    <t>fishluv_2729</t>
  </si>
  <si>
    <t>fishluv_2730</t>
  </si>
  <si>
    <t>fishluv_2731</t>
  </si>
  <si>
    <t>fishluv_2732</t>
  </si>
  <si>
    <t>fishluv_2733</t>
  </si>
  <si>
    <t>fishluv_2734</t>
  </si>
  <si>
    <t>fishluv_2735</t>
  </si>
  <si>
    <t>fishluv_2736</t>
  </si>
  <si>
    <t>fishluv_2737</t>
  </si>
  <si>
    <t>fishluv_2738</t>
  </si>
  <si>
    <t>fishluv_2739</t>
  </si>
  <si>
    <t>fishluv_2740</t>
  </si>
  <si>
    <t>fishluv_2741</t>
  </si>
  <si>
    <t>fishluv_2742</t>
  </si>
  <si>
    <t>fishluv_2743</t>
  </si>
  <si>
    <t>fishluv_2744</t>
  </si>
  <si>
    <t>fishluv_2745</t>
  </si>
  <si>
    <t>fishluv_2746</t>
  </si>
  <si>
    <t>fishluv_2747</t>
  </si>
  <si>
    <t>fishluv_2748</t>
  </si>
  <si>
    <t>fishluv_2749</t>
  </si>
  <si>
    <t>fishluv_2750</t>
  </si>
  <si>
    <t>fishluv_2751</t>
  </si>
  <si>
    <t>fishluv_2752</t>
  </si>
  <si>
    <t>fishluv_2753</t>
  </si>
  <si>
    <t>fishluv_2754</t>
  </si>
  <si>
    <t>fishluv_2755</t>
  </si>
  <si>
    <t>fishluv_2756</t>
  </si>
  <si>
    <t>fishluv_2757</t>
  </si>
  <si>
    <t>fishluv_2758</t>
  </si>
  <si>
    <t>fishluv_2759</t>
  </si>
  <si>
    <t>fishluv_2760</t>
  </si>
  <si>
    <t>fishluv_2761</t>
  </si>
  <si>
    <t>fishluv_2762</t>
  </si>
  <si>
    <t>fishluv_2763</t>
  </si>
  <si>
    <t>fishluv_2764</t>
  </si>
  <si>
    <t>fishluv_2765</t>
  </si>
  <si>
    <t>fishluv_2766</t>
  </si>
  <si>
    <t>fishluv_2767</t>
  </si>
  <si>
    <t>fishluv_2768</t>
  </si>
  <si>
    <t>fishluv_2769</t>
  </si>
  <si>
    <t>fishluv_2770</t>
  </si>
  <si>
    <t>fishluv_2771</t>
  </si>
  <si>
    <t>fishluv_2772</t>
  </si>
  <si>
    <t>fishluv_2773</t>
  </si>
  <si>
    <t>fishluv_2774</t>
  </si>
  <si>
    <t>fishluv_2775</t>
  </si>
  <si>
    <t>fishluv_2776</t>
  </si>
  <si>
    <t>fishluv_2777</t>
  </si>
  <si>
    <t>fishluv_2778</t>
  </si>
  <si>
    <t>fishluv_2779</t>
  </si>
  <si>
    <t>fishluv_2780</t>
  </si>
  <si>
    <t>fishluv_2781</t>
  </si>
  <si>
    <t>fishluv_2782</t>
  </si>
  <si>
    <t>fishluv_2783</t>
  </si>
  <si>
    <t>fishluv_2784</t>
  </si>
  <si>
    <t>fishluv_2785</t>
  </si>
  <si>
    <t>fishluv_2786</t>
  </si>
  <si>
    <t>fishluv_2787</t>
  </si>
  <si>
    <t>fishluv_2788</t>
  </si>
  <si>
    <t>fishluv_2789</t>
  </si>
  <si>
    <t>fishluv_2790</t>
  </si>
  <si>
    <t>fishluv_2791</t>
  </si>
  <si>
    <t>fishluv_2792</t>
  </si>
  <si>
    <t>fishluv_2793</t>
  </si>
  <si>
    <t>fishluv_2794</t>
  </si>
  <si>
    <t>fishluv_2795</t>
  </si>
  <si>
    <t>fishluv_2796</t>
  </si>
  <si>
    <t>fishluv_2797</t>
  </si>
  <si>
    <t>fishluv_2798</t>
  </si>
  <si>
    <t>fishluv_2799</t>
  </si>
  <si>
    <t>fishluv_2800</t>
  </si>
  <si>
    <t>fishluv_2801</t>
  </si>
  <si>
    <t>fishluv_2802</t>
  </si>
  <si>
    <t>fishluv_2803</t>
  </si>
  <si>
    <t>fishluv_2804</t>
  </si>
  <si>
    <t>fishluv_2805</t>
  </si>
  <si>
    <t>fishluv_2806</t>
  </si>
  <si>
    <t>fishluv_2807</t>
  </si>
  <si>
    <t>fishluv_2808</t>
  </si>
  <si>
    <t>fishluv_2809</t>
  </si>
  <si>
    <t>fishluv_2810</t>
  </si>
  <si>
    <t>fishluv_2811</t>
  </si>
  <si>
    <t>fishluv_2812</t>
  </si>
  <si>
    <t>fishluv_2813</t>
  </si>
  <si>
    <t>fishluv_2814</t>
  </si>
  <si>
    <t>fishluv_2815</t>
  </si>
  <si>
    <t>fishluv_2816</t>
  </si>
  <si>
    <t>fishluv_2817</t>
  </si>
  <si>
    <t>fishluv_2818</t>
  </si>
  <si>
    <t>fishluv_2819</t>
  </si>
  <si>
    <t>fishluv_2820</t>
  </si>
  <si>
    <t>fishluv_2821</t>
  </si>
  <si>
    <t>fishluv_2822</t>
  </si>
  <si>
    <t>fishluv_2823</t>
  </si>
  <si>
    <t>fishluv_2824</t>
  </si>
  <si>
    <t>fishluv_2825</t>
  </si>
  <si>
    <t>fishluv_2826</t>
  </si>
  <si>
    <t>fishluv_2827</t>
  </si>
  <si>
    <t>fishluv_2828</t>
  </si>
  <si>
    <t>fishluv_2829</t>
  </si>
  <si>
    <t>fishluv_2830</t>
  </si>
  <si>
    <t>fishluv_2831</t>
  </si>
  <si>
    <t>fishluv_2832</t>
  </si>
  <si>
    <t>fishluv_2833</t>
  </si>
  <si>
    <t>fishluv_2834</t>
  </si>
  <si>
    <t>fishluv_2835</t>
  </si>
  <si>
    <t>fishluv_2836</t>
  </si>
  <si>
    <t>fishluv_2837</t>
  </si>
  <si>
    <t>fishluv_2838</t>
  </si>
  <si>
    <t>fishluv_2839</t>
  </si>
  <si>
    <t>fishluv_2840</t>
  </si>
  <si>
    <t>fishluv_2841</t>
  </si>
  <si>
    <t>fishluv_2842</t>
  </si>
  <si>
    <t>fishluv_2843</t>
  </si>
  <si>
    <t>fishluv_2844</t>
  </si>
  <si>
    <t>fishluv_2845</t>
  </si>
  <si>
    <t>fishluv_2846</t>
  </si>
  <si>
    <t>fishluv_2847</t>
  </si>
  <si>
    <t>fishluv_2848</t>
  </si>
  <si>
    <t>fishluv_2849</t>
  </si>
  <si>
    <t>fishluv_2850</t>
  </si>
  <si>
    <t>fishluv_2851</t>
  </si>
  <si>
    <t>fishluv_2852</t>
  </si>
  <si>
    <t>fishluv_2853</t>
  </si>
  <si>
    <t>fishluv_2854</t>
  </si>
  <si>
    <t>fishluv_2855</t>
  </si>
  <si>
    <t>fishluv_2856</t>
  </si>
  <si>
    <t>fishluv_2857</t>
  </si>
  <si>
    <t>fishluv_2858</t>
  </si>
  <si>
    <t>fishluv_2859</t>
  </si>
  <si>
    <t>fishluv_2860</t>
  </si>
  <si>
    <t>fishluv_2861</t>
  </si>
  <si>
    <t>fishluv_2862</t>
  </si>
  <si>
    <t>fishluv_2863</t>
  </si>
  <si>
    <t>fishluv_2864</t>
  </si>
  <si>
    <t>fishluv_2865</t>
  </si>
  <si>
    <t>fishluv_2866</t>
  </si>
  <si>
    <t>fishluv_2867</t>
  </si>
  <si>
    <t>fishluv_2868</t>
  </si>
  <si>
    <t>fishluv_2869</t>
  </si>
  <si>
    <t>fishluv_2870</t>
  </si>
  <si>
    <t>fishluv_2871</t>
  </si>
  <si>
    <t>fishluv_2872</t>
  </si>
  <si>
    <t>fishluv_2873</t>
  </si>
  <si>
    <t>fishluv_2874</t>
  </si>
  <si>
    <t>fishluv_2875</t>
  </si>
  <si>
    <t>fishluv_2876</t>
  </si>
  <si>
    <t>fishluv_2877</t>
  </si>
  <si>
    <t>fishluv_2878</t>
  </si>
  <si>
    <t>fishluv_2879</t>
  </si>
  <si>
    <t>fishluv_2880</t>
  </si>
  <si>
    <t>fishluv_2881</t>
  </si>
  <si>
    <t>fishluv_2882</t>
  </si>
  <si>
    <t>fishluv_2883</t>
  </si>
  <si>
    <t>fishluv_2884</t>
  </si>
  <si>
    <t>fishluv_2885</t>
  </si>
  <si>
    <t>fishluv_2886</t>
  </si>
  <si>
    <t>fishluv_2887</t>
  </si>
  <si>
    <t>fishluv_2888</t>
  </si>
  <si>
    <t>fishluv_2889</t>
  </si>
  <si>
    <t>fishluv_2890</t>
  </si>
  <si>
    <t>fishluv_2891</t>
  </si>
  <si>
    <t>fishluv_2892</t>
  </si>
  <si>
    <t>fishluv_2893</t>
  </si>
  <si>
    <t>fishluv_2894</t>
  </si>
  <si>
    <t>fishluv_2895</t>
  </si>
  <si>
    <t>fishluv_2896</t>
  </si>
  <si>
    <t>fishluv_2897</t>
  </si>
  <si>
    <t>fishluv_2898</t>
  </si>
  <si>
    <t>fishluv_2899</t>
  </si>
  <si>
    <t>fishluv_2900</t>
  </si>
  <si>
    <t>fishluv_2901</t>
  </si>
  <si>
    <t>fishluv_2902</t>
  </si>
  <si>
    <t>fishluv_2903</t>
  </si>
  <si>
    <t>fishluv_2904</t>
  </si>
  <si>
    <t>fishluv_2905</t>
  </si>
  <si>
    <t>fishluv_2906</t>
  </si>
  <si>
    <t>fishluv_2907</t>
  </si>
  <si>
    <t>fishluv_2908</t>
  </si>
  <si>
    <t>fishluv_2909</t>
  </si>
  <si>
    <t>fishluv_2910</t>
  </si>
  <si>
    <t>fishluv_2911</t>
  </si>
  <si>
    <t>fishluv_2912</t>
  </si>
  <si>
    <t>fishluv_2913</t>
  </si>
  <si>
    <t>fishluv_2914</t>
  </si>
  <si>
    <t>fishluv_2915</t>
  </si>
  <si>
    <t>fishluv_2916</t>
  </si>
  <si>
    <t>fishluv_2917</t>
  </si>
  <si>
    <t>fishluv_2918</t>
  </si>
  <si>
    <t>fishluv_2919</t>
  </si>
  <si>
    <t>fishluv_2920</t>
  </si>
  <si>
    <t>fishluv_2921</t>
  </si>
  <si>
    <t>fishluv_2922</t>
  </si>
  <si>
    <t>fishluv_2923</t>
  </si>
  <si>
    <t>fishluv_2924</t>
  </si>
  <si>
    <t>fishluv_2925</t>
  </si>
  <si>
    <t>fishluv_2926</t>
  </si>
  <si>
    <t>fishluv_2927</t>
  </si>
  <si>
    <t>fishluv_2928</t>
  </si>
  <si>
    <t>fishluv_2929</t>
  </si>
  <si>
    <t>fishluv_2930</t>
  </si>
  <si>
    <t>fishluv_2931</t>
  </si>
  <si>
    <t>fishluv_2932</t>
  </si>
  <si>
    <t>fishluv_2933</t>
  </si>
  <si>
    <t>fishluv_2934</t>
  </si>
  <si>
    <t>fishluv_2935</t>
  </si>
  <si>
    <t>fishluv_2936</t>
  </si>
  <si>
    <t>fishluv_2937</t>
  </si>
  <si>
    <t>fishluv_2938</t>
  </si>
  <si>
    <t>fishluv_2939</t>
  </si>
  <si>
    <t>fishluv_2940</t>
  </si>
  <si>
    <t>fishluv_2941</t>
  </si>
  <si>
    <t>fishluv_2942</t>
  </si>
  <si>
    <t>fishluv_2943</t>
  </si>
  <si>
    <t>fishluv_2944</t>
  </si>
  <si>
    <t>fishluv_2945</t>
  </si>
  <si>
    <t>fishluv_2946</t>
  </si>
  <si>
    <t>fishluv_2947</t>
  </si>
  <si>
    <t>fishluv_2948</t>
  </si>
  <si>
    <t>fishluv_2949</t>
  </si>
  <si>
    <t>fishluv_2950</t>
  </si>
  <si>
    <t>fishluv_2951</t>
  </si>
  <si>
    <t>fishluv_2952</t>
  </si>
  <si>
    <t>fishluv_2953</t>
  </si>
  <si>
    <t>fishluv_2954</t>
  </si>
  <si>
    <t>fishluv_2955</t>
  </si>
  <si>
    <t>fishluv_2956</t>
  </si>
  <si>
    <t>fishluv_2957</t>
  </si>
  <si>
    <t>fishluv_2958</t>
  </si>
  <si>
    <t>fishluv_2959</t>
  </si>
  <si>
    <t>fishluv_2960</t>
  </si>
  <si>
    <t>fishluv_2961</t>
  </si>
  <si>
    <t>fishluv_2962</t>
  </si>
  <si>
    <t>fishluv_2963</t>
  </si>
  <si>
    <t>fishluv_2964</t>
  </si>
  <si>
    <t>fishluv_2965</t>
  </si>
  <si>
    <t>fishluv_2966</t>
  </si>
  <si>
    <t>fishluv_2967</t>
  </si>
  <si>
    <t>fishluv_2968</t>
  </si>
  <si>
    <t>fishluv_2969</t>
  </si>
  <si>
    <t>fishluv_2970</t>
  </si>
  <si>
    <t>fishluv_2971</t>
  </si>
  <si>
    <t>fishluv_2972</t>
  </si>
  <si>
    <t>fishluv_2973</t>
  </si>
  <si>
    <t>fishluv_2974</t>
  </si>
  <si>
    <t>fishluv_2975</t>
  </si>
  <si>
    <t>fishluv_2976</t>
  </si>
  <si>
    <t>fishluv_2977</t>
  </si>
  <si>
    <t>fishluv_2978</t>
  </si>
  <si>
    <t>fishluv_2979</t>
  </si>
  <si>
    <t>fishluv_2980</t>
  </si>
  <si>
    <t>fishluv_2981</t>
  </si>
  <si>
    <t>fishluv_2982</t>
  </si>
  <si>
    <t>fishluv_2983</t>
  </si>
  <si>
    <t>fishluv_2984</t>
  </si>
  <si>
    <t>fishluv_2985</t>
  </si>
  <si>
    <t>fishluv_2986</t>
  </si>
  <si>
    <t>fishluv_2987</t>
  </si>
  <si>
    <t>fishluv_2988</t>
  </si>
  <si>
    <t>fishluv_2989</t>
  </si>
  <si>
    <t>fishluv_2990</t>
  </si>
  <si>
    <t>fishluv_2991</t>
  </si>
  <si>
    <t>fishluv_2992</t>
  </si>
  <si>
    <t>fishluv_2993</t>
  </si>
  <si>
    <t>fishluv_2994</t>
  </si>
  <si>
    <t>fishluv_2995</t>
  </si>
  <si>
    <t>fishluv_2996</t>
  </si>
  <si>
    <t>fishluv_2997</t>
  </si>
  <si>
    <t>fishluv_2998</t>
  </si>
  <si>
    <t>fishluv_2999</t>
  </si>
  <si>
    <t>fishluv_3000</t>
  </si>
  <si>
    <t>fishluv_3001</t>
  </si>
  <si>
    <t>fishluv_3002</t>
  </si>
  <si>
    <t>fishluv_3003</t>
  </si>
  <si>
    <t>fishluv_3004</t>
  </si>
  <si>
    <t>fishluv_3005</t>
  </si>
  <si>
    <t>fishluv_3006</t>
  </si>
  <si>
    <t>fishluv_3007</t>
  </si>
  <si>
    <t>fishluv_3008</t>
  </si>
  <si>
    <t>fishluv_3009</t>
  </si>
  <si>
    <t>fishluv_3010</t>
  </si>
  <si>
    <t>fishluv_3011</t>
  </si>
  <si>
    <t>fishluv_3012</t>
  </si>
  <si>
    <t>fishluv_3013</t>
  </si>
  <si>
    <t>fishluv_3014</t>
  </si>
  <si>
    <t>fishluv_3015</t>
  </si>
  <si>
    <t>fishluv_3016</t>
  </si>
  <si>
    <t>fishluv_3017</t>
  </si>
  <si>
    <t>fishluv_3018</t>
  </si>
  <si>
    <t>fishluv_3019</t>
  </si>
  <si>
    <t>fishluv_3020</t>
  </si>
  <si>
    <t>fishluv_3021</t>
  </si>
  <si>
    <t>fishluv_3022</t>
  </si>
  <si>
    <t>fishluv_3023</t>
  </si>
  <si>
    <t>fishluv_3024</t>
  </si>
  <si>
    <t>fishluv_3025</t>
  </si>
  <si>
    <t>fishluv_3026</t>
  </si>
  <si>
    <t>fishluv_3027</t>
  </si>
  <si>
    <t>fishluv_3028</t>
  </si>
  <si>
    <t>fishluv_3029</t>
  </si>
  <si>
    <t>fishluv_3030</t>
  </si>
  <si>
    <t>fishluv_3031</t>
  </si>
  <si>
    <t>fishluv_3032</t>
  </si>
  <si>
    <t>fishluv_3033</t>
  </si>
  <si>
    <t>fishluv_3034</t>
  </si>
  <si>
    <t>fishluv_3035</t>
  </si>
  <si>
    <t>fishluv_3036</t>
  </si>
  <si>
    <t>fishluv_3037</t>
  </si>
  <si>
    <t>fishluv_3038</t>
  </si>
  <si>
    <t>fishluv_3039</t>
  </si>
  <si>
    <t>fishluv_3040</t>
  </si>
  <si>
    <t>fishluv_3041</t>
  </si>
  <si>
    <t>fishluv_3042</t>
  </si>
  <si>
    <t>fishluv_3043</t>
  </si>
  <si>
    <t>fishluv_3044</t>
  </si>
  <si>
    <t>fishluv_3045</t>
  </si>
  <si>
    <t>fishluv_3046</t>
  </si>
  <si>
    <t>fishluv_3047</t>
  </si>
  <si>
    <t>fishluv_3048</t>
  </si>
  <si>
    <t>fishluv_3049</t>
  </si>
  <si>
    <t>fishluv_3050</t>
  </si>
  <si>
    <t>fishluv_3051</t>
  </si>
  <si>
    <t>fishluv_3052</t>
  </si>
  <si>
    <t>fishluv_3053</t>
  </si>
  <si>
    <t>fishluv_3054</t>
  </si>
  <si>
    <t>fishluv_3055</t>
  </si>
  <si>
    <t>fishluv_3056</t>
  </si>
  <si>
    <t>fishluv_3057</t>
  </si>
  <si>
    <t>fishluv_3058</t>
  </si>
  <si>
    <t>fishluv_3059</t>
  </si>
  <si>
    <t>fishluv_3060</t>
  </si>
  <si>
    <t>fishluv_3061</t>
  </si>
  <si>
    <t>fishluv_3062</t>
  </si>
  <si>
    <t>fishluv_3063</t>
  </si>
  <si>
    <t>fishluv_3064</t>
  </si>
  <si>
    <t>fishluv_3065</t>
  </si>
  <si>
    <t>fishluv_3066</t>
  </si>
  <si>
    <t>fishluv_3067</t>
  </si>
  <si>
    <t>fishluv_3068</t>
  </si>
  <si>
    <t>fishluv_3069</t>
  </si>
  <si>
    <t>fishluv_3070</t>
  </si>
  <si>
    <t>fishluv_3071</t>
  </si>
  <si>
    <t>fishluv_3072</t>
  </si>
  <si>
    <t>fishluv_3073</t>
  </si>
  <si>
    <t>fishluv_3074</t>
  </si>
  <si>
    <t>fishluv_3075</t>
  </si>
  <si>
    <t>fishluv_3076</t>
  </si>
  <si>
    <t>fishluv_3077</t>
  </si>
  <si>
    <t>fishluv_3078</t>
  </si>
  <si>
    <t>fishluv_3079</t>
  </si>
  <si>
    <t>fishluv_3080</t>
  </si>
  <si>
    <t>fishluv_3081</t>
  </si>
  <si>
    <t>fishluv_3082</t>
  </si>
  <si>
    <t>fishluv_3083</t>
  </si>
  <si>
    <t>fishluv_3084</t>
  </si>
  <si>
    <t>fishluv_3085</t>
  </si>
  <si>
    <t>fishluv_3086</t>
  </si>
  <si>
    <t>fishluv_3087</t>
  </si>
  <si>
    <t>fishluv_3088</t>
  </si>
  <si>
    <t>fishluv_3089</t>
  </si>
  <si>
    <t>fishluv_3090</t>
  </si>
  <si>
    <t>fishluv_3091</t>
  </si>
  <si>
    <t>fishluv_3092</t>
  </si>
  <si>
    <t>fishluv_3093</t>
  </si>
  <si>
    <t>fishluv_3094</t>
  </si>
  <si>
    <t>fishluv_3095</t>
  </si>
  <si>
    <t>fishluv_3096</t>
  </si>
  <si>
    <t>fishluv_3097</t>
  </si>
  <si>
    <t>fishluv_3098</t>
  </si>
  <si>
    <t>fishluv_3099</t>
  </si>
  <si>
    <t>fishluv_3100</t>
  </si>
  <si>
    <t>fishluv_3101</t>
  </si>
  <si>
    <t>fishluv_3102</t>
  </si>
  <si>
    <t>fishluv_3103</t>
  </si>
  <si>
    <t>fishluv_3104</t>
  </si>
  <si>
    <t>fishluv_3105</t>
  </si>
  <si>
    <t>fishluv_3106</t>
  </si>
  <si>
    <t>fishluv_3107</t>
  </si>
  <si>
    <t>fishluv_3108</t>
  </si>
  <si>
    <t>fishluv_3109</t>
  </si>
  <si>
    <t>fishluv_3110</t>
  </si>
  <si>
    <t>fishluv_3111</t>
  </si>
  <si>
    <t>fishluv_3112</t>
  </si>
  <si>
    <t>fishluv_3113</t>
  </si>
  <si>
    <t>fishluv_3114</t>
  </si>
  <si>
    <t>fishluv_3115</t>
  </si>
  <si>
    <t>fishluv_3116</t>
  </si>
  <si>
    <t>fishluv_3117</t>
  </si>
  <si>
    <t>fishluv_3118</t>
  </si>
  <si>
    <t>fishluv_3119</t>
  </si>
  <si>
    <t>fishluv_3120</t>
  </si>
  <si>
    <t>fishluv_3121</t>
  </si>
  <si>
    <t>fishluv_3122</t>
  </si>
  <si>
    <t>fishluv_3123</t>
  </si>
  <si>
    <t>fishluv_3124</t>
  </si>
  <si>
    <t>fishluv_3125</t>
  </si>
  <si>
    <t>fishluv_3126</t>
  </si>
  <si>
    <t>fishluv_3127</t>
  </si>
  <si>
    <t>fishluv_3128</t>
  </si>
  <si>
    <t>fishluv_3129</t>
  </si>
  <si>
    <t>fishluv_3130</t>
  </si>
  <si>
    <t>fishluv_3131</t>
  </si>
  <si>
    <t>fishluv_3132</t>
  </si>
  <si>
    <t>fishluv_3133</t>
  </si>
  <si>
    <t>fishluv_3134</t>
  </si>
  <si>
    <t>fishluv_3135</t>
  </si>
  <si>
    <t>fishluv_3136</t>
  </si>
  <si>
    <t>fishluv_3137</t>
  </si>
  <si>
    <t>fishluv_3138</t>
  </si>
  <si>
    <t>fishluv_3139</t>
  </si>
  <si>
    <t>fishluv_3140</t>
  </si>
  <si>
    <t>fishluv_3141</t>
  </si>
  <si>
    <t>fishluv_3142</t>
  </si>
  <si>
    <t>fishluv_3143</t>
  </si>
  <si>
    <t>fishluv_3144</t>
  </si>
  <si>
    <t>fishluv_3145</t>
  </si>
  <si>
    <t>fishluv_3146</t>
  </si>
  <si>
    <t>fishluv_3147</t>
  </si>
  <si>
    <t>fishluv_3148</t>
  </si>
  <si>
    <t>fishluv_3149</t>
  </si>
  <si>
    <t>fishluv_3150</t>
  </si>
  <si>
    <t>fishluv_3151</t>
  </si>
  <si>
    <t>fishluv_3152</t>
  </si>
  <si>
    <t>fishluv_3153</t>
  </si>
  <si>
    <t>fishluv_3154</t>
  </si>
  <si>
    <t>fishluv_3155</t>
  </si>
  <si>
    <t>fishluv_3156</t>
  </si>
  <si>
    <t>fishluv_3157</t>
  </si>
  <si>
    <t>fishluv_3158</t>
  </si>
  <si>
    <t>fishluv_3159</t>
  </si>
  <si>
    <t>fishluv_3160</t>
  </si>
  <si>
    <t>fishluv_3161</t>
  </si>
  <si>
    <t>fishluv_3162</t>
  </si>
  <si>
    <t>fishluv_3163</t>
  </si>
  <si>
    <t>fishluv_3164</t>
  </si>
  <si>
    <t>fishluv_3165</t>
  </si>
  <si>
    <t>fishluv_3166</t>
  </si>
  <si>
    <t>fishluv_3167</t>
  </si>
  <si>
    <t>fishluv_3168</t>
  </si>
  <si>
    <t>fishluv_3169</t>
  </si>
  <si>
    <t>fishluv_3170</t>
  </si>
  <si>
    <t>fishluv_3171</t>
  </si>
  <si>
    <t>fishluv_3172</t>
  </si>
  <si>
    <t>fishluv_3173</t>
  </si>
  <si>
    <t>fishluv_3174</t>
  </si>
  <si>
    <t>fishluv_3175</t>
  </si>
  <si>
    <t>fishluv_3176</t>
  </si>
  <si>
    <t>fishluv_3177</t>
  </si>
  <si>
    <t>fishluv_3178</t>
  </si>
  <si>
    <t>fishluv_3179</t>
  </si>
  <si>
    <t>fishluv_3180</t>
  </si>
  <si>
    <t>fishluv_3181</t>
  </si>
  <si>
    <t>fishluv_3182</t>
  </si>
  <si>
    <t>fishluv_3183</t>
  </si>
  <si>
    <t>fishluv_3184</t>
  </si>
  <si>
    <t>fishluv_3185</t>
  </si>
  <si>
    <t>fishluv_3186</t>
  </si>
  <si>
    <t>fishluv_3187</t>
  </si>
  <si>
    <t>fishluv_3188</t>
  </si>
  <si>
    <t>fishluv_3189</t>
  </si>
  <si>
    <t>fishluv_3190</t>
  </si>
  <si>
    <t>fishluv_3191</t>
  </si>
  <si>
    <t>fishluv_3192</t>
  </si>
  <si>
    <t>fishluv_3193</t>
  </si>
  <si>
    <t>fishluv_3194</t>
  </si>
  <si>
    <t>fishluv_3195</t>
  </si>
  <si>
    <t>fishluv_3196</t>
  </si>
  <si>
    <t>fishluv_3197</t>
  </si>
  <si>
    <t>fishluv_3198</t>
  </si>
  <si>
    <t>fishluv_3199</t>
  </si>
  <si>
    <t>fishluv_3200</t>
  </si>
  <si>
    <t>fishluv_3201</t>
  </si>
  <si>
    <t>fishluv_3202</t>
  </si>
  <si>
    <t>fishluv_3203</t>
  </si>
  <si>
    <t>fishluv_3204</t>
  </si>
  <si>
    <t>fishluv_3205</t>
  </si>
  <si>
    <t>fishluv_3206</t>
  </si>
  <si>
    <t>fishluv_3207</t>
  </si>
  <si>
    <t>fishluv_3208</t>
  </si>
  <si>
    <t>fishluv_3209</t>
  </si>
  <si>
    <t>fishluv_3210</t>
  </si>
  <si>
    <t>fishluv_3211</t>
  </si>
  <si>
    <t>fishluv_3212</t>
  </si>
  <si>
    <t>fishluv_3213</t>
  </si>
  <si>
    <t>fishluv_3214</t>
  </si>
  <si>
    <t>fishluv_3215</t>
  </si>
  <si>
    <t>fishluv_3216</t>
  </si>
  <si>
    <t>fishluv_3217</t>
  </si>
  <si>
    <t>fishluv_3218</t>
  </si>
  <si>
    <t>fishluv_3219</t>
  </si>
  <si>
    <t>fishluv_3220</t>
  </si>
  <si>
    <t>fishluv_3221</t>
  </si>
  <si>
    <t>fishluv_3222</t>
  </si>
  <si>
    <t>fishluv_3223</t>
  </si>
  <si>
    <t>fishluv_3224</t>
  </si>
  <si>
    <t>fishluv_3225</t>
  </si>
  <si>
    <t>fishluv_3226</t>
  </si>
  <si>
    <t>fishluv_3227</t>
  </si>
  <si>
    <t>fishluv_3228</t>
  </si>
  <si>
    <t>fishluv_3229</t>
  </si>
  <si>
    <t>fishluv_3230</t>
  </si>
  <si>
    <t>fishluv_3231</t>
  </si>
  <si>
    <t>fishluv_3232</t>
  </si>
  <si>
    <t>fishluv_3233</t>
  </si>
  <si>
    <t>fishluv_3234</t>
  </si>
  <si>
    <t>fishluv_3235</t>
  </si>
  <si>
    <t>fishluv_3236</t>
  </si>
  <si>
    <t>fishluv_3237</t>
  </si>
  <si>
    <t>fishluv_3238</t>
  </si>
  <si>
    <t>fishluv_3239</t>
  </si>
  <si>
    <t>fishluv_3240</t>
  </si>
  <si>
    <t>fishluv_3241</t>
  </si>
  <si>
    <t>fishluv_3242</t>
  </si>
  <si>
    <t>fishluv_3243</t>
  </si>
  <si>
    <t>fishluv_3244</t>
  </si>
  <si>
    <t>fishluv_3245</t>
  </si>
  <si>
    <t>fishluv_3246</t>
  </si>
  <si>
    <t>fishluv_3247</t>
  </si>
  <si>
    <t>fishluv_3248</t>
  </si>
  <si>
    <t>fishluv_3249</t>
  </si>
  <si>
    <t>fishluv_3250</t>
  </si>
  <si>
    <t>fishluv_3251</t>
  </si>
  <si>
    <t>fishluv_3252</t>
  </si>
  <si>
    <t>fishluv_3253</t>
  </si>
  <si>
    <t>fishluv_3254</t>
  </si>
  <si>
    <t>fishluv_3255</t>
  </si>
  <si>
    <t>fishluv_3256</t>
  </si>
  <si>
    <t>fishluv_3257</t>
  </si>
  <si>
    <t>fishluv_3258</t>
  </si>
  <si>
    <t>fishluv_3259</t>
  </si>
  <si>
    <t>fishluv_3260</t>
  </si>
  <si>
    <t>fishluv_3261</t>
  </si>
  <si>
    <t>fishluv_3262</t>
  </si>
  <si>
    <t>fishluv_3263</t>
  </si>
  <si>
    <t>fishluv_3264</t>
  </si>
  <si>
    <t>fishluv_3265</t>
  </si>
  <si>
    <t>fishluv_3266</t>
  </si>
  <si>
    <t>fishluv_3267</t>
  </si>
  <si>
    <t>fishluv_3268</t>
  </si>
  <si>
    <t>fishluv_3269</t>
  </si>
  <si>
    <t>fishluv_3270</t>
  </si>
  <si>
    <t>fishluv_3271</t>
  </si>
  <si>
    <t>fishluv_3272</t>
  </si>
  <si>
    <t>fishluv_3273</t>
  </si>
  <si>
    <t>fishluv_3274</t>
  </si>
  <si>
    <t>fishluv_3275</t>
  </si>
  <si>
    <t>fishluv_3276</t>
  </si>
  <si>
    <t>fishluv_3277</t>
  </si>
  <si>
    <t>fishluv_3278</t>
  </si>
  <si>
    <t>fishluv_3279</t>
  </si>
  <si>
    <t>fishluv_3280</t>
  </si>
  <si>
    <t>fishluv_3281</t>
  </si>
  <si>
    <t>fishluv_3282</t>
  </si>
  <si>
    <t>fishluv_3283</t>
  </si>
  <si>
    <t>fishluv_3284</t>
  </si>
  <si>
    <t>fishluv_3285</t>
  </si>
  <si>
    <t>fishluv_3286</t>
  </si>
  <si>
    <t>fishluv_3287</t>
  </si>
  <si>
    <t>fishluv_3288</t>
  </si>
  <si>
    <t>fishluv_3289</t>
  </si>
  <si>
    <t>fishluv_3290</t>
  </si>
  <si>
    <t>fishluv_3291</t>
  </si>
  <si>
    <t>fishluv_3292</t>
  </si>
  <si>
    <t>fishluv_3293</t>
  </si>
  <si>
    <t>fishluv_3294</t>
  </si>
  <si>
    <t>fishluv_3295</t>
  </si>
  <si>
    <t>fishluv_3296</t>
  </si>
  <si>
    <t>fishluv_3297</t>
  </si>
  <si>
    <t>fishluv_3298</t>
  </si>
  <si>
    <t>fishluv_3299</t>
  </si>
  <si>
    <t>fishluv_3300</t>
  </si>
  <si>
    <t>fishluv_3301</t>
  </si>
  <si>
    <t>fishluv_3302</t>
  </si>
  <si>
    <t>fishluv_3303</t>
  </si>
  <si>
    <t>fishluv_3304</t>
  </si>
  <si>
    <t>fishluv_3305</t>
  </si>
  <si>
    <t>fishluv_3306</t>
  </si>
  <si>
    <t>fishluv_3307</t>
  </si>
  <si>
    <t>fishluv_3308</t>
  </si>
  <si>
    <t>fishluv_3309</t>
  </si>
  <si>
    <t>fishluv_3310</t>
  </si>
  <si>
    <t>fishluv_3311</t>
  </si>
  <si>
    <t>fishluv_3312</t>
  </si>
  <si>
    <t>fishluv_3313</t>
  </si>
  <si>
    <t>fishluv_3314</t>
  </si>
  <si>
    <t>fishluv_3315</t>
  </si>
  <si>
    <t>fishluv_3316</t>
  </si>
  <si>
    <t>fishluv_3317</t>
  </si>
  <si>
    <t>fishluv_3318</t>
  </si>
  <si>
    <t>fishluv_3319</t>
  </si>
  <si>
    <t>fishluv_3320</t>
  </si>
  <si>
    <t>fishluv_3321</t>
  </si>
  <si>
    <t>fishluv_3322</t>
  </si>
  <si>
    <t>fishluv_3323</t>
  </si>
  <si>
    <t>fishluv_3324</t>
  </si>
  <si>
    <t>fishluv_3325</t>
  </si>
  <si>
    <t>fishluv_3326</t>
  </si>
  <si>
    <t>fishluv_3327</t>
  </si>
  <si>
    <t>fishluv_3328</t>
  </si>
  <si>
    <t>fishluv_3329</t>
  </si>
  <si>
    <t>fishluv_3330</t>
  </si>
  <si>
    <t>fishluv_3331</t>
  </si>
  <si>
    <t>fishluv_3332</t>
  </si>
  <si>
    <t>fishluv_3333</t>
  </si>
  <si>
    <t>fishluv_3334</t>
  </si>
  <si>
    <t>fishluv_3335</t>
  </si>
  <si>
    <t>fishluv_3336</t>
  </si>
  <si>
    <t>fishluv_3337</t>
  </si>
  <si>
    <t>fishluv_3338</t>
  </si>
  <si>
    <t>fishluv_3339</t>
  </si>
  <si>
    <t>fishluv_3340</t>
  </si>
  <si>
    <t>fishluv_3341</t>
  </si>
  <si>
    <t>fishluv_3342</t>
  </si>
  <si>
    <t>fishluv_3343</t>
  </si>
  <si>
    <t>fishluv_3344</t>
  </si>
  <si>
    <t>fishluv_3345</t>
  </si>
  <si>
    <t>fishluv_3346</t>
  </si>
  <si>
    <t>fishluv_3347</t>
  </si>
  <si>
    <t>fishluv_3348</t>
  </si>
  <si>
    <t>fishluv_3349</t>
  </si>
  <si>
    <t>fishluv_3350</t>
  </si>
  <si>
    <t>fishluv_3351</t>
  </si>
  <si>
    <t>fishluv_3352</t>
  </si>
  <si>
    <t>fishluv_3353</t>
  </si>
  <si>
    <t>fishluv_3354</t>
  </si>
  <si>
    <t>fishluv_3355</t>
  </si>
  <si>
    <t>fishluv_3356</t>
  </si>
  <si>
    <t>fishluv_3357</t>
  </si>
  <si>
    <t>fishluv_3358</t>
  </si>
  <si>
    <t>fishluv_3359</t>
  </si>
  <si>
    <t>fishluv_3360</t>
  </si>
  <si>
    <t>fishluv_3361</t>
  </si>
  <si>
    <t>fishluv_3362</t>
  </si>
  <si>
    <t>fishluv_3363</t>
  </si>
  <si>
    <t>fishluv_3364</t>
  </si>
  <si>
    <t>fishluv_3365</t>
  </si>
  <si>
    <t>fishluv_3366</t>
  </si>
  <si>
    <t>fishluv_3367</t>
  </si>
  <si>
    <t>fishluv_3368</t>
  </si>
  <si>
    <t>fishluv_3369</t>
  </si>
  <si>
    <t>fishluv_3370</t>
  </si>
  <si>
    <t>fishluv_3371</t>
  </si>
  <si>
    <t>fishluv_3372</t>
  </si>
  <si>
    <t>fishluv_3373</t>
  </si>
  <si>
    <t>fishluv_3374</t>
  </si>
  <si>
    <t>fishluv_3375</t>
  </si>
  <si>
    <t>fishluv_3376</t>
  </si>
  <si>
    <t>fishluv_3377</t>
  </si>
  <si>
    <t>fishluv_3378</t>
  </si>
  <si>
    <t>fishluv_3379</t>
  </si>
  <si>
    <t>fishluv_3380</t>
  </si>
  <si>
    <t>fishluv_3381</t>
  </si>
  <si>
    <t>fishluv_3382</t>
  </si>
  <si>
    <t>fishluv_3383</t>
  </si>
  <si>
    <t>fishluv_3384</t>
  </si>
  <si>
    <t>fishluv_3385</t>
  </si>
  <si>
    <t>fishluv_3386</t>
  </si>
  <si>
    <t>fishluv_3387</t>
  </si>
  <si>
    <t>fishluv_3388</t>
  </si>
  <si>
    <t>fishluv_3389</t>
  </si>
  <si>
    <t>fishluv_3390</t>
  </si>
  <si>
    <t>fishluv_3391</t>
  </si>
  <si>
    <t>fishluv_3392</t>
  </si>
  <si>
    <t>fishluv_3393</t>
  </si>
  <si>
    <t>fishluv_3394</t>
  </si>
  <si>
    <t>fishluv_3395</t>
  </si>
  <si>
    <t>fishluv_3396</t>
  </si>
  <si>
    <t>fishluv_3397</t>
  </si>
  <si>
    <t>fishluv_3398</t>
  </si>
  <si>
    <t>fishluv_3399</t>
  </si>
  <si>
    <t>fishluv_3400</t>
  </si>
  <si>
    <t>fishluv_3401</t>
  </si>
  <si>
    <t>fishluv_3402</t>
  </si>
  <si>
    <t>fishluv_3403</t>
  </si>
  <si>
    <t>fishluv_3404</t>
  </si>
  <si>
    <t>fishluv_3405</t>
  </si>
  <si>
    <t>fishluv_3406</t>
  </si>
  <si>
    <t>fishluv_3407</t>
  </si>
  <si>
    <t>fishluv_3408</t>
  </si>
  <si>
    <t>fishluv_3409</t>
  </si>
  <si>
    <t>fishluv_3410</t>
  </si>
  <si>
    <t>fishluv_3411</t>
  </si>
  <si>
    <t>fishluv_3412</t>
  </si>
  <si>
    <t>fishluv_3413</t>
  </si>
  <si>
    <t>fishluv_3414</t>
  </si>
  <si>
    <t>fishluv_3415</t>
  </si>
  <si>
    <t>fishluv_3416</t>
  </si>
  <si>
    <t>fishluv_3417</t>
  </si>
  <si>
    <t>fishluv_3418</t>
  </si>
  <si>
    <t>fishluv_3419</t>
  </si>
  <si>
    <t>fishluv_3420</t>
  </si>
  <si>
    <t>fishluv_3421</t>
  </si>
  <si>
    <t>fishluv_3422</t>
  </si>
  <si>
    <t>fishluv_3423</t>
  </si>
  <si>
    <t>fishluv_3424</t>
  </si>
  <si>
    <t>fishluv_3425</t>
  </si>
  <si>
    <t>fishluv_3426</t>
  </si>
  <si>
    <t>fishluv_3427</t>
  </si>
  <si>
    <t>fishluv_3428</t>
  </si>
  <si>
    <t>fishluv_3429</t>
  </si>
  <si>
    <t>fishluv_3430</t>
  </si>
  <si>
    <t>fishluv_3431</t>
  </si>
  <si>
    <t>fishluv_3432</t>
  </si>
  <si>
    <t>fishluv_3433</t>
  </si>
  <si>
    <t>fishluv_3434</t>
  </si>
  <si>
    <t>fishluv_3435</t>
  </si>
  <si>
    <t>fishluv_3436</t>
  </si>
  <si>
    <t>fishluv_3437</t>
  </si>
  <si>
    <t>fishluv_3438</t>
  </si>
  <si>
    <t>fishluv_3439</t>
  </si>
  <si>
    <t>fishluv_3440</t>
  </si>
  <si>
    <t>fishluv_3441</t>
  </si>
  <si>
    <t>fishluv_3442</t>
  </si>
  <si>
    <t>fishluv_3443</t>
  </si>
  <si>
    <t>fishluv_3444</t>
  </si>
  <si>
    <t>fishluv_3445</t>
  </si>
  <si>
    <t>fishluv_3446</t>
  </si>
  <si>
    <t>fishluv_3447</t>
  </si>
  <si>
    <t>fishluv_3448</t>
  </si>
  <si>
    <t>fishluv_3449</t>
  </si>
  <si>
    <t>fishluv_3450</t>
  </si>
  <si>
    <t>fishluv_3451</t>
  </si>
  <si>
    <t>fishluv_3452</t>
  </si>
  <si>
    <t>fishluv_3453</t>
  </si>
  <si>
    <t>fishluv_3454</t>
  </si>
  <si>
    <t>fishluv_3455</t>
  </si>
  <si>
    <t>fishluv_3456</t>
  </si>
  <si>
    <t>fishluv_3457</t>
  </si>
  <si>
    <t>fishluv_3458</t>
  </si>
  <si>
    <t>fishluv_3459</t>
  </si>
  <si>
    <t>fishluv_3460</t>
  </si>
  <si>
    <t>fishluv_3461</t>
  </si>
  <si>
    <t>fishluv_3462</t>
  </si>
  <si>
    <t>fishluv_3463</t>
  </si>
  <si>
    <t>等级下限</t>
    <phoneticPr fontId="4" type="noConversion"/>
  </si>
  <si>
    <t>等级上限</t>
    <phoneticPr fontId="4" type="noConversion"/>
  </si>
  <si>
    <t>卡牌品质0</t>
    <phoneticPr fontId="4" type="noConversion"/>
  </si>
  <si>
    <t>卡牌品质1</t>
  </si>
  <si>
    <t>卡牌品质2</t>
  </si>
  <si>
    <t>卡牌品质3</t>
  </si>
  <si>
    <t>竞技场等级</t>
    <phoneticPr fontId="4" type="noConversion"/>
  </si>
  <si>
    <t>威力</t>
    <phoneticPr fontId="4" type="noConversion"/>
  </si>
  <si>
    <t>人数</t>
    <phoneticPr fontId="4" type="noConversion"/>
  </si>
  <si>
    <t>竞技场等级人数</t>
    <phoneticPr fontId="4" type="noConversion"/>
  </si>
  <si>
    <t>累计人数</t>
    <phoneticPr fontId="4" type="noConversion"/>
  </si>
  <si>
    <t>1,1,1,2,1,2,1,1</t>
  </si>
  <si>
    <t>1,1,2,1,1,1,1,2</t>
  </si>
  <si>
    <t>1,1,1,1,2,1,2,1</t>
  </si>
  <si>
    <t>1,2,1,1,1,2,2,1</t>
  </si>
  <si>
    <t>1,1,2,1,1,2,1,1</t>
  </si>
  <si>
    <t>2,1,2,1,1,1,1,1</t>
  </si>
  <si>
    <t>1,2,1,1,1,1,1,2</t>
  </si>
  <si>
    <t>1,2,2,1,2,1,1,1</t>
  </si>
  <si>
    <t>1,1,2,1,2,1,1,1</t>
  </si>
  <si>
    <t>1,1,1,1,2,1,2,2</t>
  </si>
  <si>
    <t>1,1,1,1,1,1,2,2</t>
  </si>
  <si>
    <t>2,1,1,1,2,1,1,1</t>
  </si>
  <si>
    <t>1,2,1,2,1,1,1,1</t>
  </si>
  <si>
    <t>1,2,1,1,2,2,1,1</t>
  </si>
  <si>
    <t>1,2,1,1,1,1,2,1</t>
  </si>
  <si>
    <t>1,2,2,2,1,1,1,1</t>
  </si>
  <si>
    <t>1,1,2,1,1,1,2,1</t>
  </si>
  <si>
    <t>2,1,1,1,1,1,2,1</t>
  </si>
  <si>
    <t>1,1,1,1,2,1,1,2</t>
  </si>
  <si>
    <t>1,2,1,1,1,2,1,1</t>
  </si>
  <si>
    <t>1,1,1,2,2,1,1,2</t>
  </si>
  <si>
    <t>1,1,2,1,1,2,2,1</t>
  </si>
  <si>
    <t>1,1,1,1,1,2,2,1</t>
  </si>
  <si>
    <t>1,2,1,1,1,2,1,2</t>
  </si>
  <si>
    <t>1,1,2,1,2,1,2,1</t>
  </si>
  <si>
    <t>1,2,1,2,1,2,1,1</t>
  </si>
  <si>
    <t>1,1,3,1,3,1,1,1</t>
  </si>
  <si>
    <t>1,1,1,2,2,1,3,1</t>
  </si>
  <si>
    <t>1,2,2,1,1,1,1,2</t>
  </si>
  <si>
    <t>1,1,1,2,2,2,1,1</t>
  </si>
  <si>
    <t>1,1,1,1,1,2,2,2</t>
  </si>
  <si>
    <t>1,1,2,2,1,1,2,1</t>
  </si>
  <si>
    <t>1,1,2,2,1,2,1,1</t>
  </si>
  <si>
    <t>1,2,1,1,2,1,1,2</t>
  </si>
  <si>
    <t>1,1,1,1,3,2,1,1</t>
  </si>
  <si>
    <t>1,1,1,2,2,3,1,1</t>
  </si>
  <si>
    <t>1,1,1,2,1,1,3,2</t>
  </si>
  <si>
    <t>2,2,1,2,1,2,1,1</t>
  </si>
  <si>
    <t>1,1,1,3,1,1,2,1</t>
  </si>
  <si>
    <t>1,1,3,1,2,1,1,1</t>
  </si>
  <si>
    <t>1,1,1,3,1,1,1,1</t>
  </si>
  <si>
    <t>1,1,2,1,1,2,1,2</t>
  </si>
  <si>
    <t>1,1,1,2,3,3,1,2</t>
  </si>
  <si>
    <t>皇家巨人</t>
  </si>
  <si>
    <t>投枪哥布林</t>
    <phoneticPr fontId="4" type="noConversion"/>
  </si>
  <si>
    <t>1,1,2,1,2,2,1,1</t>
  </si>
  <si>
    <t>1,1,2,3,1,1,1,1</t>
  </si>
  <si>
    <t>1,1,1,1,1,2,3,1</t>
  </si>
  <si>
    <t>1,1,1,3,1,1,1,2</t>
  </si>
  <si>
    <t>1,1,1,1,1,1,3,1</t>
  </si>
  <si>
    <t>1,1,1,1,2,2,2,2</t>
  </si>
  <si>
    <t>1,1,1,2,1,3,1,1</t>
  </si>
  <si>
    <t>1,3,1,2,2,1,1,1</t>
  </si>
  <si>
    <t>大皮卡</t>
    <phoneticPr fontId="4" type="noConversion"/>
  </si>
  <si>
    <t>1,1,2,2,2,1,1,1</t>
  </si>
  <si>
    <t>1,1,1,2,1,2,2,1</t>
  </si>
  <si>
    <t>1,1,1,3,1,1,2,2</t>
  </si>
  <si>
    <t>1,1,2,1,1,3,2,1</t>
  </si>
  <si>
    <t>1,1,1,2,1,1,3,1</t>
  </si>
  <si>
    <t>1,2,1,1,3,1,1,1</t>
  </si>
  <si>
    <t>1,2,2,1,2,2,2,1</t>
  </si>
  <si>
    <t>1,1,3,2,3,1,1,2</t>
  </si>
  <si>
    <t>1,1,1,3,2,2,2,1</t>
  </si>
  <si>
    <t>1,1,1,1,2,4,3,3</t>
  </si>
  <si>
    <t>1,1,1,1,2,2,3,4</t>
  </si>
  <si>
    <t>1,1,2,1,2,3,3,1</t>
  </si>
  <si>
    <t>1,2,2,1,2,1,2,2</t>
  </si>
  <si>
    <t>1,1,2,1,1,2,2,3</t>
  </si>
  <si>
    <t>1,1,1,2,1,2,1,2</t>
  </si>
  <si>
    <t>2,1,2,1,1,1,1,2</t>
  </si>
  <si>
    <t>1,1,1,2,2,1,2,1</t>
  </si>
  <si>
    <t>1,2,3,1,1,1,2,1</t>
  </si>
  <si>
    <t>1,2,1,2,1,2,2,2</t>
  </si>
  <si>
    <t>1,1,1,1,3,2,3,1</t>
  </si>
  <si>
    <t>1,2,2,1,2,2,1,1</t>
  </si>
  <si>
    <t>1,2,1,2,2,2,1,1</t>
  </si>
  <si>
    <t>1,1,1,1,1,1,3,3</t>
  </si>
  <si>
    <t>1,2,1,1,2,2,2,1</t>
  </si>
  <si>
    <t>2,1,1,1,2,2,1,3</t>
  </si>
  <si>
    <t>1,2,1,2,2,3,3,2</t>
  </si>
  <si>
    <t>1,2,2,2,2,1,1,2</t>
  </si>
  <si>
    <t>1,1,1,2,2,1,2,2</t>
  </si>
  <si>
    <t>1,1,1,1,1,1,3,2</t>
  </si>
  <si>
    <t>1,1,1,3,2,2,1,3</t>
  </si>
  <si>
    <t>1,1,3,1,2,1,2,1</t>
  </si>
  <si>
    <t>1,1,3,2,2,1,3,1</t>
  </si>
  <si>
    <t>1,2,2,1,1,1,2,1</t>
  </si>
  <si>
    <t>1,1,2,1,2,2,1,2</t>
  </si>
  <si>
    <t>1,2,1,2,2,1,1,2</t>
  </si>
  <si>
    <t>1,1,2,3,1,1,2,1</t>
  </si>
  <si>
    <t>1,1,1,1,3,1,1,1</t>
  </si>
  <si>
    <t>1,1,3,2,1,3,1,1</t>
  </si>
  <si>
    <t>1,1,2,2,1,1,3,3</t>
  </si>
  <si>
    <t>2,1,1,2,1,2,1,2</t>
  </si>
  <si>
    <t>1,1,3,1,1,2,3,1</t>
  </si>
  <si>
    <t>1,2,2,1,1,1,2,2</t>
  </si>
  <si>
    <t>1,3,2,1,1,1,1,1</t>
  </si>
  <si>
    <t>2,1,1,1,1,1,3,2</t>
  </si>
  <si>
    <t>1,1,1,2,1,2,3,1</t>
  </si>
  <si>
    <t>1,1,3,1,1,2,1,3</t>
  </si>
  <si>
    <t>1,1,1,2,1,1,2,2</t>
  </si>
  <si>
    <t>1,1,1,3,2,1,1,1</t>
  </si>
  <si>
    <t>1,2,2,2,1,2,1,1</t>
  </si>
  <si>
    <t>1,2,1,1,2,3,1,2</t>
  </si>
  <si>
    <t>1,1,1,1,2,3,3,2</t>
  </si>
  <si>
    <t>1,1,1,1,2,3,2,1</t>
  </si>
  <si>
    <t>2,2,1,2,1,1,1,1</t>
  </si>
  <si>
    <t>1,1,2,1,2,1,2,2</t>
  </si>
  <si>
    <t>1,1,3,3,2,1,2,3</t>
  </si>
  <si>
    <t>1,1,1,3,3,1,1,2</t>
  </si>
  <si>
    <t>1,1,1,3,3,2,1,1</t>
  </si>
  <si>
    <t>1,1,3,3,1,2,1,1</t>
  </si>
  <si>
    <t>2,2,1,1,1,3,2,1</t>
  </si>
  <si>
    <t>2,2,1,1,1,2,1,2</t>
  </si>
  <si>
    <t>1,1,1,2,1,2,1,3</t>
  </si>
  <si>
    <t>1,2,1,4,4,4,1,2</t>
  </si>
  <si>
    <t>1,1,2,2,1,1,4,1</t>
  </si>
  <si>
    <t>1,1,1,1,1,4,4,4</t>
  </si>
  <si>
    <t>2,1,1,3,4,1,2,1</t>
  </si>
  <si>
    <t>1,2,1,3,2,2,4,3</t>
  </si>
  <si>
    <t>2,1,2,4,1,4,1,1</t>
  </si>
  <si>
    <t>1,1,2,1,2,2,4,4</t>
  </si>
  <si>
    <t>1,2,2,3,1,2,1,1</t>
  </si>
  <si>
    <t>1,1,2,1,1,1,2,2</t>
  </si>
  <si>
    <t>1,2,2,1,2,1,2,1</t>
  </si>
  <si>
    <t>1,1,2,1,2,3,2,4</t>
  </si>
  <si>
    <t>1,1,1,2,2,2,2,1</t>
  </si>
  <si>
    <t>1,2,2,1,1,4,1,1</t>
  </si>
  <si>
    <t>2,1,2,2,3,4,4,1</t>
  </si>
  <si>
    <t>1,1,1,3,3,1,3,2</t>
  </si>
  <si>
    <t>1,1,2,2,1,2,2,1</t>
  </si>
  <si>
    <t>1,1,1,2,1,2,4,2</t>
  </si>
  <si>
    <t>2,2,3,1,4,1,1,1</t>
  </si>
  <si>
    <t>1,1,3,1,2,2,2,1</t>
  </si>
  <si>
    <t>1,1,3,1,1,2,1,1</t>
  </si>
  <si>
    <t>2,2,1,1,2,2,1,2</t>
  </si>
  <si>
    <t>1,2,1,1,2,1,2,2</t>
  </si>
  <si>
    <t>1,1,2,1,3,1,3,1</t>
  </si>
  <si>
    <t>1,1,2,2,2,2,4,3</t>
  </si>
  <si>
    <t>1,2,3,1,3,2,3,3</t>
  </si>
  <si>
    <t>1,1,1,1,2,2,4,1</t>
  </si>
  <si>
    <t>1,1,1,1,2,1,4,1</t>
  </si>
  <si>
    <t>1,2,3,3,1,1,3,2</t>
  </si>
  <si>
    <t>14,5,109,16,12,13,101,2</t>
  </si>
  <si>
    <t>3,4,1,1,3,3,4,4</t>
  </si>
  <si>
    <t>2,2,2,3,4,1,1,1</t>
  </si>
  <si>
    <t>1,1,2,1,2,3,4,4</t>
  </si>
  <si>
    <t>2,1,3,3,1,4,3,3</t>
  </si>
  <si>
    <t>1,1,2,2,1,2,1,2</t>
  </si>
  <si>
    <t>1,2,1,1,2,3,2,2</t>
  </si>
  <si>
    <t>1,1,1,1,3,2,2,1</t>
  </si>
  <si>
    <t>1,1,1,2,1,2,3,2</t>
  </si>
  <si>
    <t>1,1,1,2,3,3,3,3</t>
  </si>
  <si>
    <t>1,1,2,4,2,3,3,2</t>
  </si>
  <si>
    <t>1,1,2,3,4,2,2,2</t>
  </si>
  <si>
    <t>1,1,1,3,3,3,4,3</t>
  </si>
  <si>
    <t>1,1,2,2,2,4,4,1</t>
  </si>
  <si>
    <t>1,1,2,1,3,3,3,4</t>
  </si>
  <si>
    <t>2,1,1,3,4,1,1,3</t>
  </si>
  <si>
    <t>1,1,3,1,2,2,1,2</t>
  </si>
  <si>
    <t>1,1,3,1,2,2,3,3</t>
  </si>
  <si>
    <t>1,1,2,1,1,3,3,4</t>
  </si>
  <si>
    <t>1,1,2,2,2,4,2,2</t>
  </si>
  <si>
    <t>1,2,2,1,2,2,3,3</t>
  </si>
  <si>
    <t>2,1,2,4,3,4,2,4</t>
  </si>
  <si>
    <t>1,2,1,2,2,3,2,2</t>
  </si>
  <si>
    <t>1,1,1,2,3,1,3,5</t>
  </si>
  <si>
    <t>1,1,1,3,2,2,3,3</t>
  </si>
  <si>
    <t>1,3,3,3,2,3,1,3</t>
  </si>
  <si>
    <t>1,1,2,2,3,2,4,2</t>
  </si>
  <si>
    <t>1,5,3,2,3,4,2,4</t>
  </si>
  <si>
    <t>2,3,1,2,5,2,5,3</t>
  </si>
  <si>
    <t>1,4,3,5,5,5,4,3</t>
  </si>
  <si>
    <t>1,1,4,3,4,5,3,4</t>
  </si>
  <si>
    <t>1,4,2,4,1,2,2,2</t>
  </si>
  <si>
    <t>1,1,2,3,4,4,2,4</t>
  </si>
  <si>
    <t>1,1,1,3,4,2,3,3</t>
  </si>
  <si>
    <t>1,1,3,1,5,4,3,2</t>
  </si>
  <si>
    <t>1,3,3,2,5,3,2,3</t>
  </si>
  <si>
    <t>1,1,1,3,2,3,3,5</t>
  </si>
  <si>
    <t>4,2,2,1,4,2,2,1</t>
  </si>
  <si>
    <t>1,3,2,3,2,4,3,2</t>
  </si>
  <si>
    <t>1,2,1,2,2,3,3,4</t>
  </si>
  <si>
    <t>2,1,4,4,3,2,2,2</t>
  </si>
  <si>
    <t>1,1,1,1,2,4,3,2</t>
  </si>
  <si>
    <t>1,4,3,3,4,3,3,2</t>
  </si>
  <si>
    <t>3,109,12,14,13,207,101,5</t>
  </si>
  <si>
    <t>5,1,4,4,3,4,3,3</t>
  </si>
  <si>
    <t>1,3,3,3,4,3,5,4</t>
  </si>
  <si>
    <t>3,4,4,3,1,1,4,3</t>
  </si>
  <si>
    <t>1,1,3,4,5,3,5,4</t>
  </si>
  <si>
    <t>28,5,2,109,12,14,1,4</t>
  </si>
  <si>
    <t>5,5,7,1,3,5,5,6</t>
  </si>
  <si>
    <t>6,4,5,4,6,2,6,7</t>
  </si>
  <si>
    <t>3,108,207,5,8,1,17,20</t>
  </si>
  <si>
    <t>7,2,5,7,7,7,2,3</t>
  </si>
  <si>
    <t>7,204,20,207,101,2,9,13</t>
  </si>
  <si>
    <t>6,6,2,6,7,6,8,6</t>
  </si>
  <si>
    <t>1,108,207,12,208,20,109,201</t>
  </si>
  <si>
    <t>8,3,5,6,6,3,3,6</t>
  </si>
  <si>
    <t>108,201,204,4,1,9,106,16</t>
  </si>
  <si>
    <t>2,6,5,7,7,8,2,2</t>
  </si>
  <si>
    <t>201,14,8,7,13,106,20,28</t>
  </si>
  <si>
    <t>9,6,9,6,6,2,2,6</t>
  </si>
  <si>
    <t>17,4,14,30,13,5,20,16</t>
  </si>
  <si>
    <t>3,14,30,1,207,109,5,4</t>
  </si>
  <si>
    <t>训练师2</t>
  </si>
  <si>
    <t>训练师3</t>
  </si>
  <si>
    <t>训练师4</t>
  </si>
  <si>
    <t>训练师5</t>
  </si>
  <si>
    <t>训练师6</t>
  </si>
  <si>
    <t>训练师7</t>
  </si>
  <si>
    <t>训练师8</t>
  </si>
  <si>
    <t>训练师9</t>
  </si>
  <si>
    <t>训练师10</t>
  </si>
  <si>
    <t>训练师11</t>
  </si>
  <si>
    <t>训练师12</t>
  </si>
  <si>
    <t>训练师13</t>
  </si>
  <si>
    <t>训练师14</t>
  </si>
  <si>
    <t>训练师15</t>
  </si>
  <si>
    <t>monsterName</t>
    <phoneticPr fontId="4" type="noConversion"/>
  </si>
  <si>
    <t>名称</t>
    <phoneticPr fontId="4" type="noConversion"/>
  </si>
  <si>
    <t>arenaLevel</t>
  </si>
  <si>
    <t>竞技场等级</t>
    <phoneticPr fontId="4" type="noConversion"/>
  </si>
  <si>
    <t>systemType</t>
  </si>
  <si>
    <t>系统种类</t>
    <phoneticPr fontId="4" type="noConversion"/>
  </si>
  <si>
    <t>towersLevel</t>
    <phoneticPr fontId="4" type="noConversion"/>
  </si>
  <si>
    <r>
      <t>u</t>
    </r>
    <r>
      <rPr>
        <sz val="11"/>
        <color indexed="8"/>
        <rFont val="宋体"/>
        <family val="3"/>
        <charset val="134"/>
      </rPr>
      <t>int16[]</t>
    </r>
    <phoneticPr fontId="4" type="noConversion"/>
  </si>
  <si>
    <r>
      <t>i</t>
    </r>
    <r>
      <rPr>
        <sz val="11"/>
        <color indexed="8"/>
        <rFont val="宋体"/>
        <family val="3"/>
        <charset val="134"/>
      </rPr>
      <t>nt32[]</t>
    </r>
    <phoneticPr fontId="4" type="noConversion"/>
  </si>
  <si>
    <t>塔牌</t>
    <phoneticPr fontId="4" type="noConversion"/>
  </si>
  <si>
    <t>塔牌等级</t>
    <phoneticPr fontId="4" type="noConversion"/>
  </si>
  <si>
    <t>301,302,302</t>
    <phoneticPr fontId="4" type="noConversion"/>
  </si>
  <si>
    <t>塔牌</t>
  </si>
  <si>
    <t>301,302,302</t>
  </si>
  <si>
    <t>1,1,1</t>
  </si>
  <si>
    <t>种类</t>
    <phoneticPr fontId="17" type="noConversion"/>
  </si>
  <si>
    <t>排骨</t>
  </si>
  <si>
    <t>梅赛</t>
    <phoneticPr fontId="17" type="noConversion"/>
  </si>
  <si>
    <t>花椰射手</t>
  </si>
  <si>
    <t>哈根</t>
  </si>
  <si>
    <t>兔小爷</t>
  </si>
  <si>
    <t>飞龙</t>
  </si>
  <si>
    <t>梅赛德斯</t>
  </si>
  <si>
    <t>哈根达斯</t>
    <phoneticPr fontId="17" type="noConversion"/>
  </si>
  <si>
    <t>16,5,101,13,4,30,17,20</t>
    <phoneticPr fontId="4" type="noConversion"/>
  </si>
  <si>
    <t>1,1,1,1,1,1,1,1</t>
    <phoneticPr fontId="4" type="noConversion"/>
  </si>
  <si>
    <t>34,35,36,37,38,39,40,41</t>
    <phoneticPr fontId="4" type="noConversion"/>
  </si>
  <si>
    <t>34,35,36,43,44,39,40,42</t>
    <phoneticPr fontId="4" type="noConversion"/>
  </si>
  <si>
    <t>哈根</t>
    <phoneticPr fontId="17" type="noConversion"/>
  </si>
  <si>
    <t>34,35,45,43,44,39,46,42</t>
    <phoneticPr fontId="4" type="noConversion"/>
  </si>
  <si>
    <t>34,35,45,43,44,39,47,42</t>
    <phoneticPr fontId="4" type="noConversion"/>
  </si>
  <si>
    <t>towers</t>
    <phoneticPr fontId="4" type="noConversion"/>
  </si>
  <si>
    <t>2,2,2</t>
  </si>
  <si>
    <t>3,3,3</t>
  </si>
  <si>
    <t>4,4,4</t>
  </si>
  <si>
    <t>5,5,5</t>
  </si>
  <si>
    <t>6,6,6</t>
  </si>
  <si>
    <t>7,7,7</t>
  </si>
  <si>
    <t>8,8,8</t>
  </si>
  <si>
    <t>9,9,9</t>
  </si>
  <si>
    <t>301,302,303</t>
  </si>
  <si>
    <t>301,302,304</t>
  </si>
  <si>
    <t>301,303,304</t>
  </si>
  <si>
    <t>301,303,303</t>
  </si>
  <si>
    <t>301,304,304</t>
  </si>
  <si>
    <t>scrawl</t>
    <phoneticPr fontId="4" type="noConversion"/>
  </si>
  <si>
    <t>拥有喷漆</t>
    <phoneticPr fontId="4" type="noConversion"/>
  </si>
  <si>
    <t>101,102</t>
  </si>
  <si>
    <t>101,102</t>
    <phoneticPr fontId="4" type="noConversion"/>
  </si>
  <si>
    <t>训练师1</t>
    <phoneticPr fontId="4" type="noConversion"/>
  </si>
  <si>
    <t>弗里德里希</t>
    <phoneticPr fontId="4" type="noConversion"/>
  </si>
  <si>
    <t>莫拉维克</t>
    <phoneticPr fontId="4" type="noConversion"/>
  </si>
  <si>
    <t>卡西尼</t>
    <phoneticPr fontId="4" type="noConversion"/>
  </si>
  <si>
    <t>卡尔·萨根</t>
    <phoneticPr fontId="4" type="noConversion"/>
  </si>
  <si>
    <t>奥托</t>
    <phoneticPr fontId="4" type="noConversion"/>
  </si>
  <si>
    <t>帕森斯</t>
    <phoneticPr fontId="4" type="noConversion"/>
  </si>
  <si>
    <t>狄塞尔</t>
    <phoneticPr fontId="4" type="noConversion"/>
  </si>
  <si>
    <t>莫尔斯</t>
    <phoneticPr fontId="4" type="noConversion"/>
  </si>
  <si>
    <t>towersLevel</t>
    <phoneticPr fontId="4" type="noConversion"/>
  </si>
  <si>
    <t>德拉克利特</t>
    <phoneticPr fontId="4" type="noConversion"/>
  </si>
  <si>
    <t>爱比克泰德</t>
    <phoneticPr fontId="4" type="noConversion"/>
  </si>
  <si>
    <t>西塞罗</t>
    <phoneticPr fontId="4" type="noConversion"/>
  </si>
  <si>
    <t>洛克</t>
    <phoneticPr fontId="4" type="noConversion"/>
  </si>
  <si>
    <t>波普</t>
    <phoneticPr fontId="4" type="noConversion"/>
  </si>
  <si>
    <t>斯宾诺莎</t>
    <phoneticPr fontId="4" type="noConversion"/>
  </si>
  <si>
    <t>弗雷格</t>
    <phoneticPr fontId="4" type="noConversion"/>
  </si>
  <si>
    <t>法里娅</t>
    <phoneticPr fontId="17" type="noConversion"/>
  </si>
  <si>
    <t>宝箱怪</t>
    <phoneticPr fontId="17" type="noConversion"/>
  </si>
  <si>
    <t>矿工技能卡</t>
    <phoneticPr fontId="17" type="noConversion"/>
  </si>
  <si>
    <t>回旋镖</t>
  </si>
  <si>
    <t>卡牌种类张数</t>
    <phoneticPr fontId="4" type="noConversion"/>
  </si>
  <si>
    <t>品质2</t>
  </si>
  <si>
    <t>品质3</t>
  </si>
  <si>
    <t>累加卡牌数</t>
    <phoneticPr fontId="4" type="noConversion"/>
  </si>
  <si>
    <t>简称</t>
    <phoneticPr fontId="4" type="noConversion"/>
  </si>
  <si>
    <t>数量上限</t>
    <phoneticPr fontId="4" type="noConversion"/>
  </si>
  <si>
    <t>平均数量</t>
    <phoneticPr fontId="4" type="noConversion"/>
  </si>
  <si>
    <t>假设品质1蓝色卡  数量上限=4  平均数量=1.5</t>
    <phoneticPr fontId="4" type="noConversion"/>
  </si>
  <si>
    <t>我设定 0张 1张 2张 3张 4张概率相同</t>
    <phoneticPr fontId="4" type="noConversion"/>
  </si>
  <si>
    <r>
      <t>则概率=</t>
    </r>
    <r>
      <rPr>
        <sz val="11"/>
        <color indexed="8"/>
        <rFont val="宋体"/>
        <family val="3"/>
        <charset val="134"/>
      </rPr>
      <t xml:space="preserve"> 1.5 / 张数之和</t>
    </r>
    <phoneticPr fontId="4" type="noConversion"/>
  </si>
  <si>
    <t>如果卡牌数量错误，则报错</t>
    <phoneticPr fontId="4" type="noConversion"/>
  </si>
  <si>
    <t>品质1</t>
    <phoneticPr fontId="4" type="noConversion"/>
  </si>
  <si>
    <t>103,13,101,7,2,5,1,4</t>
  </si>
  <si>
    <t>1,1,2,2,2,2,1,1</t>
  </si>
  <si>
    <t>1,2,2,2,1,2,2,1</t>
  </si>
  <si>
    <t>1,1,1,2,1,2,2,2</t>
  </si>
  <si>
    <t>1,1,1,2,2,2,2,2</t>
  </si>
  <si>
    <t>1,1,1,2,2,2,1,2</t>
  </si>
  <si>
    <t>1,1,1,2,1,1,2,1</t>
  </si>
  <si>
    <t>2,2,2,1,1,2,2,2</t>
  </si>
  <si>
    <t>1,1,2,1,2,2,2,1</t>
  </si>
  <si>
    <t>2,1,2,1,1,1,2,2</t>
  </si>
  <si>
    <t>1,2,1,2,1,2,2,1</t>
  </si>
  <si>
    <t>1,2,2,2,2,1,2,2</t>
  </si>
  <si>
    <t>1,1,2,2,1,1,1,2</t>
  </si>
  <si>
    <t>2,2,2,1,2,1,1,1</t>
  </si>
  <si>
    <t>1,2,1,2,1,1,1,2</t>
  </si>
  <si>
    <t>1,1,1,1,2,2,2,1</t>
  </si>
  <si>
    <t>1,1,2,2,2,1,1,2</t>
  </si>
  <si>
    <t>1,1,1,2,1,1,1,2</t>
  </si>
  <si>
    <t>1,2,1,1,2,1,1,1</t>
  </si>
  <si>
    <t>1,1,2,2,2,2,2,1</t>
  </si>
  <si>
    <t>1,1,1,1,2,2,1,1</t>
  </si>
  <si>
    <t>1,2,1,2,1,1,2,1</t>
  </si>
  <si>
    <t>1,2,2,2,1,2,1,2</t>
  </si>
  <si>
    <t>1,2,2,2,1,1,2,2</t>
  </si>
  <si>
    <t>1,2,1,1,1,1,2,2</t>
  </si>
  <si>
    <t>1,2,1,2,2,2,2,1</t>
  </si>
  <si>
    <t>1,2,2,1,1,2,2,1</t>
  </si>
  <si>
    <t>1,2,1,1,1,1,1,1</t>
  </si>
  <si>
    <t>1,2,2,2,1,1,2,1</t>
  </si>
  <si>
    <t>1,1,2,1,2,1,1,2</t>
  </si>
  <si>
    <t>1,1,2,2,1,2,2,2</t>
  </si>
  <si>
    <t>1,2,1,2,1,1,2,2</t>
  </si>
  <si>
    <t>1,1,2,2,2,2,2,2</t>
  </si>
  <si>
    <t>1,1,1,1,2,2,1,2</t>
  </si>
  <si>
    <t>1,1,2,2,2,1,2,1</t>
  </si>
  <si>
    <t>2,2,2,2,2,2,1,2</t>
  </si>
  <si>
    <t>1,2,2,1,2,2,1,2</t>
  </si>
  <si>
    <t>2,1,2,2,2,2,2,2</t>
  </si>
  <si>
    <t>1,2,1,1,2,2,1,2</t>
  </si>
  <si>
    <t>14,13,8,7,5,3,2,4</t>
  </si>
  <si>
    <t>1,2,2,2,2,2,1,2</t>
  </si>
  <si>
    <t>1,2,1,1,2,2,2,2</t>
  </si>
  <si>
    <t>1,1,2,1,1,1,1,1</t>
  </si>
  <si>
    <t>1,1,1,1,1,2,1,2</t>
  </si>
  <si>
    <t>1,2,1,2,2,2,2,2</t>
  </si>
  <si>
    <t>1,1,2,2,2,2,1,2</t>
  </si>
  <si>
    <t>1,2,2,1,1,1,1,1</t>
  </si>
  <si>
    <t>1,2,2,1,2,1,1,2</t>
  </si>
  <si>
    <t>1,1,1,2,2,1,1,1</t>
  </si>
  <si>
    <t>1,2,2,1,2,2,2,2</t>
  </si>
  <si>
    <t>1,2,2,2,2,1,1,1</t>
  </si>
  <si>
    <t>1,2,1,1,2,1,2,1</t>
  </si>
  <si>
    <t>1,1,2,1,1,2,2,2</t>
  </si>
  <si>
    <t>1,1,2,2,1,1,2,2</t>
  </si>
  <si>
    <t>1,2,1,2,2,1,1,1</t>
  </si>
  <si>
    <t>1,2,2,2,2,2,2,1</t>
  </si>
  <si>
    <t>1,2,2,2,2,2,2,2</t>
  </si>
  <si>
    <t>2,2,2,1,1,2,2,1</t>
  </si>
  <si>
    <t>2,2,1,1,1,1,2,1</t>
  </si>
  <si>
    <t>1,1,3,3,2,3,2,3</t>
  </si>
  <si>
    <t>1,1,1,1,3,1,2,3</t>
  </si>
  <si>
    <t>1,2,1,3,2,1,3,1</t>
  </si>
  <si>
    <t>1,3,1,2,3,2,2,2</t>
  </si>
  <si>
    <t>1,1,1,1,3,3,1,2</t>
  </si>
  <si>
    <t>2,2,2,2,2,1,2,2</t>
  </si>
  <si>
    <t>1,1,1,1,2,3,3,3</t>
  </si>
  <si>
    <t>1,1,1,2,2,3,2,3</t>
  </si>
  <si>
    <t>1,1,1,3,1,3,1,2</t>
  </si>
  <si>
    <t>1,1,1,1,1,3,1,3</t>
  </si>
  <si>
    <t>2,2,1,2,3,3,3,2</t>
  </si>
  <si>
    <t>1,1,3,3,2,2,3,2</t>
  </si>
  <si>
    <t>1,1,2,3,2,3,1,2</t>
  </si>
  <si>
    <t>1,1,3,1,3,3,3,3</t>
  </si>
  <si>
    <t>1,1,1,1,3,3,2,3</t>
  </si>
  <si>
    <t>1,1,2,3,2,1,3,2</t>
  </si>
  <si>
    <t>1,1,1,3,3,2,1,3</t>
  </si>
  <si>
    <t>1,1,3,1,2,3,3,3</t>
  </si>
  <si>
    <t>1,3,2,2,2,2,2,1</t>
  </si>
  <si>
    <t>19,101,8,7,3,5,1,2</t>
  </si>
  <si>
    <t>1,2,1,3,1,3,1,3</t>
  </si>
  <si>
    <t>1,1,1,1,1,3,3,1</t>
  </si>
  <si>
    <t>1,1,1,1,2,1,2,3</t>
  </si>
  <si>
    <t>1,1,2,2,3,2,3,3</t>
  </si>
  <si>
    <t>1,1,1,1,2,1,3,2</t>
  </si>
  <si>
    <t>1,1,1,3,2,3,2,3</t>
  </si>
  <si>
    <t>1,1,1,3,1,3,3,1</t>
  </si>
  <si>
    <t>1,1,1,3,3,1,2,3</t>
  </si>
  <si>
    <t>1,1,1,3,3,2,1,2</t>
  </si>
  <si>
    <t>1,1,1,3,3,2,2,3</t>
  </si>
  <si>
    <t>1,1,1,2,1,3,2,2</t>
  </si>
  <si>
    <t>1,1,3,3,3,2,3,2</t>
  </si>
  <si>
    <t>1,1,2,2,2,1,2,2</t>
  </si>
  <si>
    <t>1,3,2,3,1,3,3,1</t>
  </si>
  <si>
    <t>1,1,1,2,2,3,3,2</t>
  </si>
  <si>
    <t>3,1,101,5,8,7,4,2</t>
  </si>
  <si>
    <t>1,1,1,3,3,2,3,1</t>
  </si>
  <si>
    <t>1,1,2,3,2,1,2,2</t>
  </si>
  <si>
    <t>1,1,1,3,1,1,2,3</t>
  </si>
  <si>
    <t>1,1,1,1,2,2,3,2</t>
  </si>
  <si>
    <t>3,2,2,2,3,3,2,2</t>
  </si>
  <si>
    <t>1,2,2,3,3,3,3,3</t>
  </si>
  <si>
    <t>1,1,1,3,1,2,3,1</t>
  </si>
  <si>
    <t>1,1,1,3,2,2,2,3</t>
  </si>
  <si>
    <t>1,1,1,1,3,1,3,3</t>
  </si>
  <si>
    <t>1,1,1,1,1,3,3,3</t>
  </si>
  <si>
    <t>1,1,3,3,1,2,2,3</t>
  </si>
  <si>
    <t>1,1,1,3,2,2,2,2</t>
  </si>
  <si>
    <t>1,2,3,2,1,2,3,2</t>
  </si>
  <si>
    <t>1,1,1,2,1,3,2,3</t>
  </si>
  <si>
    <t>1,1,1,3,1,2,2,1</t>
  </si>
  <si>
    <t>1,1,3,3,2,3,1,1</t>
  </si>
  <si>
    <t>1,1,1,3,2,3,2,2</t>
  </si>
  <si>
    <t>1,1,1,2,3,2,3,1</t>
  </si>
  <si>
    <t>1,1,1,1,3,3,2,1</t>
  </si>
  <si>
    <t>1,1,1,1,2,2,2,3</t>
  </si>
  <si>
    <t>1,3,2,1,1,2,3,1</t>
  </si>
  <si>
    <t>1,1,1,1,1,3,1,1</t>
  </si>
  <si>
    <t>1,1,2,3,1,1,3,1</t>
  </si>
  <si>
    <t>14,1,5,101,7,4,3,2</t>
  </si>
  <si>
    <t>1,1,1,3,2,2,3,2</t>
  </si>
  <si>
    <t>1,1,1,3,2,3,3,2</t>
  </si>
  <si>
    <t>1,1,1,3,3,3,2,3</t>
  </si>
  <si>
    <t>1,1,1,3,3,2,3,2</t>
  </si>
  <si>
    <t>1,2,3,3,2,2,2,3</t>
  </si>
  <si>
    <t>3,3,3,3,2,3,2,2</t>
  </si>
  <si>
    <t>1,1,1,1,3,2,3,2</t>
  </si>
  <si>
    <t>2,2,2,2,3,2,3,2</t>
  </si>
  <si>
    <t>1,1,2,3,3,2,2,2</t>
  </si>
  <si>
    <t>1,1,3,3,2,2,2,2</t>
  </si>
  <si>
    <t>1,1,2,3,3,2,2,3</t>
  </si>
  <si>
    <t>1,1,2,2,2,3,2,3</t>
  </si>
  <si>
    <t>1,1,2,3,3,2,3,2</t>
  </si>
  <si>
    <t>1,1,1,3,3,2,3,3</t>
  </si>
  <si>
    <t>1,1,3,2,2,2,3,3</t>
  </si>
  <si>
    <t>1,2,2,3,3,2,2,2</t>
  </si>
  <si>
    <t>1,2,2,2,3,3,2,3</t>
  </si>
  <si>
    <t>1,1,3,3,2,2,3,3</t>
  </si>
  <si>
    <t>1,1,3,2,2,3,2,2</t>
  </si>
  <si>
    <t>1,1,1,2,2,2,2,3</t>
  </si>
  <si>
    <t>1,1,3,3,3,3,3,2</t>
  </si>
  <si>
    <t>1,2,2,2,3,2,3,3</t>
  </si>
  <si>
    <t>2,2,2,2,2,3,3,3</t>
  </si>
  <si>
    <t>1,2,2,3,2,3,3,3</t>
  </si>
  <si>
    <t>1,1,2,2,2,3,2,2</t>
  </si>
  <si>
    <t>1,1,2,3,3,3,3,2</t>
  </si>
  <si>
    <t>1,1,1,3,3,3,3,2</t>
  </si>
  <si>
    <t>1,1,1,2,2,3,3,3</t>
  </si>
  <si>
    <t>1,1,2,2,3,3,3,3</t>
  </si>
  <si>
    <t>1,1,1,2,2,3,2,2</t>
  </si>
  <si>
    <t>1,1,2,2,3,2,2,3</t>
  </si>
  <si>
    <t>1,1,3,2,3,3,2,2</t>
  </si>
  <si>
    <t>3,101,4,8,2,7,1,5</t>
  </si>
  <si>
    <t>1,2,2,2,3,2,3,2</t>
  </si>
  <si>
    <t>1,1,2,2,2,2,2,3</t>
  </si>
  <si>
    <t>2,2,2,2,2,2,3,3</t>
  </si>
  <si>
    <t>1,2,2,3,3,3,2,2</t>
  </si>
  <si>
    <t>1,1,2,2,3,3,2,2</t>
  </si>
  <si>
    <t>1,1,1,1,3,2,2,3</t>
  </si>
  <si>
    <t>1,1,3,3,2,3,3,3</t>
  </si>
  <si>
    <t>2,2,2,2,3,3,2,2</t>
  </si>
  <si>
    <t>1,1,2,3,2,3,2,3</t>
  </si>
  <si>
    <t>1,1,3,2,2,2,2,3</t>
  </si>
  <si>
    <t>1,2,2,2,3,3,3,3</t>
  </si>
  <si>
    <t>1,1,2,2,2,3,3,3</t>
  </si>
  <si>
    <t>1,1,2,2,3,3,3,2</t>
  </si>
  <si>
    <t>2,3,3,3,3,3,2,2</t>
  </si>
  <si>
    <t>1,2,2,3,3,3,2,3</t>
  </si>
  <si>
    <t>1,1,2,3,2,2,2,3</t>
  </si>
  <si>
    <t>1,1,2,3,3,3,2,2</t>
  </si>
  <si>
    <t>1,1,1,2,3,2,2,3</t>
  </si>
  <si>
    <t>1,1,1,1,1,3,2,2</t>
  </si>
  <si>
    <t>1,1,1,3,3,3,2,2</t>
  </si>
  <si>
    <t>1,1,1,2,3,3,2,2</t>
  </si>
  <si>
    <t>1,1,3,2,2,3,3,3</t>
  </si>
  <si>
    <t>1,2,3,3,3,3,3,3</t>
  </si>
  <si>
    <t>1,1,1,1,2,3,2,3</t>
  </si>
  <si>
    <t>1,1,2,2,2,2,3,3</t>
  </si>
  <si>
    <t>1,2,2,2,2,2,3,2</t>
  </si>
  <si>
    <t>1,1,1,1,2,3,2,2</t>
  </si>
  <si>
    <t>1,1,2,3,3,3,3,3</t>
  </si>
  <si>
    <t>1,1,3,2,3,3,2,3</t>
  </si>
  <si>
    <t>1,2,2,2,2,3,3,3</t>
  </si>
  <si>
    <t>1,2,3,3,3,3,2,3</t>
  </si>
  <si>
    <t>1,1,1,1,3,3,3,2</t>
  </si>
  <si>
    <t>1,1,3,3,3,2,2,3</t>
  </si>
  <si>
    <t>1,1,1,2,3,2,2,2</t>
  </si>
  <si>
    <t>1,1,1,3,3,3,3,3</t>
  </si>
  <si>
    <t>1,1,2,2,3,2,3,2</t>
  </si>
  <si>
    <t>1,1,3,2,3,2,3,2</t>
  </si>
  <si>
    <t>1,1,2,3,2,3,3,3</t>
  </si>
  <si>
    <t>8,101,3,4,2,7,1,5</t>
  </si>
  <si>
    <t>1,1,3,2,3,3,3,3</t>
  </si>
  <si>
    <t>1,1,2,2,2,2,3,2</t>
  </si>
  <si>
    <t>1,1,1,1,3,3,3,3</t>
  </si>
  <si>
    <t>2,2,2,3,3,2,2,3</t>
  </si>
  <si>
    <t>1,1,1,2,2,2,3,2</t>
  </si>
  <si>
    <t>1,2,2,2,3,3,2,2</t>
  </si>
  <si>
    <t>1,1,1,1,1,2,3,3</t>
  </si>
  <si>
    <t>1,3,2,2,2,2,2,2</t>
  </si>
  <si>
    <t>1,1,2,3,3,2,3,3</t>
  </si>
  <si>
    <t>1,1,1,1,3,2,3,3</t>
  </si>
  <si>
    <t>2,2,2,3,3,3,2,2</t>
  </si>
  <si>
    <t>1,2,2,2,2,2,2,3</t>
  </si>
  <si>
    <t>1,2,2,2,2,3,2,3</t>
  </si>
  <si>
    <t>1,3,2,3,2,2,3,2</t>
  </si>
  <si>
    <t>101,4,2,5,3,1,8,7</t>
  </si>
  <si>
    <t>1,1,1,3,2,3,3,3</t>
  </si>
  <si>
    <t>1,3,3,2,2,2,2,3</t>
  </si>
  <si>
    <t>1,1,1,2,2,2,3,3</t>
  </si>
  <si>
    <t>3,3,3,2,3,3,3,2</t>
  </si>
  <si>
    <t>2,3,2,3,2,2,2,2</t>
  </si>
  <si>
    <t>1,1,2,3,2,2,3,3</t>
  </si>
  <si>
    <t>1,1,3,2,3,2,2,2</t>
  </si>
  <si>
    <t>1,1,1,2,3,3,2,3</t>
  </si>
  <si>
    <t>1,1,2,3,4,3,2,4</t>
  </si>
  <si>
    <t>1,1,2,2,3,4,2,4</t>
  </si>
  <si>
    <t>1,1,2,1,1,4,2,4</t>
  </si>
  <si>
    <t>1,1,3,2,4,2,4,4</t>
  </si>
  <si>
    <t>1,4,4,2,2,3,2,4</t>
  </si>
  <si>
    <t>1,1,2,3,4,3,3,2</t>
  </si>
  <si>
    <t>1,1,2,1,2,4,4,2</t>
  </si>
  <si>
    <t>1,2,4,2,3,3,4,3</t>
  </si>
  <si>
    <t>1,2,1,2,4,4,4,4</t>
  </si>
  <si>
    <t>1,1,3,4,2,4,4,4</t>
  </si>
  <si>
    <t>1,1,2,3,4,3,2,2</t>
  </si>
  <si>
    <t>1,1,2,2,4,3,4,3</t>
  </si>
  <si>
    <t>2,1,2,2,3,3,3,2</t>
  </si>
  <si>
    <t>1,2,3,2,3,4,2,2</t>
  </si>
  <si>
    <t>1,1,2,2,3,4,3,3</t>
  </si>
  <si>
    <t>1,1,2,2,2,4,2,4</t>
  </si>
  <si>
    <t>1,4,3,3,3,4,3,4</t>
  </si>
  <si>
    <t>2,3,4,4,4,3,3,3</t>
  </si>
  <si>
    <t>1,2,2,3,4,2,2,2</t>
  </si>
  <si>
    <t>1,1,3,4,4,4,4,2</t>
  </si>
  <si>
    <t>1,2,3,3,4,2,2,2</t>
  </si>
  <si>
    <t>1,1,2,2,4,3,3,3</t>
  </si>
  <si>
    <t>1,2,3,2,4,4,2,4</t>
  </si>
  <si>
    <t>1,1,2,2,3,4,2,2</t>
  </si>
  <si>
    <t>1,1,3,2,3,4,3,4</t>
  </si>
  <si>
    <t>1,1,4,3,4,4,4,3</t>
  </si>
  <si>
    <t>1,1,3,3,2,3,4,3</t>
  </si>
  <si>
    <t>1,1,2,2,4,2,4,4</t>
  </si>
  <si>
    <t>1,1,1,2,2,4,2,2</t>
  </si>
  <si>
    <t>2,2,1,4,4,4,4,4</t>
  </si>
  <si>
    <t>1,2,3,3,3,2,3,3</t>
  </si>
  <si>
    <t>1,1,1,2,3,4,2,2</t>
  </si>
  <si>
    <t>1,1,2,2,2,4,4,2</t>
  </si>
  <si>
    <t>1,2,4,3,4,3,2,3</t>
  </si>
  <si>
    <t>1,2,1,4,3,3,3,2</t>
  </si>
  <si>
    <t>7,1,101,4,8,2,3,5</t>
  </si>
  <si>
    <t>1,1,3,4,4,2,4,4</t>
  </si>
  <si>
    <t>1,1,1,2,4,2,3,3</t>
  </si>
  <si>
    <t>2,1,2,2,4,2,4,2</t>
  </si>
  <si>
    <t>1,2,2,4,2,4,3,4</t>
  </si>
  <si>
    <t>1,3,3,3,4,4,4,2</t>
  </si>
  <si>
    <t>1,1,3,3,4,3,2,2</t>
  </si>
  <si>
    <t>1,2,2,2,2,4,2,2</t>
  </si>
  <si>
    <t>1,4,4,3,2,4,3,2</t>
  </si>
  <si>
    <t>1,1,2,3,3,4,3,4</t>
  </si>
  <si>
    <t>2,2,3,4,2,4,2,3</t>
  </si>
  <si>
    <t>1,1,3,2,4,2,3,4</t>
  </si>
  <si>
    <t>1,1,3,3,2,2,3,4</t>
  </si>
  <si>
    <t>1,1,1,2,1,3,3,2</t>
  </si>
  <si>
    <t>2,2,2,2,3,2,2,4</t>
  </si>
  <si>
    <t>2,1,2,3,2,3,3,4</t>
  </si>
  <si>
    <t>1,1,2,4,4,2,3,3</t>
  </si>
  <si>
    <t>2,4,2,2,4,2,4,4</t>
  </si>
  <si>
    <t>1,2,3,4,2,4,2,3</t>
  </si>
  <si>
    <t>2,4,4,2,4,2,3,3</t>
  </si>
  <si>
    <t>1,1,2,1,1,3,2,2</t>
  </si>
  <si>
    <t>2,2,2,2,4,4,3,2</t>
  </si>
  <si>
    <t>1,1,1,2,2,3,4,2</t>
  </si>
  <si>
    <t>2,2,1,4,3,2,2,3</t>
  </si>
  <si>
    <t>1,1,2,3,3,3,3,4</t>
  </si>
  <si>
    <t>1,1,2,4,4,3,2,3</t>
  </si>
  <si>
    <t>2,2,1,3,3,2,2,3</t>
  </si>
  <si>
    <t>1,1,2,2,4,2,4,2</t>
  </si>
  <si>
    <t>2,2,4,4,4,3,4,2</t>
  </si>
  <si>
    <t>1,1,1,3,3,4,4,3</t>
  </si>
  <si>
    <t>1,2,3,4,4,2,4,2</t>
  </si>
  <si>
    <t>3,3,3,3,4,4,3,4</t>
  </si>
  <si>
    <t>1,4,4,3,3,4,3,3</t>
  </si>
  <si>
    <t>2,2,3,2,4,2,4,2</t>
  </si>
  <si>
    <t>2,3,2,3,4,3,4,3</t>
  </si>
  <si>
    <t>1,1,2,4,3,2,3,4</t>
  </si>
  <si>
    <t>2,1,3,2,2,4,4,4</t>
  </si>
  <si>
    <t>2,1,2,3,3,4,3,2</t>
  </si>
  <si>
    <t>2,1,2,4,4,3,4,2</t>
  </si>
  <si>
    <t>1,1,2,2,2,3,4,4</t>
  </si>
  <si>
    <t>1,2,2,2,4,3,4,4</t>
  </si>
  <si>
    <t>1,1,2,3,4,3,2,3</t>
  </si>
  <si>
    <t>1,1,1,1,2,4,2,3</t>
  </si>
  <si>
    <t>1,2,2,2,3,2,2,2</t>
  </si>
  <si>
    <t>2,1,2,3,2,2,4,2</t>
  </si>
  <si>
    <t>1,1,2,3,4,2,4,2</t>
  </si>
  <si>
    <t>1,1,2,3,3,2,4,2</t>
  </si>
  <si>
    <t>2,2,2,3,4,3,2,3</t>
  </si>
  <si>
    <t>1,2,3,4,4,2,2,4</t>
  </si>
  <si>
    <t>1,2,1,2,2,4,4,4</t>
  </si>
  <si>
    <t>1,1,1,2,2,4,3,4</t>
  </si>
  <si>
    <t>1,1,2,2,3,4,3,4</t>
  </si>
  <si>
    <t>1,2,4,2,2,3,4,2</t>
  </si>
  <si>
    <t>1,2,2,2,3,4,3,3</t>
  </si>
  <si>
    <t>2,2,2,4,4,2,2,3</t>
  </si>
  <si>
    <t>2,2,2,3,2,4,2,2</t>
  </si>
  <si>
    <t>1,1,2,2,3,3,4,4</t>
  </si>
  <si>
    <t>1,1,2,2,2,4,3,4</t>
  </si>
  <si>
    <t>1,1,2,4,4,4,2,2</t>
  </si>
  <si>
    <t>1,1,2,2,4,4,3,2</t>
  </si>
  <si>
    <t>3,3,5,4,4,3,5,3</t>
  </si>
  <si>
    <t>3,5,3,5,5,4,4,3</t>
  </si>
  <si>
    <t>1,1,3,4,5,5,5,4</t>
  </si>
  <si>
    <t>1,1,3,5,4,4,3,4</t>
  </si>
  <si>
    <t>1,3,5,3,5,4,4,5</t>
  </si>
  <si>
    <t>4,5,3,4,4,3,4,3</t>
  </si>
  <si>
    <t>1,1,3,4,5,3,3,4</t>
  </si>
  <si>
    <t>3,5,5,5,4,3,5,5</t>
  </si>
  <si>
    <t>1,1,3,3,3,5,3,4</t>
  </si>
  <si>
    <t>1,3,5,3,5,5,5,4</t>
  </si>
  <si>
    <t>1,3,3,4,5,4,5,5</t>
  </si>
  <si>
    <t>1,1,2,5,3,5,5,4</t>
  </si>
  <si>
    <t>1,1,3,3,3,5,3,3</t>
  </si>
  <si>
    <t>1,1,3,3,4,5,4,4</t>
  </si>
  <si>
    <t>1,1,3,3,4,4,3,5</t>
  </si>
  <si>
    <t>5,5,5,4,4,5,4,4</t>
  </si>
  <si>
    <t>2,1,3,4,3,4,4,5</t>
  </si>
  <si>
    <t>4,8,2,7,3,101,1,5</t>
  </si>
  <si>
    <t>1,1,4,4,4,4,3,3</t>
  </si>
  <si>
    <t>1,2,3,1,3,4,5,3</t>
  </si>
  <si>
    <t>1,1,4,4,4,5,3,5</t>
  </si>
  <si>
    <t>1,1,1,4,3,3,4,3</t>
  </si>
  <si>
    <t>1,1,5,3,3,5,4,3</t>
  </si>
  <si>
    <t>1,1,3,3,4,4,6,4</t>
  </si>
  <si>
    <t>1,1,3,2,3,3,5,5</t>
  </si>
  <si>
    <t>1,1,3,4,3,5,3,4</t>
  </si>
  <si>
    <t>13,14,101,4,3,5,2,1</t>
  </si>
  <si>
    <t>14,101,5,8,4,7,3,2</t>
  </si>
  <si>
    <t>1,2,2,1,1,2,1,1</t>
  </si>
  <si>
    <t>2,1,2,2,2,1,1,2</t>
  </si>
  <si>
    <t>1,2,1,2,2,2,1,2</t>
  </si>
  <si>
    <t>1,2,1,1,1,2,2,2</t>
  </si>
  <si>
    <t>2,2,2,1,1,1,2,1</t>
  </si>
  <si>
    <t>1,2,2,2,1,1,1,2</t>
  </si>
  <si>
    <t>1,1,2,1,2,2,2,2</t>
  </si>
  <si>
    <t>2,2,2,2,1,2,2,1</t>
  </si>
  <si>
    <t>2,2,2,2,2,2,2,1</t>
  </si>
  <si>
    <t>1,2,2,1,1,2,2,2</t>
  </si>
  <si>
    <t>4,2,8,7,5,101,1,3</t>
  </si>
  <si>
    <t>1,2,2,2,2,1,2,1</t>
  </si>
  <si>
    <t>2,2,2,1,2,2,2,1</t>
  </si>
  <si>
    <t>1,1,1,2,3,2,1,3</t>
  </si>
  <si>
    <t>1,3,3,1,2,3,2,1</t>
  </si>
  <si>
    <t>1,1,1,2,3,1,3,1</t>
  </si>
  <si>
    <t>1,1,1,3,2,2,1,1</t>
  </si>
  <si>
    <t>1,1,1,2,3,2,1,1</t>
  </si>
  <si>
    <t>1,1,1,1,1,2,1,3</t>
  </si>
  <si>
    <t>1,1,1,3,1,3,1,3</t>
  </si>
  <si>
    <t>1,1,3,3,1,2,3,3</t>
  </si>
  <si>
    <t>1,3,3,2,2,1,1,2</t>
  </si>
  <si>
    <t>1,1,2,2,1,2,3,3</t>
  </si>
  <si>
    <t>1,1,1,3,2,2,3,1</t>
  </si>
  <si>
    <t>1,1,1,3,2,1,2,1</t>
  </si>
  <si>
    <t>1,1,2,3,2,1,3,3</t>
  </si>
  <si>
    <t>1,1,1,3,3,3,1,1</t>
  </si>
  <si>
    <t>2,2,2,2,2,3,2,2</t>
  </si>
  <si>
    <t>1,2,3,1,3,2,2,1</t>
  </si>
  <si>
    <t>1,1,1,3,2,3,2,1</t>
  </si>
  <si>
    <t>1,1,2,1,3,3,3,3</t>
  </si>
  <si>
    <t>1,1,1,2,3,3,1,3</t>
  </si>
  <si>
    <t>1,1,1,3,2,1,3,1</t>
  </si>
  <si>
    <t>1,1,2,3,3,1,3,1</t>
  </si>
  <si>
    <t>1,1,1,1,2,2,1,3</t>
  </si>
  <si>
    <t>1,1,1,1,3,3,1,1</t>
  </si>
  <si>
    <t>1,1,1,3,1,1,3,3</t>
  </si>
  <si>
    <t>1,1,3,2,1,1,3,2</t>
  </si>
  <si>
    <t>1,1,1,2,1,1,2,3</t>
  </si>
  <si>
    <t>1,1,1,3,2,1,3,3</t>
  </si>
  <si>
    <t>1,1,1,1,3,2,1,2</t>
  </si>
  <si>
    <t>1,1,1,3,1,1,3,1</t>
  </si>
  <si>
    <t>2,3,1,3,3,2,3,3</t>
  </si>
  <si>
    <t>1,1,1,3,1,3,3,2</t>
  </si>
  <si>
    <t>1,1,1,2,1,2,2,3</t>
  </si>
  <si>
    <t>1,1,3,2,2,3,2,1</t>
  </si>
  <si>
    <t>1,1,1,2,3,1,1,2</t>
  </si>
  <si>
    <t>1,1,1,1,2,3,1,1</t>
  </si>
  <si>
    <t>1,1,3,1,2,1,1,3</t>
  </si>
  <si>
    <t>1,1,1,2,3,3,2,1</t>
  </si>
  <si>
    <t>1,1,3,3,2,3,1,3</t>
  </si>
  <si>
    <t>1,2,2,1,3,1,2,3</t>
  </si>
  <si>
    <t>1,1,3,3,1,2,1,3</t>
  </si>
  <si>
    <t>1,1,3,2,1,3,3,3</t>
  </si>
  <si>
    <t>7,5,101,8,2,4,3,1</t>
  </si>
  <si>
    <t>2,3,1,101,8,7,4,5</t>
  </si>
  <si>
    <t>1,1,1,2,3,2,3,2</t>
  </si>
  <si>
    <t>1,1,3,1,3,3,2,3</t>
  </si>
  <si>
    <t>1,2,2,3,3,3,3,2</t>
  </si>
  <si>
    <t>1,1,2,3,1,3,2,2</t>
  </si>
  <si>
    <t>1,1,2,2,2,1,2,3</t>
  </si>
  <si>
    <t>1,1,1,3,2,1,2,2</t>
  </si>
  <si>
    <t>1,1,3,2,3,1,2,3</t>
  </si>
  <si>
    <t>1,2,1,2,2,3,3,1</t>
  </si>
  <si>
    <t>1,1,3,1,3,1,1,3</t>
  </si>
  <si>
    <t>2,3,2,3,2,2,2,1</t>
  </si>
  <si>
    <t>1,1,3,1,3,3,1,1</t>
  </si>
  <si>
    <t>1,3,2,2,2,3,2,2</t>
  </si>
  <si>
    <t>1,2,3,2,2,2,2,2</t>
  </si>
  <si>
    <t>1,1,2,2,2,3,3,2</t>
  </si>
  <si>
    <t>1,2,3,2,2,2,3,3</t>
  </si>
  <si>
    <t>1,1,3,3,2,3,3,2</t>
  </si>
  <si>
    <t>1,2,2,2,2,2,3,3</t>
  </si>
  <si>
    <t>2,1,5,7,3,101,4,8</t>
  </si>
  <si>
    <t>1,2,2,2,3,2,2,3</t>
  </si>
  <si>
    <t>1,1,1,1,3,2,2,2</t>
  </si>
  <si>
    <t>1,2,2,3,2,2,3,3</t>
  </si>
  <si>
    <t>2,2,2,3,2,3,3,3</t>
  </si>
  <si>
    <t>1,2,2,3,2,3,2,3</t>
  </si>
  <si>
    <t>1,8,7,101,2,4,3,5</t>
  </si>
  <si>
    <t>2,2,2,2,2,2,2,3</t>
  </si>
  <si>
    <t>3,2,2,3,2,3,3,2</t>
  </si>
  <si>
    <t>1,1,3,3,2,2,2,3</t>
  </si>
  <si>
    <t>1,2,2,3,3,2,2,3</t>
  </si>
  <si>
    <t>2,2,2,3,2,3,3,2</t>
  </si>
  <si>
    <t>1,2,2,2,2,3,3,2</t>
  </si>
  <si>
    <t>1,1,1,1,3,3,2,2</t>
  </si>
  <si>
    <t>1,1,3,2,3,2,3,3</t>
  </si>
  <si>
    <t>1,2,3,2,3,2,2,2</t>
  </si>
  <si>
    <t>1,2,3,3,3,2,2,2</t>
  </si>
  <si>
    <t>8,101,1,7,5,4,2,3</t>
  </si>
  <si>
    <t>1,3,2,3,3,2,2,3</t>
  </si>
  <si>
    <t>1,2,2,1,3,4,3,4</t>
  </si>
  <si>
    <t>1,2,3,3,3,2,3,4</t>
  </si>
  <si>
    <t>1,1,2,2,4,2,2,2</t>
  </si>
  <si>
    <t>2,2,2,3,2,4,4,2</t>
  </si>
  <si>
    <t>1,1,1,4,3,4,4,2</t>
  </si>
  <si>
    <t>1,1,1,3,2,3,3,4</t>
  </si>
  <si>
    <t>1,1,3,2,4,2,4,3</t>
  </si>
  <si>
    <t>1,1,2,2,1,2,4,2</t>
  </si>
  <si>
    <t>2,1,3,2,2,2,2,2</t>
  </si>
  <si>
    <t>1,2,2,4,3,2,4,3</t>
  </si>
  <si>
    <t>1,1,2,2,4,4,4,2</t>
  </si>
  <si>
    <t>1,1,4,4,4,3,3,2</t>
  </si>
  <si>
    <t>1,3,2,4,4,2,3,4</t>
  </si>
  <si>
    <t>2,2,3,2,3,3,3,4</t>
  </si>
  <si>
    <t>1,1,1,2,2,4,4,4</t>
  </si>
  <si>
    <t>2,2,4,2,3,2,4,2</t>
  </si>
  <si>
    <t>1,1,1,4,2,3,2,2</t>
  </si>
  <si>
    <t>2,1,1,2,2,3,2,3</t>
  </si>
  <si>
    <t>1,1,1,4,3,2,4,3</t>
  </si>
  <si>
    <t>1,2,3,3,3,2,4,3</t>
  </si>
  <si>
    <t>2,1,2,4,3,4,2,2</t>
  </si>
  <si>
    <t>2,2,2,3,3,2,4,4</t>
  </si>
  <si>
    <t>2,2,4,3,3,3,2,4</t>
  </si>
  <si>
    <t>2,1,1,3,2,2,4,4</t>
  </si>
  <si>
    <t>1,1,2,4,4,4,4,2</t>
  </si>
  <si>
    <t>1,1,1,2,2,4,3,2</t>
  </si>
  <si>
    <t>2,1,1,3,2,3,2,4</t>
  </si>
  <si>
    <t>1,1,1,2,4,2,4,3</t>
  </si>
  <si>
    <t>1,1,1,2,2,4,4,2</t>
  </si>
  <si>
    <t>2,2,3,3,4,2,3,4</t>
  </si>
  <si>
    <t>1,1,4,2,4,4,2,2</t>
  </si>
  <si>
    <t>2,1,1,2,4,3,3,4</t>
  </si>
  <si>
    <t>1,1,2,2,2,4,2,3</t>
  </si>
  <si>
    <t>1,1,2,2,1,3,3,4</t>
  </si>
  <si>
    <t>1,1,1,4,3,3,2,2</t>
  </si>
  <si>
    <t>1,2,2,2,3,4,4,4</t>
  </si>
  <si>
    <t>2,1,2,3,4,3,2,4</t>
  </si>
  <si>
    <t>1,2,4,4,3,3,3,2</t>
  </si>
  <si>
    <t>1,1,2,1,2,2,3,3</t>
  </si>
  <si>
    <t>1,1,3,4,2,2,4,2</t>
  </si>
  <si>
    <t>1,2,2,2,4,2,2,2</t>
  </si>
  <si>
    <t>1,1,2,1,2,4,2,3</t>
  </si>
  <si>
    <t>2,1,2,3,2,2,2,4</t>
  </si>
  <si>
    <t>1,1,1,1,2,3,4,3</t>
  </si>
  <si>
    <t>1,2,1,3,4,3,4,3</t>
  </si>
  <si>
    <t>1,2,2,3,2,3,4,3</t>
  </si>
  <si>
    <t>1,1,1,2,4,3,3,2</t>
  </si>
  <si>
    <t>1,1,3,3,3,3,2,4</t>
  </si>
  <si>
    <t>1,1,2,2,3,2,4,3</t>
  </si>
  <si>
    <t>1,1,1,1,2,3,4,4</t>
  </si>
  <si>
    <t>1,2,3,3,4,2,4,3</t>
  </si>
  <si>
    <t>1,1,3,2,2,4,2,3</t>
  </si>
  <si>
    <t>1,1,2,4,3,4,4,2</t>
  </si>
  <si>
    <t>1,1,1,2,2,4,4,3</t>
  </si>
  <si>
    <t>1,1,2,4,2,4,3,2</t>
  </si>
  <si>
    <t>1,1,2,1,3,2,3,3</t>
  </si>
  <si>
    <t>1,1,1,2,3,4,4,3</t>
  </si>
  <si>
    <t>1,1,1,2,2,2,4,4</t>
  </si>
  <si>
    <t>1,1,1,1,3,2,3,4</t>
  </si>
  <si>
    <t>1,2,2,2,2,3,4,2</t>
  </si>
  <si>
    <t>1,2,4,4,3,3,4,4</t>
  </si>
  <si>
    <t>1,2,2,4,4,2,4,2</t>
  </si>
  <si>
    <t>1,1,2,3,4,3,4,2</t>
  </si>
  <si>
    <t>1,4,2,4,2,3,3,2</t>
  </si>
  <si>
    <t>2,1,1,2,4,3,3,2</t>
  </si>
  <si>
    <t>1,4,3,4,2,3,3,2</t>
  </si>
  <si>
    <t>1,2,1,2,4,2,3,4</t>
  </si>
  <si>
    <t>2,2,3,4,2,4,4,4</t>
  </si>
  <si>
    <t>1,1,2,2,4,3,2,4</t>
  </si>
  <si>
    <t>1,1,1,2,3,4,3,4</t>
  </si>
  <si>
    <t>1,1,2,1,4,2,3,3</t>
  </si>
  <si>
    <t>1,1,1,3,3,2,3,4</t>
  </si>
  <si>
    <t>2,2,2,2,4,2,4,3</t>
  </si>
  <si>
    <t>1,2,4,2,4,3,4,3</t>
  </si>
  <si>
    <t>2,1,2,4,2,4,4,4</t>
  </si>
  <si>
    <t>1,2,2,4,3,4,3,4</t>
  </si>
  <si>
    <t>1,1,1,2,2,3,2,4</t>
  </si>
  <si>
    <t>2,2,1,4,2,4,4,4</t>
  </si>
  <si>
    <t>2,2,4,2,3,2,3,4</t>
  </si>
  <si>
    <t>1,2,3,2,4,2,4,4</t>
  </si>
  <si>
    <t>1,2,3,4,2,3,2,4</t>
  </si>
  <si>
    <t>1,1,4,2,4,3,4,3</t>
  </si>
  <si>
    <t>1,1,2,4,2,3,2,4</t>
  </si>
  <si>
    <t>1,2,4,2,4,2,3,4</t>
  </si>
  <si>
    <t>1,1,2,3,4,2,2,4</t>
  </si>
  <si>
    <t>1,1,2,4,3,3,3,3</t>
  </si>
  <si>
    <t>1,1,3,4,2,3,4,4</t>
  </si>
  <si>
    <t>1,1,2,4,3,3,3,2</t>
  </si>
  <si>
    <t>1,1,2,4,4,3,3,4</t>
  </si>
  <si>
    <t>1,2,4,4,3,4,2,3</t>
  </si>
  <si>
    <t>1,1,1,2,3,4,2,3</t>
  </si>
  <si>
    <t>2,1,4,2,2,2,3,4</t>
  </si>
  <si>
    <t>1,1,1,2,4,2,3,4</t>
  </si>
  <si>
    <t>1,1,2,2,3,3,4,3</t>
  </si>
  <si>
    <t>1,1,2,4,3,4,3,4</t>
  </si>
  <si>
    <t>1,1,2,2,4,3,2,3</t>
  </si>
  <si>
    <t>1,1,1,2,4,2,4,4</t>
  </si>
  <si>
    <t>1,1,3,4,3,4,3,4</t>
  </si>
  <si>
    <t>1,2,1,2,2,4,3,2</t>
  </si>
  <si>
    <t>1,2,2,2,4,4,3,2</t>
  </si>
  <si>
    <t>2,2,2,4,3,3,3,3</t>
  </si>
  <si>
    <t>1,1,2,3,4,4,4,2</t>
  </si>
  <si>
    <t>1,1,4,3,3,3,3,5</t>
  </si>
  <si>
    <t>3,2,3,3,5,3,3,3</t>
  </si>
  <si>
    <t>7,101,8,4,2,1,3,5</t>
  </si>
  <si>
    <t>1,3,1,2,3,4,3,4</t>
  </si>
  <si>
    <t>1,3,5,3,3,5,5,5</t>
  </si>
  <si>
    <t>1,1,3,3,5,3,4,5</t>
  </si>
  <si>
    <t>1,3,3,5,3,3,4,4</t>
  </si>
  <si>
    <t>2,3,3,2,3,3,5,4</t>
  </si>
  <si>
    <t>3,3,4,4,4,3,5,4</t>
  </si>
  <si>
    <t>1,1,1,1,1,4,3,4</t>
  </si>
  <si>
    <t>1,1,3,4,3,3,4,5</t>
  </si>
  <si>
    <t>1,1,4,6,3,6,5,4</t>
  </si>
  <si>
    <t>1,1,5,4,3,4,4,4</t>
  </si>
  <si>
    <t>1,1,1,5,5,5,5,5</t>
  </si>
  <si>
    <t>3,3,4,4,3,4,3,5</t>
  </si>
  <si>
    <t>1,1,5,4,4,4,5,3</t>
  </si>
  <si>
    <t>1,3,3,5,4,3,5,4</t>
  </si>
  <si>
    <t>1,1,1,3,4,3,4,4</t>
  </si>
  <si>
    <t>1,1,3,1,3,3,4,5</t>
  </si>
  <si>
    <t>4,4,3,5,3,4,5,5</t>
  </si>
  <si>
    <t>13,8,101,2,3,7,4,5</t>
  </si>
  <si>
    <t>1,2,1,2,2,1,2,1</t>
  </si>
  <si>
    <t>1,1,1,2,3,2,2,1</t>
  </si>
  <si>
    <t>1,1,2,3,1,2,3,2</t>
  </si>
  <si>
    <t>1,1,1,3,2,1,1,3</t>
  </si>
  <si>
    <t>1,1,1,2,3,1,2,2</t>
  </si>
  <si>
    <t>1,1,3,2,2,1,1,1</t>
  </si>
  <si>
    <t>1,1,1,3,1,3,2,1</t>
  </si>
  <si>
    <t>1,1,1,1,1,1,2,3</t>
  </si>
  <si>
    <t>1,1,1,3,1,2,1,2</t>
  </si>
  <si>
    <t>1,1,1,2,3,1,3,2</t>
  </si>
  <si>
    <t>1,1,2,3,3,3,2,1</t>
  </si>
  <si>
    <t>1,1,2,3,2,2,1,2</t>
  </si>
  <si>
    <t>1,1,1,1,2,1,3,3</t>
  </si>
  <si>
    <t>1,1,2,1,1,3,2,3</t>
  </si>
  <si>
    <t>1,1,1,1,2,1,1,3</t>
  </si>
  <si>
    <t>1,1,1,2,2,1,1,3</t>
  </si>
  <si>
    <t>1,1,1,1,3,2,1,3</t>
  </si>
  <si>
    <t>1,1,2,1,2,2,2,3</t>
  </si>
  <si>
    <t>1,1,3,2,3,3,2,1</t>
  </si>
  <si>
    <t>1,1,3,2,3,1,2,1</t>
  </si>
  <si>
    <t>1,1,1,3,1,3,3,3</t>
  </si>
  <si>
    <t>1,1,1,1,3,3,1,3</t>
  </si>
  <si>
    <t>1,1,1,2,2,3,2,1</t>
  </si>
  <si>
    <t>1,1,1,1,2,3,1,2</t>
  </si>
  <si>
    <t>1,1,1,1,3,1,2,2</t>
  </si>
  <si>
    <t>1,1,1,2,2,2,1,3</t>
  </si>
  <si>
    <t>1,1,3,1,3,3,2,1</t>
  </si>
  <si>
    <t>1,1,2,2,3,1,1,1</t>
  </si>
  <si>
    <t>1,1,1,1,1,3,2,1</t>
  </si>
  <si>
    <t>1,1,1,3,3,3,1,3</t>
  </si>
  <si>
    <t>1,1,1,3,1,3,2,2</t>
  </si>
  <si>
    <t>1,1,1,1,1,3,2,3</t>
  </si>
  <si>
    <t>1,1,1,3,2,3,1,1</t>
  </si>
  <si>
    <t>1,1,2,3,3,1,3,3</t>
  </si>
  <si>
    <t>1,1,1,1,3,1,1,2</t>
  </si>
  <si>
    <t>1,1,2,1,2,1,3,3</t>
  </si>
  <si>
    <t>1,1,2,1,1,3,3,3</t>
  </si>
  <si>
    <t>1,1,1,2,3,1,1,3</t>
  </si>
  <si>
    <t>1,1,3,1,2,3,2,1</t>
  </si>
  <si>
    <t>1,3,1,1,1,1,3,3</t>
  </si>
  <si>
    <t>1,1,2,3,1,3,3,1</t>
  </si>
  <si>
    <t>1,1,2,2,1,3,1,1</t>
  </si>
  <si>
    <t>1,1,2,3,3,2,1,2</t>
  </si>
  <si>
    <t>1,1,1,2,1,1,3,3</t>
  </si>
  <si>
    <t>1,1,1,2,1,1,1,3</t>
  </si>
  <si>
    <t>1,1,3,3,3,1,3,1</t>
  </si>
  <si>
    <t>1,1,2,1,1,3,3,2</t>
  </si>
  <si>
    <t>1,1,1,3,3,1,1,1</t>
  </si>
  <si>
    <t>1,1,1,1,2,2,3,3</t>
  </si>
  <si>
    <t>1,3,2,3,2,2,2,3</t>
  </si>
  <si>
    <t>1,2,3,3,3,2,2,3</t>
  </si>
  <si>
    <t>103,5,2,8,4,101,1,7</t>
  </si>
  <si>
    <t>1,1,2,4,2,4,3,4</t>
  </si>
  <si>
    <t>1,1,1,4,4,4,3,4</t>
  </si>
  <si>
    <t>1,1,1,2,3,2,3,4</t>
  </si>
  <si>
    <t>1,1,1,2,3,3,4,2</t>
  </si>
  <si>
    <t>1,1,1,3,4,3,3,3</t>
  </si>
  <si>
    <t>1,2,1,2,3,3,3,4</t>
  </si>
  <si>
    <t>1,1,2,1,3,2,3,4</t>
  </si>
  <si>
    <t>1,1,2,1,2,4,3,4</t>
  </si>
  <si>
    <t>1,1,1,1,4,4,2,2</t>
  </si>
  <si>
    <t>1,1,2,1,1,3,4,4</t>
  </si>
  <si>
    <t>1,2,3,2,2,2,4,4</t>
  </si>
  <si>
    <t>1,1,2,4,2,2,3,2</t>
  </si>
  <si>
    <t>1,2,2,2,3,3,3,2</t>
  </si>
  <si>
    <t>1,1,2,2,4,2,4,3</t>
  </si>
  <si>
    <t>1,1,1,1,4,2,3,4</t>
  </si>
  <si>
    <t>2,1,2,3,2,4,3,4</t>
  </si>
  <si>
    <t>1,1,1,1,4,4,3,3</t>
  </si>
  <si>
    <t>1,1,2,3,3,3,2,4</t>
  </si>
  <si>
    <t>1,1,1,2,3,2,2,4</t>
  </si>
  <si>
    <t>1,1,1,1,1,2,4,3</t>
  </si>
  <si>
    <t>1,1,2,4,2,4,4,4</t>
  </si>
  <si>
    <t>1,2,2,2,4,4,4,2</t>
  </si>
  <si>
    <t>1,1,2,1,2,3,2,2</t>
  </si>
  <si>
    <t>1,2,2,3,3,3,3,4</t>
  </si>
  <si>
    <t>1,1,1,2,4,2,2,3</t>
  </si>
  <si>
    <t>1,1,1,1,4,3,2,2</t>
  </si>
  <si>
    <t>1,1,2,4,3,4,4,3</t>
  </si>
  <si>
    <t>1,1,1,2,1,4,3,4</t>
  </si>
  <si>
    <t>1,1,2,2,4,3,3,2</t>
  </si>
  <si>
    <t>1,1,2,4,2,4,2,2</t>
  </si>
  <si>
    <t>2,2,3,2,3,4,4,2</t>
  </si>
  <si>
    <t>2,1,2,2,2,4,2,4</t>
  </si>
  <si>
    <t>1,1,2,3,4,4,3,2</t>
  </si>
  <si>
    <t>1,1,1,1,2,4,4,4</t>
  </si>
  <si>
    <t>1,2,1,4,4,2,3,3</t>
  </si>
  <si>
    <t>1,1,1,2,3,4,3,2</t>
  </si>
  <si>
    <t>1,2,4,2,3,3,4,4</t>
  </si>
  <si>
    <t>2,2,3,4,2,4,2,2</t>
  </si>
  <si>
    <t>2,2,2,2,4,3,2,3</t>
  </si>
  <si>
    <t>1,1,2,2,1,2,3,2</t>
  </si>
  <si>
    <t>1,1,1,1,3,4,4,2</t>
  </si>
  <si>
    <t>1,1,1,2,3,4,3,3</t>
  </si>
  <si>
    <t>1,2,1,4,3,3,3,4</t>
  </si>
  <si>
    <t>1,1,2,1,2,3,3,2</t>
  </si>
  <si>
    <t>1,1,3,2,3,4,4,3</t>
  </si>
  <si>
    <t>1,2,2,2,4,2,3,4</t>
  </si>
  <si>
    <t>1,2,3,2,2,4,3,2</t>
  </si>
  <si>
    <t>1,2,1,2,2,4,3,3</t>
  </si>
  <si>
    <t>1,1,1,3,2,2,4,3</t>
  </si>
  <si>
    <t>1,1,1,2,2,4,3,3</t>
  </si>
  <si>
    <t>1,1,1,4,3,2,2,3</t>
  </si>
  <si>
    <t>1,1,1,3,4,3,2,4</t>
  </si>
  <si>
    <t>2,1,4,2,2,3,4,3</t>
  </si>
  <si>
    <t>1,1,2,2,1,3,2,2</t>
  </si>
  <si>
    <t>1,2,4,3,2,2,4,2</t>
  </si>
  <si>
    <t>1,1,1,4,4,2,2,2</t>
  </si>
  <si>
    <t>1,1,1,2,4,4,3,2</t>
  </si>
  <si>
    <t>2,2,4,4,3,3,3,2</t>
  </si>
  <si>
    <t>1,1,1,4,4,3,4,4</t>
  </si>
  <si>
    <t>2,2,2,2,3,2,3,4</t>
  </si>
  <si>
    <t>1,1,2,1,1,4,4,2</t>
  </si>
  <si>
    <t>1,1,1,2,2,4,2,4</t>
  </si>
  <si>
    <t>1,2,2,3,4,4,4,4</t>
  </si>
  <si>
    <t>1,2,4,2,4,2,4,4</t>
  </si>
  <si>
    <t>1,1,2,3,4,2,3,4</t>
  </si>
  <si>
    <t>1,1,2,1,4,4,3,3</t>
  </si>
  <si>
    <t>1,1,2,2,3,3,3,4</t>
  </si>
  <si>
    <t>2,1,2,4,3,4,4,4</t>
  </si>
  <si>
    <t>1,2,2,2,2,3,2,4</t>
  </si>
  <si>
    <t>1,3,2,4,4,3,4,2</t>
  </si>
  <si>
    <t>1,1,2,1,2,4,2,4</t>
  </si>
  <si>
    <t>1,2,2,2,4,3,2,3</t>
  </si>
  <si>
    <t>1,2,2,2,2,4,3,4</t>
  </si>
  <si>
    <t>2,2,2,3,2,4,3,4</t>
  </si>
  <si>
    <t>1,1,3,2,4,4,4,3</t>
  </si>
  <si>
    <t>1,2,1,4,2,4,4,2</t>
  </si>
  <si>
    <t>1,2,3,4,3,2,2,4</t>
  </si>
  <si>
    <t>1,1,1,4,3,3,3,4</t>
  </si>
  <si>
    <t>1,2,1,2,3,3,4,2</t>
  </si>
  <si>
    <t>1,2,1,2,4,2,3,3</t>
  </si>
  <si>
    <t>1,1,1,1,2,3,3,4</t>
  </si>
  <si>
    <t>1,1,2,3,4,4,2,3</t>
  </si>
  <si>
    <t>2,1,1,4,4,4,3,3</t>
  </si>
  <si>
    <t>1,2,1,3,4,4,2,3</t>
  </si>
  <si>
    <t>1,1,1,1,2,2,4,2</t>
  </si>
  <si>
    <t>1,1,2,2,4,4,2,4</t>
  </si>
  <si>
    <t>1,1,2,4,2,4,4,3</t>
  </si>
  <si>
    <t>1,1,2,2,4,4,3,4</t>
  </si>
  <si>
    <t>1,2,1,4,2,4,3,4</t>
  </si>
  <si>
    <t>1,2,2,3,2,2,3,4</t>
  </si>
  <si>
    <t>1,1,2,4,3,2,4,3</t>
  </si>
  <si>
    <t>1,1,1,4,2,3,2,4</t>
  </si>
  <si>
    <t>1,1,4,4,4,2,2,2</t>
  </si>
  <si>
    <t>1,2,3,3,2,4,3,3</t>
  </si>
  <si>
    <t>1,1,2,2,2,2,4,4</t>
  </si>
  <si>
    <t>1,1,2,2,1,3,2,4</t>
  </si>
  <si>
    <t>1,2,2,1,4,2,4,4</t>
  </si>
  <si>
    <t>1,2,2,4,4,2,3,3</t>
  </si>
  <si>
    <t>1,1,2,2,2,3,4,2</t>
  </si>
  <si>
    <t>1,1,2,1,1,2,3,3</t>
  </si>
  <si>
    <t>1,1,1,1,3,4,2,2</t>
  </si>
  <si>
    <t>1,1,2,2,4,2,2,4</t>
  </si>
  <si>
    <t>1,1,1,2,1,4,4,2</t>
  </si>
  <si>
    <t>1,1,2,2,3,2,2,4</t>
  </si>
  <si>
    <t>1,1,2,2,4,4,2,2</t>
  </si>
  <si>
    <t>1,1,1,2,4,3,4,4</t>
  </si>
  <si>
    <t>1,1,1,2,3,2,4,4</t>
  </si>
  <si>
    <t>1,3,2,3,3,3,4,3</t>
  </si>
  <si>
    <t>1,2,2,4,2,3,2,3</t>
  </si>
  <si>
    <t>2,1,3,4,2,4,2,3</t>
  </si>
  <si>
    <t>1,1,2,1,2,3,2,3</t>
  </si>
  <si>
    <t>1,1,2,4,3,2,4,4</t>
  </si>
  <si>
    <t>1,1,1,3,4,4,3,3</t>
  </si>
  <si>
    <t>1,1,2,4,2,3,4,2</t>
  </si>
  <si>
    <t>1,1,2,2,4,2,3,3</t>
  </si>
  <si>
    <t>1,2,2,3,2,4,2,4</t>
  </si>
  <si>
    <t>1,2,1,1,4,4,3,3</t>
  </si>
  <si>
    <t>1,2,4,3,2,2,3,3</t>
  </si>
  <si>
    <t>1,2,4,3,3,2,2,2</t>
  </si>
  <si>
    <t>1,1,2,2,3,4,2,3</t>
  </si>
  <si>
    <t>1,2,4,4,2,3,4,4</t>
  </si>
  <si>
    <t>1,2,2,2,2,4,2,3</t>
  </si>
  <si>
    <t>1,3,3,3,2,4,2,3</t>
  </si>
  <si>
    <t>1,1,2,2,2,4,3,2</t>
  </si>
  <si>
    <t>1,1,1,4,3,3,4,2</t>
  </si>
  <si>
    <t>1,1,1,1,2,2,4,3</t>
  </si>
  <si>
    <t>2,1,1,3,4,2,2,2</t>
  </si>
  <si>
    <t>1,2,2,4,3,3,4,2</t>
  </si>
  <si>
    <t>1,1,2,1,3,2,4,2</t>
  </si>
  <si>
    <t>1,2,2,2,2,4,3,3</t>
  </si>
  <si>
    <t>1,1,1,1,2,4,4,3</t>
  </si>
  <si>
    <t>1,1,1,1,4,3,3,2</t>
  </si>
  <si>
    <t>1,1,1,2,2,2,3,4</t>
  </si>
  <si>
    <t>1,1,1,2,4,4,4,2</t>
  </si>
  <si>
    <t>1,1,1,1,1,4,3,3</t>
  </si>
  <si>
    <t>1,1,2,1,2,2,3,2</t>
  </si>
  <si>
    <t>1,1,2,1,3,4,4,4</t>
  </si>
  <si>
    <t>1,1,2,3,3,4,2,3</t>
  </si>
  <si>
    <t>1,1,1,4,2,3,2,3</t>
  </si>
  <si>
    <t>1,2,3,3,4,2,2,3</t>
  </si>
  <si>
    <t>1,1,2,1,4,3,2,3</t>
  </si>
  <si>
    <t>2,1,2,3,3,3,3,3</t>
  </si>
  <si>
    <t>1,1,3,3,3,4,3,3</t>
  </si>
  <si>
    <t>1,2,2,4,2,4,4,3</t>
  </si>
  <si>
    <t>1,2,2,4,4,2,4,4</t>
  </si>
  <si>
    <t>1,1,1,2,3,3,2,4</t>
  </si>
  <si>
    <t>1,2,2,4,3,2,2,2</t>
  </si>
  <si>
    <t>1,1,2,2,1,2,2,3</t>
  </si>
  <si>
    <t>1,2,1,2,4,3,3,3</t>
  </si>
  <si>
    <t>2,1,2,4,4,4,3,3</t>
  </si>
  <si>
    <t>2,2,1,4,3,2,4,4</t>
  </si>
  <si>
    <t>1,1,1,2,4,3,2,3</t>
  </si>
  <si>
    <t>1,1,2,2,4,4,4,4</t>
  </si>
  <si>
    <t>2,2,2,2,2,4,2,2</t>
  </si>
  <si>
    <t>1,1,1,2,1,2,4,4</t>
  </si>
  <si>
    <t>1,1,1,1,3,2,4,2</t>
  </si>
  <si>
    <t>1,1,4,2,4,3,2,4</t>
  </si>
  <si>
    <t>1,2,4,3,3,3,3,4</t>
  </si>
  <si>
    <t>2,2,4,3,4,4,3,2</t>
  </si>
  <si>
    <t>1,2,2,4,3,4,4,4</t>
  </si>
  <si>
    <t>1,1,4,4,5,5,5,3</t>
  </si>
  <si>
    <t>1,3,3,3,5,4,4,3</t>
  </si>
  <si>
    <t>1,1,3,3,3,5,5,3</t>
  </si>
  <si>
    <t>1,1,2,2,3,3,5,3</t>
  </si>
  <si>
    <t>1,1,2,3,2,5,4,3</t>
  </si>
  <si>
    <t>1,2,3,2,4,4,4,4</t>
  </si>
  <si>
    <t>1,1,3,4,4,3,3,3</t>
  </si>
  <si>
    <t>1,2,3,4,5,4,4,3</t>
  </si>
  <si>
    <t>1,1,3,4,4,4,4,3</t>
  </si>
  <si>
    <t>3,3,3,4,5,3,4,5</t>
  </si>
  <si>
    <t>1,1,1,2,4,4,4,4</t>
  </si>
  <si>
    <t>1,1,2,1,2,4,3,3</t>
  </si>
  <si>
    <t>1,1,1,4,3,4,4,3</t>
  </si>
  <si>
    <t>1,1,2,1,3,3,4,3</t>
  </si>
  <si>
    <t>1,1,2,5,4,5,4,4</t>
  </si>
  <si>
    <t>1,1,2,3,4,3,3,3</t>
  </si>
  <si>
    <t>1,1,2,3,3,4,5,5</t>
  </si>
  <si>
    <t>1,1,5,4,5,3,5,3</t>
  </si>
  <si>
    <t>1,1,1,3,2,4,3,4</t>
  </si>
  <si>
    <t>1,1,2,1,5,3,5,4</t>
  </si>
  <si>
    <t>1,1,1,3,3,4,4,4</t>
  </si>
  <si>
    <t>1,2,2,4,3,5,5,4</t>
  </si>
  <si>
    <t>1,1,1,3,1,4,5,5</t>
  </si>
  <si>
    <t>1,3,5,5,4,5,5,5</t>
  </si>
  <si>
    <t>1,1,1,4,4,4,4,3</t>
  </si>
  <si>
    <t>1,4,4,6,3,3,3,5</t>
  </si>
  <si>
    <t>1,1,2,1,2,4,6,3</t>
  </si>
  <si>
    <t>1,1,2,4,3,4,4,4</t>
  </si>
  <si>
    <t>13,1,7,8,2,5,4,3</t>
  </si>
  <si>
    <t>103,14,1,101,3,7,4,2</t>
  </si>
  <si>
    <t>103,14,3,2,8,4,101,1</t>
  </si>
  <si>
    <t>14,5,7,2,3,4,101,8</t>
  </si>
  <si>
    <t>1,1,1,3,3,3,2,1</t>
  </si>
  <si>
    <t>1,1,3,1,1,2,3,2</t>
  </si>
  <si>
    <t>1,1,1,1,3,1,3,2</t>
  </si>
  <si>
    <t>1,1,3,1,1,1,2,2</t>
  </si>
  <si>
    <t>1,1,3,3,3,1,1,2</t>
  </si>
  <si>
    <t>1,1,3,1,2,1,2,2</t>
  </si>
  <si>
    <t>1,1,1,3,2,1,2,3</t>
  </si>
  <si>
    <t>1,1,1,2,2,1,2,3</t>
  </si>
  <si>
    <t>1,2,2,1,3,3,3,1</t>
  </si>
  <si>
    <t>1,1,3,3,2,3,3,1</t>
  </si>
  <si>
    <t>1,1,2,2,2,2,1,3</t>
  </si>
  <si>
    <t>1,1,3,2,2,2,1,1</t>
  </si>
  <si>
    <t>1,1,2,2,3,3,1,3</t>
  </si>
  <si>
    <t>1,1,3,1,3,1,3,3</t>
  </si>
  <si>
    <t>1,1,3,3,1,3,2,3</t>
  </si>
  <si>
    <t>1,1,1,2,2,3,1,3</t>
  </si>
  <si>
    <t>1,1,3,1,3,1,1,2</t>
  </si>
  <si>
    <t>1,1,2,3,1,1,3,2</t>
  </si>
  <si>
    <t>1,1,3,1,1,3,1,2</t>
  </si>
  <si>
    <t>1,1,2,2,1,3,3,3</t>
  </si>
  <si>
    <t>1,1,3,1,3,1,2,1</t>
  </si>
  <si>
    <t>1,1,3,2,2,2,3,1</t>
  </si>
  <si>
    <t>1,1,3,2,1,1,2,1</t>
  </si>
  <si>
    <t>1,1,3,2,1,3,2,2</t>
  </si>
  <si>
    <t>1,2,3,3,1,3,2,1</t>
  </si>
  <si>
    <t>1,1,2,1,1,1,3,2</t>
  </si>
  <si>
    <t>1,1,3,1,2,1,3,1</t>
  </si>
  <si>
    <t>1,1,1,2,2,2,3,1</t>
  </si>
  <si>
    <t>1,1,2,1,3,1,1,3</t>
  </si>
  <si>
    <t>1,1,1,3,2,1,1,2</t>
  </si>
  <si>
    <t>1,2,3,1,3,3,2,3</t>
  </si>
  <si>
    <t>1,2,1,3,3,3,2,3</t>
  </si>
  <si>
    <t>1,1,2,1,2,2,2,4</t>
  </si>
  <si>
    <t>1,2,2,1,2,2,3,1</t>
  </si>
  <si>
    <t>2,1,4,2,4,3,3,4</t>
  </si>
  <si>
    <t>1,1,2,2,2,3,4,3</t>
  </si>
  <si>
    <t>1,1,2,1,3,4,2,2</t>
  </si>
  <si>
    <t>2,1,1,4,3,2,3,4</t>
  </si>
  <si>
    <t>1,3,3,1,4,3,3,3</t>
  </si>
  <si>
    <t>1,2,2,1,3,2,2,2</t>
  </si>
  <si>
    <t>1,2,2,4,1,4,4,2</t>
  </si>
  <si>
    <t>2,2,3,4,3,2,3,2</t>
  </si>
  <si>
    <t>1,3,3,2,3,3,2,4</t>
  </si>
  <si>
    <t>1,1,2,3,2,2,4,3</t>
  </si>
  <si>
    <t>2,1,3,4,1,4,2,2</t>
  </si>
  <si>
    <t>1,1,2,1,4,3,4,4</t>
  </si>
  <si>
    <t>1,1,1,2,3,1,2,1</t>
  </si>
  <si>
    <t>2,2,2,4,2,3,3,4</t>
  </si>
  <si>
    <t>1,2,2,1,4,1,4,3</t>
  </si>
  <si>
    <t>1,1,1,1,2,2,4,4</t>
  </si>
  <si>
    <t>1,1,1,1,2,4,3,4</t>
  </si>
  <si>
    <t>1,1,2,1,2,2,4,2</t>
  </si>
  <si>
    <t>1,1,3,1,1,1,3,3</t>
  </si>
  <si>
    <t>1,1,3,3,2,2,4,4</t>
  </si>
  <si>
    <t>1,2,2,1,2,2,4,3</t>
  </si>
  <si>
    <t>2,2,1,2,2,2,2,3</t>
  </si>
  <si>
    <t>2,1,2,2,2,3,2,4</t>
  </si>
  <si>
    <t>1,1,2,4,4,1,2,1</t>
  </si>
  <si>
    <t>1,1,1,1,2,4,2,2</t>
  </si>
  <si>
    <t>1,1,2,2,1,3,4,3</t>
  </si>
  <si>
    <t>1,1,2,1,3,3,2,2</t>
  </si>
  <si>
    <t>2,4,4,3,2,3,4,2</t>
  </si>
  <si>
    <t>2,1,2,3,2,3,2,2</t>
  </si>
  <si>
    <t>2,2,4,2,3,4,2,3</t>
  </si>
  <si>
    <t>1,1,2,4,4,3,4,3</t>
  </si>
  <si>
    <t>1,1,2,2,3,2,4,4</t>
  </si>
  <si>
    <t>1,1,1,3,4,4,2,3</t>
  </si>
  <si>
    <t>2,1,2,2,2,2,4,2</t>
  </si>
  <si>
    <t>1,1,1,2,1,4,3,3</t>
  </si>
  <si>
    <t>1,2,2,4,2,4,3,3</t>
  </si>
  <si>
    <t>1,1,2,2,2,3,2,4</t>
  </si>
  <si>
    <t>1,2,4,4,2,3,3,2</t>
  </si>
  <si>
    <t>1,2,1,2,4,4,4,3</t>
  </si>
  <si>
    <t>1,1,1,2,3,4,4,2</t>
  </si>
  <si>
    <t>1,1,2,3,4,4,4,4</t>
  </si>
  <si>
    <t>1,1,1,2,3,2,4,2</t>
  </si>
  <si>
    <t>1,2,2,4,3,4,2,3</t>
  </si>
  <si>
    <t>1,1,1,2,2,3,3,4</t>
  </si>
  <si>
    <t>1,1,2,3,2,3,4,3</t>
  </si>
  <si>
    <t>1,2,3,3,4,3,3,3</t>
  </si>
  <si>
    <t>1,2,1,2,4,3,2,2</t>
  </si>
  <si>
    <t>2,2,2,4,3,4,4,3</t>
  </si>
  <si>
    <t>1,1,1,3,3,3,4,2</t>
  </si>
  <si>
    <t>1,1,1,2,4,2,4,2</t>
  </si>
  <si>
    <t>1,1,1,3,2,4,4,4</t>
  </si>
  <si>
    <t>1,2,1,2,4,2,2,3</t>
  </si>
  <si>
    <t>2,1,3,3,3,3,2,3</t>
  </si>
  <si>
    <t>1,2,2,1,2,4,2,4</t>
  </si>
  <si>
    <t>1,1,2,4,4,3,4,2</t>
  </si>
  <si>
    <t>1,2,2,2,3,3,2,4</t>
  </si>
  <si>
    <t>1,1,2,2,3,4,4,3</t>
  </si>
  <si>
    <t>1,1,2,2,2,3,3,4</t>
  </si>
  <si>
    <t>1,2,1,3,3,3,4,3</t>
  </si>
  <si>
    <t>1,1,1,3,2,4,2,4</t>
  </si>
  <si>
    <t>1,1,2,4,4,2,3,4</t>
  </si>
  <si>
    <t>2,3,3,4,4,3,4,3</t>
  </si>
  <si>
    <t>1,1,1,4,3,2,4,4</t>
  </si>
  <si>
    <t>1,2,4,2,3,3,2,3</t>
  </si>
  <si>
    <t>1,1,2,1,2,3,3,4</t>
  </si>
  <si>
    <t>1,2,4,3,3,2,2,4</t>
  </si>
  <si>
    <t>1,1,1,2,1,3,4,3</t>
  </si>
  <si>
    <t>1,1,2,1,4,4,2,4</t>
  </si>
  <si>
    <t>1,2,2,2,4,2,3,3</t>
  </si>
  <si>
    <t>1,2,3,3,2,3,4,4</t>
  </si>
  <si>
    <t>2,1,2,3,4,2,3,4</t>
  </si>
  <si>
    <t>1,1,2,3,3,4,4,3</t>
  </si>
  <si>
    <t>1,4,3,2,3,3,2,4</t>
  </si>
  <si>
    <t>1,1,1,3,3,3,4,4</t>
  </si>
  <si>
    <t>1,2,2,4,3,3,2,2</t>
  </si>
  <si>
    <t>2,2,2,2,2,3,4,2</t>
  </si>
  <si>
    <t>1,2,2,2,3,3,4,4</t>
  </si>
  <si>
    <t>1,1,1,2,3,3,4,3</t>
  </si>
  <si>
    <t>1,1,1,1,1,3,3,4</t>
  </si>
  <si>
    <t>1,1,4,2,2,4,4,2</t>
  </si>
  <si>
    <t>1,2,2,2,4,2,2,3</t>
  </si>
  <si>
    <t>2,1,2,2,4,3,2,4</t>
  </si>
  <si>
    <t>2,2,4,3,3,2,4,4</t>
  </si>
  <si>
    <t>1,2,4,3,4,2,2,4</t>
  </si>
  <si>
    <t>2,2,4,3,4,3,2,4</t>
  </si>
  <si>
    <t>1,2,1,2,4,4,3,4</t>
  </si>
  <si>
    <t>1,2,3,3,4,3,3,2</t>
  </si>
  <si>
    <t>1,1,2,2,2,2,3,4</t>
  </si>
  <si>
    <t>1,1,2,2,3,2,3,4</t>
  </si>
  <si>
    <t>1,1,4,4,3,4,4,3</t>
  </si>
  <si>
    <t>1,2,2,4,4,4,4,4</t>
  </si>
  <si>
    <t>1,2,2,2,4,4,2,4</t>
  </si>
  <si>
    <t>1,1,2,4,3,4,2,3</t>
  </si>
  <si>
    <t>2,2,3,3,3,3,4,4</t>
  </si>
  <si>
    <t>1,1,1,2,4,2,2,2</t>
  </si>
  <si>
    <t>1,1,1,2,3,4,2,4</t>
  </si>
  <si>
    <t>2,1,1,3,4,2,3,3</t>
  </si>
  <si>
    <t>2,1,2,3,4,4,4,2</t>
  </si>
  <si>
    <t>1,1,1,3,2,3,4,4</t>
  </si>
  <si>
    <t>2,2,1,2,3,3,3,4</t>
  </si>
  <si>
    <t>1,1,2,1,4,3,3,4</t>
  </si>
  <si>
    <t>1,1,1,2,2,2,2,4</t>
  </si>
  <si>
    <t>1,2,2,4,3,2,4,4</t>
  </si>
  <si>
    <t>1,1,2,3,4,3,4,3</t>
  </si>
  <si>
    <t>1,1,1,4,3,3,2,3</t>
  </si>
  <si>
    <t>1,1,2,2,3,4,4,4</t>
  </si>
  <si>
    <t>1,2,2,1,3,4,3,2</t>
  </si>
  <si>
    <t>2,2,2,2,4,3,3,3</t>
  </si>
  <si>
    <t>2,2,2,2,3,4,2,3</t>
  </si>
  <si>
    <t>2,2,1,3,4,2,2,2</t>
  </si>
  <si>
    <t>1,1,2,2,4,3,4,2</t>
  </si>
  <si>
    <t>1,2,1,2,3,3,4,3</t>
  </si>
  <si>
    <t>1,1,2,2,1,4,4,2</t>
  </si>
  <si>
    <t>1,2,2,4,4,2,4,3</t>
  </si>
  <si>
    <t>1,1,2,4,3,2,2,3</t>
  </si>
  <si>
    <t>1,1,1,2,4,4,2,4</t>
  </si>
  <si>
    <t>2,1,3,3,3,3,4,2</t>
  </si>
  <si>
    <t>1,2,2,3,3,2,4,3</t>
  </si>
  <si>
    <t>1,1,2,3,2,4,3,4</t>
  </si>
  <si>
    <t>1,2,2,4,4,4,3,2</t>
  </si>
  <si>
    <t>1,2,2,2,3,2,4,3</t>
  </si>
  <si>
    <t>1,1,1,4,3,4,3,4</t>
  </si>
  <si>
    <t>1,1,2,1,3,2,3,2</t>
  </si>
  <si>
    <t>1,1,4,4,2,4,2,3</t>
  </si>
  <si>
    <t>1,2,2,4,3,4,4,2</t>
  </si>
  <si>
    <t>1,2,3,2,3,4,3,4</t>
  </si>
  <si>
    <t>1,1,1,1,4,2,4,4</t>
  </si>
  <si>
    <t>1,1,1,3,4,4,3,4</t>
  </si>
  <si>
    <t>2,2,2,4,2,3,4,3</t>
  </si>
  <si>
    <t>1,1,1,4,3,2,2,2</t>
  </si>
  <si>
    <t>1,2,4,3,2,4,3,2</t>
  </si>
  <si>
    <t>1,1,1,2,3,3,3,4</t>
  </si>
  <si>
    <t>1,2,4,3,2,4,4,3</t>
  </si>
  <si>
    <t>1,4,4,4,4,3,2,4</t>
  </si>
  <si>
    <t>2,1,1,4,4,2,4,3</t>
  </si>
  <si>
    <t>1,1,1,2,4,4,2,2</t>
  </si>
  <si>
    <t>1,2,1,2,2,2,4,3</t>
  </si>
  <si>
    <t>2,3,3,4,2,3,4,2</t>
  </si>
  <si>
    <t>1,1,2,4,2,2,3,3</t>
  </si>
  <si>
    <t>1,4,2,4,4,4,4,3</t>
  </si>
  <si>
    <t>2,2,2,2,2,4,2,4</t>
  </si>
  <si>
    <t>2,2,2,4,4,3,2,3</t>
  </si>
  <si>
    <t>1,2,2,3,3,3,4,2</t>
  </si>
  <si>
    <t>1,1,1,4,4,3,2,2</t>
  </si>
  <si>
    <t>1,2,1,2,4,3,3,2</t>
  </si>
  <si>
    <t>1,2,1,4,2,3,2,2</t>
  </si>
  <si>
    <t>1,2,2,4,4,3,3,2</t>
  </si>
  <si>
    <t>1,1,2,1,2,2,4,3</t>
  </si>
  <si>
    <t>1,1,2,1,1,4,3,4</t>
  </si>
  <si>
    <t>1,2,1,3,4,2,2,3</t>
  </si>
  <si>
    <t>1,1,2,2,2,4,3,3</t>
  </si>
  <si>
    <t>1,1,2,4,2,3,3,3</t>
  </si>
  <si>
    <t>14,5,8,3,101,1,2,4</t>
  </si>
  <si>
    <t>1,1,2,2,4,4,4,3</t>
  </si>
  <si>
    <t>1,2,1,1,3,3,4,3</t>
  </si>
  <si>
    <t>1,1,1,3,3,4,2,3</t>
  </si>
  <si>
    <t>1,1,1,1,3,3,4,4</t>
  </si>
  <si>
    <t>1,2,1,3,4,2,4,3</t>
  </si>
  <si>
    <t>1,1,2,1,2,4,2,2</t>
  </si>
  <si>
    <t>1,2,4,4,2,2,2,2</t>
  </si>
  <si>
    <t>1,1,2,1,1,3,2,4</t>
  </si>
  <si>
    <t>1,1,1,3,3,4,3,3</t>
  </si>
  <si>
    <t>1,2,2,3,4,3,4,3</t>
  </si>
  <si>
    <t>1,1,2,3,4,3,3,4</t>
  </si>
  <si>
    <t>1,1,1,4,4,4,2,4</t>
  </si>
  <si>
    <t>1,1,4,4,4,2,3,4</t>
  </si>
  <si>
    <t>2,2,1,4,2,3,2,3</t>
  </si>
  <si>
    <t>1,1,3,3,4,2,2,4</t>
  </si>
  <si>
    <t>1,2,2,2,3,2,4,4</t>
  </si>
  <si>
    <t>2,2,2,2,2,2,3,4</t>
  </si>
  <si>
    <t>1,2,1,1,3,4,3,3</t>
  </si>
  <si>
    <t>1,2,4,2,3,2,4,4</t>
  </si>
  <si>
    <t>1,1,1,4,4,4,2,3</t>
  </si>
  <si>
    <t>2,2,4,2,3,2,3,3</t>
  </si>
  <si>
    <t>1,1,2,2,1,3,2,3</t>
  </si>
  <si>
    <t>13,101,3,2,5,8,1,4</t>
  </si>
  <si>
    <t>1,1,1,3,4,2,3,4</t>
  </si>
  <si>
    <t>1,1,1,1,2,2,2,4</t>
  </si>
  <si>
    <t>1,1,3,2,3,4,2,4</t>
  </si>
  <si>
    <t>2,1,3,4,4,2,3,4</t>
  </si>
  <si>
    <t>1,1,2,1,3,4,3,4</t>
  </si>
  <si>
    <t>1,2,1,2,3,2,3,4</t>
  </si>
  <si>
    <t>1,1,2,3,5,5,5,2</t>
  </si>
  <si>
    <t>1,2,2,3,4,2,4,4</t>
  </si>
  <si>
    <t>1,1,1,3,2,5,4,5</t>
  </si>
  <si>
    <t>1,2,1,3,2,4,3,4</t>
  </si>
  <si>
    <t>1,3,2,4,3,4,4,2</t>
  </si>
  <si>
    <t>2,2,4,3,4,4,2,3</t>
  </si>
  <si>
    <t>1,1,3,2,5,5,4,2</t>
  </si>
  <si>
    <t>2,2,3,3,2,4,4,4</t>
  </si>
  <si>
    <t>1,1,1,3,3,3,5,4</t>
  </si>
  <si>
    <t>1,2,2,5,3,2,4,3</t>
  </si>
  <si>
    <t>1,1,2,2,4,3,2,2</t>
  </si>
  <si>
    <t>1,1,1,2,5,2,4,2</t>
  </si>
  <si>
    <t>1,1,3,3,2,5,4,2</t>
  </si>
  <si>
    <t>2,2,2,3,4,4,3,2</t>
  </si>
  <si>
    <t>1,1,3,2,1,4,4,4</t>
  </si>
  <si>
    <t>1,1,3,3,4,2,5,2</t>
  </si>
  <si>
    <t>1,1,2,3,5,5,2,3</t>
  </si>
  <si>
    <t>1,1,3,3,4,4,2,4</t>
  </si>
  <si>
    <t>1,1,1,3,2,4,2,3</t>
  </si>
  <si>
    <t>1,1,2,2,3,3,4,2</t>
  </si>
  <si>
    <t>1,1,1,3,1,2,3,4</t>
  </si>
  <si>
    <t>1,1,1,1,2,4,2,4</t>
  </si>
  <si>
    <t>1,1,3,1,3,4,3,5</t>
  </si>
  <si>
    <t>1,1,2,3,2,2,4,2</t>
  </si>
  <si>
    <t>1,1,2,1,1,2,4,2</t>
  </si>
  <si>
    <t>2,2,4,4,5,3,3,3</t>
  </si>
  <si>
    <t>1,1,1,3,3,2,4,3</t>
  </si>
  <si>
    <t>1,1,3,2,5,5,5,3</t>
  </si>
  <si>
    <t>1,1,3,4,3,3,2,4</t>
  </si>
  <si>
    <t>1,2,1,5,5,3,2,2</t>
  </si>
  <si>
    <t>1,1,3,3,3,2,4,4</t>
  </si>
  <si>
    <t>1,1,1,3,3,5,5,3</t>
  </si>
  <si>
    <t>1,2,2,2,5,4,2,3</t>
  </si>
  <si>
    <t>1,1,3,3,1,3,4,5</t>
  </si>
  <si>
    <t>1,2,2,3,5,2,2,3</t>
  </si>
  <si>
    <t>2,3,3,2,4,2,3,3</t>
  </si>
  <si>
    <t>1,1,2,1,3,4,5,3</t>
  </si>
  <si>
    <t>1,1,3,2,3,5,4,5</t>
  </si>
  <si>
    <t>1,1,1,1,3,5,5,4</t>
  </si>
  <si>
    <t>1,1,3,3,3,4,4,3</t>
  </si>
  <si>
    <t>1,1,2,2,5,4,5,2</t>
  </si>
  <si>
    <t>1,1,3,2,2,2,4,3</t>
  </si>
  <si>
    <t>1,1,2,3,2,4,3,5</t>
  </si>
  <si>
    <t>1,1,1,5,3,4,4,3</t>
  </si>
  <si>
    <t>1,2,3,2,3,5,4,4</t>
  </si>
  <si>
    <t>1,4,5,3,3,5,5,4</t>
  </si>
  <si>
    <t>3,1,1,3,4,4,4,4</t>
  </si>
  <si>
    <t>1,1,1,3,2,2,3,4</t>
  </si>
  <si>
    <t>1,2,1,4,4,3,5,3</t>
  </si>
  <si>
    <t>1,1,1,2,2,3,4,3</t>
  </si>
  <si>
    <t>1,1,1,2,1,2,5,3</t>
  </si>
  <si>
    <t>1,1,1,3,3,5,3,5</t>
  </si>
  <si>
    <t>1,3,2,3,4,4,5,4</t>
  </si>
  <si>
    <t>1,1,3,2,4,5,3,5</t>
  </si>
  <si>
    <t>1,3,3,3,4,5,5,3</t>
  </si>
  <si>
    <t>1,1,3,5,3,4,4,5</t>
  </si>
  <si>
    <t>1,1,2,4,3,3,4,4</t>
  </si>
  <si>
    <t>1,1,3,1,5,3,4,4</t>
  </si>
  <si>
    <t>1,1,2,5,4,5,3,4</t>
  </si>
  <si>
    <t>1,1,1,2,5,5,3,4</t>
  </si>
  <si>
    <t>1,1,3,2,4,5,5,5</t>
  </si>
  <si>
    <t>1,1,2,2,3,5,5,5</t>
  </si>
  <si>
    <t>1,1,1,3,3,3,3,4</t>
  </si>
  <si>
    <t>1,1,2,3,4,3,3,5</t>
  </si>
  <si>
    <t>1,1,3,4,3,4,5,3</t>
  </si>
  <si>
    <t>1,1,3,3,4,5,5,4</t>
  </si>
  <si>
    <t>1,1,3,5,3,4,4,3</t>
  </si>
  <si>
    <t>1,1,3,3,4,4,5,4</t>
  </si>
  <si>
    <t>1,3,3,5,5,4,4,5</t>
  </si>
  <si>
    <t>1,3,1,2,3,3,4,4</t>
  </si>
  <si>
    <t>1,2,3,4,5,5,4,5</t>
  </si>
  <si>
    <t>1,1,2,5,6,5,3,5</t>
  </si>
  <si>
    <t>1,1,3,4,4,3,3,5</t>
  </si>
  <si>
    <t>1,3,4,3,3,4,6,3</t>
  </si>
  <si>
    <t>1,1,1,3,5,5,5,4</t>
  </si>
  <si>
    <t>1,1,3,3,5,3,3,4</t>
  </si>
  <si>
    <t>1,1,1,1,3,4,3,3</t>
  </si>
  <si>
    <t>1,1,3,2,3,5,5,5</t>
  </si>
  <si>
    <t>1,1,4,4,3,3,5,5</t>
  </si>
  <si>
    <t>1,1,2,1,4,3,4,5</t>
  </si>
  <si>
    <t>1,1,3,3,3,4,5,5</t>
  </si>
  <si>
    <t>14,101,7,4,2,1,5,8</t>
  </si>
  <si>
    <t>13,101,5,4,2,1,7,8</t>
  </si>
  <si>
    <t>5,4,8,1,2,3,101,7</t>
  </si>
  <si>
    <t>101,2,5,1,7,8,4,3</t>
  </si>
  <si>
    <t>14,13,5,101,7,1,4,2</t>
  </si>
  <si>
    <t>13,4,1,101,8,3,2,7</t>
  </si>
  <si>
    <t>101,1,4,7,5,8,3,2</t>
  </si>
  <si>
    <t>14,8,5,4,1,3,101,7</t>
  </si>
  <si>
    <t>103,5,7,1,3,8,2,4</t>
  </si>
  <si>
    <t>14,103,8,2,5,7,4,101</t>
  </si>
  <si>
    <t>13,7,4,1,2,8,3,5</t>
  </si>
  <si>
    <t>3,8,7,5,2,4,101,1</t>
  </si>
  <si>
    <t>8,3,101,5,7,2,4,1</t>
  </si>
  <si>
    <t>13,101,3,8,4,2,1,7</t>
  </si>
  <si>
    <t>13,101,1,4,5,7,2,8</t>
  </si>
  <si>
    <t>14,4,5,8,1,7,101,2</t>
  </si>
  <si>
    <t>14,101,1,3,8,7,4,2</t>
  </si>
  <si>
    <t>13,14,5,1,8,4,7,3</t>
  </si>
  <si>
    <t>7,1,2,5,8,3,4,101</t>
  </si>
  <si>
    <t>103,5,2,101,8,1,3,7</t>
  </si>
  <si>
    <t>13,103,101,7,8,1,3,5</t>
  </si>
  <si>
    <t>14,3,7,8,5,4,1,2</t>
  </si>
  <si>
    <t>2,7,4,3,5,101,1,8</t>
  </si>
  <si>
    <t>14,3,4,1,8,5,101,7</t>
  </si>
  <si>
    <t>2,3,4,101,5,7,8,1</t>
  </si>
  <si>
    <t>1,5,7,2,4,101,8,3</t>
  </si>
  <si>
    <t>13,2,5,7,3,101,1,8</t>
  </si>
  <si>
    <t>13,14,5,101,2,3,7,8</t>
  </si>
  <si>
    <t>103,13,7,8,5,2,4,3</t>
  </si>
  <si>
    <t>16,13,103,5,2,4,3,7</t>
  </si>
  <si>
    <t>16,14,8,5,2,7,1,101</t>
  </si>
  <si>
    <t>103,101,3,7,5,8,1,4</t>
  </si>
  <si>
    <t>17,13,14,8,2,5,4,3</t>
  </si>
  <si>
    <t>17,13,4,1,2,7,5,101</t>
  </si>
  <si>
    <t>13,14,4,8,101,7,3,2</t>
  </si>
  <si>
    <t>13,7,101,5,8,3,1,2</t>
  </si>
  <si>
    <t>17,14,103,2,8,7,101,4</t>
  </si>
  <si>
    <t>3,7,5,2,4,1,101,8</t>
  </si>
  <si>
    <t>2,1,2,2,2,1,2,2</t>
  </si>
  <si>
    <t>103,7,2,5,4,101,8,3</t>
  </si>
  <si>
    <t>3,1,4,5,2,8,7,101</t>
  </si>
  <si>
    <t>13,2,8,5,4,3,7,101</t>
  </si>
  <si>
    <t>16,13,7,4,5,101,3,2</t>
  </si>
  <si>
    <t>14,13,1,2,4,3,101,5</t>
  </si>
  <si>
    <t>103,13,5,2,8,101,1,3</t>
  </si>
  <si>
    <t>14,5,2,101,4,8,7,3</t>
  </si>
  <si>
    <t>14,103,101,2,7,1,5,3</t>
  </si>
  <si>
    <t>16,13,101,8,2,3,4,1</t>
  </si>
  <si>
    <t>14,8,1,3,7,101,5,4</t>
  </si>
  <si>
    <t>101,7,3,8,4,5,1,2</t>
  </si>
  <si>
    <t>103,5,1,3,7,101,4,8</t>
  </si>
  <si>
    <t>14,101,2,1,4,8,7,3</t>
  </si>
  <si>
    <t>103,13,3,1,101,5,7,8</t>
  </si>
  <si>
    <t>13,2,101,7,8,3,4,1</t>
  </si>
  <si>
    <t>16,13,7,3,2,4,5,101</t>
  </si>
  <si>
    <t>101,5,1,4,8,7,2,3</t>
  </si>
  <si>
    <t>13,14,4,2,5,3,101,1</t>
  </si>
  <si>
    <t>4,8,101,1,7,3,5,2</t>
  </si>
  <si>
    <t>101,8,7,2,3,4,5,1</t>
  </si>
  <si>
    <t>17,13,103,5,2,101,3,8</t>
  </si>
  <si>
    <t>103,5,7,3,1,101,8,4</t>
  </si>
  <si>
    <t>103,1,8,7,4,5,101,2</t>
  </si>
  <si>
    <t>16,14,13,101,5,1,4,8</t>
  </si>
  <si>
    <t>16,5,1,3,7,8,101,4</t>
  </si>
  <si>
    <t>13,103,2,1,3,8,7,101</t>
  </si>
  <si>
    <t>4,2,1,7,5,3,101,8</t>
  </si>
  <si>
    <t>103,14,2,4,8,1,7,5</t>
  </si>
  <si>
    <t>14,103,8,7,4,5,1,2</t>
  </si>
  <si>
    <t>101,4,8,1,2,7,5,3</t>
  </si>
  <si>
    <t>2,2,1,1,2,1,2,1</t>
  </si>
  <si>
    <t>17,13,14,4,8,1,7,101</t>
  </si>
  <si>
    <t>103,14,3,8,5,2,1,101</t>
  </si>
  <si>
    <t>16,14,13,4,5,1,8,101</t>
  </si>
  <si>
    <t>7,8,4,1,101,3,2,5</t>
  </si>
  <si>
    <t>16,103,3,2,1,4,7,101</t>
  </si>
  <si>
    <t>103,101,3,5,8,1,4,2</t>
  </si>
  <si>
    <t>13,1,2,7,8,5,3,4</t>
  </si>
  <si>
    <t>16,14,101,1,3,5,4,2</t>
  </si>
  <si>
    <t>17,103,13,7,1,3,2,8</t>
  </si>
  <si>
    <t>14,13,2,7,3,1,4,5</t>
  </si>
  <si>
    <t>103,2,5,101,8,4,7,1</t>
  </si>
  <si>
    <t>103,13,1,4,8,3,101,7</t>
  </si>
  <si>
    <t>13,101,3,8,7,4,5,2</t>
  </si>
  <si>
    <t>7,3,101,8,4,2,1,5</t>
  </si>
  <si>
    <t>17,13,103,5,1,3,7,8</t>
  </si>
  <si>
    <t>14,103,4,2,3,1,101,7</t>
  </si>
  <si>
    <t>17,14,7,4,5,2,3,1</t>
  </si>
  <si>
    <t>17,14,1,101,7,2,5,3</t>
  </si>
  <si>
    <t>17,3,5,7,4,2,8,101</t>
  </si>
  <si>
    <t>14,13,7,8,2,1,3,5</t>
  </si>
  <si>
    <t>103,8,5,2,7,101,3,4</t>
  </si>
  <si>
    <t>14,4,8,5,2,3,101,1</t>
  </si>
  <si>
    <t>14,4,7,2,3,1,5,101</t>
  </si>
  <si>
    <t>103,13,7,5,101,4,8,2</t>
  </si>
  <si>
    <t>103,8,5,7,4,3,1,101</t>
  </si>
  <si>
    <t>103,13,101,1,3,4,2,7</t>
  </si>
  <si>
    <t>13,103,1,8,5,3,4,2</t>
  </si>
  <si>
    <t>13,3,5,8,101,2,4,7</t>
  </si>
  <si>
    <t>1,4,7,5,8,3,2,101</t>
  </si>
  <si>
    <t>16,13,14,5,8,3,1,101</t>
  </si>
  <si>
    <t>13,101,8,3,5,2,1,7</t>
  </si>
  <si>
    <t>14,5,3,4,1,101,8,7</t>
  </si>
  <si>
    <t>7,2,8,4,101,3,1,5</t>
  </si>
  <si>
    <t>8,2,101,5,7,1,3,4</t>
  </si>
  <si>
    <t>13,1,7,5,8,101,3,2</t>
  </si>
  <si>
    <t>16,103,2,101,5,7,8,1</t>
  </si>
  <si>
    <t>14,3,5,101,7,1,4,2</t>
  </si>
  <si>
    <t>103,3,8,5,101,4,2,7</t>
  </si>
  <si>
    <t>14,101,8,5,1,3,2,7</t>
  </si>
  <si>
    <t>14,101,7,3,1,5,8,2</t>
  </si>
  <si>
    <t>13,14,7,3,2,5,101,1</t>
  </si>
  <si>
    <t>14,4,2,7,1,8,3,5</t>
  </si>
  <si>
    <t>16,13,3,2,101,5,4,7</t>
  </si>
  <si>
    <t>8,3,2,5,101,7,1,4</t>
  </si>
  <si>
    <t>3,8,7,2,5,1,101,4</t>
  </si>
  <si>
    <t>3,5,2,1,4,7,101,8</t>
  </si>
  <si>
    <t>2,2,2,1,1,2,1,1</t>
  </si>
  <si>
    <t>103,13,4,101,1,2,5,7</t>
  </si>
  <si>
    <t>14,101,2,7,8,3,5,4</t>
  </si>
  <si>
    <t>103,13,1,7,3,4,2,8</t>
  </si>
  <si>
    <t>103,2,7,4,8,101,3,1</t>
  </si>
  <si>
    <t>103,7,3,5,8,101,2,4</t>
  </si>
  <si>
    <t>17,14,103,1,2,8,3,101</t>
  </si>
  <si>
    <t>14,103,1,4,3,7,101,8</t>
  </si>
  <si>
    <t>16,103,14,3,1,5,2,8</t>
  </si>
  <si>
    <t>13,1,7,4,8,3,101,2</t>
  </si>
  <si>
    <t>16,13,103,7,3,101,1,2</t>
  </si>
  <si>
    <t>103,14,1,2,4,5,101,8</t>
  </si>
  <si>
    <t>16,14,13,101,1,7,8,5</t>
  </si>
  <si>
    <t>103,14,4,5,1,2,7,3</t>
  </si>
  <si>
    <t>14,103,8,2,3,101,4,7</t>
  </si>
  <si>
    <t>14,101,3,5,1,2,4,8</t>
  </si>
  <si>
    <t>17,14,4,2,101,8,1,3</t>
  </si>
  <si>
    <t>7,4,101,5,3,2,1,8</t>
  </si>
  <si>
    <t>103,13,1,2,5,4,8,101</t>
  </si>
  <si>
    <t>103,8,2,5,4,101,7,1</t>
  </si>
  <si>
    <t>14,103,3,1,4,7,8,5</t>
  </si>
  <si>
    <t>13,14,7,4,3,1,101,2</t>
  </si>
  <si>
    <t>14,103,1,7,8,2,101,5</t>
  </si>
  <si>
    <t>103,13,4,5,1,2,7,101</t>
  </si>
  <si>
    <t>3,7,1,4,5,101,2,8</t>
  </si>
  <si>
    <t>13,4,7,1,3,101,5,2</t>
  </si>
  <si>
    <t>103,13,3,8,2,7,5,1</t>
  </si>
  <si>
    <t>103,3,5,4,8,101,7,1</t>
  </si>
  <si>
    <t>14,13,8,5,4,1,7,3</t>
  </si>
  <si>
    <t>13,103,5,101,8,1,2,7</t>
  </si>
  <si>
    <t>13,5,8,1,4,2,3,7</t>
  </si>
  <si>
    <t>13,14,4,7,8,101,2,3</t>
  </si>
  <si>
    <t>13,5,1,3,8,7,101,4</t>
  </si>
  <si>
    <t>16,14,13,8,1,4,3,101</t>
  </si>
  <si>
    <t>13,14,1,7,3,2,4,8</t>
  </si>
  <si>
    <t>16,14,103,7,8,3,5,101</t>
  </si>
  <si>
    <t>2,3,1,5,101,8,7,4</t>
  </si>
  <si>
    <t>16,5,2,3,7,1,101,8</t>
  </si>
  <si>
    <t>103,101,5,7,4,3,2,8</t>
  </si>
  <si>
    <t>5,3,8,7,4,2,1,101</t>
  </si>
  <si>
    <t>2,2,1,2,2,1,1,1</t>
  </si>
  <si>
    <t>103,3,7,4,5,2,8,1</t>
  </si>
  <si>
    <t>7,5,1,3,8,2,4,101</t>
  </si>
  <si>
    <t>2,2,1,2,2,2,1,1</t>
  </si>
  <si>
    <t>14,1,3,8,7,2,4,101</t>
  </si>
  <si>
    <t>13,3,8,2,101,7,5,1</t>
  </si>
  <si>
    <t>2,3,8,7,4,101,5,1</t>
  </si>
  <si>
    <t>2,8,101,3,4,7,5,1</t>
  </si>
  <si>
    <t>13,7,4,101,5,1,8,2</t>
  </si>
  <si>
    <t>16,13,14,3,2,1,7,5</t>
  </si>
  <si>
    <t>13,1,8,101,4,2,3,7</t>
  </si>
  <si>
    <t>16,14,4,101,1,5,7,8</t>
  </si>
  <si>
    <t>17,13,14,1,2,8,5,3</t>
  </si>
  <si>
    <t>8,101,7,4,1,5,2,3</t>
  </si>
  <si>
    <t>13,1,101,7,3,8,2,4</t>
  </si>
  <si>
    <t>14,2,5,101,3,1,7,8</t>
  </si>
  <si>
    <t>16,13,7,8,2,1,101,5</t>
  </si>
  <si>
    <t>17,103,14,1,8,3,2,101</t>
  </si>
  <si>
    <t>14,7,8,5,1,4,2,3</t>
  </si>
  <si>
    <t>2,7,8,5,4,3,101,1</t>
  </si>
  <si>
    <t>103,14,1,5,101,7,2,4</t>
  </si>
  <si>
    <t>16,101,7,2,1,8,3,5</t>
  </si>
  <si>
    <t>103,13,1,4,101,3,8,5</t>
  </si>
  <si>
    <t>16,103,3,7,1,2,8,4</t>
  </si>
  <si>
    <t>13,14,3,2,5,1,7,101</t>
  </si>
  <si>
    <t>13,3,7,101,1,8,5,2</t>
  </si>
  <si>
    <t>103,13,7,3,5,2,1,101</t>
  </si>
  <si>
    <t>17,103,2,4,5,8,101,7</t>
  </si>
  <si>
    <t>13,14,5,8,2,4,1,3</t>
  </si>
  <si>
    <t>101,7,8,5,2,4,1,3</t>
  </si>
  <si>
    <t>3,8,1,2,101,7,4,5</t>
  </si>
  <si>
    <t>103,13,4,101,5,1,8,7</t>
  </si>
  <si>
    <t>17,103,13,5,1,7,3,101</t>
  </si>
  <si>
    <t>103,101,8,7,2,1,4,3</t>
  </si>
  <si>
    <t>103,7,8,2,5,4,3,1</t>
  </si>
  <si>
    <t>103,14,5,7,2,101,8,3</t>
  </si>
  <si>
    <t>16,13,5,101,8,4,1,2</t>
  </si>
  <si>
    <t>16,103,7,3,8,5,4,101</t>
  </si>
  <si>
    <t>8,3,4,101,2,7,1,5</t>
  </si>
  <si>
    <t>17,14,3,2,8,4,7,1</t>
  </si>
  <si>
    <t>13,8,3,101,1,2,5,4</t>
  </si>
  <si>
    <t>20,13,103,1,3,8,101,4</t>
  </si>
  <si>
    <t>13,3,5,7,4,101,2,1</t>
  </si>
  <si>
    <t>103,13,101,1,7,5,2,3</t>
  </si>
  <si>
    <t>13,7,5,101,4,2,1,8</t>
  </si>
  <si>
    <t>14,13,4,3,8,5,2,7</t>
  </si>
  <si>
    <t>103,3,7,1,2,8,5,4</t>
  </si>
  <si>
    <t>103,13,4,5,2,3,8,7</t>
  </si>
  <si>
    <t>16,103,1,101,7,4,5,8</t>
  </si>
  <si>
    <t>2,8,5,101,1,3,7,4</t>
  </si>
  <si>
    <t>13,7,8,1,2,3,4,5</t>
  </si>
  <si>
    <t>103,14,8,101,4,7,1,5</t>
  </si>
  <si>
    <t>13,7,5,101,2,3,8,4</t>
  </si>
  <si>
    <t>14,3,101,4,8,1,7,5</t>
  </si>
  <si>
    <t>20,4,8,1,3,101,2,5</t>
  </si>
  <si>
    <t>13,1,7,3,4,101,8,2</t>
  </si>
  <si>
    <t>103,2,5,101,8,3,7,1</t>
  </si>
  <si>
    <t>13,14,101,7,5,8,1,3</t>
  </si>
  <si>
    <t>16,14,101,1,2,4,5,8</t>
  </si>
  <si>
    <t>13,101,1,3,2,8,4,7</t>
  </si>
  <si>
    <t>103,14,4,8,3,2,5,7</t>
  </si>
  <si>
    <t>103,14,3,8,101,5,1,4</t>
  </si>
  <si>
    <t>17,103,7,8,5,2,101,4</t>
  </si>
  <si>
    <t>17,14,13,101,4,7,8,1</t>
  </si>
  <si>
    <t>14,13,1,3,2,8,4,101</t>
  </si>
  <si>
    <t>14,2,5,1,101,4,8,7</t>
  </si>
  <si>
    <t>13,103,5,2,4,3,101,1</t>
  </si>
  <si>
    <t>103,14,5,101,2,4,8,7</t>
  </si>
  <si>
    <t>103,14,101,7,8,2,1,4</t>
  </si>
  <si>
    <t>16,103,3,4,7,8,101,5</t>
  </si>
  <si>
    <t>14,103,8,1,101,4,3,2</t>
  </si>
  <si>
    <t>14,103,2,3,5,7,1,8</t>
  </si>
  <si>
    <t>14,103,2,101,3,4,1,7</t>
  </si>
  <si>
    <t>17,103,4,1,7,3,5,101</t>
  </si>
  <si>
    <t>13,101,2,8,5,3,1,4</t>
  </si>
  <si>
    <t>14,3,5,2,101,7,1,4</t>
  </si>
  <si>
    <t>20,1,7,101,2,3,8,4</t>
  </si>
  <si>
    <t>13,14,7,4,101,5,3,8</t>
  </si>
  <si>
    <t>20,103,2,4,101,8,7,5</t>
  </si>
  <si>
    <t>20,13,103,7,101,2,1,5</t>
  </si>
  <si>
    <t>13,103,3,8,4,1,101,2</t>
  </si>
  <si>
    <t>14,7,3,2,1,8,5,101</t>
  </si>
  <si>
    <t>17,103,4,5,101,2,1,3</t>
  </si>
  <si>
    <t>17,13,14,2,5,3,1,101</t>
  </si>
  <si>
    <t>103,13,2,4,3,1,7,101</t>
  </si>
  <si>
    <t>103,13,4,2,5,3,1,7</t>
  </si>
  <si>
    <t>103,13,1,3,4,2,7,101</t>
  </si>
  <si>
    <t>103,14,4,1,5,101,8,3</t>
  </si>
  <si>
    <t>103,101,1,7,5,4,8,2</t>
  </si>
  <si>
    <t>14,13,8,1,101,3,5,4</t>
  </si>
  <si>
    <t>14,101,7,8,1,2,5,4</t>
  </si>
  <si>
    <t>103,13,7,8,3,2,4,5</t>
  </si>
  <si>
    <t>13,103,8,7,2,5,4,101</t>
  </si>
  <si>
    <t>20,103,2,7,4,8,1,101</t>
  </si>
  <si>
    <t>17,13,103,1,3,5,2,4</t>
  </si>
  <si>
    <t>5,101,1,3,4,2,7,8</t>
  </si>
  <si>
    <t>2,1,2,1,1,2,2,2</t>
  </si>
  <si>
    <t>7,2,1,5,4,101,8,3</t>
  </si>
  <si>
    <t>20,14,103,2,5,101,4,8</t>
  </si>
  <si>
    <t>17,13,7,1,5,2,3,101</t>
  </si>
  <si>
    <t>16,13,103,2,3,101,1,5</t>
  </si>
  <si>
    <t>16,13,14,101,2,7,3,1</t>
  </si>
  <si>
    <t>13,14,2,7,3,5,101,4</t>
  </si>
  <si>
    <t>103,5,4,2,1,7,8,3</t>
  </si>
  <si>
    <t>16,13,2,4,1,101,8,5</t>
  </si>
  <si>
    <t>103,5,2,1,3,8,4,101</t>
  </si>
  <si>
    <t>103,13,4,2,7,8,101,1</t>
  </si>
  <si>
    <t>16,7,8,1,101,2,5,3</t>
  </si>
  <si>
    <t>20,103,14,4,1,3,2,8</t>
  </si>
  <si>
    <t>13,14,4,1,2,101,8,7</t>
  </si>
  <si>
    <t>14,7,101,3,4,1,8,5</t>
  </si>
  <si>
    <t>13,101,1,2,8,3,7,5</t>
  </si>
  <si>
    <t>13,103,8,4,101,3,5,2</t>
  </si>
  <si>
    <t>17,13,2,8,5,3,101,4</t>
  </si>
  <si>
    <t>16,8,7,2,4,1,5,101</t>
  </si>
  <si>
    <t>103,8,3,1,4,5,7,101</t>
  </si>
  <si>
    <t>103,13,5,3,2,101,7,1</t>
  </si>
  <si>
    <t>103,8,1,2,3,7,4,5</t>
  </si>
  <si>
    <t>103,13,7,3,1,2,101,5</t>
  </si>
  <si>
    <t>13,103,8,4,101,3,1,2</t>
  </si>
  <si>
    <t>14,3,5,4,2,1,8,101</t>
  </si>
  <si>
    <t>17,14,103,1,8,7,5,4</t>
  </si>
  <si>
    <t>16,1,101,3,7,5,8,4</t>
  </si>
  <si>
    <t>13,103,8,2,101,3,5,1</t>
  </si>
  <si>
    <t>103,5,101,4,7,1,3,2</t>
  </si>
  <si>
    <t>20,103,2,7,4,5,1,101</t>
  </si>
  <si>
    <t>13,103,4,1,5,7,8,101</t>
  </si>
  <si>
    <t>14,1,5,2,4,101,8,7</t>
  </si>
  <si>
    <t>101,4,7,3,5,1,2,8</t>
  </si>
  <si>
    <t>2,2,2,2,1,1,2,1</t>
  </si>
  <si>
    <t>17,13,103,8,1,2,7,101</t>
  </si>
  <si>
    <t>103,4,1,8,5,7,2,101</t>
  </si>
  <si>
    <t>13,103,8,2,101,5,1,4</t>
  </si>
  <si>
    <t>20,13,4,7,3,101,5,8</t>
  </si>
  <si>
    <t>17,103,13,8,5,7,4,3</t>
  </si>
  <si>
    <t>13,3,1,8,101,2,5,4</t>
  </si>
  <si>
    <t>17,14,103,2,4,101,5,3</t>
  </si>
  <si>
    <t>103,14,3,7,4,1,2,5</t>
  </si>
  <si>
    <t>13,2,1,101,7,3,5,4</t>
  </si>
  <si>
    <t>103,13,4,101,7,5,3,8</t>
  </si>
  <si>
    <t>14,4,8,5,7,1,3,101</t>
  </si>
  <si>
    <t>16,13,4,3,8,101,2,1</t>
  </si>
  <si>
    <t>20,103,14,101,5,3,8,2</t>
  </si>
  <si>
    <t>13,14,2,5,1,7,4,8</t>
  </si>
  <si>
    <t>16,13,103,2,101,5,3,7</t>
  </si>
  <si>
    <t>14,13,1,2,5,4,101,3</t>
  </si>
  <si>
    <t>14,13,7,5,3,1,4,8</t>
  </si>
  <si>
    <t>103,14,3,101,5,2,8,1</t>
  </si>
  <si>
    <t>103,14,2,1,3,101,4,8</t>
  </si>
  <si>
    <t>14,13,1,2,3,4,101,5</t>
  </si>
  <si>
    <t>17,13,103,3,5,4,1,8</t>
  </si>
  <si>
    <t>14,2,5,8,101,7,3,1</t>
  </si>
  <si>
    <t>20,103,5,7,1,101,8,2</t>
  </si>
  <si>
    <t>103,14,2,101,8,5,7,3</t>
  </si>
  <si>
    <t>103,14,7,101,4,2,3,5</t>
  </si>
  <si>
    <t>20,13,5,8,2,101,4,1</t>
  </si>
  <si>
    <t>13,5,3,7,2,101,1,8</t>
  </si>
  <si>
    <t>14,103,4,7,5,101,8,1</t>
  </si>
  <si>
    <t>103,13,101,4,1,5,8,3</t>
  </si>
  <si>
    <t>20,103,101,2,8,4,1,5</t>
  </si>
  <si>
    <t>13,7,3,8,5,2,4,101</t>
  </si>
  <si>
    <t>13,103,1,7,2,101,3,4</t>
  </si>
  <si>
    <t>13,14,7,1,8,3,4,5</t>
  </si>
  <si>
    <t>14,103,7,4,8,101,3,1</t>
  </si>
  <si>
    <t>14,13,3,2,4,101,7,8</t>
  </si>
  <si>
    <t>14,13,3,5,2,7,8,1</t>
  </si>
  <si>
    <t>16,4,1,7,2,3,5,101</t>
  </si>
  <si>
    <t>13,103,1,7,101,2,4,5</t>
  </si>
  <si>
    <t>103,14,4,7,3,5,1,2</t>
  </si>
  <si>
    <t>14,13,2,7,8,5,101,3</t>
  </si>
  <si>
    <t>17,14,2,4,101,1,3,8</t>
  </si>
  <si>
    <t>16,103,2,1,101,5,8,3</t>
  </si>
  <si>
    <t>17,14,13,5,8,1,101,4</t>
  </si>
  <si>
    <t>20,14,13,8,2,7,4,101</t>
  </si>
  <si>
    <t>14,3,1,7,101,5,4,2</t>
  </si>
  <si>
    <t>14,101,7,2,4,3,1,8</t>
  </si>
  <si>
    <t>103,13,101,1,2,8,7,4</t>
  </si>
  <si>
    <t>103,13,8,5,3,2,7,101</t>
  </si>
  <si>
    <t>19,14,2,4,8,7,101,1</t>
  </si>
  <si>
    <t>17,14,13,2,1,4,101,8</t>
  </si>
  <si>
    <t>13,14,1,101,5,3,2,7</t>
  </si>
  <si>
    <t>20,103,3,7,101,2,5,4</t>
  </si>
  <si>
    <t>16,14,2,7,4,3,8,5</t>
  </si>
  <si>
    <t>103,13,5,101,8,4,3,2</t>
  </si>
  <si>
    <t>17,13,103,1,5,8,3,4</t>
  </si>
  <si>
    <t>19,13,5,7,8,3,1,2</t>
  </si>
  <si>
    <t>17,13,8,7,1,5,3,2</t>
  </si>
  <si>
    <t>16,14,13,2,8,7,4,5</t>
  </si>
  <si>
    <t>19,14,103,8,4,1,5,7</t>
  </si>
  <si>
    <t>19,13,4,101,5,3,2,8</t>
  </si>
  <si>
    <t>17,103,3,5,7,101,4,1</t>
  </si>
  <si>
    <t>17,14,3,7,101,8,2,1</t>
  </si>
  <si>
    <t>16,14,103,1,5,2,8,3</t>
  </si>
  <si>
    <t>20,14,3,8,2,4,1,5</t>
  </si>
  <si>
    <t>17,103,14,1,8,7,3,101</t>
  </si>
  <si>
    <t>16,14,101,8,3,7,4,5</t>
  </si>
  <si>
    <t>13,14,8,3,4,5,2,101</t>
  </si>
  <si>
    <t>14,13,7,3,2,4,8,1</t>
  </si>
  <si>
    <t>14,13,2,3,4,1,101,7</t>
  </si>
  <si>
    <t>103,13,5,1,7,101,8,2</t>
  </si>
  <si>
    <t>13,101,4,3,8,2,5,1</t>
  </si>
  <si>
    <t>14,13,2,4,1,5,101,7</t>
  </si>
  <si>
    <t>16,14,2,8,7,101,1,3</t>
  </si>
  <si>
    <t>13,1,5,8,3,7,101,4</t>
  </si>
  <si>
    <t>20,14,13,2,7,101,8,5</t>
  </si>
  <si>
    <t>13,7,1,4,3,2,8,5</t>
  </si>
  <si>
    <t>13,103,8,2,4,3,7,5</t>
  </si>
  <si>
    <t>13,14,8,7,2,3,1,4</t>
  </si>
  <si>
    <t>13,2,3,7,1,5,8,4</t>
  </si>
  <si>
    <t>14,103,4,2,7,3,5,1</t>
  </si>
  <si>
    <t>19,13,103,5,3,7,8,1</t>
  </si>
  <si>
    <t>19,14,103,5,8,4,2,7</t>
  </si>
  <si>
    <t>13,2,4,8,5,1,7,3</t>
  </si>
  <si>
    <t>14,13,5,1,8,3,101,4</t>
  </si>
  <si>
    <t>17,14,4,3,1,7,2,5</t>
  </si>
  <si>
    <t>19,103,14,4,8,7,1,5</t>
  </si>
  <si>
    <t>19,14,13,5,101,8,3,7</t>
  </si>
  <si>
    <t>17,13,103,2,4,1,3,5</t>
  </si>
  <si>
    <t>13,14,5,101,8,3,4,1</t>
  </si>
  <si>
    <t>13,103,5,101,8,7,2,4</t>
  </si>
  <si>
    <t>16,13,1,5,8,3,4,7</t>
  </si>
  <si>
    <t>14,13,2,4,1,5,3,8</t>
  </si>
  <si>
    <t>103,8,5,2,4,7,101,1</t>
  </si>
  <si>
    <t>20,13,103,2,3,4,5,7</t>
  </si>
  <si>
    <t>103,4,101,8,1,3,2,7</t>
  </si>
  <si>
    <t>16,14,101,5,2,7,8,3</t>
  </si>
  <si>
    <t>14,103,2,8,5,3,1,101</t>
  </si>
  <si>
    <t>103,13,5,7,3,8,4,2</t>
  </si>
  <si>
    <t>103,7,2,8,5,3,4,101</t>
  </si>
  <si>
    <t>19,103,4,5,3,2,8,1</t>
  </si>
  <si>
    <t>13,101,5,4,7,2,8,3</t>
  </si>
  <si>
    <t>14,5,8,7,101,3,4,1</t>
  </si>
  <si>
    <t>14,8,4,101,5,1,2,7</t>
  </si>
  <si>
    <t>19,103,3,7,5,101,8,4</t>
  </si>
  <si>
    <t>17,13,14,5,4,1,101,8</t>
  </si>
  <si>
    <t>19,103,3,4,7,5,1,101</t>
  </si>
  <si>
    <t>19,14,103,5,7,4,1,2</t>
  </si>
  <si>
    <t>14,103,5,8,7,101,1,2</t>
  </si>
  <si>
    <t>17,13,7,8,4,3,101,2</t>
  </si>
  <si>
    <t>14,3,7,2,101,8,5,4</t>
  </si>
  <si>
    <t>14,103,3,4,7,8,1,101</t>
  </si>
  <si>
    <t>17,13,101,1,4,3,7,2</t>
  </si>
  <si>
    <t>14,13,2,101,3,8,5,1</t>
  </si>
  <si>
    <t>13,2,3,1,101,7,4,8</t>
  </si>
  <si>
    <t>19,14,13,3,4,5,7,2</t>
  </si>
  <si>
    <t>20,103,4,8,2,1,7,101</t>
  </si>
  <si>
    <t>14,13,4,7,8,3,5,2</t>
  </si>
  <si>
    <t>13,14,4,1,101,8,5,2</t>
  </si>
  <si>
    <t>13,4,3,2,101,5,7,1</t>
  </si>
  <si>
    <t>20,14,2,101,8,4,1,3</t>
  </si>
  <si>
    <t>103,13,101,2,4,1,8,3</t>
  </si>
  <si>
    <t>103,14,8,5,7,1,2,4</t>
  </si>
  <si>
    <t>13,14,4,101,8,1,5,2</t>
  </si>
  <si>
    <t>20,13,3,7,1,5,2,4</t>
  </si>
  <si>
    <t>103,13,1,7,4,3,5,101</t>
  </si>
  <si>
    <t>14,101,7,2,3,8,5,4</t>
  </si>
  <si>
    <t>19,103,13,1,8,2,7,4</t>
  </si>
  <si>
    <t>103,14,4,7,8,2,3,1</t>
  </si>
  <si>
    <t>19,13,14,7,3,101,1,8</t>
  </si>
  <si>
    <t>103,14,8,5,7,4,3,2</t>
  </si>
  <si>
    <t>13,14,7,5,101,8,2,4</t>
  </si>
  <si>
    <t>13,8,4,7,2,5,3,101</t>
  </si>
  <si>
    <t>14,103,3,7,2,1,101,8</t>
  </si>
  <si>
    <t>14,4,8,3,101,1,5,7</t>
  </si>
  <si>
    <t>17,14,101,5,4,2,7,8</t>
  </si>
  <si>
    <t>14,103,101,1,2,3,8,5</t>
  </si>
  <si>
    <t>103,3,1,4,5,7,101,8</t>
  </si>
  <si>
    <t>13,103,4,7,101,1,5,2</t>
  </si>
  <si>
    <t>17,103,14,2,101,7,5,4</t>
  </si>
  <si>
    <t>13,14,4,5,3,101,2,8</t>
  </si>
  <si>
    <t>20,103,101,4,8,7,2,5</t>
  </si>
  <si>
    <t>20,14,13,8,1,4,5,7</t>
  </si>
  <si>
    <t>20,13,2,7,5,8,1,4</t>
  </si>
  <si>
    <t>13,103,4,2,7,3,101,8</t>
  </si>
  <si>
    <t>13,1,4,3,7,101,8,5</t>
  </si>
  <si>
    <t>103,1,101,5,8,4,7,3</t>
  </si>
  <si>
    <t>103,1,101,8,2,3,5,4</t>
  </si>
  <si>
    <t>16,103,101,4,7,2,3,1</t>
  </si>
  <si>
    <t>20,103,2,3,101,4,8,1</t>
  </si>
  <si>
    <t>14,13,101,2,4,1,5,3</t>
  </si>
  <si>
    <t>17,103,5,1,4,7,101,3</t>
  </si>
  <si>
    <t>103,8,5,4,1,101,3,7</t>
  </si>
  <si>
    <t>20,13,1,8,5,2,7,4</t>
  </si>
  <si>
    <t>16,14,103,5,2,7,3,101</t>
  </si>
  <si>
    <t>13,14,101,2,4,8,5,1</t>
  </si>
  <si>
    <t>103,13,8,4,2,7,101,1</t>
  </si>
  <si>
    <t>103,14,2,4,3,5,101,1</t>
  </si>
  <si>
    <t>14,5,2,7,4,101,3,8</t>
  </si>
  <si>
    <t>17,13,2,7,4,5,101,1</t>
  </si>
  <si>
    <t>103,14,8,1,2,101,3,5</t>
  </si>
  <si>
    <t>103,14,1,4,8,2,3,5</t>
  </si>
  <si>
    <t>16,103,3,1,7,2,5,4</t>
  </si>
  <si>
    <t>19,13,1,2,4,101,3,7</t>
  </si>
  <si>
    <t>13,3,8,5,7,1,4,101</t>
  </si>
  <si>
    <t>103,3,5,2,1,101,7,4</t>
  </si>
  <si>
    <t>17,14,103,4,2,8,1,101</t>
  </si>
  <si>
    <t>13,14,4,101,8,2,7,1</t>
  </si>
  <si>
    <t>17,103,101,7,8,3,4,2</t>
  </si>
  <si>
    <t>103,14,1,8,7,5,3,2</t>
  </si>
  <si>
    <t>14,103,7,4,8,3,101,5</t>
  </si>
  <si>
    <t>13,103,7,8,4,1,3,2</t>
  </si>
  <si>
    <t>14,13,5,1,7,3,8,2</t>
  </si>
  <si>
    <t>103,7,101,4,5,3,1,8</t>
  </si>
  <si>
    <t>13,103,3,5,7,1,4,101</t>
  </si>
  <si>
    <t>19,13,103,101,7,2,1,5</t>
  </si>
  <si>
    <t>19,13,5,101,1,7,3,8</t>
  </si>
  <si>
    <t>13,5,4,8,1,7,3,101</t>
  </si>
  <si>
    <t>17,13,5,8,3,101,4,2</t>
  </si>
  <si>
    <t>20,13,1,3,2,8,101,4</t>
  </si>
  <si>
    <t>13,14,8,101,1,3,2,7</t>
  </si>
  <si>
    <t>20,103,101,8,1,2,4,5</t>
  </si>
  <si>
    <t>19,14,13,3,7,1,5,4</t>
  </si>
  <si>
    <t>16,13,14,4,2,1,7,5</t>
  </si>
  <si>
    <t>17,103,3,8,1,4,2,101</t>
  </si>
  <si>
    <t>13,14,101,2,1,3,4,8</t>
  </si>
  <si>
    <t>16,13,103,7,8,1,3,101</t>
  </si>
  <si>
    <t>103,14,1,3,101,5,4,2</t>
  </si>
  <si>
    <t>14,13,1,5,4,3,7,101</t>
  </si>
  <si>
    <t>20,103,14,3,2,1,5,8</t>
  </si>
  <si>
    <t>13,14,1,7,3,2,5,101</t>
  </si>
  <si>
    <t>17,13,4,1,2,5,7,101</t>
  </si>
  <si>
    <t>16,14,5,7,3,2,4,101</t>
  </si>
  <si>
    <t>16,13,4,101,7,5,3,2</t>
  </si>
  <si>
    <t>103,13,8,5,2,7,1,4</t>
  </si>
  <si>
    <t>103,14,3,8,7,2,101,5</t>
  </si>
  <si>
    <t>16,103,4,2,7,1,3,5</t>
  </si>
  <si>
    <t>14,13,3,101,8,2,5,7</t>
  </si>
  <si>
    <t>20,13,1,101,7,4,8,2</t>
  </si>
  <si>
    <t>17,103,1,8,7,4,101,2</t>
  </si>
  <si>
    <t>14,103,3,2,5,8,1,101</t>
  </si>
  <si>
    <t>103,12,3,8,101,5,1,4</t>
  </si>
  <si>
    <t>20,14,5,101,3,1,2,4</t>
  </si>
  <si>
    <t>1,1,3,3,3,3,3,1</t>
  </si>
  <si>
    <t>20,12,13,8,101,3,4,1</t>
  </si>
  <si>
    <t>16,103,8,7,2,5,3,4</t>
  </si>
  <si>
    <t>1,1,3,1,2,2,1,1</t>
  </si>
  <si>
    <t>19,13,103,1,3,2,4,8</t>
  </si>
  <si>
    <t>17,103,1,5,3,8,7,4</t>
  </si>
  <si>
    <t>14,101,1,8,2,5,7,4</t>
  </si>
  <si>
    <t>16,103,14,1,8,5,2,101</t>
  </si>
  <si>
    <t>16,12,103,8,7,4,1,3</t>
  </si>
  <si>
    <t>12,4,1,7,2,8,5,101</t>
  </si>
  <si>
    <t>1,3,1,2,3,3,3,3</t>
  </si>
  <si>
    <t>13,103,4,8,1,7,2,3</t>
  </si>
  <si>
    <t>1,1,2,3,3,1,3,2</t>
  </si>
  <si>
    <t>17,13,3,7,5,101,4,1</t>
  </si>
  <si>
    <t>1,1,2,2,1,1,1,3</t>
  </si>
  <si>
    <t>19,12,3,8,101,5,7,2</t>
  </si>
  <si>
    <t>13,2,5,3,1,7,8,101</t>
  </si>
  <si>
    <t>19,14,12,7,5,1,2,8</t>
  </si>
  <si>
    <t>103,8,5,1,7,101,3,4</t>
  </si>
  <si>
    <t>1,1,2,1,3,3,3,1</t>
  </si>
  <si>
    <t>17,103,12,1,8,2,3,5</t>
  </si>
  <si>
    <t>12,101,5,4,1,7,2,3</t>
  </si>
  <si>
    <t>20,14,2,8,101,3,7,1</t>
  </si>
  <si>
    <t>1,1,3,3,2,2,1,1</t>
  </si>
  <si>
    <t>16,13,7,4,3,1,8,101</t>
  </si>
  <si>
    <t>1,1,3,2,1,3,2,3</t>
  </si>
  <si>
    <t>16,14,13,4,1,8,101,5</t>
  </si>
  <si>
    <t>13,7,3,8,5,4,101,2</t>
  </si>
  <si>
    <t>1,2,1,1,1,2,1,3</t>
  </si>
  <si>
    <t>17,12,3,5,1,2,7,4</t>
  </si>
  <si>
    <t>103,4,3,1,2,101,5,8</t>
  </si>
  <si>
    <t>1,2,2,2,3,2,3,1</t>
  </si>
  <si>
    <t>14,12,5,7,101,4,8,1</t>
  </si>
  <si>
    <t>103,101,8,7,2,5,4,3</t>
  </si>
  <si>
    <t>1,2,2,3,2,2,1,2</t>
  </si>
  <si>
    <t>103,2,3,7,1,8,101,4</t>
  </si>
  <si>
    <t>13,1,7,3,5,2,4,8</t>
  </si>
  <si>
    <t>1,3,2,3,1,1,1,2</t>
  </si>
  <si>
    <t>20,13,14,101,5,2,8,1</t>
  </si>
  <si>
    <t>19,13,14,2,5,8,101,1</t>
  </si>
  <si>
    <t>13,101,7,3,1,2,8,4</t>
  </si>
  <si>
    <t>103,14,2,3,8,4,101,5</t>
  </si>
  <si>
    <t>14,12,1,3,2,101,7,5</t>
  </si>
  <si>
    <t>13,101,2,8,5,7,1,4</t>
  </si>
  <si>
    <t>1,1,3,1,1,3,2,2</t>
  </si>
  <si>
    <t>12,101,8,2,5,1,3,4</t>
  </si>
  <si>
    <t>1,2,3,2,2,3,2,1</t>
  </si>
  <si>
    <t>12,1,7,5,8,3,101,4</t>
  </si>
  <si>
    <t>1,3,1,2,1,2,1,2</t>
  </si>
  <si>
    <t>19,13,101,7,8,5,4,3</t>
  </si>
  <si>
    <t>20,13,103,3,2,7,101,1</t>
  </si>
  <si>
    <t>103,14,8,7,4,2,1,3</t>
  </si>
  <si>
    <t>12,103,2,5,4,3,7,101</t>
  </si>
  <si>
    <t>12,3,5,1,7,8,4,101</t>
  </si>
  <si>
    <t>14,7,5,101,3,8,4,1</t>
  </si>
  <si>
    <t>103,13,8,3,7,1,5,4</t>
  </si>
  <si>
    <t>1,1,2,2,1,3,1,2</t>
  </si>
  <si>
    <t>12,101,3,2,5,1,7,8</t>
  </si>
  <si>
    <t>1,3,3,3,1,2,1,3</t>
  </si>
  <si>
    <t>103,13,5,4,2,101,3,7</t>
  </si>
  <si>
    <t>103,4,2,101,1,3,8,7</t>
  </si>
  <si>
    <t>19,14,103,2,7,1,101,5</t>
  </si>
  <si>
    <t>19,12,13,5,4,8,101,1</t>
  </si>
  <si>
    <t>14,4,1,5,8,101,3,2</t>
  </si>
  <si>
    <t>1,2,1,1,3,1,2,1</t>
  </si>
  <si>
    <t>16,13,14,4,7,1,101,2</t>
  </si>
  <si>
    <t>103,13,3,5,4,101,8,1</t>
  </si>
  <si>
    <t>1,1,2,1,2,3,1,1</t>
  </si>
  <si>
    <t>14,101,2,7,3,4,8,5</t>
  </si>
  <si>
    <t>1,3,3,2,2,1,2,3</t>
  </si>
  <si>
    <t>16,13,8,7,101,3,4,5</t>
  </si>
  <si>
    <t>20,14,8,5,4,3,101,1</t>
  </si>
  <si>
    <t>1,1,2,1,3,1,3,2</t>
  </si>
  <si>
    <t>16,103,14,5,7,2,4,101</t>
  </si>
  <si>
    <t>1,1,1,3,1,2,3,2</t>
  </si>
  <si>
    <t>12,7,2,4,8,1,101,3</t>
  </si>
  <si>
    <t>20,12,4,101,2,8,1,5</t>
  </si>
  <si>
    <t>1,1,2,1,3,2,1,2</t>
  </si>
  <si>
    <t>20,14,13,5,7,101,8,4</t>
  </si>
  <si>
    <t>12,5,101,1,7,2,4,8</t>
  </si>
  <si>
    <t>1,1,2,3,3,2,1,1</t>
  </si>
  <si>
    <t>14,13,3,2,4,5,1,7</t>
  </si>
  <si>
    <t>20,13,4,101,3,2,7,1</t>
  </si>
  <si>
    <t>103,2,101,1,7,8,5,3</t>
  </si>
  <si>
    <t>13,3,7,101,1,4,5,2</t>
  </si>
  <si>
    <t>1,1,3,1,1,1,2,3</t>
  </si>
  <si>
    <t>16,13,14,2,5,7,3,101</t>
  </si>
  <si>
    <t>20,14,4,101,1,7,3,5</t>
  </si>
  <si>
    <t>16,103,5,8,4,7,101,1</t>
  </si>
  <si>
    <t>19,12,8,4,7,5,2,101</t>
  </si>
  <si>
    <t>16,103,14,2,7,1,101,8</t>
  </si>
  <si>
    <t>1,1,1,3,1,2,1,3</t>
  </si>
  <si>
    <t>12,3,101,7,2,5,4,1</t>
  </si>
  <si>
    <t>103,13,2,3,7,1,8,5</t>
  </si>
  <si>
    <t>20,12,14,101,5,3,8,4</t>
  </si>
  <si>
    <t>16,13,12,101,4,3,7,5</t>
  </si>
  <si>
    <t>20,14,3,4,2,5,101,7</t>
  </si>
  <si>
    <t>103,14,7,3,5,8,2,4</t>
  </si>
  <si>
    <t>12,7,5,2,101,3,1,8</t>
  </si>
  <si>
    <t>103,101,7,4,2,1,3,8</t>
  </si>
  <si>
    <t>19,12,14,3,1,4,5,101</t>
  </si>
  <si>
    <t>14,12,8,7,101,5,1,2</t>
  </si>
  <si>
    <t>12,14,2,8,1,5,101,7</t>
  </si>
  <si>
    <t>20,14,5,2,3,101,4,1</t>
  </si>
  <si>
    <t>1,1,3,2,3,2,1,1</t>
  </si>
  <si>
    <t>16,103,5,2,3,4,7,101</t>
  </si>
  <si>
    <t>12,14,7,2,3,8,1,101</t>
  </si>
  <si>
    <t>14,13,4,5,3,1,2,8</t>
  </si>
  <si>
    <t>19,13,101,1,2,5,8,7</t>
  </si>
  <si>
    <t>19,12,4,8,2,3,5,7</t>
  </si>
  <si>
    <t>13,8,5,2,3,101,4,1</t>
  </si>
  <si>
    <t>1,2,2,3,3,3,1,1</t>
  </si>
  <si>
    <t>16,12,14,2,8,3,5,1</t>
  </si>
  <si>
    <t>103,12,101,7,4,3,8,2</t>
  </si>
  <si>
    <t>20,103,12,3,5,4,101,8</t>
  </si>
  <si>
    <t>1,1,1,2,1,3,3,3</t>
  </si>
  <si>
    <t>16,14,12,4,2,3,8,7</t>
  </si>
  <si>
    <t>12,13,3,4,7,5,101,1</t>
  </si>
  <si>
    <t>13,3,1,2,7,101,4,5</t>
  </si>
  <si>
    <t>1,2,3,1,2,1,3,1</t>
  </si>
  <si>
    <t>103,1,3,4,101,7,5,8</t>
  </si>
  <si>
    <t>103,7,101,2,4,1,5,8</t>
  </si>
  <si>
    <t>20,12,103,4,101,8,5,3</t>
  </si>
  <si>
    <t>20,103,13,5,3,101,4,7</t>
  </si>
  <si>
    <t>14,5,8,101,4,3,1,7</t>
  </si>
  <si>
    <t>1,2,1,2,3,3,2,1</t>
  </si>
  <si>
    <t>16,13,12,7,3,8,1,101</t>
  </si>
  <si>
    <t>14,103,7,1,5,2,3,8</t>
  </si>
  <si>
    <t>20,103,14,101,8,2,4,3</t>
  </si>
  <si>
    <t>17,12,103,8,3,4,5,101</t>
  </si>
  <si>
    <t>19,14,8,3,2,4,1,7</t>
  </si>
  <si>
    <t>13,12,5,7,8,1,3,2</t>
  </si>
  <si>
    <t>20,14,8,2,7,101,5,1</t>
  </si>
  <si>
    <t>1,1,3,3,1,2,2,1</t>
  </si>
  <si>
    <t>13,12,7,1,3,8,101,4</t>
  </si>
  <si>
    <t>17,14,1,101,7,4,3,2</t>
  </si>
  <si>
    <t>17,12,103,101,7,2,8,1</t>
  </si>
  <si>
    <t>13,103,2,101,5,4,7,1</t>
  </si>
  <si>
    <t>12,2,3,5,1,101,4,8</t>
  </si>
  <si>
    <t>103,14,2,8,7,3,101,4</t>
  </si>
  <si>
    <t>20,13,7,8,101,3,4,2</t>
  </si>
  <si>
    <t>14,103,8,3,2,4,101,1</t>
  </si>
  <si>
    <t>1,1,3,2,3,1,3,1</t>
  </si>
  <si>
    <t>20,14,13,5,101,2,1,3</t>
  </si>
  <si>
    <t>19,103,3,4,5,7,8,1</t>
  </si>
  <si>
    <t>17,12,103,5,1,2,8,7</t>
  </si>
  <si>
    <t>13,8,7,5,2,3,1,101</t>
  </si>
  <si>
    <t>1,3,1,3,1,2,3,3</t>
  </si>
  <si>
    <t>14,13,8,3,2,101,5,1</t>
  </si>
  <si>
    <t>1,1,3,3,2,2,3,1</t>
  </si>
  <si>
    <t>14,13,3,101,7,8,5,2</t>
  </si>
  <si>
    <t>1,1,3,2,2,1,2,3</t>
  </si>
  <si>
    <t>20,12,2,101,4,7,3,8</t>
  </si>
  <si>
    <t>1,1,3,3,3,1,2,1</t>
  </si>
  <si>
    <t>12,7,3,2,5,8,101,4</t>
  </si>
  <si>
    <t>1,3,3,2,1,2,2,1</t>
  </si>
  <si>
    <t>103,12,3,5,7,1,2,4</t>
  </si>
  <si>
    <t>16,103,13,4,8,1,101,7</t>
  </si>
  <si>
    <t>13,103,4,8,3,101,2,5</t>
  </si>
  <si>
    <t>14,13,7,2,3,101,1,5</t>
  </si>
  <si>
    <t>1,1,3,3,1,1,3,1</t>
  </si>
  <si>
    <t>17,13,14,7,4,8,2,5</t>
  </si>
  <si>
    <t>14,8,4,3,1,2,101,7</t>
  </si>
  <si>
    <t>1,3,1,3,1,3,3,3</t>
  </si>
  <si>
    <t>14,12,3,7,4,1,101,2</t>
  </si>
  <si>
    <t>20,13,14,2,4,8,5,101</t>
  </si>
  <si>
    <t>16,13,5,7,8,4,1,2</t>
  </si>
  <si>
    <t>16,14,101,8,3,1,4,5</t>
  </si>
  <si>
    <t>12,103,2,4,101,1,7,8</t>
  </si>
  <si>
    <t>16,103,12,2,3,4,101,5</t>
  </si>
  <si>
    <t>13,12,3,4,101,1,5,7</t>
  </si>
  <si>
    <t>1,1,3,3,1,3,1,2</t>
  </si>
  <si>
    <t>16,103,1,7,101,4,3,5</t>
  </si>
  <si>
    <t>1,1,1,3,3,1,3,1</t>
  </si>
  <si>
    <t>20,12,14,1,8,5,4,101</t>
  </si>
  <si>
    <t>17,13,14,101,4,7,3,8</t>
  </si>
  <si>
    <t>20,14,12,8,7,5,3,101</t>
  </si>
  <si>
    <t>13,1,2,4,101,5,3,7</t>
  </si>
  <si>
    <t>1,3,3,1,3,1,2,2</t>
  </si>
  <si>
    <t>12,14,101,8,3,7,2,5</t>
  </si>
  <si>
    <t>14,3,101,1,5,7,4,2</t>
  </si>
  <si>
    <t>1,1,3,2,3,2,1,3</t>
  </si>
  <si>
    <t>19,103,7,1,3,8,101,4</t>
  </si>
  <si>
    <t>19,103,3,8,5,1,2,7</t>
  </si>
  <si>
    <t>16,13,101,5,2,8,3,7</t>
  </si>
  <si>
    <t>13,12,3,2,8,1,5,4</t>
  </si>
  <si>
    <t>20,12,14,1,5,3,7,101</t>
  </si>
  <si>
    <t>16,103,12,2,1,101,4,5</t>
  </si>
  <si>
    <t>16,13,7,1,4,2,5,8</t>
  </si>
  <si>
    <t>19,13,14,7,3,4,5,8</t>
  </si>
  <si>
    <t>20,14,103,3,101,7,2,1</t>
  </si>
  <si>
    <t>17,103,5,3,7,8,2,1</t>
  </si>
  <si>
    <t>20,12,14,2,8,4,101,7</t>
  </si>
  <si>
    <t>14,103,8,5,7,101,4,2</t>
  </si>
  <si>
    <t>1,2,2,1,3,3,1,1</t>
  </si>
  <si>
    <t>103,13,14,101,7,3,2,4</t>
  </si>
  <si>
    <t>12,13,5,1,101,7,4,3</t>
  </si>
  <si>
    <t>14,103,8,3,101,5,7,1</t>
  </si>
  <si>
    <t>20,13,14,12,3,2,7,4</t>
  </si>
  <si>
    <t>103,13,8,7,101,3,1,4</t>
  </si>
  <si>
    <t>19,14,7,3,2,4,1,8</t>
  </si>
  <si>
    <t>12,2,7,101,3,4,8,1</t>
  </si>
  <si>
    <t>103,14,13,3,8,7,5,101</t>
  </si>
  <si>
    <t>19,103,13,2,4,7,1,101</t>
  </si>
  <si>
    <t>12,13,3,7,4,2,1,8</t>
  </si>
  <si>
    <t>1,1,1,3,1,1,3,2</t>
  </si>
  <si>
    <t>17,12,103,2,3,8,1,4</t>
  </si>
  <si>
    <t>12,14,7,4,3,1,8,5</t>
  </si>
  <si>
    <t>3,5,8,1,7,4,2,101</t>
  </si>
  <si>
    <t>16,103,13,5,2,101,1,4</t>
  </si>
  <si>
    <t>14,13,12,8,1,7,2,4</t>
  </si>
  <si>
    <t>20,3,8,4,2,1,101,7</t>
  </si>
  <si>
    <t>1,2,3,3,1,2,3,1</t>
  </si>
  <si>
    <t>103,13,8,101,5,1,7,2</t>
  </si>
  <si>
    <t>103,1,101,2,4,7,5,8</t>
  </si>
  <si>
    <t>1,2,3,1,2,1,1,3</t>
  </si>
  <si>
    <t>19,13,103,8,5,4,101,1</t>
  </si>
  <si>
    <t>13,103,14,8,4,7,5,1</t>
  </si>
  <si>
    <t>19,13,103,8,1,7,4,2</t>
  </si>
  <si>
    <t>19,13,1,5,7,101,3,8</t>
  </si>
  <si>
    <t>13,14,103,2,4,5,7,3</t>
  </si>
  <si>
    <t>14,103,4,5,7,8,2,3</t>
  </si>
  <si>
    <t>14,7,3,5,101,2,1,8</t>
  </si>
  <si>
    <t>1,8,7,2,5,101,4,3</t>
  </si>
  <si>
    <t>1,3,1,2,2,3,2,2</t>
  </si>
  <si>
    <t>103,12,7,101,8,1,2,5</t>
  </si>
  <si>
    <t>14,12,5,7,101,8,2,1</t>
  </si>
  <si>
    <t>14,13,103,1,7,5,101,2</t>
  </si>
  <si>
    <t>5,3,101,1,4,7,8,2</t>
  </si>
  <si>
    <t>2,2,1,3,2,1,2,1</t>
  </si>
  <si>
    <t>103,7,8,1,5,101,4,3</t>
  </si>
  <si>
    <t>103,14,12,101,8,7,1,2</t>
  </si>
  <si>
    <t>12,13,103,3,4,8,101,2</t>
  </si>
  <si>
    <t>20,14,101,4,5,2,8,7</t>
  </si>
  <si>
    <t>103,1,5,7,4,8,101,3</t>
  </si>
  <si>
    <t>103,8,5,101,7,1,3,2</t>
  </si>
  <si>
    <t>1,3,2,1,1,1,2,3</t>
  </si>
  <si>
    <t>13,8,3,101,4,1,2,7</t>
  </si>
  <si>
    <t>19,13,5,4,101,7,2,3</t>
  </si>
  <si>
    <t>1,1,2,3,1,3,2,1</t>
  </si>
  <si>
    <t>20,103,13,12,4,3,7,8</t>
  </si>
  <si>
    <t>17,14,12,3,2,1,7,5</t>
  </si>
  <si>
    <t>13,14,103,4,1,5,101,3</t>
  </si>
  <si>
    <t>12,103,101,5,1,2,4,7</t>
  </si>
  <si>
    <t>17,12,5,2,3,8,1,101</t>
  </si>
  <si>
    <t>1,1,3,1,2,2,1,3</t>
  </si>
  <si>
    <t>103,14,101,5,7,3,8,2</t>
  </si>
  <si>
    <t>13,7,8,2,5,4,3,101</t>
  </si>
  <si>
    <t>1,3,3,1,3,1,1,3</t>
  </si>
  <si>
    <t>17,14,101,7,1,4,5,8</t>
  </si>
  <si>
    <t>20,14,2,1,4,3,7,101</t>
  </si>
  <si>
    <t>1,1,2,1,3,1,2,2</t>
  </si>
  <si>
    <t>14,13,101,4,2,7,8,3</t>
  </si>
  <si>
    <t>16,13,3,1,2,8,5,7</t>
  </si>
  <si>
    <t>12,4,7,8,1,2,101,5</t>
  </si>
  <si>
    <t>1,2,1,1,1,3,2,3</t>
  </si>
  <si>
    <t>8,1,101,7,3,5,4,2</t>
  </si>
  <si>
    <t>2,1,2,1,3,2,2,2</t>
  </si>
  <si>
    <t>103,13,12,7,1,2,8,3</t>
  </si>
  <si>
    <t>12,1,7,3,2,4,5,101</t>
  </si>
  <si>
    <t>1,3,2,2,1,3,3,2</t>
  </si>
  <si>
    <t>103,13,101,1,7,5,4,3</t>
  </si>
  <si>
    <t>14,13,7,5,101,1,2,4</t>
  </si>
  <si>
    <t>1,1,2,3,2,1,2,1</t>
  </si>
  <si>
    <t>103,5,4,2,7,101,8,1</t>
  </si>
  <si>
    <t>17,14,103,13,1,2,101,8</t>
  </si>
  <si>
    <t>12,13,14,1,3,5,101,2</t>
  </si>
  <si>
    <t>13,7,4,5,3,8,101,1</t>
  </si>
  <si>
    <t>14,12,4,7,3,101,2,5</t>
  </si>
  <si>
    <t>12,103,3,8,7,4,1,2</t>
  </si>
  <si>
    <t>12,103,101,7,1,4,8,2</t>
  </si>
  <si>
    <t>14,101,7,8,3,5,4,1</t>
  </si>
  <si>
    <t>1,2,1,3,2,3,1,2</t>
  </si>
  <si>
    <t>12,13,8,101,5,2,3,4</t>
  </si>
  <si>
    <t>13,12,101,2,3,1,8,7</t>
  </si>
  <si>
    <t>1,1,3,3,1,1,1,3</t>
  </si>
  <si>
    <t>12,14,103,2,3,5,1,101</t>
  </si>
  <si>
    <t>20,14,5,3,1,101,8,2</t>
  </si>
  <si>
    <t>103,5,3,1,8,2,7,101</t>
  </si>
  <si>
    <t>12,103,2,1,7,5,8,4</t>
  </si>
  <si>
    <t>17,7,3,8,101,2,4,5</t>
  </si>
  <si>
    <t>1,2,1,2,1,3,2,3</t>
  </si>
  <si>
    <t>13,12,101,3,8,1,2,4</t>
  </si>
  <si>
    <t>1,1,2,3,2,2,1,1</t>
  </si>
  <si>
    <t>12,13,14,3,8,4,2,7</t>
  </si>
  <si>
    <t>101,8,7,2,4,5,1,3</t>
  </si>
  <si>
    <t>5,7,8,4,1,2,101,3</t>
  </si>
  <si>
    <t>12,14,2,4,3,5,7,101</t>
  </si>
  <si>
    <t>1,1,2,1,1,2,3,1</t>
  </si>
  <si>
    <t>103,14,4,1,2,5,8,7</t>
  </si>
  <si>
    <t>16,12,1,3,101,7,5,4</t>
  </si>
  <si>
    <t>103,14,13,4,5,7,101,8</t>
  </si>
  <si>
    <t>19,103,4,7,8,3,2,1</t>
  </si>
  <si>
    <t>1,1,3,2,1,1,3,3</t>
  </si>
  <si>
    <t>12,14,103,3,1,101,8,2</t>
  </si>
  <si>
    <t>12,14,103,8,3,1,2,5</t>
  </si>
  <si>
    <t>19,12,13,2,5,1,4,8</t>
  </si>
  <si>
    <t>17,13,101,3,5,2,1,7</t>
  </si>
  <si>
    <t>16,12,7,2,8,3,5,1</t>
  </si>
  <si>
    <t>20,14,2,8,7,101,4,3</t>
  </si>
  <si>
    <t>14,12,1,2,8,4,7,101</t>
  </si>
  <si>
    <t>103,13,14,101,3,2,7,5</t>
  </si>
  <si>
    <t>13,3,4,1,5,7,101,8</t>
  </si>
  <si>
    <t>13,103,14,7,3,2,1,4</t>
  </si>
  <si>
    <t>12,101,4,7,5,8,1,2</t>
  </si>
  <si>
    <t>1,2,1,1,1,3,2,2</t>
  </si>
  <si>
    <t>12,13,4,7,2,101,5,8</t>
  </si>
  <si>
    <t>14,103,2,5,101,3,1,4</t>
  </si>
  <si>
    <t>1,1,3,1,3,2,3,3</t>
  </si>
  <si>
    <t>14,1,8,3,4,101,7,2</t>
  </si>
  <si>
    <t>13,12,8,3,1,4,101,7</t>
  </si>
  <si>
    <t>16,13,103,8,7,2,101,3</t>
  </si>
  <si>
    <t>13,101,1,7,3,4,2,8</t>
  </si>
  <si>
    <t>1,1,3,1,2,3,1,1</t>
  </si>
  <si>
    <t>20,13,4,8,2,101,5,7</t>
  </si>
  <si>
    <t>13,4,2,8,3,1,7,101</t>
  </si>
  <si>
    <t>12,13,8,1,4,7,5,101</t>
  </si>
  <si>
    <t>16,103,101,2,3,1,8,4</t>
  </si>
  <si>
    <t>1,1,2,1,2,3,3,3</t>
  </si>
  <si>
    <t>19,14,8,7,4,1,5,3</t>
  </si>
  <si>
    <t>20,103,14,2,7,101,1,3</t>
  </si>
  <si>
    <t>16,13,8,5,1,4,3,101</t>
  </si>
  <si>
    <t>20,13,4,101,8,7,3,1</t>
  </si>
  <si>
    <t>14,12,5,8,2,3,4,7</t>
  </si>
  <si>
    <t>1,1,2,3,3,1,2,2</t>
  </si>
  <si>
    <t>17,14,12,1,101,4,3,8</t>
  </si>
  <si>
    <t>19,13,12,1,2,5,7,3</t>
  </si>
  <si>
    <t>103,14,12,5,3,2,101,8</t>
  </si>
  <si>
    <t>13,5,3,4,2,7,101,1</t>
  </si>
  <si>
    <t>19,14,12,13,5,1,3,7</t>
  </si>
  <si>
    <t>14,3,5,7,101,4,8,2</t>
  </si>
  <si>
    <t>1,3,2,1,2,3,2,3</t>
  </si>
  <si>
    <t>12,101,2,8,1,7,5,3</t>
  </si>
  <si>
    <t>14,13,8,5,101,1,3,4</t>
  </si>
  <si>
    <t>1,1,3,2,1,2,2,1</t>
  </si>
  <si>
    <t>16,3,7,2,101,8,1,5</t>
  </si>
  <si>
    <t>1,1,3,1,3,1,3,1</t>
  </si>
  <si>
    <t>103,101,8,3,2,7,4,5</t>
  </si>
  <si>
    <t>13,12,7,1,3,5,4,101</t>
  </si>
  <si>
    <t>14,13,103,3,4,7,101,5</t>
  </si>
  <si>
    <t>12,101,8,3,1,2,4,7</t>
  </si>
  <si>
    <t>19,103,14,4,8,101,7,3</t>
  </si>
  <si>
    <t>103,14,12,1,7,8,5,3</t>
  </si>
  <si>
    <t>20,12,1,7,4,2,101,8</t>
  </si>
  <si>
    <t>20,12,14,101,7,8,1,4</t>
  </si>
  <si>
    <t>20,103,5,101,4,3,7,8</t>
  </si>
  <si>
    <t>17,13,1,7,4,5,8,101</t>
  </si>
  <si>
    <t>14,13,3,2,4,7,1,101</t>
  </si>
  <si>
    <t>14,12,3,2,1,5,101,7</t>
  </si>
  <si>
    <t>103,13,12,4,5,1,8,3</t>
  </si>
  <si>
    <t>17,14,12,3,5,2,101,1</t>
  </si>
  <si>
    <t>14,7,4,5,8,101,3,2</t>
  </si>
  <si>
    <t>1,1,3,2,2,2,1,3</t>
  </si>
  <si>
    <t>13,14,101,5,2,1,7,8</t>
  </si>
  <si>
    <t>1,1,3,3,1,2,2,2</t>
  </si>
  <si>
    <t>16,13,14,101,4,7,2,1</t>
  </si>
  <si>
    <t>13,103,3,7,5,2,4,8</t>
  </si>
  <si>
    <t>1,1,3,3,3,2,1,3</t>
  </si>
  <si>
    <t>12,103,13,8,3,5,4,7</t>
  </si>
  <si>
    <t>103,12,5,8,7,1,2,4</t>
  </si>
  <si>
    <t>1,1,2,1,2,3,1,2</t>
  </si>
  <si>
    <t>103,1,5,4,8,3,2,7</t>
  </si>
  <si>
    <t>1,2,1,3,2,1,1,3</t>
  </si>
  <si>
    <t>16,12,3,7,8,4,1,5</t>
  </si>
  <si>
    <t>12,2,3,5,1,4,101,7</t>
  </si>
  <si>
    <t>1,1,2,3,1,3,2,3</t>
  </si>
  <si>
    <t>20,14,13,2,4,101,5,7</t>
  </si>
  <si>
    <t>3,2,8,1,5,101,7,4</t>
  </si>
  <si>
    <t>3,2,2,3,2,1,1,1</t>
  </si>
  <si>
    <t>20,14,13,2,3,5,8,1</t>
  </si>
  <si>
    <t>17,14,1,101,4,7,5,2</t>
  </si>
  <si>
    <t>17,12,14,5,7,2,3,8</t>
  </si>
  <si>
    <t>103,14,2,8,7,3,5,4</t>
  </si>
  <si>
    <t>14,103,12,4,3,7,101,8</t>
  </si>
  <si>
    <t>16,103,3,4,101,1,2,8</t>
  </si>
  <si>
    <t>14,103,12,7,8,3,2,1</t>
  </si>
  <si>
    <t>17,14,103,12,101,1,4,2</t>
  </si>
  <si>
    <t>16,13,103,3,5,1,2,4</t>
  </si>
  <si>
    <t>13,7,4,1,3,5,101,8</t>
  </si>
  <si>
    <t>2,1,1,2,1,2,2,4</t>
  </si>
  <si>
    <t>13,103,14,7,2,1,3,101</t>
  </si>
  <si>
    <t>1,1,2,2,4,1,1,1</t>
  </si>
  <si>
    <t>14,13,101,1,7,3,8,5</t>
  </si>
  <si>
    <t>2,1,1,1,1,4,2,4</t>
  </si>
  <si>
    <t>14,12,103,8,2,4,5,7</t>
  </si>
  <si>
    <t>13,4,1,2,7,101,8,3</t>
  </si>
  <si>
    <t>1,3,4,4,1,3,2,4</t>
  </si>
  <si>
    <t>13,12,7,3,8,5,101,1</t>
  </si>
  <si>
    <t>1,2,3,2,2,4,1,2</t>
  </si>
  <si>
    <t>14,103,12,7,5,3,2,1</t>
  </si>
  <si>
    <t>14,103,101,8,5,3,4,7</t>
  </si>
  <si>
    <t>2,2,2,4,3,1,4,2</t>
  </si>
  <si>
    <t>12,103,101,7,1,8,4,5</t>
  </si>
  <si>
    <t>1,1,4,2,4,1,3,2</t>
  </si>
  <si>
    <t>13,12,14,1,8,5,4,101</t>
  </si>
  <si>
    <t>13,14,8,5,3,2,101,7</t>
  </si>
  <si>
    <t>1,2,1,1,2,1,4,3</t>
  </si>
  <si>
    <t>14,12,1,101,4,7,2,8</t>
  </si>
  <si>
    <t>2,1,3,4,1,4,2,3</t>
  </si>
  <si>
    <t>2,4,3,8,101,1,5,7</t>
  </si>
  <si>
    <t>1,1,1,2,4,1,2,3</t>
  </si>
  <si>
    <t>16,14,103,3,2,8,7,5</t>
  </si>
  <si>
    <t>13,14,103,4,1,5,2,101</t>
  </si>
  <si>
    <t>2,2,1,4,4,1,4,4</t>
  </si>
  <si>
    <t>2,101,5,3,1,8,4,7</t>
  </si>
  <si>
    <t>3,4,2,1,3,1,3,3</t>
  </si>
  <si>
    <t>14,3,101,7,1,5,2,8</t>
  </si>
  <si>
    <t>2,4,3,2,3,3,4,1</t>
  </si>
  <si>
    <t>13,14,8,1,3,7,101,4</t>
  </si>
  <si>
    <t>1,1,4,4,4,1,1,3</t>
  </si>
  <si>
    <t>17,12,5,101,1,8,4,3</t>
  </si>
  <si>
    <t>1,2,1,1,4,3,1,2</t>
  </si>
  <si>
    <t>14,103,7,1,2,4,101,5</t>
  </si>
  <si>
    <t>103,12,14,7,8,4,3,5</t>
  </si>
  <si>
    <t>1,1,2,4,3,2,1,4</t>
  </si>
  <si>
    <t>14,103,4,2,7,3,8,1</t>
  </si>
  <si>
    <t>2,1,4,3,4,3,4,3</t>
  </si>
  <si>
    <t>103,12,5,1,3,7,8,2</t>
  </si>
  <si>
    <t>1,1,4,4,2,1,4,1</t>
  </si>
  <si>
    <t>16,14,13,12,1,101,2,8</t>
  </si>
  <si>
    <t>13,14,8,101,7,4,2,5</t>
  </si>
  <si>
    <t>1,2,4,2,3,3,1,3</t>
  </si>
  <si>
    <t>12,13,101,4,8,2,7,5</t>
  </si>
  <si>
    <t>12,14,103,5,1,8,7,2</t>
  </si>
  <si>
    <t>1,2,2,3,2,4,2,2</t>
  </si>
  <si>
    <t>103,2,8,101,5,4,1,7</t>
  </si>
  <si>
    <t>1,1,4,3,1,2,4,2</t>
  </si>
  <si>
    <t>13,103,4,101,5,7,2,1</t>
  </si>
  <si>
    <t>2,2,1,4,1,3,1,1</t>
  </si>
  <si>
    <t>20,14,3,7,1,101,5,8</t>
  </si>
  <si>
    <t>12,13,1,101,4,5,3,7</t>
  </si>
  <si>
    <t>12,103,13,1,7,5,4,8</t>
  </si>
  <si>
    <t>14,7,5,101,3,8,4,2</t>
  </si>
  <si>
    <t>1,4,1,2,3,4,2,1</t>
  </si>
  <si>
    <t>13,1,3,101,7,5,8,2</t>
  </si>
  <si>
    <t>1,1,4,2,1,4,3,2</t>
  </si>
  <si>
    <t>17,14,103,12,7,101,5,3</t>
  </si>
  <si>
    <t>1,1,1,2,3,1,1,4</t>
  </si>
  <si>
    <t>13,103,12,8,5,2,4,3</t>
  </si>
  <si>
    <t>2,2,2,1,3,1,4,1</t>
  </si>
  <si>
    <t>103,12,14,3,8,101,5,7</t>
  </si>
  <si>
    <t>1,1,2,3,1,1,2,2</t>
  </si>
  <si>
    <t>103,14,13,3,8,4,2,5</t>
  </si>
  <si>
    <t>1,2,2,3,4,3,4,2</t>
  </si>
  <si>
    <t>12,7,2,5,4,3,101,1</t>
  </si>
  <si>
    <t>2,4,1,1,2,1,1,4</t>
  </si>
  <si>
    <t>20,103,12,2,1,8,3,4</t>
  </si>
  <si>
    <t>1,2,2,2,3,1,4,1</t>
  </si>
  <si>
    <t>103,13,14,8,1,2,4,3</t>
  </si>
  <si>
    <t>1,1,2,4,2,2,4,1</t>
  </si>
  <si>
    <t>13,12,1,8,2,3,4,5</t>
  </si>
  <si>
    <t>17,14,3,8,7,101,5,4</t>
  </si>
  <si>
    <t>1,2,2,2,4,4,3,1</t>
  </si>
  <si>
    <t>12,4,3,101,5,1,7,8</t>
  </si>
  <si>
    <t>2,4,4,4,1,2,3,2</t>
  </si>
  <si>
    <t>14,12,13,4,101,3,5,8</t>
  </si>
  <si>
    <t>1,2,2,1,1,1,1,3</t>
  </si>
  <si>
    <t>19,14,13,12,5,1,3,101</t>
  </si>
  <si>
    <t>1,1,2,2,1,4,3,2</t>
  </si>
  <si>
    <t>101,8,7,2,5,4,1,3</t>
  </si>
  <si>
    <t>17,12,2,3,101,7,8,1</t>
  </si>
  <si>
    <t>1,2,3,1,1,2,4,1</t>
  </si>
  <si>
    <t>16,103,13,4,8,101,5,2</t>
  </si>
  <si>
    <t>1,1,2,4,4,1,2,3</t>
  </si>
  <si>
    <t>14,103,1,7,8,4,2,5</t>
  </si>
  <si>
    <t>2,2,3,4,3,2,3,1</t>
  </si>
  <si>
    <t>20,13,14,12,3,8,101,1</t>
  </si>
  <si>
    <t>13,5,7,8,2,3,101,4</t>
  </si>
  <si>
    <t>2,1,2,3,1,1,1,4</t>
  </si>
  <si>
    <t>12,103,5,4,3,1,2,101</t>
  </si>
  <si>
    <t>1,1,4,4,2,2,4,2</t>
  </si>
  <si>
    <t>19,12,14,103,2,5,1,8</t>
  </si>
  <si>
    <t>1,2,1,1,4,2,3,1</t>
  </si>
  <si>
    <t>103,7,2,8,5,1,101,4</t>
  </si>
  <si>
    <t>12,14,13,8,5,101,4,3</t>
  </si>
  <si>
    <t>2,1,2,2,3,1,4,4</t>
  </si>
  <si>
    <t>12,103,13,101,8,5,1,2</t>
  </si>
  <si>
    <t>2,1,1,2,3,1,1,4</t>
  </si>
  <si>
    <t>12,13,3,2,1,8,7,4</t>
  </si>
  <si>
    <t>2,1,2,1,1,4,2,3</t>
  </si>
  <si>
    <t>17,103,5,1,7,101,3,2</t>
  </si>
  <si>
    <t>1,1,4,2,2,4,4,3</t>
  </si>
  <si>
    <t>12,103,14,5,2,7,8,1</t>
  </si>
  <si>
    <t>1,1,1,4,4,2,2,4</t>
  </si>
  <si>
    <t>19,12,14,103,7,4,5,8</t>
  </si>
  <si>
    <t>1,2,1,2,3,4,2,2</t>
  </si>
  <si>
    <t>13,2,7,5,1,101,4,3</t>
  </si>
  <si>
    <t>1,3,3,4,3,3,3,4</t>
  </si>
  <si>
    <t>17,103,7,5,3,8,101,2</t>
  </si>
  <si>
    <t>1,1,2,2,4,1,2,2</t>
  </si>
  <si>
    <t>17,13,14,12,3,101,7,5</t>
  </si>
  <si>
    <t>1,2,2,1,2,4,3,4</t>
  </si>
  <si>
    <t>16,103,14,101,3,1,5,7</t>
  </si>
  <si>
    <t>1,2,2,4,3,1,2,3</t>
  </si>
  <si>
    <t>19,103,13,3,4,101,2,1</t>
  </si>
  <si>
    <t>13,14,12,5,2,1,7,101</t>
  </si>
  <si>
    <t>1,2,2,2,1,3,3,1</t>
  </si>
  <si>
    <t>16,103,12,8,1,4,2,7</t>
  </si>
  <si>
    <t>1,2,2,4,1,3,3,1</t>
  </si>
  <si>
    <t>20,12,14,3,7,1,5,2</t>
  </si>
  <si>
    <t>12,14,5,8,3,2,101,1</t>
  </si>
  <si>
    <t>103,12,8,1,3,2,4,101</t>
  </si>
  <si>
    <t>2,1,2,3,4,3,3,2</t>
  </si>
  <si>
    <t>14,103,13,1,7,4,5,101</t>
  </si>
  <si>
    <t>1,1,2,4,1,2,4,2</t>
  </si>
  <si>
    <t>13,12,14,101,2,8,3,7</t>
  </si>
  <si>
    <t>2,2,1,4,4,3,2,2</t>
  </si>
  <si>
    <t>20,12,4,1,2,8,101,3</t>
  </si>
  <si>
    <t>1,2,1,2,3,4,1,3</t>
  </si>
  <si>
    <t>103,2,1,5,8,7,101,3</t>
  </si>
  <si>
    <t>1,4,3,3,3,2,2,1</t>
  </si>
  <si>
    <t>13,7,101,2,5,8,4,3</t>
  </si>
  <si>
    <t>1,2,2,2,1,4,2,1</t>
  </si>
  <si>
    <t>17,103,14,12,8,101,3,4</t>
  </si>
  <si>
    <t>20,13,103,14,7,5,4,1</t>
  </si>
  <si>
    <t>16,12,101,7,2,1,8,5</t>
  </si>
  <si>
    <t>1,2,3,2,4,4,2,3</t>
  </si>
  <si>
    <t>12,13,3,1,8,7,5,101</t>
  </si>
  <si>
    <t>2,2,1,4,3,3,3,4</t>
  </si>
  <si>
    <t>12,13,14,8,101,2,7,1</t>
  </si>
  <si>
    <t>2,1,1,2,3,2,1,1</t>
  </si>
  <si>
    <t>17,14,13,4,3,5,1,101</t>
  </si>
  <si>
    <t>19,14,12,101,2,8,3,7</t>
  </si>
  <si>
    <t>1,1,2,4,3,4,1,3</t>
  </si>
  <si>
    <t>13,103,12,2,1,101,7,4</t>
  </si>
  <si>
    <t>1,2,2,4,2,2,2,2</t>
  </si>
  <si>
    <t>13,103,101,3,8,7,2,5</t>
  </si>
  <si>
    <t>13,12,4,1,5,8,2,7</t>
  </si>
  <si>
    <t>2,1,2,3,2,1,2,1</t>
  </si>
  <si>
    <t>16,103,12,1,7,2,101,8</t>
  </si>
  <si>
    <t>1,1,1,2,2,1,4,2</t>
  </si>
  <si>
    <t>103,12,2,1,4,8,101,5</t>
  </si>
  <si>
    <t>2,2,1,3,4,4,4,4</t>
  </si>
  <si>
    <t>17,103,12,13,8,101,4,2</t>
  </si>
  <si>
    <t>13,103,14,8,7,4,2,101</t>
  </si>
  <si>
    <t>101,8,7,5,1,3,2,4</t>
  </si>
  <si>
    <t>1,4,1,3,1,4,3,4</t>
  </si>
  <si>
    <t>101,5,2,7,8,1,4,3</t>
  </si>
  <si>
    <t>3,1,2,4,2,3,3,4</t>
  </si>
  <si>
    <t>17,12,103,3,7,4,2,5</t>
  </si>
  <si>
    <t>12,5,3,2,4,101,8,7</t>
  </si>
  <si>
    <t>1,3,2,2,4,1,4,4</t>
  </si>
  <si>
    <t>103,12,2,101,3,5,7,4</t>
  </si>
  <si>
    <t>2,1,4,2,3,3,4,4</t>
  </si>
  <si>
    <t>12,103,5,4,101,3,2,8</t>
  </si>
  <si>
    <t>1,1,3,2,1,2,3,4</t>
  </si>
  <si>
    <t>14,12,13,5,101,3,2,8</t>
  </si>
  <si>
    <t>2,2,1,4,2,3,3,1</t>
  </si>
  <si>
    <t>12,7,3,4,101,1,2,5</t>
  </si>
  <si>
    <t>2,4,1,3,3,1,1,3</t>
  </si>
  <si>
    <t>14,12,13,7,5,101,1,4</t>
  </si>
  <si>
    <t>2,2,1,1,4,1,4,3</t>
  </si>
  <si>
    <t>12,2,4,1,3,7,5,8</t>
  </si>
  <si>
    <t>2,4,4,3,3,1,2,1</t>
  </si>
  <si>
    <t>103,7,3,4,101,8,2,1</t>
  </si>
  <si>
    <t>2,2,2,1,1,1,3,2</t>
  </si>
  <si>
    <t>13,14,2,1,3,5,4,7</t>
  </si>
  <si>
    <t>2,1,2,2,3,4,4,4</t>
  </si>
  <si>
    <t>17,12,4,101,1,7,8,2</t>
  </si>
  <si>
    <t>12,14,4,101,7,8,1,3</t>
  </si>
  <si>
    <t>103,14,13,8,3,1,4,2</t>
  </si>
  <si>
    <t>2,2,2,3,4,3,4,4</t>
  </si>
  <si>
    <t>12,5,4,101,2,3,8,1</t>
  </si>
  <si>
    <t>1,1,2,1,3,2,1,3</t>
  </si>
  <si>
    <t>12,1,7,8,4,5,3,2</t>
  </si>
  <si>
    <t>1,3,2,4,1,3,4,1</t>
  </si>
  <si>
    <t>16,12,101,7,8,4,2,1</t>
  </si>
  <si>
    <t>1,1,4,3,2,2,3,1</t>
  </si>
  <si>
    <t>20,7,1,3,5,101,4,8</t>
  </si>
  <si>
    <t>1,4,3,1,4,4,4,3</t>
  </si>
  <si>
    <t>5,4,7,8,2,101,1,3</t>
  </si>
  <si>
    <t>1,2,2,2,1,4,1,2</t>
  </si>
  <si>
    <t>17,103,14,2,7,5,8,1</t>
  </si>
  <si>
    <t>1,1,1,3,1,2,4,1</t>
  </si>
  <si>
    <t>19,1,4,7,8,5,2,3</t>
  </si>
  <si>
    <t>20,7,4,1,3,5,101,8</t>
  </si>
  <si>
    <t>1,3,1,4,2,4,3,1</t>
  </si>
  <si>
    <t>14,103,4,7,101,5,1,2</t>
  </si>
  <si>
    <t>103,13,101,3,7,1,2,5</t>
  </si>
  <si>
    <t>2,2,3,3,1,2,3,2</t>
  </si>
  <si>
    <t>12,3,101,2,4,5,8,1</t>
  </si>
  <si>
    <t>1,4,3,1,3,3,4,2</t>
  </si>
  <si>
    <t>13,14,2,101,7,8,5,4</t>
  </si>
  <si>
    <t>1,1,2,4,2,4,2,3</t>
  </si>
  <si>
    <t>13,12,103,2,1,101,3,4</t>
  </si>
  <si>
    <t>2,1,2,4,3,4,1,4</t>
  </si>
  <si>
    <t>12,13,14,8,2,1,4,101</t>
  </si>
  <si>
    <t>1,2,1,4,1,2,1,4</t>
  </si>
  <si>
    <t>103,12,3,7,101,5,4,2</t>
  </si>
  <si>
    <t>1,1,4,3,3,4,3,2</t>
  </si>
  <si>
    <t>13,5,1,2,101,4,8,3</t>
  </si>
  <si>
    <t>2,3,1,1,3,2,4,1</t>
  </si>
  <si>
    <t>13,8,4,5,101,2,1,7</t>
  </si>
  <si>
    <t>2,1,2,1,3,1,2,4</t>
  </si>
  <si>
    <t>12,103,13,5,1,101,8,7</t>
  </si>
  <si>
    <t>2,2,2,3,4,4,2,3</t>
  </si>
  <si>
    <t>16,14,2,1,4,7,101,5</t>
  </si>
  <si>
    <t>1,1,2,4,1,4,3,2</t>
  </si>
  <si>
    <t>17,12,103,5,2,3,7,101</t>
  </si>
  <si>
    <t>1,2,1,4,2,1,4,4</t>
  </si>
  <si>
    <t>17,12,13,3,2,1,101,8</t>
  </si>
  <si>
    <t>1,2,1,2,2,3,3,3</t>
  </si>
  <si>
    <t>20,13,14,8,1,2,5,4</t>
  </si>
  <si>
    <t>1,2,1,1,4,1,3,3</t>
  </si>
  <si>
    <t>12,8,2,3,7,4,101,5</t>
  </si>
  <si>
    <t>1,3,4,1,2,2,3,2</t>
  </si>
  <si>
    <t>4,1,5,101,8,7,3,2</t>
  </si>
  <si>
    <t>4,3,1,4,2,2,2,4</t>
  </si>
  <si>
    <t>16,12,14,103,8,7,3,2</t>
  </si>
  <si>
    <t>1,2,2,2,3,4,4,1</t>
  </si>
  <si>
    <t>103,3,5,2,7,101,4,8</t>
  </si>
  <si>
    <t>1,2,2,3,1,1,4,4</t>
  </si>
  <si>
    <t>1,3,4,2,8,5,7,101</t>
  </si>
  <si>
    <t>4,1,4,3,4,4,1,3</t>
  </si>
  <si>
    <t>17,12,3,8,5,101,7,2</t>
  </si>
  <si>
    <t>1,2,4,3,1,3,3,3</t>
  </si>
  <si>
    <t>103,14,4,5,1,8,2,3</t>
  </si>
  <si>
    <t>1,2,4,2,1,4,4,3</t>
  </si>
  <si>
    <t>14,101,4,1,5,8,2,3</t>
  </si>
  <si>
    <t>14,7,101,3,1,4,8,2</t>
  </si>
  <si>
    <t>17,3,5,2,4,101,7,8</t>
  </si>
  <si>
    <t>1,4,2,2,1,2,2,1</t>
  </si>
  <si>
    <t>16,103,13,12,8,1,7,2</t>
  </si>
  <si>
    <t>1,2,1,2,3,2,2,1</t>
  </si>
  <si>
    <t>16,12,13,103,101,5,3,7</t>
  </si>
  <si>
    <t>1,1,2,2,4,3,2,1</t>
  </si>
  <si>
    <t>16,14,13,3,8,7,101,1</t>
  </si>
  <si>
    <t>1,1,2,3,1,4,3,3</t>
  </si>
  <si>
    <t>204,12,4,3,2,7,1,8</t>
  </si>
  <si>
    <t>2,1,2,2,1,1,1,4</t>
  </si>
  <si>
    <t>16,109,103,12,7,101,2,8</t>
  </si>
  <si>
    <t>1,1,1,2,4,4,3,1</t>
  </si>
  <si>
    <t>14,2,4,101,1,3,7,5</t>
  </si>
  <si>
    <t>2,3,3,3,3,1,4,1</t>
  </si>
  <si>
    <t>20,13,103,14,1,8,5,4</t>
  </si>
  <si>
    <t>1,2,1,1,4,3,3,1</t>
  </si>
  <si>
    <t>14,7,8,4,5,3,101,1</t>
  </si>
  <si>
    <t>2,4,2,2,4,1,4,4</t>
  </si>
  <si>
    <t>16,109,103,13,204,5,8,4</t>
  </si>
  <si>
    <t>109,13,2,8,3,5,7,4</t>
  </si>
  <si>
    <t>1,2,2,3,2,1,1,4</t>
  </si>
  <si>
    <t>109,17,207,5,3,2,7,1</t>
  </si>
  <si>
    <t>1,1,1,3,4,2,1,1</t>
  </si>
  <si>
    <t>17,19,12,103,13,5,7,4</t>
  </si>
  <si>
    <t>19,103,204,207,7,5,3,2</t>
  </si>
  <si>
    <t>103,13,8,7,5,1,3,4</t>
  </si>
  <si>
    <t>1,1,2,4,3,2,3,3</t>
  </si>
  <si>
    <t>109,207,13,101,8,3,4,2</t>
  </si>
  <si>
    <t>204,2,1,8,101,7,4,3</t>
  </si>
  <si>
    <t>2,4,3,2,3,1,4,4</t>
  </si>
  <si>
    <t>204,8,101,5,1,2,4,3</t>
  </si>
  <si>
    <t>2,1,3,3,1,3,1,4</t>
  </si>
  <si>
    <t>207,12,13,2,1,101,7,5</t>
  </si>
  <si>
    <t>2,1,2,1,3,1,3,2</t>
  </si>
  <si>
    <t>14,8,4,1,3,7,101,2</t>
  </si>
  <si>
    <t>2,1,1,2,2,2,2,1</t>
  </si>
  <si>
    <t>12,14,13,4,3,5,2,1</t>
  </si>
  <si>
    <t>207,204,14,3,7,1,101,5</t>
  </si>
  <si>
    <t>2,2,2,1,4,3,3,3</t>
  </si>
  <si>
    <t>13,12,2,4,1,3,101,7</t>
  </si>
  <si>
    <t>1,2,3,1,1,3,1,2</t>
  </si>
  <si>
    <t>19,109,13,4,8,2,3,101</t>
  </si>
  <si>
    <t>19,207,4,2,5,1,7,101</t>
  </si>
  <si>
    <t>14,3,4,1,2,5,7,8</t>
  </si>
  <si>
    <t>1,1,4,1,4,4,4,3</t>
  </si>
  <si>
    <t>14,12,1,3,8,4,5,101</t>
  </si>
  <si>
    <t>1,1,2,3,1,3,4,3</t>
  </si>
  <si>
    <t>19,109,13,14,207,5,2,4</t>
  </si>
  <si>
    <t>1,1,2,1,1,4,2,1</t>
  </si>
  <si>
    <t>103,14,204,101,8,3,5,4</t>
  </si>
  <si>
    <t>13,207,12,7,4,5,1,8</t>
  </si>
  <si>
    <t>20,204,3,5,101,1,4,8</t>
  </si>
  <si>
    <t>1,1,4,2,1,3,1,3</t>
  </si>
  <si>
    <t>204,14,103,2,101,7,1,8</t>
  </si>
  <si>
    <t>1,2,2,4,4,3,1,1</t>
  </si>
  <si>
    <t>204,12,13,2,1,4,5,8</t>
  </si>
  <si>
    <t>2,2,1,2,1,3,1,1</t>
  </si>
  <si>
    <t>20,16,103,204,12,1,2,8</t>
  </si>
  <si>
    <t>207,103,14,8,7,3,4,2</t>
  </si>
  <si>
    <t>2,2,2,3,3,2,2,1</t>
  </si>
  <si>
    <t>17,12,14,204,7,2,3,101</t>
  </si>
  <si>
    <t>19,17,14,204,103,2,101,1</t>
  </si>
  <si>
    <t>1,1,2,2,2,1,1,4</t>
  </si>
  <si>
    <t>14,204,207,1,4,101,3,8</t>
  </si>
  <si>
    <t>2,1,2,3,2,4,3,1</t>
  </si>
  <si>
    <t>19,103,204,1,2,7,5,8</t>
  </si>
  <si>
    <t>1,1,1,4,1,3,2,2</t>
  </si>
  <si>
    <t>17,109,207,103,14,3,8,101</t>
  </si>
  <si>
    <t>103,8,5,7,4,3,1,2</t>
  </si>
  <si>
    <t>2,3,3,1,1,4,2,3</t>
  </si>
  <si>
    <t>17,13,12,3,5,101,7,2</t>
  </si>
  <si>
    <t>1,1,1,3,2,1,4,4</t>
  </si>
  <si>
    <t>103,13,14,4,8,2,7,101</t>
  </si>
  <si>
    <t>103,204,1,8,4,2,3,101</t>
  </si>
  <si>
    <t>2,1,2,1,2,3,3,4</t>
  </si>
  <si>
    <t>204,14,101,1,3,8,5,7</t>
  </si>
  <si>
    <t>2,1,3,4,1,2,1,2</t>
  </si>
  <si>
    <t>109,20,103,12,7,101,8,1</t>
  </si>
  <si>
    <t>13,207,12,7,8,101,2,1</t>
  </si>
  <si>
    <t>2,1,1,1,2,4,1,1</t>
  </si>
  <si>
    <t>103,2,1,8,101,7,5,3</t>
  </si>
  <si>
    <t>1,3,4,3,1,1,3,1</t>
  </si>
  <si>
    <t>19,109,207,103,7,8,2,101</t>
  </si>
  <si>
    <t>207,14,7,5,4,8,2,1</t>
  </si>
  <si>
    <t>1,2,2,1,1,3,4,4</t>
  </si>
  <si>
    <t>16,207,13,14,1,4,5,7</t>
  </si>
  <si>
    <t>1,1,2,1,3,4,1,1</t>
  </si>
  <si>
    <t>12,4,2,1,3,101,8,5</t>
  </si>
  <si>
    <t>2,2,2,3,3,4,1,1</t>
  </si>
  <si>
    <t>204,1,8,4,5,101,2,3</t>
  </si>
  <si>
    <t>1,4,2,3,2,4,4,4</t>
  </si>
  <si>
    <t>207,7,8,101,5,2,3,4</t>
  </si>
  <si>
    <t>1,1,3,1,1,2,4,3</t>
  </si>
  <si>
    <t>204,12,101,7,8,3,4,1</t>
  </si>
  <si>
    <t>20,17,103,204,3,4,2,7</t>
  </si>
  <si>
    <t>19,207,204,1,3,2,8,7</t>
  </si>
  <si>
    <t>1,1,1,1,3,1,1,4</t>
  </si>
  <si>
    <t>109,16,207,12,14,4,1,101</t>
  </si>
  <si>
    <t>1,1,1,2,1,2,4,1</t>
  </si>
  <si>
    <t>19,14,12,5,8,101,3,1</t>
  </si>
  <si>
    <t>13,103,14,101,5,3,8,2</t>
  </si>
  <si>
    <t>2,2,1,3,1,4,4,2</t>
  </si>
  <si>
    <t>207,12,103,101,7,4,3,5</t>
  </si>
  <si>
    <t>2,2,2,4,1,4,1,2</t>
  </si>
  <si>
    <t>17,109,204,7,5,2,101,3</t>
  </si>
  <si>
    <t>20,207,14,3,7,8,101,1</t>
  </si>
  <si>
    <t>1,2,1,1,1,4,2,1</t>
  </si>
  <si>
    <t>207,13,2,7,5,8,4,101</t>
  </si>
  <si>
    <t>2,1,1,2,3,3,3,3</t>
  </si>
  <si>
    <t>207,8,3,4,5,2,101,7</t>
  </si>
  <si>
    <t>1,2,1,2,3,4,4,3</t>
  </si>
  <si>
    <t>103,5,2,1,101,8,4,3</t>
  </si>
  <si>
    <t>1,3,2,2,1,2,1,3</t>
  </si>
  <si>
    <t>19,12,7,101,8,2,4,1</t>
  </si>
  <si>
    <t>1,2,1,4,2,4,3,1</t>
  </si>
  <si>
    <t>103,4,7,2,1,3,5,101</t>
  </si>
  <si>
    <t>103,4,101,2,3,5,1,8</t>
  </si>
  <si>
    <t>17,16,13,14,103,1,2,7</t>
  </si>
  <si>
    <t>14,101,7,1,8,3,4,2</t>
  </si>
  <si>
    <t>1,1,3,1,4,3,2,4</t>
  </si>
  <si>
    <t>207,2,5,7,4,3,101,1</t>
  </si>
  <si>
    <t>1,2,4,2,1,2,3,4</t>
  </si>
  <si>
    <t>204,13,14,3,5,7,2,4</t>
  </si>
  <si>
    <t>2,2,1,3,2,4,2,2</t>
  </si>
  <si>
    <t>207,12,103,4,7,2,8,5</t>
  </si>
  <si>
    <t>2,2,2,3,4,2,3,4</t>
  </si>
  <si>
    <t>17,16,14,12,103,101,8,5</t>
  </si>
  <si>
    <t>19,14,207,101,7,3,1,4</t>
  </si>
  <si>
    <t>13,14,5,2,8,1,7,101</t>
  </si>
  <si>
    <t>1,2,4,3,4,3,3,2</t>
  </si>
  <si>
    <t>204,207,13,2,3,1,4,8</t>
  </si>
  <si>
    <t>17,14,207,103,101,4,1,5</t>
  </si>
  <si>
    <t>1,2,2,2,3,4,3,2</t>
  </si>
  <si>
    <t>12,103,14,4,5,2,1,7</t>
  </si>
  <si>
    <t>1,2,1,4,2,2,3,4</t>
  </si>
  <si>
    <t>14,204,12,2,8,5,4,7</t>
  </si>
  <si>
    <t>1,2,1,4,1,1,3,1</t>
  </si>
  <si>
    <t>12,204,207,2,4,7,3,101</t>
  </si>
  <si>
    <t>2,2,1,3,3,1,2,1</t>
  </si>
  <si>
    <t>13,4,7,1,5,3,8,101</t>
  </si>
  <si>
    <t>2,4,2,2,2,2,3,1</t>
  </si>
  <si>
    <t>16,17,12,204,13,1,7,8</t>
  </si>
  <si>
    <t>1,1,2,1,1,1,3,1</t>
  </si>
  <si>
    <t>17,13,12,103,5,101,2,4</t>
  </si>
  <si>
    <t>1,1,2,1,4,1,3,2</t>
  </si>
  <si>
    <t>12,8,7,2,4,5,3,101</t>
  </si>
  <si>
    <t>1,2,4,2,3,1,2,1</t>
  </si>
  <si>
    <t>103,3,5,4,1,7,8,101</t>
  </si>
  <si>
    <t>2,4,3,1,4,2,1,2</t>
  </si>
  <si>
    <t>204,103,13,2,3,8,5,101</t>
  </si>
  <si>
    <t>2,1,2,4,1,2,2,4</t>
  </si>
  <si>
    <t>103,101,1,8,4,7,2,3</t>
  </si>
  <si>
    <t>2,3,3,1,4,3,2,1</t>
  </si>
  <si>
    <t>13,5,3,8,1,101,7,4</t>
  </si>
  <si>
    <t>1,4,2,2,4,2,3,2</t>
  </si>
  <si>
    <t>204,14,8,2,4,5,1,7</t>
  </si>
  <si>
    <t>1,2,2,4,4,3,4,2</t>
  </si>
  <si>
    <t>109,17,14,103,204,4,8,5</t>
  </si>
  <si>
    <t>1,1,2,1,1,4,3,3</t>
  </si>
  <si>
    <t>17,109,103,8,5,1,3,101</t>
  </si>
  <si>
    <t>1,1,1,2,4,4,1,3</t>
  </si>
  <si>
    <t>12,8,3,2,5,1,4,101</t>
  </si>
  <si>
    <t>2,1,2,2,2,2,3,2</t>
  </si>
  <si>
    <t>16,207,14,1,2,3,8,101</t>
  </si>
  <si>
    <t>1,2,1,2,1,2,3,4</t>
  </si>
  <si>
    <t>207,3,4,7,5,1,8,2</t>
  </si>
  <si>
    <t>1,2,3,4,4,1,4,3</t>
  </si>
  <si>
    <t>20,17,13,5,101,4,2,7</t>
  </si>
  <si>
    <t>1,1,1,4,3,1,3,3</t>
  </si>
  <si>
    <t>109,14,2,4,8,3,5,7</t>
  </si>
  <si>
    <t>1,1,4,2,1,4,3,3</t>
  </si>
  <si>
    <t>13,8,7,5,4,3,101,1</t>
  </si>
  <si>
    <t>207,1,3,5,7,101,4,8</t>
  </si>
  <si>
    <t>1,3,2,1,4,2,3,4</t>
  </si>
  <si>
    <t>14,12,5,1,101,2,3,7</t>
  </si>
  <si>
    <t>17,20,207,103,12,1,3,2</t>
  </si>
  <si>
    <t>1,1,1,1,1,1,2,4</t>
  </si>
  <si>
    <t>17,103,101,3,1,4,8,5</t>
  </si>
  <si>
    <t>1,1,1,3,4,3,2,1</t>
  </si>
  <si>
    <t>20,12,1,4,3,8,2,101</t>
  </si>
  <si>
    <t>1,2,1,2,3,4,1,2</t>
  </si>
  <si>
    <t>13,8,3,1,4,7,101,5</t>
  </si>
  <si>
    <t>1,4,3,3,1,2,3,1</t>
  </si>
  <si>
    <t>19,14,4,7,3,101,2,5</t>
  </si>
  <si>
    <t>1,1,2,2,3,4,2,1</t>
  </si>
  <si>
    <t>207,14,12,1,7,3,4,2</t>
  </si>
  <si>
    <t>109,14,207,8,4,5,101,3</t>
  </si>
  <si>
    <t>1,1,1,4,2,1,4,2</t>
  </si>
  <si>
    <t>19,16,13,103,3,8,2,5</t>
  </si>
  <si>
    <t>1,1,1,2,4,2,1,1</t>
  </si>
  <si>
    <t>14,204,103,2,8,7,1,5</t>
  </si>
  <si>
    <t>2,2,1,3,2,3,4,1</t>
  </si>
  <si>
    <t>204,14,12,101,1,2,4,3</t>
  </si>
  <si>
    <t>2,2,2,4,3,1,3,4</t>
  </si>
  <si>
    <t>16,13,103,1,3,8,7,2</t>
  </si>
  <si>
    <t>20,19,12,2,101,8,5,7</t>
  </si>
  <si>
    <t>1,1,1,3,1,3,1,1</t>
  </si>
  <si>
    <t>109,16,12,13,5,4,101,8</t>
  </si>
  <si>
    <t>1,1,2,2,4,4,3,1</t>
  </si>
  <si>
    <t>14,207,103,101,2,8,7,4</t>
  </si>
  <si>
    <t>12,5,8,3,1,101,7,2</t>
  </si>
  <si>
    <t>2,3,2,4,1,1,2,2</t>
  </si>
  <si>
    <t>19,14,13,3,101,7,1,5</t>
  </si>
  <si>
    <t>1,2,1,2,3,4,4,1</t>
  </si>
  <si>
    <t>103,12,4,7,5,1,2,3</t>
  </si>
  <si>
    <t>1,2,4,1,1,4,2,4</t>
  </si>
  <si>
    <t>20,207,7,8,1,5,3,4</t>
  </si>
  <si>
    <t>1,1,4,3,1,3,2,1</t>
  </si>
  <si>
    <t>17,20,204,103,14,7,1,4</t>
  </si>
  <si>
    <t>1,1,1,2,2,1,2,4</t>
  </si>
  <si>
    <t>13,14,204,7,2,101,4,3</t>
  </si>
  <si>
    <t>2,1,1,4,2,1,1,4</t>
  </si>
  <si>
    <t>13,204,3,1,2,7,4,8</t>
  </si>
  <si>
    <t>1,1,3,3,4,4,4,1</t>
  </si>
  <si>
    <t>103,5,1,4,3,8,7,2</t>
  </si>
  <si>
    <t>2,4,1,3,1,3,4,4</t>
  </si>
  <si>
    <t>13,2,3,7,1,8,4,101</t>
  </si>
  <si>
    <t>1,3,1,1,2,1,2,1</t>
  </si>
  <si>
    <t>103,14,13,1,2,3,4,101</t>
  </si>
  <si>
    <t>2,2,2,4,3,2,1,4</t>
  </si>
  <si>
    <t>14,204,2,101,3,8,5,7</t>
  </si>
  <si>
    <t>12,5,3,2,4,101,7,8</t>
  </si>
  <si>
    <t>2,1,1,3,3,1,3,2</t>
  </si>
  <si>
    <t>13,1,3,7,8,4,2,101</t>
  </si>
  <si>
    <t>1,3,3,2,1,1,1,4</t>
  </si>
  <si>
    <t>13,12,5,2,1,8,3,7</t>
  </si>
  <si>
    <t>14,12,8,1,2,4,7,5</t>
  </si>
  <si>
    <t>2,1,4,2,4,4,4,3</t>
  </si>
  <si>
    <t>13,5,7,8,1,4,101,2</t>
  </si>
  <si>
    <t>17,207,204,14,101,3,1,8</t>
  </si>
  <si>
    <t>20,103,1,3,7,2,4,101</t>
  </si>
  <si>
    <t>1,2,2,4,1,1,3,2</t>
  </si>
  <si>
    <t>20,13,14,12,7,2,3,4</t>
  </si>
  <si>
    <t>1,1,1,2,2,2,4,3</t>
  </si>
  <si>
    <t>16,17,103,14,7,4,101,1</t>
  </si>
  <si>
    <t>13,204,14,1,7,8,101,2</t>
  </si>
  <si>
    <t>2,2,1,2,1,3,2,3</t>
  </si>
  <si>
    <t>103,3,4,2,1,5,7,101</t>
  </si>
  <si>
    <t>2,1,3,1,3,4,1,1</t>
  </si>
  <si>
    <t>19,13,14,2,8,7,3,101</t>
  </si>
  <si>
    <t>1,2,1,3,4,2,3,3</t>
  </si>
  <si>
    <t>204,101,1,2,7,4,8,5</t>
  </si>
  <si>
    <t>1,2,2,4,1,2,4,2</t>
  </si>
  <si>
    <t>204,101,7,3,1,4,5,2</t>
  </si>
  <si>
    <t>1,2,3,3,4,3,1,4</t>
  </si>
  <si>
    <t>103,13,207,101,5,7,2,1</t>
  </si>
  <si>
    <t>13,12,101,2,7,8,3,1</t>
  </si>
  <si>
    <t>1,1,4,3,2,4,4,3</t>
  </si>
  <si>
    <t>12,103,1,101,3,5,4,2</t>
  </si>
  <si>
    <t>207,204,14,1,5,3,7,4</t>
  </si>
  <si>
    <t>14,103,204,3,2,1,4,8</t>
  </si>
  <si>
    <t>2,1,1,4,1,4,1,1</t>
  </si>
  <si>
    <t>207,7,8,101,4,1,2,3</t>
  </si>
  <si>
    <t>1,3,1,3,4,3,4,4</t>
  </si>
  <si>
    <t>14,4,2,1,7,3,101,8</t>
  </si>
  <si>
    <t>1,4,1,3,2,2,4,3</t>
  </si>
  <si>
    <t>12,14,103,5,7,3,101,1</t>
  </si>
  <si>
    <t>1,2,1,3,3,1,1,2</t>
  </si>
  <si>
    <t>103,101,1,7,5,2,4,8</t>
  </si>
  <si>
    <t>17,204,2,3,7,4,8,101</t>
  </si>
  <si>
    <t>204,101,5,7,3,2,1,4</t>
  </si>
  <si>
    <t>1,2,2,4,3,3,1,2</t>
  </si>
  <si>
    <t>12,204,2,5,1,101,7,8</t>
  </si>
  <si>
    <t>20,13,207,12,1,4,101,7</t>
  </si>
  <si>
    <t>12,103,204,3,1,2,101,4</t>
  </si>
  <si>
    <t>2,2,2,2,1,2,3,2</t>
  </si>
  <si>
    <t>204,12,13,8,7,2,4,5</t>
  </si>
  <si>
    <t>2,2,2,4,1,1,1,2</t>
  </si>
  <si>
    <t>16,17,103,12,3,8,101,5</t>
  </si>
  <si>
    <t>1,1,2,2,2,4,1,4</t>
  </si>
  <si>
    <t>17,109,204,12,103,4,5,1</t>
  </si>
  <si>
    <t>13,103,204,8,101,1,2,3</t>
  </si>
  <si>
    <t>2,2,2,3,4,2,2,3</t>
  </si>
  <si>
    <t>17,204,12,4,7,8,3,1</t>
  </si>
  <si>
    <t>13,103,207,101,1,2,4,5</t>
  </si>
  <si>
    <t>2,2,1,1,3,3,1,3</t>
  </si>
  <si>
    <t>13,3,2,7,1,101,8,5</t>
  </si>
  <si>
    <t>2,3,1,3,2,1,2,3</t>
  </si>
  <si>
    <t>207,1,5,2,7,4,3,101</t>
  </si>
  <si>
    <t>2,4,4,2,2,1,3,4</t>
  </si>
  <si>
    <t>20,204,13,103,101,5,8,2</t>
  </si>
  <si>
    <t>14,13,3,101,8,4,2,1</t>
  </si>
  <si>
    <t>1,1,3,1,2,4,3,3</t>
  </si>
  <si>
    <t>12,13,1,101,4,7,3,5</t>
  </si>
  <si>
    <t>1,1,1,1,4,3,2,4</t>
  </si>
  <si>
    <t>109,16,103,13,2,3,7,4</t>
  </si>
  <si>
    <t>1,1,2,1,3,3,2,1</t>
  </si>
  <si>
    <t>17,16,204,4,5,3,1,2</t>
  </si>
  <si>
    <t>207,103,204,5,1,8,7,2</t>
  </si>
  <si>
    <t>19,16,12,103,8,1,7,3</t>
  </si>
  <si>
    <t>14,13,204,8,101,7,4,1</t>
  </si>
  <si>
    <t>2,2,2,3,2,3,1,2</t>
  </si>
  <si>
    <t>20,17,207,8,101,2,4,7</t>
  </si>
  <si>
    <t>14,13,3,101,8,5,4,2</t>
  </si>
  <si>
    <t>207,1,3,101,4,7,5,2</t>
  </si>
  <si>
    <t>2,1,3,3,3,2,1,3</t>
  </si>
  <si>
    <t>12,14,207,4,7,5,3,101</t>
  </si>
  <si>
    <t>14,207,103,8,1,3,5,2</t>
  </si>
  <si>
    <t>2,2,2,2,1,1,4,3</t>
  </si>
  <si>
    <t>109,20,207,13,204,4,1,5</t>
  </si>
  <si>
    <t>1,1,2,1,1,1,1,4</t>
  </si>
  <si>
    <t>109,103,14,12,8,5,1,2</t>
  </si>
  <si>
    <t>16,12,13,5,8,1,4,2</t>
  </si>
  <si>
    <t>1,2,1,4,1,1,2,1</t>
  </si>
  <si>
    <t>16,20,103,13,14,4,2,8</t>
  </si>
  <si>
    <t>20,12,14,2,4,1,7,8</t>
  </si>
  <si>
    <t>1,1,2,2,1,3,4,1</t>
  </si>
  <si>
    <t>20,17,204,12,13,2,101,7</t>
  </si>
  <si>
    <t>14,204,3,2,4,8,1,5</t>
  </si>
  <si>
    <t>1,2,3,4,3,3,1,3</t>
  </si>
  <si>
    <t>14,3,8,101,2,7,5,4</t>
  </si>
  <si>
    <t>1,2,4,1,3,2,2,4</t>
  </si>
  <si>
    <t>17,103,12,13,2,8,101,3</t>
  </si>
  <si>
    <t>1,2,2,2,2,1,2,4</t>
  </si>
  <si>
    <t>14,3,5,101,1,8,2,7</t>
  </si>
  <si>
    <t>1,1,3,1,2,2,3,4</t>
  </si>
  <si>
    <t>17,19,204,207,103,2,5,3</t>
  </si>
  <si>
    <t>109,204,14,12,101,8,2,7</t>
  </si>
  <si>
    <t>1,2,2,1,3,2,3,4</t>
  </si>
  <si>
    <t>16,207,14,7,3,101,1,2</t>
  </si>
  <si>
    <t>1,2,2,4,3,2,1,1</t>
  </si>
  <si>
    <t>14,13,101,4,3,7,2,5</t>
  </si>
  <si>
    <t>2,1,1,3,4,1,4,2</t>
  </si>
  <si>
    <t>19,109,207,204,12,5,101,8</t>
  </si>
  <si>
    <t>1,1,1,1,1,4,1,3</t>
  </si>
  <si>
    <t>12,2,3,7,8,1,5,4</t>
  </si>
  <si>
    <t>1,3,2,1,1,2,1,2</t>
  </si>
  <si>
    <t>14,13,8,2,7,5,4,3</t>
  </si>
  <si>
    <t>2,2,1,2,1,4,4,1</t>
  </si>
  <si>
    <t>207,14,13,2,101,3,1,7</t>
  </si>
  <si>
    <t>2,1,2,2,2,2,2,3</t>
  </si>
  <si>
    <t>17,204,2,8,5,101,7,4</t>
  </si>
  <si>
    <t>1,2,4,1,3,3,4,1</t>
  </si>
  <si>
    <t>103,207,8,4,2,3,101,5</t>
  </si>
  <si>
    <t>1,2,4,4,3,4,2,1</t>
  </si>
  <si>
    <t>13,5,7,3,101,1,8,4</t>
  </si>
  <si>
    <t>2,2,3,1,3,1,1,1</t>
  </si>
  <si>
    <t>17,19,13,3,8,7,4,2</t>
  </si>
  <si>
    <t>12,4,2,5,7,3,101,8</t>
  </si>
  <si>
    <t>2,4,3,3,1,3,2,2</t>
  </si>
  <si>
    <t>17,103,14,2,4,1,101,5</t>
  </si>
  <si>
    <t>1,2,2,1,2,3,3,1</t>
  </si>
  <si>
    <t>103,204,13,3,8,101,4,5</t>
  </si>
  <si>
    <t>1,1,1,4,1,3,4,3</t>
  </si>
  <si>
    <t>14,8,101,4,1,2,7,3</t>
  </si>
  <si>
    <t>1,2,4,3,4,4,1,4</t>
  </si>
  <si>
    <t>103,12,7,4,3,101,1,5</t>
  </si>
  <si>
    <t>2,2,2,1,2,1,4,1</t>
  </si>
  <si>
    <t>14,7,8,1,101,4,2,5</t>
  </si>
  <si>
    <t>1,4,1,4,3,2,3,1</t>
  </si>
  <si>
    <t>20,14,13,1,8,2,5,3</t>
  </si>
  <si>
    <t>1,1,2,4,2,1,1,2</t>
  </si>
  <si>
    <t>14,12,13,2,8,7,5,1</t>
  </si>
  <si>
    <t>20,17,207,103,1,2,8,3</t>
  </si>
  <si>
    <t>13,8,5,1,2,7,4,3</t>
  </si>
  <si>
    <t>1,4,3,3,2,2,3,2</t>
  </si>
  <si>
    <t>19,204,14,103,1,101,3,5</t>
  </si>
  <si>
    <t>14,8,1,4,3,5,2,101</t>
  </si>
  <si>
    <t>1,3,3,4,2,2,3,3</t>
  </si>
  <si>
    <t>207,12,2,3,101,7,8,5</t>
  </si>
  <si>
    <t>12,2,8,1,3,101,7,5</t>
  </si>
  <si>
    <t>1,3,4,3,4,3,2,3</t>
  </si>
  <si>
    <t>13,103,101,1,2,7,5,4</t>
  </si>
  <si>
    <t>1,2,4,4,2,3,4,2</t>
  </si>
  <si>
    <t>207,12,101,5,4,2,1,3</t>
  </si>
  <si>
    <t>1,2,4,4,4,4,2,2</t>
  </si>
  <si>
    <t>17,109,204,13,14,8,2,5</t>
  </si>
  <si>
    <t>17,12,13,3,7,2,5,8</t>
  </si>
  <si>
    <t>20,103,207,2,5,7,4,1</t>
  </si>
  <si>
    <t>16,20,103,12,7,5,8,4</t>
  </si>
  <si>
    <t>17,13,207,204,7,2,1,3</t>
  </si>
  <si>
    <t>13,2,3,1,101,8,4,5</t>
  </si>
  <si>
    <t>1,2,3,4,2,2,3,2</t>
  </si>
  <si>
    <t>17,109,13,204,101,8,7,3</t>
  </si>
  <si>
    <t>1,1,1,1,3,3,4,3</t>
  </si>
  <si>
    <t>17,16,103,12,13,7,101,5</t>
  </si>
  <si>
    <t>14,13,12,2,3,5,101,7</t>
  </si>
  <si>
    <t>2,1,1,2,3,2,4,4</t>
  </si>
  <si>
    <t>16,109,103,207,14,1,8,4</t>
  </si>
  <si>
    <t>20,19,12,14,3,101,4,2</t>
  </si>
  <si>
    <t>19,17,204,207,3,4,2,1</t>
  </si>
  <si>
    <t>13,101,1,4,3,5,7,8</t>
  </si>
  <si>
    <t>1,3,2,3,2,3,3,4</t>
  </si>
  <si>
    <t>20,19,207,5,8,101,3,2</t>
  </si>
  <si>
    <t>1,1,2,3,3,4,2,4</t>
  </si>
  <si>
    <t>207,204,14,4,5,1,101,3</t>
  </si>
  <si>
    <t>12,14,3,1,8,5,101,7</t>
  </si>
  <si>
    <t>2,1,2,4,4,2,3,3</t>
  </si>
  <si>
    <t>14,103,4,101,8,5,1,7</t>
  </si>
  <si>
    <t>109,16,204,13,8,3,4,7</t>
  </si>
  <si>
    <t>204,2,101,3,8,4,5,7</t>
  </si>
  <si>
    <t>1,3,4,2,4,4,2,2</t>
  </si>
  <si>
    <t>204,4,5,7,2,1,101,8</t>
  </si>
  <si>
    <t>1,3,2,2,2,4,4,2</t>
  </si>
  <si>
    <t>12,207,4,3,2,1,5,101</t>
  </si>
  <si>
    <t>20,12,13,204,1,2,8,101</t>
  </si>
  <si>
    <t>1,2,1,1,3,4,3,2</t>
  </si>
  <si>
    <t>19,103,207,101,1,7,4,3</t>
  </si>
  <si>
    <t>1,2,2,2,2,2,4,4</t>
  </si>
  <si>
    <t>20,19,12,207,103,5,2,1</t>
  </si>
  <si>
    <t>17,19,103,13,12,5,4,101</t>
  </si>
  <si>
    <t>1,1,1,2,1,4,2,4</t>
  </si>
  <si>
    <t>13,103,14,3,1,8,5,7</t>
  </si>
  <si>
    <t>12,13,204,8,4,7,3,5</t>
  </si>
  <si>
    <t>19,207,103,12,4,3,5,8</t>
  </si>
  <si>
    <t>204,14,101,5,4,3,1,8</t>
  </si>
  <si>
    <t>103,7,101,5,8,1,3,2</t>
  </si>
  <si>
    <t>2,2,3,4,3,2,3,3</t>
  </si>
  <si>
    <t>16,207,204,12,4,3,2,8</t>
  </si>
  <si>
    <t>1,2,2,1,2,3,4,2</t>
  </si>
  <si>
    <t>12,4,101,7,5,3,1,8</t>
  </si>
  <si>
    <t>2,3,4,4,4,3,4,3</t>
  </si>
  <si>
    <t>14,3,8,5,101,7,4,2</t>
  </si>
  <si>
    <t>20,13,12,207,4,3,101,1</t>
  </si>
  <si>
    <t>19,14,12,13,5,8,4,101</t>
  </si>
  <si>
    <t>1,1,1,2,4,4,3,3</t>
  </si>
  <si>
    <t>204,207,13,3,4,5,1,7</t>
  </si>
  <si>
    <t>103,2,101,8,5,7,3,4</t>
  </si>
  <si>
    <t>204,14,101,7,2,1,3,8</t>
  </si>
  <si>
    <t>2,1,4,4,4,3,2,3</t>
  </si>
  <si>
    <t>13,207,14,5,3,2,8,101</t>
  </si>
  <si>
    <t>1,2,2,4,3,3,4,4</t>
  </si>
  <si>
    <t>20,204,103,207,4,3,101,7</t>
  </si>
  <si>
    <t>207,14,13,4,3,5,7,8</t>
  </si>
  <si>
    <t>1,1,1,2,4,3,4,2</t>
  </si>
  <si>
    <t>207,4,7,101,5,2,1,8</t>
  </si>
  <si>
    <t>2,4,3,2,3,2,2,3</t>
  </si>
  <si>
    <t>20,109,13,7,4,5,8,1</t>
  </si>
  <si>
    <t>109,19,204,13,103,4,1,8</t>
  </si>
  <si>
    <t>1,1,2,2,1,2,2,4</t>
  </si>
  <si>
    <t>207,14,12,2,3,4,5,7</t>
  </si>
  <si>
    <t>2,1,1,3,4,2,2,3</t>
  </si>
  <si>
    <t>16,19,14,103,5,8,4,7</t>
  </si>
  <si>
    <t>207,13,12,7,1,101,8,3</t>
  </si>
  <si>
    <t>109,12,13,14,3,1,101,7</t>
  </si>
  <si>
    <t>12,204,207,4,1,7,5,2</t>
  </si>
  <si>
    <t>2,2,2,3,4,3,2,2</t>
  </si>
  <si>
    <t>204,12,207,8,101,1,2,5</t>
  </si>
  <si>
    <t>204,14,12,8,3,7,1,101</t>
  </si>
  <si>
    <t>207,103,204,5,8,3,2,4</t>
  </si>
  <si>
    <t>20,204,13,14,8,5,1,4</t>
  </si>
  <si>
    <t>1,2,2,2,4,3,3,3</t>
  </si>
  <si>
    <t>207,12,2,8,1,4,3,101</t>
  </si>
  <si>
    <t>2,2,3,2,2,2,4,2</t>
  </si>
  <si>
    <t>13,12,2,3,4,8,101,7</t>
  </si>
  <si>
    <t>207,204,4,2,1,7,5,8</t>
  </si>
  <si>
    <t>12,13,4,2,7,101,5,1</t>
  </si>
  <si>
    <t>13,207,12,7,101,1,8,3</t>
  </si>
  <si>
    <t>2,1,1,4,2,3,2,2</t>
  </si>
  <si>
    <t>204,103,7,2,1,101,8,3</t>
  </si>
  <si>
    <t>12,13,204,7,1,5,2,8</t>
  </si>
  <si>
    <t>1,2,1,3,3,3,2,2</t>
  </si>
  <si>
    <t>19,103,12,4,2,7,101,1</t>
  </si>
  <si>
    <t>1,2,1,4,2,4,4,4</t>
  </si>
  <si>
    <t>19,14,207,8,7,101,2,1</t>
  </si>
  <si>
    <t>20,12,13,103,3,101,2,8</t>
  </si>
  <si>
    <t>12,13,103,4,8,1,3,2</t>
  </si>
  <si>
    <t>1,2,1,4,2,3,3,4</t>
  </si>
  <si>
    <t>204,101,4,7,8,1,5,2</t>
  </si>
  <si>
    <t>1,4,3,4,2,2,3,3</t>
  </si>
  <si>
    <t>109,14,3,2,1,101,7,8</t>
  </si>
  <si>
    <t>20,13,14,12,101,7,5,3</t>
  </si>
  <si>
    <t>12,103,8,5,4,3,7,1</t>
  </si>
  <si>
    <t>14,13,1,4,3,5,7,2</t>
  </si>
  <si>
    <t>1,2,3,4,2,4,4,4</t>
  </si>
  <si>
    <t>103,204,2,8,1,3,4,101</t>
  </si>
  <si>
    <t>2,2,3,4,3,3,3,2</t>
  </si>
  <si>
    <t>204,101,8,1,7,2,5,3</t>
  </si>
  <si>
    <t>1,3,4,2,3,3,4,3</t>
  </si>
  <si>
    <t>14,2,5,7,101,3,4,1</t>
  </si>
  <si>
    <t>2,4,2,2,3,2,4,3</t>
  </si>
  <si>
    <t>12,1,8,7,3,5,4,101</t>
  </si>
  <si>
    <t>2,3,3,4,4,4,2,4</t>
  </si>
  <si>
    <t>103,101,7,2,3,4,1,5</t>
  </si>
  <si>
    <t>1,4,3,2,3,4,2,2</t>
  </si>
  <si>
    <t>16,13,103,8,101,7,5,1</t>
  </si>
  <si>
    <t>1,1,2,3,2,3,4,2</t>
  </si>
  <si>
    <t>13,204,103,2,4,101,3,7</t>
  </si>
  <si>
    <t>12,14,8,1,7,4,3,101</t>
  </si>
  <si>
    <t>2,2,2,2,4,2,3,4</t>
  </si>
  <si>
    <t>207,1,4,101,3,7,8,2</t>
  </si>
  <si>
    <t>13,204,12,1,7,4,101,2</t>
  </si>
  <si>
    <t>1,2,1,3,3,2,4,2</t>
  </si>
  <si>
    <t>103,1,101,5,3,7,8,2</t>
  </si>
  <si>
    <t>1,3,2,2,3,3,2,4</t>
  </si>
  <si>
    <t>13,103,8,7,4,5,2,3</t>
  </si>
  <si>
    <t>2,2,3,4,2,3,4,4</t>
  </si>
  <si>
    <t>13,103,7,8,3,5,2,1</t>
  </si>
  <si>
    <t>1,1,4,2,4,2,4,2</t>
  </si>
  <si>
    <t>13,14,103,3,2,101,7,8</t>
  </si>
  <si>
    <t>14,207,7,1,101,8,2,3</t>
  </si>
  <si>
    <t>1,1,4,3,4,2,3,2</t>
  </si>
  <si>
    <t>12,207,13,8,1,2,5,4</t>
  </si>
  <si>
    <t>2,2,2,3,3,2,4,3</t>
  </si>
  <si>
    <t>14,204,3,5,8,101,4,1</t>
  </si>
  <si>
    <t>103,101,3,7,2,8,5,4</t>
  </si>
  <si>
    <t>1,2,4,2,2,4,3,3</t>
  </si>
  <si>
    <t>103,7,3,1,8,2,5,101</t>
  </si>
  <si>
    <t>1,3,3,2,2,2,4,3</t>
  </si>
  <si>
    <t>20,16,103,204,2,3,7,1</t>
  </si>
  <si>
    <t>103,207,101,2,5,8,7,4</t>
  </si>
  <si>
    <t>1,2,4,4,4,3,3,3</t>
  </si>
  <si>
    <t>17,20,103,13,14,4,101,7</t>
  </si>
  <si>
    <t>1,1,2,2,1,4,4,3</t>
  </si>
  <si>
    <t>19,13,204,5,3,7,8,101</t>
  </si>
  <si>
    <t>20,204,103,14,7,4,1,2</t>
  </si>
  <si>
    <t>1,2,2,1,4,2,3,4</t>
  </si>
  <si>
    <t>207,5,1,2,8,101,4,7</t>
  </si>
  <si>
    <t>2,2,4,2,4,4,2,4</t>
  </si>
  <si>
    <t>14,12,13,5,4,8,2,7</t>
  </si>
  <si>
    <t>2,2,1,3,2,2,3,3</t>
  </si>
  <si>
    <t>103,204,207,2,3,7,4,5</t>
  </si>
  <si>
    <t>20,19,207,101,1,2,3,5</t>
  </si>
  <si>
    <t>207,4,2,8,5,7,101,3</t>
  </si>
  <si>
    <t>2,4,3,3,2,3,3,3</t>
  </si>
  <si>
    <t>17,19,207,3,4,5,101,7</t>
  </si>
  <si>
    <t>109,16,14,12,1,2,5,8</t>
  </si>
  <si>
    <t>12,204,13,101,8,4,3,7</t>
  </si>
  <si>
    <t>17,204,13,2,8,5,7,3</t>
  </si>
  <si>
    <t>103,13,12,1,3,101,8,2</t>
  </si>
  <si>
    <t>12,8,5,1,101,3,2,4</t>
  </si>
  <si>
    <t>103,13,12,2,101,4,8,3</t>
  </si>
  <si>
    <t>14,1,7,3,8,2,5,4</t>
  </si>
  <si>
    <t>1,3,3,4,4,4,3,3</t>
  </si>
  <si>
    <t>103,14,3,7,101,2,8,5</t>
  </si>
  <si>
    <t>109,14,5,4,101,3,1,7</t>
  </si>
  <si>
    <t>20,17,103,13,101,8,1,5</t>
  </si>
  <si>
    <t>13,12,7,8,1,101,3,2</t>
  </si>
  <si>
    <t>17,14,204,207,4,2,1,7</t>
  </si>
  <si>
    <t>20,17,14,2,1,8,4,7</t>
  </si>
  <si>
    <t>17,16,13,14,2,1,4,101</t>
  </si>
  <si>
    <t>103,12,8,2,4,101,7,1</t>
  </si>
  <si>
    <t>204,103,12,4,7,8,5,1</t>
  </si>
  <si>
    <t>2,2,1,4,4,4,2,3</t>
  </si>
  <si>
    <t>207,5,8,3,4,1,7,2</t>
  </si>
  <si>
    <t>1,3,3,2,4,2,2,2</t>
  </si>
  <si>
    <t>20,12,204,103,7,1,5,3</t>
  </si>
  <si>
    <t>12,207,13,2,1,7,101,5</t>
  </si>
  <si>
    <t>2,1,1,2,3,2,4,3</t>
  </si>
  <si>
    <t>16,109,103,207,1,7,2,3</t>
  </si>
  <si>
    <t>20,109,207,5,101,1,7,8</t>
  </si>
  <si>
    <t>13,12,4,1,3,101,8,2</t>
  </si>
  <si>
    <t>1,2,2,4,4,3,3,3</t>
  </si>
  <si>
    <t>103,14,5,7,3,4,2,1</t>
  </si>
  <si>
    <t>1,1,2,4,2,3,3,4</t>
  </si>
  <si>
    <t>204,103,13,3,5,4,101,7</t>
  </si>
  <si>
    <t>19,16,13,204,2,8,7,1</t>
  </si>
  <si>
    <t>14,204,3,5,2,8,4,101</t>
  </si>
  <si>
    <t>14,204,101,8,3,2,5,4</t>
  </si>
  <si>
    <t>103,207,8,5,4,1,3,101</t>
  </si>
  <si>
    <t>1,1,4,2,3,3,2,3</t>
  </si>
  <si>
    <t>103,1,4,7,8,2,5,101</t>
  </si>
  <si>
    <t>103,204,1,5,101,7,4,8</t>
  </si>
  <si>
    <t>2,1,4,4,4,4,4,3</t>
  </si>
  <si>
    <t>17,19,204,101,2,3,5,7</t>
  </si>
  <si>
    <t>207,8,1,4,2,101,5,3</t>
  </si>
  <si>
    <t>2,3,4,4,2,2,4,3</t>
  </si>
  <si>
    <t>13,207,12,101,5,1,4,7</t>
  </si>
  <si>
    <t>2,2,1,4,3,2,4,2</t>
  </si>
  <si>
    <t>14,3,4,5,7,8,2,101</t>
  </si>
  <si>
    <t>1,2,3,2,4,3,3,3</t>
  </si>
  <si>
    <t>204,207,14,7,2,3,4,5</t>
  </si>
  <si>
    <t>13,207,14,3,4,1,101,2</t>
  </si>
  <si>
    <t>204,207,2,1,101,5,8,3</t>
  </si>
  <si>
    <t>2,2,4,4,2,3,3,4</t>
  </si>
  <si>
    <t>13,12,7,3,2,5,101,1</t>
  </si>
  <si>
    <t>103,1,7,3,5,4,8,101</t>
  </si>
  <si>
    <t>2,3,4,3,2,4,2,2</t>
  </si>
  <si>
    <t>12,207,7,2,101,1,4,8</t>
  </si>
  <si>
    <t>13,1,5,4,8,2,3,7</t>
  </si>
  <si>
    <t>2,3,3,3,3,4,4,3</t>
  </si>
  <si>
    <t>109,207,7,5,101,4,8,2</t>
  </si>
  <si>
    <t>1,2,3,3,2,4,2,4</t>
  </si>
  <si>
    <t>207,12,5,2,8,4,101,1</t>
  </si>
  <si>
    <t>2,1,4,4,3,4,4,4</t>
  </si>
  <si>
    <t>109,12,204,207,7,8,4,1</t>
  </si>
  <si>
    <t>16,13,3,2,5,7,101,8</t>
  </si>
  <si>
    <t>1,1,3,3,2,2,4,2</t>
  </si>
  <si>
    <t>17,20,14,5,2,4,8,7</t>
  </si>
  <si>
    <t>13,14,12,8,3,2,4,5</t>
  </si>
  <si>
    <t>1,2,1,4,2,4,2,3</t>
  </si>
  <si>
    <t>12,3,7,101,1,4,8,5</t>
  </si>
  <si>
    <t>2,4,4,4,3,3,4,2</t>
  </si>
  <si>
    <t>16,12,2,1,7,5,4,8</t>
  </si>
  <si>
    <t>19,12,207,13,101,5,2,7</t>
  </si>
  <si>
    <t>14,12,204,1,7,5,3,2</t>
  </si>
  <si>
    <t>2,1,2,2,3,3,4,4</t>
  </si>
  <si>
    <t>103,207,2,3,1,4,8,7</t>
  </si>
  <si>
    <t>2,2,2,3,4,3,4,2</t>
  </si>
  <si>
    <t>12,13,4,3,1,5,2,8</t>
  </si>
  <si>
    <t>1,1,4,4,3,3,2,3</t>
  </si>
  <si>
    <t>207,12,14,7,5,101,2,1</t>
  </si>
  <si>
    <t>20,14,7,2,101,5,3,4</t>
  </si>
  <si>
    <t>1,2,2,3,2,3,3,2</t>
  </si>
  <si>
    <t>19,109,204,103,2,4,3,8</t>
  </si>
  <si>
    <t>14,1,7,101,3,5,2,4</t>
  </si>
  <si>
    <t>2,2,3,4,4,3,4,2</t>
  </si>
  <si>
    <t>16,12,13,7,8,101,2,1</t>
  </si>
  <si>
    <t>109,17,12,204,207,3,2,4</t>
  </si>
  <si>
    <t>207,13,4,3,1,7,101,8</t>
  </si>
  <si>
    <t>19,20,12,7,5,2,101,1</t>
  </si>
  <si>
    <t>19,13,103,1,2,4,3,8</t>
  </si>
  <si>
    <t>1,2,1,4,4,4,2,2</t>
  </si>
  <si>
    <t>17,16,13,7,2,3,5,101</t>
  </si>
  <si>
    <t>1,1,1,4,2,4,3,2</t>
  </si>
  <si>
    <t>20,103,12,13,8,5,1,101</t>
  </si>
  <si>
    <t>1,2,2,2,3,3,3,4</t>
  </si>
  <si>
    <t>13,1,4,2,5,8,3,7</t>
  </si>
  <si>
    <t>2,3,4,3,2,3,2,3</t>
  </si>
  <si>
    <t>19,20,13,14,2,8,101,1</t>
  </si>
  <si>
    <t>12,13,103,101,5,1,3,4</t>
  </si>
  <si>
    <t>1,2,1,3,2,3,2,3</t>
  </si>
  <si>
    <t>204,14,13,3,1,8,4,2</t>
  </si>
  <si>
    <t>2,2,2,3,3,4,3,2</t>
  </si>
  <si>
    <t>14,13,8,1,3,5,101,4</t>
  </si>
  <si>
    <t>2,2,4,4,4,3,2,3</t>
  </si>
  <si>
    <t>109,207,103,3,2,101,8,5</t>
  </si>
  <si>
    <t>1,1,2,4,4,2,2,2</t>
  </si>
  <si>
    <t>103,207,7,8,5,101,1,2</t>
  </si>
  <si>
    <t>2,1,3,2,2,2,4,4</t>
  </si>
  <si>
    <t>103,14,13,5,4,101,8,3</t>
  </si>
  <si>
    <t>16,20,13,4,101,7,2,3</t>
  </si>
  <si>
    <t>204,13,7,1,5,2,3,8</t>
  </si>
  <si>
    <t>1,4,2,3,2,4,2,3</t>
  </si>
  <si>
    <t>103,5,4,101,1,8,3,2</t>
  </si>
  <si>
    <t>2,2,3,4,4,4,4,2</t>
  </si>
  <si>
    <t>12,207,4,3,101,1,5,2</t>
  </si>
  <si>
    <t>19,14,5,3,7,2,1,101</t>
  </si>
  <si>
    <t>1,1,3,4,2,4,4,2</t>
  </si>
  <si>
    <t>13,4,101,2,3,5,1,7</t>
  </si>
  <si>
    <t>2,3,4,2,2,4,4,4</t>
  </si>
  <si>
    <t>17,14,13,3,7,101,4,5</t>
  </si>
  <si>
    <t>20,14,13,4,101,2,3,1</t>
  </si>
  <si>
    <t>1,2,2,4,2,2,4,2</t>
  </si>
  <si>
    <t>19,109,14,5,1,3,8,4</t>
  </si>
  <si>
    <t>207,12,1,3,7,4,8,101</t>
  </si>
  <si>
    <t>204,1,7,8,4,101,3,2</t>
  </si>
  <si>
    <t>1,3,3,4,3,3,4,3</t>
  </si>
  <si>
    <t>204,103,2,3,1,101,8,5</t>
  </si>
  <si>
    <t>20,16,12,103,207,101,1,4</t>
  </si>
  <si>
    <t>207,14,13,1,3,4,5,7</t>
  </si>
  <si>
    <t>2,1,2,2,4,4,2,4</t>
  </si>
  <si>
    <t>16,20,103,2,101,5,7,1</t>
  </si>
  <si>
    <t>207,204,101,1,5,4,3,2</t>
  </si>
  <si>
    <t>16,14,204,2,3,4,5,7</t>
  </si>
  <si>
    <t>16,103,207,5,1,4,7,3</t>
  </si>
  <si>
    <t>1,1,2,4,2,2,2,4</t>
  </si>
  <si>
    <t>16,17,13,2,3,7,101,1</t>
  </si>
  <si>
    <t>207,103,1,8,4,7,2,5</t>
  </si>
  <si>
    <t>209,204,5,8,7,4,2,3</t>
  </si>
  <si>
    <t>103,12,13,4,7,2,1,8</t>
  </si>
  <si>
    <t>204,13,1,2,7,3,4,8</t>
  </si>
  <si>
    <t>1,2,3,3,4,4,4,3</t>
  </si>
  <si>
    <t>209,13,1,2,5,4,3,101</t>
  </si>
  <si>
    <t>13,7,1,4,2,3,8,5</t>
  </si>
  <si>
    <t>1,2,4,3,4,4,2,2</t>
  </si>
  <si>
    <t>13,103,3,2,1,101,5,4</t>
  </si>
  <si>
    <t>14,207,1,5,4,8,3,2</t>
  </si>
  <si>
    <t>209,5,3,1,8,7,4,2</t>
  </si>
  <si>
    <t>1,3,3,4,4,2,2,3</t>
  </si>
  <si>
    <t>103,209,7,3,2,5,101,1</t>
  </si>
  <si>
    <t>1,1,4,2,2,3,4,2</t>
  </si>
  <si>
    <t>14,7,5,1,3,4,2,101</t>
  </si>
  <si>
    <t>1,3,2,2,4,2,4,4</t>
  </si>
  <si>
    <t>12,1,7,101,5,2,8,3</t>
  </si>
  <si>
    <t>2,2,2,2,4,2,3,3</t>
  </si>
  <si>
    <t>207,13,14,7,4,101,1,2</t>
  </si>
  <si>
    <t>2,1,1,3,2,2,4,3</t>
  </si>
  <si>
    <t>12,7,2,1,3,4,8,101</t>
  </si>
  <si>
    <t>2,4,4,2,4,2,2,3</t>
  </si>
  <si>
    <t>209,13,204,7,1,8,5,2</t>
  </si>
  <si>
    <t>2,1,2,3,3,2,2,4</t>
  </si>
  <si>
    <t>209,5,7,4,2,1,101,8</t>
  </si>
  <si>
    <t>2,3,2,2,3,3,3,4</t>
  </si>
  <si>
    <t>13,207,1,2,5,3,4,101</t>
  </si>
  <si>
    <t>19,209,103,3,101,7,5,1</t>
  </si>
  <si>
    <t>209,13,12,3,101,8,4,5</t>
  </si>
  <si>
    <t>2,1,1,3,2,4,2,2</t>
  </si>
  <si>
    <t>16,18,207,103,2,101,3,4</t>
  </si>
  <si>
    <t>209,13,3,8,7,5,1,2</t>
  </si>
  <si>
    <t>109,204,209,4,1,101,3,7</t>
  </si>
  <si>
    <t>1,2,1,4,3,3,2,2</t>
  </si>
  <si>
    <t>209,12,1,4,7,5,3,2</t>
  </si>
  <si>
    <t>209,5,8,3,1,4,7,2</t>
  </si>
  <si>
    <t>2,3,4,3,4,4,2,3</t>
  </si>
  <si>
    <t>13,103,2,101,1,4,7,8</t>
  </si>
  <si>
    <t>1,1,4,4,2,2,3,3</t>
  </si>
  <si>
    <t>18,19,12,5,101,8,1,3</t>
  </si>
  <si>
    <t>1,1,1,4,2,2,2,2</t>
  </si>
  <si>
    <t>209,13,207,101,5,2,4,3</t>
  </si>
  <si>
    <t>204,207,209,1,101,2,4,8</t>
  </si>
  <si>
    <t>204,5,2,3,8,101,4,1</t>
  </si>
  <si>
    <t>209,4,5,2,3,8,101,1</t>
  </si>
  <si>
    <t>2,2,3,3,4,3,2,3</t>
  </si>
  <si>
    <t>14,103,209,1,4,5,101,8</t>
  </si>
  <si>
    <t>2,1,2,4,2,2,3,2</t>
  </si>
  <si>
    <t>18,20,204,5,7,101,1,8</t>
  </si>
  <si>
    <t>1,1,2,4,2,2,4,4</t>
  </si>
  <si>
    <t>109,14,12,204,8,2,3,4</t>
  </si>
  <si>
    <t>20,207,14,12,101,1,7,3</t>
  </si>
  <si>
    <t>207,5,8,3,4,2,7,101</t>
  </si>
  <si>
    <t>13,14,209,8,5,7,3,1</t>
  </si>
  <si>
    <t>1,2,1,2,3,3,2,4</t>
  </si>
  <si>
    <t>103,209,12,5,1,101,7,3</t>
  </si>
  <si>
    <t>1,1,1,4,3,2,2,4</t>
  </si>
  <si>
    <t>13,12,207,101,8,1,4,3</t>
  </si>
  <si>
    <t>103,1,4,8,3,7,2,5</t>
  </si>
  <si>
    <t>1,2,4,2,4,3,3,4</t>
  </si>
  <si>
    <t>20,13,207,4,3,2,5,7</t>
  </si>
  <si>
    <t>14,2,4,1,8,101,7,3</t>
  </si>
  <si>
    <t>13,204,101,2,8,7,3,5</t>
  </si>
  <si>
    <t>1,1,2,3,2,4,2,3</t>
  </si>
  <si>
    <t>12,204,8,1,4,7,3,5</t>
  </si>
  <si>
    <t>19,207,13,2,7,1,4,3</t>
  </si>
  <si>
    <t>1,2,2,4,2,4,4,4</t>
  </si>
  <si>
    <t>18,16,14,1,2,8,5,7</t>
  </si>
  <si>
    <t>207,204,7,8,5,4,101,2</t>
  </si>
  <si>
    <t>1,2,2,3,3,4,3,4</t>
  </si>
  <si>
    <t>109,18,12,207,7,5,2,1</t>
  </si>
  <si>
    <t>16,20,207,14,103,7,3,4</t>
  </si>
  <si>
    <t>18,207,4,7,2,8,1,3</t>
  </si>
  <si>
    <t>209,207,101,3,8,1,7,4</t>
  </si>
  <si>
    <t>2,1,3,2,2,4,4,3</t>
  </si>
  <si>
    <t>207,103,204,4,5,101,1,3</t>
  </si>
  <si>
    <t>19,12,3,4,2,5,8,1</t>
  </si>
  <si>
    <t>1,1,4,2,3,4,3,2</t>
  </si>
  <si>
    <t>19,20,13,1,4,7,8,101</t>
  </si>
  <si>
    <t>204,5,1,101,2,4,3,7</t>
  </si>
  <si>
    <t>1,4,2,3,4,4,3,3</t>
  </si>
  <si>
    <t>103,8,7,2,5,1,4,3</t>
  </si>
  <si>
    <t>16,14,4,101,7,5,3,2</t>
  </si>
  <si>
    <t>1,2,2,2,4,3,4,3</t>
  </si>
  <si>
    <t>207,12,8,101,7,4,3,5</t>
  </si>
  <si>
    <t>2,1,3,2,4,3,3,4</t>
  </si>
  <si>
    <t>20,16,12,5,1,8,3,7</t>
  </si>
  <si>
    <t>209,207,14,4,2,101,8,7</t>
  </si>
  <si>
    <t>14,103,207,8,2,101,1,5</t>
  </si>
  <si>
    <t>204,2,7,3,1,8,101,4</t>
  </si>
  <si>
    <t>2,3,4,4,2,3,4,2</t>
  </si>
  <si>
    <t>13,209,14,1,8,3,7,2</t>
  </si>
  <si>
    <t>1,1,2,3,2,3,4,4</t>
  </si>
  <si>
    <t>103,2,101,1,8,3,7,4</t>
  </si>
  <si>
    <t>209,4,5,101,2,3,8,7</t>
  </si>
  <si>
    <t>20,207,7,4,1,8,5,101</t>
  </si>
  <si>
    <t>209,1,4,5,7,101,8,2</t>
  </si>
  <si>
    <t>1,4,3,4,3,4,2,3</t>
  </si>
  <si>
    <t>16,109,209,12,13,3,5,8</t>
  </si>
  <si>
    <t>1,1,1,2,1,2,2,4</t>
  </si>
  <si>
    <t>20,19,207,209,12,7,101,5</t>
  </si>
  <si>
    <t>13,14,12,3,1,2,4,5</t>
  </si>
  <si>
    <t>207,13,209,8,101,7,5,1</t>
  </si>
  <si>
    <t>209,4,1,101,5,2,8,3</t>
  </si>
  <si>
    <t>2,2,4,3,4,2,4,3</t>
  </si>
  <si>
    <t>13,209,12,101,5,1,7,2</t>
  </si>
  <si>
    <t>2,1,1,3,3,2,2,3</t>
  </si>
  <si>
    <t>109,103,3,7,4,1,2,5</t>
  </si>
  <si>
    <t>1,2,2,2,2,2,4,2</t>
  </si>
  <si>
    <t>207,14,7,1,2,4,5,8</t>
  </si>
  <si>
    <t>1,1,3,2,2,3,4,2</t>
  </si>
  <si>
    <t>204,8,7,4,1,3,5,101</t>
  </si>
  <si>
    <t>2,4,4,3,3,2,2,3</t>
  </si>
  <si>
    <t>207,209,14,101,1,4,3,2</t>
  </si>
  <si>
    <t>1,1,2,4,2,2,2,3</t>
  </si>
  <si>
    <t>109,12,207,4,2,7,5,8</t>
  </si>
  <si>
    <t>20,16,204,209,14,3,7,4</t>
  </si>
  <si>
    <t>13,1,3,5,8,2,101,4</t>
  </si>
  <si>
    <t>2,2,3,2,2,2,2,4</t>
  </si>
  <si>
    <t>17,207,12,204,7,5,4,3</t>
  </si>
  <si>
    <t>13,4,1,8,2,101,5,3</t>
  </si>
  <si>
    <t>2,2,4,4,2,3,4,4</t>
  </si>
  <si>
    <t>12,209,103,8,1,2,3,4</t>
  </si>
  <si>
    <t>2,2,2,2,4,4,3,3</t>
  </si>
  <si>
    <t>103,209,3,2,5,1,7,8</t>
  </si>
  <si>
    <t>207,103,8,5,2,101,4,1</t>
  </si>
  <si>
    <t>1,1,4,2,3,4,2,3</t>
  </si>
  <si>
    <t>20,19,12,13,207,101,2,5</t>
  </si>
  <si>
    <t>1,1,2,2,1,4,2,2</t>
  </si>
  <si>
    <t>19,18,12,207,209,1,4,3</t>
  </si>
  <si>
    <t>103,209,207,8,1,5,2,101</t>
  </si>
  <si>
    <t>209,13,1,2,5,3,101,7</t>
  </si>
  <si>
    <t>2,2,4,4,2,3,3,3</t>
  </si>
  <si>
    <t>204,103,3,5,2,7,1,101</t>
  </si>
  <si>
    <t>1,2,4,2,3,3,4,2</t>
  </si>
  <si>
    <t>207,4,1,5,3,8,7,101</t>
  </si>
  <si>
    <t>2,3,3,4,4,4,4,4</t>
  </si>
  <si>
    <t>209,5,8,1,101,3,2,4</t>
  </si>
  <si>
    <t>1,4,2,3,3,3,3,4</t>
  </si>
  <si>
    <t>207,12,1,101,5,2,4,3</t>
  </si>
  <si>
    <t>2,2,4,4,4,2,3,3</t>
  </si>
  <si>
    <t>18,19,13,2,5,8,4,1</t>
  </si>
  <si>
    <t>16,19,207,12,209,1,8,101</t>
  </si>
  <si>
    <t>14,204,5,101,4,8,1,7</t>
  </si>
  <si>
    <t>2,1,2,2,4,2,2,4</t>
  </si>
  <si>
    <t>14,13,103,2,101,3,1,4</t>
  </si>
  <si>
    <t>12,14,5,1,7,101,4,8</t>
  </si>
  <si>
    <t>17,103,209,101,1,3,8,4</t>
  </si>
  <si>
    <t>1,2,1,3,2,3,3,2</t>
  </si>
  <si>
    <t>204,5,8,2,1,101,3,7</t>
  </si>
  <si>
    <t>1,2,4,2,2,3,4,4</t>
  </si>
  <si>
    <t>209,1,8,5,3,7,2,101</t>
  </si>
  <si>
    <t>1,4,3,3,2,2,4,3</t>
  </si>
  <si>
    <t>12,209,101,2,1,4,3,5</t>
  </si>
  <si>
    <t>2,1,3,2,4,4,2,3</t>
  </si>
  <si>
    <t>12,14,209,101,2,3,5,1</t>
  </si>
  <si>
    <t>204,13,5,101,4,1,8,7</t>
  </si>
  <si>
    <t>103,204,12,5,4,3,7,101</t>
  </si>
  <si>
    <t>2,2,2,4,3,3,2,2</t>
  </si>
  <si>
    <t>14,2,3,8,5,101,7,4</t>
  </si>
  <si>
    <t>18,209,7,1,3,8,4,5</t>
  </si>
  <si>
    <t>209,12,103,3,2,7,4,101</t>
  </si>
  <si>
    <t>2,1,1,3,3,2,3,3</t>
  </si>
  <si>
    <t>204,103,209,101,7,8,1,3</t>
  </si>
  <si>
    <t>1,2,2,2,2,4,2,4</t>
  </si>
  <si>
    <t>204,5,8,3,4,2,101,7</t>
  </si>
  <si>
    <t>1,3,4,3,3,2,4,4</t>
  </si>
  <si>
    <t>16,12,103,8,3,101,2,5</t>
  </si>
  <si>
    <t>204,14,8,3,5,4,2,101</t>
  </si>
  <si>
    <t>14,207,7,1,101,3,8,5</t>
  </si>
  <si>
    <t>109,19,207,209,8,101,4,3</t>
  </si>
  <si>
    <t>103,13,8,1,2,101,4,3</t>
  </si>
  <si>
    <t>1,2,2,4,4,4,4,2</t>
  </si>
  <si>
    <t>17,16,209,12,204,8,1,3</t>
  </si>
  <si>
    <t>13,3,4,7,8,2,1,101</t>
  </si>
  <si>
    <t>1,4,3,2,3,4,3,4</t>
  </si>
  <si>
    <t>17,19,12,209,207,2,5,8</t>
  </si>
  <si>
    <t>17,14,13,207,2,1,4,101</t>
  </si>
  <si>
    <t>103,7,1,5,3,4,101,8</t>
  </si>
  <si>
    <t>1,3,4,2,4,3,3,3</t>
  </si>
  <si>
    <t>19,209,101,3,1,2,5,4</t>
  </si>
  <si>
    <t>1,1,4,2,2,3,3,2</t>
  </si>
  <si>
    <t>13,204,103,8,7,3,4,1</t>
  </si>
  <si>
    <t>2,2,1,3,2,4,4,4</t>
  </si>
  <si>
    <t>13,209,207,2,3,8,4,7</t>
  </si>
  <si>
    <t>2,1,2,3,4,2,4,4</t>
  </si>
  <si>
    <t>204,209,2,8,101,7,1,4</t>
  </si>
  <si>
    <t>2,2,3,4,3,3,4,3</t>
  </si>
  <si>
    <t>13,3,8,7,1,4,2,5</t>
  </si>
  <si>
    <t>2,3,3,2,4,2,3,2</t>
  </si>
  <si>
    <t>103,14,12,101,2,4,8,3</t>
  </si>
  <si>
    <t>2,2,2,4,4,2,3,2</t>
  </si>
  <si>
    <t>20,209,7,5,2,3,1,101</t>
  </si>
  <si>
    <t>1,1,3,3,4,3,2,4</t>
  </si>
  <si>
    <t>19,207,14,7,4,8,3,101</t>
  </si>
  <si>
    <t>204,14,4,2,8,7,3,101</t>
  </si>
  <si>
    <t>14,12,209,1,2,5,4,7</t>
  </si>
  <si>
    <t>1,1,2,4,4,2,4,4</t>
  </si>
  <si>
    <t>12,7,8,3,4,101,5,2</t>
  </si>
  <si>
    <t>103,207,12,8,3,1,7,101</t>
  </si>
  <si>
    <t>19,17,209,14,2,5,7,3</t>
  </si>
  <si>
    <t>20,109,204,8,101,2,5,7</t>
  </si>
  <si>
    <t>14,4,3,2,7,5,8,1</t>
  </si>
  <si>
    <t>17,13,103,14,2,3,7,101</t>
  </si>
  <si>
    <t>1,2,1,2,4,2,4,2</t>
  </si>
  <si>
    <t>109,209,12,13,1,101,3,4</t>
  </si>
  <si>
    <t>16,20,12,8,4,101,5,1</t>
  </si>
  <si>
    <t>14,207,4,2,1,3,7,5</t>
  </si>
  <si>
    <t>19,20,14,207,209,3,5,8</t>
  </si>
  <si>
    <t>20,19,207,5,8,101,7,4</t>
  </si>
  <si>
    <t>12,2,101,3,8,1,4,5</t>
  </si>
  <si>
    <t>2,3,2,4,4,4,3,3</t>
  </si>
  <si>
    <t>12,13,101,3,5,4,2,8</t>
  </si>
  <si>
    <t>19,209,14,101,1,2,3,8</t>
  </si>
  <si>
    <t>1,2,1,4,2,4,3,3</t>
  </si>
  <si>
    <t>13,204,103,5,1,3,4,2</t>
  </si>
  <si>
    <t>2,1,1,4,2,4,3,4</t>
  </si>
  <si>
    <t>14,209,103,3,4,8,7,1</t>
  </si>
  <si>
    <t>103,204,12,7,2,3,5,1</t>
  </si>
  <si>
    <t>207,2,7,3,1,4,5,8</t>
  </si>
  <si>
    <t>1,3,4,2,2,4,3,2</t>
  </si>
  <si>
    <t>204,14,103,1,7,3,2,4</t>
  </si>
  <si>
    <t>209,101,3,1,7,5,4,2</t>
  </si>
  <si>
    <t>1,4,2,2,4,3,4,3</t>
  </si>
  <si>
    <t>20,207,14,204,5,8,2,1</t>
  </si>
  <si>
    <t>1,1,2,1,4,3,3,2</t>
  </si>
  <si>
    <t>204,1,2,101,5,7,8,3</t>
  </si>
  <si>
    <t>209,207,14,101,5,3,4,7</t>
  </si>
  <si>
    <t>2,2,1,3,3,2,3,3</t>
  </si>
  <si>
    <t>16,14,103,5,3,1,2,4</t>
  </si>
  <si>
    <t>20,103,2,1,101,8,4,3</t>
  </si>
  <si>
    <t>14,8,7,4,101,2,1,5</t>
  </si>
  <si>
    <t>14,1,5,4,3,8,7,2</t>
  </si>
  <si>
    <t>2,3,4,2,2,2,4,2</t>
  </si>
  <si>
    <t>20,17,209,8,101,7,3,1</t>
  </si>
  <si>
    <t>204,14,12,4,101,7,2,8</t>
  </si>
  <si>
    <t>2,2,1,4,2,2,2,2</t>
  </si>
  <si>
    <t>209,101,1,7,8,4,2,5</t>
  </si>
  <si>
    <t>2,4,4,2,4,2,4,4</t>
  </si>
  <si>
    <t>19,109,13,8,101,5,1,4</t>
  </si>
  <si>
    <t>207,204,209,3,8,7,1,5</t>
  </si>
  <si>
    <t>1,1,2,3,2,2,4,4</t>
  </si>
  <si>
    <t>204,13,103,8,2,101,5,4</t>
  </si>
  <si>
    <t>207,209,101,3,7,1,4,8</t>
  </si>
  <si>
    <t>2,2,4,2,3,3,2,2</t>
  </si>
  <si>
    <t>17,12,3,8,101,7,1,2</t>
  </si>
  <si>
    <t>12,207,14,101,5,2,4,3</t>
  </si>
  <si>
    <t>1,1,1,2,3,2,4,3</t>
  </si>
  <si>
    <t>13,207,4,7,101,2,1,5</t>
  </si>
  <si>
    <t>18,19,12,13,204,101,2,7</t>
  </si>
  <si>
    <t>18,12,207,14,5,8,2,101</t>
  </si>
  <si>
    <t>16,18,103,1,101,4,8,7</t>
  </si>
  <si>
    <t>1,1,2,3,4,2,2,3</t>
  </si>
  <si>
    <t>17,209,7,8,5,1,2,101</t>
  </si>
  <si>
    <t>1,2,4,3,4,2,2,3</t>
  </si>
  <si>
    <t>19,204,8,5,7,1,2,4</t>
  </si>
  <si>
    <t>207,103,12,101,8,1,7,2</t>
  </si>
  <si>
    <t>207,12,5,8,2,4,3,7</t>
  </si>
  <si>
    <t>2,1,3,3,4,4,3,3</t>
  </si>
  <si>
    <t>109,12,3,8,7,4,2,1</t>
  </si>
  <si>
    <t>14,207,5,8,7,101,3,1</t>
  </si>
  <si>
    <t>17,14,207,204,1,101,4,5</t>
  </si>
  <si>
    <t>20,209,14,7,2,1,5,101</t>
  </si>
  <si>
    <t>19,14,209,2,5,3,101,7</t>
  </si>
  <si>
    <t>109,18,12,13,101,7,8,1</t>
  </si>
  <si>
    <t>109,16,207,103,209,7,101,8</t>
  </si>
  <si>
    <t>103,207,101,5,1,2,3,7</t>
  </si>
  <si>
    <t>2,2,4,4,2,3,2,3</t>
  </si>
  <si>
    <t>204,1,4,2,5,8,101,7</t>
  </si>
  <si>
    <t>2,4,4,3,4,3,4,3</t>
  </si>
  <si>
    <t>12,4,3,5,7,101,1,8</t>
  </si>
  <si>
    <t>17,18,12,13,1,8,4,5</t>
  </si>
  <si>
    <t>207,13,209,4,5,101,1,3</t>
  </si>
  <si>
    <t>1,2,1,2,4,4,2,2</t>
  </si>
  <si>
    <t>207,14,204,3,2,4,5,101</t>
  </si>
  <si>
    <t>2,2,1,3,2,3,4,2</t>
  </si>
  <si>
    <t>207,209,2,7,101,8,3,4</t>
  </si>
  <si>
    <t>13,103,101,3,2,5,1,4</t>
  </si>
  <si>
    <t>1,1,3,4,2,2,3,4</t>
  </si>
  <si>
    <t>207,12,204,7,4,101,3,1</t>
  </si>
  <si>
    <t>209,207,2,4,101,5,3,1</t>
  </si>
  <si>
    <t>17,16,209,14,3,5,2,7</t>
  </si>
  <si>
    <t>204,14,209,3,1,4,7,5</t>
  </si>
  <si>
    <t>103,207,14,3,8,101,7,2</t>
  </si>
  <si>
    <t>2,2,1,3,2,2,3,2</t>
  </si>
  <si>
    <t>19,204,209,4,8,101,7,3</t>
  </si>
  <si>
    <t>18,20,207,209,7,1,5,101</t>
  </si>
  <si>
    <t>1,1,1,1,4,2,2,3</t>
  </si>
  <si>
    <t>18,17,103,207,101,8,2,7</t>
  </si>
  <si>
    <t>209,103,101,5,8,7,2,1</t>
  </si>
  <si>
    <t>207,101,8,2,3,1,7,5</t>
  </si>
  <si>
    <t>2,2,3,2,4,2,2,2</t>
  </si>
  <si>
    <t>12,3,2,8,5,4,1,7</t>
  </si>
  <si>
    <t>20,12,5,8,4,2,101,1</t>
  </si>
  <si>
    <t>1,1,4,3,2,3,2,4</t>
  </si>
  <si>
    <t>109,13,12,103,2,3,4,8</t>
  </si>
  <si>
    <t>1,2,1,1,4,3,4,3</t>
  </si>
  <si>
    <t>207,209,12,1,2,7,4,8</t>
  </si>
  <si>
    <t>1,2,1,2,3,4,3,3</t>
  </si>
  <si>
    <t>13,209,14,8,1,5,2,101</t>
  </si>
  <si>
    <t>2,1,2,3,3,3,2,3</t>
  </si>
  <si>
    <t>103,13,7,5,3,4,1,2</t>
  </si>
  <si>
    <t>2,2,2,3,4,4,4,4</t>
  </si>
  <si>
    <t>14,209,1,2,5,3,4,8</t>
  </si>
  <si>
    <t>2,1,2,3,3,2,3,2</t>
  </si>
  <si>
    <t>17,103,207,5,4,1,2,3</t>
  </si>
  <si>
    <t>1,2,2,4,3,4,3,2</t>
  </si>
  <si>
    <t>207,14,13,1,8,101,2,4</t>
  </si>
  <si>
    <t>2,1,2,4,4,2,3,4</t>
  </si>
  <si>
    <t>209,5,8,4,1,7,3,2</t>
  </si>
  <si>
    <t>18,13,7,4,3,101,2,5</t>
  </si>
  <si>
    <t>1,1,4,2,4,4,4,3</t>
  </si>
  <si>
    <t>13,12,14,1,8,3,5,2</t>
  </si>
  <si>
    <t>2,1,1,4,3,3,3,3</t>
  </si>
  <si>
    <t>204,8,4,101,7,3,2,1</t>
  </si>
  <si>
    <t>2,3,4,2,4,2,2,3</t>
  </si>
  <si>
    <t>18,109,14,207,204,2,101,5</t>
  </si>
  <si>
    <t>18,20,12,103,3,2,101,1</t>
  </si>
  <si>
    <t>109,207,3,2,8,4,101,5</t>
  </si>
  <si>
    <t>109,16,14,7,101,1,2,4</t>
  </si>
  <si>
    <t>14,103,13,7,2,4,5,1</t>
  </si>
  <si>
    <t>2,1,1,4,4,4,2,4</t>
  </si>
  <si>
    <t>207,209,8,3,5,1,2,4</t>
  </si>
  <si>
    <t>2,1,4,3,2,4,4,4</t>
  </si>
  <si>
    <t>12,3,7,1,5,101,4,2</t>
  </si>
  <si>
    <t>1,2,2,2,4,3,3,2</t>
  </si>
  <si>
    <t>13,4,101,5,8,3,7,2</t>
  </si>
  <si>
    <t>2,2,3,3,4,3,2,4</t>
  </si>
  <si>
    <t>207,209,103,4,1,3,2,5</t>
  </si>
  <si>
    <t>2,2,1,2,4,2,3,4</t>
  </si>
  <si>
    <t>13,207,3,101,2,4,5,8</t>
  </si>
  <si>
    <t>2,1,4,3,3,3,4,3</t>
  </si>
  <si>
    <t>207,14,101,3,5,4,8,7</t>
  </si>
  <si>
    <t>2,1,4,3,3,2,3,4</t>
  </si>
  <si>
    <t>109,19,204,4,1,8,5,3</t>
  </si>
  <si>
    <t>103,209,2,1,4,3,101,7</t>
  </si>
  <si>
    <t>12,209,4,8,2,5,101,3</t>
  </si>
  <si>
    <t>1,2,4,4,3,3,2,2</t>
  </si>
  <si>
    <t>209,204,7,8,101,2,4,5</t>
  </si>
  <si>
    <t>207,13,101,4,5,7,1,2</t>
  </si>
  <si>
    <t>12,204,103,101,2,1,5,4</t>
  </si>
  <si>
    <t>109,20,14,103,207,3,7,4</t>
  </si>
  <si>
    <t>103,204,1,101,5,8,4,3</t>
  </si>
  <si>
    <t>2,2,3,4,2,3,2,3</t>
  </si>
  <si>
    <t>209,5,3,7,101,1,2,4</t>
  </si>
  <si>
    <t>18,16,12,207,8,5,3,7</t>
  </si>
  <si>
    <t>103,204,14,3,7,8,4,1</t>
  </si>
  <si>
    <t>2,2,1,4,4,4,3,2</t>
  </si>
  <si>
    <t>12,204,4,7,5,2,101,1</t>
  </si>
  <si>
    <t>2,1,2,4,2,4,3,4</t>
  </si>
  <si>
    <t>109,13,204,8,7,4,2,101</t>
  </si>
  <si>
    <t>204,13,3,5,101,2,1,4</t>
  </si>
  <si>
    <t>20,19,12,209,7,8,3,101</t>
  </si>
  <si>
    <t>103,7,4,3,2,101,5,8</t>
  </si>
  <si>
    <t>1,4,2,2,4,4,4,4</t>
  </si>
  <si>
    <t>109,13,7,2,5,3,1,4</t>
  </si>
  <si>
    <t>1,2,4,2,3,4,2,4</t>
  </si>
  <si>
    <t>204,2,1,5,3,8,101,4</t>
  </si>
  <si>
    <t>2,4,2,4,3,3,3,2</t>
  </si>
  <si>
    <t>14,12,204,2,3,8,7,101</t>
  </si>
  <si>
    <t>1,2,1,3,3,4,2,4</t>
  </si>
  <si>
    <t>14,3,7,101,1,8,5,2</t>
  </si>
  <si>
    <t>1,2,4,4,2,2,3,4</t>
  </si>
  <si>
    <t>109,16,14,12,101,2,1,5</t>
  </si>
  <si>
    <t>17,14,13,209,3,7,2,8</t>
  </si>
  <si>
    <t>103,4,3,8,101,2,1,7</t>
  </si>
  <si>
    <t>1,4,4,3,2,2,4,3</t>
  </si>
  <si>
    <t>14,7,1,8,3,2,101,5</t>
  </si>
  <si>
    <t>2,2,2,2,4,3,4,4</t>
  </si>
  <si>
    <t>12,207,4,3,101,2,7,1</t>
  </si>
  <si>
    <t>209,7,2,101,4,5,3,1</t>
  </si>
  <si>
    <t>2,3,2,3,2,2,4,3</t>
  </si>
  <si>
    <t>13,14,12,1,7,8,3,2</t>
  </si>
  <si>
    <t>204,207,13,101,5,3,2,1</t>
  </si>
  <si>
    <t>2,1,1,2,4,2,4,3</t>
  </si>
  <si>
    <t>103,13,209,4,8,7,3,2</t>
  </si>
  <si>
    <t>209,103,2,7,101,5,3,4</t>
  </si>
  <si>
    <t>1,1,4,3,2,2,2,4</t>
  </si>
  <si>
    <t>18,209,103,101,4,8,2,1</t>
  </si>
  <si>
    <t>1,2,1,3,2,4,4,4</t>
  </si>
  <si>
    <t>109,13,5,8,1,3,2,101</t>
  </si>
  <si>
    <t>204,209,14,2,7,3,5,8</t>
  </si>
  <si>
    <t>2,2,1,3,2,2,2,3</t>
  </si>
  <si>
    <t>14,13,2,3,101,1,8,7</t>
  </si>
  <si>
    <t>1,2,3,2,4,2,2,4</t>
  </si>
  <si>
    <t>18,17,14,209,13,1,2,7</t>
  </si>
  <si>
    <t>17,207,3,2,101,5,8,1</t>
  </si>
  <si>
    <t>14,2,5,3,7,1,8,4</t>
  </si>
  <si>
    <t>1,4,3,2,3,3,2,2</t>
  </si>
  <si>
    <t>19,207,14,3,1,101,4,2</t>
  </si>
  <si>
    <t>13,12,209,4,2,3,101,8</t>
  </si>
  <si>
    <t>20,18,13,207,2,5,7,8</t>
  </si>
  <si>
    <t>17,16,209,12,14,5,8,4</t>
  </si>
  <si>
    <t>17,20,209,103,4,101,3,7</t>
  </si>
  <si>
    <t>19,103,13,12,2,8,7,1</t>
  </si>
  <si>
    <t>18,109,13,204,12,5,3,8</t>
  </si>
  <si>
    <t>16,19,13,209,2,3,5,7</t>
  </si>
  <si>
    <t>19,109,12,204,103,1,5,101</t>
  </si>
  <si>
    <t>1,1,2,1,2,4,4,4</t>
  </si>
  <si>
    <t>207,3,4,7,8,5,101,2</t>
  </si>
  <si>
    <t>1,4,2,3,2,2,2,2</t>
  </si>
  <si>
    <t>12,207,2,8,1,4,5,3</t>
  </si>
  <si>
    <t>207,14,103,7,4,5,3,1</t>
  </si>
  <si>
    <t>2,2,2,4,2,3,2,4</t>
  </si>
  <si>
    <t>204,12,14,7,8,2,3,5</t>
  </si>
  <si>
    <t>2,2,2,3,4,3,3,3</t>
  </si>
  <si>
    <t>14,103,209,8,1,4,2,5</t>
  </si>
  <si>
    <t>1,1,1,3,4,2,4,2</t>
  </si>
  <si>
    <t>12,14,3,7,101,5,4,2</t>
  </si>
  <si>
    <t>2,1,3,4,2,4,4,3</t>
  </si>
  <si>
    <t>18,204,103,209,7,1,5,3</t>
  </si>
  <si>
    <t>1,2,1,1,3,3,4,4</t>
  </si>
  <si>
    <t>16,19,207,103,3,8,4,1</t>
  </si>
  <si>
    <t>16,109,207,3,2,4,7,101</t>
  </si>
  <si>
    <t>204,12,7,8,4,5,2,101</t>
  </si>
  <si>
    <t>17,20,14,103,209,5,7,1</t>
  </si>
  <si>
    <t>1,1,1,2,1,2,3,4</t>
  </si>
  <si>
    <t>18,209,204,14,1,4,2,3</t>
  </si>
  <si>
    <t>204,209,3,5,1,7,8,2</t>
  </si>
  <si>
    <t>2,1,4,3,2,2,2,3</t>
  </si>
  <si>
    <t>209,14,13,101,7,8,5,2</t>
  </si>
  <si>
    <t>12,204,103,4,3,2,5,7</t>
  </si>
  <si>
    <t>2,1,1,3,4,4,3,3</t>
  </si>
  <si>
    <t>12,13,3,1,4,2,5,7</t>
  </si>
  <si>
    <t>109,19,12,14,103,4,3,8</t>
  </si>
  <si>
    <t>13,4,7,2,8,3,5,1</t>
  </si>
  <si>
    <t>2,4,4,2,4,3,4,2</t>
  </si>
  <si>
    <t>18,14,12,204,3,5,2,101</t>
  </si>
  <si>
    <t>1,2,2,2,2,3,4,3</t>
  </si>
  <si>
    <t>18,16,12,207,1,7,2,4</t>
  </si>
  <si>
    <t>103,13,4,7,2,1,5,8</t>
  </si>
  <si>
    <t>2,1,2,4,3,3,4,3</t>
  </si>
  <si>
    <t>19,20,12,14,5,3,1,7</t>
  </si>
  <si>
    <t>16,13,103,5,4,8,1,101</t>
  </si>
  <si>
    <t>103,204,1,8,101,3,2,7</t>
  </si>
  <si>
    <t>1,1,4,3,3,3,2,2</t>
  </si>
  <si>
    <t>103,2,5,1,101,3,4,7</t>
  </si>
  <si>
    <t>1,3,4,4,3,3,3,2</t>
  </si>
  <si>
    <t>103,204,8,1,101,3,7,2</t>
  </si>
  <si>
    <t>2,1,3,3,3,3,3,2</t>
  </si>
  <si>
    <t>16,209,2,101,7,1,8,3</t>
  </si>
  <si>
    <t>17,207,101,2,5,3,7,4</t>
  </si>
  <si>
    <t>1,2,3,4,3,3,3,2</t>
  </si>
  <si>
    <t>103,207,101,8,5,2,1,7</t>
  </si>
  <si>
    <t>14,207,103,8,3,7,2,1</t>
  </si>
  <si>
    <t>18,109,14,4,5,2,1,7</t>
  </si>
  <si>
    <t>1,1,1,4,3,4,2,4</t>
  </si>
  <si>
    <t>20,14,103,3,2,101,4,8</t>
  </si>
  <si>
    <t>12,2,3,5,101,4,8,1</t>
  </si>
  <si>
    <t>1,4,2,2,2,4,4,3</t>
  </si>
  <si>
    <t>204,12,13,8,1,2,7,101</t>
  </si>
  <si>
    <t>2,1,1,4,2,3,3,2</t>
  </si>
  <si>
    <t>12,14,204,7,3,1,101,2</t>
  </si>
  <si>
    <t>103,209,2,7,101,1,8,3</t>
  </si>
  <si>
    <t>2,2,2,3,3,3,3,4</t>
  </si>
  <si>
    <t>207,1,4,5,3,8,2,7</t>
  </si>
  <si>
    <t>1,3,3,3,2,4,2,2</t>
  </si>
  <si>
    <t>19,109,103,207,14,1,7,101</t>
  </si>
  <si>
    <t>209,12,101,8,5,2,3,1</t>
  </si>
  <si>
    <t>18,17,103,207,204,101,2,5</t>
  </si>
  <si>
    <t>207,14,5,7,101,4,8,2</t>
  </si>
  <si>
    <t>2,1,3,3,2,4,3,4</t>
  </si>
  <si>
    <t>204,14,209,5,8,1,7,101</t>
  </si>
  <si>
    <t>209,1,101,7,8,3,2,4</t>
  </si>
  <si>
    <t>1,4,4,3,2,2,2,4</t>
  </si>
  <si>
    <t>14,209,1,101,8,7,3,4</t>
  </si>
  <si>
    <t>2,1,3,4,2,3,3,3</t>
  </si>
  <si>
    <t>14,103,209,5,7,4,8,2</t>
  </si>
  <si>
    <t>1,1,2,3,2,4,2,4</t>
  </si>
  <si>
    <t>17,20,14,207,12,101,5,4</t>
  </si>
  <si>
    <t>18,17,12,2,8,101,3,1</t>
  </si>
  <si>
    <t>1,1,1,4,2,3,4,4</t>
  </si>
  <si>
    <t>109,14,207,13,1,7,101,3</t>
  </si>
  <si>
    <t>207,3,5,101,7,8,1,4</t>
  </si>
  <si>
    <t>17,20,103,1,8,5,101,7</t>
  </si>
  <si>
    <t>207,13,5,4,8,3,2,7</t>
  </si>
  <si>
    <t>207,3,7,8,1,101,2,5</t>
  </si>
  <si>
    <t>2,4,2,2,4,3,4,3</t>
  </si>
  <si>
    <t>17,14,209,2,7,5,101,8</t>
  </si>
  <si>
    <t>209,4,1,8,3,2,7,5</t>
  </si>
  <si>
    <t>2,3,3,4,2,4,3,2</t>
  </si>
  <si>
    <t>204,13,14,7,1,8,2,5</t>
  </si>
  <si>
    <t>109,20,204,12,207,7,4,101</t>
  </si>
  <si>
    <t>14,13,8,4,3,5,101,7</t>
  </si>
  <si>
    <t>207,204,209,101,5,1,4,2</t>
  </si>
  <si>
    <t>209,7,2,3,4,8,5,101</t>
  </si>
  <si>
    <t>2,3,3,3,4,2,3,3</t>
  </si>
  <si>
    <t>19,109,204,5,7,8,1,101</t>
  </si>
  <si>
    <t>109,13,12,207,5,7,2,101</t>
  </si>
  <si>
    <t>1,2,2,1,4,4,3,4</t>
  </si>
  <si>
    <t>109,204,12,14,5,3,8,1</t>
  </si>
  <si>
    <t>13,204,7,101,3,1,8,2</t>
  </si>
  <si>
    <t>19,14,204,209,101,7,3,2</t>
  </si>
  <si>
    <t>18,13,207,4,1,7,5,8</t>
  </si>
  <si>
    <t>1,1,1,3,4,3,4,3</t>
  </si>
  <si>
    <t>18,109,103,5,8,3,2,7</t>
  </si>
  <si>
    <t>103,13,204,7,4,101,1,8</t>
  </si>
  <si>
    <t>2,2,1,4,3,4,4,2</t>
  </si>
  <si>
    <t>18,17,13,204,12,7,1,8</t>
  </si>
  <si>
    <t>18,12,8,7,5,1,101,4</t>
  </si>
  <si>
    <t>13,103,14,8,2,5,101,7</t>
  </si>
  <si>
    <t>2,2,1,3,2,3,3,4</t>
  </si>
  <si>
    <t>12,103,14,5,7,3,4,101</t>
  </si>
  <si>
    <t>2,2,1,2,3,2,2,2</t>
  </si>
  <si>
    <t>204,14,13,101,5,1,2,7</t>
  </si>
  <si>
    <t>1,2,1,2,3,4,2,3</t>
  </si>
  <si>
    <t>103,13,209,1,7,8,2,101</t>
  </si>
  <si>
    <t>1,1,1,3,4,4,4,2</t>
  </si>
  <si>
    <t>19,109,12,1,4,8,3,7</t>
  </si>
  <si>
    <t>1,1,1,4,4,2,3,4</t>
  </si>
  <si>
    <t>12,103,13,1,3,5,2,7</t>
  </si>
  <si>
    <t>2,1,2,4,3,3,3,2</t>
  </si>
  <si>
    <t>207,14,209,8,3,101,1,7</t>
  </si>
  <si>
    <t>204,207,209,5,2,3,101,7</t>
  </si>
  <si>
    <t>16,109,103,204,5,8,7,1</t>
  </si>
  <si>
    <t>207,209,3,2,8,1,101,7</t>
  </si>
  <si>
    <t>2,1,3,3,3,4,2,2</t>
  </si>
  <si>
    <t>17,204,13,103,4,7,8,101</t>
  </si>
  <si>
    <t>1,1,1,2,2,4,2,3</t>
  </si>
  <si>
    <t>14,1,4,2,5,8,7,3</t>
  </si>
  <si>
    <t>1,3,3,2,4,2,4,2</t>
  </si>
  <si>
    <t>19,20,13,12,1,101,7,8</t>
  </si>
  <si>
    <t>17,12,209,204,101,8,2,1</t>
  </si>
  <si>
    <t>207,14,12,7,1,2,3,101</t>
  </si>
  <si>
    <t>2,1,2,4,2,2,4,2</t>
  </si>
  <si>
    <t>17,13,14,209,7,3,4,5</t>
  </si>
  <si>
    <t>14,209,103,5,7,3,2,101</t>
  </si>
  <si>
    <t>2,1,1,2,2,2,3,4</t>
  </si>
  <si>
    <t>20,12,103,207,8,1,5,2</t>
  </si>
  <si>
    <t>13,209,103,3,5,2,7,101</t>
  </si>
  <si>
    <t>18,17,103,207,8,5,1,7</t>
  </si>
  <si>
    <t>20,16,207,101,1,4,8,5</t>
  </si>
  <si>
    <t>16,17,103,101,5,7,1,2</t>
  </si>
  <si>
    <t>20,103,207,13,101,1,2,8</t>
  </si>
  <si>
    <t>109,16,209,14,103,8,2,3</t>
  </si>
  <si>
    <t>207,209,14,1,8,101,2,3</t>
  </si>
  <si>
    <t>2,2,2,4,4,3,4,3</t>
  </si>
  <si>
    <t>209,14,204,1,2,3,4,101</t>
  </si>
  <si>
    <t>1,2,2,3,2,3,2,4</t>
  </si>
  <si>
    <t>18,20,207,209,7,8,3,1</t>
  </si>
  <si>
    <t>204,14,12,7,2,101,8,1</t>
  </si>
  <si>
    <t>204,13,4,3,2,101,7,1</t>
  </si>
  <si>
    <t>2,1,2,3,4,2,2,4</t>
  </si>
  <si>
    <t>12,4,2,3,8,5,1,7</t>
  </si>
  <si>
    <t>2,3,3,3,3,3,4,4</t>
  </si>
  <si>
    <t>207,14,7,3,4,5,1,2</t>
  </si>
  <si>
    <t>1,1,4,4,2,4,2,4</t>
  </si>
  <si>
    <t>207,14,1,2,3,101,5,4</t>
  </si>
  <si>
    <t>1,1,2,3,2,3,3,4</t>
  </si>
  <si>
    <t>13,12,101,8,1,5,3,4</t>
  </si>
  <si>
    <t>18,14,12,8,101,4,5,2</t>
  </si>
  <si>
    <t>204,103,5,101,8,7,1,4</t>
  </si>
  <si>
    <t>209,13,103,8,3,4,7,101</t>
  </si>
  <si>
    <t>2,2,1,4,2,2,2,4</t>
  </si>
  <si>
    <t>204,209,13,2,4,101,7,5</t>
  </si>
  <si>
    <t>1,2,1,4,3,2,4,4</t>
  </si>
  <si>
    <t>13,103,204,1,3,5,101,8</t>
  </si>
  <si>
    <t>2,1,2,4,3,3,2,2</t>
  </si>
  <si>
    <t>20,209,207,101,4,2,1,5</t>
  </si>
  <si>
    <t>207,8,4,3,7,1,5,101</t>
  </si>
  <si>
    <t>103,207,12,3,7,5,4,8</t>
  </si>
  <si>
    <t>1,2,1,3,3,4,3,3</t>
  </si>
  <si>
    <t>13,14,204,5,4,8,3,1</t>
  </si>
  <si>
    <t>204,103,13,101,5,2,8,3</t>
  </si>
  <si>
    <t>1,1,2,4,3,3,2,2</t>
  </si>
  <si>
    <t>103,12,1,5,101,3,2,7</t>
  </si>
  <si>
    <t>204,13,2,5,3,7,8,1</t>
  </si>
  <si>
    <t>1,1,4,2,4,2,2,2</t>
  </si>
  <si>
    <t>19,103,209,3,2,4,8,7</t>
  </si>
  <si>
    <t>204,2,1,4,8,101,7,5</t>
  </si>
  <si>
    <t>17,207,204,103,5,2,101,3</t>
  </si>
  <si>
    <t>12,209,4,101,8,2,7,1</t>
  </si>
  <si>
    <t>2,1,4,2,3,2,3,4</t>
  </si>
  <si>
    <t>16,20,13,3,2,4,101,7</t>
  </si>
  <si>
    <t>18,19,13,207,4,101,5,7</t>
  </si>
  <si>
    <t>13,14,209,5,3,101,4,7</t>
  </si>
  <si>
    <t>20,18,204,1,5,7,8,3</t>
  </si>
  <si>
    <t>1,1,1,4,4,2,4,4</t>
  </si>
  <si>
    <t>204,13,209,2,1,101,3,5</t>
  </si>
  <si>
    <t>1,2,1,4,4,2,4,2</t>
  </si>
  <si>
    <t>20,12,209,14,1,4,5,3</t>
  </si>
  <si>
    <t>19,16,14,2,5,8,101,3</t>
  </si>
  <si>
    <t>103,4,2,101,7,5,1,3</t>
  </si>
  <si>
    <t>204,103,4,8,101,5,2,1</t>
  </si>
  <si>
    <t>1,2,4,2,2,4,2,3</t>
  </si>
  <si>
    <t>207,4,5,7,1,2,101,3</t>
  </si>
  <si>
    <t>1,2,4,4,4,2,2,3</t>
  </si>
  <si>
    <t>207,14,2,7,4,101,8,3</t>
  </si>
  <si>
    <t>12,204,103,2,1,5,7,4</t>
  </si>
  <si>
    <t>13,103,12,8,101,7,2,5</t>
  </si>
  <si>
    <t>13,209,4,3,5,8,1,7</t>
  </si>
  <si>
    <t>2,1,3,3,4,3,4,4</t>
  </si>
  <si>
    <t>17,207,5,8,1,2,7,101</t>
  </si>
  <si>
    <t>1,1,4,3,4,4,3,4</t>
  </si>
  <si>
    <t>14,207,5,3,8,2,7,4</t>
  </si>
  <si>
    <t>2,2,4,3,4,4,4,3</t>
  </si>
  <si>
    <t>20,207,5,101,1,4,2,8</t>
  </si>
  <si>
    <t>109,18,103,13,12,4,5,7</t>
  </si>
  <si>
    <t>13,12,103,2,5,4,7,1</t>
  </si>
  <si>
    <t>2,1,2,4,4,3,2,4</t>
  </si>
  <si>
    <t>12,207,103,101,7,2,4,3</t>
  </si>
  <si>
    <t>2,1,1,2,3,4,4,2</t>
  </si>
  <si>
    <t>16,20,13,209,207,5,1,8</t>
  </si>
  <si>
    <t>18,209,12,3,4,1,2,8</t>
  </si>
  <si>
    <t>18,17,13,12,207,7,1,2</t>
  </si>
  <si>
    <t>109,12,101,7,8,5,1,4</t>
  </si>
  <si>
    <t>1,1,2,4,4,3,2,4</t>
  </si>
  <si>
    <t>209,103,14,1,3,101,7,5</t>
  </si>
  <si>
    <t>2,1,1,2,4,2,3,3</t>
  </si>
  <si>
    <t>103,12,8,1,4,5,2,3</t>
  </si>
  <si>
    <t>19,20,207,14,7,8,3,2</t>
  </si>
  <si>
    <t>17,14,204,209,2,7,101,5</t>
  </si>
  <si>
    <t>1,2,1,2,3,4,4,4</t>
  </si>
  <si>
    <t>207,103,13,2,8,101,5,3</t>
  </si>
  <si>
    <t>204,209,101,4,5,2,8,1</t>
  </si>
  <si>
    <t>1,1,2,4,2,4,3,3</t>
  </si>
  <si>
    <t>13,204,101,7,5,3,1,8</t>
  </si>
  <si>
    <t>17,207,103,209,7,4,101,5</t>
  </si>
  <si>
    <t>1,2,1,1,3,4,2,2</t>
  </si>
  <si>
    <t>20,204,207,8,3,5,2,1</t>
  </si>
  <si>
    <t>13,207,103,5,3,2,7,4</t>
  </si>
  <si>
    <t>13,204,1,4,101,2,5,8</t>
  </si>
  <si>
    <t>1,1,4,3,4,4,3,3</t>
  </si>
  <si>
    <t>209,13,204,8,3,4,2,7</t>
  </si>
  <si>
    <t>2,1,2,3,4,3,4,4</t>
  </si>
  <si>
    <t>19,14,4,2,8,101,1,5</t>
  </si>
  <si>
    <t>19,12,103,2,5,101,3,1</t>
  </si>
  <si>
    <t>109,12,204,4,2,5,101,8</t>
  </si>
  <si>
    <t>17,20,13,207,101,2,4,1</t>
  </si>
  <si>
    <t>17,18,204,13,1,8,2,4</t>
  </si>
  <si>
    <t>18,19,207,5,4,8,7,1</t>
  </si>
  <si>
    <t>1,1,1,3,4,4,3,2</t>
  </si>
  <si>
    <t>18,204,209,12,7,8,3,2</t>
  </si>
  <si>
    <t>16,204,12,4,101,3,1,5</t>
  </si>
  <si>
    <t>1,2,2,4,4,3,2,2</t>
  </si>
  <si>
    <t>14,12,101,7,2,1,3,4</t>
  </si>
  <si>
    <t>1,1,3,3,3,2,2,4</t>
  </si>
  <si>
    <t>16,20,207,4,3,5,101,8</t>
  </si>
  <si>
    <t>17,20,13,4,5,2,7,8</t>
  </si>
  <si>
    <t>209,101,4,2,7,8,1,3</t>
  </si>
  <si>
    <t>2,3,3,2,2,4,4,3</t>
  </si>
  <si>
    <t>204,13,5,4,2,1,3,101</t>
  </si>
  <si>
    <t>14,13,2,1,5,4,101,3</t>
  </si>
  <si>
    <t>204,207,209,5,7,3,4,101</t>
  </si>
  <si>
    <t>103,12,3,8,7,4,2,1</t>
  </si>
  <si>
    <t>2,2,4,3,4,2,4,4</t>
  </si>
  <si>
    <t>19,103,209,13,101,1,7,4</t>
  </si>
  <si>
    <t>103,12,14,101,4,7,3,5</t>
  </si>
  <si>
    <t>2,2,2,2,3,4,3,3</t>
  </si>
  <si>
    <t>17,204,101,3,5,7,8,1</t>
  </si>
  <si>
    <t>17,16,103,13,1,5,3,8</t>
  </si>
  <si>
    <t>14,103,7,1,101,3,8,4</t>
  </si>
  <si>
    <t>20,204,4,1,101,7,2,3</t>
  </si>
  <si>
    <t>1,2,4,4,2,4,2,4</t>
  </si>
  <si>
    <t>12,2,101,4,3,8,5,1</t>
  </si>
  <si>
    <t>13,5,2,7,101,3,4,8</t>
  </si>
  <si>
    <t>2,3,4,3,2,3,4,2</t>
  </si>
  <si>
    <t>209,101,3,1,5,4,7,8</t>
  </si>
  <si>
    <t>1,2,4,2,2,4,2,2</t>
  </si>
  <si>
    <t>109,20,13,14,5,4,101,8</t>
  </si>
  <si>
    <t>209,101,1,7,8,3,5,4</t>
  </si>
  <si>
    <t>209,103,12,2,4,101,8,7</t>
  </si>
  <si>
    <t>13,207,103,4,1,101,8,5</t>
  </si>
  <si>
    <t>18,16,12,204,101,8,7,4</t>
  </si>
  <si>
    <t>14,209,4,5,3,2,8,7</t>
  </si>
  <si>
    <t>17,109,207,2,4,8,7,3</t>
  </si>
  <si>
    <t>103,204,209,4,3,2,1,101</t>
  </si>
  <si>
    <t>19,204,12,4,7,2,3,1</t>
  </si>
  <si>
    <t>20,209,207,103,5,4,3,2</t>
  </si>
  <si>
    <t>19,103,7,3,8,1,101,5</t>
  </si>
  <si>
    <t>1,1,4,2,3,2,2,3</t>
  </si>
  <si>
    <t>12,7,1,5,2,101,8,4</t>
  </si>
  <si>
    <t>1,2,3,4,4,2,4,4</t>
  </si>
  <si>
    <t>20,18,207,4,5,101,2,8</t>
  </si>
  <si>
    <t>20,12,209,207,2,7,5,101</t>
  </si>
  <si>
    <t>13,103,5,4,101,8,7,1</t>
  </si>
  <si>
    <t>2,1,4,3,4,3,3,2</t>
  </si>
  <si>
    <t>19,18,13,5,3,7,101,2</t>
  </si>
  <si>
    <t>14,3,101,5,8,1,7,4</t>
  </si>
  <si>
    <t>2,4,3,4,3,2,3,4</t>
  </si>
  <si>
    <t>20,12,13,1,3,8,101,4</t>
  </si>
  <si>
    <t>1,1,1,4,3,3,2,4</t>
  </si>
  <si>
    <t>17,16,13,101,1,2,4,5</t>
  </si>
  <si>
    <t>14,13,7,5,4,2,8,101</t>
  </si>
  <si>
    <t>13,1,3,4,5,101,7,8</t>
  </si>
  <si>
    <t>2,4,4,2,4,4,3,2</t>
  </si>
  <si>
    <t>17,20,12,1,8,101,2,4</t>
  </si>
  <si>
    <t>13,101,3,7,4,1,8,5</t>
  </si>
  <si>
    <t>2,2,2,4,4,2,2,2</t>
  </si>
  <si>
    <t>18,14,207,5,4,3,7,2</t>
  </si>
  <si>
    <t>19,16,204,103,8,1,3,7</t>
  </si>
  <si>
    <t>109,20,209,14,12,7,5,1</t>
  </si>
  <si>
    <t>209,2,101,4,1,7,8,3</t>
  </si>
  <si>
    <t>2,3,2,3,4,3,3,2</t>
  </si>
  <si>
    <t>204,207,13,3,4,7,8,2</t>
  </si>
  <si>
    <t>103,204,3,2,8,4,5,1</t>
  </si>
  <si>
    <t>17,109,14,13,209,7,3,8</t>
  </si>
  <si>
    <t>19,207,204,103,4,101,2,1</t>
  </si>
  <si>
    <t>1,2,1,1,2,4,4,2</t>
  </si>
  <si>
    <t>109,19,13,1,101,4,2,3</t>
  </si>
  <si>
    <t>20,17,204,207,3,101,8,4</t>
  </si>
  <si>
    <t>204,101,7,1,3,4,8,5</t>
  </si>
  <si>
    <t>1,4,3,4,2,4,4,3</t>
  </si>
  <si>
    <t>204,209,5,1,7,101,4,3</t>
  </si>
  <si>
    <t>2,2,3,3,2,3,4,4</t>
  </si>
  <si>
    <t>209,103,5,1,4,2,3,8</t>
  </si>
  <si>
    <t>204,5,2,1,7,3,8,4</t>
  </si>
  <si>
    <t>1,3,2,3,4,2,2,4</t>
  </si>
  <si>
    <t>204,207,101,1,7,2,5,8</t>
  </si>
  <si>
    <t>103,209,13,1,2,7,3,8</t>
  </si>
  <si>
    <t>1,2,1,2,3,2,3,2</t>
  </si>
  <si>
    <t>103,7,2,8,4,1,101,5</t>
  </si>
  <si>
    <t>1,2,4,3,2,2,4,3</t>
  </si>
  <si>
    <t>207,13,7,4,101,3,5,2</t>
  </si>
  <si>
    <t>1,2,4,3,4,4,4,3</t>
  </si>
  <si>
    <t>19,16,13,14,5,2,4,101</t>
  </si>
  <si>
    <t>1,1,1,2,4,3,2,2</t>
  </si>
  <si>
    <t>209,204,103,8,4,2,5,3</t>
  </si>
  <si>
    <t>109,20,103,13,204,1,3,5</t>
  </si>
  <si>
    <t>14,8,101,3,1,4,7,5</t>
  </si>
  <si>
    <t>1,4,4,4,3,3,4,4</t>
  </si>
  <si>
    <t>109,209,1,2,5,3,7,8</t>
  </si>
  <si>
    <t>18,12,207,103,7,8,4,3</t>
  </si>
  <si>
    <t>18,109,103,13,207,1,5,8</t>
  </si>
  <si>
    <t>207,12,8,1,7,2,101,5</t>
  </si>
  <si>
    <t>204,14,7,101,8,4,2,1</t>
  </si>
  <si>
    <t>2,1,4,2,2,4,3,2</t>
  </si>
  <si>
    <t>109,103,207,12,2,8,5,4</t>
  </si>
  <si>
    <t>1,2,1,2,2,4,4,3</t>
  </si>
  <si>
    <t>103,101,3,4,1,7,8,2</t>
  </si>
  <si>
    <t>2,2,4,3,2,3,3,3</t>
  </si>
  <si>
    <t>19,204,14,2,4,3,101,7</t>
  </si>
  <si>
    <t>1,2,2,4,2,3,3,2</t>
  </si>
  <si>
    <t>16,109,13,5,1,4,3,101</t>
  </si>
  <si>
    <t>14,13,3,1,101,8,4,7</t>
  </si>
  <si>
    <t>209,103,101,4,8,3,5,2</t>
  </si>
  <si>
    <t>18,19,13,103,3,2,101,4</t>
  </si>
  <si>
    <t>18,209,103,7,8,4,101,2</t>
  </si>
  <si>
    <t>18,17,209,5,3,8,2,4</t>
  </si>
  <si>
    <t>16,14,5,3,7,2,101,8</t>
  </si>
  <si>
    <t>207,103,14,2,4,3,7,1</t>
  </si>
  <si>
    <t>209,2,4,5,1,101,3,8</t>
  </si>
  <si>
    <t>204,103,14,1,7,2,4,3</t>
  </si>
  <si>
    <t>1,2,1,3,4,4,2,4</t>
  </si>
  <si>
    <t>103,13,5,2,3,4,7,1</t>
  </si>
  <si>
    <t>13,204,207,7,2,1,4,3</t>
  </si>
  <si>
    <t>12,8,3,2,5,4,1,101</t>
  </si>
  <si>
    <t>1,3,3,2,2,4,3,4</t>
  </si>
  <si>
    <t>18,19,207,204,12,5,7,2</t>
  </si>
  <si>
    <t>204,13,12,5,4,2,1,8</t>
  </si>
  <si>
    <t>1,2,1,3,4,3,2,4</t>
  </si>
  <si>
    <t>20,109,14,103,13,101,7,3</t>
  </si>
  <si>
    <t>1,1,2,1,1,4,3,2</t>
  </si>
  <si>
    <t>16,17,103,12,1,7,3,101</t>
  </si>
  <si>
    <t>14,5,3,1,2,7,4,8</t>
  </si>
  <si>
    <t>2,3,2,4,2,4,2,4</t>
  </si>
  <si>
    <t>103,13,8,4,7,1,5,101</t>
  </si>
  <si>
    <t>16,17,103,12,204,101,4,2</t>
  </si>
  <si>
    <t>20,109,14,209,207,5,4,101</t>
  </si>
  <si>
    <t>12,209,207,101,7,4,5,3</t>
  </si>
  <si>
    <t>1,2,1,3,4,3,4,4</t>
  </si>
  <si>
    <t>103,2,101,4,8,3,1,7</t>
  </si>
  <si>
    <t>2,4,3,3,3,4,3,3</t>
  </si>
  <si>
    <t>109,16,204,209,3,5,7,101</t>
  </si>
  <si>
    <t>1,1,1,1,2,3,4,2</t>
  </si>
  <si>
    <t>16,12,5,8,3,1,7,101</t>
  </si>
  <si>
    <t>16,209,12,4,3,5,1,101</t>
  </si>
  <si>
    <t>1,2,1,2,4,3,4,3</t>
  </si>
  <si>
    <t>209,5,4,3,8,7,101,1</t>
  </si>
  <si>
    <t>2,4,3,2,2,4,2,3</t>
  </si>
  <si>
    <t>20,16,12,204,101,5,1,4</t>
  </si>
  <si>
    <t>1,1,1,2,4,4,2,3</t>
  </si>
  <si>
    <t>109,204,13,207,101,5,3,2</t>
  </si>
  <si>
    <t>19,20,204,1,8,2,7,3</t>
  </si>
  <si>
    <t>13,14,12,8,4,3,101,1</t>
  </si>
  <si>
    <t>19,18,14,204,3,8,101,7</t>
  </si>
  <si>
    <t>19,16,13,8,7,101,1,4</t>
  </si>
  <si>
    <t>19,16,103,5,4,2,101,3</t>
  </si>
  <si>
    <t>207,209,3,5,8,101,1,4</t>
  </si>
  <si>
    <t>109,19,13,1,4,101,2,5</t>
  </si>
  <si>
    <t>16,209,13,14,2,7,1,5</t>
  </si>
  <si>
    <t>109,16,103,13,14,101,7,2</t>
  </si>
  <si>
    <t>17,16,207,209,103,3,101,2</t>
  </si>
  <si>
    <t>14,13,1,101,4,2,8,7</t>
  </si>
  <si>
    <t>2,1,2,2,3,3,2,4</t>
  </si>
  <si>
    <t>13,103,3,2,8,4,1,5</t>
  </si>
  <si>
    <t>207,5,8,101,3,4,7,2</t>
  </si>
  <si>
    <t>2,3,2,3,2,2,4,4</t>
  </si>
  <si>
    <t>20,16,13,12,204,4,2,7</t>
  </si>
  <si>
    <t>12,204,1,101,8,3,4,5</t>
  </si>
  <si>
    <t>16,19,209,8,4,101,2,5</t>
  </si>
  <si>
    <t>204,209,3,101,1,5,7,4</t>
  </si>
  <si>
    <t>103,204,1,7,8,2,4,5</t>
  </si>
  <si>
    <t>16,103,8,101,5,2,1,4</t>
  </si>
  <si>
    <t>20,16,209,103,3,8,1,5</t>
  </si>
  <si>
    <t>204,101,5,3,7,8,1,4</t>
  </si>
  <si>
    <t>2,2,4,2,3,4,2,2</t>
  </si>
  <si>
    <t>17,207,5,7,8,4,2,101</t>
  </si>
  <si>
    <t>17,18,12,2,5,4,8,7</t>
  </si>
  <si>
    <t>20,16,12,103,207,4,7,3</t>
  </si>
  <si>
    <t>109,204,14,7,4,2,8,3</t>
  </si>
  <si>
    <t>109,19,209,4,3,101,2,5</t>
  </si>
  <si>
    <t>1,1,2,3,2,4,3,3</t>
  </si>
  <si>
    <t>17,13,209,2,101,8,4,5</t>
  </si>
  <si>
    <t>20,17,103,5,2,8,3,4</t>
  </si>
  <si>
    <t>209,12,3,2,8,1,4,101</t>
  </si>
  <si>
    <t>1,1,4,4,3,4,3,2</t>
  </si>
  <si>
    <t>18,207,209,12,101,4,2,5</t>
  </si>
  <si>
    <t>207,14,209,4,101,8,3,1</t>
  </si>
  <si>
    <t>2,2,1,2,3,4,4,4</t>
  </si>
  <si>
    <t>16,103,2,3,7,4,101,1</t>
  </si>
  <si>
    <t>14,2,7,5,3,4,1,101</t>
  </si>
  <si>
    <t>17,19,14,7,5,2,3,4</t>
  </si>
  <si>
    <t>103,207,101,3,2,1,4,5</t>
  </si>
  <si>
    <t>2,1,4,4,3,3,3,3</t>
  </si>
  <si>
    <t>16,209,13,14,7,3,2,4</t>
  </si>
  <si>
    <t>1,2,1,1,3,3,4,2</t>
  </si>
  <si>
    <t>17,209,3,5,1,2,8,7</t>
  </si>
  <si>
    <t>1,2,2,3,4,4,3,4</t>
  </si>
  <si>
    <t>14,8,4,2,1,3,101,7</t>
  </si>
  <si>
    <t>1,2,3,2,4,4,3,4</t>
  </si>
  <si>
    <t>13,12,209,1,3,4,8,2</t>
  </si>
  <si>
    <t>16,18,14,103,13,5,2,7</t>
  </si>
  <si>
    <t>19,209,12,7,4,1,5,2</t>
  </si>
  <si>
    <t>109,13,103,1,7,101,4,5</t>
  </si>
  <si>
    <t>19,16,209,14,8,5,2,4</t>
  </si>
  <si>
    <t>18,20,207,103,7,3,101,8</t>
  </si>
  <si>
    <t>204,207,14,4,7,1,101,8</t>
  </si>
  <si>
    <t>2,1,2,3,2,4,4,3</t>
  </si>
  <si>
    <t>16,17,204,207,4,1,2,7</t>
  </si>
  <si>
    <t>17,18,204,209,207,3,8,2</t>
  </si>
  <si>
    <t>109,20,209,103,8,4,7,1</t>
  </si>
  <si>
    <t>204,207,3,101,8,5,7,2</t>
  </si>
  <si>
    <t>2,1,3,2,4,4,3,2</t>
  </si>
  <si>
    <t>19,20,13,207,14,8,3,1</t>
  </si>
  <si>
    <t>18,20,13,207,7,5,1,8</t>
  </si>
  <si>
    <t>1,1,1,1,4,4,3,4</t>
  </si>
  <si>
    <t>16,18,204,14,1,2,7,4</t>
  </si>
  <si>
    <t>109,14,103,1,2,4,101,8</t>
  </si>
  <si>
    <t>19,18,207,209,7,2,8,1</t>
  </si>
  <si>
    <t>18,109,209,3,8,1,101,7</t>
  </si>
  <si>
    <t>16,13,207,103,2,1,4,7</t>
  </si>
  <si>
    <t>207,13,204,101,2,1,3,5</t>
  </si>
  <si>
    <t>109,204,14,7,4,5,8,2</t>
  </si>
  <si>
    <t>207,8,7,2,101,3,1,5</t>
  </si>
  <si>
    <t>2,2,4,2,3,3,4,3</t>
  </si>
  <si>
    <t>207,14,8,101,7,1,5,3</t>
  </si>
  <si>
    <t>2,1,3,3,2,2,2,3</t>
  </si>
  <si>
    <t>109,16,103,12,13,5,101,8</t>
  </si>
  <si>
    <t>16,18,13,204,3,8,2,5</t>
  </si>
  <si>
    <t>1,1,2,1,3,4,2,3</t>
  </si>
  <si>
    <t>19,16,13,204,8,2,3,7</t>
  </si>
  <si>
    <t>16,12,207,4,8,101,2,3</t>
  </si>
  <si>
    <t>1,2,1,3,3,3,4,2</t>
  </si>
  <si>
    <t>13,14,4,8,7,5,3,1</t>
  </si>
  <si>
    <t>2,1,3,2,3,4,4,3</t>
  </si>
  <si>
    <t>13,8,2,7,3,4,1,5</t>
  </si>
  <si>
    <t>1,3,2,2,2,2,3,4</t>
  </si>
  <si>
    <t>209,12,103,1,8,2,7,3</t>
  </si>
  <si>
    <t>19,103,3,5,2,1,4,7</t>
  </si>
  <si>
    <t>1,2,2,2,2,4,4,2</t>
  </si>
  <si>
    <t>17,109,209,8,2,4,1,7</t>
  </si>
  <si>
    <t>103,207,13,101,4,2,5,7</t>
  </si>
  <si>
    <t>109,207,13,204,1,5,3,101</t>
  </si>
  <si>
    <t>1,1,2,1,3,4,4,3</t>
  </si>
  <si>
    <t>17,204,103,8,1,3,5,2</t>
  </si>
  <si>
    <t>1,1,1,2,3,2,2,5</t>
  </si>
  <si>
    <t>103,207,2,1,5,8,4,101</t>
  </si>
  <si>
    <t>3,2,4,4,2,4,2,2</t>
  </si>
  <si>
    <t>20,16,103,204,101,2,5,8</t>
  </si>
  <si>
    <t>1,1,1,3,3,2,5,5</t>
  </si>
  <si>
    <t>109,19,209,103,14,4,7,1</t>
  </si>
  <si>
    <t>1,1,1,2,2,5,5,5</t>
  </si>
  <si>
    <t>18,12,209,103,4,7,2,1</t>
  </si>
  <si>
    <t>1,3,2,3,4,3,4,4</t>
  </si>
  <si>
    <t>109,103,3,4,101,2,1,7</t>
  </si>
  <si>
    <t>1,1,3,3,5,3,2,3</t>
  </si>
  <si>
    <t>209,13,101,2,1,3,7,8</t>
  </si>
  <si>
    <t>16,109,209,14,207,1,101,7</t>
  </si>
  <si>
    <t>1,1,3,1,2,5,3,2</t>
  </si>
  <si>
    <t>17,109,204,103,12,4,1,3</t>
  </si>
  <si>
    <t>1,1,1,1,2,2,2,5</t>
  </si>
  <si>
    <t>207,209,12,3,4,1,8,5</t>
  </si>
  <si>
    <t>3,1,3,5,2,4,2,4</t>
  </si>
  <si>
    <t>207,1,3,2,4,8,5,101</t>
  </si>
  <si>
    <t>207,103,3,8,7,101,5,1</t>
  </si>
  <si>
    <t>3,2,5,4,2,4,2,5</t>
  </si>
  <si>
    <t>14,103,3,2,5,1,4,7</t>
  </si>
  <si>
    <t>1,3,4,2,3,3,3,4</t>
  </si>
  <si>
    <t>20,17,103,12,3,8,7,1</t>
  </si>
  <si>
    <t>1,1,2,3,5,2,2,5</t>
  </si>
  <si>
    <t>19,13,3,4,7,5,101,8</t>
  </si>
  <si>
    <t>1,3,2,2,4,3,5,2</t>
  </si>
  <si>
    <t>16,14,13,209,101,4,5,1</t>
  </si>
  <si>
    <t>1,1,3,2,3,5,3,5</t>
  </si>
  <si>
    <t>12,209,14,101,3,5,1,7</t>
  </si>
  <si>
    <t>1,2,3,3,5,4,3,5</t>
  </si>
  <si>
    <t>17,204,14,4,2,8,101,5</t>
  </si>
  <si>
    <t>1,3,1,5,4,2,4,3</t>
  </si>
  <si>
    <t>19,204,14,209,8,3,101,4</t>
  </si>
  <si>
    <t>1,2,3,3,2,2,5,2</t>
  </si>
  <si>
    <t>14,13,7,5,101,3,1,4</t>
  </si>
  <si>
    <t>1,3,4,4,5,3,2,4</t>
  </si>
  <si>
    <t>204,103,1,5,101,4,2,3</t>
  </si>
  <si>
    <t>3,2,5,2,5,4,5,3</t>
  </si>
  <si>
    <t>209,207,13,4,5,8,2,7</t>
  </si>
  <si>
    <t>103,12,8,2,7,5,3,1</t>
  </si>
  <si>
    <t>3,3,5,4,5,2,5,4</t>
  </si>
  <si>
    <t>14,13,209,101,4,3,2,7</t>
  </si>
  <si>
    <t>109,204,5,101,3,8,7,4</t>
  </si>
  <si>
    <t>1,2,5,5,5,3,5,3</t>
  </si>
  <si>
    <t>18,20,13,207,204,8,2,4</t>
  </si>
  <si>
    <t>1,1,1,3,3,5,4,4</t>
  </si>
  <si>
    <t>12,103,4,3,101,7,8,5</t>
  </si>
  <si>
    <t>2,3,4,5,5,4,4,5</t>
  </si>
  <si>
    <t>207,5,8,4,2,7,1,101</t>
  </si>
  <si>
    <t>2,3,3,5,4,2,4,3</t>
  </si>
  <si>
    <t>17,14,207,12,101,8,7,2</t>
  </si>
  <si>
    <t>1,3,1,3,5,4,2,5</t>
  </si>
  <si>
    <t>109,18,207,13,209,4,8,3</t>
  </si>
  <si>
    <t>1,1,1,2,3,2,5,2</t>
  </si>
  <si>
    <t>204,13,1,3,8,4,5,101</t>
  </si>
  <si>
    <t>3,1,2,5,4,5,2,5</t>
  </si>
  <si>
    <t>17,12,14,4,101,8,1,2</t>
  </si>
  <si>
    <t>18,16,209,13,1,7,5,3</t>
  </si>
  <si>
    <t>1,1,1,3,2,5,3,4</t>
  </si>
  <si>
    <t>20,207,7,5,101,2,8,4</t>
  </si>
  <si>
    <t>18,209,14,204,4,5,1,7</t>
  </si>
  <si>
    <t>1,3,1,1,5,3,3,2</t>
  </si>
  <si>
    <t>19,207,5,8,1,4,2,101</t>
  </si>
  <si>
    <t>109,16,103,204,207,2,101,1</t>
  </si>
  <si>
    <t>1,1,3,2,3,2,4,5</t>
  </si>
  <si>
    <t>16,14,209,207,101,7,8,3</t>
  </si>
  <si>
    <t>1,1,1,1,5,5,3,4</t>
  </si>
  <si>
    <t>109,20,207,103,5,4,8,7</t>
  </si>
  <si>
    <t>209,1,2,4,101,7,8,3</t>
  </si>
  <si>
    <t>14,204,13,3,2,7,1,5</t>
  </si>
  <si>
    <t>2,1,2,5,4,5,4,5</t>
  </si>
  <si>
    <t>12,103,4,3,8,1,2,101</t>
  </si>
  <si>
    <t>2,3,4,2,3,5,3,4</t>
  </si>
  <si>
    <t>18,19,207,8,1,101,2,7</t>
  </si>
  <si>
    <t>18,16,103,14,204,7,4,2</t>
  </si>
  <si>
    <t>1,1,2,2,2,2,5,2</t>
  </si>
  <si>
    <t>13,209,103,8,101,7,3,4</t>
  </si>
  <si>
    <t>2,1,3,5,3,3,3,5</t>
  </si>
  <si>
    <t>204,13,14,2,5,101,7,3</t>
  </si>
  <si>
    <t>3,3,3,3,3,5,5,5</t>
  </si>
  <si>
    <t>12,5,3,8,1,2,4,101</t>
  </si>
  <si>
    <t>3,5,5,2,4,2,5,5</t>
  </si>
  <si>
    <t>19,13,209,207,5,7,101,2</t>
  </si>
  <si>
    <t>18,16,209,4,7,5,101,2</t>
  </si>
  <si>
    <t>1,1,2,5,2,4,2,4</t>
  </si>
  <si>
    <t>13,14,7,101,3,8,5,1</t>
  </si>
  <si>
    <t>1,1,2,4,4,2,5,4</t>
  </si>
  <si>
    <t>109,209,103,1,4,2,8,101</t>
  </si>
  <si>
    <t>1,3,3,3,3,3,4,2</t>
  </si>
  <si>
    <t>18,19,12,207,8,7,5,1</t>
  </si>
  <si>
    <t>16,13,2,3,8,5,7,4</t>
  </si>
  <si>
    <t>1,3,2,5,5,4,5,3</t>
  </si>
  <si>
    <t>16,17,209,13,12,8,7,4</t>
  </si>
  <si>
    <t>18,12,3,1,4,8,101,7</t>
  </si>
  <si>
    <t>1,2,4,5,5,3,5,5</t>
  </si>
  <si>
    <t>17,204,207,103,7,3,4,5</t>
  </si>
  <si>
    <t>103,14,209,4,1,7,3,101</t>
  </si>
  <si>
    <t>1,3,3,5,3,3,2,3</t>
  </si>
  <si>
    <t>209,12,204,8,4,7,101,3</t>
  </si>
  <si>
    <t>2,2,1,3,3,2,5,3</t>
  </si>
  <si>
    <t>204,13,209,4,7,1,5,3</t>
  </si>
  <si>
    <t>1,3,1,5,4,3,5,3</t>
  </si>
  <si>
    <t>17,19,207,103,3,8,1,101</t>
  </si>
  <si>
    <t>1,1,2,3,2,2,2,5</t>
  </si>
  <si>
    <t>13,14,207,101,8,5,2,4</t>
  </si>
  <si>
    <t>3,3,3,5,5,2,4,5</t>
  </si>
  <si>
    <t>109,16,103,13,5,2,1,7</t>
  </si>
  <si>
    <t>1,1,2,3,3,3,5,3</t>
  </si>
  <si>
    <t>103,209,14,7,8,1,4,5</t>
  </si>
  <si>
    <t>2,3,2,4,4,5,4,2</t>
  </si>
  <si>
    <t>16,14,7,101,1,5,3,2</t>
  </si>
  <si>
    <t>207,13,103,3,7,101,5,8</t>
  </si>
  <si>
    <t>2,2,1,3,4,2,4,5</t>
  </si>
  <si>
    <t>17,207,209,101,7,1,2,8</t>
  </si>
  <si>
    <t>1,1,2,2,5,3,2,5</t>
  </si>
  <si>
    <t>19,109,204,5,7,4,8,3</t>
  </si>
  <si>
    <t>1,1,2,4,5,2,5,2</t>
  </si>
  <si>
    <t>13,1,8,4,7,2,3,5</t>
  </si>
  <si>
    <t>1,4,5,3,2,4,3,5</t>
  </si>
  <si>
    <t>103,5,101,7,8,4,1,2</t>
  </si>
  <si>
    <t>3,5,5,5,4,3,3,2</t>
  </si>
  <si>
    <t>207,12,2,5,8,4,7,101</t>
  </si>
  <si>
    <t>1,2,5,4,4,5,4,2</t>
  </si>
  <si>
    <t>20,19,204,12,209,8,5,2</t>
  </si>
  <si>
    <t>1,1,3,1,3,3,3,2</t>
  </si>
  <si>
    <t>20,14,207,4,2,5,1,8</t>
  </si>
  <si>
    <t>1,3,3,4,2,3,2,3</t>
  </si>
  <si>
    <t>204,207,7,101,5,4,1,8</t>
  </si>
  <si>
    <t>3,1,4,5,5,3,4,4</t>
  </si>
  <si>
    <t>14,3,5,101,8,7,1,2</t>
  </si>
  <si>
    <t>2,5,2,3,5,4,5,5</t>
  </si>
  <si>
    <t>207,209,13,8,4,3,7,2</t>
  </si>
  <si>
    <t>2,1,2,4,4,2,3,5</t>
  </si>
  <si>
    <t>18,19,207,204,103,101,4,5</t>
  </si>
  <si>
    <t>103,13,4,8,1,101,7,2</t>
  </si>
  <si>
    <t>207,7,1,3,5,4,101,2</t>
  </si>
  <si>
    <t>2,4,2,2,2,2,4,5</t>
  </si>
  <si>
    <t>16,17,204,101,1,7,2,3</t>
  </si>
  <si>
    <t>109,12,14,13,1,101,5,7</t>
  </si>
  <si>
    <t>1,2,2,1,5,2,2,5</t>
  </si>
  <si>
    <t>17,109,12,207,14,7,4,5</t>
  </si>
  <si>
    <t>1,1,2,3,1,5,3,2</t>
  </si>
  <si>
    <t>19,207,204,2,7,8,3,4</t>
  </si>
  <si>
    <t>1,2,3,5,3,5,5,4</t>
  </si>
  <si>
    <t>17,20,13,14,101,2,3,4</t>
  </si>
  <si>
    <t>1,1,2,1,5,2,5,2</t>
  </si>
  <si>
    <t>18,12,13,207,1,7,3,8</t>
  </si>
  <si>
    <t>1,3,1,2,2,5,3,3</t>
  </si>
  <si>
    <t>209,13,12,1,5,2,4,8</t>
  </si>
  <si>
    <t>2,1,2,5,4,2,4,4</t>
  </si>
  <si>
    <t>20,204,14,207,101,2,3,7</t>
  </si>
  <si>
    <t>1,3,2,1,2,2,2,3</t>
  </si>
  <si>
    <t>209,1,8,3,101,7,2,5</t>
  </si>
  <si>
    <t>3,2,3,5,3,2,2,2</t>
  </si>
  <si>
    <t>18,17,103,207,7,2,5,3</t>
  </si>
  <si>
    <t>18,17,13,7,1,4,5,8</t>
  </si>
  <si>
    <t>1,1,2,2,3,2,3,5</t>
  </si>
  <si>
    <t>13,12,7,3,101,2,8,1</t>
  </si>
  <si>
    <t>1,3,2,3,4,2,5,5</t>
  </si>
  <si>
    <t>204,12,14,5,101,1,2,8</t>
  </si>
  <si>
    <t>14,209,207,1,4,2,5,101</t>
  </si>
  <si>
    <t>1,1,3,5,3,4,4,2</t>
  </si>
  <si>
    <t>109,17,103,209,7,2,4,101</t>
  </si>
  <si>
    <t>109,20,207,12,101,5,8,2</t>
  </si>
  <si>
    <t>1,1,3,1,3,3,2,5</t>
  </si>
  <si>
    <t>16,207,4,8,101,3,5,7</t>
  </si>
  <si>
    <t>1,1,4,4,2,2,5,2</t>
  </si>
  <si>
    <t>18,109,13,204,3,5,7,101</t>
  </si>
  <si>
    <t>1,1,2,3,4,5,3,2</t>
  </si>
  <si>
    <t>16,209,7,5,2,4,1,3</t>
  </si>
  <si>
    <t>1,2,3,5,2,5,2,4</t>
  </si>
  <si>
    <t>19,207,2,4,1,101,8,3</t>
  </si>
  <si>
    <t>1,1,2,2,5,5,5,5</t>
  </si>
  <si>
    <t>19,207,209,2,1,4,3,5</t>
  </si>
  <si>
    <t>1,3,1,5,5,4,2,2</t>
  </si>
  <si>
    <t>18,13,14,101,8,5,4,1</t>
  </si>
  <si>
    <t>1,3,3,3,4,2,2,5</t>
  </si>
  <si>
    <t>16,13,8,7,3,4,5,101</t>
  </si>
  <si>
    <t>1,3,5,4,3,5,5,4</t>
  </si>
  <si>
    <t>17,20,14,207,8,4,1,101</t>
  </si>
  <si>
    <t>17,204,12,4,5,3,1,101</t>
  </si>
  <si>
    <t>1,3,3,4,4,4,5,5</t>
  </si>
  <si>
    <t>109,207,8,5,7,2,3,1</t>
  </si>
  <si>
    <t>1,2,2,5,4,3,2,3</t>
  </si>
  <si>
    <t>17,209,207,103,3,101,2,7</t>
  </si>
  <si>
    <t>103,1,4,3,5,7,2,101</t>
  </si>
  <si>
    <t>3,4,5,2,5,3,5,2</t>
  </si>
  <si>
    <t>18,103,12,101,7,2,5,8</t>
  </si>
  <si>
    <t>16,209,204,13,4,1,8,5</t>
  </si>
  <si>
    <t>1,3,1,1,3,5,5,4</t>
  </si>
  <si>
    <t>20,17,204,207,12,2,4,3</t>
  </si>
  <si>
    <t>103,13,12,8,2,5,101,7</t>
  </si>
  <si>
    <t>12,207,209,2,101,4,5,3</t>
  </si>
  <si>
    <t>1,2,2,4,5,3,2,4</t>
  </si>
  <si>
    <t>13,5,101,2,8,4,7,1</t>
  </si>
  <si>
    <t>3,4,5,5,2,3,3,2</t>
  </si>
  <si>
    <t>18,16,12,13,209,1,7,8</t>
  </si>
  <si>
    <t>1,1,2,2,2,5,2,4</t>
  </si>
  <si>
    <t>109,20,103,12,207,7,101,4</t>
  </si>
  <si>
    <t>1,1,3,2,2,3,3,4</t>
  </si>
  <si>
    <t>16,14,209,12,101,5,4,8</t>
  </si>
  <si>
    <t>1,3,2,1,5,4,2,3</t>
  </si>
  <si>
    <t>20,204,209,13,4,3,2,5</t>
  </si>
  <si>
    <t>1,3,3,2,4,3,3,2</t>
  </si>
  <si>
    <t>19,16,103,101,4,3,2,5</t>
  </si>
  <si>
    <t>1,1,3,4,5,2,4,4</t>
  </si>
  <si>
    <t>109,209,103,5,3,2,7,8</t>
  </si>
  <si>
    <t>1,1,2,2,2,4,5,5</t>
  </si>
  <si>
    <t>13,204,209,5,7,101,2,8</t>
  </si>
  <si>
    <t>3,1,3,3,4,5,3,4</t>
  </si>
  <si>
    <t>18,209,12,13,8,3,5,7</t>
  </si>
  <si>
    <t>1,3,2,3,5,2,2,3</t>
  </si>
  <si>
    <t>109,19,103,5,3,1,8,101</t>
  </si>
  <si>
    <t>1,1,3,2,4,5,3,2</t>
  </si>
  <si>
    <t>14,207,101,7,3,4,8,2</t>
  </si>
  <si>
    <t>1,2,5,3,3,2,2,3</t>
  </si>
  <si>
    <t>19,17,209,207,4,8,101,3</t>
  </si>
  <si>
    <t>1,1,1,3,2,5,2,5</t>
  </si>
  <si>
    <t>103,12,5,8,2,7,3,4</t>
  </si>
  <si>
    <t>3,2,2,2,4,5,3,2</t>
  </si>
  <si>
    <t>17,109,207,13,101,2,7,4</t>
  </si>
  <si>
    <t>1,1,2,3,4,5,3,4</t>
  </si>
  <si>
    <t>19,20,207,14,13,7,8,2</t>
  </si>
  <si>
    <t>1,1,2,1,1,2,3,2</t>
  </si>
  <si>
    <t>207,12,13,8,2,7,1,5</t>
  </si>
  <si>
    <t>1,3,3,5,4,3,3,5</t>
  </si>
  <si>
    <t>20,19,14,207,13,3,7,8</t>
  </si>
  <si>
    <t>209,14,13,4,8,101,3,2</t>
  </si>
  <si>
    <t>1,2,2,5,4,5,3,2</t>
  </si>
  <si>
    <t>19,16,209,204,207,4,8,1</t>
  </si>
  <si>
    <t>1,1,2,2,2,2,3,5</t>
  </si>
  <si>
    <t>103,1,101,7,8,4,3,2</t>
  </si>
  <si>
    <t>1,5,5,2,3,5,4,3</t>
  </si>
  <si>
    <t>17,12,103,1,4,7,3,101</t>
  </si>
  <si>
    <t>1,1,2,4,5,4,4,4</t>
  </si>
  <si>
    <t>103,204,101,3,1,5,7,8</t>
  </si>
  <si>
    <t>2,1,3,4,3,5,4,3</t>
  </si>
  <si>
    <t>18,109,207,209,204,7,2,5</t>
  </si>
  <si>
    <t>1,1,2,2,3,3,2,4</t>
  </si>
  <si>
    <t>13,103,2,4,3,1,8,101</t>
  </si>
  <si>
    <t>3,1,3,2,3,5,3,3</t>
  </si>
  <si>
    <t>17,13,207,103,4,5,7,3</t>
  </si>
  <si>
    <t>1,3,3,1,4,3,2,4</t>
  </si>
  <si>
    <t>19,109,13,103,101,1,8,2</t>
  </si>
  <si>
    <t>1,1,2,1,5,4,2,5</t>
  </si>
  <si>
    <t>19,18,209,103,14,7,2,1</t>
  </si>
  <si>
    <t>1,1,1,1,2,5,5,3</t>
  </si>
  <si>
    <t>17,204,103,207,101,8,7,3</t>
  </si>
  <si>
    <t>20,204,103,2,5,101,8,7</t>
  </si>
  <si>
    <t>109,20,103,13,14,8,2,3</t>
  </si>
  <si>
    <t>1,1,3,1,1,2,2,3</t>
  </si>
  <si>
    <t>209,8,4,5,101,7,1,2</t>
  </si>
  <si>
    <t>1,3,4,2,5,2,5,2</t>
  </si>
  <si>
    <t>103,8,4,7,2,101,3,5</t>
  </si>
  <si>
    <t>2,5,4,2,5,4,3,5</t>
  </si>
  <si>
    <t>13,1,3,2,5,101,7,8</t>
  </si>
  <si>
    <t>2,3,2,2,3,5,5,2</t>
  </si>
  <si>
    <t>17,18,207,8,101,7,1,5</t>
  </si>
  <si>
    <t>1,1,1,5,4,5,5,4</t>
  </si>
  <si>
    <t>12,207,1,7,2,3,5,8</t>
  </si>
  <si>
    <t>14,101,7,3,1,4,2,5</t>
  </si>
  <si>
    <t>1,3,3,5,2,5,3,5</t>
  </si>
  <si>
    <t>109,103,12,4,2,8,5,101</t>
  </si>
  <si>
    <t>1,1,3,4,5,5,5,2</t>
  </si>
  <si>
    <t>16,20,103,204,207,4,1,101</t>
  </si>
  <si>
    <t>209,12,7,5,101,1,4,2</t>
  </si>
  <si>
    <t>2,3,5,2,3,2,4,2</t>
  </si>
  <si>
    <t>109,16,12,3,1,8,2,5</t>
  </si>
  <si>
    <t>18,207,12,2,1,3,8,7</t>
  </si>
  <si>
    <t>1,3,1,3,2,4,3,4</t>
  </si>
  <si>
    <t>16,19,13,103,3,5,8,7</t>
  </si>
  <si>
    <t>1,1,2,1,5,3,4,4</t>
  </si>
  <si>
    <t>204,12,207,3,4,8,101,1</t>
  </si>
  <si>
    <t>3,1,3,2,4,5,4,4</t>
  </si>
  <si>
    <t>17,207,13,7,8,2,3,101</t>
  </si>
  <si>
    <t>103,209,4,2,1,3,8,7</t>
  </si>
  <si>
    <t>3,2,3,4,4,5,4,5</t>
  </si>
  <si>
    <t>109,13,101,1,7,5,8,3</t>
  </si>
  <si>
    <t>1,3,4,5,5,3,3,5</t>
  </si>
  <si>
    <t>20,207,14,8,7,3,5,4</t>
  </si>
  <si>
    <t>1,1,1,5,2,4,5,3</t>
  </si>
  <si>
    <t>20,17,207,5,8,3,4,2</t>
  </si>
  <si>
    <t>19,109,13,5,101,2,3,7</t>
  </si>
  <si>
    <t>1,1,2,4,5,2,4,3</t>
  </si>
  <si>
    <t>13,7,3,2,4,8,101,5</t>
  </si>
  <si>
    <t>1,5,2,5,5,4,5,2</t>
  </si>
  <si>
    <t>20,109,207,14,101,8,1,7</t>
  </si>
  <si>
    <t>209,204,207,2,8,5,3,1</t>
  </si>
  <si>
    <t>2,3,3,5,3,4,5,3</t>
  </si>
  <si>
    <t>19,17,14,207,101,1,5,7</t>
  </si>
  <si>
    <t>1,1,1,1,5,4,3,3</t>
  </si>
  <si>
    <t>16,109,207,101,5,7,2,3</t>
  </si>
  <si>
    <t>1,1,3,2,4,3,3,2</t>
  </si>
  <si>
    <t>13,14,3,4,2,5,8,101</t>
  </si>
  <si>
    <t>2,2,4,5,2,3,5,2</t>
  </si>
  <si>
    <t>16,17,204,103,101,5,2,7</t>
  </si>
  <si>
    <t>19,18,209,13,14,7,2,5</t>
  </si>
  <si>
    <t>1,1,1,1,3,5,4,3</t>
  </si>
  <si>
    <t>12,207,103,5,2,7,8,1</t>
  </si>
  <si>
    <t>3,2,2,4,4,4,3,2</t>
  </si>
  <si>
    <t>204,207,8,5,101,3,1,4</t>
  </si>
  <si>
    <t>1,2,5,3,2,4,3,4</t>
  </si>
  <si>
    <t>16,109,13,209,101,2,3,4</t>
  </si>
  <si>
    <t>1,1,1,3,2,4,5,5</t>
  </si>
  <si>
    <t>209,14,204,101,2,1,5,7</t>
  </si>
  <si>
    <t>2,1,1,3,5,5,5,3</t>
  </si>
  <si>
    <t>204,14,3,2,101,5,4,7</t>
  </si>
  <si>
    <t>2,3,5,2,2,3,4,2</t>
  </si>
  <si>
    <t>204,13,7,3,5,8,101,2</t>
  </si>
  <si>
    <t>1,3,3,5,5,3,5,3</t>
  </si>
  <si>
    <t>16,12,2,101,3,7,5,1</t>
  </si>
  <si>
    <t>1,1,4,5,3,5,5,2</t>
  </si>
  <si>
    <t>12,207,101,1,5,8,7,2</t>
  </si>
  <si>
    <t>3,1,2,4,4,2,4,3</t>
  </si>
  <si>
    <t>207,103,12,8,4,7,5,1</t>
  </si>
  <si>
    <t>2,1,2,3,2,3,3,5</t>
  </si>
  <si>
    <t>19,20,13,209,204,1,4,8</t>
  </si>
  <si>
    <t>1,1,1,1,3,5,3,3</t>
  </si>
  <si>
    <t>12,13,103,1,2,7,8,4</t>
  </si>
  <si>
    <t>3,3,2,3,2,3,4,4</t>
  </si>
  <si>
    <t>14,2,5,8,3,4,7,101</t>
  </si>
  <si>
    <t>3,4,5,4,3,4,5,2</t>
  </si>
  <si>
    <t>14,207,4,7,101,5,2,8</t>
  </si>
  <si>
    <t>3,2,2,5,2,3,4,2</t>
  </si>
  <si>
    <t>12,3,101,8,4,5,7,1</t>
  </si>
  <si>
    <t>3,4,5,2,3,5,4,3</t>
  </si>
  <si>
    <t>17,20,14,13,2,4,3,101</t>
  </si>
  <si>
    <t>1,1,2,2,3,4,5,2</t>
  </si>
  <si>
    <t>204,13,101,3,4,2,8,1</t>
  </si>
  <si>
    <t>1,1,2,3,2,3,5,2</t>
  </si>
  <si>
    <t>209,204,12,2,101,1,3,7</t>
  </si>
  <si>
    <t>20,14,209,5,8,3,2,1</t>
  </si>
  <si>
    <t>1,3,3,3,3,2,4,4</t>
  </si>
  <si>
    <t>13,207,3,4,2,1,101,8</t>
  </si>
  <si>
    <t>1,3,3,3,5,3,4,5</t>
  </si>
  <si>
    <t>16,17,207,12,14,8,5,101</t>
  </si>
  <si>
    <t>1,1,3,3,1,3,4,4</t>
  </si>
  <si>
    <t>20,19,13,14,12,7,3,4</t>
  </si>
  <si>
    <t>1,1,2,2,2,3,3,5</t>
  </si>
  <si>
    <t>207,3,7,101,8,1,5,2</t>
  </si>
  <si>
    <t>1,3,4,2,3,3,5,4</t>
  </si>
  <si>
    <t>19,13,1,4,5,2,3,8</t>
  </si>
  <si>
    <t>1,2,2,5,2,5,3,4</t>
  </si>
  <si>
    <t>18,12,5,3,4,7,1,8</t>
  </si>
  <si>
    <t>1,1,3,5,5,4,4,5</t>
  </si>
  <si>
    <t>109,20,14,204,207,4,7,5</t>
  </si>
  <si>
    <t>1,1,1,2,2,3,5,5</t>
  </si>
  <si>
    <t>19,16,207,103,5,3,101,1</t>
  </si>
  <si>
    <t>1,1,3,2,3,5,4,4</t>
  </si>
  <si>
    <t>103,207,13,5,1,7,3,8</t>
  </si>
  <si>
    <t>1,1,2,5,4,2,3,4</t>
  </si>
  <si>
    <t>204,101,3,2,5,7,1,8</t>
  </si>
  <si>
    <t>1,3,5,2,3,2,4,5</t>
  </si>
  <si>
    <t>18,20,14,209,5,4,101,2</t>
  </si>
  <si>
    <t>1,1,2,2,5,2,5,5</t>
  </si>
  <si>
    <t>14,12,204,3,5,8,101,2</t>
  </si>
  <si>
    <t>3,1,3,2,2,2,4,3</t>
  </si>
  <si>
    <t>109,13,207,209,3,101,2,4</t>
  </si>
  <si>
    <t>16,103,207,5,7,3,101,8</t>
  </si>
  <si>
    <t>1,1,1,4,2,2,5,5</t>
  </si>
  <si>
    <t>13,7,3,4,8,201,2,5</t>
  </si>
  <si>
    <t>1,3,2,3,2,4,4,2</t>
  </si>
  <si>
    <t>103,208,12,101,201,7,2,5</t>
  </si>
  <si>
    <t>2,2,2,3,4,3,5,2</t>
  </si>
  <si>
    <t>208,7,201,4,5,101,8,3</t>
  </si>
  <si>
    <t>1,4,5,2,5,4,5,4</t>
  </si>
  <si>
    <t>14,207,101,201,4,7,2,3</t>
  </si>
  <si>
    <t>1,1,4,2,4,2,3,4</t>
  </si>
  <si>
    <t>20,21,208,204,2,8,101,7</t>
  </si>
  <si>
    <t>209,207,12,4,8,101,3,7</t>
  </si>
  <si>
    <t>17,16,207,209,12,8,201,101</t>
  </si>
  <si>
    <t>1,1,3,2,2,5,2,3</t>
  </si>
  <si>
    <t>109,209,101,201,2,1,8,4</t>
  </si>
  <si>
    <t>1,2,5,5,2,2,5,4</t>
  </si>
  <si>
    <t>19,12,8,201,101,5,4,7</t>
  </si>
  <si>
    <t>1,2,5,2,4,4,5,4</t>
  </si>
  <si>
    <t>18,17,12,14,4,5,3,7</t>
  </si>
  <si>
    <t>1,1,1,1,3,5,4,2</t>
  </si>
  <si>
    <t>20,19,208,2,101,1,8,3</t>
  </si>
  <si>
    <t>1,1,1,2,5,4,5,4</t>
  </si>
  <si>
    <t>19,17,103,209,2,1,4,101</t>
  </si>
  <si>
    <t>1,1,1,2,5,5,2,5</t>
  </si>
  <si>
    <t>21,17,14,101,8,7,201,4</t>
  </si>
  <si>
    <t>1,1,3,5,5,5,4,3</t>
  </si>
  <si>
    <t>21,103,14,7,5,8,101,1</t>
  </si>
  <si>
    <t>1,3,1,2,3,5,2,4</t>
  </si>
  <si>
    <t>208,204,101,8,3,7,201,5</t>
  </si>
  <si>
    <t>3,2,3,3,2,4,2,3</t>
  </si>
  <si>
    <t>12,207,103,5,201,7,8,3</t>
  </si>
  <si>
    <t>1,2,2,4,2,2,3,3</t>
  </si>
  <si>
    <t>16,207,14,2,1,3,5,8</t>
  </si>
  <si>
    <t>1,3,1,3,4,2,2,5</t>
  </si>
  <si>
    <t>18,207,5,7,3,8,1,2</t>
  </si>
  <si>
    <t>1,3,4,3,2,5,5,2</t>
  </si>
  <si>
    <t>17,207,14,7,101,8,201,1</t>
  </si>
  <si>
    <t>1,1,3,4,4,3,4,2</t>
  </si>
  <si>
    <t>204,13,2,1,7,3,8,101</t>
  </si>
  <si>
    <t>12,3,201,2,1,101,7,8</t>
  </si>
  <si>
    <t>3,2,3,2,2,3,3,4</t>
  </si>
  <si>
    <t>14,209,208,3,5,1,7,4</t>
  </si>
  <si>
    <t>2,2,3,2,3,5,4,2</t>
  </si>
  <si>
    <t>207,103,201,3,5,2,101,7</t>
  </si>
  <si>
    <t>1,2,2,4,2,2,4,3</t>
  </si>
  <si>
    <t>208,5,101,1,3,201,8,7</t>
  </si>
  <si>
    <t>3,5,5,4,4,4,2,5</t>
  </si>
  <si>
    <t>204,208,4,7,201,2,101,5</t>
  </si>
  <si>
    <t>3,3,4,4,5,2,3,4</t>
  </si>
  <si>
    <t>16,21,12,3,7,201,2,101</t>
  </si>
  <si>
    <t>1,1,1,4,5,4,5,4</t>
  </si>
  <si>
    <t>207,14,8,101,7,4,1,5</t>
  </si>
  <si>
    <t>1,3,2,5,2,4,2,2</t>
  </si>
  <si>
    <t>109,207,208,209,7,5,1,8</t>
  </si>
  <si>
    <t>18,17,12,13,3,5,2,7</t>
  </si>
  <si>
    <t>18,207,13,201,101,8,3,7</t>
  </si>
  <si>
    <t>1,3,3,3,4,2,4,3</t>
  </si>
  <si>
    <t>207,201,7,4,5,2,1,101</t>
  </si>
  <si>
    <t>1,3,5,5,3,5,5,3</t>
  </si>
  <si>
    <t>17,103,12,201,101,7,4,2</t>
  </si>
  <si>
    <t>1,1,2,5,2,5,3,3</t>
  </si>
  <si>
    <t>16,21,14,1,3,8,7,2</t>
  </si>
  <si>
    <t>1,1,2,5,4,2,3,5</t>
  </si>
  <si>
    <t>204,14,3,2,5,7,101,8</t>
  </si>
  <si>
    <t>3,1,4,4,2,5,3,3</t>
  </si>
  <si>
    <t>21,103,2,101,5,3,201,1</t>
  </si>
  <si>
    <t>1,2,5,3,5,5,2,5</t>
  </si>
  <si>
    <t>20,207,2,8,3,201,7,5</t>
  </si>
  <si>
    <t>1,2,3,5,4,3,2,4</t>
  </si>
  <si>
    <t>109,20,207,7,4,3,5,1</t>
  </si>
  <si>
    <t>30,207,201,8,5,1,3,101</t>
  </si>
  <si>
    <t>1,1,5,3,3,3,5,3</t>
  </si>
  <si>
    <t>17,19,13,14,7,201,4,101</t>
  </si>
  <si>
    <t>20,103,1,5,4,201,7,3</t>
  </si>
  <si>
    <t>1,1,2,5,5,3,5,5</t>
  </si>
  <si>
    <t>204,208,103,4,5,7,8,201</t>
  </si>
  <si>
    <t>2,1,1,5,4,3,2,5</t>
  </si>
  <si>
    <t>204,209,5,7,1,101,8,4</t>
  </si>
  <si>
    <t>2,1,5,2,3,3,3,4</t>
  </si>
  <si>
    <t>208,209,8,1,5,101,4,3</t>
  </si>
  <si>
    <t>1,2,5,2,5,5,2,4</t>
  </si>
  <si>
    <t>208,103,8,4,3,1,2,5</t>
  </si>
  <si>
    <t>3,3,5,3,5,3,5,2</t>
  </si>
  <si>
    <t>208,14,12,4,3,5,2,8</t>
  </si>
  <si>
    <t>2,1,3,5,2,2,5,4</t>
  </si>
  <si>
    <t>208,204,8,4,1,101,3,5</t>
  </si>
  <si>
    <t>3,1,2,2,3,2,5,4</t>
  </si>
  <si>
    <t>20,12,101,4,1,2,8,5</t>
  </si>
  <si>
    <t>1,1,3,5,4,5,3,2</t>
  </si>
  <si>
    <t>19,18,204,2,7,201,4,101</t>
  </si>
  <si>
    <t>17,207,2,101,7,4,1,8</t>
  </si>
  <si>
    <t>1,2,4,3,3,3,2,3</t>
  </si>
  <si>
    <t>21,20,209,103,2,201,7,101</t>
  </si>
  <si>
    <t>1,1,1,1,5,3,5,4</t>
  </si>
  <si>
    <t>208,12,13,4,3,8,1,5</t>
  </si>
  <si>
    <t>3,1,1,2,3,5,5,3</t>
  </si>
  <si>
    <t>109,20,204,12,1,2,4,5</t>
  </si>
  <si>
    <t>1,1,1,2,2,2,3,5</t>
  </si>
  <si>
    <t>16,103,14,101,8,5,7,201</t>
  </si>
  <si>
    <t>1,2,1,2,4,5,5,2</t>
  </si>
  <si>
    <t>13,101,201,1,4,8,5,7</t>
  </si>
  <si>
    <t>2,5,5,5,3,2,5,3</t>
  </si>
  <si>
    <t>20,18,207,4,201,5,101,2</t>
  </si>
  <si>
    <t>1,1,1,4,4,4,3,2</t>
  </si>
  <si>
    <t>17,208,204,8,3,4,101,201</t>
  </si>
  <si>
    <t>12,103,2,1,8,5,101,7</t>
  </si>
  <si>
    <t>1,1,3,4,4,4,3,5</t>
  </si>
  <si>
    <t>207,1,4,3,201,101,5,8</t>
  </si>
  <si>
    <t>3,2,4,4,4,2,3,5</t>
  </si>
  <si>
    <t>207,103,1,4,3,201,2,101</t>
  </si>
  <si>
    <t>1,2,2,2,4,2,2,5</t>
  </si>
  <si>
    <t>30,17,20,13,101,5,1,201</t>
  </si>
  <si>
    <t>16,18,14,8,101,4,1,3</t>
  </si>
  <si>
    <t>1,1,2,5,2,5,2,2</t>
  </si>
  <si>
    <t>109,16,13,204,209,101,7,8</t>
  </si>
  <si>
    <t>1,1,3,1,1,2,4,4</t>
  </si>
  <si>
    <t>209,204,208,7,1,8,4,2</t>
  </si>
  <si>
    <t>2,1,3,3,4,3,3,5</t>
  </si>
  <si>
    <t>208,101,5,1,7,4,2,8</t>
  </si>
  <si>
    <t>3,2,3,2,3,5,3,2</t>
  </si>
  <si>
    <t>109,19,13,101,8,1,201,7</t>
  </si>
  <si>
    <t>1,1,2,4,4,2,4,5</t>
  </si>
  <si>
    <t>21,20,103,5,1,201,2,101</t>
  </si>
  <si>
    <t>1,1,2,5,3,2,2,2</t>
  </si>
  <si>
    <t>20,209,207,8,4,201,101,2</t>
  </si>
  <si>
    <t>1,3,3,4,4,4,3,5</t>
  </si>
  <si>
    <t>109,16,13,208,201,7,4,5</t>
  </si>
  <si>
    <t>1,1,3,3,3,5,2,3</t>
  </si>
  <si>
    <t>207,101,3,2,201,7,4,5</t>
  </si>
  <si>
    <t>3,2,2,3,5,3,5,5</t>
  </si>
  <si>
    <t>204,13,103,101,2,4,7,5</t>
  </si>
  <si>
    <t>3,2,2,5,5,4,4,5</t>
  </si>
  <si>
    <t>21,204,207,101,4,201,7,2</t>
  </si>
  <si>
    <t>1,3,1,4,2,5,2,3</t>
  </si>
  <si>
    <t>209,14,204,8,5,1,3,101</t>
  </si>
  <si>
    <t>1,3,1,4,5,4,3,2</t>
  </si>
  <si>
    <t>21,204,208,201,4,1,101,5</t>
  </si>
  <si>
    <t>1,2,3,4,4,2,2,2</t>
  </si>
  <si>
    <t>109,21,207,5,201,8,1,7</t>
  </si>
  <si>
    <t>1,1,3,4,2,4,5,5</t>
  </si>
  <si>
    <t>19,17,103,209,201,5,8,3</t>
  </si>
  <si>
    <t>17,204,14,201,4,5,3,8</t>
  </si>
  <si>
    <t>1,3,2,4,5,4,3,2</t>
  </si>
  <si>
    <t>207,204,7,4,101,8,5,3</t>
  </si>
  <si>
    <t>1,3,5,4,3,5,3,5</t>
  </si>
  <si>
    <t>17,21,209,2,101,5,201,4</t>
  </si>
  <si>
    <t>1,1,3,4,4,5,4,2</t>
  </si>
  <si>
    <t>204,101,201,1,3,5,7,8</t>
  </si>
  <si>
    <t>2,5,2,4,2,3,5,2</t>
  </si>
  <si>
    <t>17,103,207,14,7,1,8,2</t>
  </si>
  <si>
    <t>1,1,3,1,5,4,4,5</t>
  </si>
  <si>
    <t>19,204,209,101,7,5,2,1</t>
  </si>
  <si>
    <t>1,3,1,2,5,4,3,2</t>
  </si>
  <si>
    <t>17,20,209,4,201,101,2,1</t>
  </si>
  <si>
    <t>209,204,201,4,7,2,3,8</t>
  </si>
  <si>
    <t>2,2,4,5,3,4,3,4</t>
  </si>
  <si>
    <t>18,204,103,209,7,2,1,101</t>
  </si>
  <si>
    <t>20,204,208,201,1,4,8,5</t>
  </si>
  <si>
    <t>1,2,3,4,2,5,3,2</t>
  </si>
  <si>
    <t>19,209,103,14,5,1,4,3</t>
  </si>
  <si>
    <t>12,101,1,5,201,4,2,7</t>
  </si>
  <si>
    <t>3,3,3,3,3,5,4,2</t>
  </si>
  <si>
    <t>17,204,201,101,3,8,2,7</t>
  </si>
  <si>
    <t>1,3,4,3,2,2,3,5</t>
  </si>
  <si>
    <t>21,204,14,1,201,7,101,3</t>
  </si>
  <si>
    <t>1,2,3,4,2,3,4,5</t>
  </si>
  <si>
    <t>21,20,12,5,3,8,2,1</t>
  </si>
  <si>
    <t>19,17,13,103,209,3,5,1</t>
  </si>
  <si>
    <t>1,1,1,1,1,5,4,2</t>
  </si>
  <si>
    <t>208,103,12,4,8,1,201,3</t>
  </si>
  <si>
    <t>103,13,12,8,4,101,201,1</t>
  </si>
  <si>
    <t>3,1,3,5,2,5,2,4</t>
  </si>
  <si>
    <t>12,3,5,8,7,2,1,4</t>
  </si>
  <si>
    <t>3,3,3,2,3,3,2,4</t>
  </si>
  <si>
    <t>21,207,12,201,2,8,4,5</t>
  </si>
  <si>
    <t>1,3,3,3,4,2,2,2</t>
  </si>
  <si>
    <t>103,207,14,101,4,5,2,7</t>
  </si>
  <si>
    <t>3,3,3,3,4,3,2,2</t>
  </si>
  <si>
    <t>18,21,13,12,2,5,201,3</t>
  </si>
  <si>
    <t>109,209,3,1,8,201,4,7</t>
  </si>
  <si>
    <t>1,1,5,3,3,4,4,5</t>
  </si>
  <si>
    <t>209,204,208,3,8,201,4,5</t>
  </si>
  <si>
    <t>3,1,2,3,3,4,3,5</t>
  </si>
  <si>
    <t>21,208,103,14,101,201,7,3</t>
  </si>
  <si>
    <t>17,109,14,3,8,101,2,201</t>
  </si>
  <si>
    <t>1,1,2,3,2,5,3,5</t>
  </si>
  <si>
    <t>20,109,207,103,209,7,1,8</t>
  </si>
  <si>
    <t>1,1,3,3,1,5,2,5</t>
  </si>
  <si>
    <t>13,5,7,101,8,3,4,2</t>
  </si>
  <si>
    <t>2,5,4,4,3,3,4,4</t>
  </si>
  <si>
    <t>207,13,14,8,5,7,2,101</t>
  </si>
  <si>
    <t>1,1,1,4,3,4,3,5</t>
  </si>
  <si>
    <t>17,12,13,207,1,3,8,7</t>
  </si>
  <si>
    <t>1,3,3,1,2,3,4,2</t>
  </si>
  <si>
    <t>17,16,207,7,1,2,5,8</t>
  </si>
  <si>
    <t>1,1,1,4,4,3,5,4</t>
  </si>
  <si>
    <t>17,207,209,1,201,2,3,4</t>
  </si>
  <si>
    <t>1,3,1,3,4,5,2,2</t>
  </si>
  <si>
    <t>16,18,12,3,101,4,201,8</t>
  </si>
  <si>
    <t>1,1,2,5,2,3,2,2</t>
  </si>
  <si>
    <t>12,13,7,101,1,3,201,2</t>
  </si>
  <si>
    <t>1,3,5,5,2,5,5,5</t>
  </si>
  <si>
    <t>109,18,207,201,8,5,2,101</t>
  </si>
  <si>
    <t>209,13,5,2,101,8,3,1</t>
  </si>
  <si>
    <t>3,2,2,5,5,4,5,3</t>
  </si>
  <si>
    <t>14,8,5,7,101,2,3,201</t>
  </si>
  <si>
    <t>1,4,4,4,5,3,5,2</t>
  </si>
  <si>
    <t>21,18,207,12,204,5,3,2</t>
  </si>
  <si>
    <t>1,1,1,1,3,3,2,4</t>
  </si>
  <si>
    <t>13,204,208,201,7,8,5,4</t>
  </si>
  <si>
    <t>3,1,2,2,5,3,3,3</t>
  </si>
  <si>
    <t>20,18,209,204,103,201,101,1</t>
  </si>
  <si>
    <t>208,14,209,1,2,5,7,4</t>
  </si>
  <si>
    <t>1,2,2,4,3,5,4,5</t>
  </si>
  <si>
    <t>17,18,207,14,3,201,1,2</t>
  </si>
  <si>
    <t>1,1,3,1,4,4,3,5</t>
  </si>
  <si>
    <t>19,16,204,13,7,8,4,1</t>
  </si>
  <si>
    <t>1,1,1,2,4,3,4,5</t>
  </si>
  <si>
    <t>16,209,12,208,5,2,3,4</t>
  </si>
  <si>
    <t>1,3,1,3,4,2,3,2</t>
  </si>
  <si>
    <t>207,103,13,8,2,4,7,5</t>
  </si>
  <si>
    <t>3,2,3,5,3,4,2,3</t>
  </si>
  <si>
    <t>109,204,8,101,4,2,201,5</t>
  </si>
  <si>
    <t>13,209,204,8,4,1,5,101</t>
  </si>
  <si>
    <t>2,3,1,4,2,2,3,5</t>
  </si>
  <si>
    <t>209,1,8,101,4,3,7,5</t>
  </si>
  <si>
    <t>3,2,4,5,4,5,3,2</t>
  </si>
  <si>
    <t>17,20,13,5,2,101,201,3</t>
  </si>
  <si>
    <t>1,1,2,5,2,3,3,2</t>
  </si>
  <si>
    <t>207,14,12,5,3,2,101,4</t>
  </si>
  <si>
    <t>3,2,3,2,2,5,3,2</t>
  </si>
  <si>
    <t>16,13,4,8,5,7,101,3</t>
  </si>
  <si>
    <t>1,3,2,5,4,4,3,4</t>
  </si>
  <si>
    <t>21,207,14,7,5,1,101,2</t>
  </si>
  <si>
    <t>21,204,207,103,2,1,8,5</t>
  </si>
  <si>
    <t>17,103,14,7,3,101,2,8</t>
  </si>
  <si>
    <t>16,204,1,5,101,8,3,201</t>
  </si>
  <si>
    <t>1,2,2,4,5,5,2,4</t>
  </si>
  <si>
    <t>21,19,208,12,201,101,7,4</t>
  </si>
  <si>
    <t>1,1,1,3,5,5,2,3</t>
  </si>
  <si>
    <t>207,204,101,4,5,2,8,3</t>
  </si>
  <si>
    <t>20,12,14,13,5,7,201,3</t>
  </si>
  <si>
    <t>1,2,1,1,5,5,3,5</t>
  </si>
  <si>
    <t>19,103,4,3,7,201,101,8</t>
  </si>
  <si>
    <t>1,1,3,4,5,5,2,4</t>
  </si>
  <si>
    <t>109,21,12,208,14,101,7,8</t>
  </si>
  <si>
    <t>207,204,13,3,2,1,7,201</t>
  </si>
  <si>
    <t>1,1,2,3,5,2,2,2</t>
  </si>
  <si>
    <t>21,19,209,208,201,8,4,2</t>
  </si>
  <si>
    <t>208,5,201,7,2,1,8,3</t>
  </si>
  <si>
    <t>1,5,3,5,5,5,4,4</t>
  </si>
  <si>
    <t>19,208,204,2,8,3,7,101</t>
  </si>
  <si>
    <t>1,1,3,5,3,5,5,2</t>
  </si>
  <si>
    <t>18,21,12,204,209,3,1,8</t>
  </si>
  <si>
    <t>1,1,3,1,3,4,3,4</t>
  </si>
  <si>
    <t>209,2,3,201,7,4,5,8</t>
  </si>
  <si>
    <t>2,5,4,4,4,2,3,3</t>
  </si>
  <si>
    <t>109,207,101,1,201,7,5,8</t>
  </si>
  <si>
    <t>1,1,5,4,4,5,3,4</t>
  </si>
  <si>
    <t>16,18,12,3,201,7,101,2</t>
  </si>
  <si>
    <t>12,4,8,1,201,2,5,3</t>
  </si>
  <si>
    <t>2,5,4,3,4,5,2,5</t>
  </si>
  <si>
    <t>17,19,14,201,3,7,2,5</t>
  </si>
  <si>
    <t>1,1,2,2,4,5,5,4</t>
  </si>
  <si>
    <t>207,3,101,201,1,2,5,7</t>
  </si>
  <si>
    <t>3,3,4,3,3,4,2,4</t>
  </si>
  <si>
    <t>103,7,2,101,3,5,1,201</t>
  </si>
  <si>
    <t>1,3,3,2,3,2,3,5</t>
  </si>
  <si>
    <t>13,8,2,4,101,5,3,1</t>
  </si>
  <si>
    <t>2,3,2,4,2,5,2,4</t>
  </si>
  <si>
    <t>19,208,12,207,5,2,7,8</t>
  </si>
  <si>
    <t>1,1,3,1,2,4,5,2</t>
  </si>
  <si>
    <t>17,103,14,13,101,1,201,8</t>
  </si>
  <si>
    <t>1,2,1,1,5,5,5,4</t>
  </si>
  <si>
    <t>207,14,7,101,4,201,5,8</t>
  </si>
  <si>
    <t>1,2,3,5,3,3,5,4</t>
  </si>
  <si>
    <t>30,14,13,7,5,101,201,1</t>
  </si>
  <si>
    <t>208,14,103,2,1,5,7,8</t>
  </si>
  <si>
    <t>2,2,3,4,2,5,2,5</t>
  </si>
  <si>
    <t>20,109,14,12,2,101,8,7</t>
  </si>
  <si>
    <t>1,1,1,3,4,5,4,3</t>
  </si>
  <si>
    <t>16,109,13,14,1,2,4,101</t>
  </si>
  <si>
    <t>1,1,3,3,4,5,3,3</t>
  </si>
  <si>
    <t>13,8,3,4,101,5,201,7</t>
  </si>
  <si>
    <t>3,3,5,4,4,2,4,5</t>
  </si>
  <si>
    <t>13,208,209,3,7,4,201,8</t>
  </si>
  <si>
    <t>1,1,1,4,5,5,3,2</t>
  </si>
  <si>
    <t>13,2,5,7,1,101,8,201</t>
  </si>
  <si>
    <t>1,4,3,3,2,3,3,4</t>
  </si>
  <si>
    <t>14,103,208,3,101,2,4,201</t>
  </si>
  <si>
    <t>3,1,3,5,5,3,4,5</t>
  </si>
  <si>
    <t>208,12,8,201,4,3,1,101</t>
  </si>
  <si>
    <t>2,3,4,3,4,4,2,2</t>
  </si>
  <si>
    <t>103,207,14,101,3,201,8,2</t>
  </si>
  <si>
    <t>2,1,3,5,3,4,2,3</t>
  </si>
  <si>
    <t>16,209,14,7,8,5,1,2</t>
  </si>
  <si>
    <t>1,3,1,2,5,2,4,5</t>
  </si>
  <si>
    <t>17,13,103,14,201,5,4,7</t>
  </si>
  <si>
    <t>1,1,1,2,2,3,4,5</t>
  </si>
  <si>
    <t>207,103,13,1,7,3,5,8</t>
  </si>
  <si>
    <t>1,2,1,5,4,5,3,5</t>
  </si>
  <si>
    <t>18,209,4,1,101,201,5,2</t>
  </si>
  <si>
    <t>1,3,3,2,5,5,4,3</t>
  </si>
  <si>
    <t>207,204,208,3,5,8,1,7</t>
  </si>
  <si>
    <t>2,1,2,3,4,2,3,2</t>
  </si>
  <si>
    <t>16,109,207,201,101,2,5,1</t>
  </si>
  <si>
    <t>1,1,1,4,2,5,5,5</t>
  </si>
  <si>
    <t>16,208,14,1,7,4,101,8</t>
  </si>
  <si>
    <t>1,2,2,2,4,5,2,5</t>
  </si>
  <si>
    <t>103,13,5,4,7,2,101,3</t>
  </si>
  <si>
    <t>3,1,5,4,5,2,5,3</t>
  </si>
  <si>
    <t>19,207,14,101,8,2,201,4</t>
  </si>
  <si>
    <t>1,3,3,2,5,5,3,4</t>
  </si>
  <si>
    <t>16,207,14,13,5,7,1,4</t>
  </si>
  <si>
    <t>1,1,3,3,2,4,5,4</t>
  </si>
  <si>
    <t>16,20,204,209,103,5,4,7</t>
  </si>
  <si>
    <t>16,17,103,5,2,101,8,4</t>
  </si>
  <si>
    <t>103,2,4,201,101,5,3,1</t>
  </si>
  <si>
    <t>3,5,2,4,5,3,4,4</t>
  </si>
  <si>
    <t>13,7,5,8,1,2,3,4</t>
  </si>
  <si>
    <t>1,2,5,4,4,2,2,4</t>
  </si>
  <si>
    <t>209,12,103,8,101,5,1,2</t>
  </si>
  <si>
    <t>3,1,1,5,2,5,5,5</t>
  </si>
  <si>
    <t>14,8,101,201,7,2,1,3</t>
  </si>
  <si>
    <t>1,4,5,2,5,2,2,4</t>
  </si>
  <si>
    <t>19,12,209,204,3,4,5,8</t>
  </si>
  <si>
    <t>1,3,3,2,2,4,3,5</t>
  </si>
  <si>
    <t>20,19,204,3,201,1,8,4</t>
  </si>
  <si>
    <t>1,1,2,4,5,3,5,5</t>
  </si>
  <si>
    <t>103,7,8,5,4,3,201,2</t>
  </si>
  <si>
    <t>1,5,4,3,3,3,4,3</t>
  </si>
  <si>
    <t>14,4,101,7,8,2,201,1</t>
  </si>
  <si>
    <t>2,3,4,3,2,2,5,3</t>
  </si>
  <si>
    <t>16,204,8,7,4,2,5,201</t>
  </si>
  <si>
    <t>17,21,208,14,5,8,3,7</t>
  </si>
  <si>
    <t>21,13,2,1,7,101,5,4</t>
  </si>
  <si>
    <t>1,2,5,4,2,2,5,2</t>
  </si>
  <si>
    <t>209,14,103,1,4,2,101,201</t>
  </si>
  <si>
    <t>18,13,208,12,5,1,7,2</t>
  </si>
  <si>
    <t>1,1,2,2,5,2,2,2</t>
  </si>
  <si>
    <t>12,3,2,1,5,101,4,8</t>
  </si>
  <si>
    <t>1,3,4,2,5,2,4,3</t>
  </si>
  <si>
    <t>19,13,1,7,2,8,5,101</t>
  </si>
  <si>
    <t>1,1,5,4,4,5,4,3</t>
  </si>
  <si>
    <t>18,20,207,103,2,8,4,7</t>
  </si>
  <si>
    <t>19,209,103,7,3,201,4,8</t>
  </si>
  <si>
    <t>1,3,3,4,2,4,5,4</t>
  </si>
  <si>
    <t>13,207,5,101,3,4,1,7</t>
  </si>
  <si>
    <t>109,13,201,1,2,8,5,7</t>
  </si>
  <si>
    <t>1,1,2,5,2,4,5,4</t>
  </si>
  <si>
    <t>13,5,8,7,2,101,4,201</t>
  </si>
  <si>
    <t>3,3,3,5,2,3,3,4</t>
  </si>
  <si>
    <t>17,16,14,208,3,101,4,1</t>
  </si>
  <si>
    <t>1,1,3,1,4,5,4,4</t>
  </si>
  <si>
    <t>109,17,14,209,103,4,5,1</t>
  </si>
  <si>
    <t>1,1,3,3,1,5,3,4</t>
  </si>
  <si>
    <t>16,14,208,207,201,2,3,8</t>
  </si>
  <si>
    <t>207,209,103,5,4,201,7,1</t>
  </si>
  <si>
    <t>1,3,3,4,3,4,5,2</t>
  </si>
  <si>
    <t>209,201,5,101,2,8,7,3</t>
  </si>
  <si>
    <t>3,4,4,3,3,5,4,5</t>
  </si>
  <si>
    <t>109,13,103,2,7,8,1,101</t>
  </si>
  <si>
    <t>1,1,3,3,3,4,3,4</t>
  </si>
  <si>
    <t>16,17,12,204,208,2,5,201</t>
  </si>
  <si>
    <t>1,1,3,1,1,2,2,2</t>
  </si>
  <si>
    <t>207,5,7,3,8,201,2,4</t>
  </si>
  <si>
    <t>1,3,2,5,4,2,3,2</t>
  </si>
  <si>
    <t>20,16,207,201,101,1,4,7</t>
  </si>
  <si>
    <t>1,1,1,4,4,5,2,2</t>
  </si>
  <si>
    <t>20,109,208,14,4,101,8,3</t>
  </si>
  <si>
    <t>208,12,8,201,5,101,4,7</t>
  </si>
  <si>
    <t>3,3,5,4,3,3,3,3</t>
  </si>
  <si>
    <t>16,17,14,208,12,1,2,7</t>
  </si>
  <si>
    <t>1,1,1,2,1,5,3,4</t>
  </si>
  <si>
    <t>207,208,204,2,7,201,8,4</t>
  </si>
  <si>
    <t>1,1,3,4,2,2,3,2</t>
  </si>
  <si>
    <t>13,209,208,3,101,4,1,5</t>
  </si>
  <si>
    <t>1,2,2,3,3,3,4,4</t>
  </si>
  <si>
    <t>19,14,12,4,5,8,101,7</t>
  </si>
  <si>
    <t>1,1,1,3,4,4,2,2</t>
  </si>
  <si>
    <t>12,103,209,1,5,4,8,2</t>
  </si>
  <si>
    <t>3,2,3,3,5,3,2,5</t>
  </si>
  <si>
    <t>17,109,12,207,3,1,101,7</t>
  </si>
  <si>
    <t>1,1,1,3,4,2,5,4</t>
  </si>
  <si>
    <t>207,13,103,3,4,5,1,8</t>
  </si>
  <si>
    <t>3,3,1,3,5,5,3,2</t>
  </si>
  <si>
    <t>109,14,209,1,5,8,7,4</t>
  </si>
  <si>
    <t>1,2,1,3,5,5,5,2</t>
  </si>
  <si>
    <t>207,204,7,201,101,4,3,1</t>
  </si>
  <si>
    <t>2,3,4,3,3,5,3,5</t>
  </si>
  <si>
    <t>204,103,209,5,7,201,3,8</t>
  </si>
  <si>
    <t>1,2,1,2,3,5,2,4</t>
  </si>
  <si>
    <t>209,14,204,4,201,8,1,5</t>
  </si>
  <si>
    <t>103,204,13,2,7,4,3,101</t>
  </si>
  <si>
    <t>1,2,3,4,5,4,4,4</t>
  </si>
  <si>
    <t>16,18,12,204,103,8,201,2</t>
  </si>
  <si>
    <t>1,1,1,2,1,5,4,5</t>
  </si>
  <si>
    <t>13,1,101,7,2,8,3,201</t>
  </si>
  <si>
    <t>3,5,4,5,5,3,5,5</t>
  </si>
  <si>
    <t>12,208,101,3,4,7,1,2</t>
  </si>
  <si>
    <t>1,3,5,3,4,3,2,2</t>
  </si>
  <si>
    <t>209,201,1,8,3,2,5,101</t>
  </si>
  <si>
    <t>1,3,4,2,5,4,4,3</t>
  </si>
  <si>
    <t>12,208,204,2,5,7,101,3</t>
  </si>
  <si>
    <t>1,3,2,2,4,2,5,3</t>
  </si>
  <si>
    <t>16,103,14,13,7,201,1,2</t>
  </si>
  <si>
    <t>1,2,1,2,3,4,3,2</t>
  </si>
  <si>
    <t>13,1,5,4,201,7,8,3</t>
  </si>
  <si>
    <t>1,5,4,2,5,3,4,2</t>
  </si>
  <si>
    <t>19,209,101,5,3,2,4,201</t>
  </si>
  <si>
    <t>18,109,103,4,3,1,101,201</t>
  </si>
  <si>
    <t>1,1,2,3,2,4,3,2</t>
  </si>
  <si>
    <t>103,8,201,101,7,2,4,3</t>
  </si>
  <si>
    <t>1,2,2,3,5,3,2,2</t>
  </si>
  <si>
    <t>17,103,12,201,7,101,8,3</t>
  </si>
  <si>
    <t>1,1,1,5,4,2,4,5</t>
  </si>
  <si>
    <t>16,18,14,1,101,7,3,4</t>
  </si>
  <si>
    <t>1,1,2,5,3,3,5,4</t>
  </si>
  <si>
    <t>103,14,12,3,201,4,5,8</t>
  </si>
  <si>
    <t>1,2,1,5,4,2,2,5</t>
  </si>
  <si>
    <t>103,207,12,1,4,101,8,7</t>
  </si>
  <si>
    <t>1,1,3,3,2,5,5,2</t>
  </si>
  <si>
    <t>30,20,17,14,204,2,201,1</t>
  </si>
  <si>
    <t>109,17,14,209,204,7,3,201</t>
  </si>
  <si>
    <t>1,1,2,1,3,3,5,5</t>
  </si>
  <si>
    <t>16,20,204,101,7,4,2,1</t>
  </si>
  <si>
    <t>1,1,1,3,3,5,3,4</t>
  </si>
  <si>
    <t>109,13,103,12,5,7,1,4</t>
  </si>
  <si>
    <t>21,14,3,5,201,7,8,2</t>
  </si>
  <si>
    <t>1,1,5,5,5,2,5,5</t>
  </si>
  <si>
    <t>21,16,12,209,13,101,7,1</t>
  </si>
  <si>
    <t>103,14,5,8,201,2,3,7</t>
  </si>
  <si>
    <t>13,1,7,3,101,5,201,8</t>
  </si>
  <si>
    <t>1,5,3,3,5,5,5,2</t>
  </si>
  <si>
    <t>14,207,4,201,5,3,8,7</t>
  </si>
  <si>
    <t>1,1,5,4,4,5,4,5</t>
  </si>
  <si>
    <t>20,17,207,12,204,3,4,201</t>
  </si>
  <si>
    <t>1,1,2,3,1,5,2,3</t>
  </si>
  <si>
    <t>19,209,13,5,1,2,101,201</t>
  </si>
  <si>
    <t>1,3,3,2,5,2,3,5</t>
  </si>
  <si>
    <t>20,207,4,8,7,2,101,201</t>
  </si>
  <si>
    <t>1,2,2,5,5,4,5,4</t>
  </si>
  <si>
    <t>109,14,4,2,3,5,7,101</t>
  </si>
  <si>
    <t>109,19,103,4,3,7,5,2</t>
  </si>
  <si>
    <t>209,7,2,3,4,201,101,8</t>
  </si>
  <si>
    <t>3,5,3,2,5,4,5,4</t>
  </si>
  <si>
    <t>209,13,14,8,101,2,7,5</t>
  </si>
  <si>
    <t>1,2,2,3,3,5,4,2</t>
  </si>
  <si>
    <t>20,207,14,101,3,8,1,2</t>
  </si>
  <si>
    <t>1,3,1,4,4,3,4,5</t>
  </si>
  <si>
    <t>208,14,12,7,101,1,5,8</t>
  </si>
  <si>
    <t>3,1,1,2,2,2,2,5</t>
  </si>
  <si>
    <t>19,14,101,8,2,3,5,4</t>
  </si>
  <si>
    <t>1,3,3,2,5,2,5,5</t>
  </si>
  <si>
    <t>17,20,103,14,3,1,5,7</t>
  </si>
  <si>
    <t>1,1,3,3,5,4,4,5</t>
  </si>
  <si>
    <t>207,204,12,5,1,8,4,201</t>
  </si>
  <si>
    <t>1,1,2,3,4,3,4,5</t>
  </si>
  <si>
    <t>18,12,207,209,2,1,3,201</t>
  </si>
  <si>
    <t>1,1,1,2,3,2,3,5</t>
  </si>
  <si>
    <t>204,103,208,7,5,3,2,1</t>
  </si>
  <si>
    <t>3,1,2,3,5,3,4,2</t>
  </si>
  <si>
    <t>208,14,12,3,2,1,8,201</t>
  </si>
  <si>
    <t>3,1,2,4,2,2,5,4</t>
  </si>
  <si>
    <t>21,19,12,207,103,2,3,4</t>
  </si>
  <si>
    <t>1,1,2,2,3,5,5,4</t>
  </si>
  <si>
    <t>16,209,12,103,8,1,5,3</t>
  </si>
  <si>
    <t>17,204,8,5,1,101,2,201</t>
  </si>
  <si>
    <t>1,3,4,5,2,3,4,4</t>
  </si>
  <si>
    <t>109,21,13,204,8,2,101,7</t>
  </si>
  <si>
    <t>1,1,2,2,3,2,5,5</t>
  </si>
  <si>
    <t>17,14,209,3,4,2,101,201</t>
  </si>
  <si>
    <t>1,2,3,4,3,3,5,3</t>
  </si>
  <si>
    <t>14,103,204,1,4,8,201,5</t>
  </si>
  <si>
    <t>2,3,1,3,2,3,5,5</t>
  </si>
  <si>
    <t>204,14,2,5,3,7,4,201</t>
  </si>
  <si>
    <t>3,3,3,2,4,5,4,3</t>
  </si>
  <si>
    <t>17,16,207,4,8,101,3,201</t>
  </si>
  <si>
    <t>1,1,2,4,5,3,5,4</t>
  </si>
  <si>
    <t>18,16,209,1,101,8,3,7</t>
  </si>
  <si>
    <t>1,1,2,5,5,3,5,3</t>
  </si>
  <si>
    <t>13,2,101,1,5,4,7,8</t>
  </si>
  <si>
    <t>1,4,3,3,4,2,3,5</t>
  </si>
  <si>
    <t>19,103,7,5,3,1,201,101</t>
  </si>
  <si>
    <t>207,1,3,201,2,4,7,5</t>
  </si>
  <si>
    <t>1,2,3,2,4,5,5,4</t>
  </si>
  <si>
    <t>13,209,204,1,5,2,8,4</t>
  </si>
  <si>
    <t>3,3,2,2,5,5,5,3</t>
  </si>
  <si>
    <t>13,14,5,2,8,4,101,3</t>
  </si>
  <si>
    <t>1,3,4,2,5,3,2,4</t>
  </si>
  <si>
    <t>20,208,12,7,201,2,8,3</t>
  </si>
  <si>
    <t>1,3,1,4,3,3,3,2</t>
  </si>
  <si>
    <t>12,201,3,2,7,5,4,1</t>
  </si>
  <si>
    <t>3,2,4,2,4,3,5,5</t>
  </si>
  <si>
    <t>103,207,2,4,7,101,1,5</t>
  </si>
  <si>
    <t>1,2,5,2,5,2,5,3</t>
  </si>
  <si>
    <t>17,19,204,4,1,5,7,201</t>
  </si>
  <si>
    <t>1,1,1,4,2,4,4,5</t>
  </si>
  <si>
    <t>16,19,207,13,5,201,101,1</t>
  </si>
  <si>
    <t>1,1,2,1,5,3,2,2</t>
  </si>
  <si>
    <t>19,209,204,7,101,1,4,201</t>
  </si>
  <si>
    <t>209,208,14,5,7,2,1,8</t>
  </si>
  <si>
    <t>3,3,2,5,3,4,4,3</t>
  </si>
  <si>
    <t>209,8,7,201,3,1,4,2</t>
  </si>
  <si>
    <t>1,2,3,2,5,2,2,5</t>
  </si>
  <si>
    <t>18,12,8,3,201,1,7,2</t>
  </si>
  <si>
    <t>1,1,2,3,4,2,5,2</t>
  </si>
  <si>
    <t>209,207,12,4,2,1,5,3</t>
  </si>
  <si>
    <t>2,3,2,5,3,3,2,2</t>
  </si>
  <si>
    <t>13,14,209,1,7,201,101,2</t>
  </si>
  <si>
    <t>16,17,208,204,7,2,101,3</t>
  </si>
  <si>
    <t>1,1,2,1,5,2,5,4</t>
  </si>
  <si>
    <t>16,18,207,13,2,7,4,5</t>
  </si>
  <si>
    <t>1,1,3,3,5,3,2,4</t>
  </si>
  <si>
    <t>19,13,1,8,2,101,7,201</t>
  </si>
  <si>
    <t>1,1,3,4,2,5,3,2</t>
  </si>
  <si>
    <t>204,201,3,1,4,101,2,5</t>
  </si>
  <si>
    <t>1,3,3,4,4,5,5,2</t>
  </si>
  <si>
    <t>13,14,209,1,7,2,8,201</t>
  </si>
  <si>
    <t>3,2,1,5,5,5,4,4</t>
  </si>
  <si>
    <t>13,5,4,7,8,2,3,1</t>
  </si>
  <si>
    <t>3,3,4,3,3,2,3,2</t>
  </si>
  <si>
    <t>103,208,204,1,3,201,8,101</t>
  </si>
  <si>
    <t>3,1,1,5,3,2,5,4</t>
  </si>
  <si>
    <t>13,5,2,201,8,4,101,3</t>
  </si>
  <si>
    <t>1,5,2,2,4,5,4,2</t>
  </si>
  <si>
    <t>21,14,207,201,101,3,1,5</t>
  </si>
  <si>
    <t>1,1,2,3,4,5,4,2</t>
  </si>
  <si>
    <t>17,209,103,12,201,5,7,2</t>
  </si>
  <si>
    <t>1,3,3,2,4,5,3,3</t>
  </si>
  <si>
    <t>204,103,13,1,3,201,101,8</t>
  </si>
  <si>
    <t>2,2,1,4,2,5,3,3</t>
  </si>
  <si>
    <t>12,14,8,2,201,7,4,5</t>
  </si>
  <si>
    <t>3,1,4,2,3,3,3,3</t>
  </si>
  <si>
    <t>207,204,12,2,101,1,201,3</t>
  </si>
  <si>
    <t>12,208,5,8,2,1,201,101</t>
  </si>
  <si>
    <t>2,3,3,5,2,3,2,3</t>
  </si>
  <si>
    <t>208,204,103,4,8,101,1,3</t>
  </si>
  <si>
    <t>103,3,8,1,2,4,201,101</t>
  </si>
  <si>
    <t>1,3,3,4,4,4,2,4</t>
  </si>
  <si>
    <t>16,21,12,13,103,4,201,2</t>
  </si>
  <si>
    <t>1,1,1,1,2,3,4,5</t>
  </si>
  <si>
    <t>109,17,14,13,204,2,5,8</t>
  </si>
  <si>
    <t>1,1,1,2,1,4,4,5</t>
  </si>
  <si>
    <t>209,8,1,4,101,2,5,7</t>
  </si>
  <si>
    <t>3,2,5,2,3,3,5,5</t>
  </si>
  <si>
    <t>109,17,208,3,2,1,7,5</t>
  </si>
  <si>
    <t>1,1,2,5,3,5,3,4</t>
  </si>
  <si>
    <t>21,20,14,204,103,7,4,101</t>
  </si>
  <si>
    <t>1,1,1,1,3,5,3,2</t>
  </si>
  <si>
    <t>209,204,7,3,1,101,8,201</t>
  </si>
  <si>
    <t>3,1,4,3,5,4,2,2</t>
  </si>
  <si>
    <t>103,12,101,8,3,7,201,2</t>
  </si>
  <si>
    <t>2,1,5,2,4,3,3,3</t>
  </si>
  <si>
    <t>209,8,1,3,201,7,2,4</t>
  </si>
  <si>
    <t>3,3,2,5,3,5,5,3</t>
  </si>
  <si>
    <t>103,204,2,201,8,4,101,7</t>
  </si>
  <si>
    <t>3,3,2,4,5,4,3,4</t>
  </si>
  <si>
    <t>208,103,4,7,1,5,8,101</t>
  </si>
  <si>
    <t>2,2,3,2,5,5,2,2</t>
  </si>
  <si>
    <t>12,13,208,5,201,2,4,101</t>
  </si>
  <si>
    <t>1,2,2,3,4,3,5,5</t>
  </si>
  <si>
    <t>20,14,209,5,1,101,4,201</t>
  </si>
  <si>
    <t>1,1,3,3,4,2,5,3</t>
  </si>
  <si>
    <t>208,12,103,2,7,5,101,201</t>
  </si>
  <si>
    <t>1,3,1,2,3,3,4,2</t>
  </si>
  <si>
    <t>109,20,208,204,2,201,101,7</t>
  </si>
  <si>
    <t>19,207,204,209,1,7,5,201</t>
  </si>
  <si>
    <t>1,2,1,2,4,5,2,4</t>
  </si>
  <si>
    <t>16,21,14,208,13,5,4,1</t>
  </si>
  <si>
    <t>1,1,3,2,3,4,3,5</t>
  </si>
  <si>
    <t>19,208,13,1,101,5,8,7</t>
  </si>
  <si>
    <t>16,19,13,103,208,1,5,3</t>
  </si>
  <si>
    <t>207,14,3,5,4,1,8,201</t>
  </si>
  <si>
    <t>18,12,209,14,4,8,101,1</t>
  </si>
  <si>
    <t>1,3,2,2,2,5,5,3</t>
  </si>
  <si>
    <t>13,2,1,101,5,201,7,3</t>
  </si>
  <si>
    <t>3,2,4,5,3,4,4,2</t>
  </si>
  <si>
    <t>20,13,3,7,201,101,4,8</t>
  </si>
  <si>
    <t>204,103,101,1,4,3,8,5</t>
  </si>
  <si>
    <t>3,3,5,3,5,5,3,3</t>
  </si>
  <si>
    <t>12,13,14,3,101,5,8,7</t>
  </si>
  <si>
    <t>3,2,1,5,2,5,3,3</t>
  </si>
  <si>
    <t>20,14,2,101,8,1,201,3</t>
  </si>
  <si>
    <t>1,3,4,5,4,5,4,3</t>
  </si>
  <si>
    <t>209,101,1,3,8,4,201,5</t>
  </si>
  <si>
    <t>1,5,5,3,4,5,3,5</t>
  </si>
  <si>
    <t>207,204,12,1,8,2,7,101</t>
  </si>
  <si>
    <t>3,2,2,4,5,2,3,3</t>
  </si>
  <si>
    <t>20,21,207,103,3,4,8,101</t>
  </si>
  <si>
    <t>17,13,209,4,1,7,101,8</t>
  </si>
  <si>
    <t>1,1,2,4,4,3,4,5</t>
  </si>
  <si>
    <t>18,14,103,13,2,201,101,1</t>
  </si>
  <si>
    <t>19,204,208,2,1,201,3,8</t>
  </si>
  <si>
    <t>1,2,3,2,2,4,4,3</t>
  </si>
  <si>
    <t>18,109,207,209,4,7,5,3</t>
  </si>
  <si>
    <t>1,1,1,1,5,4,2,3</t>
  </si>
  <si>
    <t>13,3,2,5,8,4,201,7</t>
  </si>
  <si>
    <t>2,3,5,2,4,5,4,3</t>
  </si>
  <si>
    <t>103,12,3,1,101,201,5,4</t>
  </si>
  <si>
    <t>12,204,7,1,201,8,3,5</t>
  </si>
  <si>
    <t>1,3,4,4,3,5,3,2</t>
  </si>
  <si>
    <t>208,13,103,8,7,4,5,3</t>
  </si>
  <si>
    <t>2,1,2,5,2,2,4,4</t>
  </si>
  <si>
    <t>20,13,7,4,201,5,2,8</t>
  </si>
  <si>
    <t>1,1,5,2,2,3,2,4</t>
  </si>
  <si>
    <t>14,103,5,201,1,8,101,7</t>
  </si>
  <si>
    <t>3,1,5,5,2,3,2,5</t>
  </si>
  <si>
    <t>18,13,12,204,7,5,3,101</t>
  </si>
  <si>
    <t>1,3,3,1,4,5,5,3</t>
  </si>
  <si>
    <t>20,21,14,207,4,3,201,101</t>
  </si>
  <si>
    <t>1,1,2,1,4,5,2,2</t>
  </si>
  <si>
    <t>13,204,4,8,101,3,2,201</t>
  </si>
  <si>
    <t>1,1,3,3,5,5,5,3</t>
  </si>
  <si>
    <t>209,207,101,3,2,7,1,201</t>
  </si>
  <si>
    <t>2,3,3,2,3,5,3,4</t>
  </si>
  <si>
    <t>16,14,1,4,3,101,201,7</t>
  </si>
  <si>
    <t>1,1,4,5,4,5,2,4</t>
  </si>
  <si>
    <t>103,204,14,7,4,201,1,5</t>
  </si>
  <si>
    <t>3,1,1,4,5,2,2,4</t>
  </si>
  <si>
    <t>19,12,7,1,5,8,3,101</t>
  </si>
  <si>
    <t>1,3,5,2,3,4,2,5</t>
  </si>
  <si>
    <t>109,14,103,201,8,1,101,7</t>
  </si>
  <si>
    <t>1,2,1,5,3,4,2,4</t>
  </si>
  <si>
    <t>109,12,209,207,3,8,1,5</t>
  </si>
  <si>
    <t>109,103,208,7,5,3,1,101</t>
  </si>
  <si>
    <t>1,2,2,5,5,3,4,3</t>
  </si>
  <si>
    <t>109,20,14,13,1,101,8,3</t>
  </si>
  <si>
    <t>1,1,2,1,4,5,2,3</t>
  </si>
  <si>
    <t>20,16,207,14,101,5,4,8</t>
  </si>
  <si>
    <t>17,18,14,208,12,7,3,201</t>
  </si>
  <si>
    <t>1,1,3,1,1,2,4,2</t>
  </si>
  <si>
    <t>13,208,1,8,4,3,201,7</t>
  </si>
  <si>
    <t>2,2,5,4,4,2,2,5</t>
  </si>
  <si>
    <t>209,2,1,7,8,4,3,5</t>
  </si>
  <si>
    <t>1,3,4,4,2,2,2,2</t>
  </si>
  <si>
    <t>20,207,201,8,7,4,3,5</t>
  </si>
  <si>
    <t>1,1,2,2,3,4,5,5</t>
  </si>
  <si>
    <t>21,207,3,1,101,4,5,7</t>
  </si>
  <si>
    <t>1,3,2,2,5,3,5,4</t>
  </si>
  <si>
    <t>18,19,204,208,101,2,7,5</t>
  </si>
  <si>
    <t>17,16,103,13,8,1,201,5</t>
  </si>
  <si>
    <t>21,204,209,208,4,201,1,8</t>
  </si>
  <si>
    <t>18,16,103,14,8,1,201,2</t>
  </si>
  <si>
    <t>1,1,1,2,2,5,5,3</t>
  </si>
  <si>
    <t>20,208,204,14,201,4,1,8</t>
  </si>
  <si>
    <t>1,2,2,1,5,5,4,5</t>
  </si>
  <si>
    <t>16,20,13,12,14,5,101,2</t>
  </si>
  <si>
    <t>1,1,2,2,3,5,4,2</t>
  </si>
  <si>
    <t>209,207,8,5,7,3,2,1</t>
  </si>
  <si>
    <t>3,3,3,2,2,2,5,5</t>
  </si>
  <si>
    <t>18,16,12,208,13,1,8,101</t>
  </si>
  <si>
    <t>18,16,14,12,201,8,5,2</t>
  </si>
  <si>
    <t>1,1,1,2,2,4,3,5</t>
  </si>
  <si>
    <t>21,207,14,4,101,201,3,2</t>
  </si>
  <si>
    <t>1,3,1,5,4,4,2,2</t>
  </si>
  <si>
    <t>17,16,204,103,14,201,2,8</t>
  </si>
  <si>
    <t>1,1,3,2,1,2,4,4</t>
  </si>
  <si>
    <t>16,21,208,207,201,1,2,4</t>
  </si>
  <si>
    <t>1,1,2,3,2,4,5,5</t>
  </si>
  <si>
    <t>18,19,12,204,5,4,7,2</t>
  </si>
  <si>
    <t>1,1,1,1,4,5,3,4</t>
  </si>
  <si>
    <t>13,3,5,201,7,1,101,8</t>
  </si>
  <si>
    <t>3,4,3,3,2,2,5,2</t>
  </si>
  <si>
    <t>17,18,208,209,103,7,2,1</t>
  </si>
  <si>
    <t>1,1,1,2,2,4,5,2</t>
  </si>
  <si>
    <t>17,13,209,201,4,5,8,1</t>
  </si>
  <si>
    <t>12,208,4,7,3,1,2,8</t>
  </si>
  <si>
    <t>3,1,3,2,5,5,4,4</t>
  </si>
  <si>
    <t>17,103,7,3,8,1,201,4</t>
  </si>
  <si>
    <t>1,2,3,5,3,4,5,3</t>
  </si>
  <si>
    <t>13,209,8,201,4,2,7,1</t>
  </si>
  <si>
    <t>1,3,4,5,2,4,5,2</t>
  </si>
  <si>
    <t>16,209,207,208,201,1,7,3</t>
  </si>
  <si>
    <t>1,2,2,3,3,5,2,4</t>
  </si>
  <si>
    <t>20,18,209,12,101,7,2,4</t>
  </si>
  <si>
    <t>1,1,3,2,5,3,5,3</t>
  </si>
  <si>
    <t>204,5,7,201,8,101,2,3</t>
  </si>
  <si>
    <t>2,5,3,3,5,2,2,4</t>
  </si>
  <si>
    <t>103,209,201,1,3,8,2,7</t>
  </si>
  <si>
    <t>3,2,4,5,5,5,5,5</t>
  </si>
  <si>
    <t>18,12,7,201,5,4,8,2</t>
  </si>
  <si>
    <t>1,2,5,4,5,4,3,4</t>
  </si>
  <si>
    <t>17,103,12,101,201,4,7,5</t>
  </si>
  <si>
    <t>1,3,3,5,5,4,3,5</t>
  </si>
  <si>
    <t>14,1,201,2,7,5,3,8</t>
  </si>
  <si>
    <t>1,4,3,2,2,2,5,3</t>
  </si>
  <si>
    <t>12,5,201,4,7,3,1,101</t>
  </si>
  <si>
    <t>2,2,4,5,4,5,3,3</t>
  </si>
  <si>
    <t>12,14,209,3,101,7,201,5</t>
  </si>
  <si>
    <t>1,1,3,3,4,4,5,5</t>
  </si>
  <si>
    <t>14,103,201,2,101,4,8,7</t>
  </si>
  <si>
    <t>3,1,2,3,3,5,5,5</t>
  </si>
  <si>
    <t>109,12,8,1,2,101,7,4</t>
  </si>
  <si>
    <t>1,1,5,2,5,3,5,3</t>
  </si>
  <si>
    <t>19,18,14,103,204,5,3,7</t>
  </si>
  <si>
    <t>109,19,103,207,13,5,8,2</t>
  </si>
  <si>
    <t>1,1,3,2,2,3,5,3</t>
  </si>
  <si>
    <t>103,201,3,2,7,101,4,5</t>
  </si>
  <si>
    <t>1,5,4,2,5,5,3,3</t>
  </si>
  <si>
    <t>14,204,208,2,5,101,1,3</t>
  </si>
  <si>
    <t>2,2,1,4,3,3,5,3</t>
  </si>
  <si>
    <t>13,14,101,201,8,2,4,3</t>
  </si>
  <si>
    <t>2,3,3,5,2,4,3,5</t>
  </si>
  <si>
    <t>16,12,4,101,2,8,1,5</t>
  </si>
  <si>
    <t>1,2,5,2,5,2,2,3</t>
  </si>
  <si>
    <t>17,209,13,201,4,3,5,2</t>
  </si>
  <si>
    <t>1,1,3,5,5,2,2,2</t>
  </si>
  <si>
    <t>21,14,208,4,201,5,8,2</t>
  </si>
  <si>
    <t>1,3,2,2,5,5,5,4</t>
  </si>
  <si>
    <t>14,12,7,3,8,201,4,2</t>
  </si>
  <si>
    <t>18,20,13,101,4,1,201,2</t>
  </si>
  <si>
    <t>1,1,3,4,3,5,2,2</t>
  </si>
  <si>
    <t>17,19,208,12,14,1,5,2</t>
  </si>
  <si>
    <t>109,18,103,207,209,1,5,2</t>
  </si>
  <si>
    <t>1,1,3,1,2,4,5,5</t>
  </si>
  <si>
    <t>17,109,12,103,5,3,8,201</t>
  </si>
  <si>
    <t>1,1,2,1,2,4,5,2</t>
  </si>
  <si>
    <t>13,12,208,101,3,2,5,7</t>
  </si>
  <si>
    <t>3,2,3,4,4,3,2,4</t>
  </si>
  <si>
    <t>20,208,204,3,7,2,5,8</t>
  </si>
  <si>
    <t>1,2,2,4,5,5,3,3</t>
  </si>
  <si>
    <t>109,208,103,4,5,2,101,201</t>
  </si>
  <si>
    <t>1,1,2,3,4,2,5,3</t>
  </si>
  <si>
    <t>17,12,103,5,7,3,2,4</t>
  </si>
  <si>
    <t>1,2,2,4,4,5,2,3</t>
  </si>
  <si>
    <t>20,208,209,207,201,3,8,2</t>
  </si>
  <si>
    <t>208,209,7,3,1,201,8,5</t>
  </si>
  <si>
    <t>2,2,5,2,5,4,4,5</t>
  </si>
  <si>
    <t>12,204,103,1,7,2,201,8</t>
  </si>
  <si>
    <t>3,2,1,5,2,5,3,5</t>
  </si>
  <si>
    <t>204,3,2,201,5,1,101,8</t>
  </si>
  <si>
    <t>2,3,5,4,3,4,4,4</t>
  </si>
  <si>
    <t>16,208,14,207,13,1,101,201</t>
  </si>
  <si>
    <t>1,3,1,3,1,4,3,5</t>
  </si>
  <si>
    <t>204,207,14,13,1,8,5,3</t>
  </si>
  <si>
    <t>207,3,2,1,101,7,4,8</t>
  </si>
  <si>
    <t>3,3,3,3,4,4,4,4</t>
  </si>
  <si>
    <t>30,14,207,7,8,3,5,101</t>
  </si>
  <si>
    <t>1,3,3,3,3,3,4,5</t>
  </si>
  <si>
    <t>14,204,3,7,8,4,201,2</t>
  </si>
  <si>
    <t>3,3,5,4,4,3,3,4</t>
  </si>
  <si>
    <t>20,109,13,14,103,201,101,3</t>
  </si>
  <si>
    <t>1,1,1,2,2,5,4,5</t>
  </si>
  <si>
    <t>20,17,207,204,3,2,8,7</t>
  </si>
  <si>
    <t>1,1,3,1,3,3,3,4</t>
  </si>
  <si>
    <t>19,103,201,5,3,4,8,2</t>
  </si>
  <si>
    <t>103,208,14,13,8,4,1,101</t>
  </si>
  <si>
    <t>1,2,3,1,5,5,3,4</t>
  </si>
  <si>
    <t>204,207,14,101,3,2,1,4</t>
  </si>
  <si>
    <t>3,1,3,5,5,3,5,5</t>
  </si>
  <si>
    <t>17,20,209,1,3,7,101,8</t>
  </si>
  <si>
    <t>19,109,14,5,8,3,2,201</t>
  </si>
  <si>
    <t>1,1,2,4,5,4,5,4</t>
  </si>
  <si>
    <t>19,1,5,2,7,4,101,3</t>
  </si>
  <si>
    <t>1,3,5,4,3,5,4,5</t>
  </si>
  <si>
    <t>108,3,7,8,4,5,101,2</t>
  </si>
  <si>
    <t>1,3,4,3,4,5,4,5</t>
  </si>
  <si>
    <t>103,1,7,4,3,201,5,8</t>
  </si>
  <si>
    <t>1,4,4,5,5,5,4,3</t>
  </si>
  <si>
    <t>30,101,5,201,7,1,4,2</t>
  </si>
  <si>
    <t>1,5,4,4,5,3,4,5</t>
  </si>
  <si>
    <t>207,204,103,201,3,101,5,1</t>
  </si>
  <si>
    <t>1,3,1,3,5,3,3,5</t>
  </si>
  <si>
    <t>17,208,13,209,12,7,201,3</t>
  </si>
  <si>
    <t>19,17,208,1,4,5,201,101</t>
  </si>
  <si>
    <t>13,5,7,201,4,1,8,101</t>
  </si>
  <si>
    <t>2,5,3,3,4,5,4,5</t>
  </si>
  <si>
    <t>108,19,209,12,14,207,1,8</t>
  </si>
  <si>
    <t>1,1,2,3,1,1,3,3</t>
  </si>
  <si>
    <t>16,20,101,3,8,4,1,7</t>
  </si>
  <si>
    <t>1,1,5,3,3,5,4,5</t>
  </si>
  <si>
    <t>19,207,204,14,209,4,2,5</t>
  </si>
  <si>
    <t>1,3,3,1,2,5,3,3</t>
  </si>
  <si>
    <t>14,13,12,209,2,7,201,4</t>
  </si>
  <si>
    <t>2,1,3,1,3,4,5,3</t>
  </si>
  <si>
    <t>209,3,201,8,101,5,1,4</t>
  </si>
  <si>
    <t>2,3,4,4,3,5,3,5</t>
  </si>
  <si>
    <t>12,204,14,2,8,1,201,101</t>
  </si>
  <si>
    <t>2,3,1,4,5,3,3,4</t>
  </si>
  <si>
    <t>108,201,1,8,5,7,4,2</t>
  </si>
  <si>
    <t>12,209,101,3,201,2,4,5</t>
  </si>
  <si>
    <t>2,3,4,4,5,5,4,4</t>
  </si>
  <si>
    <t>13,103,207,12,4,5,8,201</t>
  </si>
  <si>
    <t>3,3,2,1,4,4,4,3</t>
  </si>
  <si>
    <t>21,17,207,208,5,1,7,201</t>
  </si>
  <si>
    <t>13,12,204,3,7,1,2,101</t>
  </si>
  <si>
    <t>2,3,2,5,3,4,4,4</t>
  </si>
  <si>
    <t>16,209,12,14,204,3,5,8</t>
  </si>
  <si>
    <t>1,1,2,2,2,4,4,5</t>
  </si>
  <si>
    <t>13,7,5,2,4,1,201,101</t>
  </si>
  <si>
    <t>3,3,5,5,4,3,5,5</t>
  </si>
  <si>
    <t>108,204,208,207,14,101,7,201</t>
  </si>
  <si>
    <t>2,3,7,8,5,201,1,101</t>
  </si>
  <si>
    <t>5,3,3,4,3,3,5,5</t>
  </si>
  <si>
    <t>18,109,14,4,101,1,8,5</t>
  </si>
  <si>
    <t>1,1,1,4,4,4,5,5</t>
  </si>
  <si>
    <t>17,21,204,8,2,7,1,101</t>
  </si>
  <si>
    <t>1,1,1,4,5,5,5,4</t>
  </si>
  <si>
    <t>20,12,13,201,1,5,8,2</t>
  </si>
  <si>
    <t>21,207,14,209,101,5,7,3</t>
  </si>
  <si>
    <t>1,3,3,1,5,5,3,4</t>
  </si>
  <si>
    <t>209,204,13,14,8,5,201,7</t>
  </si>
  <si>
    <t>2,1,3,3,3,5,3,3</t>
  </si>
  <si>
    <t>103,204,207,208,201,101,3,2</t>
  </si>
  <si>
    <t>3,1,3,1,4,5,5,3</t>
  </si>
  <si>
    <t>17,101,3,7,2,1,201,8</t>
  </si>
  <si>
    <t>1,4,3,5,4,5,4,5</t>
  </si>
  <si>
    <t>207,14,103,3,1,201,8,101</t>
  </si>
  <si>
    <t>3,3,1,4,3,5,5,3</t>
  </si>
  <si>
    <t>14,3,2,1,101,8,201,5</t>
  </si>
  <si>
    <t>2,4,3,3,5,3,3,5</t>
  </si>
  <si>
    <t>18,13,12,207,103,2,3,7</t>
  </si>
  <si>
    <t>1,3,2,2,1,4,3,5</t>
  </si>
  <si>
    <t>2,101,201,4,5,3,7,8</t>
  </si>
  <si>
    <t>5,3,5,3,5,5,4,5</t>
  </si>
  <si>
    <t>30,8,1,5,7,3,4,201</t>
  </si>
  <si>
    <t>1,3,5,3,5,3,4,3</t>
  </si>
  <si>
    <t>209,204,13,103,4,7,8,2</t>
  </si>
  <si>
    <t>2,3,1,1,3,5,4,3</t>
  </si>
  <si>
    <t>109,101,4,3,7,2,8,201</t>
  </si>
  <si>
    <t>1,4,3,3,5,5,4,3</t>
  </si>
  <si>
    <t>204,209,7,5,1,3,8,101</t>
  </si>
  <si>
    <t>19,109,208,201,7,8,3,1</t>
  </si>
  <si>
    <t>1,1,2,5,4,4,3,5</t>
  </si>
  <si>
    <t>20,7,8,2,201,1,101,4</t>
  </si>
  <si>
    <t>1,4,5,4,5,4,3,5</t>
  </si>
  <si>
    <t>208,209,14,204,101,201,1,7</t>
  </si>
  <si>
    <t>3,3,1,2,4,4,3,4</t>
  </si>
  <si>
    <t>12,1,4,3,201,5,7,8</t>
  </si>
  <si>
    <t>2,4,4,3,3,3,5,3</t>
  </si>
  <si>
    <t>21,13,12,207,208,101,3,4</t>
  </si>
  <si>
    <t>1,2,1,3,3,5,3,5</t>
  </si>
  <si>
    <t>204,13,103,209,101,1,2,4</t>
  </si>
  <si>
    <t>13,207,201,5,3,7,8,1</t>
  </si>
  <si>
    <t>2,3,4,4,4,3,5,4</t>
  </si>
  <si>
    <t>13,209,207,12,101,8,201,3</t>
  </si>
  <si>
    <t>3,1,3,2,3,5,3,5</t>
  </si>
  <si>
    <t>16,109,103,13,12,209,5,1</t>
  </si>
  <si>
    <t>1,1,1,2,2,2,5,5</t>
  </si>
  <si>
    <t>204,209,2,8,3,101,4,1</t>
  </si>
  <si>
    <t>2,1,3,4,3,3,3,3</t>
  </si>
  <si>
    <t>21,207,12,1,201,3,2,7</t>
  </si>
  <si>
    <t>1,3,1,5,3,5,4,4</t>
  </si>
  <si>
    <t>30,209,14,7,3,201,4,8</t>
  </si>
  <si>
    <t>207,209,103,14,101,201,2,7</t>
  </si>
  <si>
    <t>2,3,3,2,5,3,5,3</t>
  </si>
  <si>
    <t>109,21,12,3,201,4,8,101</t>
  </si>
  <si>
    <t>101,4,201,3,7,5,1,2</t>
  </si>
  <si>
    <t>4,4,4,5,5,5,4,3</t>
  </si>
  <si>
    <t>21,101,8,7,4,2,201,1</t>
  </si>
  <si>
    <t>1,3,5,4,5,3,5,4</t>
  </si>
  <si>
    <t>14,209,207,201,2,1,8,3</t>
  </si>
  <si>
    <t>3,1,2,4,5,5,3,5</t>
  </si>
  <si>
    <t>109,14,8,3,7,101,201,1</t>
  </si>
  <si>
    <t>14,207,2,3,4,101,1,5</t>
  </si>
  <si>
    <t>1,3,4,4,3,4,5,4</t>
  </si>
  <si>
    <t>13,208,209,5,101,3,4,7</t>
  </si>
  <si>
    <t>2,1,2,3,3,5,4,3</t>
  </si>
  <si>
    <t>101,7,8,2,3,1,5,4</t>
  </si>
  <si>
    <t>4,3,4,3,5,3,5,5</t>
  </si>
  <si>
    <t>19,207,209,103,204,2,3,1</t>
  </si>
  <si>
    <t>1,3,3,1,3,5,4,5</t>
  </si>
  <si>
    <t>19,18,103,12,207,1,5,2</t>
  </si>
  <si>
    <t>1,1,1,2,3,3,5,4</t>
  </si>
  <si>
    <t>17,207,208,12,1,7,101,2</t>
  </si>
  <si>
    <t>21,109,207,1,5,2,8,101</t>
  </si>
  <si>
    <t>1,1,1,5,3,4,5,4</t>
  </si>
  <si>
    <t>12,209,14,13,1,101,4,201</t>
  </si>
  <si>
    <t>2,3,2,1,5,4,4,3</t>
  </si>
  <si>
    <t>207,14,4,201,8,101,1,3</t>
  </si>
  <si>
    <t>1,1,4,4,4,5,5,5</t>
  </si>
  <si>
    <t>210,14,103,13,208,1,2,101</t>
  </si>
  <si>
    <t>1,1,1,1,1,5,5,3</t>
  </si>
  <si>
    <t>20,1,8,201,7,101,4,2</t>
  </si>
  <si>
    <t>1,5,4,5,3,3,5,4</t>
  </si>
  <si>
    <t>21,108,14,2,5,1,201,8</t>
  </si>
  <si>
    <t>1,1,3,5,5,3,4,3</t>
  </si>
  <si>
    <t>204,103,209,12,201,101,1,5</t>
  </si>
  <si>
    <t>2,2,1,2,3,5,3,4</t>
  </si>
  <si>
    <t>12,101,3,2,8,1,7,5</t>
  </si>
  <si>
    <t>3,3,4,3,4,5,5,3</t>
  </si>
  <si>
    <t>16,210,208,14,103,2,101,4</t>
  </si>
  <si>
    <t>19,108,207,12,201,1,3,4</t>
  </si>
  <si>
    <t>1,1,3,1,4,4,4,3</t>
  </si>
  <si>
    <t>12,8,1,4,2,3,5,101</t>
  </si>
  <si>
    <t>2,5,4,4,5,5,3,5</t>
  </si>
  <si>
    <t>17,204,14,3,5,101,7,1</t>
  </si>
  <si>
    <t>1,2,3,3,4,4,4,5</t>
  </si>
  <si>
    <t>108,210,7,5,8,101,201,4</t>
  </si>
  <si>
    <t>1,1,5,3,5,3,3,5</t>
  </si>
  <si>
    <t>19,109,7,4,1,8,2,101</t>
  </si>
  <si>
    <t>1,1,3,5,3,5,3,4</t>
  </si>
  <si>
    <t>12,207,3,101,5,4,201,7</t>
  </si>
  <si>
    <t>1,3,4,5,4,5,5,3</t>
  </si>
  <si>
    <t>7,4,5,101,3,1,2,201</t>
  </si>
  <si>
    <t>18,17,209,208,207,1,8,3</t>
  </si>
  <si>
    <t>30,210,17,209,12,103,208,1</t>
  </si>
  <si>
    <t>1,1,1,3,3,3,1,5</t>
  </si>
  <si>
    <t>204,13,12,209,4,8,5,7</t>
  </si>
  <si>
    <t>3,1,1,1,5,3,5,4</t>
  </si>
  <si>
    <t>21,17,13,208,12,207,1,4</t>
  </si>
  <si>
    <t>1,1,1,2,3,2,4,5</t>
  </si>
  <si>
    <t>103,204,5,3,201,4,1,101</t>
  </si>
  <si>
    <t>3,2,3,4,5,5,5,5</t>
  </si>
  <si>
    <t>18,103,12,101,201,7,1,8</t>
  </si>
  <si>
    <t>1,2,2,3,5,4,5,5</t>
  </si>
  <si>
    <t>19,21,8,7,3,101,2,1</t>
  </si>
  <si>
    <t>1,1,5,5,4,3,3,3</t>
  </si>
  <si>
    <t>101,5,201,1,7,8,4,3</t>
  </si>
  <si>
    <t>5,5,3,4,3,5,4,3</t>
  </si>
  <si>
    <t>103,4,7,8,3,201,5,1</t>
  </si>
  <si>
    <t>2,4,4,5,5,4,3,5</t>
  </si>
  <si>
    <t>210,109,209,1,7,101,4,8</t>
  </si>
  <si>
    <t>1,1,3,3,4,3,3,5</t>
  </si>
  <si>
    <t>1,7,8,5,101,3,201,4</t>
  </si>
  <si>
    <t>3,4,3,5,3,4,4,5</t>
  </si>
  <si>
    <t>20,16,103,207,12,204,3,8</t>
  </si>
  <si>
    <t>13,12,209,204,5,7,2,3</t>
  </si>
  <si>
    <t>204,13,103,14,2,5,4,8</t>
  </si>
  <si>
    <t>3,2,2,2,4,4,5,4</t>
  </si>
  <si>
    <t>109,19,103,14,5,7,3,8</t>
  </si>
  <si>
    <t>1,1,1,2,5,4,3,4</t>
  </si>
  <si>
    <t>21,204,12,1,2,8,4,3</t>
  </si>
  <si>
    <t>1,2,1,5,3,5,5,5</t>
  </si>
  <si>
    <t>109,12,204,207,209,5,3,7</t>
  </si>
  <si>
    <t>209,208,101,7,4,3,2,1</t>
  </si>
  <si>
    <t>12,5,4,101,8,201,3,2</t>
  </si>
  <si>
    <t>2,4,4,4,4,3,4,5</t>
  </si>
  <si>
    <t>16,210,207,13,8,5,101,7</t>
  </si>
  <si>
    <t>4,8,2,5,3,201,101,7</t>
  </si>
  <si>
    <t>3,5,4,4,3,4,3,3</t>
  </si>
  <si>
    <t>204,103,14,209,8,5,201,1</t>
  </si>
  <si>
    <t>2,3,2,2,5,3,3,3</t>
  </si>
  <si>
    <t>20,14,209,204,3,201,8,7</t>
  </si>
  <si>
    <t>1,2,3,3,5,4,3,4</t>
  </si>
  <si>
    <t>21,13,14,208,7,2,101,1</t>
  </si>
  <si>
    <t>1,1,2,3,3,5,5,3</t>
  </si>
  <si>
    <t>17,209,103,3,101,2,1,8</t>
  </si>
  <si>
    <t>1,2,1,4,3,3,4,3</t>
  </si>
  <si>
    <t>207,103,209,13,4,1,101,5</t>
  </si>
  <si>
    <t>1,3,2,3,3,4,3,5</t>
  </si>
  <si>
    <t>209,103,13,2,201,3,7,5</t>
  </si>
  <si>
    <t>3,3,3,4,5,5,5,5</t>
  </si>
  <si>
    <t>13,101,8,201,5,2,1,4</t>
  </si>
  <si>
    <t>3,5,4,4,3,4,4,3</t>
  </si>
  <si>
    <t>207,12,14,209,1,3,101,5</t>
  </si>
  <si>
    <t>3,2,3,2,3,3,5,4</t>
  </si>
  <si>
    <t>109,108,204,3,7,101,8,4</t>
  </si>
  <si>
    <t>1,1,3,3,3,3,5,3</t>
  </si>
  <si>
    <t>16,8,3,1,5,4,2,7</t>
  </si>
  <si>
    <t>210,20,208,201,8,2,1,5</t>
  </si>
  <si>
    <t>1,1,3,5,4,3,4,3</t>
  </si>
  <si>
    <t>109,21,207,103,14,4,7,1</t>
  </si>
  <si>
    <t>1,1,3,2,1,5,4,5</t>
  </si>
  <si>
    <t>3,101,5,4,7,1,8,201</t>
  </si>
  <si>
    <t>4,3,5,5,4,5,4,5</t>
  </si>
  <si>
    <t>101,201,8,5,2,4,1,3</t>
  </si>
  <si>
    <t>5,4,4,4,3,5,5,4</t>
  </si>
  <si>
    <t>17,201,5,4,7,2,8,101</t>
  </si>
  <si>
    <t>1,4,3,5,4,5,5,4</t>
  </si>
  <si>
    <t>19,108,12,14,204,209,5,8</t>
  </si>
  <si>
    <t>1,1,2,3,2,3,5,4</t>
  </si>
  <si>
    <t>17,20,103,209,14,101,5,8</t>
  </si>
  <si>
    <t>208,8,3,2,4,101,201,7</t>
  </si>
  <si>
    <t>3,4,4,3,3,4,3,4</t>
  </si>
  <si>
    <t>4,3,101,2,201,1,5,8</t>
  </si>
  <si>
    <t>3,4,5,5,4,5,3,3</t>
  </si>
  <si>
    <t>103,2,8,7,201,5,101,1</t>
  </si>
  <si>
    <t>3,3,5,5,3,3,4,4</t>
  </si>
  <si>
    <t>4,8,2,5,7,201,1,3</t>
  </si>
  <si>
    <t>4,3,5,5,4,5,3,4</t>
  </si>
  <si>
    <t>209,13,14,12,101,4,2,8</t>
  </si>
  <si>
    <t>2,1,3,1,3,4,4,5</t>
  </si>
  <si>
    <t>210,17,12,14,7,201,5,3</t>
  </si>
  <si>
    <t>1,1,2,1,3,4,5,5</t>
  </si>
  <si>
    <t>17,108,204,103,209,8,7,201</t>
  </si>
  <si>
    <t>210,12,208,209,14,2,7,8</t>
  </si>
  <si>
    <t>13,5,101,3,8,201,7,2</t>
  </si>
  <si>
    <t>2,5,4,5,5,4,3,4</t>
  </si>
  <si>
    <t>17,18,207,14,2,1,3,7</t>
  </si>
  <si>
    <t>1,1,1,1,5,3,5,5</t>
  </si>
  <si>
    <t>19,12,209,14,207,101,1,8</t>
  </si>
  <si>
    <t>1,2,3,3,2,5,4,4</t>
  </si>
  <si>
    <t>109,19,209,12,207,4,8,2</t>
  </si>
  <si>
    <t>209,8,201,4,3,2,101,5</t>
  </si>
  <si>
    <t>2,4,5,4,5,3,4,4</t>
  </si>
  <si>
    <t>19,16,208,7,2,1,8,5</t>
  </si>
  <si>
    <t>1,1,1,3,4,4,5,3</t>
  </si>
  <si>
    <t>19,14,208,13,12,8,101,4</t>
  </si>
  <si>
    <t>1,1,3,3,2,5,5,5</t>
  </si>
  <si>
    <t>20,17,207,208,13,2,201,5</t>
  </si>
  <si>
    <t>1,1,3,1,2,5,3,3</t>
  </si>
  <si>
    <t>16,13,14,3,4,201,7,8</t>
  </si>
  <si>
    <t>1,3,2,3,3,3,5,5</t>
  </si>
  <si>
    <t>109,2,7,4,101,8,3,5</t>
  </si>
  <si>
    <t>1,5,4,3,4,3,5,5</t>
  </si>
  <si>
    <t>209,12,103,5,4,7,201,3</t>
  </si>
  <si>
    <t>2,1,1,4,3,4,4,3</t>
  </si>
  <si>
    <t>21,13,209,7,2,3,201,4</t>
  </si>
  <si>
    <t>1,3,1,5,3,3,4,5</t>
  </si>
  <si>
    <t>21,2,1,8,3,4,101,201</t>
  </si>
  <si>
    <t>1,4,5,5,5,5,3,5</t>
  </si>
  <si>
    <t>109,19,208,204,13,8,3,1</t>
  </si>
  <si>
    <t>16,21,13,209,5,201,8,101</t>
  </si>
  <si>
    <t>1,1,3,2,5,3,5,5</t>
  </si>
  <si>
    <t>109,14,7,101,5,1,8,3</t>
  </si>
  <si>
    <t>210,17,208,12,101,201,1,5</t>
  </si>
  <si>
    <t>12,207,7,2,101,3,5,1</t>
  </si>
  <si>
    <t>3,3,5,4,4,5,3,4</t>
  </si>
  <si>
    <t>8,1,3,4,2,201,5,7</t>
  </si>
  <si>
    <t>4,4,3,5,3,3,3,4</t>
  </si>
  <si>
    <t>103,204,208,209,2,201,8,1</t>
  </si>
  <si>
    <t>1,1,2,3,5,3,5,3</t>
  </si>
  <si>
    <t>16,18,101,3,4,2,7,1</t>
  </si>
  <si>
    <t>1,1,5,3,5,3,3,4</t>
  </si>
  <si>
    <t>13,209,103,208,5,7,2,8</t>
  </si>
  <si>
    <t>1,1,2,2,5,5,5,4</t>
  </si>
  <si>
    <t>5,2,1,4,7,8,101,3</t>
  </si>
  <si>
    <t>5,3,5,4,5,4,3,3</t>
  </si>
  <si>
    <t>209,12,101,7,1,5,3,201</t>
  </si>
  <si>
    <t>3,3,3,5,3,4,3,4</t>
  </si>
  <si>
    <t>210,5,3,8,201,101,2,4</t>
  </si>
  <si>
    <t>1,4,3,4,5,3,3,3</t>
  </si>
  <si>
    <t>13,201,5,7,4,101,2,1</t>
  </si>
  <si>
    <t>3,5,4,5,5,4,3,5</t>
  </si>
  <si>
    <t>210,207,1,101,2,201,7,4</t>
  </si>
  <si>
    <t>1,3,5,3,5,5,5,3</t>
  </si>
  <si>
    <t>210,204,207,13,103,7,5,201</t>
  </si>
  <si>
    <t>1,2,3,2,1,5,4,5</t>
  </si>
  <si>
    <t>17,109,14,103,204,209,8,201</t>
  </si>
  <si>
    <t>19,14,209,204,13,201,101,2</t>
  </si>
  <si>
    <t>16,7,5,1,4,201,3,8</t>
  </si>
  <si>
    <t>1,5,5,5,4,3,5,5</t>
  </si>
  <si>
    <t>108,21,103,209,204,3,5,101</t>
  </si>
  <si>
    <t>1,1,3,3,3,3,4,3</t>
  </si>
  <si>
    <t>17,20,208,2,101,5,201,4</t>
  </si>
  <si>
    <t>14,207,208,13,5,4,8,101</t>
  </si>
  <si>
    <t>3,2,2,2,3,5,3,3</t>
  </si>
  <si>
    <t>109,18,2,8,201,4,1,7</t>
  </si>
  <si>
    <t>19,20,208,13,2,5,3,101</t>
  </si>
  <si>
    <t>1,1,1,2,5,4,3,5</t>
  </si>
  <si>
    <t>1,3,5,2,4,201,101,8</t>
  </si>
  <si>
    <t>5,3,3,5,3,3,4,4</t>
  </si>
  <si>
    <t>21,17,201,101,5,1,7,2</t>
  </si>
  <si>
    <t>16,207,14,7,101,201,3,4</t>
  </si>
  <si>
    <t>1,1,2,3,4,4,5,3</t>
  </si>
  <si>
    <t>207,12,204,103,101,201,8,7</t>
  </si>
  <si>
    <t>2,3,2,2,4,4,4,5</t>
  </si>
  <si>
    <t>12,103,208,1,3,101,4,5</t>
  </si>
  <si>
    <t>1,2,2,3,5,5,3,5</t>
  </si>
  <si>
    <t>17,109,103,13,4,1,201,7</t>
  </si>
  <si>
    <t>1,1,1,3,5,5,3,3</t>
  </si>
  <si>
    <t>5,101,4,3,2,8,7,201</t>
  </si>
  <si>
    <t>3,4,3,4,5,3,5,4</t>
  </si>
  <si>
    <t>101,201,2,7,1,8,3,5</t>
  </si>
  <si>
    <t>3,3,4,5,4,3,5,3</t>
  </si>
  <si>
    <t>14,101,201,7,5,1,3,8</t>
  </si>
  <si>
    <t>2,4,4,3,4,3,3,3</t>
  </si>
  <si>
    <t>3,4,2,8,1,101,5,7</t>
  </si>
  <si>
    <t>4,5,3,4,3,5,3,5</t>
  </si>
  <si>
    <t>14,103,13,208,101,5,201,1</t>
  </si>
  <si>
    <t>2,2,2,3,4,3,5,3</t>
  </si>
  <si>
    <t>2,8,7,3,5,201,1,101</t>
  </si>
  <si>
    <t>5,3,5,3,4,5,4,3</t>
  </si>
  <si>
    <t>20,210,12,5,3,7,101,8</t>
  </si>
  <si>
    <t>5,3,2,7,101,1,201,4</t>
  </si>
  <si>
    <t>5,3,5,5,4,3,3,4</t>
  </si>
  <si>
    <t>18,14,5,201,2,7,4,3</t>
  </si>
  <si>
    <t>1,2,3,5,4,5,3,3</t>
  </si>
  <si>
    <t>209,103,12,14,1,3,5,7</t>
  </si>
  <si>
    <t>3,1,2,1,3,4,4,4</t>
  </si>
  <si>
    <t>16,109,3,7,8,4,101,1</t>
  </si>
  <si>
    <t>1,1,5,4,3,5,3,5</t>
  </si>
  <si>
    <t>201,4,2,8,5,101,1,7</t>
  </si>
  <si>
    <t>5,3,5,3,4,4,3,4</t>
  </si>
  <si>
    <t>14,1,201,5,7,2,3,101</t>
  </si>
  <si>
    <t>2,5,3,3,4,4,3,3</t>
  </si>
  <si>
    <t>109,19,1,2,201,3,101,8</t>
  </si>
  <si>
    <t>1,1,4,3,4,3,3,4</t>
  </si>
  <si>
    <t>5,101,3,1,4,2,7,8</t>
  </si>
  <si>
    <t>3,3,3,3,5,3,3,3</t>
  </si>
  <si>
    <t>207,13,14,204,101,8,7,3</t>
  </si>
  <si>
    <t>1,3,3,2,3,3,4,3</t>
  </si>
  <si>
    <t>207,208,3,7,1,101,8,2</t>
  </si>
  <si>
    <t>2,3,3,3,3,4,5,5</t>
  </si>
  <si>
    <t>208,209,204,13,101,201,1,8</t>
  </si>
  <si>
    <t>3,1,2,1,3,3,4,3</t>
  </si>
  <si>
    <t>103,12,208,209,201,5,101,1</t>
  </si>
  <si>
    <t>3,2,3,1,4,3,5,3</t>
  </si>
  <si>
    <t>13,1,3,8,201,101,7,5</t>
  </si>
  <si>
    <t>1,3,3,5,3,3,4,5</t>
  </si>
  <si>
    <t>17,201,3,5,4,101,8,1</t>
  </si>
  <si>
    <t>1,3,3,4,5,5,4,3</t>
  </si>
  <si>
    <t>16,13,12,4,3,7,2,8</t>
  </si>
  <si>
    <t>1,3,1,3,5,4,5,5</t>
  </si>
  <si>
    <t>109,209,8,5,1,4,7,101</t>
  </si>
  <si>
    <t>1,2,3,3,4,5,4,3</t>
  </si>
  <si>
    <t>12,103,7,4,2,201,8,101</t>
  </si>
  <si>
    <t>2,2,3,4,3,3,5,4</t>
  </si>
  <si>
    <t>19,14,12,1,8,3,7,201</t>
  </si>
  <si>
    <t>108,17,14,8,3,1,4,101</t>
  </si>
  <si>
    <t>1,1,3,4,5,5,3,3</t>
  </si>
  <si>
    <t>14,208,2,201,101,1,8,5</t>
  </si>
  <si>
    <t>2,1,4,4,4,4,5,3</t>
  </si>
  <si>
    <t>4,5,8,201,2,7,3,1</t>
  </si>
  <si>
    <t>12,101,8,2,3,1,4,7</t>
  </si>
  <si>
    <t>3,5,5,3,4,4,4,3</t>
  </si>
  <si>
    <t>208,207,209,14,5,201,2,3</t>
  </si>
  <si>
    <t>1,2,2,2,4,4,4,3</t>
  </si>
  <si>
    <t>12,14,103,3,7,101,201,1</t>
  </si>
  <si>
    <t>3,2,1,4,5,5,5,3</t>
  </si>
  <si>
    <t>209,207,1,2,201,4,5,101</t>
  </si>
  <si>
    <t>3,1,4,5,5,4,4,5</t>
  </si>
  <si>
    <t>16,109,12,14,208,7,3,101</t>
  </si>
  <si>
    <t>19,17,209,208,13,12,7,4</t>
  </si>
  <si>
    <t>1,1,2,3,1,3,4,4</t>
  </si>
  <si>
    <t>109,21,204,14,12,13,4,7</t>
  </si>
  <si>
    <t>108,7,5,3,4,101,8,201</t>
  </si>
  <si>
    <t>1,5,4,5,4,3,5,4</t>
  </si>
  <si>
    <t>17,210,209,13,14,208,3,4</t>
  </si>
  <si>
    <t>12,103,1,7,5,201,3,8</t>
  </si>
  <si>
    <t>3,1,5,3,4,4,4,3</t>
  </si>
  <si>
    <t>12,103,5,1,201,7,3,8</t>
  </si>
  <si>
    <t>1,2,3,4,5,5,3,3</t>
  </si>
  <si>
    <t>30,2,5,3,101,4,7,8</t>
  </si>
  <si>
    <t>20,209,14,207,3,4,101,201</t>
  </si>
  <si>
    <t>19,12,207,209,14,3,2,8</t>
  </si>
  <si>
    <t>1,2,2,1,1,3,4,3</t>
  </si>
  <si>
    <t>16,21,14,5,8,7,4,201</t>
  </si>
  <si>
    <t>1,1,1,4,5,4,3,3</t>
  </si>
  <si>
    <t>210,18,2,101,4,8,5,1</t>
  </si>
  <si>
    <t>1,1,3,3,5,5,4,4</t>
  </si>
  <si>
    <t>17,109,2,1,7,4,3,101</t>
  </si>
  <si>
    <t>1,1,4,4,3,3,5,4</t>
  </si>
  <si>
    <t>5,4,7,101,1,2,8,201</t>
  </si>
  <si>
    <t>5,4,5,5,3,4,5,4</t>
  </si>
  <si>
    <t>108,1,101,7,4,201,2,8</t>
  </si>
  <si>
    <t>1,3,5,5,3,3,5,5</t>
  </si>
  <si>
    <t>21,207,12,103,13,3,4,8</t>
  </si>
  <si>
    <t>1,3,1,3,1,3,5,4</t>
  </si>
  <si>
    <t>17,20,201,3,1,7,4,101</t>
  </si>
  <si>
    <t>1,1,5,4,5,3,5,5</t>
  </si>
  <si>
    <t>3,101,8,2,1,201,5,7</t>
  </si>
  <si>
    <t>5,5,4,5,4,5,4,5</t>
  </si>
  <si>
    <t>16,109,103,7,5,201,101,8</t>
  </si>
  <si>
    <t>1,1,2,4,3,5,3,4</t>
  </si>
  <si>
    <t>20,204,12,208,209,3,7,201</t>
  </si>
  <si>
    <t>1,1,2,2,2,4,5,4</t>
  </si>
  <si>
    <t>18,109,101,3,1,5,201,8</t>
  </si>
  <si>
    <t>1,1,5,5,4,4,4,3</t>
  </si>
  <si>
    <t>108,20,13,14,5,201,7,3</t>
  </si>
  <si>
    <t>210,207,209,103,4,101,201,1</t>
  </si>
  <si>
    <t>1,2,3,2,4,4,5,3</t>
  </si>
  <si>
    <t>209,7,1,2,201,4,8,5</t>
  </si>
  <si>
    <t>2,5,5,3,5,4,5,3</t>
  </si>
  <si>
    <t>109,18,1,8,4,7,101,5</t>
  </si>
  <si>
    <t>1,1,3,4,3,3,4,4</t>
  </si>
  <si>
    <t>16,19,13,12,1,101,4,7</t>
  </si>
  <si>
    <t>13,201,5,4,7,3,2,1</t>
  </si>
  <si>
    <t>3,3,3,4,3,4,5,3</t>
  </si>
  <si>
    <t>16,108,204,14,208,209,5,7</t>
  </si>
  <si>
    <t>1,1,1,1,3,3,4,5</t>
  </si>
  <si>
    <t>204,208,12,103,1,2,5,7</t>
  </si>
  <si>
    <t>2,3,3,2,5,3,4,4</t>
  </si>
  <si>
    <t>209,204,14,201,8,2,1,101</t>
  </si>
  <si>
    <t>1,3,1,5,4,4,5,4</t>
  </si>
  <si>
    <t>207,3,2,8,101,1,4,7</t>
  </si>
  <si>
    <t>2,4,4,5,5,3,5,5</t>
  </si>
  <si>
    <t>108,17,201,1,3,101,5,2</t>
  </si>
  <si>
    <t>1,1,3,3,5,4,3,5</t>
  </si>
  <si>
    <t>108,209,207,101,1,4,7,2</t>
  </si>
  <si>
    <t>1,2,1,5,4,3,4,3</t>
  </si>
  <si>
    <t>30,17,14,208,101,7,5,1</t>
  </si>
  <si>
    <t>1,1,1,3,4,5,3,3</t>
  </si>
  <si>
    <t>4,8,2,101,1,7,5,3</t>
  </si>
  <si>
    <t>4,5,3,4,3,3,4,4</t>
  </si>
  <si>
    <t>18,201,1,101,7,5,4,8</t>
  </si>
  <si>
    <t>204,207,13,103,2,8,101,4</t>
  </si>
  <si>
    <t>2,2,1,1,3,3,5,5</t>
  </si>
  <si>
    <t>18,17,208,13,103,2,4,3</t>
  </si>
  <si>
    <t>101,5,4,7,8,201,1,2</t>
  </si>
  <si>
    <t>3,5,4,3,5,5,4,4</t>
  </si>
  <si>
    <t>103,12,101,4,5,8,2,201</t>
  </si>
  <si>
    <t>1,2,3,4,4,3,5,4</t>
  </si>
  <si>
    <t>21,2,3,201,4,5,1,8</t>
  </si>
  <si>
    <t>1,3,3,4,4,4,5,3</t>
  </si>
  <si>
    <t>108,209,13,103,101,5,201,7</t>
  </si>
  <si>
    <t>1,2,2,2,3,5,5,4</t>
  </si>
  <si>
    <t>19,210,103,207,204,14,1,5</t>
  </si>
  <si>
    <t>4,101,2,8,201,1,5,3</t>
  </si>
  <si>
    <t>3,3,4,5,4,4,5,3</t>
  </si>
  <si>
    <t>19,18,12,7,4,3,2,5</t>
  </si>
  <si>
    <t>1,1,1,5,5,5,4,4</t>
  </si>
  <si>
    <t>210,13,207,209,4,7,8,2</t>
  </si>
  <si>
    <t>1,2,1,1,5,5,3,4</t>
  </si>
  <si>
    <t>201,4,3,101,2,5,8,1</t>
  </si>
  <si>
    <t>3,5,5,4,5,4,3,5</t>
  </si>
  <si>
    <t>16,2,3,201,4,101,7,8</t>
  </si>
  <si>
    <t>1,4,3,3,3,4,5,4</t>
  </si>
  <si>
    <t>101,3,8,7,5,2,1,4</t>
  </si>
  <si>
    <t>5,4,5,4,3,5,4,4</t>
  </si>
  <si>
    <t>19,103,14,8,4,1,201,5</t>
  </si>
  <si>
    <t>1,3,3,5,3,5,5,4</t>
  </si>
  <si>
    <t>21,12,101,8,3,201,7,5</t>
  </si>
  <si>
    <t>1,2,4,3,5,4,3,3</t>
  </si>
  <si>
    <t>12,103,209,204,4,7,5,8</t>
  </si>
  <si>
    <t>3,3,3,2,3,3,4,3</t>
  </si>
  <si>
    <t>16,209,12,207,204,8,7,4</t>
  </si>
  <si>
    <t>1,3,3,3,1,5,4,5</t>
  </si>
  <si>
    <t>3,7,201,1,101,2,4,8</t>
  </si>
  <si>
    <t>5,5,4,5,5,5,4,4</t>
  </si>
  <si>
    <t>20,13,12,101,201,8,4,2</t>
  </si>
  <si>
    <t>1,1,2,3,3,4,5,3</t>
  </si>
  <si>
    <t>103,7,201,8,1,2,5,3</t>
  </si>
  <si>
    <t>19,108,14,204,7,4,1,8</t>
  </si>
  <si>
    <t>1,1,2,3,4,5,3,5</t>
  </si>
  <si>
    <t>108,2,1,101,7,3,201,8</t>
  </si>
  <si>
    <t>1,5,4,3,5,4,3,4</t>
  </si>
  <si>
    <t>210,207,208,103,101,201,2,8</t>
  </si>
  <si>
    <t>20,209,12,208,7,8,1,3</t>
  </si>
  <si>
    <t>1,1,3,3,4,3,5,5</t>
  </si>
  <si>
    <t>21,12,13,208,14,4,201,7</t>
  </si>
  <si>
    <t>1,3,3,2,2,4,4,4</t>
  </si>
  <si>
    <t>108,208,207,204,12,1,7,4</t>
  </si>
  <si>
    <t>1,1,2,1,1,5,5,3</t>
  </si>
  <si>
    <t>12,204,201,2,8,7,4,1</t>
  </si>
  <si>
    <t>1,3,4,3,5,4,3,5</t>
  </si>
  <si>
    <t>20,13,3,101,2,1,5,8</t>
  </si>
  <si>
    <t>1,2,3,5,4,5,4,4</t>
  </si>
  <si>
    <t>17,14,207,13,101,8,201,4</t>
  </si>
  <si>
    <t>1,2,1,3,3,4,5,4</t>
  </si>
  <si>
    <t>16,1,7,5,3,2,101,201</t>
  </si>
  <si>
    <t>1,3,4,5,5,5,5,3</t>
  </si>
  <si>
    <t>13,204,201,101,2,1,4,5</t>
  </si>
  <si>
    <t>3,3,3,4,3,4,4,3</t>
  </si>
  <si>
    <t>19,12,209,204,101,3,8,201</t>
  </si>
  <si>
    <t>1,2,2,1,3,4,5,3</t>
  </si>
  <si>
    <t>21,18,208,204,3,4,2,201</t>
  </si>
  <si>
    <t>208,13,204,1,2,101,201,8</t>
  </si>
  <si>
    <t>2,1,2,5,3,3,5,5</t>
  </si>
  <si>
    <t>109,208,209,204,14,8,4,5</t>
  </si>
  <si>
    <t>1,3,3,3,3,4,5,4</t>
  </si>
  <si>
    <t>207,103,4,201,1,5,2,101</t>
  </si>
  <si>
    <t>3,1,3,3,5,5,5,5</t>
  </si>
  <si>
    <t>109,108,103,14,13,4,8,1</t>
  </si>
  <si>
    <t>210,21,12,207,208,14,3,8</t>
  </si>
  <si>
    <t>103,12,208,204,7,4,5,3</t>
  </si>
  <si>
    <t>1,2,2,1,5,5,5,3</t>
  </si>
  <si>
    <t>21,16,14,12,207,13,201,5</t>
  </si>
  <si>
    <t>1,1,2,2,1,1,4,4</t>
  </si>
  <si>
    <t>101,1,5,8,3,7,2,201</t>
  </si>
  <si>
    <t>5,5,4,5,5,3,3,3</t>
  </si>
  <si>
    <t>12,4,2,8,7,5,1,101</t>
  </si>
  <si>
    <t>1,3,3,5,4,5,5,5</t>
  </si>
  <si>
    <t>13,207,12,204,7,8,201,4</t>
  </si>
  <si>
    <t>2,1,2,2,5,4,3,4</t>
  </si>
  <si>
    <t>14,208,209,12,4,101,8,2</t>
  </si>
  <si>
    <t>3,1,3,1,5,3,3,4</t>
  </si>
  <si>
    <t>18,19,1,4,7,201,3,101</t>
  </si>
  <si>
    <t>1,1,3,3,4,4,3,4</t>
  </si>
  <si>
    <t>18,108,209,201,4,5,101,1</t>
  </si>
  <si>
    <t>1,1,3,3,5,5,5,5</t>
  </si>
  <si>
    <t>12,207,13,3,101,1,5,8</t>
  </si>
  <si>
    <t>2,2,1,3,5,5,5,5</t>
  </si>
  <si>
    <t>103,207,12,13,4,3,1,8</t>
  </si>
  <si>
    <t>2,2,1,1,5,3,4,4</t>
  </si>
  <si>
    <t>204,209,103,14,101,7,8,5</t>
  </si>
  <si>
    <t>1,3,2,3,3,3,5,4</t>
  </si>
  <si>
    <t>30,21,5,4,8,201,2,7</t>
  </si>
  <si>
    <t>12,207,14,101,201,8,1,5</t>
  </si>
  <si>
    <t>3,1,2,3,3,4,5,5</t>
  </si>
  <si>
    <t>209,3,7,4,8,5,101,201</t>
  </si>
  <si>
    <t>3,5,4,4,4,3,3,3</t>
  </si>
  <si>
    <t>208,103,204,201,8,4,2,7</t>
  </si>
  <si>
    <t>103,204,7,2,8,5,1,4</t>
  </si>
  <si>
    <t>2,2,4,4,5,3,5,3</t>
  </si>
  <si>
    <t>19,21,13,14,208,201,101,4</t>
  </si>
  <si>
    <t>30,103,7,201,101,8,5,2</t>
  </si>
  <si>
    <t>1,2,5,5,4,4,3,5</t>
  </si>
  <si>
    <t>16,12,208,204,13,3,5,101</t>
  </si>
  <si>
    <t>16,12,103,209,208,201,1,101</t>
  </si>
  <si>
    <t>1,1,1,2,3,5,5,5</t>
  </si>
  <si>
    <t>109,207,12,208,1,8,5,2</t>
  </si>
  <si>
    <t>1,1,3,3,3,3,3,4</t>
  </si>
  <si>
    <t>20,19,103,13,7,2,3,1</t>
  </si>
  <si>
    <t>1,1,2,2,3,4,3,5</t>
  </si>
  <si>
    <t>16,5,201,1,3,4,8,7</t>
  </si>
  <si>
    <t>108,18,208,204,103,13,101,3</t>
  </si>
  <si>
    <t>20,208,14,3,1,101,5,201</t>
  </si>
  <si>
    <t>14,12,207,204,8,5,1,3</t>
  </si>
  <si>
    <t>1,3,2,1,5,4,5,4</t>
  </si>
  <si>
    <t>208,8,5,201,3,2,1,7</t>
  </si>
  <si>
    <t>1,5,3,5,5,3,5,3</t>
  </si>
  <si>
    <t>16,13,7,1,201,101,3,4</t>
  </si>
  <si>
    <t>20,109,209,103,14,13,7,4</t>
  </si>
  <si>
    <t>1,1,1,2,1,3,5,4</t>
  </si>
  <si>
    <t>207,13,12,209,8,2,7,201</t>
  </si>
  <si>
    <t>3,2,1,1,4,3,5,4</t>
  </si>
  <si>
    <t>18,16,209,12,103,101,8,1</t>
  </si>
  <si>
    <t>17,204,209,1,201,2,7,101</t>
  </si>
  <si>
    <t>1,3,2,5,3,5,4,3</t>
  </si>
  <si>
    <t>13,209,4,101,7,1,201,5</t>
  </si>
  <si>
    <t>1,1,5,5,3,4,5,5</t>
  </si>
  <si>
    <t>17,3,201,8,1,7,101,4</t>
  </si>
  <si>
    <t>1,5,3,5,5,4,3,4</t>
  </si>
  <si>
    <t>13,204,103,12,4,3,7,8</t>
  </si>
  <si>
    <t>1,2,2,3,4,3,5,3</t>
  </si>
  <si>
    <t>21,19,14,13,8,2,7,5</t>
  </si>
  <si>
    <t>1,1,3,2,4,4,3,4</t>
  </si>
  <si>
    <t>2,201,4,101,3,5,7,8</t>
  </si>
  <si>
    <t>5,3,4,5,4,5,5,3</t>
  </si>
  <si>
    <t>17,210,204,3,201,8,5,7</t>
  </si>
  <si>
    <t>20,109,13,4,3,1,5,101</t>
  </si>
  <si>
    <t>1,1,2,4,4,5,4,4</t>
  </si>
  <si>
    <t>103,209,207,208,4,8,5,101</t>
  </si>
  <si>
    <t>2,2,2,1,3,5,3,3</t>
  </si>
  <si>
    <t>103,13,12,1,4,101,7,3</t>
  </si>
  <si>
    <t>1,3,1,4,5,5,3,5</t>
  </si>
  <si>
    <t>12,103,207,3,8,101,7,1</t>
  </si>
  <si>
    <t>1,1,3,3,4,4,3,3</t>
  </si>
  <si>
    <t>30,14,209,207,7,5,8,3</t>
  </si>
  <si>
    <t>1,1,1,1,4,4,5,4</t>
  </si>
  <si>
    <t>17,20,13,208,12,3,8,5</t>
  </si>
  <si>
    <t>18,14,7,2,5,201,101,8</t>
  </si>
  <si>
    <t>1,2,4,5,4,5,3,3</t>
  </si>
  <si>
    <t>209,207,5,4,1,101,3,2</t>
  </si>
  <si>
    <t>2,2,4,4,3,4,5,3</t>
  </si>
  <si>
    <t>17,14,4,3,101,7,1,5</t>
  </si>
  <si>
    <t>1,3,3,5,3,4,3,3</t>
  </si>
  <si>
    <t>21,207,204,12,8,1,7,2</t>
  </si>
  <si>
    <t>1,2,2,1,5,4,4,4</t>
  </si>
  <si>
    <t>12,209,7,3,8,201,4,2</t>
  </si>
  <si>
    <t>1,1,4,3,4,5,4,3</t>
  </si>
  <si>
    <t>3,2,101,7,5,201,8,1</t>
  </si>
  <si>
    <t>3,4,5,5,4,3,3,4</t>
  </si>
  <si>
    <t>207,14,12,5,2,4,8,101</t>
  </si>
  <si>
    <t>3,2,1,4,3,3,5,5</t>
  </si>
  <si>
    <t>20,12,13,204,201,101,1,8</t>
  </si>
  <si>
    <t>1,3,2,1,5,3,4,3</t>
  </si>
  <si>
    <t>18,208,207,12,5,1,7,201</t>
  </si>
  <si>
    <t>1,3,1,1,3,4,4,5</t>
  </si>
  <si>
    <t>19,17,101,2,201,7,4,8</t>
  </si>
  <si>
    <t>109,21,14,12,204,13,3,201</t>
  </si>
  <si>
    <t>1,1,2,2,3,1,4,5</t>
  </si>
  <si>
    <t>18,204,103,209,208,5,1,3</t>
  </si>
  <si>
    <t>1,2,3,3,1,3,5,4</t>
  </si>
  <si>
    <t>207,8,2,1,3,5,201,101</t>
  </si>
  <si>
    <t>3,4,4,5,3,4,4,3</t>
  </si>
  <si>
    <t>13,204,12,201,7,3,4,1</t>
  </si>
  <si>
    <t>2,2,3,3,5,5,5,3</t>
  </si>
  <si>
    <t>209,2,3,1,4,7,101,201</t>
  </si>
  <si>
    <t>3,5,3,3,4,3,5,3</t>
  </si>
  <si>
    <t>109,14,103,207,7,5,101,3</t>
  </si>
  <si>
    <t>1,1,2,1,5,4,3,3</t>
  </si>
  <si>
    <t>204,208,4,101,5,8,7,2</t>
  </si>
  <si>
    <t>3,1,5,3,4,3,5,3</t>
  </si>
  <si>
    <t>13,204,208,4,3,2,5,101</t>
  </si>
  <si>
    <t>2,3,3,4,5,3,5,4</t>
  </si>
  <si>
    <t>16,108,209,12,1,201,5,2</t>
  </si>
  <si>
    <t>1,1,3,2,5,3,5,4</t>
  </si>
  <si>
    <t>16,18,12,208,13,201,2,7</t>
  </si>
  <si>
    <t>1,1,2,1,2,5,4,4</t>
  </si>
  <si>
    <t>13,4,2,8,3,5,101,201</t>
  </si>
  <si>
    <t>2,5,3,5,3,3,3,5</t>
  </si>
  <si>
    <t>7,3,4,1,2,8,5,201</t>
  </si>
  <si>
    <t>6,5,3,5,6,5,4,6</t>
  </si>
  <si>
    <t>19,16,12,207,201,3,7,5</t>
  </si>
  <si>
    <t>1,1,1,2,5,5,5,6</t>
  </si>
  <si>
    <t>17,210,13,14,12,201,1,5</t>
  </si>
  <si>
    <t>1,1,4,1,2,5,5,4</t>
  </si>
  <si>
    <t>13,12,208,207,3,101,1,5</t>
  </si>
  <si>
    <t>1,4,1,2,3,3,4,4</t>
  </si>
  <si>
    <t>210,20,208,5,4,2,8,1</t>
  </si>
  <si>
    <t>1,1,2,6,6,4,4,4</t>
  </si>
  <si>
    <t>210,20,13,208,12,101,8,7</t>
  </si>
  <si>
    <t>1,1,4,1,3,5,5,3</t>
  </si>
  <si>
    <t>21,103,207,204,13,2,1,5</t>
  </si>
  <si>
    <t>1,1,1,3,3,5,4,3</t>
  </si>
  <si>
    <t>16,207,12,14,209,2,3,5</t>
  </si>
  <si>
    <t>1,2,2,4,4,4,4,3</t>
  </si>
  <si>
    <t>30,20,109,204,13,7,5,2</t>
  </si>
  <si>
    <t>1,1,1,4,4,6,6,5</t>
  </si>
  <si>
    <t>19,17,101,3,4,5,2,201</t>
  </si>
  <si>
    <t>1,1,4,3,5,5,5,3</t>
  </si>
  <si>
    <t>109,21,209,13,208,2,8,101</t>
  </si>
  <si>
    <t>1,1,1,3,1,4,4,4</t>
  </si>
  <si>
    <t>18,4,7,1,101,2,8,201</t>
  </si>
  <si>
    <t>1,6,5,6,5,4,6,5</t>
  </si>
  <si>
    <t>103,12,208,1,2,5,201,3</t>
  </si>
  <si>
    <t>3,3,4,3,5,4,5,5</t>
  </si>
  <si>
    <t>210,12,201,2,3,5,8,101</t>
  </si>
  <si>
    <t>1,3,6,5,5,6,4,5</t>
  </si>
  <si>
    <t>109,103,8,101,5,3,1,2</t>
  </si>
  <si>
    <t>1,4,6,4,4,5,6,4</t>
  </si>
  <si>
    <t>17,209,103,12,5,201,4,1</t>
  </si>
  <si>
    <t>1,4,1,2,4,5,3,3</t>
  </si>
  <si>
    <t>12,208,13,2,1,8,101,5</t>
  </si>
  <si>
    <t>1,2,1,5,6,4,3,6</t>
  </si>
  <si>
    <t>20,103,14,204,4,8,101,201</t>
  </si>
  <si>
    <t>1,4,4,4,5,4,5,6</t>
  </si>
  <si>
    <t>210,14,103,207,204,3,5,1</t>
  </si>
  <si>
    <t>1,4,3,1,2,4,3,3</t>
  </si>
  <si>
    <t>21,101,7,3,4,1,201,2</t>
  </si>
  <si>
    <t>1,4,5,3,4,3,6,6</t>
  </si>
  <si>
    <t>109,16,209,13,12,204,7,5</t>
  </si>
  <si>
    <t>1,1,4,4,3,1,4,4</t>
  </si>
  <si>
    <t>108,21,204,5,3,2,101,201</t>
  </si>
  <si>
    <t>1,1,1,3,5,6,5,3</t>
  </si>
  <si>
    <t>21,210,12,207,208,103,201,4</t>
  </si>
  <si>
    <t>1,1,4,2,3,2,3,5</t>
  </si>
  <si>
    <t>20,21,12,13,14,8,101,1</t>
  </si>
  <si>
    <t>210,109,208,8,7,1,201,2</t>
  </si>
  <si>
    <t>1,1,1,3,6,3,6,6</t>
  </si>
  <si>
    <t>12,209,201,8,1,4,101,3</t>
  </si>
  <si>
    <t>2,4,5,6,5,5,3,4</t>
  </si>
  <si>
    <t>16,204,4,201,3,8,2,5</t>
  </si>
  <si>
    <t>1,3,6,3,6,3,3,3</t>
  </si>
  <si>
    <t>208,2,1,3,7,8,201,101</t>
  </si>
  <si>
    <t>1,6,4,3,5,3,6,6</t>
  </si>
  <si>
    <t>21,12,207,8,101,4,5,1</t>
  </si>
  <si>
    <t>1,1,3,4,5,4,6,6</t>
  </si>
  <si>
    <t>109,17,4,8,5,3,101,7</t>
  </si>
  <si>
    <t>17,209,208,103,7,2,5,201</t>
  </si>
  <si>
    <t>1,2,1,1,3,3,5,6</t>
  </si>
  <si>
    <t>103,204,13,209,4,201,7,101</t>
  </si>
  <si>
    <t>4,3,3,2,6,5,3,5</t>
  </si>
  <si>
    <t>201,2,5,101,8,7,1,3</t>
  </si>
  <si>
    <t>3,4,5,3,4,5,3,6</t>
  </si>
  <si>
    <t>7,101,5,3,8,4,1,2</t>
  </si>
  <si>
    <t>4,3,3,6,6,6,3,3</t>
  </si>
  <si>
    <t>109,21,13,204,103,1,201,2</t>
  </si>
  <si>
    <t>1,1,1,4,1,6,5,5</t>
  </si>
  <si>
    <t>207,208,3,5,4,7,101,201</t>
  </si>
  <si>
    <t>1,2,4,5,6,3,4,5</t>
  </si>
  <si>
    <t>13,14,4,2,7,101,3,201</t>
  </si>
  <si>
    <t>2,1,6,6,6,4,3,4</t>
  </si>
  <si>
    <t>16,204,13,14,5,7,201,3</t>
  </si>
  <si>
    <t>1,3,4,2,4,5,5,6</t>
  </si>
  <si>
    <t>4,101,5,7,8,1,2,3</t>
  </si>
  <si>
    <t>5,6,5,5,4,4,6,3</t>
  </si>
  <si>
    <t>103,201,5,4,8,1,2,3</t>
  </si>
  <si>
    <t>2,6,4,4,4,6,5,5</t>
  </si>
  <si>
    <t>103,4,8,2,5,1,101,3</t>
  </si>
  <si>
    <t>3,6,4,3,4,6,6,4</t>
  </si>
  <si>
    <t>18,17,101,5,3,8,201,2</t>
  </si>
  <si>
    <t>1,1,6,4,5,3,5,4</t>
  </si>
  <si>
    <t>201,4,3,1,7,2,8,5</t>
  </si>
  <si>
    <t>6,6,5,6,3,4,4,3</t>
  </si>
  <si>
    <t>14,12,101,4,3,2,7,5</t>
  </si>
  <si>
    <t>2,1,6,4,6,3,4,3</t>
  </si>
  <si>
    <t>16,12,13,14,208,4,3,5</t>
  </si>
  <si>
    <t>1,3,3,2,1,6,5,4</t>
  </si>
  <si>
    <t>18,13,12,208,103,201,1,4</t>
  </si>
  <si>
    <t>1,4,4,2,4,4,4,3</t>
  </si>
  <si>
    <t>207,14,103,2,4,3,201,101</t>
  </si>
  <si>
    <t>4,2,4,6,3,5,5,3</t>
  </si>
  <si>
    <t>19,13,204,209,14,5,8,4</t>
  </si>
  <si>
    <t>1,2,1,2,2,5,4,3</t>
  </si>
  <si>
    <t>21,207,5,4,101,1,7,201</t>
  </si>
  <si>
    <t>1,4,4,4,5,6,6,4</t>
  </si>
  <si>
    <t>204,103,13,208,3,8,201,5</t>
  </si>
  <si>
    <t>2,4,2,3,4,4,5,6</t>
  </si>
  <si>
    <t>210,18,208,14,209,103,5,3</t>
  </si>
  <si>
    <t>1,1,4,2,2,4,5,3</t>
  </si>
  <si>
    <t>17,14,13,4,5,2,3,101</t>
  </si>
  <si>
    <t>1,4,2,5,5,6,6,4</t>
  </si>
  <si>
    <t>7,3,1,8,5,4,201,2</t>
  </si>
  <si>
    <t>6,4,3,5,3,6,6,5</t>
  </si>
  <si>
    <t>17,210,208,13,204,12,3,7</t>
  </si>
  <si>
    <t>1,1,2,1,4,1,6,4</t>
  </si>
  <si>
    <t>21,16,208,207,12,4,1,101</t>
  </si>
  <si>
    <t>1,1,1,2,2,6,3,5</t>
  </si>
  <si>
    <t>17,20,13,4,5,1,3,7</t>
  </si>
  <si>
    <t>1,1,2,4,4,6,4,4</t>
  </si>
  <si>
    <t>20,7,4,3,5,2,101,1</t>
  </si>
  <si>
    <t>1,6,4,3,6,5,6,3</t>
  </si>
  <si>
    <t>108,21,2,3,5,4,101,1</t>
  </si>
  <si>
    <t>1,1,3,6,3,4,6,4</t>
  </si>
  <si>
    <t>18,103,13,208,101,3,1,8</t>
  </si>
  <si>
    <t>1,2,3,4,5,6,6,4</t>
  </si>
  <si>
    <t>19,21,14,103,207,12,7,101</t>
  </si>
  <si>
    <t>1,1,3,4,3,4,6,6</t>
  </si>
  <si>
    <t>108,16,209,201,7,1,8,101</t>
  </si>
  <si>
    <t>1,1,4,6,5,4,6,3</t>
  </si>
  <si>
    <t>209,14,13,5,3,7,8,201</t>
  </si>
  <si>
    <t>3,2,3,4,5,6,4,4</t>
  </si>
  <si>
    <t>209,13,14,4,5,8,2,3</t>
  </si>
  <si>
    <t>1,3,1,6,4,5,3,4</t>
  </si>
  <si>
    <t>30,21,103,12,13,14,1,201</t>
  </si>
  <si>
    <t>1,1,2,3,1,3,6,6</t>
  </si>
  <si>
    <t>17,20,12,208,209,8,101,4</t>
  </si>
  <si>
    <t>16,207,14,208,12,5,7,1</t>
  </si>
  <si>
    <t>1,1,1,1,2,6,3,5</t>
  </si>
  <si>
    <t>208,204,14,13,4,101,8,5</t>
  </si>
  <si>
    <t>3,1,2,3,4,4,3,3</t>
  </si>
  <si>
    <t>208,14,207,4,3,5,101,8</t>
  </si>
  <si>
    <t>2,2,2,6,5,3,3,3</t>
  </si>
  <si>
    <t>21,210,207,5,4,1,7,8</t>
  </si>
  <si>
    <t>1,1,4,6,4,5,3,4</t>
  </si>
  <si>
    <t>109,108,8,3,101,7,5,1</t>
  </si>
  <si>
    <t>1,1,5,3,3,5,6,4</t>
  </si>
  <si>
    <t>19,7,1,5,101,201,2,3</t>
  </si>
  <si>
    <t>1,3,6,4,6,4,4,4</t>
  </si>
  <si>
    <t>13,7,2,4,1,101,201,3</t>
  </si>
  <si>
    <t>1,6,3,5,3,3,4,6</t>
  </si>
  <si>
    <t>108,103,204,13,207,4,3,5</t>
  </si>
  <si>
    <t>1,2,1,3,2,4,6,5</t>
  </si>
  <si>
    <t>17,13,208,14,12,4,7,3</t>
  </si>
  <si>
    <t>1,4,3,3,2,3,4,5</t>
  </si>
  <si>
    <t>17,14,208,2,3,7,5,4</t>
  </si>
  <si>
    <t>1,2,4,6,4,3,4,5</t>
  </si>
  <si>
    <t>207,8,5,4,1,3,201,101</t>
  </si>
  <si>
    <t>1,6,5,5,4,5,3,5</t>
  </si>
  <si>
    <t>204,103,14,2,7,5,3,101</t>
  </si>
  <si>
    <t>2,1,2,6,5,6,5,3</t>
  </si>
  <si>
    <t>16,12,207,14,103,101,4,3</t>
  </si>
  <si>
    <t>108,209,204,12,207,5,3,8</t>
  </si>
  <si>
    <t>1,2,4,3,1,5,3,4</t>
  </si>
  <si>
    <t>16,109,7,4,3,201,8,5</t>
  </si>
  <si>
    <t>1,1,5,6,6,4,5,5</t>
  </si>
  <si>
    <t>21,14,209,204,7,3,8,2</t>
  </si>
  <si>
    <t>1,2,2,4,5,5,3,5</t>
  </si>
  <si>
    <t>3,1,101,4,5,8,2,7</t>
  </si>
  <si>
    <t>108,209,103,12,5,1,7,4</t>
  </si>
  <si>
    <t>1,2,3,3,3,3,4,6</t>
  </si>
  <si>
    <t>19,17,14,12,207,208,8,4</t>
  </si>
  <si>
    <t>1,1,4,1,1,3,5,4</t>
  </si>
  <si>
    <t>16,109,204,12,14,101,2,8</t>
  </si>
  <si>
    <t>1,1,4,3,4,5,4,6</t>
  </si>
  <si>
    <t>18,19,208,14,12,13,201,8</t>
  </si>
  <si>
    <t>1,1,3,2,4,3,3,6</t>
  </si>
  <si>
    <t>209,12,8,4,101,3,7,2</t>
  </si>
  <si>
    <t>3,3,4,6,3,3,6,3</t>
  </si>
  <si>
    <t>21,17,208,13,103,4,1,201</t>
  </si>
  <si>
    <t>1,1,2,2,2,5,4,5</t>
  </si>
  <si>
    <t>204,103,208,14,4,2,101,3</t>
  </si>
  <si>
    <t>4,3,1,4,3,3,5,3</t>
  </si>
  <si>
    <t>14,13,204,207,5,2,101,4</t>
  </si>
  <si>
    <t>1,3,3,3,6,5,3,5</t>
  </si>
  <si>
    <t>109,208,5,7,101,4,3,8</t>
  </si>
  <si>
    <t>1,1,3,3,5,4,5,3</t>
  </si>
  <si>
    <t>103,12,5,4,3,1,2,201</t>
  </si>
  <si>
    <t>3,3,4,3,6,4,5,5</t>
  </si>
  <si>
    <t>204,7,5,201,3,101,8,1</t>
  </si>
  <si>
    <t>3,6,3,6,4,6,5,4</t>
  </si>
  <si>
    <t>108,5,8,3,7,201,4,1</t>
  </si>
  <si>
    <t>1,3,5,6,5,6,4,5</t>
  </si>
  <si>
    <t>12,14,13,204,5,2,8,201</t>
  </si>
  <si>
    <t>2,4,1,2,6,3,3,4</t>
  </si>
  <si>
    <t>21,210,3,4,5,101,2,7</t>
  </si>
  <si>
    <t>210,207,103,201,7,5,1,3</t>
  </si>
  <si>
    <t>1,3,3,3,3,4,3,4</t>
  </si>
  <si>
    <t>17,20,208,14,4,101,1,7</t>
  </si>
  <si>
    <t>1,1,2,1,4,6,4,5</t>
  </si>
  <si>
    <t>8,4,2,5,3,1,101,201</t>
  </si>
  <si>
    <t>6,4,3,3,6,5,4,3</t>
  </si>
  <si>
    <t>16,17,12,13,201,3,2,1</t>
  </si>
  <si>
    <t>1,1,1,3,3,4,3,5</t>
  </si>
  <si>
    <t>103,207,209,204,8,7,3,2</t>
  </si>
  <si>
    <t>4,2,3,2,3,5,6,6</t>
  </si>
  <si>
    <t>109,17,209,12,1,7,5,2</t>
  </si>
  <si>
    <t>1,1,3,3,6,4,4,6</t>
  </si>
  <si>
    <t>13,209,207,204,1,5,7,101</t>
  </si>
  <si>
    <t>4,4,1,3,5,6,6,5</t>
  </si>
  <si>
    <t>5,4,2,8,7,1,101,201</t>
  </si>
  <si>
    <t>4,3,3,5,3,4,3,5</t>
  </si>
  <si>
    <t>17,103,12,209,4,3,5,1</t>
  </si>
  <si>
    <t>1,1,2,3,6,3,3,3</t>
  </si>
  <si>
    <t>109,13,1,4,2,8,5,201</t>
  </si>
  <si>
    <t>1,4,6,6,3,3,5,5</t>
  </si>
  <si>
    <t>109,207,5,4,8,7,2,201</t>
  </si>
  <si>
    <t>1,4,5,4,3,3,5,4</t>
  </si>
  <si>
    <t>13,14,207,209,7,3,5,4</t>
  </si>
  <si>
    <t>2,1,3,4,4,6,6,5</t>
  </si>
  <si>
    <t>109,20,13,4,1,5,3,101</t>
  </si>
  <si>
    <t>1,1,1,6,5,3,3,4</t>
  </si>
  <si>
    <t>7,1,2,8,5,3,201,4</t>
  </si>
  <si>
    <t>3,6,3,6,4,6,6,6</t>
  </si>
  <si>
    <t>17,207,12,208,14,1,201,4</t>
  </si>
  <si>
    <t>1,1,3,1,2,6,3,3</t>
  </si>
  <si>
    <t>109,20,209,3,1,2,101,4</t>
  </si>
  <si>
    <t>1,1,4,5,3,4,4,4</t>
  </si>
  <si>
    <t>19,204,103,12,13,7,201,3</t>
  </si>
  <si>
    <t>210,17,12,103,8,101,1,3</t>
  </si>
  <si>
    <t>1,1,3,3,3,5,6,3</t>
  </si>
  <si>
    <t>204,8,3,7,5,2,1,4</t>
  </si>
  <si>
    <t>1,5,3,4,6,4,3,3</t>
  </si>
  <si>
    <t>18,209,208,207,1,101,201,5</t>
  </si>
  <si>
    <t>1,1,2,4,5,3,4,5</t>
  </si>
  <si>
    <t>17,109,13,3,5,2,8,201</t>
  </si>
  <si>
    <t>109,210,4,101,2,5,1,8</t>
  </si>
  <si>
    <t>1,1,3,4,4,6,4,5</t>
  </si>
  <si>
    <t>18,14,208,4,1,5,3,7</t>
  </si>
  <si>
    <t>1,4,3,6,3,6,6,4</t>
  </si>
  <si>
    <t>108,18,207,209,208,103,4,8</t>
  </si>
  <si>
    <t>1,1,4,1,3,4,4,5</t>
  </si>
  <si>
    <t>13,209,207,103,1,4,3,201</t>
  </si>
  <si>
    <t>4,3,3,3,6,6,4,6</t>
  </si>
  <si>
    <t>7,101,1,3,8,4,5,2</t>
  </si>
  <si>
    <t>4,6,4,5,6,5,6,4</t>
  </si>
  <si>
    <t>207,103,201,1,101,8,5,4</t>
  </si>
  <si>
    <t>4,1,3,4,6,4,3,5</t>
  </si>
  <si>
    <t>108,17,1,201,3,7,4,8</t>
  </si>
  <si>
    <t>1,1,3,3,6,4,3,3</t>
  </si>
  <si>
    <t>30,109,13,204,12,103,8,2</t>
  </si>
  <si>
    <t>1,1,2,3,4,1,6,5</t>
  </si>
  <si>
    <t>17,103,12,209,1,2,3,201</t>
  </si>
  <si>
    <t>1,3,2,2,4,4,3,3</t>
  </si>
  <si>
    <t>30,17,19,201,2,3,1,7</t>
  </si>
  <si>
    <t>1,1,1,5,6,5,4,6</t>
  </si>
  <si>
    <t>17,1,101,4,2,201,5,3</t>
  </si>
  <si>
    <t>1,4,5,4,3,4,4,4</t>
  </si>
  <si>
    <t>19,17,208,13,207,12,8,2</t>
  </si>
  <si>
    <t>1,1,1,4,4,2,3,5</t>
  </si>
  <si>
    <t>13,1,8,101,2,201,4,5</t>
  </si>
  <si>
    <t>1,5,5,4,3,5,6,3</t>
  </si>
  <si>
    <t>21,209,2,7,3,5,4,1</t>
  </si>
  <si>
    <t>1,4,3,6,5,4,6,5</t>
  </si>
  <si>
    <t>21,201,2,3,5,7,101,4</t>
  </si>
  <si>
    <t>1,5,4,3,5,5,4,5</t>
  </si>
  <si>
    <t>19,21,12,14,201,8,7,5</t>
  </si>
  <si>
    <t>1,1,3,1,6,4,3,4</t>
  </si>
  <si>
    <t>207,5,4,8,1,7,101,3</t>
  </si>
  <si>
    <t>4,4,5,4,6,4,4,4</t>
  </si>
  <si>
    <t>109,210,207,12,208,201,2,4</t>
  </si>
  <si>
    <t>1,1,2,1,4,5,5,5</t>
  </si>
  <si>
    <t>108,18,208,14,3,4,201,8</t>
  </si>
  <si>
    <t>1,1,3,4,5,4,5,5</t>
  </si>
  <si>
    <t>207,103,14,204,2,7,8,201</t>
  </si>
  <si>
    <t>1,3,4,3,5,5,3,3</t>
  </si>
  <si>
    <t>103,12,1,3,4,201,2,5</t>
  </si>
  <si>
    <t>2,3,5,3,3,3,6,6</t>
  </si>
  <si>
    <t>209,208,13,14,5,101,201,4</t>
  </si>
  <si>
    <t>1,3,1,1,5,4,6,6</t>
  </si>
  <si>
    <t>17,14,12,204,207,8,5,101</t>
  </si>
  <si>
    <t>1,4,2,3,1,5,6,3</t>
  </si>
  <si>
    <t>14,209,12,103,8,1,7,3</t>
  </si>
  <si>
    <t>2,3,1,1,5,4,4,4</t>
  </si>
  <si>
    <t>16,108,13,5,4,7,3,101</t>
  </si>
  <si>
    <t>1,1,1,3,3,6,5,5</t>
  </si>
  <si>
    <t>16,101,3,5,7,4,8,2</t>
  </si>
  <si>
    <t>1,4,4,3,6,5,4,5</t>
  </si>
  <si>
    <t>16,109,3,4,7,2,1,5</t>
  </si>
  <si>
    <t>1,1,4,5,3,6,5,4</t>
  </si>
  <si>
    <t>17,14,204,13,7,1,3,4</t>
  </si>
  <si>
    <t>1,3,4,1,4,3,3,3</t>
  </si>
  <si>
    <t>18,20,12,14,208,209,5,4</t>
  </si>
  <si>
    <t>1,1,1,3,2,3,5,4</t>
  </si>
  <si>
    <t>21,207,14,208,8,2,1,3</t>
  </si>
  <si>
    <t>1,1,3,2,6,5,6,3</t>
  </si>
  <si>
    <t>108,103,12,208,101,1,3,7</t>
  </si>
  <si>
    <t>1,4,3,3,4,5,6,6</t>
  </si>
  <si>
    <t>12,208,2,1,8,7,201,5</t>
  </si>
  <si>
    <t>1,4,5,5,5,3,5,5</t>
  </si>
  <si>
    <t>21,20,3,8,1,4,201,101</t>
  </si>
  <si>
    <t>1,1,6,5,6,3,4,5</t>
  </si>
  <si>
    <t>204,10,209,207,101,7,1,5</t>
  </si>
  <si>
    <t>2,3,3,3,6,3,6,3</t>
  </si>
  <si>
    <t>103,208,5,101,201,7,202,1</t>
  </si>
  <si>
    <t>1,1,6,6,3,6,5,4</t>
  </si>
  <si>
    <t>10,201,101,7,4,3,202,5</t>
  </si>
  <si>
    <t>3,3,6,3,3,4,5,4</t>
  </si>
  <si>
    <t>108,207,14,209,3,9,101,5</t>
  </si>
  <si>
    <t>1,1,1,3,4,3,6,4</t>
  </si>
  <si>
    <t>19,103,5,3,1,7,101,4</t>
  </si>
  <si>
    <t>1,3,6,6,3,5,4,5</t>
  </si>
  <si>
    <t>109,17,13,103,207,12,1,4</t>
  </si>
  <si>
    <t>19,20,209,103,13,14,7,101</t>
  </si>
  <si>
    <t>1,1,3,3,4,1,4,6</t>
  </si>
  <si>
    <t>12,4,7,201,1,3,202,101</t>
  </si>
  <si>
    <t>4,3,5,5,6,3,5,4</t>
  </si>
  <si>
    <t>204,7,1,2,201,5,3,8</t>
  </si>
  <si>
    <t>3,3,6,4,6,3,6,3</t>
  </si>
  <si>
    <t>13,3,9,4,2,5,7,101</t>
  </si>
  <si>
    <t>1,4,3,5,3,5,6,4</t>
  </si>
  <si>
    <t>16,207,12,204,10,202,7,8</t>
  </si>
  <si>
    <t>1,1,3,1,3,6,4,5</t>
  </si>
  <si>
    <t>21,108,13,202,5,101,7,2</t>
  </si>
  <si>
    <t>13,204,209,201,4,101,202,5</t>
  </si>
  <si>
    <t>4,2,1,6,5,6,3,4</t>
  </si>
  <si>
    <t>16,103,12,14,13,9,2,3</t>
  </si>
  <si>
    <t>1,1,1,2,3,5,4,3</t>
  </si>
  <si>
    <t>208,204,101,202,3,5,7,8</t>
  </si>
  <si>
    <t>3,1,5,3,4,4,5,3</t>
  </si>
  <si>
    <t>103,9,5,3,2,7,1,4</t>
  </si>
  <si>
    <t>2,6,5,3,3,4,3,5</t>
  </si>
  <si>
    <t>21,108,14,8,2,5,7,9</t>
  </si>
  <si>
    <t>1,1,4,3,4,3,6,4</t>
  </si>
  <si>
    <t>18,210,209,202,201,4,8,9</t>
  </si>
  <si>
    <t>1,1,2,5,5,6,5,5</t>
  </si>
  <si>
    <t>19,16,204,208,12,8,9,1</t>
  </si>
  <si>
    <t>1,1,1,4,4,5,5,5</t>
  </si>
  <si>
    <t>30,20,109,12,103,2,101,3</t>
  </si>
  <si>
    <t>21,18,14,10,12,201,7,5</t>
  </si>
  <si>
    <t>1,1,1,1,2,6,5,6</t>
  </si>
  <si>
    <t>109,21,209,13,101,2,9,5</t>
  </si>
  <si>
    <t>1,1,3,2,5,5,3,6</t>
  </si>
  <si>
    <t>17,109,103,209,208,5,101,9</t>
  </si>
  <si>
    <t>1,1,3,1,3,6,3,4</t>
  </si>
  <si>
    <t>17,109,12,1,9,7,8,3</t>
  </si>
  <si>
    <t>1,1,1,6,6,5,4,5</t>
  </si>
  <si>
    <t>21,12,103,209,5,101,202,1</t>
  </si>
  <si>
    <t>1,1,1,3,4,6,4,6</t>
  </si>
  <si>
    <t>14,9,1,202,3,5,7,2</t>
  </si>
  <si>
    <t>2,5,4,4,4,6,3,3</t>
  </si>
  <si>
    <t>12,14,5,7,8,101,1,201</t>
  </si>
  <si>
    <t>1,4,4,6,4,5,5,4</t>
  </si>
  <si>
    <t>17,18,207,208,202,201,2,4</t>
  </si>
  <si>
    <t>1,1,4,2,4,4,6,3</t>
  </si>
  <si>
    <t>14,202,2,7,5,9,101,3</t>
  </si>
  <si>
    <t>3,6,5,6,3,6,5,3</t>
  </si>
  <si>
    <t>30,17,21,209,103,14,12,8</t>
  </si>
  <si>
    <t>1,1,1,3,2,2,1,4</t>
  </si>
  <si>
    <t>207,103,209,12,4,7,5,202</t>
  </si>
  <si>
    <t>2,4,4,4,4,3,6,5</t>
  </si>
  <si>
    <t>12,209,1,7,202,201,5,4</t>
  </si>
  <si>
    <t>2,2,4,5,6,6,4,5</t>
  </si>
  <si>
    <t>21,20,13,10,7,202,4,5</t>
  </si>
  <si>
    <t>1,1,3,3,5,5,6,4</t>
  </si>
  <si>
    <t>10,209,7,202,2,9,5,4</t>
  </si>
  <si>
    <t>3,1,6,6,6,5,5,4</t>
  </si>
  <si>
    <t>210,20,209,13,208,5,9,8</t>
  </si>
  <si>
    <t>1,1,4,2,3,6,4,5</t>
  </si>
  <si>
    <t>204,14,207,10,9,201,3,2</t>
  </si>
  <si>
    <t>3,3,3,2,3,3,6,6</t>
  </si>
  <si>
    <t>30,10,101,5,8,3,2,7</t>
  </si>
  <si>
    <t>1,4,6,6,3,3,5,3</t>
  </si>
  <si>
    <t>210,108,12,3,4,101,5,9</t>
  </si>
  <si>
    <t>1,1,4,3,3,6,6,4</t>
  </si>
  <si>
    <t>207,209,103,2,202,1,201,9</t>
  </si>
  <si>
    <t>3,3,1,3,5,6,6,4</t>
  </si>
  <si>
    <t>13,10,208,8,2,4,201,202</t>
  </si>
  <si>
    <t>1,2,1,4,4,5,4,4</t>
  </si>
  <si>
    <t>204,13,8,202,2,4,101,5</t>
  </si>
  <si>
    <t>4,1,6,6,5,3,5,3</t>
  </si>
  <si>
    <t>18,12,103,204,10,3,101,5</t>
  </si>
  <si>
    <t>1,4,4,1,4,4,6,5</t>
  </si>
  <si>
    <t>109,19,12,10,1,202,3,5</t>
  </si>
  <si>
    <t>1,1,4,2,5,3,3,3</t>
  </si>
  <si>
    <t>108,109,14,208,209,202,1,2</t>
  </si>
  <si>
    <t>108,18,13,209,14,103,202,7</t>
  </si>
  <si>
    <t>210,13,14,3,8,202,5,7</t>
  </si>
  <si>
    <t>1,1,3,3,6,6,3,5</t>
  </si>
  <si>
    <t>20,109,209,10,207,204,7,2</t>
  </si>
  <si>
    <t>1,1,3,2,4,4,6,4</t>
  </si>
  <si>
    <t>108,12,201,101,9,5,2,202</t>
  </si>
  <si>
    <t>1,3,4,4,4,4,6,5</t>
  </si>
  <si>
    <t>13,103,204,2,1,9,202,7</t>
  </si>
  <si>
    <t>4,4,3,6,4,5,4,4</t>
  </si>
  <si>
    <t>20,109,14,207,204,13,5,201</t>
  </si>
  <si>
    <t>1,1,2,3,1,2,4,3</t>
  </si>
  <si>
    <t>108,12,207,13,1,202,8,3</t>
  </si>
  <si>
    <t>1,1,3,4,6,4,4,6</t>
  </si>
  <si>
    <t>108,106,103,204,10,101,201,7</t>
  </si>
  <si>
    <t>1,1,4,1,4,5,3,4</t>
  </si>
  <si>
    <t>210,106,207,204,1,201,2,8</t>
  </si>
  <si>
    <t>21,109,207,13,101,202,1,3</t>
  </si>
  <si>
    <t>1,1,3,2,4,6,4,3</t>
  </si>
  <si>
    <t>207,208,209,202,201,3,1,2</t>
  </si>
  <si>
    <t>4,1,3,4,4,3,4,3</t>
  </si>
  <si>
    <t>109,207,202,7,101,2,5,4</t>
  </si>
  <si>
    <t>1,1,6,5,6,6,3,3</t>
  </si>
  <si>
    <t>18,22,14,202,101,8,1,5</t>
  </si>
  <si>
    <t>1,1,1,5,5,5,4,6</t>
  </si>
  <si>
    <t>19,204,10,13,1,9,5,101</t>
  </si>
  <si>
    <t>1,2,1,2,5,6,6,3</t>
  </si>
  <si>
    <t>12,101,9,3,202,8,2,201</t>
  </si>
  <si>
    <t>2,3,4,5,6,6,4,6</t>
  </si>
  <si>
    <t>207,14,204,201,101,1,202,2</t>
  </si>
  <si>
    <t>2,4,4,3,3,3,6,6</t>
  </si>
  <si>
    <t>109,205,208,12,13,3,5,2</t>
  </si>
  <si>
    <t>1,2,3,4,1,3,3,3</t>
  </si>
  <si>
    <t>106,13,208,204,9,3,201,4</t>
  </si>
  <si>
    <t>1,1,3,2,3,6,6,6</t>
  </si>
  <si>
    <t>21,16,10,103,12,5,201,3</t>
  </si>
  <si>
    <t>1,1,4,4,2,4,6,4</t>
  </si>
  <si>
    <t>209,204,12,207,1,3,8,2</t>
  </si>
  <si>
    <t>3,1,4,2,6,5,3,6</t>
  </si>
  <si>
    <t>10,208,14,9,2,1,101,8</t>
  </si>
  <si>
    <t>3,3,4,5,5,4,5,4</t>
  </si>
  <si>
    <t>19,106,13,205,207,209,5,8</t>
  </si>
  <si>
    <t>1,1,2,4,4,2,4,6</t>
  </si>
  <si>
    <t>106,18,208,103,14,205,201,4</t>
  </si>
  <si>
    <t>1,1,4,3,3,3,4,6</t>
  </si>
  <si>
    <t>109,12,14,202,101,3,9,2</t>
  </si>
  <si>
    <t>1,1,1,4,5,3,5,5</t>
  </si>
  <si>
    <t>30,10,14,209,204,2,1,5</t>
  </si>
  <si>
    <t>1,2,3,2,3,3,6,5</t>
  </si>
  <si>
    <t>209,205,101,5,2,9,7,8</t>
  </si>
  <si>
    <t>3,1,5,4,6,6,6,3</t>
  </si>
  <si>
    <t>106,19,10,209,12,5,101,201</t>
  </si>
  <si>
    <t>1,1,2,3,1,3,3,3</t>
  </si>
  <si>
    <t>103,14,209,13,202,101,5,4</t>
  </si>
  <si>
    <t>1,1,2,3,4,6,3,6</t>
  </si>
  <si>
    <t>13,1,4,202,101,3,2,8</t>
  </si>
  <si>
    <t>3,6,4,4,6,3,3,5</t>
  </si>
  <si>
    <t>20,13,209,9,5,1,2,3</t>
  </si>
  <si>
    <t>1,1,1,5,4,6,4,3</t>
  </si>
  <si>
    <t>205,8,202,1,201,3,4,7</t>
  </si>
  <si>
    <t>1,6,3,5,5,6,3,3</t>
  </si>
  <si>
    <t>21,103,204,209,207,1,9,5</t>
  </si>
  <si>
    <t>1,4,1,4,3,4,5,4</t>
  </si>
  <si>
    <t>103,208,12,205,5,7,3,1</t>
  </si>
  <si>
    <t>1,2,3,2,3,5,5,4</t>
  </si>
  <si>
    <t>19,109,208,103,3,202,1,201</t>
  </si>
  <si>
    <t>1,1,1,4,4,4,4,5</t>
  </si>
  <si>
    <t>18,108,209,13,201,5,9,4</t>
  </si>
  <si>
    <t>1,1,4,1,4,6,4,6</t>
  </si>
  <si>
    <t>210,204,7,5,2,101,8,1</t>
  </si>
  <si>
    <t>1,1,3,6,4,4,5,6</t>
  </si>
  <si>
    <t>18,22,10,8,202,2,3,101</t>
  </si>
  <si>
    <t>1,1,1,6,6,3,5,4</t>
  </si>
  <si>
    <t>108,205,103,202,9,2,3,5</t>
  </si>
  <si>
    <t>1,3,1,5,4,5,3,6</t>
  </si>
  <si>
    <t>210,19,12,204,202,7,8,3</t>
  </si>
  <si>
    <t>1,1,1,3,5,6,3,6</t>
  </si>
  <si>
    <t>103,204,101,1,8,7,4,202</t>
  </si>
  <si>
    <t>2,3,3,3,4,4,5,3</t>
  </si>
  <si>
    <t>207,5,9,7,1,8,2,201</t>
  </si>
  <si>
    <t>4,3,6,4,6,5,3,3</t>
  </si>
  <si>
    <t>18,14,204,208,201,101,3,5</t>
  </si>
  <si>
    <t>1,3,3,1,3,3,4,6</t>
  </si>
  <si>
    <t>12,103,101,7,3,1,201,2</t>
  </si>
  <si>
    <t>4,4,3,6,3,5,5,6</t>
  </si>
  <si>
    <t>103,208,12,207,201,202,1,9</t>
  </si>
  <si>
    <t>4,1,2,2,4,5,6,4</t>
  </si>
  <si>
    <t>207,10,208,8,201,2,5,1</t>
  </si>
  <si>
    <t>4,1,3,3,5,4,5,5</t>
  </si>
  <si>
    <t>12,13,10,205,5,2,7,1</t>
  </si>
  <si>
    <t>4,3,3,2,6,5,4,5</t>
  </si>
  <si>
    <t>19,18,209,12,7,4,202,201</t>
  </si>
  <si>
    <t>1,1,2,4,6,5,4,6</t>
  </si>
  <si>
    <t>21,106,209,208,12,205,2,9</t>
  </si>
  <si>
    <t>1,1,2,1,2,1,3,4</t>
  </si>
  <si>
    <t>205,2,8,7,1,101,5,3</t>
  </si>
  <si>
    <t>3,5,6,5,4,5,3,3</t>
  </si>
  <si>
    <t>207,12,103,4,202,101,9,2</t>
  </si>
  <si>
    <t>1,3,2,5,6,4,6,5</t>
  </si>
  <si>
    <t>109,12,13,207,8,4,9,1</t>
  </si>
  <si>
    <t>1,4,4,4,5,4,3,4</t>
  </si>
  <si>
    <t>108,18,204,9,3,1,201,7</t>
  </si>
  <si>
    <t>1,1,3,3,6,5,4,3</t>
  </si>
  <si>
    <t>103,209,8,9,5,201,101,7</t>
  </si>
  <si>
    <t>1,2,6,5,3,6,4,6</t>
  </si>
  <si>
    <t>103,204,14,208,101,202,5,1</t>
  </si>
  <si>
    <t>3,3,1,2,6,3,6,4</t>
  </si>
  <si>
    <t>22,14,208,1,202,3,5,4</t>
  </si>
  <si>
    <t>1,2,4,3,4,3,6,6</t>
  </si>
  <si>
    <t>209,204,205,103,8,3,7,5</t>
  </si>
  <si>
    <t>3,4,3,3,5,6,5,3</t>
  </si>
  <si>
    <t>19,106,10,202,201,101,4,2</t>
  </si>
  <si>
    <t>1,1,1,3,4,4,4,4</t>
  </si>
  <si>
    <t>30,106,12,103,204,209,1,101</t>
  </si>
  <si>
    <t>1,1,1,2,4,3,5,5</t>
  </si>
  <si>
    <t>210,14,7,9,2,201,1,5</t>
  </si>
  <si>
    <t>1,4,4,6,5,3,4,3</t>
  </si>
  <si>
    <t>10,202,9,4,1,7,2,8</t>
  </si>
  <si>
    <t>1,4,6,4,6,4,5,6</t>
  </si>
  <si>
    <t>210,22,209,13,207,7,8,1</t>
  </si>
  <si>
    <t>1,1,2,4,4,5,3,6</t>
  </si>
  <si>
    <t>14,4,1,3,9,5,8,201</t>
  </si>
  <si>
    <t>2,5,5,3,5,5,4,3</t>
  </si>
  <si>
    <t>30,108,208,7,4,202,3,101</t>
  </si>
  <si>
    <t>1,1,1,3,5,5,4,3</t>
  </si>
  <si>
    <t>30,17,16,14,1,8,201,101</t>
  </si>
  <si>
    <t>1,1,1,1,5,6,3,4</t>
  </si>
  <si>
    <t>17,13,208,209,4,7,202,8</t>
  </si>
  <si>
    <t>1,2,4,2,4,5,3,6</t>
  </si>
  <si>
    <t>106,12,204,13,7,202,4,5</t>
  </si>
  <si>
    <t>1,3,4,4,6,4,4,5</t>
  </si>
  <si>
    <t>106,208,10,204,103,1,4,7</t>
  </si>
  <si>
    <t>1,4,2,4,2,6,5,6</t>
  </si>
  <si>
    <t>21,22,204,103,3,1,2,7</t>
  </si>
  <si>
    <t>1,1,4,2,3,5,5,6</t>
  </si>
  <si>
    <t>22,13,208,202,3,1,8,4</t>
  </si>
  <si>
    <t>1,3,4,4,4,6,6,3</t>
  </si>
  <si>
    <t>106,108,208,10,3,2,5,4</t>
  </si>
  <si>
    <t>1,1,4,4,5,4,4,5</t>
  </si>
  <si>
    <t>16,10,202,2,4,7,101,1</t>
  </si>
  <si>
    <t>1,2,3,5,6,3,3,6</t>
  </si>
  <si>
    <t>16,204,209,205,9,8,201,4</t>
  </si>
  <si>
    <t>1,1,3,1,4,4,5,3</t>
  </si>
  <si>
    <t>20,18,205,10,103,5,1,8</t>
  </si>
  <si>
    <t>1,1,1,4,4,5,3,4</t>
  </si>
  <si>
    <t>108,14,1,7,3,4,5,8</t>
  </si>
  <si>
    <t>1,3,3,5,6,3,3,4</t>
  </si>
  <si>
    <t>30,19,205,13,207,101,5,1</t>
  </si>
  <si>
    <t>1,1,3,1,2,4,5,3</t>
  </si>
  <si>
    <t>18,22,207,8,5,201,2,101</t>
  </si>
  <si>
    <t>1,1,2,5,4,6,3,4</t>
  </si>
  <si>
    <t>16,10,208,12,207,201,101,9</t>
  </si>
  <si>
    <t>1,4,1,4,2,6,5,6</t>
  </si>
  <si>
    <t>210,19,13,10,201,101,3,202</t>
  </si>
  <si>
    <t>1,1,2,1,3,5,6,6</t>
  </si>
  <si>
    <t>20,106,13,14,207,204,8,201</t>
  </si>
  <si>
    <t>106,210,208,103,10,14,4,8</t>
  </si>
  <si>
    <t>1,1,2,2,1,1,6,3</t>
  </si>
  <si>
    <t>20,21,14,103,8,201,9,1</t>
  </si>
  <si>
    <t>1,1,3,3,6,4,6,4</t>
  </si>
  <si>
    <t>21,18,208,207,13,7,202,101</t>
  </si>
  <si>
    <t>1,1,3,4,2,6,5,5</t>
  </si>
  <si>
    <t>109,21,10,208,14,103,9,8</t>
  </si>
  <si>
    <t>1,1,2,4,4,3,6,6</t>
  </si>
  <si>
    <t>108,21,13,103,5,201,3,8</t>
  </si>
  <si>
    <t>1,1,2,3,4,6,6,4</t>
  </si>
  <si>
    <t>108,21,205,204,5,101,4,1</t>
  </si>
  <si>
    <t>21,13,209,14,202,7,101,5</t>
  </si>
  <si>
    <t>1,4,2,1,6,6,5,3</t>
  </si>
  <si>
    <t>16,10,14,205,2,5,9,202</t>
  </si>
  <si>
    <t>1,2,4,1,3,3,4,3</t>
  </si>
  <si>
    <t>16,21,208,209,4,3,2,9</t>
  </si>
  <si>
    <t>1,1,1,2,3,5,4,6</t>
  </si>
  <si>
    <t>210,18,13,208,103,201,4,3</t>
  </si>
  <si>
    <t>1,1,4,1,2,4,5,4</t>
  </si>
  <si>
    <t>19,10,4,3,8,202,9,2</t>
  </si>
  <si>
    <t>1,4,5,4,4,5,6,5</t>
  </si>
  <si>
    <t>13,2,3,5,9,202,1,8</t>
  </si>
  <si>
    <t>2,5,6,5,3,3,6,4</t>
  </si>
  <si>
    <t>21,12,10,204,103,7,2,9</t>
  </si>
  <si>
    <t>1,4,2,1,3,4,5,4</t>
  </si>
  <si>
    <t>19,12,204,13,8,3,2,5</t>
  </si>
  <si>
    <t>1,3,1,4,3,3,4,5</t>
  </si>
  <si>
    <t>21,22,12,13,9,2,7,1</t>
  </si>
  <si>
    <t>16,210,14,10,204,3,201,5</t>
  </si>
  <si>
    <t>1,1,2,4,2,5,3,6</t>
  </si>
  <si>
    <t>16,19,10,103,207,8,4,202</t>
  </si>
  <si>
    <t>1,1,3,3,2,4,6,3</t>
  </si>
  <si>
    <t>12,201,4,101,1,202,7,9</t>
  </si>
  <si>
    <t>2,6,3,3,4,4,3,3</t>
  </si>
  <si>
    <t>18,205,209,7,9,4,8,5</t>
  </si>
  <si>
    <t>1,1,4,4,6,3,6,3</t>
  </si>
  <si>
    <t>20,108,204,7,101,202,2,1</t>
  </si>
  <si>
    <t>1,1,3,4,3,5,5,6</t>
  </si>
  <si>
    <t>30,108,19,207,14,10,205,8</t>
  </si>
  <si>
    <t>1,1,1,4,2,4,3,6</t>
  </si>
  <si>
    <t>106,210,204,7,101,4,202,9</t>
  </si>
  <si>
    <t>1,1,2,3,3,6,3,5</t>
  </si>
  <si>
    <t>106,109,205,14,13,201,5,101</t>
  </si>
  <si>
    <t>1,1,3,4,4,3,5,6</t>
  </si>
  <si>
    <t>207,101,1,7,5,2,4,8</t>
  </si>
  <si>
    <t>4,6,6,6,4,3,6,4</t>
  </si>
  <si>
    <t>18,210,14,205,4,3,5,9</t>
  </si>
  <si>
    <t>1,1,4,3,5,5,6,4</t>
  </si>
  <si>
    <t>205,207,14,103,2,5,201,202</t>
  </si>
  <si>
    <t>2,1,4,4,5,5,4,3</t>
  </si>
  <si>
    <t>16,18,10,13,14,101,5,202</t>
  </si>
  <si>
    <t>1,1,3,2,2,3,4,5</t>
  </si>
  <si>
    <t>19,208,103,14,1,3,5,101</t>
  </si>
  <si>
    <t>1,1,2,2,4,4,4,5</t>
  </si>
  <si>
    <t>17,18,209,13,208,204,5,101</t>
  </si>
  <si>
    <t>1,1,1,2,4,2,3,5</t>
  </si>
  <si>
    <t>22,204,209,13,207,4,1,9</t>
  </si>
  <si>
    <t>2,4,3,3,4,4,6,7</t>
  </si>
  <si>
    <t>110,21,14,13,10,204,8,102</t>
  </si>
  <si>
    <t>2,1,3,5,3,5,7,5</t>
  </si>
  <si>
    <t>107,108,14,12,3,9,203,5</t>
  </si>
  <si>
    <t>1,2,6,4,6,8,5,7</t>
  </si>
  <si>
    <t>19,205,14,209,204,201,203,5</t>
  </si>
  <si>
    <t>1,4,4,5,6,7,6,6</t>
  </si>
  <si>
    <t>20,210,103,102,9,201,8,2</t>
  </si>
  <si>
    <t>3,2,4,6,8,7,6,8</t>
  </si>
  <si>
    <t>18,109,22,208,12,3,5,1</t>
  </si>
  <si>
    <t>1,1,3,4,3,6,6,5</t>
  </si>
  <si>
    <t>106,10,12,207,205,5,2,7</t>
  </si>
  <si>
    <t>1,5,6,3,5,5,5,8</t>
  </si>
  <si>
    <t>207,15,7,201,2,202,3,9</t>
  </si>
  <si>
    <t>6,5,6,8,7,6,9,8</t>
  </si>
  <si>
    <t>18,206,14,4,203,9,1,8</t>
  </si>
  <si>
    <t>4,5,4,7,6,6,8,6</t>
  </si>
  <si>
    <t>108,210,20,209,206,201,3,2</t>
  </si>
  <si>
    <t>1,1,3,4,7,7,9,9</t>
  </si>
  <si>
    <t>14,202,7,9,5,201,2,102</t>
  </si>
  <si>
    <t>6,9,9,8,9,6,9,7</t>
  </si>
  <si>
    <t>210,19,20,205,12,204,5,9</t>
  </si>
  <si>
    <t>4,1,3,7,6,5,6,9</t>
  </si>
  <si>
    <t>209,208,102,9,8,4,101,1</t>
  </si>
  <si>
    <t>4,4,7,8,7,6,6,9</t>
  </si>
  <si>
    <t>17,16,28,4,202,203,9,101</t>
  </si>
  <si>
    <t>4,4,7,10,10,7,8,10</t>
  </si>
  <si>
    <t>塔</t>
  </si>
  <si>
    <t>箭箭</t>
    <phoneticPr fontId="4" type="noConversion"/>
  </si>
  <si>
    <t>箭箭概率</t>
    <phoneticPr fontId="4" type="noConversion"/>
  </si>
  <si>
    <t>301,302,302</t>
    <phoneticPr fontId="4" type="noConversion"/>
  </si>
  <si>
    <t>103,13,7,2,3,4,101,5</t>
  </si>
  <si>
    <t>103,3,5,1,8,4,2,101</t>
  </si>
  <si>
    <t>1,1,1,3,1,2,2,2</t>
  </si>
  <si>
    <t>1,1,2,3,3,3,1,3</t>
  </si>
  <si>
    <t>1,1,3,3,1,2,3,1</t>
  </si>
  <si>
    <t>1,2,2,3,2,1,3,2</t>
  </si>
  <si>
    <t>1,2,1,3,1,1,3,2</t>
  </si>
  <si>
    <t>1,1,3,2,1,3,3,2</t>
  </si>
  <si>
    <t>1,1,3,2,3,3,1,2</t>
  </si>
  <si>
    <t>1,1,3,1,2,2,2,3</t>
  </si>
  <si>
    <t>1,1,2,2,3,1,3,3</t>
  </si>
  <si>
    <t>1,1,1,3,3,3,1,2</t>
  </si>
  <si>
    <t>2,1,3,3,1,2,1,3</t>
  </si>
  <si>
    <t>1,2,1,4,2,3,4,3</t>
  </si>
  <si>
    <t>1,1,2,3,2,2,3,4</t>
  </si>
  <si>
    <t>1,2,3,2,1,4,3,3</t>
  </si>
  <si>
    <t>1,1,2,1,3,2,4,4</t>
  </si>
  <si>
    <t>1,2,1,1,4,2,4,4</t>
  </si>
  <si>
    <t>1,2,1,3,3,4,3,2</t>
  </si>
  <si>
    <t>2,2,4,3,3,2,3,4</t>
  </si>
  <si>
    <t>1,2,2,2,2,2,4,1</t>
  </si>
  <si>
    <t>1,1,1,2,1,4,3,1</t>
  </si>
  <si>
    <t>1,2,1,3,2,2,4,4</t>
  </si>
  <si>
    <t>1,2,1,2,4,4,3,2</t>
  </si>
  <si>
    <t>1,1,2,2,4,3,3,4</t>
  </si>
  <si>
    <t>1,1,2,2,1,2,3,1</t>
  </si>
  <si>
    <t>1,2,2,3,4,4,2,4</t>
  </si>
  <si>
    <t>2,2,1,4,3,4,4,4</t>
  </si>
  <si>
    <t>1,2,2,2,2,4,4,3</t>
  </si>
  <si>
    <t>1,1,1,4,2,3,3,2</t>
  </si>
  <si>
    <t>2,1,3,4,4,2,3,3</t>
  </si>
  <si>
    <t>1,1,1,4,3,4,2,3</t>
  </si>
  <si>
    <t>1,2,4,2,2,3,3,3</t>
  </si>
  <si>
    <t>2,2,3,4,2,4,3,2</t>
  </si>
  <si>
    <t>2,2,2,3,3,4,2,2</t>
  </si>
  <si>
    <t>1,1,1,3,2,3,2,4</t>
  </si>
  <si>
    <t>2,2,3,3,3,4,3,4</t>
  </si>
  <si>
    <t>1,2,1,3,2,4,4,2</t>
  </si>
  <si>
    <t>1,2,2,2,2,2,4,3</t>
  </si>
  <si>
    <t>1,1,2,3,2,2,2,4</t>
  </si>
  <si>
    <t>2,2,4,3,3,3,4,3</t>
  </si>
  <si>
    <t>2,1,1,2,4,4,4,3</t>
  </si>
  <si>
    <t>2,3,4,2,4,3,2,3</t>
  </si>
  <si>
    <t>1,2,3,4,4,4,3,2</t>
  </si>
  <si>
    <t>1,1,2,4,2,4,2,4</t>
  </si>
  <si>
    <t>2,2,2,4,4,3,3,4</t>
  </si>
  <si>
    <t>2,1,1,2,3,3,4,4</t>
  </si>
  <si>
    <t>1,2,2,3,4,3,2,2</t>
  </si>
  <si>
    <t>1,1,1,1,2,3,2,4</t>
  </si>
  <si>
    <t>1,2,2,1,2,4,2,2</t>
  </si>
  <si>
    <t>1,2,3,2,3,4,3,3</t>
  </si>
  <si>
    <t>1,2,2,2,4,4,3,4</t>
  </si>
  <si>
    <t>1,1,1,2,2,3,4,4</t>
  </si>
  <si>
    <t>2,2,2,3,2,4,4,3</t>
  </si>
  <si>
    <t>1,4,3,4,3,4,4,4</t>
  </si>
  <si>
    <t>2,1,3,4,3,3,2,2</t>
  </si>
  <si>
    <t>1,1,2,4,3,2,2,2</t>
  </si>
  <si>
    <t>2,2,2,2,4,4,2,4</t>
  </si>
  <si>
    <t>1,1,2,1,2,4,4,3</t>
  </si>
  <si>
    <t>1,4,4,2,3,4,2,2</t>
  </si>
  <si>
    <t>1,1,2,1,2,2,3,4</t>
  </si>
  <si>
    <t>1,2,3,2,3,4,2,3</t>
  </si>
  <si>
    <t>1,1,2,4,2,2,3,4</t>
  </si>
  <si>
    <t>1,2,2,4,2,3,2,4</t>
  </si>
  <si>
    <t>2,2,1,3,4,3,4,3</t>
  </si>
  <si>
    <t>1,2,1,3,2,4,4,3</t>
  </si>
  <si>
    <t>1,4,3,2,3,4,3,2</t>
  </si>
  <si>
    <t>1,2,1,3,4,2,4,2</t>
  </si>
  <si>
    <t>2,2,3,3,4,2,3,3</t>
  </si>
  <si>
    <t>2,1,1,2,3,2,4,2</t>
  </si>
  <si>
    <t>2,1,3,4,3,2,3,2</t>
  </si>
  <si>
    <t>1,2,2,1,4,2,2,2</t>
  </si>
  <si>
    <t>2,2,3,2,4,5,5,2</t>
  </si>
  <si>
    <t>1,1,2,3,2,5,4,5</t>
  </si>
  <si>
    <t>1,1,3,2,2,3,5,5</t>
  </si>
  <si>
    <t>1,1,2,3,4,5,2,3</t>
  </si>
  <si>
    <t>1,1,5,4,4,5,3,3</t>
  </si>
  <si>
    <t>1,3,3,1,3,5,3,3</t>
  </si>
  <si>
    <t>1,1,1,1,4,3,2,5</t>
  </si>
  <si>
    <t>1,1,3,3,2,4,3,2</t>
  </si>
  <si>
    <t>2,1,2,3,3,4,5,4</t>
  </si>
  <si>
    <t>1,1,3,2,5,4,4,5</t>
  </si>
  <si>
    <t>1,1,1,3,4,5,5,3</t>
  </si>
  <si>
    <t>1,1,3,1,4,4,2,3</t>
  </si>
  <si>
    <t>1,1,2,1,3,5,3,5</t>
  </si>
  <si>
    <t>1,3,2,2,3,4,2,2</t>
  </si>
  <si>
    <t>1,3,2,2,2,5,4,5</t>
  </si>
  <si>
    <t>1,2,2,4,2,4,4,2</t>
  </si>
  <si>
    <t>1,1,1,4,4,3,3,2</t>
  </si>
  <si>
    <t>1,1,1,2,1,1,4,4</t>
  </si>
  <si>
    <t>1,1,2,1,4,3,5,3</t>
  </si>
  <si>
    <t>1,1,3,2,5,3,4,3</t>
  </si>
  <si>
    <t>1,2,1,5,5,5,4,4</t>
  </si>
  <si>
    <t>2,3,2,3,3,3,4,4</t>
  </si>
  <si>
    <t>3,3,4,4,5,4,4,3</t>
  </si>
  <si>
    <t>1,1,3,3,2,3,4,5</t>
  </si>
  <si>
    <t>1,3,3,5,3,5,3,5</t>
  </si>
  <si>
    <t>1,1,2,2,3,5,5,3</t>
  </si>
  <si>
    <t>1,1,1,3,5,3,3,5</t>
  </si>
  <si>
    <t>1,1,3,3,2,5,4,4</t>
  </si>
  <si>
    <t>1,3,2,3,5,5,5,5</t>
  </si>
  <si>
    <t>1,1,3,2,3,4,5,3</t>
  </si>
  <si>
    <t>1,1,1,1,2,1,4,3</t>
  </si>
  <si>
    <t>1,1,3,5,3,4,5,5</t>
  </si>
  <si>
    <t>1,1,2,3,3,3,5,5</t>
  </si>
  <si>
    <t>1,1,4,3,3,4,6,5</t>
  </si>
  <si>
    <t>1,1,4,4,6,5,3,3</t>
  </si>
  <si>
    <t>1,1,3,2,1,3,5,4</t>
  </si>
  <si>
    <t>1,4,4,4,3,3,4,5</t>
  </si>
  <si>
    <t>1,1,2,1,4,3,3,5</t>
  </si>
  <si>
    <t>1,2,4,2,2,4,4,3</t>
  </si>
  <si>
    <t>1,1,4,4,6,5,3,6</t>
  </si>
  <si>
    <t>13,3,8,1,4,101,5,2</t>
  </si>
  <si>
    <t>13,14,4,2,7,101,5,8</t>
  </si>
  <si>
    <t>1,1,2,3,3,1,1,2</t>
  </si>
  <si>
    <t>1,2,1,1,2,3,2,1</t>
  </si>
  <si>
    <t>1,1,3,3,1,1,2,2</t>
  </si>
  <si>
    <t>1,1,3,3,3,1,2,2</t>
  </si>
  <si>
    <t>1,2,2,2,1,3,1,1</t>
  </si>
  <si>
    <t>1,2,2,3,1,2,2,2</t>
  </si>
  <si>
    <t>2,2,1,2,2,4,3,4</t>
  </si>
  <si>
    <t>2,4,2,4,3,4,3,2</t>
  </si>
  <si>
    <t>1,1,2,1,1,2,4,3</t>
  </si>
  <si>
    <t>1,1,2,1,4,4,3,2</t>
  </si>
  <si>
    <t>2,2,3,2,1,2,1,3</t>
  </si>
  <si>
    <t>1,1,1,1,4,1,3,3</t>
  </si>
  <si>
    <t>1,1,1,3,1,4,2,2</t>
  </si>
  <si>
    <t>1,1,1,1,4,3,4,3</t>
  </si>
  <si>
    <t>1,1,2,4,3,3,4,3</t>
  </si>
  <si>
    <t>1,2,4,2,3,2,3,3</t>
  </si>
  <si>
    <t>2,1,2,4,4,2,2,3</t>
  </si>
  <si>
    <t>2,2,4,4,2,2,2,3</t>
  </si>
  <si>
    <t>1,2,2,2,4,2,4,2</t>
  </si>
  <si>
    <t>2,2,2,4,3,3,4,4</t>
  </si>
  <si>
    <t>2,2,2,2,3,4,2,2</t>
  </si>
  <si>
    <t>1,2,1,4,4,2,4,4</t>
  </si>
  <si>
    <t>1,2,1,3,3,4,2,3</t>
  </si>
  <si>
    <t>1,2,4,3,3,3,2,4</t>
  </si>
  <si>
    <t>2,1,2,3,3,2,4,3</t>
  </si>
  <si>
    <t>2,1,1,4,4,4,2,3</t>
  </si>
  <si>
    <t>1,4,4,4,4,3,4,4</t>
  </si>
  <si>
    <t>1,2,2,2,4,2,4,4</t>
  </si>
  <si>
    <t>1,1,3,3,2,2,4,3</t>
  </si>
  <si>
    <t>1,2,2,3,2,4,3,2</t>
  </si>
  <si>
    <t>1,1,4,4,4,4,4,2</t>
  </si>
  <si>
    <t>1,1,2,3,4,2,4,4</t>
  </si>
  <si>
    <t>1,1,2,1,4,4,2,3</t>
  </si>
  <si>
    <t>1,2,4,3,3,4,4,3</t>
  </si>
  <si>
    <t>2,1,1,3,2,2,2,3</t>
  </si>
  <si>
    <t>2,2,4,4,2,4,2,2</t>
  </si>
  <si>
    <t>2,2,4,4,2,2,2,2</t>
  </si>
  <si>
    <t>2,2,4,2,2,3,2,2</t>
  </si>
  <si>
    <t>2,1,1,2,2,3,3,3</t>
  </si>
  <si>
    <t>1,1,2,1,4,2,3,2</t>
  </si>
  <si>
    <t>1,2,2,1,4,3,2,3</t>
  </si>
  <si>
    <t>1,2,2,4,3,4,2,2</t>
  </si>
  <si>
    <t>2,2,3,2,4,3,4,4</t>
  </si>
  <si>
    <t>2,2,3,2,4,2,2,3</t>
  </si>
  <si>
    <t>1,1,1,3,2,4,3,3</t>
  </si>
  <si>
    <t>1,2,3,3,4,3,4,3</t>
  </si>
  <si>
    <t>2,1,2,2,3,4,4,2</t>
  </si>
  <si>
    <t>1,2,1,2,3,2,4,4</t>
  </si>
  <si>
    <t>1,1,2,4,3,2,2,4</t>
  </si>
  <si>
    <t>2,2,1,3,4,4,4,3</t>
  </si>
  <si>
    <t>1,2,4,4,2,3,3,3</t>
  </si>
  <si>
    <t>1,2,3,4,4,4,4,4</t>
  </si>
  <si>
    <t>1,1,2,1,3,3,4,4</t>
  </si>
  <si>
    <t>1,1,3,3,2,2,2,5</t>
  </si>
  <si>
    <t>1,1,3,3,2,4,2,3</t>
  </si>
  <si>
    <t>1,1,2,3,3,5,5,4</t>
  </si>
  <si>
    <t>1,3,2,4,2,3,2,4</t>
  </si>
  <si>
    <t>1,3,2,3,5,2,5,2</t>
  </si>
  <si>
    <t>1,2,2,5,4,5,4,2</t>
  </si>
  <si>
    <t>1,2,3,5,5,5,5,2</t>
  </si>
  <si>
    <t>1,1,1,2,2,5,2,2</t>
  </si>
  <si>
    <t>1,1,2,4,2,4,4,5</t>
  </si>
  <si>
    <t>1,3,3,2,5,4,4,5</t>
  </si>
  <si>
    <t>1,1,1,2,5,3,2,3</t>
  </si>
  <si>
    <t>1,1,2,3,3,3,4,2</t>
  </si>
  <si>
    <t>1,1,4,5,3,3,5,4</t>
  </si>
  <si>
    <t>1,1,5,3,4,4,5,4</t>
  </si>
  <si>
    <t>1,1,3,5,5,5,4,5</t>
  </si>
  <si>
    <t>1,1,2,1,2,5,3,5</t>
  </si>
  <si>
    <t>1,1,1,1,1,3,3,5</t>
  </si>
  <si>
    <t>1,1,3,3,3,3,4,4</t>
  </si>
  <si>
    <t>1,1,1,4,5,4,5,5</t>
  </si>
  <si>
    <t>1,5,5,3,5,3,5,5</t>
  </si>
  <si>
    <t>2,2,3,3,4,5,4,5</t>
  </si>
  <si>
    <t>1,3,5,3,4,4,5,5</t>
  </si>
  <si>
    <t>1,1,1,1,1,2,3,5</t>
  </si>
  <si>
    <t>1,2,3,2,2,3,5,4</t>
  </si>
  <si>
    <t>1,1,4,3,3,4,5,4</t>
  </si>
  <si>
    <t>1,1,2,1,2,4,5,3</t>
  </si>
  <si>
    <t>1,1,4,4,3,4,4,4</t>
  </si>
  <si>
    <t>5,8,2,7,4,101,1,3</t>
  </si>
  <si>
    <t>7,2,3,5,8,1,101,4</t>
  </si>
  <si>
    <t>2,101,4,5,3,1,7,8</t>
  </si>
  <si>
    <t>8,1,4,101,3,5,7,2</t>
  </si>
  <si>
    <t>103,101,4,3,1,5,7,8</t>
  </si>
  <si>
    <t>103,13,5,8,4,7,3,1</t>
  </si>
  <si>
    <t>14,101,5,7,3,4,8,1</t>
  </si>
  <si>
    <t>14,101,4,5,2,7,3,1</t>
  </si>
  <si>
    <t>13,101,3,8,2,1,4,5</t>
  </si>
  <si>
    <t>103,14,5,4,7,3,8,2</t>
  </si>
  <si>
    <t>14,4,3,7,2,1,5,101</t>
  </si>
  <si>
    <t>3,2,5,7,101,4,1,8</t>
  </si>
  <si>
    <t>8,5,4,1,7,101,2,3</t>
  </si>
  <si>
    <t>13,103,3,5,2,7,4,1</t>
  </si>
  <si>
    <t>13,4,2,8,7,1,101,3</t>
  </si>
  <si>
    <t>2,7,3,8,5,1,101,4</t>
  </si>
  <si>
    <t>14,103,2,101,3,4,7,8</t>
  </si>
  <si>
    <t>14,7,5,2,1,3,8,101</t>
  </si>
  <si>
    <t>14,13,101,2,7,4,1,8</t>
  </si>
  <si>
    <t>103,13,5,101,8,1,4,7</t>
  </si>
  <si>
    <t>14,13,2,7,1,8,3,4</t>
  </si>
  <si>
    <t>14,13,2,4,1,8,5,101</t>
  </si>
  <si>
    <t>13,14,5,2,8,101,1,3</t>
  </si>
  <si>
    <t>2,101,7,5,1,4,8,3</t>
  </si>
  <si>
    <t>103,8,5,3,1,7,2,101</t>
  </si>
  <si>
    <t>103,7,4,3,101,5,2,1</t>
  </si>
  <si>
    <t>14,3,1,7,101,4,2,5</t>
  </si>
  <si>
    <t>1,3,8,4,7,2,5,101</t>
  </si>
  <si>
    <t>5,8,4,101,3,2,7,1</t>
  </si>
  <si>
    <t>101,7,4,8,3,5,2,1</t>
  </si>
  <si>
    <t>13,14,4,1,3,8,2,101</t>
  </si>
  <si>
    <t>14,13,2,1,4,3,5,7</t>
  </si>
  <si>
    <t>103,8,2,4,7,5,1,3</t>
  </si>
  <si>
    <t>103,2,7,101,4,8,3,5</t>
  </si>
  <si>
    <t>2,3,5,4,8,101,7,1</t>
  </si>
  <si>
    <t>103,4,3,101,2,8,5,7</t>
  </si>
  <si>
    <t>101,3,2,1,5,4,7,8</t>
  </si>
  <si>
    <t>13,3,4,2,8,101,7,1</t>
  </si>
  <si>
    <t>103,101,1,2,7,5,4,3</t>
  </si>
  <si>
    <t>5,7,3,4,2,1,8,101</t>
  </si>
  <si>
    <t>1,5,3,8,2,101,4,7</t>
  </si>
  <si>
    <t>5,4,8,101,7,1,2,3</t>
  </si>
  <si>
    <t>13,5,101,2,8,1,7,3</t>
  </si>
  <si>
    <t>8,2,7,4,101,3,1,5</t>
  </si>
  <si>
    <t>5,4,1,101,7,2,3,8</t>
  </si>
  <si>
    <t>14,4,3,1,5,101,7,8</t>
  </si>
  <si>
    <t>13,3,4,2,101,1,8,5</t>
  </si>
  <si>
    <t>13,103,8,101,7,5,1,3</t>
  </si>
  <si>
    <t>103,5,1,8,4,101,2,3</t>
  </si>
  <si>
    <t>101,7,3,8,1,5,4,2</t>
  </si>
  <si>
    <t>101,1,4,8,7,5,2,3</t>
  </si>
  <si>
    <t>101,3,5,2,4,1,8,7</t>
  </si>
  <si>
    <t>103,14,3,2,5,8,1,7</t>
  </si>
  <si>
    <t>3,5,4,1,2,101,8,7</t>
  </si>
  <si>
    <t>103,14,4,101,5,7,8,2</t>
  </si>
  <si>
    <t>3,4,2,7,101,5,1,8</t>
  </si>
  <si>
    <t>4,5,101,3,8,1,2,7</t>
  </si>
  <si>
    <t>7,2,5,4,1,8,101,3</t>
  </si>
  <si>
    <t>103,3,1,101,8,4,2,7</t>
  </si>
  <si>
    <t>103,13,2,7,101,3,5,1</t>
  </si>
  <si>
    <t>1,101,3,2,5,8,7,4</t>
  </si>
  <si>
    <t>4,1,7,2,5,101,8,3</t>
  </si>
  <si>
    <t>1,3,4,5,7,8,2,101</t>
  </si>
  <si>
    <t>1,4,101,2,5,8,7,3</t>
  </si>
  <si>
    <t>5,4,3,7,8,1,2,101</t>
  </si>
  <si>
    <t>13,5,8,2,7,1,4,3</t>
  </si>
  <si>
    <t>14,13,5,3,8,7,2,101</t>
  </si>
  <si>
    <t>103,4,7,2,101,3,8,5</t>
  </si>
  <si>
    <t>14,101,3,5,1,8,7,2</t>
  </si>
  <si>
    <t>14,1,101,7,4,8,5,2</t>
  </si>
  <si>
    <t>5,101,8,3,2,1,7,4</t>
  </si>
  <si>
    <t>13,14,8,3,101,4,7,1</t>
  </si>
  <si>
    <t>103,13,1,101,8,3,2,7</t>
  </si>
  <si>
    <t>103,13,4,8,101,1,3,5</t>
  </si>
  <si>
    <t>2,3,5,7,8,1,4,101</t>
  </si>
  <si>
    <t>8,4,5,7,1,2,3,101</t>
  </si>
  <si>
    <t>13,3,7,1,8,101,2,5</t>
  </si>
  <si>
    <t>103,101,2,1,8,3,4,7</t>
  </si>
  <si>
    <t>2,1,4,101,3,5,8,7</t>
  </si>
  <si>
    <t>103,14,5,8,4,7,3,1</t>
  </si>
  <si>
    <t>13,14,5,2,8,1,7,4</t>
  </si>
  <si>
    <t>101,8,5,1,4,7,2,3</t>
  </si>
  <si>
    <t>8,5,1,7,3,4,2,101</t>
  </si>
  <si>
    <t>2,101,3,4,7,5,8,1</t>
  </si>
  <si>
    <t>103,2,4,8,1,3,7,101</t>
  </si>
  <si>
    <t>14,7,3,4,101,5,2,1</t>
  </si>
  <si>
    <t>14,101,4,5,1,2,7,8</t>
  </si>
  <si>
    <t>13,4,8,2,3,7,1,101</t>
  </si>
  <si>
    <t>2,8,3,7,1,5,101,4</t>
  </si>
  <si>
    <t>4,5,1,2,8,7,101,3</t>
  </si>
  <si>
    <t>14,103,5,1,4,2,8,7</t>
  </si>
  <si>
    <t>13,103,8,2,7,3,4,1</t>
  </si>
  <si>
    <t>4,3,8,1,101,2,7,5</t>
  </si>
  <si>
    <t>14,13,7,3,101,2,8,5</t>
  </si>
  <si>
    <t>103,1,5,7,101,3,2,8</t>
  </si>
  <si>
    <t>103,14,5,7,101,8,4,2</t>
  </si>
  <si>
    <t>13,5,8,4,101,2,1,7</t>
  </si>
  <si>
    <t>7,101,5,2,8,1,3,4</t>
  </si>
  <si>
    <t>7,101,4,3,5,8,1,2</t>
  </si>
  <si>
    <t>101,3,8,7,5,2,4,1</t>
  </si>
  <si>
    <t>8,4,1,3,2,7,101,5</t>
  </si>
  <si>
    <t>14,13,3,101,7,2,5,8</t>
  </si>
  <si>
    <t>2,4,3,101,7,5,1,8</t>
  </si>
  <si>
    <t>3,8,101,2,1,7,5,4</t>
  </si>
  <si>
    <t>3,2,4,7,5,101,8,1</t>
  </si>
  <si>
    <t>103,2,5,101,8,4,1,3</t>
  </si>
  <si>
    <t>2,5,8,7,4,3,101,1</t>
  </si>
  <si>
    <t>5,2,8,1,101,4,7,3</t>
  </si>
  <si>
    <t>13,1,2,8,4,5,3,101</t>
  </si>
  <si>
    <t>4,7,3,101,8,2,5,1</t>
  </si>
  <si>
    <t>101,7,2,8,4,5,1,3</t>
  </si>
  <si>
    <t>103,13,3,5,8,4,101,1</t>
  </si>
  <si>
    <t>14,8,1,3,2,4,101,7</t>
  </si>
  <si>
    <t>101,5,7,1,8,3,2,4</t>
  </si>
  <si>
    <t>1,2,8,5,3,4,101,7</t>
  </si>
  <si>
    <t>101,2,1,8,4,3,5,7</t>
  </si>
  <si>
    <t>8,4,1,5,3,2,7,101</t>
  </si>
  <si>
    <t>103,5,8,7,2,3,4,1</t>
  </si>
  <si>
    <t>13,8,3,101,5,4,1,7</t>
  </si>
  <si>
    <t>5,8,101,4,7,3,1,2</t>
  </si>
  <si>
    <t>103,14,7,4,8,1,5,101</t>
  </si>
  <si>
    <t>4,3,2,1,8,7,101,5</t>
  </si>
  <si>
    <t>1,8,101,3,7,5,2,4</t>
  </si>
  <si>
    <t>5,1,7,4,8,2,3,101</t>
  </si>
  <si>
    <t>103,14,5,3,2,7,1,101</t>
  </si>
  <si>
    <t>14,5,101,2,1,3,4,8</t>
  </si>
  <si>
    <t>14,7,2,101,1,4,8,3</t>
  </si>
  <si>
    <t>13,7,5,8,101,2,4,1</t>
  </si>
  <si>
    <t>13,101,3,2,7,5,4,1</t>
  </si>
  <si>
    <t>103,4,3,5,8,1,7,2</t>
  </si>
  <si>
    <t>4,2,8,7,3,1,5,101</t>
  </si>
  <si>
    <t>5,4,7,101,8,1,3,2</t>
  </si>
  <si>
    <t>103,13,3,5,4,7,2,8</t>
  </si>
  <si>
    <t>13,8,5,2,1,7,101,3</t>
  </si>
  <si>
    <t>3,2,7,4,8,5,101,1</t>
  </si>
  <si>
    <t>13,14,7,8,101,4,1,5</t>
  </si>
  <si>
    <t>103,5,101,7,4,3,8,1</t>
  </si>
  <si>
    <t>13,2,5,3,101,7,8,4</t>
  </si>
  <si>
    <t>101,3,2,1,4,7,8,5</t>
  </si>
  <si>
    <t>14,13,7,5,4,2,8,1</t>
  </si>
  <si>
    <t>103,13,7,5,2,3,101,8</t>
  </si>
  <si>
    <t>13,14,3,101,2,4,1,5</t>
  </si>
  <si>
    <t>14,1,4,3,2,8,7,5</t>
  </si>
  <si>
    <t>3,101,7,1,5,4,2,8</t>
  </si>
  <si>
    <t>14,13,8,7,4,2,5,3</t>
  </si>
  <si>
    <t>103,14,8,3,4,5,2,7</t>
  </si>
  <si>
    <t>103,14,2,4,8,101,5,3</t>
  </si>
  <si>
    <t>5,3,7,8,1,2,101,4</t>
  </si>
  <si>
    <t>8,3,4,2,1,5,7,101</t>
  </si>
  <si>
    <t>103,13,2,3,101,5,8,4</t>
  </si>
  <si>
    <t>13,103,101,1,4,5,7,8</t>
  </si>
  <si>
    <t>14,1,8,3,2,101,5,4</t>
  </si>
  <si>
    <t>5,2,8,4,1,3,101,7</t>
  </si>
  <si>
    <t>13,8,1,4,3,5,7,101</t>
  </si>
  <si>
    <t>5,2,101,3,7,1,4,8</t>
  </si>
  <si>
    <t>8,1,7,4,3,2,101,5</t>
  </si>
  <si>
    <t>14,13,2,3,8,4,7,1</t>
  </si>
  <si>
    <t>103,8,1,3,5,7,4,2</t>
  </si>
  <si>
    <t>103,13,1,101,3,7,4,8</t>
  </si>
  <si>
    <t>103,7,5,3,1,2,4,101</t>
  </si>
  <si>
    <t>14,103,3,8,4,101,1,2</t>
  </si>
  <si>
    <t>14,3,7,5,101,1,4,8</t>
  </si>
  <si>
    <t>13,103,101,2,3,1,4,8</t>
  </si>
  <si>
    <t>8,101,5,1,2,4,7,3</t>
  </si>
  <si>
    <t>13,103,3,7,5,101,1,8</t>
  </si>
  <si>
    <t>8,5,3,2,101,4,1,7</t>
  </si>
  <si>
    <t>13,103,101,2,1,7,3,8</t>
  </si>
  <si>
    <t>13,14,4,5,101,3,8,1</t>
  </si>
  <si>
    <t>13,103,2,101,4,1,7,3</t>
  </si>
  <si>
    <t>14,1,8,101,7,5,2,4</t>
  </si>
  <si>
    <t>7,101,3,4,8,2,5,1</t>
  </si>
  <si>
    <t>7,5,3,8,101,2,4,1</t>
  </si>
  <si>
    <t>103,4,8,1,101,5,3,2</t>
  </si>
  <si>
    <t>13,5,3,8,101,4,1,7</t>
  </si>
  <si>
    <t>103,14,3,5,8,2,1,4</t>
  </si>
  <si>
    <t>14,7,1,5,3,2,8,101</t>
  </si>
  <si>
    <t>14,1,2,5,8,4,101,7</t>
  </si>
  <si>
    <t>14,101,4,8,5,3,2,1</t>
  </si>
  <si>
    <t>101,8,4,7,3,2,5,1</t>
  </si>
  <si>
    <t>103,3,101,8,2,4,1,5</t>
  </si>
  <si>
    <t>103,4,7,2,3,8,1,5</t>
  </si>
  <si>
    <t>103,13,1,7,5,8,4,101</t>
  </si>
  <si>
    <t>101,1,3,5,2,8,7,4</t>
  </si>
  <si>
    <t>103,14,4,3,2,1,7,8</t>
  </si>
  <si>
    <t>103,13,101,8,3,2,4,5</t>
  </si>
  <si>
    <t>14,103,2,8,3,1,101,7</t>
  </si>
  <si>
    <t>1,7,3,2,5,8,4,101</t>
  </si>
  <si>
    <t>14,101,7,1,4,8,3,2</t>
  </si>
  <si>
    <t>103,2,7,4,3,5,101,1</t>
  </si>
  <si>
    <t>7,101,4,5,8,3,1,2</t>
  </si>
  <si>
    <t>3,7,5,4,1,8,2,101</t>
  </si>
  <si>
    <t>14,103,3,1,101,2,4,5</t>
  </si>
  <si>
    <t>103,14,1,4,101,5,2,7</t>
  </si>
  <si>
    <t>2,8,5,3,4,101,1,7</t>
  </si>
  <si>
    <t>13,5,4,3,1,2,7,8</t>
  </si>
  <si>
    <t>14,1,8,3,4,7,2,5</t>
  </si>
  <si>
    <t>1,2,7,4,8,5,101,3</t>
  </si>
  <si>
    <t>101,3,5,4,8,1,7,2</t>
  </si>
  <si>
    <t>103,14,5,8,1,101,7,4</t>
  </si>
  <si>
    <t>13,14,1,3,7,101,5,8</t>
  </si>
  <si>
    <t>14,1,4,7,8,3,2,5</t>
  </si>
  <si>
    <t>13,1,2,7,8,101,3,5</t>
  </si>
  <si>
    <t>13,14,2,3,7,5,4,1</t>
  </si>
  <si>
    <t>103,14,101,3,4,5,8,2</t>
  </si>
  <si>
    <t>103,13,8,2,3,101,7,1</t>
  </si>
  <si>
    <t>14,13,1,101,2,3,5,8</t>
  </si>
  <si>
    <t>14,13,101,7,1,2,5,8</t>
  </si>
  <si>
    <t>103,14,101,3,8,1,2,5</t>
  </si>
  <si>
    <t>13,103,8,1,5,4,2,7</t>
  </si>
  <si>
    <t>8,4,101,7,1,3,2,5</t>
  </si>
  <si>
    <t>103,3,8,2,101,7,1,5</t>
  </si>
  <si>
    <t>103,3,4,8,101,7,5,1</t>
  </si>
  <si>
    <t>13,1,101,8,4,3,7,5</t>
  </si>
  <si>
    <t>103,8,101,1,7,2,4,3</t>
  </si>
  <si>
    <t>5,2,3,8,101,4,7,1</t>
  </si>
  <si>
    <t>103,14,8,101,4,2,7,1</t>
  </si>
  <si>
    <t>14,13,4,7,3,5,8,101</t>
  </si>
  <si>
    <t>14,101,5,1,2,7,4,8</t>
  </si>
  <si>
    <t>13,14,4,1,101,3,7,2</t>
  </si>
  <si>
    <t>7,8,5,101,3,1,4,2</t>
  </si>
  <si>
    <t>14,103,8,5,7,101,1,3</t>
  </si>
  <si>
    <t>3,7,8,2,4,101,1,5</t>
  </si>
  <si>
    <t>13,103,8,2,3,4,5,101</t>
  </si>
  <si>
    <t>2,8,101,3,1,5,4,7</t>
  </si>
  <si>
    <t>4,8,1,2,3,101,5,7</t>
  </si>
  <si>
    <t>2,1,8,7,5,3,4,101</t>
  </si>
  <si>
    <t>13,2,8,101,5,7,4,1</t>
  </si>
  <si>
    <t>2,8,5,4,1,3,7,101</t>
  </si>
  <si>
    <t>14,1,4,8,3,7,5,101</t>
  </si>
  <si>
    <t>103,4,2,1,8,7,3,101</t>
  </si>
  <si>
    <t>103,3,5,4,8,2,1,101</t>
  </si>
  <si>
    <t>4,5,2,3,8,1,101,7</t>
  </si>
  <si>
    <t>14,103,7,8,3,2,1,101</t>
  </si>
  <si>
    <t>103,14,5,3,7,2,101,1</t>
  </si>
  <si>
    <t>103,101,4,2,5,3,8,1</t>
  </si>
  <si>
    <t>13,7,8,3,5,4,101,2</t>
  </si>
  <si>
    <t>14,8,7,3,101,2,5,1</t>
  </si>
  <si>
    <t>14,13,2,4,101,7,5,1</t>
  </si>
  <si>
    <t>14,103,2,5,7,1,3,8</t>
  </si>
  <si>
    <t>1,3,2,101,7,8,4,5</t>
  </si>
  <si>
    <t>103,14,8,2,5,3,7,1</t>
  </si>
  <si>
    <t>14,13,5,1,7,8,2,101</t>
  </si>
  <si>
    <t>14,103,3,1,4,5,101,8</t>
  </si>
  <si>
    <t>101,1,7,8,2,4,3,5</t>
  </si>
  <si>
    <t>14,13,3,1,2,4,8,101</t>
  </si>
  <si>
    <t>14,13,5,2,8,3,7,4</t>
  </si>
  <si>
    <t>103,13,2,5,1,3,8,7</t>
  </si>
  <si>
    <t>103,7,2,5,1,8,3,4</t>
  </si>
  <si>
    <t>5,8,1,7,3,2,4,101</t>
  </si>
  <si>
    <t>2,7,1,3,5,101,4,8</t>
  </si>
  <si>
    <t>13,1,3,101,2,8,5,4</t>
  </si>
  <si>
    <t>13,14,2,8,1,101,7,3</t>
  </si>
  <si>
    <t>7,101,8,4,1,5,3,2</t>
  </si>
  <si>
    <t>13,8,1,7,5,2,4,101</t>
  </si>
  <si>
    <t>8,3,2,4,101,5,7,1</t>
  </si>
  <si>
    <t>13,14,7,4,3,1,8,5</t>
  </si>
  <si>
    <t>1,8,4,101,7,3,5,2</t>
  </si>
  <si>
    <t>103,101,5,8,7,3,1,2</t>
  </si>
  <si>
    <t>103,13,101,7,1,3,2,8</t>
  </si>
  <si>
    <t>8,5,3,1,4,2,101,7</t>
  </si>
  <si>
    <t>14,13,4,7,3,8,1,101</t>
  </si>
  <si>
    <t>103,13,5,1,3,101,8,2</t>
  </si>
  <si>
    <t>13,103,8,7,3,2,4,101</t>
  </si>
  <si>
    <t>5,2,1,8,101,3,7,4</t>
  </si>
  <si>
    <t>3,1,4,8,2,7,101,5</t>
  </si>
  <si>
    <t>103,7,2,3,5,4,1,101</t>
  </si>
  <si>
    <t>103,13,8,101,7,1,5,3</t>
  </si>
  <si>
    <t>103,2,7,5,8,101,4,1</t>
  </si>
  <si>
    <t>103,4,3,2,7,1,101,5</t>
  </si>
  <si>
    <t>14,13,1,5,101,4,8,3</t>
  </si>
  <si>
    <t>14,3,7,101,1,5,2,4</t>
  </si>
  <si>
    <t>14,13,8,5,1,4,2,101</t>
  </si>
  <si>
    <t>5,2,7,101,1,8,3,4</t>
  </si>
  <si>
    <t>7,101,1,4,5,2,8,3</t>
  </si>
  <si>
    <t>13,1,8,7,2,4,101,3</t>
  </si>
  <si>
    <t>103,7,3,5,1,101,2,8</t>
  </si>
  <si>
    <t>3,8,2,7,5,101,4,1</t>
  </si>
  <si>
    <t>103,13,7,101,8,2,1,4</t>
  </si>
  <si>
    <t>5,101,1,8,2,4,7,3</t>
  </si>
  <si>
    <t>101,8,1,3,7,2,4,5</t>
  </si>
  <si>
    <t>2,5,3,7,1,101,4,8</t>
  </si>
  <si>
    <t>3,2,5,7,4,1,8,101</t>
  </si>
  <si>
    <t>103,2,5,8,4,101,1,7</t>
  </si>
  <si>
    <t>3,101,5,7,2,1,4,8</t>
  </si>
  <si>
    <t>4,5,1,3,2,7,8,101</t>
  </si>
  <si>
    <t>13,14,7,1,4,5,3,8</t>
  </si>
  <si>
    <t>4,3,7,2,101,8,1,5</t>
  </si>
  <si>
    <t>5,2,3,4,101,1,7,8</t>
  </si>
  <si>
    <t>3,4,7,8,1,5,101,2</t>
  </si>
  <si>
    <t>103,8,5,1,4,7,3,2</t>
  </si>
  <si>
    <t>13,103,4,101,3,1,7,2</t>
  </si>
  <si>
    <t>103,14,2,8,7,4,5,3</t>
  </si>
  <si>
    <t>17,13,103,1,3,4,101,8</t>
  </si>
  <si>
    <t>14,2,1,4,5,101,3,8</t>
  </si>
  <si>
    <t>16,3,101,5,8,7,4,2</t>
  </si>
  <si>
    <t>16,13,14,101,2,8,4,5</t>
  </si>
  <si>
    <t>13,14,5,2,1,7,101,4</t>
  </si>
  <si>
    <t>14,13,3,8,101,5,1,4</t>
  </si>
  <si>
    <t>5,7,8,1,101,4,2,3</t>
  </si>
  <si>
    <t>13,5,1,101,8,2,4,3</t>
  </si>
  <si>
    <t>14,101,8,2,5,1,7,3</t>
  </si>
  <si>
    <t>16,13,103,2,101,1,8,4</t>
  </si>
  <si>
    <t>14,7,2,1,101,5,3,8</t>
  </si>
  <si>
    <t>1,3,8,2,4,7,101,5</t>
  </si>
  <si>
    <t>103,14,1,8,3,7,101,2</t>
  </si>
  <si>
    <t>13,101,7,5,2,8,3,4</t>
  </si>
  <si>
    <t>103,13,5,7,1,4,3,2</t>
  </si>
  <si>
    <t>16,13,4,8,2,5,101,7</t>
  </si>
  <si>
    <t>103,13,101,5,1,4,2,3</t>
  </si>
  <si>
    <t>8,5,4,2,1,101,3,7</t>
  </si>
  <si>
    <t>14,13,5,1,101,4,3,2</t>
  </si>
  <si>
    <t>14,103,101,3,8,2,4,1</t>
  </si>
  <si>
    <t>13,103,1,3,8,2,101,5</t>
  </si>
  <si>
    <t>103,14,8,4,2,7,1,3</t>
  </si>
  <si>
    <t>16,14,2,1,3,5,8,4</t>
  </si>
  <si>
    <t>103,4,3,7,5,8,1,2</t>
  </si>
  <si>
    <t>5,8,3,1,7,2,101,4</t>
  </si>
  <si>
    <t>14,13,8,101,7,5,2,3</t>
  </si>
  <si>
    <t>13,103,3,101,1,7,2,8</t>
  </si>
  <si>
    <t>103,14,7,4,101,1,8,2</t>
  </si>
  <si>
    <t>17,103,5,2,4,3,8,101</t>
  </si>
  <si>
    <t>17,14,103,8,7,3,4,1</t>
  </si>
  <si>
    <t>103,7,8,101,1,2,3,4</t>
  </si>
  <si>
    <t>14,13,8,3,101,4,7,1</t>
  </si>
  <si>
    <t>103,8,7,2,101,4,3,5</t>
  </si>
  <si>
    <t>13,101,4,5,1,7,3,8</t>
  </si>
  <si>
    <t>14,103,7,4,1,101,2,5</t>
  </si>
  <si>
    <t>101,1,2,5,8,7,3,4</t>
  </si>
  <si>
    <t>17,103,101,7,3,2,1,8</t>
  </si>
  <si>
    <t>103,2,4,7,101,3,8,5</t>
  </si>
  <si>
    <t>7,3,1,5,101,8,2,4</t>
  </si>
  <si>
    <t>17,13,1,2,7,4,8,3</t>
  </si>
  <si>
    <t>13,5,7,2,3,8,4,1</t>
  </si>
  <si>
    <t>16,103,2,1,4,7,101,5</t>
  </si>
  <si>
    <t>16,103,13,4,7,101,3,2</t>
  </si>
  <si>
    <t>14,101,2,1,4,5,3,7</t>
  </si>
  <si>
    <t>14,103,1,3,5,101,7,2</t>
  </si>
  <si>
    <t>17,5,4,1,7,101,8,3</t>
  </si>
  <si>
    <t>17,101,4,1,2,3,8,5</t>
  </si>
  <si>
    <t>13,103,5,4,3,1,7,101</t>
  </si>
  <si>
    <t>103,13,8,5,101,7,4,2</t>
  </si>
  <si>
    <t>103,13,101,3,2,8,7,5</t>
  </si>
  <si>
    <t>17,14,7,3,8,4,5,1</t>
  </si>
  <si>
    <t>8,4,7,1,5,3,101,2</t>
  </si>
  <si>
    <t>14,103,7,5,3,1,8,101</t>
  </si>
  <si>
    <t>103,2,4,8,5,3,7,1</t>
  </si>
  <si>
    <t>17,14,5,8,3,1,101,7</t>
  </si>
  <si>
    <t>2,3,7,1,5,8,101,4</t>
  </si>
  <si>
    <t>2,2,2,1,1,1,1,1</t>
  </si>
  <si>
    <t>103,101,8,1,5,2,3,7</t>
  </si>
  <si>
    <t>16,14,13,4,3,101,5,7</t>
  </si>
  <si>
    <t>14,8,7,1,2,101,3,4</t>
  </si>
  <si>
    <t>16,13,14,3,101,5,2,1</t>
  </si>
  <si>
    <t>13,2,1,8,3,4,101,5</t>
  </si>
  <si>
    <t>101,1,7,8,2,4,5,3</t>
  </si>
  <si>
    <t>103,3,101,1,7,5,2,4</t>
  </si>
  <si>
    <t>103,13,5,1,4,2,3,8</t>
  </si>
  <si>
    <t>17,103,13,5,3,101,2,7</t>
  </si>
  <si>
    <t>13,103,8,101,3,4,5,2</t>
  </si>
  <si>
    <t>3,2,4,7,1,101,8,5</t>
  </si>
  <si>
    <t>14,1,2,3,8,5,7,101</t>
  </si>
  <si>
    <t>17,103,14,2,5,1,8,7</t>
  </si>
  <si>
    <t>14,1,8,7,101,4,5,3</t>
  </si>
  <si>
    <t>13,103,101,1,2,4,3,5</t>
  </si>
  <si>
    <t>103,14,4,101,2,1,5,3</t>
  </si>
  <si>
    <t>4,101,5,7,2,8,1,3</t>
  </si>
  <si>
    <t>14,103,5,8,4,7,101,1</t>
  </si>
  <si>
    <t>13,2,7,3,4,8,101,5</t>
  </si>
  <si>
    <t>14,13,2,5,101,8,7,4</t>
  </si>
  <si>
    <t>16,13,103,5,4,1,8,7</t>
  </si>
  <si>
    <t>14,3,4,1,2,8,7,101</t>
  </si>
  <si>
    <t>16,103,2,7,101,4,1,8</t>
  </si>
  <si>
    <t>16,13,103,101,7,2,3,4</t>
  </si>
  <si>
    <t>103,13,4,8,2,3,1,5</t>
  </si>
  <si>
    <t>5,101,4,8,7,1,2,3</t>
  </si>
  <si>
    <t>2,1,1,2,2,1,1,1</t>
  </si>
  <si>
    <t>103,1,101,4,3,7,5,2</t>
  </si>
  <si>
    <t>103,7,3,1,8,2,4,5</t>
  </si>
  <si>
    <t>17,14,101,5,2,3,1,4</t>
  </si>
  <si>
    <t>13,8,5,4,101,3,2,7</t>
  </si>
  <si>
    <t>17,13,7,5,4,2,8,101</t>
  </si>
  <si>
    <t>103,4,101,7,3,1,5,2</t>
  </si>
  <si>
    <t>1,7,2,101,3,5,4,8</t>
  </si>
  <si>
    <t>5,7,1,101,2,4,3,8</t>
  </si>
  <si>
    <t>13,101,7,8,5,3,4,2</t>
  </si>
  <si>
    <t>14,103,7,2,4,8,1,5</t>
  </si>
  <si>
    <t>103,13,4,1,8,101,3,5</t>
  </si>
  <si>
    <t>13,103,7,101,5,2,1,8</t>
  </si>
  <si>
    <t>13,5,7,101,1,8,3,2</t>
  </si>
  <si>
    <t>103,2,8,101,7,1,5,4</t>
  </si>
  <si>
    <t>3,1,2,101,4,5,7,8</t>
  </si>
  <si>
    <t>103,14,3,8,5,2,7,101</t>
  </si>
  <si>
    <t>17,103,7,1,8,3,4,101</t>
  </si>
  <si>
    <t>7,2,8,4,5,3,101,1</t>
  </si>
  <si>
    <t>17,14,7,5,8,4,1,3</t>
  </si>
  <si>
    <t>5,3,2,8,7,4,1,101</t>
  </si>
  <si>
    <t>13,14,7,1,4,5,101,8</t>
  </si>
  <si>
    <t>14,3,1,5,8,101,2,7</t>
  </si>
  <si>
    <t>17,14,13,3,5,4,2,101</t>
  </si>
  <si>
    <t>14,1,7,101,2,8,3,4</t>
  </si>
  <si>
    <t>13,103,4,3,1,7,101,5</t>
  </si>
  <si>
    <t>8,3,2,7,5,1,101,4</t>
  </si>
  <si>
    <t>103,7,1,4,101,3,5,8</t>
  </si>
  <si>
    <t>103,14,4,8,7,3,2,101</t>
  </si>
  <si>
    <t>7,1,4,8,3,5,2,101</t>
  </si>
  <si>
    <t>13,5,101,3,1,7,2,4</t>
  </si>
  <si>
    <t>14,1,4,3,8,101,7,2</t>
  </si>
  <si>
    <t>16,13,14,1,101,5,3,8</t>
  </si>
  <si>
    <t>103,13,1,2,7,3,8,5</t>
  </si>
  <si>
    <t>14,103,7,5,4,1,8,101</t>
  </si>
  <si>
    <t>13,1,7,2,3,5,4,101</t>
  </si>
  <si>
    <t>14,103,5,1,101,7,4,8</t>
  </si>
  <si>
    <t>1,5,101,7,8,4,2,3</t>
  </si>
  <si>
    <t>14,13,7,1,101,5,3,4</t>
  </si>
  <si>
    <t>13,101,8,5,2,3,1,4</t>
  </si>
  <si>
    <t>13,7,101,8,4,2,1,3</t>
  </si>
  <si>
    <t>14,103,8,1,3,2,101,7</t>
  </si>
  <si>
    <t>13,14,7,4,2,3,101,8</t>
  </si>
  <si>
    <t>17,101,7,1,3,2,4,5</t>
  </si>
  <si>
    <t>17,13,103,5,3,2,7,101</t>
  </si>
  <si>
    <t>17,14,103,8,2,1,5,4</t>
  </si>
  <si>
    <t>14,13,2,5,1,4,3,7</t>
  </si>
  <si>
    <t>5,101,8,3,4,7,1,2</t>
  </si>
  <si>
    <t>103,13,2,7,8,1,4,5</t>
  </si>
  <si>
    <t>14,103,1,3,2,5,7,4</t>
  </si>
  <si>
    <t>14,103,1,8,3,5,4,101</t>
  </si>
  <si>
    <t>8,7,5,101,1,4,3,2</t>
  </si>
  <si>
    <t>13,14,3,8,5,2,7,4</t>
  </si>
  <si>
    <t>13,2,7,8,4,3,5,1</t>
  </si>
  <si>
    <t>13,103,1,101,8,7,2,5</t>
  </si>
  <si>
    <t>17,13,103,8,2,1,101,5</t>
  </si>
  <si>
    <t>8,5,7,101,3,4,2,1</t>
  </si>
  <si>
    <t>14,1,4,7,5,8,2,101</t>
  </si>
  <si>
    <t>103,3,8,2,5,101,7,4</t>
  </si>
  <si>
    <t>103,3,8,101,7,5,1,4</t>
  </si>
  <si>
    <t>13,14,1,7,2,3,101,8</t>
  </si>
  <si>
    <t>4,2,8,7,5,1,3,101</t>
  </si>
  <si>
    <t>14,101,8,5,3,7,2,1</t>
  </si>
  <si>
    <t>13,14,3,1,5,8,101,2</t>
  </si>
  <si>
    <t>16,103,1,3,5,8,4,101</t>
  </si>
  <si>
    <t>5,1,101,4,3,2,7,8</t>
  </si>
  <si>
    <t>14,103,101,7,8,3,2,4</t>
  </si>
  <si>
    <t>14,103,2,5,1,7,101,4</t>
  </si>
  <si>
    <t>13,103,5,8,1,2,101,4</t>
  </si>
  <si>
    <t>20,14,4,8,2,3,5,101</t>
  </si>
  <si>
    <t>17,13,14,5,4,3,2,101</t>
  </si>
  <si>
    <t>103,7,5,3,8,2,101,4</t>
  </si>
  <si>
    <t>14,101,1,3,8,4,7,5</t>
  </si>
  <si>
    <t>14,1,3,8,7,4,2,5</t>
  </si>
  <si>
    <t>103,4,2,7,8,1,5,101</t>
  </si>
  <si>
    <t>16,103,4,8,1,2,7,3</t>
  </si>
  <si>
    <t>13,2,8,1,5,3,7,101</t>
  </si>
  <si>
    <t>17,14,2,4,5,7,1,3</t>
  </si>
  <si>
    <t>14,5,3,101,4,2,1,8</t>
  </si>
  <si>
    <t>14,101,8,4,1,5,2,3</t>
  </si>
  <si>
    <t>14,2,7,3,1,8,101,5</t>
  </si>
  <si>
    <t>103,14,8,101,3,1,7,2</t>
  </si>
  <si>
    <t>103,13,8,4,7,2,5,101</t>
  </si>
  <si>
    <t>103,13,2,101,3,7,4,1</t>
  </si>
  <si>
    <t>13,2,8,3,101,5,4,1</t>
  </si>
  <si>
    <t>16,5,2,4,8,3,7,101</t>
  </si>
  <si>
    <t>20,14,13,2,101,3,4,8</t>
  </si>
  <si>
    <t>103,14,3,2,7,1,101,8</t>
  </si>
  <si>
    <t>103,1,4,5,101,8,2,7</t>
  </si>
  <si>
    <t>103,5,1,101,4,7,3,8</t>
  </si>
  <si>
    <t>103,13,7,8,3,4,1,5</t>
  </si>
  <si>
    <t>16,4,7,101,8,2,3,1</t>
  </si>
  <si>
    <t>17,13,3,8,2,101,1,5</t>
  </si>
  <si>
    <t>17,103,8,101,2,4,3,5</t>
  </si>
  <si>
    <t>13,14,2,3,1,101,5,8</t>
  </si>
  <si>
    <t>103,14,101,5,4,7,3,2</t>
  </si>
  <si>
    <t>16,14,2,1,7,4,101,3</t>
  </si>
  <si>
    <t>20,103,14,3,2,5,8,7</t>
  </si>
  <si>
    <t>17,13,103,1,2,101,5,7</t>
  </si>
  <si>
    <t>101,4,1,8,7,2,5,3</t>
  </si>
  <si>
    <t>2,2,2,2,1,2,1,1</t>
  </si>
  <si>
    <t>13,1,8,5,2,4,101,7</t>
  </si>
  <si>
    <t>20,13,14,101,8,4,2,7</t>
  </si>
  <si>
    <t>14,13,4,1,3,5,101,8</t>
  </si>
  <si>
    <t>103,13,5,2,101,1,4,3</t>
  </si>
  <si>
    <t>13,8,1,3,7,4,101,5</t>
  </si>
  <si>
    <t>13,14,3,8,2,5,101,1</t>
  </si>
  <si>
    <t>16,103,13,101,5,1,7,8</t>
  </si>
  <si>
    <t>103,101,1,7,4,2,5,3</t>
  </si>
  <si>
    <t>103,1,2,4,5,8,7,3</t>
  </si>
  <si>
    <t>17,103,13,7,5,1,101,3</t>
  </si>
  <si>
    <t>14,103,101,2,1,5,8,4</t>
  </si>
  <si>
    <t>16,103,2,101,4,8,1,5</t>
  </si>
  <si>
    <t>14,103,101,5,4,3,7,1</t>
  </si>
  <si>
    <t>17,14,103,8,101,1,4,2</t>
  </si>
  <si>
    <t>103,1,8,4,5,101,3,2</t>
  </si>
  <si>
    <t>103,14,1,8,2,7,101,4</t>
  </si>
  <si>
    <t>14,101,2,3,5,1,8,7</t>
  </si>
  <si>
    <t>20,13,103,7,101,5,4,3</t>
  </si>
  <si>
    <t>103,13,7,3,8,4,1,5</t>
  </si>
  <si>
    <t>17,14,103,7,3,101,5,4</t>
  </si>
  <si>
    <t>20,14,13,3,7,2,5,1</t>
  </si>
  <si>
    <t>13,7,5,101,3,8,2,4</t>
  </si>
  <si>
    <t>13,7,1,5,8,2,3,101</t>
  </si>
  <si>
    <t>13,14,101,3,2,7,5,1</t>
  </si>
  <si>
    <t>13,3,2,5,1,4,101,8</t>
  </si>
  <si>
    <t>14,8,5,7,101,3,2,4</t>
  </si>
  <si>
    <t>14,7,2,4,8,1,101,3</t>
  </si>
  <si>
    <t>14,5,7,4,8,3,1,2</t>
  </si>
  <si>
    <t>103,13,8,2,5,3,7,1</t>
  </si>
  <si>
    <t>13,4,8,2,101,1,5,3</t>
  </si>
  <si>
    <t>103,13,5,7,8,2,3,1</t>
  </si>
  <si>
    <t>16,103,14,4,7,2,1,8</t>
  </si>
  <si>
    <t>14,103,8,101,2,1,4,3</t>
  </si>
  <si>
    <t>20,103,1,4,2,7,8,3</t>
  </si>
  <si>
    <t>103,1,3,101,2,8,4,5</t>
  </si>
  <si>
    <t>13,14,7,4,101,1,2,5</t>
  </si>
  <si>
    <t>16,13,3,7,1,101,2,5</t>
  </si>
  <si>
    <t>103,13,4,2,101,3,5,7</t>
  </si>
  <si>
    <t>14,8,3,1,2,5,7,101</t>
  </si>
  <si>
    <t>20,103,8,4,2,7,3,1</t>
  </si>
  <si>
    <t>14,5,2,8,1,101,7,4</t>
  </si>
  <si>
    <t>103,2,5,1,8,4,101,3</t>
  </si>
  <si>
    <t>13,5,2,1,3,101,7,8</t>
  </si>
  <si>
    <t>103,5,8,2,7,4,101,1</t>
  </si>
  <si>
    <t>16,5,1,2,101,8,4,7</t>
  </si>
  <si>
    <t>16,13,8,5,3,2,7,101</t>
  </si>
  <si>
    <t>13,14,2,7,4,5,8,3</t>
  </si>
  <si>
    <t>20,14,7,4,101,8,3,2</t>
  </si>
  <si>
    <t>14,7,101,5,3,2,8,4</t>
  </si>
  <si>
    <t>20,103,13,4,2,7,101,1</t>
  </si>
  <si>
    <t>101,4,5,3,1,2,8,7</t>
  </si>
  <si>
    <t>14,1,2,101,8,7,4,5</t>
  </si>
  <si>
    <t>103,1,5,4,3,101,8,2</t>
  </si>
  <si>
    <t>16,13,14,101,8,7,1,5</t>
  </si>
  <si>
    <t>14,1,8,4,2,7,101,3</t>
  </si>
  <si>
    <t>20,14,4,3,101,1,8,5</t>
  </si>
  <si>
    <t>16,103,14,1,8,101,5,4</t>
  </si>
  <si>
    <t>20,103,14,8,1,2,101,4</t>
  </si>
  <si>
    <t>13,3,8,1,2,5,7,101</t>
  </si>
  <si>
    <t>14,103,5,4,101,8,2,1</t>
  </si>
  <si>
    <t>13,3,5,2,8,7,1,101</t>
  </si>
  <si>
    <t>14,13,7,5,8,1,4,2</t>
  </si>
  <si>
    <t>14,7,3,8,2,101,4,1</t>
  </si>
  <si>
    <t>20,103,14,101,2,1,7,5</t>
  </si>
  <si>
    <t>20,13,103,3,7,5,2,8</t>
  </si>
  <si>
    <t>13,8,101,4,7,2,3,1</t>
  </si>
  <si>
    <t>14,7,2,4,3,101,8,1</t>
  </si>
  <si>
    <t>103,13,5,101,4,8,2,1</t>
  </si>
  <si>
    <t>103,2,3,8,1,4,7,101</t>
  </si>
  <si>
    <t>13,14,1,7,5,2,8,101</t>
  </si>
  <si>
    <t>14,101,4,7,8,2,5,3</t>
  </si>
  <si>
    <t>16,14,2,101,5,8,7,1</t>
  </si>
  <si>
    <t>17,8,101,7,4,2,5,1</t>
  </si>
  <si>
    <t>103,3,101,1,7,2,8,5</t>
  </si>
  <si>
    <t>2,8,4,1,7,3,101,5</t>
  </si>
  <si>
    <t>7,8,5,2,101,4,3,1</t>
  </si>
  <si>
    <t>13,8,1,4,7,3,5,101</t>
  </si>
  <si>
    <t>14,1,8,5,4,2,7,3</t>
  </si>
  <si>
    <t>14,101,5,1,4,3,7,8</t>
  </si>
  <si>
    <t>14,103,101,2,8,7,1,5</t>
  </si>
  <si>
    <t>103,7,5,101,3,8,4,2</t>
  </si>
  <si>
    <t>16,13,7,3,1,2,5,4</t>
  </si>
  <si>
    <t>103,7,1,101,3,5,8,4</t>
  </si>
  <si>
    <t>13,103,3,8,7,5,101,4</t>
  </si>
  <si>
    <t>16,103,14,8,4,7,5,101</t>
  </si>
  <si>
    <t>103,13,3,4,2,101,8,5</t>
  </si>
  <si>
    <t>14,103,8,7,1,4,3,101</t>
  </si>
  <si>
    <t>13,103,5,7,101,8,1,3</t>
  </si>
  <si>
    <t>13,103,5,4,101,7,2,3</t>
  </si>
  <si>
    <t>17,14,7,1,8,5,2,4</t>
  </si>
  <si>
    <t>20,14,13,1,5,4,7,3</t>
  </si>
  <si>
    <t>13,103,2,1,3,5,4,8</t>
  </si>
  <si>
    <t>14,103,101,8,5,3,7,4</t>
  </si>
  <si>
    <t>14,103,1,7,8,4,101,2</t>
  </si>
  <si>
    <t>16,103,14,8,5,4,2,3</t>
  </si>
  <si>
    <t>2,8,101,1,5,7,3,4</t>
  </si>
  <si>
    <t>2,2,2,1,2,2,1,1</t>
  </si>
  <si>
    <t>13,103,1,3,5,101,8,4</t>
  </si>
  <si>
    <t>103,1,4,5,7,2,3,8</t>
  </si>
  <si>
    <t>17,13,14,7,101,3,1,2</t>
  </si>
  <si>
    <t>17,13,8,2,1,3,101,4</t>
  </si>
  <si>
    <t>103,7,4,5,1,3,8,2</t>
  </si>
  <si>
    <t>16,103,13,5,7,101,2,4</t>
  </si>
  <si>
    <t>20,13,14,8,5,7,4,1</t>
  </si>
  <si>
    <t>14,5,4,3,2,8,101,7</t>
  </si>
  <si>
    <t>103,14,1,101,3,7,4,8</t>
  </si>
  <si>
    <t>13,14,3,2,101,5,8,7</t>
  </si>
  <si>
    <t>20,103,13,2,7,8,5,101</t>
  </si>
  <si>
    <t>103,13,8,7,101,4,1,3</t>
  </si>
  <si>
    <t>16,14,13,8,7,2,5,4</t>
  </si>
  <si>
    <t>103,14,7,2,4,101,3,8</t>
  </si>
  <si>
    <t>16,103,13,5,1,101,2,3</t>
  </si>
  <si>
    <t>14,103,101,5,1,3,8,4</t>
  </si>
  <si>
    <t>13,5,3,1,7,4,8,101</t>
  </si>
  <si>
    <t>13,5,2,101,4,8,7,3</t>
  </si>
  <si>
    <t>14,103,1,5,101,4,3,2</t>
  </si>
  <si>
    <t>19,13,3,1,8,4,7,2</t>
  </si>
  <si>
    <t>14,4,3,5,101,8,2,7</t>
  </si>
  <si>
    <t>13,14,1,3,2,7,101,4</t>
  </si>
  <si>
    <t>103,101,1,3,5,7,4,8</t>
  </si>
  <si>
    <t>16,14,4,8,2,7,1,101</t>
  </si>
  <si>
    <t>19,103,3,101,1,8,2,7</t>
  </si>
  <si>
    <t>20,14,2,8,7,101,5,1</t>
  </si>
  <si>
    <t>103,14,3,2,5,101,7,4</t>
  </si>
  <si>
    <t>16,103,14,1,101,5,7,4</t>
  </si>
  <si>
    <t>14,13,101,7,1,8,3,4</t>
  </si>
  <si>
    <t>13,2,3,101,4,7,5,1</t>
  </si>
  <si>
    <t>17,103,101,5,1,4,8,7</t>
  </si>
  <si>
    <t>13,14,5,3,101,8,1,4</t>
  </si>
  <si>
    <t>19,13,103,5,1,8,7,4</t>
  </si>
  <si>
    <t>16,13,101,4,7,3,2,8</t>
  </si>
  <si>
    <t>103,8,4,101,1,5,3,7</t>
  </si>
  <si>
    <t>13,1,101,8,7,2,3,4</t>
  </si>
  <si>
    <t>103,8,101,5,4,2,3,7</t>
  </si>
  <si>
    <t>14,103,4,1,5,7,2,3</t>
  </si>
  <si>
    <t>16,13,5,8,3,4,101,2</t>
  </si>
  <si>
    <t>103,13,5,1,8,101,4,3</t>
  </si>
  <si>
    <t>103,7,2,8,101,5,4,1</t>
  </si>
  <si>
    <t>19,13,4,3,5,1,8,7</t>
  </si>
  <si>
    <t>103,14,7,5,2,8,1,3</t>
  </si>
  <si>
    <t>14,103,3,2,4,7,8,5</t>
  </si>
  <si>
    <t>103,3,5,1,101,2,8,4</t>
  </si>
  <si>
    <t>14,13,3,8,1,4,5,2</t>
  </si>
  <si>
    <t>14,13,2,101,3,5,7,1</t>
  </si>
  <si>
    <t>13,7,1,5,4,2,101,8</t>
  </si>
  <si>
    <t>16,103,13,2,4,1,101,3</t>
  </si>
  <si>
    <t>20,103,14,2,8,4,1,3</t>
  </si>
  <si>
    <t>103,5,101,3,2,4,7,8</t>
  </si>
  <si>
    <t>14,1,5,2,4,3,101,7</t>
  </si>
  <si>
    <t>103,14,101,4,7,5,2,3</t>
  </si>
  <si>
    <t>13,2,1,5,101,8,7,3</t>
  </si>
  <si>
    <t>16,13,3,1,7,2,8,5</t>
  </si>
  <si>
    <t>103,14,3,5,8,2,4,1</t>
  </si>
  <si>
    <t>17,14,13,1,2,8,5,7</t>
  </si>
  <si>
    <t>13,3,8,101,7,4,2,5</t>
  </si>
  <si>
    <t>13,101,5,4,8,3,2,1</t>
  </si>
  <si>
    <t>103,13,2,7,5,101,4,8</t>
  </si>
  <si>
    <t>16,13,103,3,2,5,7,1</t>
  </si>
  <si>
    <t>14,101,4,3,5,8,7,1</t>
  </si>
  <si>
    <t>14,7,3,8,2,5,1,101</t>
  </si>
  <si>
    <t>17,14,103,4,3,2,8,7</t>
  </si>
  <si>
    <t>103,14,3,5,2,101,1,4</t>
  </si>
  <si>
    <t>13,5,7,1,8,2,3,101</t>
  </si>
  <si>
    <t>103,14,101,1,5,7,8,4</t>
  </si>
  <si>
    <t>13,14,4,101,1,2,8,7</t>
  </si>
  <si>
    <t>19,103,13,3,7,4,8,101</t>
  </si>
  <si>
    <t>20,103,7,1,4,101,3,8</t>
  </si>
  <si>
    <t>20,103,8,101,2,7,3,4</t>
  </si>
  <si>
    <t>103,8,4,7,1,101,3,2</t>
  </si>
  <si>
    <t>14,13,4,1,7,8,3,101</t>
  </si>
  <si>
    <t>13,103,101,5,1,8,2,3</t>
  </si>
  <si>
    <t>13,8,5,3,4,2,7,1</t>
  </si>
  <si>
    <t>13,103,2,5,4,8,101,7</t>
  </si>
  <si>
    <t>16,14,103,101,8,1,5,7</t>
  </si>
  <si>
    <t>17,13,14,4,2,7,3,101</t>
  </si>
  <si>
    <t>13,103,7,1,3,8,5,4</t>
  </si>
  <si>
    <t>13,103,4,2,3,101,7,1</t>
  </si>
  <si>
    <t>13,7,1,3,4,5,101,8</t>
  </si>
  <si>
    <t>14,103,2,5,101,7,4,3</t>
  </si>
  <si>
    <t>16,14,103,5,2,101,3,7</t>
  </si>
  <si>
    <t>19,14,7,3,5,8,1,4</t>
  </si>
  <si>
    <t>19,103,13,2,3,101,5,7</t>
  </si>
  <si>
    <t>16,14,13,1,8,4,2,101</t>
  </si>
  <si>
    <t>20,13,1,101,7,4,2,8</t>
  </si>
  <si>
    <t>17,14,103,2,5,7,101,3</t>
  </si>
  <si>
    <t>14,8,4,3,5,7,2,101</t>
  </si>
  <si>
    <t>16,14,4,3,8,101,7,2</t>
  </si>
  <si>
    <t>13,103,2,7,8,3,4,1</t>
  </si>
  <si>
    <t>19,14,3,5,8,4,1,7</t>
  </si>
  <si>
    <t>17,14,1,7,5,8,101,2</t>
  </si>
  <si>
    <t>103,4,101,1,7,5,2,8</t>
  </si>
  <si>
    <t>14,8,3,1,101,2,4,7</t>
  </si>
  <si>
    <t>13,5,2,8,3,1,4,7</t>
  </si>
  <si>
    <t>14,13,5,3,4,7,101,1</t>
  </si>
  <si>
    <t>16,14,13,2,1,101,8,7</t>
  </si>
  <si>
    <t>20,13,14,3,4,1,101,7</t>
  </si>
  <si>
    <t>20,14,5,7,1,3,4,101</t>
  </si>
  <si>
    <t>13,8,4,2,101,5,3,1</t>
  </si>
  <si>
    <t>17,103,14,4,1,101,7,3</t>
  </si>
  <si>
    <t>103,3,4,5,2,8,101,7</t>
  </si>
  <si>
    <t>16,103,4,5,7,2,1,101</t>
  </si>
  <si>
    <t>14,103,7,3,8,5,2,101</t>
  </si>
  <si>
    <t>103,14,1,101,5,7,2,4</t>
  </si>
  <si>
    <t>13,103,5,4,7,3,2,8</t>
  </si>
  <si>
    <t>13,7,101,3,5,1,2,4</t>
  </si>
  <si>
    <t>20,13,101,4,2,7,5,1</t>
  </si>
  <si>
    <t>103,14,4,8,7,1,2,3</t>
  </si>
  <si>
    <t>103,13,7,1,101,8,2,4</t>
  </si>
  <si>
    <t>14,103,1,4,3,8,2,7</t>
  </si>
  <si>
    <t>14,7,1,5,2,8,101,3</t>
  </si>
  <si>
    <t>13,14,5,1,101,8,7,2</t>
  </si>
  <si>
    <t>103,13,7,2,1,5,101,8</t>
  </si>
  <si>
    <t>14,13,1,3,8,101,5,4</t>
  </si>
  <si>
    <t>17,103,5,1,8,101,2,4</t>
  </si>
  <si>
    <t>103,7,3,8,1,101,5,4</t>
  </si>
  <si>
    <t>14,2,8,101,5,1,4,3</t>
  </si>
  <si>
    <t>13,8,5,4,1,7,101,3</t>
  </si>
  <si>
    <t>19,14,13,101,8,3,1,5</t>
  </si>
  <si>
    <t>20,103,13,8,101,2,1,3</t>
  </si>
  <si>
    <t>103,14,8,7,2,3,5,1</t>
  </si>
  <si>
    <t>13,14,101,3,4,8,2,7</t>
  </si>
  <si>
    <t>14,13,3,5,4,7,2,8</t>
  </si>
  <si>
    <t>103,13,101,1,7,2,3,4</t>
  </si>
  <si>
    <t>103,13,4,3,5,1,2,7</t>
  </si>
  <si>
    <t>14,13,2,8,1,7,4,5</t>
  </si>
  <si>
    <t>13,103,5,4,1,8,101,3</t>
  </si>
  <si>
    <t>103,13,7,3,1,4,101,5</t>
  </si>
  <si>
    <t>16,103,8,5,4,1,2,101</t>
  </si>
  <si>
    <t>16,103,14,2,5,101,1,7</t>
  </si>
  <si>
    <t>13,14,2,101,8,4,1,3</t>
  </si>
  <si>
    <t>103,101,1,3,8,5,4,7</t>
  </si>
  <si>
    <t>13,101,8,7,1,2,3,4</t>
  </si>
  <si>
    <t>19,13,101,7,2,4,3,5</t>
  </si>
  <si>
    <t>103,8,4,101,5,3,7,1</t>
  </si>
  <si>
    <t>14,103,7,5,2,4,8,101</t>
  </si>
  <si>
    <t>14,103,8,3,5,7,1,2</t>
  </si>
  <si>
    <t>19,103,13,7,101,1,3,4</t>
  </si>
  <si>
    <t>17,14,103,1,2,5,4,3</t>
  </si>
  <si>
    <t>13,103,2,8,1,4,101,3</t>
  </si>
  <si>
    <t>13,1,3,8,101,5,2,7</t>
  </si>
  <si>
    <t>17,103,14,3,1,101,7,8</t>
  </si>
  <si>
    <t>20,14,4,3,2,1,7,8</t>
  </si>
  <si>
    <t>13,4,3,2,1,8,7,5</t>
  </si>
  <si>
    <t>103,2,5,1,8,4,7,101</t>
  </si>
  <si>
    <t>13,3,2,4,7,101,1,5</t>
  </si>
  <si>
    <t>20,13,7,1,8,5,3,101</t>
  </si>
  <si>
    <t>13,8,3,1,2,101,5,4</t>
  </si>
  <si>
    <t>16,14,13,1,101,8,3,5</t>
  </si>
  <si>
    <t>103,14,101,2,5,7,1,4</t>
  </si>
  <si>
    <t>16,103,13,1,7,2,4,3</t>
  </si>
  <si>
    <t>103,2,3,101,8,4,1,5</t>
  </si>
  <si>
    <t>14,3,5,2,101,4,1,8</t>
  </si>
  <si>
    <t>17,14,2,8,7,1,4,5</t>
  </si>
  <si>
    <t>103,7,1,101,4,8,2,3</t>
  </si>
  <si>
    <t>17,14,101,7,2,5,4,3</t>
  </si>
  <si>
    <t>14,4,1,2,3,8,7,101</t>
  </si>
  <si>
    <t>17,14,103,8,7,4,5,1</t>
  </si>
  <si>
    <t>13,103,3,7,8,5,4,101</t>
  </si>
  <si>
    <t>103,3,8,5,1,4,7,101</t>
  </si>
  <si>
    <t>19,103,13,4,5,7,1,2</t>
  </si>
  <si>
    <t>14,3,1,2,5,101,7,4</t>
  </si>
  <si>
    <t>16,13,14,1,101,4,8,5</t>
  </si>
  <si>
    <t>14,4,8,5,7,1,3,2</t>
  </si>
  <si>
    <t>14,5,3,2,1,7,101,4</t>
  </si>
  <si>
    <t>103,12,5,2,7,4,1,8</t>
  </si>
  <si>
    <t>14,5,1,7,4,101,2,3</t>
  </si>
  <si>
    <t>1,3,1,3,1,1,2,1</t>
  </si>
  <si>
    <t>103,101,7,8,1,2,3,5</t>
  </si>
  <si>
    <t>1,3,1,2,3,1,2,2</t>
  </si>
  <si>
    <t>14,103,1,7,2,3,4,101</t>
  </si>
  <si>
    <t>14,101,5,3,1,2,7,8</t>
  </si>
  <si>
    <t>17,14,2,5,3,7,4,101</t>
  </si>
  <si>
    <t>20,13,8,5,4,101,3,1</t>
  </si>
  <si>
    <t>17,12,103,8,2,4,7,101</t>
  </si>
  <si>
    <t>19,14,12,3,7,4,101,1</t>
  </si>
  <si>
    <t>16,12,2,5,8,7,4,101</t>
  </si>
  <si>
    <t>14,103,2,5,4,101,8,7</t>
  </si>
  <si>
    <t>13,103,7,8,5,101,3,2</t>
  </si>
  <si>
    <t>1,1,3,3,2,1,1,2</t>
  </si>
  <si>
    <t>12,8,5,7,2,101,4,1</t>
  </si>
  <si>
    <t>1,3,1,1,3,3,3,2</t>
  </si>
  <si>
    <t>103,12,3,7,1,8,4,2</t>
  </si>
  <si>
    <t>1,1,3,2,2,2,2,1</t>
  </si>
  <si>
    <t>13,14,5,1,4,2,3,101</t>
  </si>
  <si>
    <t>1,1,3,2,3,3,1,3</t>
  </si>
  <si>
    <t>12,2,7,4,8,3,101,5</t>
  </si>
  <si>
    <t>103,12,1,101,4,2,5,7</t>
  </si>
  <si>
    <t>17,14,12,7,3,4,2,5</t>
  </si>
  <si>
    <t>17,103,101,5,4,7,1,2</t>
  </si>
  <si>
    <t>12,14,2,1,8,101,4,3</t>
  </si>
  <si>
    <t>103,14,1,7,8,5,101,4</t>
  </si>
  <si>
    <t>12,101,2,7,4,1,3,5</t>
  </si>
  <si>
    <t>1,3,1,1,2,1,3,3</t>
  </si>
  <si>
    <t>14,13,8,2,1,3,4,101</t>
  </si>
  <si>
    <t>20,14,7,1,4,101,2,5</t>
  </si>
  <si>
    <t>14,7,8,3,101,1,4,2</t>
  </si>
  <si>
    <t>1,3,2,2,2,3,1,1</t>
  </si>
  <si>
    <t>20,103,101,7,8,4,3,5</t>
  </si>
  <si>
    <t>19,103,13,101,1,4,7,5</t>
  </si>
  <si>
    <t>14,103,4,1,3,5,7,8</t>
  </si>
  <si>
    <t>103,2,101,4,7,1,5,8</t>
  </si>
  <si>
    <t>16,103,7,8,2,101,3,4</t>
  </si>
  <si>
    <t>14,103,5,1,3,2,8,4</t>
  </si>
  <si>
    <t>19,12,7,101,3,2,4,1</t>
  </si>
  <si>
    <t>103,2,4,8,7,101,3,1</t>
  </si>
  <si>
    <t>17,14,4,8,1,3,101,2</t>
  </si>
  <si>
    <t>12,14,8,101,1,3,5,7</t>
  </si>
  <si>
    <t>12,103,1,7,8,4,5,2</t>
  </si>
  <si>
    <t>12,103,4,2,7,1,5,8</t>
  </si>
  <si>
    <t>12,13,8,101,4,3,5,2</t>
  </si>
  <si>
    <t>14,13,2,5,7,4,1,101</t>
  </si>
  <si>
    <t>20,12,14,7,8,2,3,5</t>
  </si>
  <si>
    <t>14,5,4,3,101,7,1,2</t>
  </si>
  <si>
    <t>1,2,2,1,3,1,3,2</t>
  </si>
  <si>
    <t>16,14,5,2,1,101,8,7</t>
  </si>
  <si>
    <t>14,5,2,3,7,4,1,101</t>
  </si>
  <si>
    <t>1,3,3,1,3,2,2,1</t>
  </si>
  <si>
    <t>16,14,1,2,5,7,8,3</t>
  </si>
  <si>
    <t>1,1,3,2,2,3,1,1</t>
  </si>
  <si>
    <t>103,12,5,101,1,2,7,3</t>
  </si>
  <si>
    <t>14,13,3,8,2,101,1,4</t>
  </si>
  <si>
    <t>13,101,7,2,3,4,8,1</t>
  </si>
  <si>
    <t>16,12,103,3,5,1,8,2</t>
  </si>
  <si>
    <t>19,103,2,3,5,1,7,4</t>
  </si>
  <si>
    <t>12,14,1,2,101,8,3,5</t>
  </si>
  <si>
    <t>13,103,1,5,8,7,101,3</t>
  </si>
  <si>
    <t>13,3,1,5,8,7,2,101</t>
  </si>
  <si>
    <t>1,2,2,1,3,1,2,1</t>
  </si>
  <si>
    <t>13,2,5,1,3,4,8,7</t>
  </si>
  <si>
    <t>12,1,3,7,8,4,5,101</t>
  </si>
  <si>
    <t>19,103,101,2,7,1,3,5</t>
  </si>
  <si>
    <t>13,101,7,3,2,8,4,5</t>
  </si>
  <si>
    <t>12,13,101,1,8,3,7,2</t>
  </si>
  <si>
    <t>19,12,4,8,2,1,101,5</t>
  </si>
  <si>
    <t>1,1,1,2,3,3,3,1</t>
  </si>
  <si>
    <t>19,12,13,1,4,8,101,3</t>
  </si>
  <si>
    <t>103,13,4,2,101,8,3,7</t>
  </si>
  <si>
    <t>14,8,3,7,5,1,101,4</t>
  </si>
  <si>
    <t>17,12,7,4,3,2,1,101</t>
  </si>
  <si>
    <t>17,14,13,1,101,7,8,3</t>
  </si>
  <si>
    <t>19,103,12,2,5,7,4,101</t>
  </si>
  <si>
    <t>14,103,1,2,8,3,5,4</t>
  </si>
  <si>
    <t>20,14,13,2,101,3,5,4</t>
  </si>
  <si>
    <t>19,12,8,101,3,2,1,5</t>
  </si>
  <si>
    <t>12,13,1,2,4,3,5,7</t>
  </si>
  <si>
    <t>20,103,1,101,8,3,4,2</t>
  </si>
  <si>
    <t>12,103,5,7,3,4,1,8</t>
  </si>
  <si>
    <t>103,5,1,7,8,101,2,4</t>
  </si>
  <si>
    <t>16,13,3,101,1,8,7,2</t>
  </si>
  <si>
    <t>12,14,5,1,8,4,3,2</t>
  </si>
  <si>
    <t>19,14,4,101,5,7,2,8</t>
  </si>
  <si>
    <t>13,3,7,4,5,101,8,2</t>
  </si>
  <si>
    <t>16,103,1,4,7,3,8,101</t>
  </si>
  <si>
    <t>14,5,4,101,2,8,1,3</t>
  </si>
  <si>
    <t>14,8,2,1,5,4,101,7</t>
  </si>
  <si>
    <t>1,3,1,2,2,3,1,1</t>
  </si>
  <si>
    <t>13,14,5,2,8,7,1,3</t>
  </si>
  <si>
    <t>20,14,12,3,2,5,7,101</t>
  </si>
  <si>
    <t>14,7,3,8,101,4,1,5</t>
  </si>
  <si>
    <t>13,12,1,2,3,101,7,5</t>
  </si>
  <si>
    <t>1,1,3,1,2,3,1,3</t>
  </si>
  <si>
    <t>17,103,3,2,1,8,4,7</t>
  </si>
  <si>
    <t>17,13,12,7,2,3,101,5</t>
  </si>
  <si>
    <t>103,7,4,1,2,101,8,3</t>
  </si>
  <si>
    <t>1,2,2,1,3,1,3,1</t>
  </si>
  <si>
    <t>103,14,3,7,4,1,5,8</t>
  </si>
  <si>
    <t>20,103,13,8,5,2,1,101</t>
  </si>
  <si>
    <t>103,101,5,7,1,8,4,3</t>
  </si>
  <si>
    <t>1,3,2,1,3,2,1,2</t>
  </si>
  <si>
    <t>19,12,1,8,4,5,3,2</t>
  </si>
  <si>
    <t>16,12,2,7,4,8,3,5</t>
  </si>
  <si>
    <t>103,12,1,8,4,5,2,7</t>
  </si>
  <si>
    <t>14,4,7,1,8,101,2,5</t>
  </si>
  <si>
    <t>17,103,12,5,4,2,1,7</t>
  </si>
  <si>
    <t>12,13,2,1,101,7,4,3</t>
  </si>
  <si>
    <t>20,103,5,8,7,3,1,2</t>
  </si>
  <si>
    <t>19,13,1,5,4,3,7,2</t>
  </si>
  <si>
    <t>16,14,7,4,5,8,1,101</t>
  </si>
  <si>
    <t>103,14,5,4,2,7,8,1</t>
  </si>
  <si>
    <t>20,103,12,1,8,5,7,101</t>
  </si>
  <si>
    <t>12,13,7,4,5,3,8,2</t>
  </si>
  <si>
    <t>19,103,1,4,2,8,101,3</t>
  </si>
  <si>
    <t>19,103,5,3,2,1,4,8</t>
  </si>
  <si>
    <t>13,103,101,7,5,3,2,1</t>
  </si>
  <si>
    <t>12,14,3,5,101,7,8,1</t>
  </si>
  <si>
    <t>103,13,101,5,2,4,3,1</t>
  </si>
  <si>
    <t>12,2,7,8,5,4,101,1</t>
  </si>
  <si>
    <t>19,12,3,1,8,101,4,2</t>
  </si>
  <si>
    <t>103,12,5,7,101,1,2,4</t>
  </si>
  <si>
    <t>19,12,103,7,2,1,101,8</t>
  </si>
  <si>
    <t>17,12,14,2,3,7,1,5</t>
  </si>
  <si>
    <t>14,13,1,3,5,7,2,101</t>
  </si>
  <si>
    <t>13,4,5,101,7,2,8,1</t>
  </si>
  <si>
    <t>14,12,2,1,4,7,5,8</t>
  </si>
  <si>
    <t>13,5,7,4,2,1,8,3</t>
  </si>
  <si>
    <t>1,2,3,2,2,1,2,2</t>
  </si>
  <si>
    <t>103,3,5,2,8,101,1,4</t>
  </si>
  <si>
    <t>1,2,2,2,3,2,1,1</t>
  </si>
  <si>
    <t>12,13,3,1,8,5,4,7</t>
  </si>
  <si>
    <t>12,3,4,8,5,101,7,2</t>
  </si>
  <si>
    <t>20,12,103,7,1,4,5,8</t>
  </si>
  <si>
    <t>20,103,14,3,1,8,5,7</t>
  </si>
  <si>
    <t>13,2,8,5,7,101,4,1</t>
  </si>
  <si>
    <t>103,13,5,1,3,7,4,8</t>
  </si>
  <si>
    <t>14,2,7,101,8,4,3,1</t>
  </si>
  <si>
    <t>20,12,103,7,2,1,5,101</t>
  </si>
  <si>
    <t>12,1,4,5,3,101,8,2</t>
  </si>
  <si>
    <t>16,103,12,1,3,101,4,8</t>
  </si>
  <si>
    <t>19,13,103,1,7,101,8,4</t>
  </si>
  <si>
    <t>13,103,3,2,101,1,7,8</t>
  </si>
  <si>
    <t>103,13,7,4,2,5,101,1</t>
  </si>
  <si>
    <t>12,13,7,8,2,3,4,1</t>
  </si>
  <si>
    <t>16,12,7,4,101,2,8,1</t>
  </si>
  <si>
    <t>1,1,2,2,3,1,3,1</t>
  </si>
  <si>
    <t>103,12,7,3,101,2,1,4</t>
  </si>
  <si>
    <t>1,1,2,1,2,1,3,1</t>
  </si>
  <si>
    <t>16,14,12,101,3,1,8,4</t>
  </si>
  <si>
    <t>12,103,101,2,5,4,7,8</t>
  </si>
  <si>
    <t>103,13,2,4,3,101,5,8</t>
  </si>
  <si>
    <t>19,14,12,3,5,8,1,7</t>
  </si>
  <si>
    <t>14,8,7,1,2,4,5,3</t>
  </si>
  <si>
    <t>12,101,8,5,1,3,4,7</t>
  </si>
  <si>
    <t>13,103,101,1,8,7,4,3</t>
  </si>
  <si>
    <t>17,13,7,3,4,101,1,8</t>
  </si>
  <si>
    <t>12,5,101,2,7,8,3,4</t>
  </si>
  <si>
    <t>13,8,101,5,7,3,4,1</t>
  </si>
  <si>
    <t>1,2,2,2,1,2,2,3</t>
  </si>
  <si>
    <t>103,12,2,8,101,1,7,5</t>
  </si>
  <si>
    <t>12,103,2,1,5,7,101,3</t>
  </si>
  <si>
    <t>16,14,103,7,1,8,4,101</t>
  </si>
  <si>
    <t>17,12,3,7,4,8,2,5</t>
  </si>
  <si>
    <t>1,1,3,3,3,2,1,1</t>
  </si>
  <si>
    <t>20,12,2,101,1,3,7,4</t>
  </si>
  <si>
    <t>103,3,2,1,7,101,5,4</t>
  </si>
  <si>
    <t>1,3,1,1,2,2,2,1</t>
  </si>
  <si>
    <t>17,12,14,2,3,8,1,101</t>
  </si>
  <si>
    <t>13,8,1,101,7,2,4,3</t>
  </si>
  <si>
    <t>12,3,8,5,2,101,4,1</t>
  </si>
  <si>
    <t>7,3,1,2,5,8,101,4</t>
  </si>
  <si>
    <t>103,14,12,5,1,8,2,101</t>
  </si>
  <si>
    <t>20,2,8,7,3,1,101,4</t>
  </si>
  <si>
    <t>12,8,2,1,4,101,3,7</t>
  </si>
  <si>
    <t>1,2,1,3,1,3,1,2</t>
  </si>
  <si>
    <t>17,12,14,103,1,2,101,5</t>
  </si>
  <si>
    <t>13,12,103,5,7,101,4,1</t>
  </si>
  <si>
    <t>17,14,12,103,3,101,5,7</t>
  </si>
  <si>
    <t>103,4,2,7,1,8,5,101</t>
  </si>
  <si>
    <t>12,13,4,2,5,3,8,7</t>
  </si>
  <si>
    <t>103,4,1,8,101,5,3,7</t>
  </si>
  <si>
    <t>1,3,1,2,2,3,3,3</t>
  </si>
  <si>
    <t>12,103,3,5,1,101,2,8</t>
  </si>
  <si>
    <t>20,103,4,7,101,8,5,3</t>
  </si>
  <si>
    <t>12,14,103,3,101,7,5,4</t>
  </si>
  <si>
    <t>16,14,13,12,101,5,2,1</t>
  </si>
  <si>
    <t>17,103,13,8,101,2,5,4</t>
  </si>
  <si>
    <t>20,12,7,3,8,1,4,2</t>
  </si>
  <si>
    <t>19,14,101,8,3,1,2,7</t>
  </si>
  <si>
    <t>103,3,8,101,2,5,7,1</t>
  </si>
  <si>
    <t>1,2,3,3,1,1,1,2</t>
  </si>
  <si>
    <t>14,12,1,7,3,101,4,5</t>
  </si>
  <si>
    <t>14,103,7,3,1,4,5,101</t>
  </si>
  <si>
    <t>7,101,5,1,4,8,3,2</t>
  </si>
  <si>
    <t>12,103,5,2,1,8,4,3</t>
  </si>
  <si>
    <t>103,14,2,7,8,3,101,4</t>
  </si>
  <si>
    <t>17,103,14,13,8,3,1,5</t>
  </si>
  <si>
    <t>16,13,103,14,1,101,8,7</t>
  </si>
  <si>
    <t>103,12,5,2,7,101,1,3</t>
  </si>
  <si>
    <t>19,103,13,14,3,1,2,7</t>
  </si>
  <si>
    <t>13,14,3,5,7,1,8,2</t>
  </si>
  <si>
    <t>12,1,101,2,5,7,8,3</t>
  </si>
  <si>
    <t>19,103,12,8,7,5,1,2</t>
  </si>
  <si>
    <t>14,7,101,5,8,3,1,2</t>
  </si>
  <si>
    <t>1,3,3,3,2,1,2,3</t>
  </si>
  <si>
    <t>103,14,12,5,8,3,2,1</t>
  </si>
  <si>
    <t>16,13,103,12,2,101,4,7</t>
  </si>
  <si>
    <t>103,7,1,101,5,8,4,3</t>
  </si>
  <si>
    <t>16,103,13,12,5,8,3,4</t>
  </si>
  <si>
    <t>14,12,2,8,7,3,4,1</t>
  </si>
  <si>
    <t>17,7,8,4,1,101,3,5</t>
  </si>
  <si>
    <t>16,13,14,2,4,8,1,7</t>
  </si>
  <si>
    <t>17,13,101,4,2,3,1,8</t>
  </si>
  <si>
    <t>101,8,3,1,2,5,4,7</t>
  </si>
  <si>
    <t>1,2,1,2,3,3,1,3</t>
  </si>
  <si>
    <t>19,12,14,103,3,101,5,1</t>
  </si>
  <si>
    <t>14,2,5,7,1,4,8,3</t>
  </si>
  <si>
    <t>17,14,13,103,8,1,2,5</t>
  </si>
  <si>
    <t>103,101,1,4,7,2,3,8</t>
  </si>
  <si>
    <t>16,14,103,12,3,101,7,8</t>
  </si>
  <si>
    <t>13,8,1,101,2,7,3,5</t>
  </si>
  <si>
    <t>19,13,12,14,7,101,3,4</t>
  </si>
  <si>
    <t>14,103,13,8,3,1,7,4</t>
  </si>
  <si>
    <t>14,12,103,5,4,3,101,7</t>
  </si>
  <si>
    <t>19,5,3,7,2,8,101,4</t>
  </si>
  <si>
    <t>1,3,1,2,2,2,2,1</t>
  </si>
  <si>
    <t>103,14,4,3,5,1,7,2</t>
  </si>
  <si>
    <t>19,12,2,3,8,1,4,101</t>
  </si>
  <si>
    <t>12,7,5,3,101,1,8,2</t>
  </si>
  <si>
    <t>1,3,3,2,1,2,1,2</t>
  </si>
  <si>
    <t>20,12,2,101,5,8,3,4</t>
  </si>
  <si>
    <t>13,12,101,2,8,4,7,1</t>
  </si>
  <si>
    <t>20,14,12,3,7,2,8,5</t>
  </si>
  <si>
    <t>12,2,4,5,8,101,3,1</t>
  </si>
  <si>
    <t>19,12,14,7,2,1,3,4</t>
  </si>
  <si>
    <t>16,12,14,101,5,8,3,4</t>
  </si>
  <si>
    <t>16,103,12,4,2,8,5,1</t>
  </si>
  <si>
    <t>17,103,14,3,4,8,101,1</t>
  </si>
  <si>
    <t>13,14,5,2,1,3,4,7</t>
  </si>
  <si>
    <t>12,7,8,1,3,4,2,5</t>
  </si>
  <si>
    <t>17,12,103,1,2,4,3,8</t>
  </si>
  <si>
    <t>13,12,101,7,5,8,2,3</t>
  </si>
  <si>
    <t>103,13,8,2,5,7,4,1</t>
  </si>
  <si>
    <t>17,13,14,12,1,4,8,3</t>
  </si>
  <si>
    <t>16,14,101,8,4,2,1,7</t>
  </si>
  <si>
    <t>20,14,13,5,4,7,101,3</t>
  </si>
  <si>
    <t>13,12,103,1,5,3,4,101</t>
  </si>
  <si>
    <t>17,103,12,7,1,5,2,4</t>
  </si>
  <si>
    <t>19,12,4,1,8,3,2,5</t>
  </si>
  <si>
    <t>20,1,5,2,3,8,7,101</t>
  </si>
  <si>
    <t>14,1,2,7,3,4,101,8</t>
  </si>
  <si>
    <t>20,12,14,7,1,3,4,5</t>
  </si>
  <si>
    <t>103,12,13,5,3,101,1,7</t>
  </si>
  <si>
    <t>13,12,4,101,2,7,1,3</t>
  </si>
  <si>
    <t>12,101,5,4,3,8,2,7</t>
  </si>
  <si>
    <t>1,2,1,3,3,1,1,1</t>
  </si>
  <si>
    <t>14,103,12,2,7,1,5,4</t>
  </si>
  <si>
    <t>12,14,103,5,101,7,8,3</t>
  </si>
  <si>
    <t>17,13,4,5,101,1,2,3</t>
  </si>
  <si>
    <t>103,13,101,4,8,7,1,2</t>
  </si>
  <si>
    <t>14,1,3,101,4,8,7,5</t>
  </si>
  <si>
    <t>103,13,4,3,2,1,7,101</t>
  </si>
  <si>
    <t>13,12,2,8,101,1,3,7</t>
  </si>
  <si>
    <t>103,101,4,2,5,8,3,1</t>
  </si>
  <si>
    <t>14,13,1,5,4,8,101,7</t>
  </si>
  <si>
    <t>12,14,13,8,4,3,101,7</t>
  </si>
  <si>
    <t>19,2,1,3,8,101,5,4</t>
  </si>
  <si>
    <t>16,14,13,1,5,8,7,4</t>
  </si>
  <si>
    <t>103,14,3,4,5,1,8,7</t>
  </si>
  <si>
    <t>16,103,12,2,3,1,7,4</t>
  </si>
  <si>
    <t>13,7,2,1,101,3,4,5</t>
  </si>
  <si>
    <t>14,13,3,4,7,5,1,8</t>
  </si>
  <si>
    <t>20,13,14,8,4,2,3,5</t>
  </si>
  <si>
    <t>16,103,14,12,2,4,3,8</t>
  </si>
  <si>
    <t>12,14,13,5,1,8,7,3</t>
  </si>
  <si>
    <t>20,14,13,103,7,3,1,4</t>
  </si>
  <si>
    <t>20,103,4,3,5,7,1,101</t>
  </si>
  <si>
    <t>14,1,3,2,7,8,4,101</t>
  </si>
  <si>
    <t>103,8,4,3,1,2,7,101</t>
  </si>
  <si>
    <t>1,3,2,2,2,1,3,3</t>
  </si>
  <si>
    <t>16,13,14,2,5,7,8,1</t>
  </si>
  <si>
    <t>19,13,14,103,4,3,2,1</t>
  </si>
  <si>
    <t>14,13,5,1,8,2,101,4</t>
  </si>
  <si>
    <t>12,103,14,101,8,5,2,4</t>
  </si>
  <si>
    <t>20,12,101,5,8,7,1,3</t>
  </si>
  <si>
    <t>14,12,2,1,101,5,4,3</t>
  </si>
  <si>
    <t>19,2,4,101,5,3,7,1</t>
  </si>
  <si>
    <t>1,3,3,1,2,1,2,2</t>
  </si>
  <si>
    <t>14,12,13,8,5,4,3,7</t>
  </si>
  <si>
    <t>20,103,13,12,1,2,101,7</t>
  </si>
  <si>
    <t>103,14,13,4,3,5,2,7</t>
  </si>
  <si>
    <t>17,13,5,2,1,101,4,8</t>
  </si>
  <si>
    <t>19,14,13,103,1,101,4,3</t>
  </si>
  <si>
    <t>14,13,12,101,7,8,1,3</t>
  </si>
  <si>
    <t>17,103,4,3,1,101,2,7</t>
  </si>
  <si>
    <t>103,13,5,1,101,2,7,3</t>
  </si>
  <si>
    <t>16,12,14,5,3,4,1,2</t>
  </si>
  <si>
    <t>103,13,8,5,2,3,7,1</t>
  </si>
  <si>
    <t>17,12,13,8,3,7,2,101</t>
  </si>
  <si>
    <t>103,12,8,1,7,3,101,4</t>
  </si>
  <si>
    <t>7,1,8,2,5,3,101,4</t>
  </si>
  <si>
    <t>3,2,2,3,3,1,2,3</t>
  </si>
  <si>
    <t>12,14,1,2,8,5,7,4</t>
  </si>
  <si>
    <t>14,13,8,4,101,7,1,5</t>
  </si>
  <si>
    <t>20,14,12,2,3,101,7,4</t>
  </si>
  <si>
    <t>12,13,5,1,8,101,7,2</t>
  </si>
  <si>
    <t>1,1,3,1,1,3,2,3</t>
  </si>
  <si>
    <t>103,2,3,4,5,101,1,8</t>
  </si>
  <si>
    <t>13,12,14,8,4,101,1,5</t>
  </si>
  <si>
    <t>14,12,4,7,3,8,101,2</t>
  </si>
  <si>
    <t>14,13,12,4,1,3,7,2</t>
  </si>
  <si>
    <t>2,7,101,4,5,1,8,3</t>
  </si>
  <si>
    <t>103,13,2,3,101,7,5,8</t>
  </si>
  <si>
    <t>19,103,14,12,8,3,101,2</t>
  </si>
  <si>
    <t>3,3,3,3,2,2,1,3</t>
  </si>
  <si>
    <t>103,12,14,101,7,4,3,2</t>
  </si>
  <si>
    <t>19,103,4,3,2,101,7,8</t>
  </si>
  <si>
    <t>16,12,103,101,2,1,3,5</t>
  </si>
  <si>
    <t>17,13,14,2,8,3,101,4</t>
  </si>
  <si>
    <t>19,12,8,4,1,3,101,5</t>
  </si>
  <si>
    <t>14,5,7,101,8,3,1,4</t>
  </si>
  <si>
    <t>1,3,2,1,3,1,1,1</t>
  </si>
  <si>
    <t>103,101,5,4,8,2,3,1</t>
  </si>
  <si>
    <t>20,13,103,3,1,5,7,101</t>
  </si>
  <si>
    <t>12,103,14,1,7,3,5,101</t>
  </si>
  <si>
    <t>20,7,2,5,101,3,8,1</t>
  </si>
  <si>
    <t>14,4,5,7,2,8,3,1</t>
  </si>
  <si>
    <t>12,5,8,1,7,3,2,101</t>
  </si>
  <si>
    <t>1,3,3,3,2,1,1,3</t>
  </si>
  <si>
    <t>14,2,5,7,101,1,4,8</t>
  </si>
  <si>
    <t>12,13,14,7,2,3,1,101</t>
  </si>
  <si>
    <t>14,2,4,7,3,101,8,1</t>
  </si>
  <si>
    <t>1,3,1,2,3,3,2,2</t>
  </si>
  <si>
    <t>103,12,5,8,2,101,4,7</t>
  </si>
  <si>
    <t>1,1,3,2,3,1,1,3</t>
  </si>
  <si>
    <t>20,13,8,3,1,7,5,4</t>
  </si>
  <si>
    <t>14,13,8,3,1,5,4,2</t>
  </si>
  <si>
    <t>3,2,4,1,4,1,3,3</t>
  </si>
  <si>
    <t>12,103,14,3,2,1,5,101</t>
  </si>
  <si>
    <t>19,103,12,14,5,3,1,8</t>
  </si>
  <si>
    <t>13,1,4,3,8,2,5,101</t>
  </si>
  <si>
    <t>2,3,4,1,3,1,3,1</t>
  </si>
  <si>
    <t>17,4,3,8,7,5,1,2</t>
  </si>
  <si>
    <t>1,4,1,2,3,4,2,2</t>
  </si>
  <si>
    <t>12,101,4,1,8,2,7,5</t>
  </si>
  <si>
    <t>2,1,4,2,1,2,2,1</t>
  </si>
  <si>
    <t>20,103,12,3,5,101,2,1</t>
  </si>
  <si>
    <t>1,2,1,1,4,4,1,3</t>
  </si>
  <si>
    <t>103,4,5,2,7,101,3,1</t>
  </si>
  <si>
    <t>2,3,4,1,4,1,1,1</t>
  </si>
  <si>
    <t>12,13,103,4,1,2,3,101</t>
  </si>
  <si>
    <t>2,2,1,4,1,3,3,3</t>
  </si>
  <si>
    <t>13,4,8,7,101,1,5,2</t>
  </si>
  <si>
    <t>2,2,1,4,3,1,4,4</t>
  </si>
  <si>
    <t>19,13,103,8,101,2,4,3</t>
  </si>
  <si>
    <t>14,7,8,1,3,5,101,4</t>
  </si>
  <si>
    <t>2,2,4,2,3,2,4,1</t>
  </si>
  <si>
    <t>103,2,4,8,5,7,101,3</t>
  </si>
  <si>
    <t>17,103,5,2,4,101,1,3</t>
  </si>
  <si>
    <t>1,1,2,2,2,4,1,1</t>
  </si>
  <si>
    <t>17,13,103,7,1,3,101,8</t>
  </si>
  <si>
    <t>1,2,2,1,4,2,3,3</t>
  </si>
  <si>
    <t>103,7,4,5,101,2,8,3</t>
  </si>
  <si>
    <t>1,3,3,3,4,3,2,2</t>
  </si>
  <si>
    <t>14,13,12,5,4,8,2,101</t>
  </si>
  <si>
    <t>2,2,1,2,2,2,2,4</t>
  </si>
  <si>
    <t>12,13,4,8,1,3,101,7</t>
  </si>
  <si>
    <t>1,1,2,4,3,2,3,1</t>
  </si>
  <si>
    <t>13,12,2,101,3,5,4,7</t>
  </si>
  <si>
    <t>2,1,4,3,1,1,4,2</t>
  </si>
  <si>
    <t>13,14,12,1,5,2,7,4</t>
  </si>
  <si>
    <t>2,2,2,1,3,1,2,4</t>
  </si>
  <si>
    <t>20,103,2,1,101,4,7,8</t>
  </si>
  <si>
    <t>13,14,12,101,7,2,4,5</t>
  </si>
  <si>
    <t>103,5,2,7,4,8,1,101</t>
  </si>
  <si>
    <t>1,1,4,2,1,3,3,1</t>
  </si>
  <si>
    <t>13,12,8,2,1,5,3,4</t>
  </si>
  <si>
    <t>101,3,4,2,8,7,1,5</t>
  </si>
  <si>
    <t>1,1,4,1,3,2,1,2</t>
  </si>
  <si>
    <t>12,13,4,8,7,2,1,101</t>
  </si>
  <si>
    <t>1,2,4,4,3,1,4,1</t>
  </si>
  <si>
    <t>17,12,103,1,2,101,4,5</t>
  </si>
  <si>
    <t>14,12,101,8,5,4,7,1</t>
  </si>
  <si>
    <t>2,1,3,3,4,3,2,3</t>
  </si>
  <si>
    <t>14,8,5,101,4,7,3,1</t>
  </si>
  <si>
    <t>2,4,3,1,3,4,2,3</t>
  </si>
  <si>
    <t>20,103,14,12,8,2,7,4</t>
  </si>
  <si>
    <t>14,4,101,7,2,3,1,8</t>
  </si>
  <si>
    <t>2,2,2,3,1,3,2,1</t>
  </si>
  <si>
    <t>19,14,13,12,5,1,8,4</t>
  </si>
  <si>
    <t>1,1,1,2,1,2,1,4</t>
  </si>
  <si>
    <t>16,13,14,4,101,1,5,7</t>
  </si>
  <si>
    <t>13,12,3,1,7,5,8,4</t>
  </si>
  <si>
    <t>1,2,4,1,4,3,3,1</t>
  </si>
  <si>
    <t>17,103,12,5,4,2,101,3</t>
  </si>
  <si>
    <t>1,2,1,3,1,1,3,4</t>
  </si>
  <si>
    <t>20,12,103,14,1,8,2,4</t>
  </si>
  <si>
    <t>13,12,14,101,5,3,8,7</t>
  </si>
  <si>
    <t>20,14,13,8,2,1,7,101</t>
  </si>
  <si>
    <t>1,2,2,2,3,1,1,3</t>
  </si>
  <si>
    <t>17,14,3,1,5,101,2,4</t>
  </si>
  <si>
    <t>1,1,3,3,1,2,4,3</t>
  </si>
  <si>
    <t>16,101,4,7,8,1,2,5</t>
  </si>
  <si>
    <t>19,14,1,7,8,4,3,5</t>
  </si>
  <si>
    <t>12,13,103,1,8,101,5,3</t>
  </si>
  <si>
    <t>1,3,4,4,4,4,1,2</t>
  </si>
  <si>
    <t>12,13,14,7,101,4,5,2</t>
  </si>
  <si>
    <t>2,2,2,1,4,2,4,2</t>
  </si>
  <si>
    <t>103,14,7,4,8,1,5,3</t>
  </si>
  <si>
    <t>16,14,12,1,101,2,3,5</t>
  </si>
  <si>
    <t>1,1,1,1,2,1,4,4</t>
  </si>
  <si>
    <t>13,14,103,1,101,8,2,4</t>
  </si>
  <si>
    <t>2,1,1,4,4,3,2,1</t>
  </si>
  <si>
    <t>16,13,14,103,7,1,101,8</t>
  </si>
  <si>
    <t>1,1,2,2,2,2,3,1</t>
  </si>
  <si>
    <t>17,12,14,13,4,2,7,8</t>
  </si>
  <si>
    <t>1,1,1,1,4,2,1,4</t>
  </si>
  <si>
    <t>103,12,5,7,2,4,8,101</t>
  </si>
  <si>
    <t>1,1,4,1,1,2,4,2</t>
  </si>
  <si>
    <t>16,8,4,101,3,2,1,7</t>
  </si>
  <si>
    <t>1,1,2,4,1,3,2,4</t>
  </si>
  <si>
    <t>12,3,101,8,1,5,2,7</t>
  </si>
  <si>
    <t>101,5,8,2,4,1,7,3</t>
  </si>
  <si>
    <t>13,2,7,5,3,101,4,8</t>
  </si>
  <si>
    <t>19,13,103,8,1,4,3,2</t>
  </si>
  <si>
    <t>1,2,1,3,3,3,2,4</t>
  </si>
  <si>
    <t>14,13,1,3,5,2,8,4</t>
  </si>
  <si>
    <t>1,1,3,4,3,1,3,4</t>
  </si>
  <si>
    <t>16,14,7,4,1,3,8,2</t>
  </si>
  <si>
    <t>1,2,2,4,1,3,4,4</t>
  </si>
  <si>
    <t>13,103,14,7,8,101,3,4</t>
  </si>
  <si>
    <t>2,1,2,1,1,3,3,4</t>
  </si>
  <si>
    <t>19,14,4,5,101,1,2,3</t>
  </si>
  <si>
    <t>103,7,8,3,4,5,101,1</t>
  </si>
  <si>
    <t>2,2,2,1,4,1,4,3</t>
  </si>
  <si>
    <t>19,13,1,7,2,4,3,8</t>
  </si>
  <si>
    <t>1,1,4,4,1,1,4,1</t>
  </si>
  <si>
    <t>14,101,4,7,3,1,5,2</t>
  </si>
  <si>
    <t>2,1,4,3,4,1,2,1</t>
  </si>
  <si>
    <t>103,12,4,8,101,1,2,3</t>
  </si>
  <si>
    <t>1,2,2,2,4,1,1,4</t>
  </si>
  <si>
    <t>19,12,13,14,4,7,3,5</t>
  </si>
  <si>
    <t>14,1,101,8,4,2,7,3</t>
  </si>
  <si>
    <t>2,3,3,2,2,1,2,3</t>
  </si>
  <si>
    <t>12,103,5,4,1,8,3,2</t>
  </si>
  <si>
    <t>2,2,1,1,4,1,2,3</t>
  </si>
  <si>
    <t>14,103,13,3,5,7,101,8</t>
  </si>
  <si>
    <t>2,1,1,3,4,1,4,4</t>
  </si>
  <si>
    <t>13,103,14,3,5,4,8,2</t>
  </si>
  <si>
    <t>2,2,2,2,4,3,3,2</t>
  </si>
  <si>
    <t>103,13,3,5,1,4,8,2</t>
  </si>
  <si>
    <t>2,1,3,4,4,3,1,1</t>
  </si>
  <si>
    <t>14,103,12,7,1,5,2,8</t>
  </si>
  <si>
    <t>2,1,2,2,2,3,4,1</t>
  </si>
  <si>
    <t>103,4,3,1,101,8,5,2</t>
  </si>
  <si>
    <t>2,4,4,1,2,4,1,4</t>
  </si>
  <si>
    <t>8,3,7,101,4,5,2,1</t>
  </si>
  <si>
    <t>4,3,2,1,2,4,2,3</t>
  </si>
  <si>
    <t>14,5,7,8,3,2,1,101</t>
  </si>
  <si>
    <t>2,3,1,2,1,3,1,4</t>
  </si>
  <si>
    <t>19,103,12,13,2,7,3,4</t>
  </si>
  <si>
    <t>1,2,2,2,2,1,4,1</t>
  </si>
  <si>
    <t>17,5,2,101,8,4,1,3</t>
  </si>
  <si>
    <t>1,3,1,1,4,1,4,2</t>
  </si>
  <si>
    <t>13,103,3,5,8,7,2,1</t>
  </si>
  <si>
    <t>13,12,14,8,1,3,4,2</t>
  </si>
  <si>
    <t>2,2,1,2,3,4,1,4</t>
  </si>
  <si>
    <t>13,12,103,3,101,2,8,1</t>
  </si>
  <si>
    <t>2,2,2,4,3,4,1,1</t>
  </si>
  <si>
    <t>14,12,103,2,7,5,3,1</t>
  </si>
  <si>
    <t>1,1,2,4,1,4,3,4</t>
  </si>
  <si>
    <t>16,14,2,4,1,5,101,7</t>
  </si>
  <si>
    <t>1,1,1,4,2,2,2,3</t>
  </si>
  <si>
    <t>12,103,3,7,101,4,5,1</t>
  </si>
  <si>
    <t>1,2,4,3,4,4,4,4</t>
  </si>
  <si>
    <t>17,4,1,101,5,8,7,2</t>
  </si>
  <si>
    <t>1,2,1,1,4,4,1,4</t>
  </si>
  <si>
    <t>20,12,14,8,5,1,4,7</t>
  </si>
  <si>
    <t>1,2,2,4,1,4,3,1</t>
  </si>
  <si>
    <t>103,1,3,5,2,4,7,8</t>
  </si>
  <si>
    <t>1,1,3,4,4,3,4,1</t>
  </si>
  <si>
    <t>12,13,7,1,101,4,2,3</t>
  </si>
  <si>
    <t>14,13,103,5,4,8,3,101</t>
  </si>
  <si>
    <t>1,2,2,2,2,3,4,1</t>
  </si>
  <si>
    <t>13,14,7,3,1,4,2,101</t>
  </si>
  <si>
    <t>1,1,3,1,2,3,3,4</t>
  </si>
  <si>
    <t>12,103,3,7,101,8,2,1</t>
  </si>
  <si>
    <t>2,2,4,1,1,4,1,1</t>
  </si>
  <si>
    <t>16,12,13,5,1,8,2,3</t>
  </si>
  <si>
    <t>16,13,12,14,4,3,101,1</t>
  </si>
  <si>
    <t>1,2,1,2,1,1,4,1</t>
  </si>
  <si>
    <t>19,12,14,103,8,5,7,3</t>
  </si>
  <si>
    <t>1,2,2,1,4,1,4,4</t>
  </si>
  <si>
    <t>17,14,7,4,5,1,101,3</t>
  </si>
  <si>
    <t>1,1,3,3,3,3,4,1</t>
  </si>
  <si>
    <t>12,103,14,8,2,1,5,3</t>
  </si>
  <si>
    <t>2,1,1,3,3,1,1,4</t>
  </si>
  <si>
    <t>19,14,103,12,3,8,7,5</t>
  </si>
  <si>
    <t>103,14,12,8,101,7,4,5</t>
  </si>
  <si>
    <t>1,2,1,4,1,4,3,1</t>
  </si>
  <si>
    <t>12,103,2,1,7,8,4,5</t>
  </si>
  <si>
    <t>1,1,4,1,2,3,1,1</t>
  </si>
  <si>
    <t>20,5,1,4,101,2,3,7</t>
  </si>
  <si>
    <t>12,14,13,8,1,7,4,3</t>
  </si>
  <si>
    <t>2,1,1,4,2,1,3,4</t>
  </si>
  <si>
    <t>17,13,12,8,2,101,3,7</t>
  </si>
  <si>
    <t>1,1,1,4,3,2,1,1</t>
  </si>
  <si>
    <t>17,103,4,5,3,2,8,1</t>
  </si>
  <si>
    <t>103,13,3,8,7,4,1,2</t>
  </si>
  <si>
    <t>2,1,1,3,4,4,1,3</t>
  </si>
  <si>
    <t>12,103,13,7,2,1,101,5</t>
  </si>
  <si>
    <t>12,103,1,101,8,2,4,5</t>
  </si>
  <si>
    <t>1,1,4,1,3,2,3,2</t>
  </si>
  <si>
    <t>7,5,2,3,101,8,1,4</t>
  </si>
  <si>
    <t>2,4,4,3,1,4,2,3</t>
  </si>
  <si>
    <t>103,4,7,8,2,5,1,101</t>
  </si>
  <si>
    <t>1,1,1,1,1,2,2,4</t>
  </si>
  <si>
    <t>17,103,7,4,1,8,2,101</t>
  </si>
  <si>
    <t>17,13,14,12,7,5,4,2</t>
  </si>
  <si>
    <t>1,2,1,1,3,2,4,2</t>
  </si>
  <si>
    <t>14,4,3,5,7,101,2,8</t>
  </si>
  <si>
    <t>2,3,3,3,1,1,1,3</t>
  </si>
  <si>
    <t>17,103,1,5,2,4,8,7</t>
  </si>
  <si>
    <t>1,1,2,1,4,1,1,1</t>
  </si>
  <si>
    <t>12,3,101,5,1,8,2,4</t>
  </si>
  <si>
    <t>16,12,103,13,2,8,5,101</t>
  </si>
  <si>
    <t>20,14,13,7,8,3,2,4</t>
  </si>
  <si>
    <t>12,3,7,8,1,4,101,2</t>
  </si>
  <si>
    <t>2,4,1,3,3,3,3,4</t>
  </si>
  <si>
    <t>13,103,7,2,101,4,8,1</t>
  </si>
  <si>
    <t>2,1,3,2,2,3,3,2</t>
  </si>
  <si>
    <t>20,2,101,8,3,1,4,5</t>
  </si>
  <si>
    <t>4,8,2,3,1,7,5,101</t>
  </si>
  <si>
    <t>3,4,1,3,1,3,1,4</t>
  </si>
  <si>
    <t>4,5,101,1,8,7,2,3</t>
  </si>
  <si>
    <t>2,1,2,4,4,3,1,1</t>
  </si>
  <si>
    <t>103,12,3,8,101,5,4,7</t>
  </si>
  <si>
    <t>2,1,1,2,1,3,3,4</t>
  </si>
  <si>
    <t>13,14,3,8,5,2,4,101</t>
  </si>
  <si>
    <t>1,1,3,4,4,2,1,3</t>
  </si>
  <si>
    <t>13,103,8,101,5,4,3,7</t>
  </si>
  <si>
    <t>12,4,3,1,2,7,101,5</t>
  </si>
  <si>
    <t>1,2,3,3,1,3,1,4</t>
  </si>
  <si>
    <t>12,2,5,1,3,101,7,8</t>
  </si>
  <si>
    <t>19,12,7,3,5,8,2,1</t>
  </si>
  <si>
    <t>1,2,2,4,4,2,3,1</t>
  </si>
  <si>
    <t>2,2,3,1,1,4,2,1</t>
  </si>
  <si>
    <t>12,13,2,4,1,7,3,5</t>
  </si>
  <si>
    <t>2,2,3,3,3,2,3,1</t>
  </si>
  <si>
    <t>12,13,103,1,2,7,4,3</t>
  </si>
  <si>
    <t>2,1,2,4,3,2,2,2</t>
  </si>
  <si>
    <t>12,14,7,3,2,1,4,8</t>
  </si>
  <si>
    <t>2,2,3,4,4,1,1,1</t>
  </si>
  <si>
    <t>14,13,8,4,3,5,101,1</t>
  </si>
  <si>
    <t>2,1,3,3,2,3,2,2</t>
  </si>
  <si>
    <t>103,13,12,3,5,101,4,1</t>
  </si>
  <si>
    <t>1,1,2,4,2,2,1,2</t>
  </si>
  <si>
    <t>12,103,4,101,2,7,1,5</t>
  </si>
  <si>
    <t>2,1,1,3,1,4,3,4</t>
  </si>
  <si>
    <t>13,12,1,101,7,2,8,5</t>
  </si>
  <si>
    <t>2,1,4,3,2,3,3,1</t>
  </si>
  <si>
    <t>12,2,101,7,5,8,1,3</t>
  </si>
  <si>
    <t>2,1,2,2,1,2,2,3</t>
  </si>
  <si>
    <t>103,13,101,4,1,5,8,2</t>
  </si>
  <si>
    <t>1,2,2,3,4,3,1,3</t>
  </si>
  <si>
    <t>17,103,14,13,3,4,5,2</t>
  </si>
  <si>
    <t>13,103,1,3,101,2,4,5</t>
  </si>
  <si>
    <t>2,1,3,3,2,1,1,4</t>
  </si>
  <si>
    <t>13,103,2,5,101,7,4,1</t>
  </si>
  <si>
    <t>103,13,12,1,2,7,4,101</t>
  </si>
  <si>
    <t>1,1,1,4,2,3,4,1</t>
  </si>
  <si>
    <t>12,103,13,7,5,3,101,4</t>
  </si>
  <si>
    <t>103,14,5,1,4,8,2,101</t>
  </si>
  <si>
    <t>13,1,8,5,7,3,4,101</t>
  </si>
  <si>
    <t>2,2,1,4,1,4,4,3</t>
  </si>
  <si>
    <t>13,103,2,1,7,101,4,5</t>
  </si>
  <si>
    <t>2,1,4,3,3,1,3,2</t>
  </si>
  <si>
    <t>14,103,204,5,101,1,8,3</t>
  </si>
  <si>
    <t>16,20,204,13,14,4,1,3</t>
  </si>
  <si>
    <t>16,204,14,12,1,101,4,3</t>
  </si>
  <si>
    <t>1,2,2,2,1,4,1,3</t>
  </si>
  <si>
    <t>19,12,4,1,2,101,7,8</t>
  </si>
  <si>
    <t>1,1,3,3,1,4,3,1</t>
  </si>
  <si>
    <t>16,20,103,204,7,3,1,5</t>
  </si>
  <si>
    <t>20,16,14,4,101,2,8,5</t>
  </si>
  <si>
    <t>1,1,1,2,3,3,1,4</t>
  </si>
  <si>
    <t>16,207,8,1,2,5,7,101</t>
  </si>
  <si>
    <t>207,204,7,1,4,8,101,5</t>
  </si>
  <si>
    <t>2,2,4,4,3,1,3,4</t>
  </si>
  <si>
    <t>103,12,7,8,4,101,3,5</t>
  </si>
  <si>
    <t>2,1,2,1,4,4,2,4</t>
  </si>
  <si>
    <t>16,109,103,12,2,5,4,8</t>
  </si>
  <si>
    <t>109,17,13,103,1,4,8,2</t>
  </si>
  <si>
    <t>1,1,2,2,2,4,2,1</t>
  </si>
  <si>
    <t>204,207,101,3,7,8,2,1</t>
  </si>
  <si>
    <t>2,1,4,4,1,2,1,3</t>
  </si>
  <si>
    <t>14,4,101,8,1,5,2,7</t>
  </si>
  <si>
    <t>2,4,4,2,3,2,3,4</t>
  </si>
  <si>
    <t>19,13,204,14,3,7,1,8</t>
  </si>
  <si>
    <t>13,12,204,5,101,2,4,7</t>
  </si>
  <si>
    <t>109,14,12,204,101,3,1,2</t>
  </si>
  <si>
    <t>207,103,8,3,1,5,4,2</t>
  </si>
  <si>
    <t>2,2,4,3,3,1,3,3</t>
  </si>
  <si>
    <t>19,204,207,1,8,101,5,2</t>
  </si>
  <si>
    <t>204,12,14,8,3,2,101,7</t>
  </si>
  <si>
    <t>2,2,2,4,2,2,4,2</t>
  </si>
  <si>
    <t>204,103,13,4,2,7,1,8</t>
  </si>
  <si>
    <t>2,2,2,1,2,3,3,2</t>
  </si>
  <si>
    <t>17,12,13,204,2,7,4,101</t>
  </si>
  <si>
    <t>109,103,3,7,2,1,4,5</t>
  </si>
  <si>
    <t>1,1,3,2,4,4,1,3</t>
  </si>
  <si>
    <t>12,207,4,1,7,101,5,2</t>
  </si>
  <si>
    <t>2,2,2,3,4,1,4,2</t>
  </si>
  <si>
    <t>109,17,103,5,3,1,2,7</t>
  </si>
  <si>
    <t>1,1,1,1,4,4,4,1</t>
  </si>
  <si>
    <t>17,20,204,5,2,7,1,3</t>
  </si>
  <si>
    <t>1,1,1,3,4,1,3,3</t>
  </si>
  <si>
    <t>204,207,103,1,101,4,5,7</t>
  </si>
  <si>
    <t>2,1,1,4,3,1,3,3</t>
  </si>
  <si>
    <t>20,103,14,204,101,1,8,4</t>
  </si>
  <si>
    <t>1,2,2,1,3,4,2,2</t>
  </si>
  <si>
    <t>109,19,14,4,8,5,7,2</t>
  </si>
  <si>
    <t>1,1,2,1,2,2,4,1</t>
  </si>
  <si>
    <t>109,204,12,101,5,4,8,3</t>
  </si>
  <si>
    <t>14,12,1,5,8,7,3,101</t>
  </si>
  <si>
    <t>2,1,3,3,3,4,4,2</t>
  </si>
  <si>
    <t>14,13,7,5,8,101,4,2</t>
  </si>
  <si>
    <t>12,2,4,7,1,5,8,101</t>
  </si>
  <si>
    <t>2,1,4,4,4,3,3,4</t>
  </si>
  <si>
    <t>20,19,204,103,8,3,101,7</t>
  </si>
  <si>
    <t>207,12,4,5,3,8,1,2</t>
  </si>
  <si>
    <t>204,12,8,3,5,4,7,2</t>
  </si>
  <si>
    <t>2,1,2,4,4,1,4,2</t>
  </si>
  <si>
    <t>109,14,103,1,3,101,7,2</t>
  </si>
  <si>
    <t>16,14,207,5,3,101,4,7</t>
  </si>
  <si>
    <t>1,2,2,3,3,3,1,3</t>
  </si>
  <si>
    <t>12,103,13,7,4,3,101,5</t>
  </si>
  <si>
    <t>2,1,1,2,3,3,4,2</t>
  </si>
  <si>
    <t>16,12,204,1,4,5,2,101</t>
  </si>
  <si>
    <t>1,1,1,1,4,1,3,2</t>
  </si>
  <si>
    <t>17,16,14,204,207,4,101,7</t>
  </si>
  <si>
    <t>19,109,12,7,101,8,4,1</t>
  </si>
  <si>
    <t>1,1,2,1,1,2,1,4</t>
  </si>
  <si>
    <t>12,14,1,3,101,8,7,2</t>
  </si>
  <si>
    <t>2,2,3,1,1,2,3,4</t>
  </si>
  <si>
    <t>204,103,14,8,101,5,2,1</t>
  </si>
  <si>
    <t>1,2,1,4,2,4,1,3</t>
  </si>
  <si>
    <t>12,8,4,7,1,2,5,3</t>
  </si>
  <si>
    <t>2,2,4,2,4,4,4,3</t>
  </si>
  <si>
    <t>20,19,103,14,13,7,5,3</t>
  </si>
  <si>
    <t>103,5,101,7,3,1,2,8</t>
  </si>
  <si>
    <t>1,4,4,4,2,2,1,4</t>
  </si>
  <si>
    <t>109,13,14,103,1,7,101,4</t>
  </si>
  <si>
    <t>13,207,8,3,5,2,7,101</t>
  </si>
  <si>
    <t>2,2,2,3,3,1,1,2</t>
  </si>
  <si>
    <t>12,207,7,8,1,101,4,3</t>
  </si>
  <si>
    <t>1,1,1,2,2,1,4,4</t>
  </si>
  <si>
    <t>20,14,13,204,5,2,4,101</t>
  </si>
  <si>
    <t>1,1,1,2,3,1,4,4</t>
  </si>
  <si>
    <t>19,20,13,103,204,7,101,2</t>
  </si>
  <si>
    <t>207,5,4,3,7,2,101,1</t>
  </si>
  <si>
    <t>2,1,4,3,4,1,1,4</t>
  </si>
  <si>
    <t>14,204,8,5,4,1,101,7</t>
  </si>
  <si>
    <t>109,204,13,8,4,2,3,7</t>
  </si>
  <si>
    <t>12,101,8,2,3,4,1,5</t>
  </si>
  <si>
    <t>109,20,12,14,1,101,3,5</t>
  </si>
  <si>
    <t>14,103,12,2,8,3,4,7</t>
  </si>
  <si>
    <t>1,2,2,3,1,4,1,4</t>
  </si>
  <si>
    <t>204,2,8,4,101,7,5,3</t>
  </si>
  <si>
    <t>2,4,3,4,3,1,4,4</t>
  </si>
  <si>
    <t>16,204,103,3,5,7,2,1</t>
  </si>
  <si>
    <t>1,2,2,4,4,2,1,4</t>
  </si>
  <si>
    <t>17,204,101,7,3,4,2,8</t>
  </si>
  <si>
    <t>13,5,7,8,101,3,1,4</t>
  </si>
  <si>
    <t>2,2,1,2,4,4,4,4</t>
  </si>
  <si>
    <t>13,8,4,5,7,2,3,1</t>
  </si>
  <si>
    <t>2,3,1,1,1,2,3,4</t>
  </si>
  <si>
    <t>207,13,101,3,5,8,1,7</t>
  </si>
  <si>
    <t>2,2,1,3,4,2,3,1</t>
  </si>
  <si>
    <t>19,17,204,14,5,4,7,8</t>
  </si>
  <si>
    <t>14,103,2,3,8,7,4,1</t>
  </si>
  <si>
    <t>1,1,1,4,3,2,3,4</t>
  </si>
  <si>
    <t>19,13,103,204,5,101,1,2</t>
  </si>
  <si>
    <t>103,14,101,1,5,4,8,3</t>
  </si>
  <si>
    <t>1,2,2,2,3,1,2,4</t>
  </si>
  <si>
    <t>109,17,103,2,8,101,5,1</t>
  </si>
  <si>
    <t>16,13,12,3,5,8,1,7</t>
  </si>
  <si>
    <t>13,5,2,8,101,4,3,7</t>
  </si>
  <si>
    <t>1,4,4,4,4,2,2,2</t>
  </si>
  <si>
    <t>207,7,101,5,1,3,8,2</t>
  </si>
  <si>
    <t>1,2,2,2,1,4,4,2</t>
  </si>
  <si>
    <t>19,20,13,101,1,4,5,3</t>
  </si>
  <si>
    <t>204,2,7,4,1,5,101,8</t>
  </si>
  <si>
    <t>1,3,3,1,4,3,4,2</t>
  </si>
  <si>
    <t>19,16,13,103,204,5,101,2</t>
  </si>
  <si>
    <t>14,207,7,3,4,5,1,101</t>
  </si>
  <si>
    <t>1,1,4,1,1,4,3,3</t>
  </si>
  <si>
    <t>19,109,103,101,1,3,5,7</t>
  </si>
  <si>
    <t>17,207,3,7,1,8,5,4</t>
  </si>
  <si>
    <t>1,2,1,4,4,4,3,1</t>
  </si>
  <si>
    <t>204,13,12,1,2,7,8,101</t>
  </si>
  <si>
    <t>2,2,1,3,3,4,1,3</t>
  </si>
  <si>
    <t>12,7,5,8,1,3,4,2</t>
  </si>
  <si>
    <t>1,3,3,3,3,4,1,1</t>
  </si>
  <si>
    <t>109,103,12,14,4,1,3,8</t>
  </si>
  <si>
    <t>1,1,1,2,4,2,1,2</t>
  </si>
  <si>
    <t>19,109,207,3,2,5,7,8</t>
  </si>
  <si>
    <t>20,16,204,13,8,4,7,3</t>
  </si>
  <si>
    <t>1,1,1,2,4,4,4,1</t>
  </si>
  <si>
    <t>12,13,8,101,7,2,4,3</t>
  </si>
  <si>
    <t>1,2,1,4,2,1,3,1</t>
  </si>
  <si>
    <t>12,101,8,7,3,4,1,2</t>
  </si>
  <si>
    <t>1,3,1,2,2,2,3,1</t>
  </si>
  <si>
    <t>204,103,207,4,1,2,101,8</t>
  </si>
  <si>
    <t>2,2,1,3,3,4,2,3</t>
  </si>
  <si>
    <t>207,4,101,3,8,2,1,7</t>
  </si>
  <si>
    <t>2,4,3,1,1,2,2,2</t>
  </si>
  <si>
    <t>13,204,1,7,101,4,8,5</t>
  </si>
  <si>
    <t>2,2,4,4,2,4,4,4</t>
  </si>
  <si>
    <t>16,204,207,4,5,8,2,101</t>
  </si>
  <si>
    <t>1,2,1,4,1,4,1,1</t>
  </si>
  <si>
    <t>13,207,204,2,101,1,3,5</t>
  </si>
  <si>
    <t>16,19,103,207,1,3,4,5</t>
  </si>
  <si>
    <t>1,1,1,2,2,2,1,4</t>
  </si>
  <si>
    <t>19,20,12,103,207,1,4,7</t>
  </si>
  <si>
    <t>13,204,2,7,4,5,3,1</t>
  </si>
  <si>
    <t>207,14,3,101,4,5,7,1</t>
  </si>
  <si>
    <t>2,2,1,3,2,4,3,2</t>
  </si>
  <si>
    <t>204,1,5,7,2,8,4,3</t>
  </si>
  <si>
    <t>13,1,4,7,5,101,8,3</t>
  </si>
  <si>
    <t>2,3,3,3,3,3,4,3</t>
  </si>
  <si>
    <t>16,20,13,207,103,101,1,5</t>
  </si>
  <si>
    <t>109,13,12,101,3,8,4,5</t>
  </si>
  <si>
    <t>207,5,1,101,7,3,4,8</t>
  </si>
  <si>
    <t>1,3,2,4,4,1,2,4</t>
  </si>
  <si>
    <t>19,204,103,13,4,5,1,101</t>
  </si>
  <si>
    <t>204,207,5,3,1,4,2,101</t>
  </si>
  <si>
    <t>2,2,4,1,2,1,3,4</t>
  </si>
  <si>
    <t>204,103,101,5,2,1,8,3</t>
  </si>
  <si>
    <t>1,1,4,4,3,2,3,4</t>
  </si>
  <si>
    <t>109,20,14,1,101,3,4,8</t>
  </si>
  <si>
    <t>1,1,2,4,1,1,2,3</t>
  </si>
  <si>
    <t>19,207,13,12,1,2,4,101</t>
  </si>
  <si>
    <t>109,20,13,7,1,4,8,2</t>
  </si>
  <si>
    <t>12,13,14,3,2,1,7,101</t>
  </si>
  <si>
    <t>2,2,2,1,3,1,2,3</t>
  </si>
  <si>
    <t>20,17,103,207,7,3,5,1</t>
  </si>
  <si>
    <t>16,19,12,1,5,3,7,2</t>
  </si>
  <si>
    <t>207,4,101,1,2,8,7,5</t>
  </si>
  <si>
    <t>1,4,1,2,1,3,3,1</t>
  </si>
  <si>
    <t>16,20,207,5,3,8,2,4</t>
  </si>
  <si>
    <t>1,1,1,1,1,2,4,1</t>
  </si>
  <si>
    <t>19,14,1,4,3,101,5,8</t>
  </si>
  <si>
    <t>1,2,3,4,1,4,3,3</t>
  </si>
  <si>
    <t>204,101,3,7,1,8,2,5</t>
  </si>
  <si>
    <t>1,4,2,1,1,3,1,2</t>
  </si>
  <si>
    <t>207,12,8,7,1,5,101,4</t>
  </si>
  <si>
    <t>1,2,1,4,3,3,2,1</t>
  </si>
  <si>
    <t>17,20,14,204,3,101,2,7</t>
  </si>
  <si>
    <t>16,17,103,204,7,4,5,2</t>
  </si>
  <si>
    <t>109,14,204,7,3,5,101,4</t>
  </si>
  <si>
    <t>1,2,1,2,1,3,4,4</t>
  </si>
  <si>
    <t>14,103,3,4,101,7,5,8</t>
  </si>
  <si>
    <t>1,1,4,1,4,3,2,4</t>
  </si>
  <si>
    <t>14,207,103,8,7,1,4,3</t>
  </si>
  <si>
    <t>13,12,103,101,5,8,4,2</t>
  </si>
  <si>
    <t>1,2,2,1,1,2,2,3</t>
  </si>
  <si>
    <t>204,207,4,3,5,2,1,101</t>
  </si>
  <si>
    <t>1,2,3,4,4,3,3,4</t>
  </si>
  <si>
    <t>103,8,7,1,4,101,3,2</t>
  </si>
  <si>
    <t>14,13,204,7,8,2,5,3</t>
  </si>
  <si>
    <t>1,2,1,3,1,2,1,3</t>
  </si>
  <si>
    <t>207,14,5,3,7,2,4,8</t>
  </si>
  <si>
    <t>1,2,3,1,2,3,1,2</t>
  </si>
  <si>
    <t>204,13,12,8,2,3,1,4</t>
  </si>
  <si>
    <t>13,207,1,8,4,7,101,3</t>
  </si>
  <si>
    <t>1,2,3,1,1,2,2,2</t>
  </si>
  <si>
    <t>12,204,13,3,4,5,1,101</t>
  </si>
  <si>
    <t>14,12,7,8,5,3,2,101</t>
  </si>
  <si>
    <t>1,1,3,4,1,1,4,4</t>
  </si>
  <si>
    <t>103,4,2,101,3,8,5,1</t>
  </si>
  <si>
    <t>1,2,1,1,2,4,1,3</t>
  </si>
  <si>
    <t>207,5,101,4,7,2,3,8</t>
  </si>
  <si>
    <t>2,2,1,2,2,4,1,2</t>
  </si>
  <si>
    <t>19,109,204,5,3,7,1,101</t>
  </si>
  <si>
    <t>17,207,13,103,1,2,8,4</t>
  </si>
  <si>
    <t>1,1,2,2,3,3,3,1</t>
  </si>
  <si>
    <t>13,101,3,7,4,1,2,8</t>
  </si>
  <si>
    <t>2,4,2,1,2,1,3,4</t>
  </si>
  <si>
    <t>19,16,103,5,101,2,1,3</t>
  </si>
  <si>
    <t>12,14,3,4,5,1,101,8</t>
  </si>
  <si>
    <t>2,2,1,1,3,2,4,1</t>
  </si>
  <si>
    <t>207,204,8,1,4,101,3,2</t>
  </si>
  <si>
    <t>2,2,3,4,4,1,4,2</t>
  </si>
  <si>
    <t>103,12,14,7,101,1,3,4</t>
  </si>
  <si>
    <t>1,2,1,2,4,1,1,3</t>
  </si>
  <si>
    <t>13,1,4,5,101,2,3,8</t>
  </si>
  <si>
    <t>14,103,101,3,2,5,1,7</t>
  </si>
  <si>
    <t>17,12,101,1,3,2,8,5</t>
  </si>
  <si>
    <t>1,1,2,1,2,4,1,4</t>
  </si>
  <si>
    <t>20,14,101,4,2,1,8,5</t>
  </si>
  <si>
    <t>103,207,4,5,101,1,7,3</t>
  </si>
  <si>
    <t>13,103,14,1,101,5,2,7</t>
  </si>
  <si>
    <t>17,109,14,207,4,7,3,8</t>
  </si>
  <si>
    <t>16,17,204,207,12,4,8,101</t>
  </si>
  <si>
    <t>103,7,8,5,4,1,3,2</t>
  </si>
  <si>
    <t>2,2,4,1,3,3,4,3</t>
  </si>
  <si>
    <t>20,204,12,7,101,2,5,1</t>
  </si>
  <si>
    <t>1,2,1,3,3,1,2,1</t>
  </si>
  <si>
    <t>109,12,204,7,5,4,8,2</t>
  </si>
  <si>
    <t>1,1,2,3,2,4,4,1</t>
  </si>
  <si>
    <t>16,17,12,101,1,4,8,7</t>
  </si>
  <si>
    <t>1,1,2,4,1,3,1,3</t>
  </si>
  <si>
    <t>19,20,13,8,4,101,7,1</t>
  </si>
  <si>
    <t>1,1,1,3,1,3,4,3</t>
  </si>
  <si>
    <t>13,207,103,5,2,4,7,101</t>
  </si>
  <si>
    <t>103,1,3,2,8,7,5,4</t>
  </si>
  <si>
    <t>2,4,2,1,3,3,1,2</t>
  </si>
  <si>
    <t>12,14,2,4,101,1,5,7</t>
  </si>
  <si>
    <t>1,2,4,2,1,2,1,4</t>
  </si>
  <si>
    <t>103,3,8,5,1,2,7,101</t>
  </si>
  <si>
    <t>16,103,12,14,2,4,1,101</t>
  </si>
  <si>
    <t>12,14,4,8,7,3,5,1</t>
  </si>
  <si>
    <t>204,12,3,4,5,2,1,101</t>
  </si>
  <si>
    <t>1,1,4,1,3,4,3,1</t>
  </si>
  <si>
    <t>2,2,3,2,4,1,3,2</t>
  </si>
  <si>
    <t>13,12,101,8,7,1,4,3</t>
  </si>
  <si>
    <t>1,2,3,1,1,2,4,4</t>
  </si>
  <si>
    <t>12,207,8,3,101,7,5,1</t>
  </si>
  <si>
    <t>1,2,2,1,4,2,1,4</t>
  </si>
  <si>
    <t>14,8,1,3,5,101,4,2</t>
  </si>
  <si>
    <t>2,1,1,2,1,2,4,1</t>
  </si>
  <si>
    <t>19,16,204,4,1,5,8,2</t>
  </si>
  <si>
    <t>12,14,13,8,101,3,2,1</t>
  </si>
  <si>
    <t>2,1,2,1,1,2,2,4</t>
  </si>
  <si>
    <t>14,101,2,3,5,4,1,8</t>
  </si>
  <si>
    <t>1,1,3,1,1,1,4,3</t>
  </si>
  <si>
    <t>103,1,2,101,5,8,3,7</t>
  </si>
  <si>
    <t>2,3,2,1,2,1,2,3</t>
  </si>
  <si>
    <t>19,109,13,8,5,4,1,2</t>
  </si>
  <si>
    <t>1,1,2,3,1,3,4,2</t>
  </si>
  <si>
    <t>12,14,13,4,101,1,2,5</t>
  </si>
  <si>
    <t>1,2,2,2,4,3,3,1</t>
  </si>
  <si>
    <t>103,14,12,3,4,101,1,8</t>
  </si>
  <si>
    <t>207,4,7,1,101,2,8,5</t>
  </si>
  <si>
    <t>2,4,4,3,4,3,2,1</t>
  </si>
  <si>
    <t>20,109,207,13,14,3,1,7</t>
  </si>
  <si>
    <t>1,1,2,1,2,2,1,4</t>
  </si>
  <si>
    <t>204,207,12,2,101,7,1,4</t>
  </si>
  <si>
    <t>2,1,2,2,1,2,2,4</t>
  </si>
  <si>
    <t>14,13,204,1,4,101,8,7</t>
  </si>
  <si>
    <t>13,204,3,5,2,4,8,1</t>
  </si>
  <si>
    <t>2,2,1,3,4,1,4,2</t>
  </si>
  <si>
    <t>20,207,12,101,5,3,2,8</t>
  </si>
  <si>
    <t>1,1,1,3,4,3,4,1</t>
  </si>
  <si>
    <t>207,12,101,4,3,8,2,7</t>
  </si>
  <si>
    <t>1,2,1,4,4,2,3,2</t>
  </si>
  <si>
    <t>103,12,14,8,3,4,5,2</t>
  </si>
  <si>
    <t>2,2,2,1,1,3,3,4</t>
  </si>
  <si>
    <t>14,12,13,1,8,101,5,4</t>
  </si>
  <si>
    <t>14,12,3,4,1,2,5,8</t>
  </si>
  <si>
    <t>2,1,3,3,2,3,1,4</t>
  </si>
  <si>
    <t>103,13,204,7,4,8,5,101</t>
  </si>
  <si>
    <t>20,12,207,7,2,101,8,5</t>
  </si>
  <si>
    <t>17,12,5,4,8,7,2,101</t>
  </si>
  <si>
    <t>1,2,1,4,4,1,1,1</t>
  </si>
  <si>
    <t>13,12,4,8,101,1,5,2</t>
  </si>
  <si>
    <t>1,1,4,1,3,3,4,2</t>
  </si>
  <si>
    <t>14,204,12,1,101,2,8,4</t>
  </si>
  <si>
    <t>1,2,1,3,1,2,2,1</t>
  </si>
  <si>
    <t>109,19,103,204,5,3,2,101</t>
  </si>
  <si>
    <t>12,204,13,101,3,5,2,7</t>
  </si>
  <si>
    <t>12,207,5,4,2,1,101,7</t>
  </si>
  <si>
    <t>103,13,204,1,101,2,8,3</t>
  </si>
  <si>
    <t>2,1,1,2,1,3,1,3</t>
  </si>
  <si>
    <t>13,204,103,3,1,7,101,5</t>
  </si>
  <si>
    <t>2,1,1,4,3,4,1,1</t>
  </si>
  <si>
    <t>109,13,4,5,101,1,3,2</t>
  </si>
  <si>
    <t>1,2,4,1,4,3,1,4</t>
  </si>
  <si>
    <t>16,13,204,14,3,7,4,1</t>
  </si>
  <si>
    <t>204,103,14,101,7,4,8,1</t>
  </si>
  <si>
    <t>2,1,1,2,1,3,3,1</t>
  </si>
  <si>
    <t>13,204,14,4,3,101,7,2</t>
  </si>
  <si>
    <t>2,2,1,3,4,2,4,3</t>
  </si>
  <si>
    <t>12,14,2,4,1,101,3,8</t>
  </si>
  <si>
    <t>1,2,4,3,3,3,4,2</t>
  </si>
  <si>
    <t>204,207,12,1,101,7,2,4</t>
  </si>
  <si>
    <t>14,5,2,7,101,3,1,4</t>
  </si>
  <si>
    <t>2,4,4,4,2,4,3,3</t>
  </si>
  <si>
    <t>19,12,101,5,8,3,7,1</t>
  </si>
  <si>
    <t>1,1,4,4,4,4,1,4</t>
  </si>
  <si>
    <t>12,2,7,8,5,3,1,4</t>
  </si>
  <si>
    <t>2,4,1,4,4,4,2,1</t>
  </si>
  <si>
    <t>207,12,8,5,4,2,101,3</t>
  </si>
  <si>
    <t>1,1,4,1,2,4,1,2</t>
  </si>
  <si>
    <t>207,14,1,7,2,101,8,5</t>
  </si>
  <si>
    <t>17,20,207,5,2,8,1,3</t>
  </si>
  <si>
    <t>103,204,207,3,2,101,1,4</t>
  </si>
  <si>
    <t>2,1,2,4,1,4,4,1</t>
  </si>
  <si>
    <t>19,109,13,207,14,2,4,8</t>
  </si>
  <si>
    <t>13,103,8,2,1,5,7,4</t>
  </si>
  <si>
    <t>19,17,12,103,7,5,4,2</t>
  </si>
  <si>
    <t>16,14,12,204,101,5,3,8</t>
  </si>
  <si>
    <t>1,2,1,1,3,3,2,4</t>
  </si>
  <si>
    <t>19,207,5,3,4,7,2,101</t>
  </si>
  <si>
    <t>19,16,207,3,4,101,1,2</t>
  </si>
  <si>
    <t>14,13,207,101,5,7,3,8</t>
  </si>
  <si>
    <t>14,13,8,4,5,7,1,101</t>
  </si>
  <si>
    <t>2,1,3,4,4,2,2,2</t>
  </si>
  <si>
    <t>207,101,8,1,3,7,5,4</t>
  </si>
  <si>
    <t>2,2,3,3,4,3,4,4</t>
  </si>
  <si>
    <t>19,20,12,103,8,7,3,4</t>
  </si>
  <si>
    <t>17,103,12,8,2,3,101,5</t>
  </si>
  <si>
    <t>207,2,101,7,5,4,8,1</t>
  </si>
  <si>
    <t>204,13,14,2,1,8,3,7</t>
  </si>
  <si>
    <t>207,14,1,2,7,3,5,4</t>
  </si>
  <si>
    <t>2,1,3,2,3,2,2,3</t>
  </si>
  <si>
    <t>14,103,8,1,2,3,101,7</t>
  </si>
  <si>
    <t>20,204,14,12,7,101,3,8</t>
  </si>
  <si>
    <t>19,17,14,204,2,4,1,101</t>
  </si>
  <si>
    <t>19,17,14,103,5,1,4,7</t>
  </si>
  <si>
    <t>14,1,2,5,4,7,101,3</t>
  </si>
  <si>
    <t>1,3,4,3,2,4,4,3</t>
  </si>
  <si>
    <t>12,207,101,5,1,3,7,4</t>
  </si>
  <si>
    <t>204,3,4,101,1,2,7,8</t>
  </si>
  <si>
    <t>17,16,12,7,5,1,3,2</t>
  </si>
  <si>
    <t>204,3,5,8,101,1,7,4</t>
  </si>
  <si>
    <t>2,2,4,4,2,3,2,4</t>
  </si>
  <si>
    <t>109,19,103,204,8,7,5,3</t>
  </si>
  <si>
    <t>19,109,204,103,1,5,4,8</t>
  </si>
  <si>
    <t>204,13,14,2,101,1,7,3</t>
  </si>
  <si>
    <t>16,13,204,207,1,8,3,2</t>
  </si>
  <si>
    <t>207,204,1,3,8,5,7,101</t>
  </si>
  <si>
    <t>204,13,1,8,5,101,2,4</t>
  </si>
  <si>
    <t>13,2,7,5,8,3,4,1</t>
  </si>
  <si>
    <t>1,4,4,4,2,2,3,2</t>
  </si>
  <si>
    <t>14,12,207,1,4,8,7,5</t>
  </si>
  <si>
    <t>17,19,14,12,103,3,5,1</t>
  </si>
  <si>
    <t>1,1,1,1,1,4,4,2</t>
  </si>
  <si>
    <t>14,103,1,3,5,2,8,4</t>
  </si>
  <si>
    <t>2,2,4,2,4,2,4,2</t>
  </si>
  <si>
    <t>16,204,12,14,7,4,2,3</t>
  </si>
  <si>
    <t>13,207,14,7,1,8,5,101</t>
  </si>
  <si>
    <t>17,19,13,101,2,1,7,4</t>
  </si>
  <si>
    <t>1,1,2,4,2,3,2,2</t>
  </si>
  <si>
    <t>1,2,4,4,3,4,2,4</t>
  </si>
  <si>
    <t>12,103,204,2,1,3,5,7</t>
  </si>
  <si>
    <t>12,13,204,7,101,5,2,4</t>
  </si>
  <si>
    <t>13,8,4,2,101,7,3,5</t>
  </si>
  <si>
    <t>2,2,4,2,3,4,4,2</t>
  </si>
  <si>
    <t>14,101,5,3,8,7,1,2</t>
  </si>
  <si>
    <t>1,4,2,3,2,2,3,2</t>
  </si>
  <si>
    <t>20,16,13,204,8,2,101,5</t>
  </si>
  <si>
    <t>103,207,12,3,2,8,4,5</t>
  </si>
  <si>
    <t>2,2,1,2,4,2,2,4</t>
  </si>
  <si>
    <t>207,13,2,1,101,8,3,4</t>
  </si>
  <si>
    <t>1,1,3,2,2,4,4,4</t>
  </si>
  <si>
    <t>12,204,5,4,1,101,7,2</t>
  </si>
  <si>
    <t>109,16,14,204,207,1,7,101</t>
  </si>
  <si>
    <t>17,103,204,12,7,4,8,3</t>
  </si>
  <si>
    <t>103,12,204,5,2,3,1,4</t>
  </si>
  <si>
    <t>13,101,3,8,5,1,4,2</t>
  </si>
  <si>
    <t>2,4,2,4,2,2,4,2</t>
  </si>
  <si>
    <t>20,12,204,5,2,1,3,101</t>
  </si>
  <si>
    <t>17,109,12,204,13,5,3,1</t>
  </si>
  <si>
    <t>109,17,12,103,14,3,5,101</t>
  </si>
  <si>
    <t>13,12,204,8,5,4,101,2</t>
  </si>
  <si>
    <t>19,20,12,14,13,7,4,1</t>
  </si>
  <si>
    <t>207,13,103,8,1,7,4,3</t>
  </si>
  <si>
    <t>16,19,103,207,13,101,8,1</t>
  </si>
  <si>
    <t>109,14,204,4,3,7,2,8</t>
  </si>
  <si>
    <t>207,13,12,4,101,5,1,3</t>
  </si>
  <si>
    <t>13,103,3,7,4,1,8,2</t>
  </si>
  <si>
    <t>2,1,3,2,2,3,2,4</t>
  </si>
  <si>
    <t>14,204,207,3,101,5,4,8</t>
  </si>
  <si>
    <t>103,12,1,2,3,101,8,7</t>
  </si>
  <si>
    <t>207,14,7,4,8,3,5,2</t>
  </si>
  <si>
    <t>13,103,207,7,2,1,4,101</t>
  </si>
  <si>
    <t>17,109,207,12,204,4,101,3</t>
  </si>
  <si>
    <t>13,12,5,1,3,7,2,4</t>
  </si>
  <si>
    <t>13,2,1,5,101,7,3,8</t>
  </si>
  <si>
    <t>1,4,2,2,2,4,2,2</t>
  </si>
  <si>
    <t>12,14,204,1,2,101,4,3</t>
  </si>
  <si>
    <t>19,20,12,1,2,4,7,8</t>
  </si>
  <si>
    <t>103,12,7,4,5,8,2,3</t>
  </si>
  <si>
    <t>1,2,4,4,3,3,2,3</t>
  </si>
  <si>
    <t>109,12,103,204,1,101,3,5</t>
  </si>
  <si>
    <t>109,204,103,207,4,2,8,7</t>
  </si>
  <si>
    <t>14,13,103,8,5,4,7,1</t>
  </si>
  <si>
    <t>109,20,12,101,1,7,5,3</t>
  </si>
  <si>
    <t>207,8,4,101,5,7,2,1</t>
  </si>
  <si>
    <t>1,2,4,4,2,3,2,2</t>
  </si>
  <si>
    <t>12,103,207,8,101,2,7,4</t>
  </si>
  <si>
    <t>17,12,204,1,4,2,101,7</t>
  </si>
  <si>
    <t>103,3,4,5,2,7,101,1</t>
  </si>
  <si>
    <t>1,3,4,4,4,2,2,3</t>
  </si>
  <si>
    <t>12,13,14,5,1,7,101,2</t>
  </si>
  <si>
    <t>204,1,8,2,5,7,101,4</t>
  </si>
  <si>
    <t>207,3,101,7,2,8,4,1</t>
  </si>
  <si>
    <t>103,1,101,4,2,8,3,5</t>
  </si>
  <si>
    <t>17,204,2,1,5,101,4,3</t>
  </si>
  <si>
    <t>17,14,103,101,1,4,7,2</t>
  </si>
  <si>
    <t>14,4,3,5,101,8,1,2</t>
  </si>
  <si>
    <t>2,4,4,4,3,4,2,2</t>
  </si>
  <si>
    <t>19,16,13,204,3,8,4,2</t>
  </si>
  <si>
    <t>103,12,13,1,101,7,2,3</t>
  </si>
  <si>
    <t>12,14,13,2,8,3,1,101</t>
  </si>
  <si>
    <t>207,14,101,7,2,4,8,3</t>
  </si>
  <si>
    <t>1,1,3,4,4,3,2,2</t>
  </si>
  <si>
    <t>12,5,2,8,7,4,3,101</t>
  </si>
  <si>
    <t>2,4,2,3,3,2,4,4</t>
  </si>
  <si>
    <t>204,4,2,7,101,1,8,3</t>
  </si>
  <si>
    <t>14,12,7,8,101,3,1,2</t>
  </si>
  <si>
    <t>19,17,14,3,5,4,101,1</t>
  </si>
  <si>
    <t>13,12,103,1,7,2,101,3</t>
  </si>
  <si>
    <t>12,8,1,7,2,3,101,4</t>
  </si>
  <si>
    <t>207,1,5,101,8,4,2,7</t>
  </si>
  <si>
    <t>2,4,4,3,2,4,2,3</t>
  </si>
  <si>
    <t>20,207,8,2,4,101,1,5</t>
  </si>
  <si>
    <t>14,12,4,5,2,1,8,101</t>
  </si>
  <si>
    <t>16,204,101,2,5,3,8,7</t>
  </si>
  <si>
    <t>13,8,1,7,4,101,5,2</t>
  </si>
  <si>
    <t>204,103,12,1,8,101,7,2</t>
  </si>
  <si>
    <t>19,16,14,1,2,8,3,4</t>
  </si>
  <si>
    <t>12,14,103,3,4,5,7,8</t>
  </si>
  <si>
    <t>12,14,13,8,2,5,1,101</t>
  </si>
  <si>
    <t>207,101,3,8,5,2,1,4</t>
  </si>
  <si>
    <t>1,3,2,3,3,3,3,4</t>
  </si>
  <si>
    <t>17,20,207,8,5,3,1,101</t>
  </si>
  <si>
    <t>109,16,13,1,7,2,3,5</t>
  </si>
  <si>
    <t>204,12,207,7,4,3,101,1</t>
  </si>
  <si>
    <t>2,2,1,3,3,2,4,4</t>
  </si>
  <si>
    <t>19,12,14,103,4,5,3,7</t>
  </si>
  <si>
    <t>103,204,13,5,4,1,2,3</t>
  </si>
  <si>
    <t>2,1,1,3,2,3,4,3</t>
  </si>
  <si>
    <t>204,1,3,101,4,5,8,7</t>
  </si>
  <si>
    <t>12,204,207,7,3,2,4,1</t>
  </si>
  <si>
    <t>12,103,14,8,5,3,4,7</t>
  </si>
  <si>
    <t>14,204,207,5,4,1,7,2</t>
  </si>
  <si>
    <t>20,103,13,2,101,3,8,1</t>
  </si>
  <si>
    <t>19,17,204,103,4,1,3,5</t>
  </si>
  <si>
    <t>207,103,3,5,7,101,2,4</t>
  </si>
  <si>
    <t>103,207,12,3,1,7,2,101</t>
  </si>
  <si>
    <t>204,5,1,4,101,2,3,7</t>
  </si>
  <si>
    <t>2,4,2,3,4,4,3,4</t>
  </si>
  <si>
    <t>14,12,1,8,101,5,2,7</t>
  </si>
  <si>
    <t>1,1,3,4,4,2,2,3</t>
  </si>
  <si>
    <t>103,4,5,101,2,7,1,3</t>
  </si>
  <si>
    <t>12,7,1,3,101,8,5,2</t>
  </si>
  <si>
    <t>103,12,101,4,5,8,3,1</t>
  </si>
  <si>
    <t>204,1,101,7,8,5,3,4</t>
  </si>
  <si>
    <t>2,4,3,2,3,3,4,3</t>
  </si>
  <si>
    <t>17,20,103,1,2,101,4,8</t>
  </si>
  <si>
    <t>207,204,2,7,4,1,3,101</t>
  </si>
  <si>
    <t>2,2,3,3,4,2,2,4</t>
  </si>
  <si>
    <t>16,17,103,204,13,4,5,3</t>
  </si>
  <si>
    <t>109,12,103,14,8,7,3,2</t>
  </si>
  <si>
    <t>207,103,13,3,1,2,7,8</t>
  </si>
  <si>
    <t>103,101,1,4,7,5,3,2</t>
  </si>
  <si>
    <t>20,204,207,4,1,3,8,7</t>
  </si>
  <si>
    <t>19,16,14,103,12,101,5,8</t>
  </si>
  <si>
    <t>204,207,5,4,8,101,1,3</t>
  </si>
  <si>
    <t>2,2,4,4,3,3,4,4</t>
  </si>
  <si>
    <t>17,204,12,2,8,7,1,3</t>
  </si>
  <si>
    <t>12,1,101,7,5,3,4,2</t>
  </si>
  <si>
    <t>103,14,5,3,8,1,2,7</t>
  </si>
  <si>
    <t>12,13,4,5,1,101,7,3</t>
  </si>
  <si>
    <t>20,109,103,12,14,7,5,2</t>
  </si>
  <si>
    <t>12,204,7,1,8,2,101,5</t>
  </si>
  <si>
    <t>207,14,12,5,8,101,7,3</t>
  </si>
  <si>
    <t>1,2,1,3,3,4,4,3</t>
  </si>
  <si>
    <t>103,12,14,2,5,4,101,3</t>
  </si>
  <si>
    <t>2,2,1,3,4,4,3,3</t>
  </si>
  <si>
    <t>16,204,13,207,101,3,5,2</t>
  </si>
  <si>
    <t>207,13,5,3,1,7,2,8</t>
  </si>
  <si>
    <t>14,103,4,1,101,7,8,5</t>
  </si>
  <si>
    <t>109,17,207,8,2,7,4,101</t>
  </si>
  <si>
    <t>19,16,103,14,2,4,8,101</t>
  </si>
  <si>
    <t>20,207,14,101,1,4,7,3</t>
  </si>
  <si>
    <t>16,14,204,101,2,1,5,7</t>
  </si>
  <si>
    <t>1,2,1,4,2,2,3,3</t>
  </si>
  <si>
    <t>12,204,14,4,101,7,3,8</t>
  </si>
  <si>
    <t>2,2,1,4,4,3,2,4</t>
  </si>
  <si>
    <t>16,17,207,13,12,4,5,101</t>
  </si>
  <si>
    <t>14,207,7,1,3,5,8,4</t>
  </si>
  <si>
    <t>109,12,103,204,101,2,3,1</t>
  </si>
  <si>
    <t>19,14,12,2,1,5,101,4</t>
  </si>
  <si>
    <t>20,103,13,207,1,7,4,8</t>
  </si>
  <si>
    <t>109,19,103,7,1,8,3,4</t>
  </si>
  <si>
    <t>103,14,13,1,3,101,8,5</t>
  </si>
  <si>
    <t>13,103,207,3,101,5,2,1</t>
  </si>
  <si>
    <t>17,207,13,204,5,3,2,8</t>
  </si>
  <si>
    <t>16,109,12,103,7,1,2,8</t>
  </si>
  <si>
    <t>13,7,1,4,2,8,3,101</t>
  </si>
  <si>
    <t>1,4,2,3,4,2,2,3</t>
  </si>
  <si>
    <t>13,8,2,7,5,101,1,3</t>
  </si>
  <si>
    <t>1,3,2,2,4,3,3,3</t>
  </si>
  <si>
    <t>16,12,207,13,101,2,5,8</t>
  </si>
  <si>
    <t>1,2,2,1,4,4,3,2</t>
  </si>
  <si>
    <t>19,109,207,12,103,101,3,2</t>
  </si>
  <si>
    <t>109,16,13,2,5,8,7,3</t>
  </si>
  <si>
    <t>207,103,13,5,101,3,4,8</t>
  </si>
  <si>
    <t>13,12,7,4,2,5,3,1</t>
  </si>
  <si>
    <t>103,101,2,8,3,5,7,1</t>
  </si>
  <si>
    <t>2,3,2,3,3,4,3,4</t>
  </si>
  <si>
    <t>103,13,3,5,4,1,2,8</t>
  </si>
  <si>
    <t>207,204,4,5,2,7,101,1</t>
  </si>
  <si>
    <t>2,2,4,3,4,4,2,4</t>
  </si>
  <si>
    <t>17,14,13,103,4,5,2,8</t>
  </si>
  <si>
    <t>14,103,204,5,1,2,3,101</t>
  </si>
  <si>
    <t>1,1,1,4,3,4,2,2</t>
  </si>
  <si>
    <t>109,207,204,12,7,4,1,8</t>
  </si>
  <si>
    <t>204,14,207,4,7,3,1,101</t>
  </si>
  <si>
    <t>1,2,2,4,4,3,3,4</t>
  </si>
  <si>
    <t>12,5,8,4,1,3,7,2</t>
  </si>
  <si>
    <t>13,14,207,2,1,3,7,5</t>
  </si>
  <si>
    <t>207,8,4,101,3,1,2,7</t>
  </si>
  <si>
    <t>1,2,2,3,3,2,2,4</t>
  </si>
  <si>
    <t>20,207,12,3,1,2,7,4</t>
  </si>
  <si>
    <t>17,109,204,13,101,7,4,3</t>
  </si>
  <si>
    <t>16,207,1,2,8,4,7,3</t>
  </si>
  <si>
    <t>103,3,5,2,8,101,4,7</t>
  </si>
  <si>
    <t>1,4,2,3,3,2,3,4</t>
  </si>
  <si>
    <t>17,19,207,5,101,1,3,7</t>
  </si>
  <si>
    <t>13,207,103,3,101,7,5,8</t>
  </si>
  <si>
    <t>2,1,2,3,3,4,4,3</t>
  </si>
  <si>
    <t>207,5,3,1,4,101,7,2</t>
  </si>
  <si>
    <t>19,13,204,8,101,2,7,5</t>
  </si>
  <si>
    <t>207,103,3,4,7,1,2,5</t>
  </si>
  <si>
    <t>2,1,2,2,3,4,2,2</t>
  </si>
  <si>
    <t>16,204,207,13,2,1,101,3</t>
  </si>
  <si>
    <t>12,207,8,2,7,3,5,4</t>
  </si>
  <si>
    <t>17,207,3,4,7,1,2,101</t>
  </si>
  <si>
    <t>109,19,14,13,204,2,5,4</t>
  </si>
  <si>
    <t>20,12,204,13,101,4,1,3</t>
  </si>
  <si>
    <t>20,19,204,4,2,8,7,3</t>
  </si>
  <si>
    <t>207,12,3,8,5,4,7,2</t>
  </si>
  <si>
    <t>103,13,4,2,1,7,8,5</t>
  </si>
  <si>
    <t>2,2,4,3,2,4,3,2</t>
  </si>
  <si>
    <t>13,5,2,8,101,3,1,7</t>
  </si>
  <si>
    <t>2,2,4,3,2,3,2,2</t>
  </si>
  <si>
    <t>20,13,3,101,2,1,4,8</t>
  </si>
  <si>
    <t>13,14,8,101,3,7,2,4</t>
  </si>
  <si>
    <t>17,109,14,103,8,4,7,101</t>
  </si>
  <si>
    <t>14,7,8,5,2,1,3,101</t>
  </si>
  <si>
    <t>14,8,7,4,5,101,2,1</t>
  </si>
  <si>
    <t>2,4,4,4,3,4,3,3</t>
  </si>
  <si>
    <t>109,17,14,101,5,4,8,7</t>
  </si>
  <si>
    <t>14,12,209,8,3,7,2,4</t>
  </si>
  <si>
    <t>14,12,103,4,3,1,101,5</t>
  </si>
  <si>
    <t>209,5,8,7,4,3,1,101</t>
  </si>
  <si>
    <t>103,14,13,2,4,5,101,1</t>
  </si>
  <si>
    <t>18,109,14,209,4,1,5,101</t>
  </si>
  <si>
    <t>16,18,12,4,7,2,3,8</t>
  </si>
  <si>
    <t>16,18,14,5,101,1,7,3</t>
  </si>
  <si>
    <t>17,16,103,13,3,7,2,8</t>
  </si>
  <si>
    <t>17,18,204,13,2,4,3,1</t>
  </si>
  <si>
    <t>204,12,209,8,7,1,5,2</t>
  </si>
  <si>
    <t>2,1,2,3,4,2,3,3</t>
  </si>
  <si>
    <t>13,14,2,4,8,101,5,3</t>
  </si>
  <si>
    <t>12,103,8,101,4,3,7,5</t>
  </si>
  <si>
    <t>1,1,3,4,4,3,2,3</t>
  </si>
  <si>
    <t>109,18,204,103,207,1,3,8</t>
  </si>
  <si>
    <t>207,103,12,101,8,3,7,5</t>
  </si>
  <si>
    <t>13,209,204,101,5,4,7,2</t>
  </si>
  <si>
    <t>16,19,204,14,12,2,8,1</t>
  </si>
  <si>
    <t>207,209,8,3,4,101,7,5</t>
  </si>
  <si>
    <t>2,1,3,2,4,2,4,3</t>
  </si>
  <si>
    <t>18,16,207,103,13,4,3,2</t>
  </si>
  <si>
    <t>103,207,14,101,2,4,5,8</t>
  </si>
  <si>
    <t>13,14,12,1,5,7,8,4</t>
  </si>
  <si>
    <t>204,13,103,2,4,101,1,7</t>
  </si>
  <si>
    <t>1,1,2,4,3,4,2,4</t>
  </si>
  <si>
    <t>18,209,12,103,3,7,4,8</t>
  </si>
  <si>
    <t>18,12,13,3,1,8,101,7</t>
  </si>
  <si>
    <t>1,2,2,3,3,4,4,4</t>
  </si>
  <si>
    <t>103,207,2,101,4,5,8,1</t>
  </si>
  <si>
    <t>2,2,4,2,4,2,3,2</t>
  </si>
  <si>
    <t>18,12,207,2,5,101,7,1</t>
  </si>
  <si>
    <t>20,18,13,209,12,8,5,4</t>
  </si>
  <si>
    <t>103,12,4,2,5,1,101,7</t>
  </si>
  <si>
    <t>204,8,101,3,5,7,1,2</t>
  </si>
  <si>
    <t>20,13,12,14,4,101,1,8</t>
  </si>
  <si>
    <t>109,17,204,12,103,7,8,1</t>
  </si>
  <si>
    <t>207,209,13,3,4,2,7,8</t>
  </si>
  <si>
    <t>20,17,14,13,207,8,5,1</t>
  </si>
  <si>
    <t>209,12,1,2,101,4,8,3</t>
  </si>
  <si>
    <t>2,2,3,4,2,3,2,2</t>
  </si>
  <si>
    <t>204,12,5,3,8,2,101,7</t>
  </si>
  <si>
    <t>204,12,207,7,3,5,4,101</t>
  </si>
  <si>
    <t>2,2,1,2,2,3,4,2</t>
  </si>
  <si>
    <t>12,209,4,101,8,2,3,7</t>
  </si>
  <si>
    <t>14,207,12,2,101,4,3,8</t>
  </si>
  <si>
    <t>109,207,13,103,7,3,101,1</t>
  </si>
  <si>
    <t>1,2,1,1,4,3,3,2</t>
  </si>
  <si>
    <t>209,12,8,101,3,4,5,2</t>
  </si>
  <si>
    <t>16,209,7,3,5,8,1,101</t>
  </si>
  <si>
    <t>1,2,3,2,2,4,2,4</t>
  </si>
  <si>
    <t>13,204,1,101,5,2,8,4</t>
  </si>
  <si>
    <t>18,14,13,204,3,2,101,1</t>
  </si>
  <si>
    <t>1,2,1,1,2,4,3,4</t>
  </si>
  <si>
    <t>204,4,1,8,101,3,5,2</t>
  </si>
  <si>
    <t>1,4,2,4,4,3,2,2</t>
  </si>
  <si>
    <t>20,209,12,103,101,5,8,2</t>
  </si>
  <si>
    <t>209,8,3,1,2,7,5,101</t>
  </si>
  <si>
    <t>209,14,13,8,4,3,1,7</t>
  </si>
  <si>
    <t>109,16,13,8,7,1,101,4</t>
  </si>
  <si>
    <t>20,16,13,103,12,1,3,8</t>
  </si>
  <si>
    <t>103,14,12,8,1,3,5,7</t>
  </si>
  <si>
    <t>14,204,12,3,2,7,4,101</t>
  </si>
  <si>
    <t>18,20,12,2,101,4,7,5</t>
  </si>
  <si>
    <t>103,14,204,5,1,101,7,4</t>
  </si>
  <si>
    <t>103,13,8,3,4,2,7,1</t>
  </si>
  <si>
    <t>2,1,2,3,3,4,4,2</t>
  </si>
  <si>
    <t>204,12,2,4,1,3,101,5</t>
  </si>
  <si>
    <t>16,109,103,1,8,2,5,4</t>
  </si>
  <si>
    <t>17,204,103,5,101,8,3,1</t>
  </si>
  <si>
    <t>103,207,2,1,101,5,8,7</t>
  </si>
  <si>
    <t>2,1,2,4,2,3,4,2</t>
  </si>
  <si>
    <t>204,209,13,3,1,4,101,5</t>
  </si>
  <si>
    <t>14,12,5,8,1,7,4,101</t>
  </si>
  <si>
    <t>16,109,12,207,101,7,1,8</t>
  </si>
  <si>
    <t>13,12,7,1,3,4,8,2</t>
  </si>
  <si>
    <t>209,5,8,4,101,7,3,2</t>
  </si>
  <si>
    <t>1,4,2,2,2,3,4,2</t>
  </si>
  <si>
    <t>12,204,207,3,8,101,4,1</t>
  </si>
  <si>
    <t>103,204,5,3,4,8,1,7</t>
  </si>
  <si>
    <t>2,2,2,3,4,2,3,3</t>
  </si>
  <si>
    <t>204,207,14,5,2,4,3,7</t>
  </si>
  <si>
    <t>103,209,8,4,1,7,3,5</t>
  </si>
  <si>
    <t>209,7,5,8,101,2,1,3</t>
  </si>
  <si>
    <t>209,13,14,8,3,5,7,101</t>
  </si>
  <si>
    <t>12,14,8,4,1,101,5,3</t>
  </si>
  <si>
    <t>20,16,207,209,14,5,1,7</t>
  </si>
  <si>
    <t>13,1,8,3,5,4,2,101</t>
  </si>
  <si>
    <t>2,3,3,4,2,4,4,2</t>
  </si>
  <si>
    <t>17,20,13,12,8,101,7,1</t>
  </si>
  <si>
    <t>14,103,12,2,101,5,4,1</t>
  </si>
  <si>
    <t>16,14,207,2,4,8,5,7</t>
  </si>
  <si>
    <t>13,204,14,2,4,7,1,3</t>
  </si>
  <si>
    <t>103,207,209,101,5,8,7,1</t>
  </si>
  <si>
    <t>13,14,3,4,2,5,101,7</t>
  </si>
  <si>
    <t>207,13,8,2,7,1,5,101</t>
  </si>
  <si>
    <t>2,1,4,3,4,2,2,3</t>
  </si>
  <si>
    <t>17,12,103,8,1,101,5,2</t>
  </si>
  <si>
    <t>20,12,7,2,101,5,4,8</t>
  </si>
  <si>
    <t>207,103,2,1,8,7,3,5</t>
  </si>
  <si>
    <t>2,2,3,4,4,2,4,3</t>
  </si>
  <si>
    <t>13,101,5,1,3,8,4,7</t>
  </si>
  <si>
    <t>103,13,4,5,101,7,2,3</t>
  </si>
  <si>
    <t>13,103,101,8,4,2,5,7</t>
  </si>
  <si>
    <t>1,2,4,2,2,2,3,3</t>
  </si>
  <si>
    <t>12,13,2,7,4,101,8,1</t>
  </si>
  <si>
    <t>109,19,103,14,3,1,8,2</t>
  </si>
  <si>
    <t>14,207,13,5,101,1,4,2</t>
  </si>
  <si>
    <t>13,12,14,1,8,101,2,5</t>
  </si>
  <si>
    <t>1,2,2,4,3,4,4,3</t>
  </si>
  <si>
    <t>16,207,3,101,4,2,8,5</t>
  </si>
  <si>
    <t>1,1,4,4,2,4,3,4</t>
  </si>
  <si>
    <t>209,8,4,7,2,101,5,1</t>
  </si>
  <si>
    <t>13,207,4,1,3,101,5,7</t>
  </si>
  <si>
    <t>19,14,1,2,7,8,3,5</t>
  </si>
  <si>
    <t>209,207,12,5,3,101,8,7</t>
  </si>
  <si>
    <t>103,207,3,2,1,101,7,5</t>
  </si>
  <si>
    <t>1,2,4,3,3,3,4,4</t>
  </si>
  <si>
    <t>18,16,12,5,7,1,2,4</t>
  </si>
  <si>
    <t>207,7,2,1,4,3,8,101</t>
  </si>
  <si>
    <t>1,4,3,4,4,3,2,4</t>
  </si>
  <si>
    <t>207,209,2,7,5,101,8,4</t>
  </si>
  <si>
    <t>207,2,5,3,101,1,4,7</t>
  </si>
  <si>
    <t>2,2,4,2,3,4,2,4</t>
  </si>
  <si>
    <t>103,5,101,3,7,2,8,1</t>
  </si>
  <si>
    <t>17,12,101,2,1,3,5,4</t>
  </si>
  <si>
    <t>109,17,204,209,207,5,8,2</t>
  </si>
  <si>
    <t>19,109,204,5,7,2,8,1</t>
  </si>
  <si>
    <t>13,207,12,3,7,5,2,4</t>
  </si>
  <si>
    <t>17,204,13,209,8,101,7,1</t>
  </si>
  <si>
    <t>209,12,5,3,8,2,4,101</t>
  </si>
  <si>
    <t>207,12,204,8,101,5,7,1</t>
  </si>
  <si>
    <t>204,8,2,4,101,3,5,1</t>
  </si>
  <si>
    <t>1,3,3,2,2,4,2,2</t>
  </si>
  <si>
    <t>109,18,207,204,12,7,1,5</t>
  </si>
  <si>
    <t>209,204,5,8,101,7,4,1</t>
  </si>
  <si>
    <t>2,1,4,2,4,3,2,2</t>
  </si>
  <si>
    <t>207,204,103,2,101,3,8,5</t>
  </si>
  <si>
    <t>13,207,204,7,101,4,5,2</t>
  </si>
  <si>
    <t>2,2,1,2,3,2,4,2</t>
  </si>
  <si>
    <t>19,13,101,5,7,1,8,3</t>
  </si>
  <si>
    <t>1,2,3,4,2,3,4,4</t>
  </si>
  <si>
    <t>20,109,204,12,14,8,1,5</t>
  </si>
  <si>
    <t>18,13,5,3,1,8,7,4</t>
  </si>
  <si>
    <t>13,209,204,1,7,8,101,5</t>
  </si>
  <si>
    <t>2,2,1,2,4,2,2,3</t>
  </si>
  <si>
    <t>20,16,204,12,103,4,8,5</t>
  </si>
  <si>
    <t>1,1,1,1,1,3,4,2</t>
  </si>
  <si>
    <t>204,13,209,7,1,5,8,3</t>
  </si>
  <si>
    <t>12,13,209,3,4,101,5,7</t>
  </si>
  <si>
    <t>12,207,209,1,7,2,3,8</t>
  </si>
  <si>
    <t>109,207,12,7,5,2,3,101</t>
  </si>
  <si>
    <t>204,1,4,101,8,5,7,3</t>
  </si>
  <si>
    <t>2,4,4,3,4,2,4,4</t>
  </si>
  <si>
    <t>20,16,13,7,1,2,5,8</t>
  </si>
  <si>
    <t>207,103,101,1,3,2,8,7</t>
  </si>
  <si>
    <t>12,204,207,7,1,2,4,3</t>
  </si>
  <si>
    <t>2,2,2,2,4,4,2,3</t>
  </si>
  <si>
    <t>204,207,1,4,2,3,7,5</t>
  </si>
  <si>
    <t>1,2,4,3,3,4,3,4</t>
  </si>
  <si>
    <t>19,204,13,12,5,8,4,101</t>
  </si>
  <si>
    <t>109,12,1,4,101,7,5,3</t>
  </si>
  <si>
    <t>103,12,207,5,4,3,2,101</t>
  </si>
  <si>
    <t>13,207,209,7,101,3,2,5</t>
  </si>
  <si>
    <t>207,2,3,1,101,8,5,7</t>
  </si>
  <si>
    <t>14,103,3,2,8,101,7,4</t>
  </si>
  <si>
    <t>12,103,101,1,3,7,8,2</t>
  </si>
  <si>
    <t>2,2,4,2,3,3,3,2</t>
  </si>
  <si>
    <t>209,2,8,1,3,101,5,4</t>
  </si>
  <si>
    <t>1,4,2,3,2,4,3,2</t>
  </si>
  <si>
    <t>19,13,103,5,8,4,3,1</t>
  </si>
  <si>
    <t>18,204,12,103,2,4,7,1</t>
  </si>
  <si>
    <t>204,103,3,7,2,1,101,8</t>
  </si>
  <si>
    <t>207,1,101,5,8,3,7,2</t>
  </si>
  <si>
    <t>18,209,204,5,101,2,1,4</t>
  </si>
  <si>
    <t>209,12,1,2,4,5,7,8</t>
  </si>
  <si>
    <t>1,1,4,2,4,3,2,2</t>
  </si>
  <si>
    <t>109,12,7,4,8,1,5,2</t>
  </si>
  <si>
    <t>209,13,14,1,3,5,4,7</t>
  </si>
  <si>
    <t>1,1,1,4,2,2,4,2</t>
  </si>
  <si>
    <t>17,13,4,3,5,7,101,8</t>
  </si>
  <si>
    <t>103,4,7,3,8,1,101,2</t>
  </si>
  <si>
    <t>2,3,4,4,2,2,2,3</t>
  </si>
  <si>
    <t>207,12,2,101,8,4,5,7</t>
  </si>
  <si>
    <t>20,19,103,209,12,1,8,2</t>
  </si>
  <si>
    <t>12,14,7,5,1,2,101,4</t>
  </si>
  <si>
    <t>109,17,209,14,101,8,7,1</t>
  </si>
  <si>
    <t>209,103,14,8,3,7,1,2</t>
  </si>
  <si>
    <t>13,209,12,3,1,7,8,4</t>
  </si>
  <si>
    <t>19,109,204,13,209,7,101,4</t>
  </si>
  <si>
    <t>103,13,7,3,4,101,5,1</t>
  </si>
  <si>
    <t>14,103,209,101,3,1,7,8</t>
  </si>
  <si>
    <t>2,1,2,2,3,3,3,3</t>
  </si>
  <si>
    <t>103,12,101,3,4,1,2,8</t>
  </si>
  <si>
    <t>109,13,209,12,101,7,1,5</t>
  </si>
  <si>
    <t>109,16,14,1,2,3,4,101</t>
  </si>
  <si>
    <t>1,1,1,4,2,3,4,3</t>
  </si>
  <si>
    <t>209,5,8,1,2,4,7,3</t>
  </si>
  <si>
    <t>2,4,4,3,4,3,3,2</t>
  </si>
  <si>
    <t>13,3,8,2,7,5,101,1</t>
  </si>
  <si>
    <t>16,109,207,2,4,8,1,5</t>
  </si>
  <si>
    <t>109,19,14,13,209,5,7,3</t>
  </si>
  <si>
    <t>20,16,103,101,5,4,8,3</t>
  </si>
  <si>
    <t>14,12,8,4,1,2,3,101</t>
  </si>
  <si>
    <t>19,209,2,4,3,8,101,1</t>
  </si>
  <si>
    <t>1,1,4,2,2,2,4,4</t>
  </si>
  <si>
    <t>109,16,103,101,5,7,3,1</t>
  </si>
  <si>
    <t>1,1,1,4,3,2,3,3</t>
  </si>
  <si>
    <t>209,207,103,5,101,8,3,1</t>
  </si>
  <si>
    <t>17,20,13,12,8,101,1,4</t>
  </si>
  <si>
    <t>17,103,1,7,4,3,5,2</t>
  </si>
  <si>
    <t>12,5,101,7,2,4,3,1</t>
  </si>
  <si>
    <t>1,4,4,3,2,2,2,3</t>
  </si>
  <si>
    <t>14,12,5,7,101,2,3,1</t>
  </si>
  <si>
    <t>2,3,4,4,3,2,4,3</t>
  </si>
  <si>
    <t>209,207,101,2,5,8,7,3</t>
  </si>
  <si>
    <t>103,7,4,1,5,3,2,101</t>
  </si>
  <si>
    <t>209,1,3,2,4,101,5,7</t>
  </si>
  <si>
    <t>2,4,3,3,3,3,4,3</t>
  </si>
  <si>
    <t>18,204,209,14,8,2,7,101</t>
  </si>
  <si>
    <t>209,204,8,101,4,3,7,5</t>
  </si>
  <si>
    <t>20,209,13,4,101,1,8,5</t>
  </si>
  <si>
    <t>207,7,3,5,8,1,4,101</t>
  </si>
  <si>
    <t>1,2,3,4,3,2,2,2</t>
  </si>
  <si>
    <t>103,207,204,2,5,1,101,4</t>
  </si>
  <si>
    <t>19,209,13,103,4,5,101,2</t>
  </si>
  <si>
    <t>17,207,12,14,101,1,7,4</t>
  </si>
  <si>
    <t>14,4,101,3,1,8,7,5</t>
  </si>
  <si>
    <t>1,3,4,3,4,2,4,3</t>
  </si>
  <si>
    <t>12,103,209,3,4,101,2,8</t>
  </si>
  <si>
    <t>14,207,12,7,4,2,5,3</t>
  </si>
  <si>
    <t>17,109,103,209,7,3,2,8</t>
  </si>
  <si>
    <t>109,18,13,4,2,7,1,3</t>
  </si>
  <si>
    <t>20,109,13,209,3,101,8,4</t>
  </si>
  <si>
    <t>12,14,1,2,4,101,8,7</t>
  </si>
  <si>
    <t>17,209,103,4,7,3,2,5</t>
  </si>
  <si>
    <t>19,109,207,13,209,1,2,5</t>
  </si>
  <si>
    <t>13,204,14,101,1,3,5,7</t>
  </si>
  <si>
    <t>207,103,4,1,8,7,101,2</t>
  </si>
  <si>
    <t>19,13,14,207,8,5,7,101</t>
  </si>
  <si>
    <t>109,16,207,14,5,101,2,4</t>
  </si>
  <si>
    <t>204,7,8,101,5,4,3,1</t>
  </si>
  <si>
    <t>1,2,2,4,3,4,2,4</t>
  </si>
  <si>
    <t>207,14,204,101,3,8,1,5</t>
  </si>
  <si>
    <t>14,103,207,7,5,3,8,1</t>
  </si>
  <si>
    <t>2,2,1,3,3,3,2,4</t>
  </si>
  <si>
    <t>204,5,3,2,101,8,7,1</t>
  </si>
  <si>
    <t>204,14,209,8,101,5,1,4</t>
  </si>
  <si>
    <t>2,2,2,3,4,2,3,2</t>
  </si>
  <si>
    <t>109,13,103,12,5,2,7,1</t>
  </si>
  <si>
    <t>103,14,204,3,5,8,4,1</t>
  </si>
  <si>
    <t>204,207,4,1,3,2,8,101</t>
  </si>
  <si>
    <t>2,2,2,2,4,2,2,2</t>
  </si>
  <si>
    <t>18,204,1,101,5,3,7,8</t>
  </si>
  <si>
    <t>207,209,7,3,1,8,5,2</t>
  </si>
  <si>
    <t>17,14,5,7,101,1,3,4</t>
  </si>
  <si>
    <t>14,13,2,8,1,5,7,3</t>
  </si>
  <si>
    <t>1,2,2,4,3,2,2,4</t>
  </si>
  <si>
    <t>207,209,2,5,1,8,3,4</t>
  </si>
  <si>
    <t>2,1,3,2,2,2,2,4</t>
  </si>
  <si>
    <t>14,103,8,2,101,5,4,3</t>
  </si>
  <si>
    <t>20,103,209,4,8,7,3,2</t>
  </si>
  <si>
    <t>20,14,207,2,8,7,4,5</t>
  </si>
  <si>
    <t>207,103,3,8,7,4,1,2</t>
  </si>
  <si>
    <t>103,13,14,2,7,4,5,8</t>
  </si>
  <si>
    <t>207,8,101,2,7,5,4,3</t>
  </si>
  <si>
    <t>20,103,12,7,5,3,1,2</t>
  </si>
  <si>
    <t>16,207,209,12,4,8,101,7</t>
  </si>
  <si>
    <t>207,12,3,7,4,2,101,8</t>
  </si>
  <si>
    <t>17,19,207,209,13,101,7,3</t>
  </si>
  <si>
    <t>14,209,1,3,101,8,4,5</t>
  </si>
  <si>
    <t>2,1,4,4,4,3,2,2</t>
  </si>
  <si>
    <t>204,7,8,5,101,1,3,4</t>
  </si>
  <si>
    <t>2,2,4,2,4,4,4,4</t>
  </si>
  <si>
    <t>209,12,103,2,1,101,8,4</t>
  </si>
  <si>
    <t>14,8,4,7,3,2,5,101</t>
  </si>
  <si>
    <t>2,4,3,3,2,2,3,2</t>
  </si>
  <si>
    <t>14,4,1,7,8,5,101,2</t>
  </si>
  <si>
    <t>204,5,2,7,4,8,3,101</t>
  </si>
  <si>
    <t>14,103,207,2,1,4,5,7</t>
  </si>
  <si>
    <t>19,207,103,13,1,8,7,2</t>
  </si>
  <si>
    <t>17,109,12,207,5,8,4,7</t>
  </si>
  <si>
    <t>103,2,5,3,8,101,7,1</t>
  </si>
  <si>
    <t>2,4,2,4,4,3,2,4</t>
  </si>
  <si>
    <t>103,209,13,2,8,3,1,4</t>
  </si>
  <si>
    <t>109,17,12,3,8,5,101,4</t>
  </si>
  <si>
    <t>204,209,2,7,1,4,8,101</t>
  </si>
  <si>
    <t>2,1,2,4,2,4,2,3</t>
  </si>
  <si>
    <t>12,207,3,8,5,2,4,1</t>
  </si>
  <si>
    <t>2,2,3,3,3,2,4,4</t>
  </si>
  <si>
    <t>204,2,7,1,5,4,3,101</t>
  </si>
  <si>
    <t>207,3,8,7,5,2,1,101</t>
  </si>
  <si>
    <t>19,207,3,7,2,4,101,8</t>
  </si>
  <si>
    <t>209,12,13,1,101,2,7,4</t>
  </si>
  <si>
    <t>14,204,209,1,3,7,4,5</t>
  </si>
  <si>
    <t>109,14,12,101,2,8,5,1</t>
  </si>
  <si>
    <t>209,101,3,7,1,8,2,4</t>
  </si>
  <si>
    <t>204,207,101,3,1,8,2,5</t>
  </si>
  <si>
    <t>14,8,2,101,1,5,4,7</t>
  </si>
  <si>
    <t>2,2,4,3,2,2,3,4</t>
  </si>
  <si>
    <t>20,207,14,3,4,8,5,1</t>
  </si>
  <si>
    <t>12,103,4,101,8,7,3,5</t>
  </si>
  <si>
    <t>16,207,101,1,4,5,8,2</t>
  </si>
  <si>
    <t>209,13,1,5,4,7,3,8</t>
  </si>
  <si>
    <t>207,209,5,101,7,3,8,2</t>
  </si>
  <si>
    <t>103,14,204,5,8,4,1,101</t>
  </si>
  <si>
    <t>20,109,103,2,7,4,1,3</t>
  </si>
  <si>
    <t>19,207,204,7,4,5,3,1</t>
  </si>
  <si>
    <t>204,13,103,101,1,5,8,3</t>
  </si>
  <si>
    <t>103,207,13,8,7,1,3,2</t>
  </si>
  <si>
    <t>103,14,2,8,1,101,4,3</t>
  </si>
  <si>
    <t>209,12,1,2,101,3,4,8</t>
  </si>
  <si>
    <t>204,4,3,8,1,2,5,7</t>
  </si>
  <si>
    <t>2,4,3,4,3,2,2,2</t>
  </si>
  <si>
    <t>19,13,207,3,1,8,101,4</t>
  </si>
  <si>
    <t>17,20,12,8,3,5,2,4</t>
  </si>
  <si>
    <t>13,209,101,4,8,2,5,7</t>
  </si>
  <si>
    <t>13,207,5,101,8,2,4,1</t>
  </si>
  <si>
    <t>2,1,4,3,4,4,2,2</t>
  </si>
  <si>
    <t>204,209,4,3,1,2,8,5</t>
  </si>
  <si>
    <t>12,13,2,4,1,7,5,8</t>
  </si>
  <si>
    <t>204,12,13,101,1,3,5,8</t>
  </si>
  <si>
    <t>209,207,101,1,2,7,8,5</t>
  </si>
  <si>
    <t>103,204,7,101,3,1,8,4</t>
  </si>
  <si>
    <t>18,109,12,13,209,5,101,3</t>
  </si>
  <si>
    <t>204,1,3,4,2,101,7,8</t>
  </si>
  <si>
    <t>1,4,3,2,4,3,3,4</t>
  </si>
  <si>
    <t>13,204,207,5,101,1,4,2</t>
  </si>
  <si>
    <t>14,5,8,4,101,7,2,1</t>
  </si>
  <si>
    <t>1,4,4,3,3,2,4,2</t>
  </si>
  <si>
    <t>16,12,8,2,3,101,1,5</t>
  </si>
  <si>
    <t>204,12,1,2,4,101,7,3</t>
  </si>
  <si>
    <t>16,14,101,7,5,8,2,4</t>
  </si>
  <si>
    <t>17,20,204,209,2,4,101,7</t>
  </si>
  <si>
    <t>18,207,204,3,5,8,1,2</t>
  </si>
  <si>
    <t>12,209,204,7,3,101,5,2</t>
  </si>
  <si>
    <t>19,16,14,207,101,1,8,5</t>
  </si>
  <si>
    <t>209,13,4,101,8,7,1,2</t>
  </si>
  <si>
    <t>16,209,207,204,101,7,2,4</t>
  </si>
  <si>
    <t>13,103,12,2,4,5,3,8</t>
  </si>
  <si>
    <t>12,103,204,8,1,101,2,7</t>
  </si>
  <si>
    <t>13,3,2,8,1,5,7,101</t>
  </si>
  <si>
    <t>1,3,3,3,2,2,3,4</t>
  </si>
  <si>
    <t>209,14,101,8,5,4,1,7</t>
  </si>
  <si>
    <t>2,1,3,2,3,3,4,3</t>
  </si>
  <si>
    <t>204,207,209,101,2,7,3,4</t>
  </si>
  <si>
    <t>1,2,1,3,4,3,3,3</t>
  </si>
  <si>
    <t>19,17,12,209,103,2,4,5</t>
  </si>
  <si>
    <t>103,13,3,8,4,1,101,7</t>
  </si>
  <si>
    <t>20,16,209,13,8,101,7,3</t>
  </si>
  <si>
    <t>109,20,207,209,103,4,2,1</t>
  </si>
  <si>
    <t>209,13,4,2,7,5,1,101</t>
  </si>
  <si>
    <t>1,2,4,3,4,3,4,2</t>
  </si>
  <si>
    <t>13,5,3,7,4,2,1,101</t>
  </si>
  <si>
    <t>207,4,2,5,7,3,8,1</t>
  </si>
  <si>
    <t>12,3,7,101,8,1,5,4</t>
  </si>
  <si>
    <t>103,1,8,3,4,101,2,5</t>
  </si>
  <si>
    <t>207,204,5,8,101,1,7,2</t>
  </si>
  <si>
    <t>207,2,101,7,3,8,1,5</t>
  </si>
  <si>
    <t>207,103,8,5,1,7,4,101</t>
  </si>
  <si>
    <t>18,12,209,207,5,7,3,1</t>
  </si>
  <si>
    <t>209,103,8,1,5,4,2,101</t>
  </si>
  <si>
    <t>13,204,101,1,4,8,5,3</t>
  </si>
  <si>
    <t>1,2,2,4,3,3,3,2</t>
  </si>
  <si>
    <t>109,16,13,207,7,4,5,101</t>
  </si>
  <si>
    <t>12,3,2,8,101,1,5,7</t>
  </si>
  <si>
    <t>2,3,4,4,4,3,4,2</t>
  </si>
  <si>
    <t>18,16,209,207,2,3,5,7</t>
  </si>
  <si>
    <t>1,1,2,1,3,2,2,4</t>
  </si>
  <si>
    <t>16,18,13,12,1,101,8,2</t>
  </si>
  <si>
    <t>14,2,8,101,7,5,4,1</t>
  </si>
  <si>
    <t>18,19,14,3,2,7,8,5</t>
  </si>
  <si>
    <t>12,13,207,8,7,1,5,4</t>
  </si>
  <si>
    <t>103,207,3,8,101,5,7,2</t>
  </si>
  <si>
    <t>207,12,103,2,8,7,5,1</t>
  </si>
  <si>
    <t>18,109,103,204,13,101,4,2</t>
  </si>
  <si>
    <t>1,1,2,2,1,4,4,4</t>
  </si>
  <si>
    <t>13,14,207,7,8,3,4,5</t>
  </si>
  <si>
    <t>13,4,1,101,7,8,3,5</t>
  </si>
  <si>
    <t>1,4,2,3,4,2,4,2</t>
  </si>
  <si>
    <t>12,14,103,8,3,7,4,2</t>
  </si>
  <si>
    <t>209,12,13,2,101,7,4,3</t>
  </si>
  <si>
    <t>18,19,12,13,209,8,5,2</t>
  </si>
  <si>
    <t>1,1,1,2,1,2,4,3</t>
  </si>
  <si>
    <t>16,18,103,14,4,2,3,8</t>
  </si>
  <si>
    <t>14,204,207,2,4,5,7,101</t>
  </si>
  <si>
    <t>16,209,204,207,7,101,8,5</t>
  </si>
  <si>
    <t>207,14,13,101,8,1,5,4</t>
  </si>
  <si>
    <t>2,1,2,4,2,3,3,4</t>
  </si>
  <si>
    <t>18,204,8,3,7,4,1,5</t>
  </si>
  <si>
    <t>1,1,4,2,3,4,3,4</t>
  </si>
  <si>
    <t>13,14,207,2,7,8,1,4</t>
  </si>
  <si>
    <t>209,12,204,2,4,101,1,8</t>
  </si>
  <si>
    <t>17,14,207,12,5,1,3,2</t>
  </si>
  <si>
    <t>209,204,5,1,3,7,8,4</t>
  </si>
  <si>
    <t>1,1,4,4,4,3,2,4</t>
  </si>
  <si>
    <t>17,204,7,1,3,8,4,2</t>
  </si>
  <si>
    <t>1,1,4,3,3,2,3,4</t>
  </si>
  <si>
    <t>207,5,101,4,2,8,3,1</t>
  </si>
  <si>
    <t>2,2,4,3,3,4,3,2</t>
  </si>
  <si>
    <t>12,209,14,7,4,5,2,101</t>
  </si>
  <si>
    <t>19,20,13,2,4,5,7,3</t>
  </si>
  <si>
    <t>13,12,2,5,7,4,8,101</t>
  </si>
  <si>
    <t>18,103,12,1,7,4,101,5</t>
  </si>
  <si>
    <t>204,103,5,7,1,101,2,3</t>
  </si>
  <si>
    <t>18,12,101,1,5,2,3,7</t>
  </si>
  <si>
    <t>14,209,7,1,4,5,8,3</t>
  </si>
  <si>
    <t>2,1,4,3,4,3,3,4</t>
  </si>
  <si>
    <t>20,12,207,103,2,1,101,7</t>
  </si>
  <si>
    <t>18,17,103,4,1,3,2,7</t>
  </si>
  <si>
    <t>17,20,12,13,101,4,5,1</t>
  </si>
  <si>
    <t>209,1,5,4,3,7,101,8</t>
  </si>
  <si>
    <t>2,4,2,2,3,2,3,3</t>
  </si>
  <si>
    <t>16,19,103,14,4,5,8,101</t>
  </si>
  <si>
    <t>19,16,103,209,3,4,101,8</t>
  </si>
  <si>
    <t>204,12,1,2,4,7,101,3</t>
  </si>
  <si>
    <t>13,101,8,2,1,4,5,7</t>
  </si>
  <si>
    <t>1,4,3,4,4,2,3,2</t>
  </si>
  <si>
    <t>12,8,1,5,4,2,101,3</t>
  </si>
  <si>
    <t>1,2,2,3,4,3,2,4</t>
  </si>
  <si>
    <t>207,5,2,3,8,101,1,4</t>
  </si>
  <si>
    <t>209,5,4,1,2,3,7,8</t>
  </si>
  <si>
    <t>109,16,209,14,3,7,2,101</t>
  </si>
  <si>
    <t>204,209,3,5,4,101,2,1</t>
  </si>
  <si>
    <t>1,2,4,4,3,3,3,3</t>
  </si>
  <si>
    <t>109,16,204,14,4,1,7,5</t>
  </si>
  <si>
    <t>16,20,13,209,3,101,5,1</t>
  </si>
  <si>
    <t>16,12,204,13,8,4,7,101</t>
  </si>
  <si>
    <t>14,209,4,3,8,2,101,5</t>
  </si>
  <si>
    <t>17,103,204,207,3,8,1,4</t>
  </si>
  <si>
    <t>1,2,2,1,3,3,2,2</t>
  </si>
  <si>
    <t>204,207,209,5,101,4,3,1</t>
  </si>
  <si>
    <t>17,103,12,7,4,1,2,8</t>
  </si>
  <si>
    <t>20,18,103,207,209,5,7,4</t>
  </si>
  <si>
    <t>19,20,209,2,1,8,3,4</t>
  </si>
  <si>
    <t>19,20,12,101,5,7,1,3</t>
  </si>
  <si>
    <t>13,207,5,8,1,3,7,4</t>
  </si>
  <si>
    <t>13,103,5,8,1,3,4,7</t>
  </si>
  <si>
    <t>1,1,3,3,3,4,4,4</t>
  </si>
  <si>
    <t>17,209,5,4,3,8,1,101</t>
  </si>
  <si>
    <t>109,19,209,1,7,2,8,5</t>
  </si>
  <si>
    <t>207,2,8,4,3,1,5,7</t>
  </si>
  <si>
    <t>1,4,2,2,3,2,3,4</t>
  </si>
  <si>
    <t>12,2,4,3,101,5,7,8</t>
  </si>
  <si>
    <t>20,207,12,14,1,101,4,2</t>
  </si>
  <si>
    <t>1,2,2,1,4,3,3,2</t>
  </si>
  <si>
    <t>13,8,5,2,3,7,4,101</t>
  </si>
  <si>
    <t>2,2,3,4,4,3,3,3</t>
  </si>
  <si>
    <t>20,209,14,7,3,101,2,4</t>
  </si>
  <si>
    <t>18,204,103,14,5,3,2,8</t>
  </si>
  <si>
    <t>16,103,209,207,101,4,5,3</t>
  </si>
  <si>
    <t>19,16,209,207,7,4,8,1</t>
  </si>
  <si>
    <t>13,14,8,4,7,3,5,101</t>
  </si>
  <si>
    <t>13,204,207,2,1,7,5,4</t>
  </si>
  <si>
    <t>109,19,12,14,2,101,5,7</t>
  </si>
  <si>
    <t>19,13,209,14,3,2,4,101</t>
  </si>
  <si>
    <t>14,207,209,1,2,4,8,7</t>
  </si>
  <si>
    <t>18,16,204,3,8,1,2,5</t>
  </si>
  <si>
    <t>19,17,103,8,7,5,4,101</t>
  </si>
  <si>
    <t>207,5,3,1,8,4,2,7</t>
  </si>
  <si>
    <t>1,4,2,4,2,3,3,4</t>
  </si>
  <si>
    <t>14,103,13,3,5,4,7,2</t>
  </si>
  <si>
    <t>18,209,2,4,101,7,1,8</t>
  </si>
  <si>
    <t>204,207,14,2,8,4,7,101</t>
  </si>
  <si>
    <t>18,103,13,207,4,3,101,2</t>
  </si>
  <si>
    <t>17,16,12,2,3,5,7,1</t>
  </si>
  <si>
    <t>19,103,13,3,4,1,8,7</t>
  </si>
  <si>
    <t>17,14,13,7,5,3,8,4</t>
  </si>
  <si>
    <t>1,2,1,4,4,3,3,2</t>
  </si>
  <si>
    <t>209,204,14,5,8,101,2,3</t>
  </si>
  <si>
    <t>19,209,7,1,4,2,5,3</t>
  </si>
  <si>
    <t>17,20,103,14,207,8,1,7</t>
  </si>
  <si>
    <t>18,20,204,14,13,101,8,4</t>
  </si>
  <si>
    <t>209,13,207,5,1,101,4,3</t>
  </si>
  <si>
    <t>16,12,209,1,2,101,4,5</t>
  </si>
  <si>
    <t>12,103,3,101,8,7,5,4</t>
  </si>
  <si>
    <t>19,18,207,12,14,8,3,1</t>
  </si>
  <si>
    <t>12,13,101,2,1,4,7,8</t>
  </si>
  <si>
    <t>1,1,2,3,2,4,4,4</t>
  </si>
  <si>
    <t>13,14,1,7,8,2,3,5</t>
  </si>
  <si>
    <t>2,1,4,2,3,2,3,3</t>
  </si>
  <si>
    <t>14,207,12,2,101,7,1,5</t>
  </si>
  <si>
    <t>2,2,2,4,3,2,2,4</t>
  </si>
  <si>
    <t>16,17,12,7,8,1,4,5</t>
  </si>
  <si>
    <t>204,2,1,8,101,4,3,5</t>
  </si>
  <si>
    <t>207,101,7,3,4,2,8,1</t>
  </si>
  <si>
    <t>14,3,1,4,5,2,7,101</t>
  </si>
  <si>
    <t>109,13,204,8,7,1,101,2</t>
  </si>
  <si>
    <t>103,209,1,101,4,3,5,7</t>
  </si>
  <si>
    <t>20,12,2,1,7,3,8,5</t>
  </si>
  <si>
    <t>1,2,2,3,3,3,4,3</t>
  </si>
  <si>
    <t>14,12,207,4,2,101,3,8</t>
  </si>
  <si>
    <t>209,13,12,7,2,101,3,8</t>
  </si>
  <si>
    <t>14,209,7,2,3,8,4,101</t>
  </si>
  <si>
    <t>1,2,2,4,4,3,4,4</t>
  </si>
  <si>
    <t>19,16,207,13,209,3,7,8</t>
  </si>
  <si>
    <t>207,13,204,7,8,5,3,4</t>
  </si>
  <si>
    <t>109,18,12,7,101,1,5,4</t>
  </si>
  <si>
    <t>13,12,4,7,3,5,1,8</t>
  </si>
  <si>
    <t>2,2,2,4,2,4,4,3</t>
  </si>
  <si>
    <t>14,13,7,5,1,4,3,101</t>
  </si>
  <si>
    <t>2,1,3,2,3,3,2,4</t>
  </si>
  <si>
    <t>12,209,8,3,7,2,5,101</t>
  </si>
  <si>
    <t>16,19,12,103,5,4,3,8</t>
  </si>
  <si>
    <t>13,14,103,3,1,8,5,7</t>
  </si>
  <si>
    <t>204,12,103,1,5,8,3,7</t>
  </si>
  <si>
    <t>109,16,14,13,1,101,3,7</t>
  </si>
  <si>
    <t>19,16,204,2,4,1,8,5</t>
  </si>
  <si>
    <t>109,207,101,5,1,7,2,4</t>
  </si>
  <si>
    <t>109,18,12,204,207,2,5,8</t>
  </si>
  <si>
    <t>20,109,12,103,13,5,101,8</t>
  </si>
  <si>
    <t>20,16,14,204,13,3,4,1</t>
  </si>
  <si>
    <t>209,5,4,1,101,3,8,2</t>
  </si>
  <si>
    <t>19,12,103,204,7,5,8,4</t>
  </si>
  <si>
    <t>1,2,1,2,3,2,2,4</t>
  </si>
  <si>
    <t>109,16,207,12,101,1,3,8</t>
  </si>
  <si>
    <t>207,2,5,4,101,7,8,3</t>
  </si>
  <si>
    <t>19,20,209,207,13,1,5,4</t>
  </si>
  <si>
    <t>12,204,14,8,3,101,2,7</t>
  </si>
  <si>
    <t>17,20,204,103,2,8,3,1</t>
  </si>
  <si>
    <t>14,12,103,5,2,1,101,7</t>
  </si>
  <si>
    <t>19,207,2,5,3,1,8,101</t>
  </si>
  <si>
    <t>1,1,3,2,4,3,4,4</t>
  </si>
  <si>
    <t>16,209,1,7,2,5,4,3</t>
  </si>
  <si>
    <t>1,2,4,3,2,3,2,3</t>
  </si>
  <si>
    <t>12,101,4,7,2,3,1,5</t>
  </si>
  <si>
    <t>2,3,2,2,2,2,2,4</t>
  </si>
  <si>
    <t>12,8,7,2,3,5,1,4</t>
  </si>
  <si>
    <t>209,14,5,2,8,7,101,3</t>
  </si>
  <si>
    <t>1,1,4,3,3,4,2,3</t>
  </si>
  <si>
    <t>14,209,204,8,2,1,101,4</t>
  </si>
  <si>
    <t>204,207,14,1,101,4,3,8</t>
  </si>
  <si>
    <t>20,14,207,3,8,7,1,4</t>
  </si>
  <si>
    <t>103,13,5,1,8,3,2,101</t>
  </si>
  <si>
    <t>2,1,3,3,3,3,2,2</t>
  </si>
  <si>
    <t>18,103,14,1,101,4,7,8</t>
  </si>
  <si>
    <t>18,13,103,207,3,101,4,2</t>
  </si>
  <si>
    <t>13,12,5,7,2,3,101,8</t>
  </si>
  <si>
    <t>1,2,4,2,4,4,4,2</t>
  </si>
  <si>
    <t>18,17,13,2,4,101,3,7</t>
  </si>
  <si>
    <t>19,18,13,14,4,101,2,1</t>
  </si>
  <si>
    <t>1,1,2,1,4,4,2,2</t>
  </si>
  <si>
    <t>13,12,209,5,4,2,8,1</t>
  </si>
  <si>
    <t>2,1,1,3,3,3,4,4</t>
  </si>
  <si>
    <t>16,17,13,207,103,7,1,8</t>
  </si>
  <si>
    <t>17,16,103,209,13,8,7,2</t>
  </si>
  <si>
    <t>103,12,8,3,1,101,5,7</t>
  </si>
  <si>
    <t>13,5,3,8,2,4,1,101</t>
  </si>
  <si>
    <t>2,3,2,4,4,4,3,2</t>
  </si>
  <si>
    <t>17,13,207,103,8,7,101,1</t>
  </si>
  <si>
    <t>1,2,1,1,2,4,2,3</t>
  </si>
  <si>
    <t>13,14,101,4,5,8,7,3</t>
  </si>
  <si>
    <t>2,2,2,4,3,4,2,4</t>
  </si>
  <si>
    <t>109,18,12,204,8,7,3,2</t>
  </si>
  <si>
    <t>20,209,207,14,3,1,8,7</t>
  </si>
  <si>
    <t>17,209,103,7,5,1,2,4</t>
  </si>
  <si>
    <t>18,19,209,204,8,101,4,7</t>
  </si>
  <si>
    <t>19,204,13,103,1,3,2,7</t>
  </si>
  <si>
    <t>16,13,209,204,1,2,101,5</t>
  </si>
  <si>
    <t>1,2,1,1,4,2,2,4</t>
  </si>
  <si>
    <t>207,13,103,2,7,5,4,3</t>
  </si>
  <si>
    <t>209,14,7,1,2,101,3,5</t>
  </si>
  <si>
    <t>16,103,3,4,8,101,7,5</t>
  </si>
  <si>
    <t>16,19,209,103,101,2,8,1</t>
  </si>
  <si>
    <t>13,103,12,1,2,8,5,4</t>
  </si>
  <si>
    <t>109,13,103,8,101,3,2,7</t>
  </si>
  <si>
    <t>18,20,209,14,1,101,8,4</t>
  </si>
  <si>
    <t>19,17,14,13,103,7,101,1</t>
  </si>
  <si>
    <t>19,13,207,12,3,101,4,5</t>
  </si>
  <si>
    <t>16,19,204,209,14,1,2,101</t>
  </si>
  <si>
    <t>18,204,7,4,1,101,2,5</t>
  </si>
  <si>
    <t>103,2,5,3,101,7,4,8</t>
  </si>
  <si>
    <t>1,4,3,2,3,2,3,2</t>
  </si>
  <si>
    <t>20,204,14,13,101,7,5,4</t>
  </si>
  <si>
    <t>1,1,1,1,4,3,3,3</t>
  </si>
  <si>
    <t>14,207,209,4,1,7,101,3</t>
  </si>
  <si>
    <t>12,3,5,4,7,2,8,1</t>
  </si>
  <si>
    <t>1,3,4,4,4,4,4,3</t>
  </si>
  <si>
    <t>109,13,204,1,101,3,4,2</t>
  </si>
  <si>
    <t>12,4,1,7,2,5,8,3</t>
  </si>
  <si>
    <t>13,204,7,1,8,3,101,4</t>
  </si>
  <si>
    <t>103,12,207,7,5,4,1,101</t>
  </si>
  <si>
    <t>18,103,209,2,4,3,1,8</t>
  </si>
  <si>
    <t>12,8,5,3,1,7,2,4</t>
  </si>
  <si>
    <t>20,14,3,5,2,101,4,1</t>
  </si>
  <si>
    <t>18,209,7,1,3,8,5,101</t>
  </si>
  <si>
    <t>1,1,3,2,2,4,2,2</t>
  </si>
  <si>
    <t>13,209,14,101,8,7,5,4</t>
  </si>
  <si>
    <t>2,1,1,4,3,4,3,2</t>
  </si>
  <si>
    <t>109,207,103,13,4,3,8,1</t>
  </si>
  <si>
    <t>20,19,14,209,12,101,5,2</t>
  </si>
  <si>
    <t>207,204,4,8,5,101,1,7</t>
  </si>
  <si>
    <t>20,18,209,14,3,1,5,8</t>
  </si>
  <si>
    <t>20,18,13,5,3,1,101,2</t>
  </si>
  <si>
    <t>103,13,204,4,2,1,3,101</t>
  </si>
  <si>
    <t>20,19,204,209,3,1,2,101</t>
  </si>
  <si>
    <t>19,14,207,2,101,1,5,7</t>
  </si>
  <si>
    <t>207,3,8,5,7,1,4,2</t>
  </si>
  <si>
    <t>2,4,3,4,3,4,2,3</t>
  </si>
  <si>
    <t>17,18,103,2,4,1,101,8</t>
  </si>
  <si>
    <t>14,3,8,5,4,7,2,101</t>
  </si>
  <si>
    <t>14,12,13,101,2,1,4,8</t>
  </si>
  <si>
    <t>17,13,14,7,101,2,3,4</t>
  </si>
  <si>
    <t>17,109,12,207,103,4,3,1</t>
  </si>
  <si>
    <t>16,14,5,2,101,7,8,4</t>
  </si>
  <si>
    <t>1,2,3,2,3,3,3,4</t>
  </si>
  <si>
    <t>18,207,103,4,101,1,8,2</t>
  </si>
  <si>
    <t>19,109,207,7,101,8,3,4</t>
  </si>
  <si>
    <t>209,14,12,5,1,7,8,101</t>
  </si>
  <si>
    <t>2,1,2,2,2,3,4,2</t>
  </si>
  <si>
    <t>12,101,1,8,2,4,7,5</t>
  </si>
  <si>
    <t>2,4,3,2,3,3,3,3</t>
  </si>
  <si>
    <t>20,12,14,5,1,8,4,101</t>
  </si>
  <si>
    <t>13,4,101,8,1,7,2,5</t>
  </si>
  <si>
    <t>2,2,4,4,4,4,4,3</t>
  </si>
  <si>
    <t>209,13,204,101,8,5,2,1</t>
  </si>
  <si>
    <t>18,109,204,12,3,101,7,4</t>
  </si>
  <si>
    <t>20,19,207,5,3,1,4,8</t>
  </si>
  <si>
    <t>16,109,13,1,4,5,8,7</t>
  </si>
  <si>
    <t>17,103,3,2,1,8,101,4</t>
  </si>
  <si>
    <t>19,204,5,4,101,7,3,2</t>
  </si>
  <si>
    <t>12,204,7,8,3,101,2,4</t>
  </si>
  <si>
    <t>2,1,2,3,3,4,2,3</t>
  </si>
  <si>
    <t>16,18,14,1,3,8,101,5</t>
  </si>
  <si>
    <t>12,2,101,5,7,3,8,1</t>
  </si>
  <si>
    <t>204,13,209,7,8,5,2,4</t>
  </si>
  <si>
    <t>20,204,209,4,5,3,8,1</t>
  </si>
  <si>
    <t>20,204,14,13,3,4,7,2</t>
  </si>
  <si>
    <t>18,14,204,103,101,3,7,5</t>
  </si>
  <si>
    <t>12,13,103,8,5,4,101,1</t>
  </si>
  <si>
    <t>16,12,204,14,5,101,4,8</t>
  </si>
  <si>
    <t>17,14,1,7,4,101,8,3</t>
  </si>
  <si>
    <t>109,13,209,8,3,1,4,2</t>
  </si>
  <si>
    <t>18,14,101,4,1,5,8,7</t>
  </si>
  <si>
    <t>1,2,3,3,2,4,3,4</t>
  </si>
  <si>
    <t>16,103,207,7,8,5,4,2</t>
  </si>
  <si>
    <t>109,20,209,5,7,3,4,101</t>
  </si>
  <si>
    <t>204,12,5,1,7,3,8,2</t>
  </si>
  <si>
    <t>17,109,13,103,207,1,101,3</t>
  </si>
  <si>
    <t>20,204,14,7,8,3,2,4</t>
  </si>
  <si>
    <t>1,2,2,4,2,3,4,3</t>
  </si>
  <si>
    <t>20,16,204,3,7,101,5,2</t>
  </si>
  <si>
    <t>20,18,209,2,4,7,3,5</t>
  </si>
  <si>
    <t>204,4,7,101,8,2,5,3</t>
  </si>
  <si>
    <t>209,4,101,8,5,2,7,1</t>
  </si>
  <si>
    <t>1,2,4,4,4,3,2,4</t>
  </si>
  <si>
    <t>204,12,14,5,2,101,1,3</t>
  </si>
  <si>
    <t>207,7,1,5,4,3,2,101</t>
  </si>
  <si>
    <t>209,13,207,101,4,8,3,1</t>
  </si>
  <si>
    <t>2,1,2,2,3,3,4,2</t>
  </si>
  <si>
    <t>16,209,5,1,101,7,4,3</t>
  </si>
  <si>
    <t>1,1,4,3,3,3,4,2</t>
  </si>
  <si>
    <t>18,19,14,1,4,3,7,8</t>
  </si>
  <si>
    <t>17,209,101,4,7,8,2,1</t>
  </si>
  <si>
    <t>207,5,7,1,8,4,101,2</t>
  </si>
  <si>
    <t>2,2,4,3,2,2,2,4</t>
  </si>
  <si>
    <t>13,103,1,8,4,3,7,101</t>
  </si>
  <si>
    <t>2,1,3,4,2,2,2,4</t>
  </si>
  <si>
    <t>207,209,13,3,5,1,8,2</t>
  </si>
  <si>
    <t>14,4,8,1,2,7,3,5</t>
  </si>
  <si>
    <t>2,2,2,2,2,2,4,3</t>
  </si>
  <si>
    <t>17,12,13,101,3,1,8,4</t>
  </si>
  <si>
    <t>19,12,204,8,3,2,1,4</t>
  </si>
  <si>
    <t>12,204,103,3,8,2,5,101</t>
  </si>
  <si>
    <t>13,204,14,5,2,4,3,7</t>
  </si>
  <si>
    <t>18,19,103,12,4,7,101,1</t>
  </si>
  <si>
    <t>1,1,1,1,4,2,4,2</t>
  </si>
  <si>
    <t>207,204,12,4,2,101,5,7</t>
  </si>
  <si>
    <t>1,2,1,3,4,3,2,2</t>
  </si>
  <si>
    <t>207,101,7,3,5,1,4,2</t>
  </si>
  <si>
    <t>2,3,3,2,3,3,4,3</t>
  </si>
  <si>
    <t>20,19,209,103,207,5,2,7</t>
  </si>
  <si>
    <t>18,13,14,8,101,2,1,3</t>
  </si>
  <si>
    <t>17,14,209,1,3,7,8,4</t>
  </si>
  <si>
    <t>17,13,103,209,2,5,7,8</t>
  </si>
  <si>
    <t>17,204,8,1,7,4,101,5</t>
  </si>
  <si>
    <t>14,207,3,2,1,8,4,7</t>
  </si>
  <si>
    <t>2,2,2,3,4,2,4,2</t>
  </si>
  <si>
    <t>16,204,7,1,101,2,3,4</t>
  </si>
  <si>
    <t>209,12,8,4,3,5,1,7</t>
  </si>
  <si>
    <t>2,1,2,4,2,4,3,2</t>
  </si>
  <si>
    <t>16,19,204,101,8,5,2,7</t>
  </si>
  <si>
    <t>16,14,207,8,2,3,4,7</t>
  </si>
  <si>
    <t>207,13,7,5,4,8,101,3</t>
  </si>
  <si>
    <t>2,2,4,2,2,4,2,4</t>
  </si>
  <si>
    <t>109,12,207,103,5,4,3,8</t>
  </si>
  <si>
    <t>14,204,5,1,3,2,101,8</t>
  </si>
  <si>
    <t>109,207,4,5,101,7,3,1</t>
  </si>
  <si>
    <t>109,19,13,14,209,1,8,7</t>
  </si>
  <si>
    <t>14,103,4,8,1,5,2,101</t>
  </si>
  <si>
    <t>109,16,13,204,3,8,101,2</t>
  </si>
  <si>
    <t>17,12,14,7,8,3,5,4</t>
  </si>
  <si>
    <t>17,19,209,7,3,1,101,2</t>
  </si>
  <si>
    <t>109,12,207,209,101,5,8,7</t>
  </si>
  <si>
    <t>1,2,2,1,3,4,2,3</t>
  </si>
  <si>
    <t>14,207,103,5,8,101,2,4</t>
  </si>
  <si>
    <t>17,103,14,8,2,101,1,4</t>
  </si>
  <si>
    <t>19,103,5,4,2,101,7,1</t>
  </si>
  <si>
    <t>16,17,13,1,7,101,2,3</t>
  </si>
  <si>
    <t>17,204,13,14,8,7,3,101</t>
  </si>
  <si>
    <t>109,204,103,209,8,2,5,7</t>
  </si>
  <si>
    <t>209,12,2,101,5,4,3,7</t>
  </si>
  <si>
    <t>16,17,13,12,207,5,3,8</t>
  </si>
  <si>
    <t>20,109,12,204,7,101,3,5</t>
  </si>
  <si>
    <t>16,19,13,7,2,3,8,1</t>
  </si>
  <si>
    <t>103,7,2,5,1,101,3,4</t>
  </si>
  <si>
    <t>17,14,209,204,4,5,7,3</t>
  </si>
  <si>
    <t>109,12,7,3,5,1,4,2</t>
  </si>
  <si>
    <t>18,204,2,7,5,101,8,1</t>
  </si>
  <si>
    <t>1,2,3,4,3,4,4,4</t>
  </si>
  <si>
    <t>20,18,14,204,7,1,4,5</t>
  </si>
  <si>
    <t>17,19,204,3,4,5,7,8</t>
  </si>
  <si>
    <t>109,17,12,4,8,1,3,7</t>
  </si>
  <si>
    <t>17,16,14,12,1,101,7,8</t>
  </si>
  <si>
    <t>16,13,12,207,4,5,3,2</t>
  </si>
  <si>
    <t>12,14,13,3,8,4,2,1</t>
  </si>
  <si>
    <t>207,209,3,101,7,8,5,1</t>
  </si>
  <si>
    <t>18,103,209,13,3,1,2,4</t>
  </si>
  <si>
    <t>1,2,1,1,2,4,3,2</t>
  </si>
  <si>
    <t>17,18,204,3,8,101,7,2</t>
  </si>
  <si>
    <t>19,209,101,3,2,7,8,4</t>
  </si>
  <si>
    <t>109,20,12,14,4,2,3,5</t>
  </si>
  <si>
    <t>20,16,13,207,2,101,8,3</t>
  </si>
  <si>
    <t>207,8,1,4,7,5,2,3</t>
  </si>
  <si>
    <t>12,209,14,3,2,7,1,8</t>
  </si>
  <si>
    <t>209,204,5,101,1,2,8,3</t>
  </si>
  <si>
    <t>17,19,209,12,101,1,8,5</t>
  </si>
  <si>
    <t>20,109,209,207,13,101,2,8</t>
  </si>
  <si>
    <t>16,209,103,3,7,4,8,2</t>
  </si>
  <si>
    <t>207,103,7,5,8,3,101,1</t>
  </si>
  <si>
    <t>1,2,4,3,2,2,3,4</t>
  </si>
  <si>
    <t>18,16,103,209,207,5,7,3</t>
  </si>
  <si>
    <t>109,14,207,101,4,5,3,2</t>
  </si>
  <si>
    <t>18,204,103,101,1,5,3,7</t>
  </si>
  <si>
    <t>12,5,7,3,1,8,101,2</t>
  </si>
  <si>
    <t>2,3,4,3,2,3,2,4</t>
  </si>
  <si>
    <t>19,109,103,207,3,4,7,2</t>
  </si>
  <si>
    <t>207,209,204,1,7,2,4,5</t>
  </si>
  <si>
    <t>2,1,2,4,3,2,2,4</t>
  </si>
  <si>
    <t>17,207,103,2,3,5,8,101</t>
  </si>
  <si>
    <t>18,16,209,4,7,1,3,8</t>
  </si>
  <si>
    <t>17,12,209,8,3,5,7,1</t>
  </si>
  <si>
    <t>19,13,4,1,5,8,3,2</t>
  </si>
  <si>
    <t>1,1,3,2,2,2,3,4</t>
  </si>
  <si>
    <t>207,101,7,3,1,8,4,2</t>
  </si>
  <si>
    <t>16,13,4,1,8,2,5,7</t>
  </si>
  <si>
    <t>1,2,5,4,4,5,5,3</t>
  </si>
  <si>
    <t>19,13,101,8,3,2,1,4</t>
  </si>
  <si>
    <t>1,1,5,2,4,4,4,3</t>
  </si>
  <si>
    <t>103,207,3,1,7,2,5,4</t>
  </si>
  <si>
    <t>3,1,4,3,5,4,2,5</t>
  </si>
  <si>
    <t>18,14,12,207,2,101,5,1</t>
  </si>
  <si>
    <t>1,2,2,2,4,5,4,5</t>
  </si>
  <si>
    <t>20,12,204,207,1,8,5,2</t>
  </si>
  <si>
    <t>1,1,1,1,5,2,3,3</t>
  </si>
  <si>
    <t>17,20,12,14,7,2,3,8</t>
  </si>
  <si>
    <t>1,1,1,2,2,4,5,5</t>
  </si>
  <si>
    <t>17,13,4,7,101,2,5,1</t>
  </si>
  <si>
    <t>16,19,13,209,8,3,4,101</t>
  </si>
  <si>
    <t>1,1,2,1,2,5,5,2</t>
  </si>
  <si>
    <t>16,209,204,3,2,7,5,8</t>
  </si>
  <si>
    <t>19,17,209,204,8,4,1,7</t>
  </si>
  <si>
    <t>209,103,7,1,5,3,101,8</t>
  </si>
  <si>
    <t>19,204,8,7,2,1,101,5</t>
  </si>
  <si>
    <t>1,3,4,2,3,3,2,5</t>
  </si>
  <si>
    <t>17,20,204,103,4,1,7,8</t>
  </si>
  <si>
    <t>207,8,1,5,3,4,7,2</t>
  </si>
  <si>
    <t>1,2,3,4,5,2,2,2</t>
  </si>
  <si>
    <t>16,13,204,207,101,1,7,5</t>
  </si>
  <si>
    <t>12,209,103,1,4,2,3,7</t>
  </si>
  <si>
    <t>1,1,3,5,3,3,3,3</t>
  </si>
  <si>
    <t>14,4,2,3,1,101,7,5</t>
  </si>
  <si>
    <t>1,3,5,4,5,2,3,4</t>
  </si>
  <si>
    <t>19,12,5,4,8,1,101,3</t>
  </si>
  <si>
    <t>1,1,4,5,3,4,4,2</t>
  </si>
  <si>
    <t>17,20,103,207,13,4,8,101</t>
  </si>
  <si>
    <t>1,1,3,1,3,5,5,3</t>
  </si>
  <si>
    <t>103,209,204,4,5,2,1,7</t>
  </si>
  <si>
    <t>2,1,1,5,5,3,4,2</t>
  </si>
  <si>
    <t>20,109,209,5,1,101,2,4</t>
  </si>
  <si>
    <t>1,1,3,5,2,2,4,4</t>
  </si>
  <si>
    <t>20,19,209,13,14,1,101,3</t>
  </si>
  <si>
    <t>1,1,1,2,1,5,5,5</t>
  </si>
  <si>
    <t>19,16,13,1,4,8,5,7</t>
  </si>
  <si>
    <t>18,12,207,7,101,4,3,1</t>
  </si>
  <si>
    <t>1,3,2,5,3,5,4,4</t>
  </si>
  <si>
    <t>17,103,209,7,3,1,4,5</t>
  </si>
  <si>
    <t>14,12,204,2,8,3,5,7</t>
  </si>
  <si>
    <t>1,1,3,4,4,3,5,4</t>
  </si>
  <si>
    <t>16,109,14,204,7,3,8,101</t>
  </si>
  <si>
    <t>1,1,3,1,4,4,4,2</t>
  </si>
  <si>
    <t>207,103,14,1,8,7,101,4</t>
  </si>
  <si>
    <t>1,2,1,3,5,5,2,3</t>
  </si>
  <si>
    <t>12,103,13,2,3,7,5,1</t>
  </si>
  <si>
    <t>2,3,2,2,5,3,4,5</t>
  </si>
  <si>
    <t>109,17,207,2,8,5,4,7</t>
  </si>
  <si>
    <t>1,1,1,5,2,2,4,2</t>
  </si>
  <si>
    <t>207,14,4,5,3,101,1,2</t>
  </si>
  <si>
    <t>2,1,5,5,2,4,5,4</t>
  </si>
  <si>
    <t>103,209,14,5,2,3,4,8</t>
  </si>
  <si>
    <t>1,2,3,5,4,5,5,2</t>
  </si>
  <si>
    <t>17,20,103,13,3,1,4,101</t>
  </si>
  <si>
    <t>16,17,209,204,207,4,7,3</t>
  </si>
  <si>
    <t>1,1,3,3,1,2,4,4</t>
  </si>
  <si>
    <t>16,14,12,5,101,2,3,4</t>
  </si>
  <si>
    <t>1,3,2,3,5,5,2,5</t>
  </si>
  <si>
    <t>18,13,7,8,1,4,101,3</t>
  </si>
  <si>
    <t>1,1,2,2,5,3,4,2</t>
  </si>
  <si>
    <t>16,14,8,3,4,1,5,2</t>
  </si>
  <si>
    <t>16,17,13,3,7,5,4,101</t>
  </si>
  <si>
    <t>1,1,1,4,2,5,3,3</t>
  </si>
  <si>
    <t>207,204,13,2,101,1,4,5</t>
  </si>
  <si>
    <t>3,3,1,2,3,2,2,5</t>
  </si>
  <si>
    <t>16,12,7,5,4,101,2,1</t>
  </si>
  <si>
    <t>1,2,4,3,5,5,4,5</t>
  </si>
  <si>
    <t>204,207,3,5,4,1,2,8</t>
  </si>
  <si>
    <t>3,3,5,5,2,3,2,5</t>
  </si>
  <si>
    <t>207,5,8,4,3,7,2,1</t>
  </si>
  <si>
    <t>3,5,4,2,3,4,4,5</t>
  </si>
  <si>
    <t>103,207,7,8,3,2,101,1</t>
  </si>
  <si>
    <t>3,1,5,5,5,4,3,2</t>
  </si>
  <si>
    <t>13,101,4,2,5,1,8,7</t>
  </si>
  <si>
    <t>2,5,5,5,4,5,5,2</t>
  </si>
  <si>
    <t>204,12,7,2,3,1,8,4</t>
  </si>
  <si>
    <t>3,3,2,4,5,4,3,3</t>
  </si>
  <si>
    <t>103,3,101,8,2,7,4,5</t>
  </si>
  <si>
    <t>2,4,4,3,2,5,4,3</t>
  </si>
  <si>
    <t>209,103,7,8,2,101,3,5</t>
  </si>
  <si>
    <t>1,3,2,5,3,2,2,3</t>
  </si>
  <si>
    <t>109,20,103,207,12,4,5,3</t>
  </si>
  <si>
    <t>12,8,101,3,4,7,5,1</t>
  </si>
  <si>
    <t>2,5,5,4,5,4,5,3</t>
  </si>
  <si>
    <t>12,4,7,101,3,8,1,2</t>
  </si>
  <si>
    <t>2,4,5,4,4,3,5,4</t>
  </si>
  <si>
    <t>13,209,8,7,4,101,2,5</t>
  </si>
  <si>
    <t>18,14,7,5,2,4,3,101</t>
  </si>
  <si>
    <t>1,3,4,5,2,5,2,4</t>
  </si>
  <si>
    <t>19,13,12,5,3,7,8,2</t>
  </si>
  <si>
    <t>18,17,14,209,12,4,101,8</t>
  </si>
  <si>
    <t>1,1,3,3,3,4,2,4</t>
  </si>
  <si>
    <t>12,103,209,1,2,3,7,8</t>
  </si>
  <si>
    <t>1,3,2,5,4,4,2,2</t>
  </si>
  <si>
    <t>204,2,5,1,7,101,3,8</t>
  </si>
  <si>
    <t>2,4,4,4,3,3,3,4</t>
  </si>
  <si>
    <t>14,2,8,4,1,7,101,3</t>
  </si>
  <si>
    <t>2,2,5,2,2,2,2,4</t>
  </si>
  <si>
    <t>13,8,3,1,5,7,4,2</t>
  </si>
  <si>
    <t>1,5,4,5,5,4,3,4</t>
  </si>
  <si>
    <t>209,14,207,2,7,8,101,4</t>
  </si>
  <si>
    <t>3,1,3,3,3,2,5,4</t>
  </si>
  <si>
    <t>17,20,207,209,14,2,7,1</t>
  </si>
  <si>
    <t>17,209,13,8,4,2,7,5</t>
  </si>
  <si>
    <t>1,3,2,4,4,5,3,4</t>
  </si>
  <si>
    <t>109,20,209,13,14,2,101,7</t>
  </si>
  <si>
    <t>12,14,1,4,7,2,3,101</t>
  </si>
  <si>
    <t>1,3,5,4,4,4,2,3</t>
  </si>
  <si>
    <t>109,20,13,12,1,4,101,5</t>
  </si>
  <si>
    <t>1,1,2,3,5,3,4,4</t>
  </si>
  <si>
    <t>12,1,4,101,8,7,5,2</t>
  </si>
  <si>
    <t>2,4,3,2,5,5,5,2</t>
  </si>
  <si>
    <t>19,16,207,13,1,4,2,5</t>
  </si>
  <si>
    <t>19,209,3,2,101,8,4,5</t>
  </si>
  <si>
    <t>1,3,2,2,5,5,5,3</t>
  </si>
  <si>
    <t>20,103,204,12,8,2,7,4</t>
  </si>
  <si>
    <t>1,1,2,1,2,5,3,2</t>
  </si>
  <si>
    <t>12,103,209,1,3,7,101,2</t>
  </si>
  <si>
    <t>1,3,3,3,5,2,2,2</t>
  </si>
  <si>
    <t>20,209,207,204,101,3,8,1</t>
  </si>
  <si>
    <t>1,2,1,3,3,4,3,5</t>
  </si>
  <si>
    <t>12,8,4,5,1,101,3,2</t>
  </si>
  <si>
    <t>2,5,4,5,4,2,5,5</t>
  </si>
  <si>
    <t>209,103,207,101,8,4,5,2</t>
  </si>
  <si>
    <t>1,2,2,5,3,5,2,4</t>
  </si>
  <si>
    <t>207,12,209,1,2,5,7,4</t>
  </si>
  <si>
    <t>1,3,1,5,3,4,5,3</t>
  </si>
  <si>
    <t>16,19,103,14,13,8,5,3</t>
  </si>
  <si>
    <t>18,109,12,103,207,2,4,7</t>
  </si>
  <si>
    <t>1,1,3,2,1,3,4,3</t>
  </si>
  <si>
    <t>19,16,207,101,8,1,4,2</t>
  </si>
  <si>
    <t>1,1,2,5,5,3,5,2</t>
  </si>
  <si>
    <t>16,14,4,101,2,8,3,7</t>
  </si>
  <si>
    <t>1,2,5,5,3,2,2,5</t>
  </si>
  <si>
    <t>17,103,12,7,3,5,101,4</t>
  </si>
  <si>
    <t>1,3,1,4,4,3,4,2</t>
  </si>
  <si>
    <t>12,207,3,4,1,5,101,8</t>
  </si>
  <si>
    <t>3,1,3,3,2,5,3,3</t>
  </si>
  <si>
    <t>12,204,207,1,3,2,101,7</t>
  </si>
  <si>
    <t>1,3,2,4,2,4,3,5</t>
  </si>
  <si>
    <t>13,3,8,4,7,101,5,2</t>
  </si>
  <si>
    <t>3,4,3,5,2,2,5,4</t>
  </si>
  <si>
    <t>19,18,209,13,101,8,7,5</t>
  </si>
  <si>
    <t>1,1,1,3,5,4,5,4</t>
  </si>
  <si>
    <t>13,1,4,3,5,101,8,2</t>
  </si>
  <si>
    <t>2,3,5,4,2,3,3,4</t>
  </si>
  <si>
    <t>19,20,204,14,209,101,8,4</t>
  </si>
  <si>
    <t>1,1,2,1,2,2,5,5</t>
  </si>
  <si>
    <t>103,207,1,4,101,5,8,3</t>
  </si>
  <si>
    <t>1,3,5,3,5,2,2,3</t>
  </si>
  <si>
    <t>20,207,4,5,1,8,3,2</t>
  </si>
  <si>
    <t>1,2,5,2,4,4,4,5</t>
  </si>
  <si>
    <t>18,13,14,207,1,5,8,7</t>
  </si>
  <si>
    <t>1,3,2,1,5,4,3,2</t>
  </si>
  <si>
    <t>13,7,5,1,2,3,8,4</t>
  </si>
  <si>
    <t>3,4,4,4,2,4,4,2</t>
  </si>
  <si>
    <t>109,13,103,14,7,8,1,5</t>
  </si>
  <si>
    <t>1,2,1,1,4,5,4,3</t>
  </si>
  <si>
    <t>207,3,5,7,101,2,1,8</t>
  </si>
  <si>
    <t>1,5,5,5,2,4,4,5</t>
  </si>
  <si>
    <t>17,18,103,207,12,4,7,101</t>
  </si>
  <si>
    <t>109,13,12,1,7,101,2,8</t>
  </si>
  <si>
    <t>1,3,2,5,2,3,2,4</t>
  </si>
  <si>
    <t>18,14,4,2,8,7,5,101</t>
  </si>
  <si>
    <t>1,1,5,4,5,2,4,3</t>
  </si>
  <si>
    <t>14,209,8,2,4,3,101,1</t>
  </si>
  <si>
    <t>12,204,2,3,5,101,8,7</t>
  </si>
  <si>
    <t>18,109,103,13,3,7,1,5</t>
  </si>
  <si>
    <t>16,19,204,207,3,2,101,8</t>
  </si>
  <si>
    <t>1,1,1,2,2,2,2,5</t>
  </si>
  <si>
    <t>20,109,209,7,2,5,4,3</t>
  </si>
  <si>
    <t>1,1,1,3,5,5,2,5</t>
  </si>
  <si>
    <t>207,209,13,7,4,5,2,101</t>
  </si>
  <si>
    <t>3,2,2,4,4,3,2,2</t>
  </si>
  <si>
    <t>18,12,13,209,3,2,4,8</t>
  </si>
  <si>
    <t>1,3,1,1,3,3,4,4</t>
  </si>
  <si>
    <t>17,20,12,13,204,1,4,3</t>
  </si>
  <si>
    <t>1,1,2,1,1,4,5,3</t>
  </si>
  <si>
    <t>20,12,103,207,2,1,7,101</t>
  </si>
  <si>
    <t>1,2,2,3,2,5,3,3</t>
  </si>
  <si>
    <t>204,12,209,4,3,8,101,7</t>
  </si>
  <si>
    <t>2,3,3,2,5,4,4,4</t>
  </si>
  <si>
    <t>207,12,8,4,101,7,3,2</t>
  </si>
  <si>
    <t>2,1,3,4,5,4,2,3</t>
  </si>
  <si>
    <t>16,109,209,103,204,4,2,7</t>
  </si>
  <si>
    <t>1,1,1,1,1,3,4,5</t>
  </si>
  <si>
    <t>13,204,101,7,2,5,4,3</t>
  </si>
  <si>
    <t>2,3,3,5,5,3,5,5</t>
  </si>
  <si>
    <t>209,14,7,5,101,4,3,1</t>
  </si>
  <si>
    <t>2,3,3,5,3,2,5,2</t>
  </si>
  <si>
    <t>14,4,8,5,3,101,7,1</t>
  </si>
  <si>
    <t>16,109,207,2,4,101,5,3</t>
  </si>
  <si>
    <t>1,1,2,5,3,5,5,3</t>
  </si>
  <si>
    <t>12,207,3,4,8,101,7,2</t>
  </si>
  <si>
    <t>1,1,2,5,5,3,2,3</t>
  </si>
  <si>
    <t>109,17,13,12,103,3,7,4</t>
  </si>
  <si>
    <t>20,12,103,207,2,5,101,8</t>
  </si>
  <si>
    <t>1,3,1,3,3,3,4,5</t>
  </si>
  <si>
    <t>14,12,209,7,2,1,8,4</t>
  </si>
  <si>
    <t>1,2,2,3,4,2,5,4</t>
  </si>
  <si>
    <t>207,3,8,4,5,101,2,1</t>
  </si>
  <si>
    <t>1,3,2,5,3,5,5,2</t>
  </si>
  <si>
    <t>14,12,101,3,1,5,8,7</t>
  </si>
  <si>
    <t>3,1,4,5,5,2,2,2</t>
  </si>
  <si>
    <t>16,204,5,2,7,8,101,1</t>
  </si>
  <si>
    <t>1,1,5,3,3,3,4,4</t>
  </si>
  <si>
    <t>13,209,101,7,2,3,1,5</t>
  </si>
  <si>
    <t>3,2,2,2,2,3,5,4</t>
  </si>
  <si>
    <t>109,17,14,204,4,7,8,2</t>
  </si>
  <si>
    <t>1,1,2,2,3,3,2,5</t>
  </si>
  <si>
    <t>17,16,103,204,3,101,1,8</t>
  </si>
  <si>
    <t>18,13,103,3,5,1,8,101</t>
  </si>
  <si>
    <t>1,2,1,2,2,5,3,5</t>
  </si>
  <si>
    <t>17,16,103,13,101,2,3,1</t>
  </si>
  <si>
    <t>109,18,207,12,7,8,1,3</t>
  </si>
  <si>
    <t>1,1,3,3,2,3,5,4</t>
  </si>
  <si>
    <t>109,209,103,14,7,4,1,3</t>
  </si>
  <si>
    <t>1,2,1,1,3,3,5,4</t>
  </si>
  <si>
    <t>18,16,103,5,3,101,7,2</t>
  </si>
  <si>
    <t>1,1,3,2,3,5,2,2</t>
  </si>
  <si>
    <t>17,207,103,13,5,7,1,2</t>
  </si>
  <si>
    <t>1,3,3,3,2,4,5,3</t>
  </si>
  <si>
    <t>209,14,13,2,3,5,101,4</t>
  </si>
  <si>
    <t>1,2,3,3,5,5,5,2</t>
  </si>
  <si>
    <t>14,207,209,3,4,1,8,5</t>
  </si>
  <si>
    <t>3,3,1,3,5,5,4,3</t>
  </si>
  <si>
    <t>13,5,3,8,1,7,2,101</t>
  </si>
  <si>
    <t>3,3,3,2,4,4,5,5</t>
  </si>
  <si>
    <t>14,7,8,1,5,101,4,2</t>
  </si>
  <si>
    <t>3,3,3,2,4,4,3,5</t>
  </si>
  <si>
    <t>207,8,3,1,4,5,101,7</t>
  </si>
  <si>
    <t>3,3,5,5,3,3,5,3</t>
  </si>
  <si>
    <t>16,14,103,4,5,8,7,1</t>
  </si>
  <si>
    <t>1,3,3,2,3,4,2,2</t>
  </si>
  <si>
    <t>18,16,204,209,207,5,1,101</t>
  </si>
  <si>
    <t>209,103,204,8,3,1,2,5</t>
  </si>
  <si>
    <t>3,3,1,3,3,4,5,5</t>
  </si>
  <si>
    <t>14,12,204,8,4,2,101,7</t>
  </si>
  <si>
    <t>1,2,2,5,4,2,5,2</t>
  </si>
  <si>
    <t>19,12,103,5,8,2,101,7</t>
  </si>
  <si>
    <t>1,3,1,5,4,2,2,5</t>
  </si>
  <si>
    <t>20,18,103,14,204,4,2,101</t>
  </si>
  <si>
    <t>14,4,8,1,101,5,7,2</t>
  </si>
  <si>
    <t>2,4,3,2,5,2,4,5</t>
  </si>
  <si>
    <t>103,207,209,8,3,7,101,5</t>
  </si>
  <si>
    <t>2,1,2,3,5,4,3,4</t>
  </si>
  <si>
    <t>18,12,2,4,5,8,101,1</t>
  </si>
  <si>
    <t>1,3,5,3,3,3,5,3</t>
  </si>
  <si>
    <t>16,103,204,209,1,2,8,4</t>
  </si>
  <si>
    <t>1,2,1,3,5,3,4,3</t>
  </si>
  <si>
    <t>209,204,207,1,7,4,101,5</t>
  </si>
  <si>
    <t>1,2,2,5,5,4,3,2</t>
  </si>
  <si>
    <t>18,20,209,4,5,101,2,7</t>
  </si>
  <si>
    <t>1,1,2,5,4,2,4,2</t>
  </si>
  <si>
    <t>209,3,1,7,5,4,101,2</t>
  </si>
  <si>
    <t>2,2,3,2,5,5,5,5</t>
  </si>
  <si>
    <t>19,109,204,13,101,8,3,1</t>
  </si>
  <si>
    <t>20,204,13,14,5,3,4,8</t>
  </si>
  <si>
    <t>1,3,3,3,5,5,3,4</t>
  </si>
  <si>
    <t>19,103,14,2,101,8,7,3</t>
  </si>
  <si>
    <t>17,18,207,103,1,5,8,2</t>
  </si>
  <si>
    <t>109,103,1,101,5,8,7,2</t>
  </si>
  <si>
    <t>1,3,2,2,4,4,3,5</t>
  </si>
  <si>
    <t>209,14,207,4,1,5,8,101</t>
  </si>
  <si>
    <t>103,209,13,3,101,5,7,8</t>
  </si>
  <si>
    <t>3,2,2,3,4,5,3,3</t>
  </si>
  <si>
    <t>14,209,7,4,2,101,1,5</t>
  </si>
  <si>
    <t>1,3,4,3,3,5,5,2</t>
  </si>
  <si>
    <t>18,204,209,14,7,5,4,8</t>
  </si>
  <si>
    <t>207,209,12,7,3,1,8,101</t>
  </si>
  <si>
    <t>3,3,3,3,5,2,4,2</t>
  </si>
  <si>
    <t>109,209,207,3,1,2,7,4</t>
  </si>
  <si>
    <t>1,1,3,2,2,4,2,5</t>
  </si>
  <si>
    <t>20,19,209,103,14,3,8,5</t>
  </si>
  <si>
    <t>1,1,2,2,3,5,2,3</t>
  </si>
  <si>
    <t>18,12,101,4,7,2,8,3</t>
  </si>
  <si>
    <t>1,3,5,5,2,3,5,2</t>
  </si>
  <si>
    <t>19,17,13,103,12,7,4,2</t>
  </si>
  <si>
    <t>1,1,3,3,1,2,3,4</t>
  </si>
  <si>
    <t>109,16,14,12,4,101,3,2</t>
  </si>
  <si>
    <t>1,1,3,2,3,2,2,4</t>
  </si>
  <si>
    <t>16,109,204,12,13,4,1,3</t>
  </si>
  <si>
    <t>1,1,3,1,2,4,2,5</t>
  </si>
  <si>
    <t>20,19,103,207,209,2,4,101</t>
  </si>
  <si>
    <t>16,17,204,8,101,1,5,3</t>
  </si>
  <si>
    <t>1,1,1,5,5,2,5,3</t>
  </si>
  <si>
    <t>20,109,13,103,1,3,7,101</t>
  </si>
  <si>
    <t>20,19,209,12,8,7,5,1</t>
  </si>
  <si>
    <t>14,5,3,4,1,7,2,101</t>
  </si>
  <si>
    <t>1,2,5,5,2,4,5,5</t>
  </si>
  <si>
    <t>19,109,14,207,7,5,4,1</t>
  </si>
  <si>
    <t>1,1,3,2,4,2,3,5</t>
  </si>
  <si>
    <t>12,13,1,5,8,4,7,101</t>
  </si>
  <si>
    <t>2,1,3,3,4,5,3,3</t>
  </si>
  <si>
    <t>207,14,101,4,7,8,2,3</t>
  </si>
  <si>
    <t>12,7,3,1,2,4,8,101</t>
  </si>
  <si>
    <t>3,3,3,3,4,2,2,3</t>
  </si>
  <si>
    <t>18,17,103,209,207,3,2,5</t>
  </si>
  <si>
    <t>209,7,2,5,1,4,3,101</t>
  </si>
  <si>
    <t>1,3,4,3,4,2,5,2</t>
  </si>
  <si>
    <t>16,19,12,103,1,4,101,5</t>
  </si>
  <si>
    <t>109,20,207,3,1,101,4,5</t>
  </si>
  <si>
    <t>1,1,3,3,3,2,5,3</t>
  </si>
  <si>
    <t>14,1,4,5,7,2,101,3</t>
  </si>
  <si>
    <t>1,4,4,2,3,4,5,5</t>
  </si>
  <si>
    <t>18,20,209,103,204,4,8,101</t>
  </si>
  <si>
    <t>1,1,2,1,3,5,2,2</t>
  </si>
  <si>
    <t>13,12,14,7,2,101,1,5</t>
  </si>
  <si>
    <t>3,1,1,2,3,2,4,3</t>
  </si>
  <si>
    <t>204,207,101,7,4,8,2,1</t>
  </si>
  <si>
    <t>2,1,4,2,2,5,2,4</t>
  </si>
  <si>
    <t>209,14,12,3,5,101,2,4</t>
  </si>
  <si>
    <t>2,1,2,3,3,3,2,4</t>
  </si>
  <si>
    <t>204,103,5,2,101,8,1,7</t>
  </si>
  <si>
    <t>3,2,2,2,5,3,2,4</t>
  </si>
  <si>
    <t>12,207,5,8,1,4,3,101</t>
  </si>
  <si>
    <t>109,19,13,14,4,3,8,2</t>
  </si>
  <si>
    <t>1,1,1,3,4,5,2,3</t>
  </si>
  <si>
    <t>209,103,12,8,3,101,7,1</t>
  </si>
  <si>
    <t>3,3,1,5,2,3,5,4</t>
  </si>
  <si>
    <t>19,103,1,4,5,8,101,2</t>
  </si>
  <si>
    <t>1,2,2,4,4,4,5,3</t>
  </si>
  <si>
    <t>19,103,13,209,2,101,4,5</t>
  </si>
  <si>
    <t>1,3,1,3,3,2,4,4</t>
  </si>
  <si>
    <t>13,103,1,101,8,3,2,7</t>
  </si>
  <si>
    <t>1,1,3,5,4,2,5,2</t>
  </si>
  <si>
    <t>20,17,207,209,1,5,2,4</t>
  </si>
  <si>
    <t>1,1,3,1,5,5,2,3</t>
  </si>
  <si>
    <t>19,109,12,209,101,8,1,4</t>
  </si>
  <si>
    <t>207,4,101,1,2,7,8,5</t>
  </si>
  <si>
    <t>19,103,13,8,1,7,101,5</t>
  </si>
  <si>
    <t>1,3,2,5,3,5,5,3</t>
  </si>
  <si>
    <t>204,13,12,4,5,101,2,7</t>
  </si>
  <si>
    <t>2,3,1,5,5,3,2,3</t>
  </si>
  <si>
    <t>12,13,3,7,101,1,4,5</t>
  </si>
  <si>
    <t>2,1,2,3,5,3,2,2</t>
  </si>
  <si>
    <t>16,19,204,103,12,1,101,2</t>
  </si>
  <si>
    <t>1,1,3,3,3,4,4,2</t>
  </si>
  <si>
    <t>13,14,2,4,3,1,5,101</t>
  </si>
  <si>
    <t>3,2,3,3,2,4,5,2</t>
  </si>
  <si>
    <t>13,103,5,4,1,101,7,3</t>
  </si>
  <si>
    <t>20,109,14,8,1,3,7,101</t>
  </si>
  <si>
    <t>14,4,1,2,8,5,3,7</t>
  </si>
  <si>
    <t>2,4,4,2,3,2,5,4</t>
  </si>
  <si>
    <t>19,12,103,209,5,2,4,101</t>
  </si>
  <si>
    <t>1,2,1,3,2,4,3,5</t>
  </si>
  <si>
    <t>207,103,13,4,1,2,3,101</t>
  </si>
  <si>
    <t>2,1,2,4,4,4,2,4</t>
  </si>
  <si>
    <t>209,5,4,101,1,2,7,3</t>
  </si>
  <si>
    <t>1,2,3,3,3,3,4,3</t>
  </si>
  <si>
    <t>13,207,101,3,7,5,1,8</t>
  </si>
  <si>
    <t>1,2,5,3,2,2,4,5</t>
  </si>
  <si>
    <t>103,13,5,2,3,7,1,101</t>
  </si>
  <si>
    <t>14,2,3,1,5,201,101,4</t>
  </si>
  <si>
    <t>2,2,5,5,5,5,4,3</t>
  </si>
  <si>
    <t>13,207,4,2,7,5,1,8</t>
  </si>
  <si>
    <t>1,1,2,5,2,2,3,2</t>
  </si>
  <si>
    <t>13,4,2,1,101,5,201,8</t>
  </si>
  <si>
    <t>2,2,5,5,3,2,5,4</t>
  </si>
  <si>
    <t>17,19,208,204,12,201,4,101</t>
  </si>
  <si>
    <t>209,7,101,1,2,5,3,8</t>
  </si>
  <si>
    <t>3,4,3,2,3,3,3,2</t>
  </si>
  <si>
    <t>14,209,204,4,7,2,1,3</t>
  </si>
  <si>
    <t>1,2,1,2,3,2,4,3</t>
  </si>
  <si>
    <t>13,209,208,2,101,4,8,201</t>
  </si>
  <si>
    <t>2,3,2,5,4,4,3,5</t>
  </si>
  <si>
    <t>17,21,207,208,101,4,1,3</t>
  </si>
  <si>
    <t>204,12,207,101,3,4,201,5</t>
  </si>
  <si>
    <t>2,3,3,5,3,3,3,3</t>
  </si>
  <si>
    <t>18,13,103,208,8,101,4,1</t>
  </si>
  <si>
    <t>1,3,1,1,3,5,2,4</t>
  </si>
  <si>
    <t>21,103,208,12,8,101,7,4</t>
  </si>
  <si>
    <t>1,3,1,2,4,2,5,2</t>
  </si>
  <si>
    <t>16,19,12,2,101,3,8,4</t>
  </si>
  <si>
    <t>1,1,2,5,2,3,4,3</t>
  </si>
  <si>
    <t>17,103,209,1,101,2,7,8</t>
  </si>
  <si>
    <t>109,18,204,101,201,8,7,2</t>
  </si>
  <si>
    <t>12,208,101,3,8,1,2,201</t>
  </si>
  <si>
    <t>1,1,2,3,3,5,5,5</t>
  </si>
  <si>
    <t>209,13,7,201,3,1,2,4</t>
  </si>
  <si>
    <t>1,3,4,5,5,4,5,2</t>
  </si>
  <si>
    <t>14,207,209,5,4,8,1,7</t>
  </si>
  <si>
    <t>19,16,209,208,14,2,1,4</t>
  </si>
  <si>
    <t>1,1,1,2,3,3,4,5</t>
  </si>
  <si>
    <t>13,209,5,4,8,2,101,201</t>
  </si>
  <si>
    <t>2,3,2,5,3,4,2,3</t>
  </si>
  <si>
    <t>103,101,5,2,3,8,1,7</t>
  </si>
  <si>
    <t>2,2,4,2,5,3,5,5</t>
  </si>
  <si>
    <t>17,21,13,204,2,7,5,101</t>
  </si>
  <si>
    <t>109,207,14,12,1,2,201,7</t>
  </si>
  <si>
    <t>1,3,1,1,4,3,3,2</t>
  </si>
  <si>
    <t>207,208,13,1,8,3,7,5</t>
  </si>
  <si>
    <t>17,204,208,12,101,5,4,201</t>
  </si>
  <si>
    <t>14,12,5,201,7,8,4,101</t>
  </si>
  <si>
    <t>3,2,2,2,4,5,2,3</t>
  </si>
  <si>
    <t>13,3,101,8,7,1,4,201</t>
  </si>
  <si>
    <t>2,4,2,5,3,3,2,3</t>
  </si>
  <si>
    <t>18,209,12,7,3,2,101,1</t>
  </si>
  <si>
    <t>1,2,1,3,2,3,3,5</t>
  </si>
  <si>
    <t>12,208,209,201,5,101,7,2</t>
  </si>
  <si>
    <t>2,1,1,3,3,4,2,2</t>
  </si>
  <si>
    <t>209,13,101,201,8,5,2,1</t>
  </si>
  <si>
    <t>1,1,5,4,5,2,2,4</t>
  </si>
  <si>
    <t>103,208,7,2,4,201,3,1</t>
  </si>
  <si>
    <t>3,1,2,4,5,5,2,4</t>
  </si>
  <si>
    <t>18,204,208,12,2,1,7,3</t>
  </si>
  <si>
    <t>207,209,8,2,5,4,7,1</t>
  </si>
  <si>
    <t>3,1,2,5,2,4,2,2</t>
  </si>
  <si>
    <t>20,109,13,204,4,1,8,3</t>
  </si>
  <si>
    <t>1,1,1,1,3,3,5,2</t>
  </si>
  <si>
    <t>21,14,207,209,2,8,5,7</t>
  </si>
  <si>
    <t>16,18,13,12,204,4,2,201</t>
  </si>
  <si>
    <t>207,8,7,2,101,5,4,3</t>
  </si>
  <si>
    <t>1,4,5,4,4,2,2,4</t>
  </si>
  <si>
    <t>204,201,1,101,8,4,7,2</t>
  </si>
  <si>
    <t>1,3,3,3,2,3,3,5</t>
  </si>
  <si>
    <t>19,14,208,12,3,7,2,4</t>
  </si>
  <si>
    <t>20,19,209,2,101,3,201,4</t>
  </si>
  <si>
    <t>14,13,209,2,7,201,3,1</t>
  </si>
  <si>
    <t>20,21,208,204,8,4,5,201</t>
  </si>
  <si>
    <t>103,7,3,2,5,8,4,201</t>
  </si>
  <si>
    <t>3,3,5,4,3,4,3,3</t>
  </si>
  <si>
    <t>19,14,103,204,101,4,3,201</t>
  </si>
  <si>
    <t>109,19,207,208,209,2,7,8</t>
  </si>
  <si>
    <t>1,1,3,1,1,5,5,2</t>
  </si>
  <si>
    <t>207,103,201,3,1,4,8,2</t>
  </si>
  <si>
    <t>3,2,5,4,4,2,4,3</t>
  </si>
  <si>
    <t>16,14,101,3,2,8,1,7</t>
  </si>
  <si>
    <t>1,2,3,5,4,5,2,4</t>
  </si>
  <si>
    <t>13,12,209,5,8,2,1,7</t>
  </si>
  <si>
    <t>3,1,3,3,5,4,3,5</t>
  </si>
  <si>
    <t>18,103,201,4,2,8,101,5</t>
  </si>
  <si>
    <t>1,3,4,5,3,2,4,3</t>
  </si>
  <si>
    <t>16,109,12,209,5,201,8,7</t>
  </si>
  <si>
    <t>1,1,1,3,2,2,4,4</t>
  </si>
  <si>
    <t>17,209,1,8,2,4,7,101</t>
  </si>
  <si>
    <t>1,2,5,2,3,3,3,3</t>
  </si>
  <si>
    <t>208,204,209,101,3,8,4,201</t>
  </si>
  <si>
    <t>204,13,201,1,3,5,7,8</t>
  </si>
  <si>
    <t>21,16,209,208,2,3,101,201</t>
  </si>
  <si>
    <t>1,1,1,3,2,5,4,4</t>
  </si>
  <si>
    <t>204,207,12,5,2,201,101,7</t>
  </si>
  <si>
    <t>14,2,201,1,3,4,8,7</t>
  </si>
  <si>
    <t>1,2,3,3,4,2,5,5</t>
  </si>
  <si>
    <t>12,13,207,5,101,4,7,1</t>
  </si>
  <si>
    <t>1,3,1,2,2,4,5,4</t>
  </si>
  <si>
    <t>17,204,208,103,201,5,101,3</t>
  </si>
  <si>
    <t>1,2,2,2,4,4,5,5</t>
  </si>
  <si>
    <t>19,21,103,101,201,1,5,7</t>
  </si>
  <si>
    <t>1,1,1,5,2,4,4,2</t>
  </si>
  <si>
    <t>13,209,201,1,101,4,2,8</t>
  </si>
  <si>
    <t>3,3,4,5,5,3,3,5</t>
  </si>
  <si>
    <t>207,208,209,3,5,8,4,7</t>
  </si>
  <si>
    <t>3,2,1,5,5,5,4,3</t>
  </si>
  <si>
    <t>207,13,2,5,1,101,7,3</t>
  </si>
  <si>
    <t>1,2,2,5,5,3,5,5</t>
  </si>
  <si>
    <t>208,8,201,2,3,7,4,101</t>
  </si>
  <si>
    <t>3,3,4,2,3,5,4,4</t>
  </si>
  <si>
    <t>207,14,103,101,8,7,4,3</t>
  </si>
  <si>
    <t>2,2,1,4,3,5,4,2</t>
  </si>
  <si>
    <t>17,208,103,207,5,101,2,201</t>
  </si>
  <si>
    <t>1,3,2,1,5,2,2,5</t>
  </si>
  <si>
    <t>16,13,204,7,201,3,5,4</t>
  </si>
  <si>
    <t>1,3,2,5,2,3,2,3</t>
  </si>
  <si>
    <t>17,13,103,12,1,7,2,5</t>
  </si>
  <si>
    <t>1,1,2,1,2,4,5,5</t>
  </si>
  <si>
    <t>17,209,14,204,8,4,1,101</t>
  </si>
  <si>
    <t>1,2,2,3,4,5,5,5</t>
  </si>
  <si>
    <t>208,2,7,5,3,8,4,1</t>
  </si>
  <si>
    <t>21,12,14,1,5,2,3,8</t>
  </si>
  <si>
    <t>13,204,208,4,201,2,101,5</t>
  </si>
  <si>
    <t>1,2,1,2,2,5,3,4</t>
  </si>
  <si>
    <t>12,209,5,101,8,4,201,7</t>
  </si>
  <si>
    <t>13,204,201,5,101,8,3,2</t>
  </si>
  <si>
    <t>2,3,2,4,4,2,3,5</t>
  </si>
  <si>
    <t>109,207,12,103,5,3,2,4</t>
  </si>
  <si>
    <t>109,21,13,8,4,1,7,3</t>
  </si>
  <si>
    <t>1,1,1,5,3,4,2,2</t>
  </si>
  <si>
    <t>16,103,14,5,7,1,4,3</t>
  </si>
  <si>
    <t>1,1,2,4,3,5,5,2</t>
  </si>
  <si>
    <t>109,204,3,5,4,101,1,7</t>
  </si>
  <si>
    <t>1,3,4,2,2,3,4,2</t>
  </si>
  <si>
    <t>209,14,208,1,8,5,7,101</t>
  </si>
  <si>
    <t>3,1,2,4,5,3,3,3</t>
  </si>
  <si>
    <t>207,7,4,3,2,201,1,5</t>
  </si>
  <si>
    <t>1,4,4,5,3,5,3,4</t>
  </si>
  <si>
    <t>17,109,14,204,208,201,4,8</t>
  </si>
  <si>
    <t>1,1,1,3,3,3,5,2</t>
  </si>
  <si>
    <t>21,12,207,204,3,7,2,101</t>
  </si>
  <si>
    <t>1,3,3,2,3,3,2,5</t>
  </si>
  <si>
    <t>204,209,7,201,101,5,3,2</t>
  </si>
  <si>
    <t>2,3,5,5,3,4,3,3</t>
  </si>
  <si>
    <t>13,207,101,1,8,4,3,201</t>
  </si>
  <si>
    <t>3,2,5,5,4,4,3,3</t>
  </si>
  <si>
    <t>12,201,3,1,101,2,4,8</t>
  </si>
  <si>
    <t>1,4,3,4,4,2,3,5</t>
  </si>
  <si>
    <t>204,3,201,8,5,1,101,7</t>
  </si>
  <si>
    <t>3,4,3,4,2,5,3,2</t>
  </si>
  <si>
    <t>109,20,208,14,3,201,7,4</t>
  </si>
  <si>
    <t>1,1,2,2,4,2,5,2</t>
  </si>
  <si>
    <t>16,208,207,103,1,2,5,3</t>
  </si>
  <si>
    <t>13,2,5,201,8,1,4,3</t>
  </si>
  <si>
    <t>2,2,2,5,3,3,2,3</t>
  </si>
  <si>
    <t>109,207,14,4,1,8,2,101</t>
  </si>
  <si>
    <t>1,2,1,4,3,3,5,2</t>
  </si>
  <si>
    <t>21,16,204,12,103,201,5,7</t>
  </si>
  <si>
    <t>18,12,8,2,101,5,1,7</t>
  </si>
  <si>
    <t>1,1,3,4,3,2,4,5</t>
  </si>
  <si>
    <t>18,19,12,3,4,1,5,2</t>
  </si>
  <si>
    <t>20,18,14,207,5,101,3,201</t>
  </si>
  <si>
    <t>1,1,1,1,5,2,5,5</t>
  </si>
  <si>
    <t>17,16,103,8,3,101,201,4</t>
  </si>
  <si>
    <t>1,1,3,2,5,2,5,2</t>
  </si>
  <si>
    <t>19,204,7,1,2,4,5,101</t>
  </si>
  <si>
    <t>1,1,2,5,4,2,2,2</t>
  </si>
  <si>
    <t>14,209,103,8,7,5,4,201</t>
  </si>
  <si>
    <t>1,3,3,5,4,5,4,4</t>
  </si>
  <si>
    <t>109,19,14,5,4,3,7,2</t>
  </si>
  <si>
    <t>208,209,2,5,1,201,101,4</t>
  </si>
  <si>
    <t>1,3,4,2,3,3,4,5</t>
  </si>
  <si>
    <t>18,103,2,1,101,7,3,4</t>
  </si>
  <si>
    <t>17,208,209,207,7,5,8,4</t>
  </si>
  <si>
    <t>109,103,2,101,8,3,5,7</t>
  </si>
  <si>
    <t>1,2,2,5,5,5,4,2</t>
  </si>
  <si>
    <t>208,201,8,4,7,3,1,5</t>
  </si>
  <si>
    <t>2,4,2,4,2,5,2,4</t>
  </si>
  <si>
    <t>19,109,14,209,1,201,8,101</t>
  </si>
  <si>
    <t>1,1,1,2,3,5,2,5</t>
  </si>
  <si>
    <t>17,12,103,14,101,1,2,3</t>
  </si>
  <si>
    <t>20,204,209,7,201,2,101,3</t>
  </si>
  <si>
    <t>1,3,1,4,4,3,3,3</t>
  </si>
  <si>
    <t>16,109,208,12,3,7,8,101</t>
  </si>
  <si>
    <t>103,207,204,5,201,4,1,2</t>
  </si>
  <si>
    <t>3,1,1,5,4,4,5,4</t>
  </si>
  <si>
    <t>16,17,208,204,103,3,201,4</t>
  </si>
  <si>
    <t>209,2,3,7,8,5,1,4</t>
  </si>
  <si>
    <t>3,5,5,3,5,4,3,4</t>
  </si>
  <si>
    <t>20,109,209,204,5,101,7,2</t>
  </si>
  <si>
    <t>109,13,12,8,201,2,101,1</t>
  </si>
  <si>
    <t>1,2,2,2,5,3,5,2</t>
  </si>
  <si>
    <t>30,12,1,101,7,5,201,2</t>
  </si>
  <si>
    <t>1,2,2,2,3,5,5,3</t>
  </si>
  <si>
    <t>12,208,207,5,7,201,1,8</t>
  </si>
  <si>
    <t>12,3,2,1,8,201,5,4</t>
  </si>
  <si>
    <t>3,4,3,4,5,4,5,3</t>
  </si>
  <si>
    <t>207,204,5,101,201,1,2,4</t>
  </si>
  <si>
    <t>2,1,2,4,3,3,2,3</t>
  </si>
  <si>
    <t>16,18,208,204,201,7,4,2</t>
  </si>
  <si>
    <t>208,204,13,201,5,7,2,101</t>
  </si>
  <si>
    <t>2,1,3,2,4,5,2,5</t>
  </si>
  <si>
    <t>19,13,103,1,8,4,201,101</t>
  </si>
  <si>
    <t>1,3,2,4,2,4,2,5</t>
  </si>
  <si>
    <t>20,14,208,5,3,201,101,8</t>
  </si>
  <si>
    <t>207,12,8,5,2,4,3,1</t>
  </si>
  <si>
    <t>3,2,5,3,2,3,2,5</t>
  </si>
  <si>
    <t>103,5,2,8,201,7,1,3</t>
  </si>
  <si>
    <t>208,12,103,5,101,3,1,2</t>
  </si>
  <si>
    <t>1,1,2,2,4,5,3,3</t>
  </si>
  <si>
    <t>109,16,14,13,4,201,101,2</t>
  </si>
  <si>
    <t>18,19,103,13,208,201,8,2</t>
  </si>
  <si>
    <t>1,1,3,1,2,2,5,2</t>
  </si>
  <si>
    <t>21,17,13,207,8,3,4,1</t>
  </si>
  <si>
    <t>209,103,2,101,1,201,7,5</t>
  </si>
  <si>
    <t>2,1,2,3,4,4,4,3</t>
  </si>
  <si>
    <t>12,201,5,101,2,3,4,8</t>
  </si>
  <si>
    <t>3,3,4,3,2,5,3,5</t>
  </si>
  <si>
    <t>19,208,12,2,1,3,101,8</t>
  </si>
  <si>
    <t>109,18,14,1,5,7,101,201</t>
  </si>
  <si>
    <t>16,17,14,209,208,7,1,201</t>
  </si>
  <si>
    <t>1,1,1,2,1,4,2,5</t>
  </si>
  <si>
    <t>21,109,103,12,3,101,201,8</t>
  </si>
  <si>
    <t>1,1,3,1,5,2,3,3</t>
  </si>
  <si>
    <t>208,13,14,4,101,3,201,1</t>
  </si>
  <si>
    <t>3,3,2,3,3,3,2,5</t>
  </si>
  <si>
    <t>209,3,8,2,7,5,4,201</t>
  </si>
  <si>
    <t>3,3,5,2,2,5,3,5</t>
  </si>
  <si>
    <t>14,208,5,7,101,1,8,2</t>
  </si>
  <si>
    <t>2,3,3,3,4,3,2,3</t>
  </si>
  <si>
    <t>19,12,4,2,8,3,201,101</t>
  </si>
  <si>
    <t>1,2,2,5,5,3,2,5</t>
  </si>
  <si>
    <t>12,204,201,7,4,2,1,3</t>
  </si>
  <si>
    <t>3,3,5,2,3,5,3,5</t>
  </si>
  <si>
    <t>13,2,7,101,3,4,1,201</t>
  </si>
  <si>
    <t>3,5,3,5,5,4,2,4</t>
  </si>
  <si>
    <t>30,17,18,13,7,2,1,5</t>
  </si>
  <si>
    <t>1,1,1,1,3,5,5,3</t>
  </si>
  <si>
    <t>17,207,3,7,1,101,8,4</t>
  </si>
  <si>
    <t>1,3,2,4,5,4,5,3</t>
  </si>
  <si>
    <t>208,207,4,101,8,7,2,1</t>
  </si>
  <si>
    <t>3,1,5,3,5,4,2,2</t>
  </si>
  <si>
    <t>12,204,103,201,4,2,3,5</t>
  </si>
  <si>
    <t>3,1,1,4,3,3,3,3</t>
  </si>
  <si>
    <t>17,109,204,12,3,2,4,201</t>
  </si>
  <si>
    <t>204,4,3,101,2,8,1,7</t>
  </si>
  <si>
    <t>1,5,5,3,5,4,2,2</t>
  </si>
  <si>
    <t>209,7,1,8,2,4,101,5</t>
  </si>
  <si>
    <t>1,4,2,5,2,3,2,2</t>
  </si>
  <si>
    <t>18,204,12,14,8,101,5,201</t>
  </si>
  <si>
    <t>21,17,209,12,204,1,201,5</t>
  </si>
  <si>
    <t>14,103,209,2,201,5,3,101</t>
  </si>
  <si>
    <t>3,2,1,4,3,2,3,3</t>
  </si>
  <si>
    <t>14,209,8,101,2,4,201,3</t>
  </si>
  <si>
    <t>3,3,4,2,4,4,2,5</t>
  </si>
  <si>
    <t>18,103,209,8,1,5,201,3</t>
  </si>
  <si>
    <t>1,3,3,5,5,2,3,5</t>
  </si>
  <si>
    <t>16,17,14,103,2,4,201,3</t>
  </si>
  <si>
    <t>17,103,208,3,4,7,5,2</t>
  </si>
  <si>
    <t>1,3,1,5,2,2,2,5</t>
  </si>
  <si>
    <t>109,20,207,201,1,7,2,3</t>
  </si>
  <si>
    <t>208,204,209,2,8,101,3,5</t>
  </si>
  <si>
    <t>1,3,1,4,3,3,2,5</t>
  </si>
  <si>
    <t>209,8,201,2,1,4,101,3</t>
  </si>
  <si>
    <t>3,4,3,3,3,5,3,4</t>
  </si>
  <si>
    <t>21,103,3,5,8,7,2,1</t>
  </si>
  <si>
    <t>1,2,2,4,3,2,5,5</t>
  </si>
  <si>
    <t>13,1,5,2,4,8,201,101</t>
  </si>
  <si>
    <t>2,4,5,3,3,4,5,5</t>
  </si>
  <si>
    <t>103,208,14,5,101,4,201,7</t>
  </si>
  <si>
    <t>3,2,1,3,4,3,4,5</t>
  </si>
  <si>
    <t>109,20,204,14,13,101,8,4</t>
  </si>
  <si>
    <t>109,12,208,207,7,5,8,3</t>
  </si>
  <si>
    <t>1,3,3,2,5,5,2,4</t>
  </si>
  <si>
    <t>13,207,12,201,5,2,101,7</t>
  </si>
  <si>
    <t>1,3,1,2,3,2,2,4</t>
  </si>
  <si>
    <t>207,5,2,1,8,7,201,3</t>
  </si>
  <si>
    <t>1,5,2,5,3,5,3,2</t>
  </si>
  <si>
    <t>21,208,12,13,1,8,4,101</t>
  </si>
  <si>
    <t>1,3,2,3,3,2,2,5</t>
  </si>
  <si>
    <t>20,109,13,14,201,5,2,8</t>
  </si>
  <si>
    <t>21,109,12,13,204,101,4,3</t>
  </si>
  <si>
    <t>18,208,204,209,101,1,201,8</t>
  </si>
  <si>
    <t>21,18,207,208,103,2,7,3</t>
  </si>
  <si>
    <t>1,1,3,3,1,2,5,5</t>
  </si>
  <si>
    <t>18,20,14,208,13,1,7,3</t>
  </si>
  <si>
    <t>207,4,8,101,1,5,3,7</t>
  </si>
  <si>
    <t>2,2,3,2,5,4,3,5</t>
  </si>
  <si>
    <t>109,14,209,13,3,5,201,8</t>
  </si>
  <si>
    <t>1,2,2,3,3,3,5,5</t>
  </si>
  <si>
    <t>20,19,209,5,8,3,2,4</t>
  </si>
  <si>
    <t>208,5,201,7,2,1,3,4</t>
  </si>
  <si>
    <t>1,4,4,5,3,2,5,5</t>
  </si>
  <si>
    <t>208,101,5,2,4,7,8,3</t>
  </si>
  <si>
    <t>2,3,5,4,2,4,2,5</t>
  </si>
  <si>
    <t>18,14,101,201,2,1,8,3</t>
  </si>
  <si>
    <t>1,1,3,5,3,3,5,2</t>
  </si>
  <si>
    <t>209,13,8,3,201,4,101,5</t>
  </si>
  <si>
    <t>1,2,5,3,4,2,3,3</t>
  </si>
  <si>
    <t>20,17,207,209,5,3,1,4</t>
  </si>
  <si>
    <t>30,207,208,204,8,1,5,7</t>
  </si>
  <si>
    <t>20,17,208,12,204,7,201,5</t>
  </si>
  <si>
    <t>1,1,3,2,1,4,4,3</t>
  </si>
  <si>
    <t>16,209,208,14,5,4,7,3</t>
  </si>
  <si>
    <t>1,3,3,1,4,2,2,4</t>
  </si>
  <si>
    <t>12,2,8,3,7,5,4,201</t>
  </si>
  <si>
    <t>2,3,5,5,5,2,2,3</t>
  </si>
  <si>
    <t>21,18,13,14,4,101,2,3</t>
  </si>
  <si>
    <t>1,1,3,3,3,4,3,5</t>
  </si>
  <si>
    <t>209,103,201,3,2,4,8,5</t>
  </si>
  <si>
    <t>21,18,208,103,101,8,7,4</t>
  </si>
  <si>
    <t>19,208,13,8,5,2,7,101</t>
  </si>
  <si>
    <t>1,2,1,2,5,2,4,2</t>
  </si>
  <si>
    <t>204,207,4,7,2,201,101,8</t>
  </si>
  <si>
    <t>12,204,13,7,2,5,4,3</t>
  </si>
  <si>
    <t>1,3,3,5,4,2,2,4</t>
  </si>
  <si>
    <t>21,14,3,101,4,1,201,2</t>
  </si>
  <si>
    <t>1,3,3,2,5,3,4,3</t>
  </si>
  <si>
    <t>17,19,12,8,2,101,1,4</t>
  </si>
  <si>
    <t>1,1,2,2,5,2,4,2</t>
  </si>
  <si>
    <t>109,18,209,1,2,8,201,101</t>
  </si>
  <si>
    <t>1,1,3,4,3,5,5,2</t>
  </si>
  <si>
    <t>16,17,208,3,2,8,4,201</t>
  </si>
  <si>
    <t>1,1,2,4,2,3,2,5</t>
  </si>
  <si>
    <t>208,4,201,2,5,1,3,7</t>
  </si>
  <si>
    <t>1,2,2,5,4,5,2,2</t>
  </si>
  <si>
    <t>103,209,101,8,2,3,5,1</t>
  </si>
  <si>
    <t>17,109,207,209,8,5,3,4</t>
  </si>
  <si>
    <t>1,1,2,2,3,3,3,5</t>
  </si>
  <si>
    <t>16,208,2,201,7,5,1,8</t>
  </si>
  <si>
    <t>1,2,4,4,3,5,2,4</t>
  </si>
  <si>
    <t>18,19,103,207,1,101,4,5</t>
  </si>
  <si>
    <t>1,1,3,2,5,2,5,3</t>
  </si>
  <si>
    <t>209,12,207,201,1,2,101,8</t>
  </si>
  <si>
    <t>1,3,3,3,5,2,4,3</t>
  </si>
  <si>
    <t>109,19,13,14,208,1,5,7</t>
  </si>
  <si>
    <t>21,12,208,204,2,7,3,4</t>
  </si>
  <si>
    <t>1,3,3,1,5,4,3,2</t>
  </si>
  <si>
    <t>14,12,13,3,201,1,8,101</t>
  </si>
  <si>
    <t>1,3,1,4,5,3,2,2</t>
  </si>
  <si>
    <t>109,18,103,14,208,7,4,201</t>
  </si>
  <si>
    <t>1,1,3,3,2,5,2,2</t>
  </si>
  <si>
    <t>109,207,204,13,2,7,201,101</t>
  </si>
  <si>
    <t>204,209,101,7,1,3,4,8</t>
  </si>
  <si>
    <t>3,1,5,2,4,4,2,3</t>
  </si>
  <si>
    <t>12,201,1,101,8,5,2,7</t>
  </si>
  <si>
    <t>1,2,3,2,2,5,3,2</t>
  </si>
  <si>
    <t>12,201,5,1,4,3,2,8</t>
  </si>
  <si>
    <t>1,5,5,3,2,2,3,5</t>
  </si>
  <si>
    <t>18,20,208,204,2,7,1,4</t>
  </si>
  <si>
    <t>1,1,1,2,2,5,2,4</t>
  </si>
  <si>
    <t>19,208,201,7,8,1,5,101</t>
  </si>
  <si>
    <t>1,2,2,5,2,2,3,5</t>
  </si>
  <si>
    <t>14,204,1,4,101,5,3,201</t>
  </si>
  <si>
    <t>103,209,5,7,2,101,8,3</t>
  </si>
  <si>
    <t>3,3,3,4,2,2,2,3</t>
  </si>
  <si>
    <t>17,20,103,2,3,1,7,101</t>
  </si>
  <si>
    <t>109,14,204,201,5,1,2,8</t>
  </si>
  <si>
    <t>1,3,3,5,5,3,4,2</t>
  </si>
  <si>
    <t>19,209,12,103,101,7,5,1</t>
  </si>
  <si>
    <t>1,3,3,3,2,2,5,4</t>
  </si>
  <si>
    <t>20,103,1,3,101,201,5,8</t>
  </si>
  <si>
    <t>1,3,4,2,2,5,5,5</t>
  </si>
  <si>
    <t>18,19,208,101,7,2,4,5</t>
  </si>
  <si>
    <t>13,209,8,101,7,4,201,1</t>
  </si>
  <si>
    <t>1,3,4,4,3,3,4,2</t>
  </si>
  <si>
    <t>17,207,8,101,2,4,5,1</t>
  </si>
  <si>
    <t>1,3,3,3,5,3,2,3</t>
  </si>
  <si>
    <t>18,103,209,7,8,1,201,2</t>
  </si>
  <si>
    <t>209,204,101,7,1,8,4,201</t>
  </si>
  <si>
    <t>1,2,2,2,3,5,3,4</t>
  </si>
  <si>
    <t>14,209,3,4,101,1,7,5</t>
  </si>
  <si>
    <t>2,1,5,5,2,2,5,5</t>
  </si>
  <si>
    <t>209,103,207,8,101,2,1,201</t>
  </si>
  <si>
    <t>1,2,2,3,4,4,4,5</t>
  </si>
  <si>
    <t>20,103,101,201,8,2,5,1</t>
  </si>
  <si>
    <t>1,3,5,5,4,3,5,5</t>
  </si>
  <si>
    <t>103,7,3,5,2,4,101,1</t>
  </si>
  <si>
    <t>3,3,2,4,5,4,2,2</t>
  </si>
  <si>
    <t>204,12,208,7,201,3,4,1</t>
  </si>
  <si>
    <t>2,1,1,2,4,3,2,5</t>
  </si>
  <si>
    <t>12,13,208,2,5,101,4,1</t>
  </si>
  <si>
    <t>2,2,3,4,3,2,2,4</t>
  </si>
  <si>
    <t>16,208,3,1,201,7,101,4</t>
  </si>
  <si>
    <t>1,3,5,4,2,2,2,2</t>
  </si>
  <si>
    <t>209,13,14,4,101,2,1,3</t>
  </si>
  <si>
    <t>13,103,101,5,7,201,1,4</t>
  </si>
  <si>
    <t>1,3,5,4,4,2,2,2</t>
  </si>
  <si>
    <t>13,14,4,5,2,201,1,8</t>
  </si>
  <si>
    <t>1,1,3,5,5,4,4,2</t>
  </si>
  <si>
    <t>13,7,5,3,2,101,4,8</t>
  </si>
  <si>
    <t>3,2,3,4,4,5,5,5</t>
  </si>
  <si>
    <t>12,13,101,8,201,4,1,3</t>
  </si>
  <si>
    <t>3,2,5,2,4,4,2,3</t>
  </si>
  <si>
    <t>13,5,8,1,201,4,7,3</t>
  </si>
  <si>
    <t>2,5,4,5,4,3,2,3</t>
  </si>
  <si>
    <t>19,21,204,4,2,8,1,101</t>
  </si>
  <si>
    <t>13,5,7,4,101,8,1,2</t>
  </si>
  <si>
    <t>3,3,3,5,2,4,5,2</t>
  </si>
  <si>
    <t>20,103,209,2,5,101,3,7</t>
  </si>
  <si>
    <t>1,2,2,5,4,3,5,2</t>
  </si>
  <si>
    <t>18,12,14,208,1,201,8,101</t>
  </si>
  <si>
    <t>1,2,3,2,2,2,3,4</t>
  </si>
  <si>
    <t>208,14,1,2,8,3,5,101</t>
  </si>
  <si>
    <t>2,2,2,2,2,4,4,5</t>
  </si>
  <si>
    <t>13,204,209,4,8,101,5,201</t>
  </si>
  <si>
    <t>17,14,103,204,7,201,3,2</t>
  </si>
  <si>
    <t>1,2,1,3,2,5,4,4</t>
  </si>
  <si>
    <t>17,20,14,13,103,8,201,3</t>
  </si>
  <si>
    <t>1,1,3,1,1,3,5,3</t>
  </si>
  <si>
    <t>16,17,209,12,13,3,8,201</t>
  </si>
  <si>
    <t>1,1,3,2,1,5,4,2</t>
  </si>
  <si>
    <t>14,208,3,2,101,201,5,1</t>
  </si>
  <si>
    <t>2,3,3,3,3,2,4,5</t>
  </si>
  <si>
    <t>16,21,14,13,208,201,3,4</t>
  </si>
  <si>
    <t>103,207,13,101,5,8,201,2</t>
  </si>
  <si>
    <t>1,3,2,5,4,5,2,3</t>
  </si>
  <si>
    <t>18,14,13,1,2,201,5,101</t>
  </si>
  <si>
    <t>1,3,2,4,4,5,5,4</t>
  </si>
  <si>
    <t>14,13,201,5,1,101,2,3</t>
  </si>
  <si>
    <t>3,1,2,2,5,4,4,4</t>
  </si>
  <si>
    <t>208,4,8,1,3,5,101,7</t>
  </si>
  <si>
    <t>2,5,3,3,3,2,4,4</t>
  </si>
  <si>
    <t>109,16,204,3,7,4,5,101</t>
  </si>
  <si>
    <t>208,4,7,1,3,101,5,8</t>
  </si>
  <si>
    <t>2,2,2,2,3,5,2,2</t>
  </si>
  <si>
    <t>16,20,12,101,201,2,4,7</t>
  </si>
  <si>
    <t>209,4,7,2,3,201,101,5</t>
  </si>
  <si>
    <t>2,5,4,3,5,3,3,2</t>
  </si>
  <si>
    <t>17,18,103,207,209,101,3,4</t>
  </si>
  <si>
    <t>21,16,209,4,201,1,2,101</t>
  </si>
  <si>
    <t>18,207,12,4,2,5,201,7</t>
  </si>
  <si>
    <t>1,3,3,4,3,3,2,4</t>
  </si>
  <si>
    <t>20,18,207,103,13,201,2,1</t>
  </si>
  <si>
    <t>17,16,207,14,1,8,5,4</t>
  </si>
  <si>
    <t>1,1,3,1,5,2,2,5</t>
  </si>
  <si>
    <t>207,14,3,2,201,4,1,8</t>
  </si>
  <si>
    <t>3,3,3,5,5,5,5,2</t>
  </si>
  <si>
    <t>18,20,208,2,5,1,8,3</t>
  </si>
  <si>
    <t>1,1,1,4,5,2,3,4</t>
  </si>
  <si>
    <t>103,209,13,7,8,101,5,1</t>
  </si>
  <si>
    <t>2,3,1,5,4,5,5,2</t>
  </si>
  <si>
    <t>208,101,3,8,2,1,4,7</t>
  </si>
  <si>
    <t>2,5,2,5,5,2,4,4</t>
  </si>
  <si>
    <t>12,101,8,1,4,5,201,3</t>
  </si>
  <si>
    <t>14,208,207,2,201,1,5,8</t>
  </si>
  <si>
    <t>2,1,1,2,2,3,5,5</t>
  </si>
  <si>
    <t>13,12,3,2,201,8,1,101</t>
  </si>
  <si>
    <t>3,3,4,5,5,3,2,4</t>
  </si>
  <si>
    <t>30,21,19,13,209,208,101,8</t>
  </si>
  <si>
    <t>20,18,208,14,101,5,201,1</t>
  </si>
  <si>
    <t>209,14,13,5,4,1,101,3</t>
  </si>
  <si>
    <t>16,20,207,4,5,7,3,8</t>
  </si>
  <si>
    <t>1,1,2,5,2,5,2,5</t>
  </si>
  <si>
    <t>13,14,208,1,3,2,8,7</t>
  </si>
  <si>
    <t>3,1,2,4,4,4,3,4</t>
  </si>
  <si>
    <t>20,204,14,3,5,2,4,201</t>
  </si>
  <si>
    <t>1,2,1,4,5,3,4,4</t>
  </si>
  <si>
    <t>207,2,101,1,3,5,8,4</t>
  </si>
  <si>
    <t>2,5,4,2,3,5,3,4</t>
  </si>
  <si>
    <t>19,20,204,209,103,5,101,201</t>
  </si>
  <si>
    <t>12,8,7,5,101,3,4,2</t>
  </si>
  <si>
    <t>2,3,4,2,4,4,2,4</t>
  </si>
  <si>
    <t>20,14,204,5,7,1,3,201</t>
  </si>
  <si>
    <t>1,1,1,5,3,5,2,5</t>
  </si>
  <si>
    <t>16,19,209,207,103,4,1,8</t>
  </si>
  <si>
    <t>14,207,2,8,201,3,101,1</t>
  </si>
  <si>
    <t>1,1,5,4,3,4,5,4</t>
  </si>
  <si>
    <t>13,207,12,7,8,201,4,3</t>
  </si>
  <si>
    <t>1,1,1,2,2,5,3,3</t>
  </si>
  <si>
    <t>17,207,204,13,3,101,4,5</t>
  </si>
  <si>
    <t>20,209,5,201,1,7,2,8</t>
  </si>
  <si>
    <t>1,3,3,5,3,2,5,2</t>
  </si>
  <si>
    <t>204,13,8,2,1,101,201,5</t>
  </si>
  <si>
    <t>1,2,2,4,3,2,3,3</t>
  </si>
  <si>
    <t>14,103,207,8,3,7,5,201</t>
  </si>
  <si>
    <t>204,208,13,3,4,5,2,101</t>
  </si>
  <si>
    <t>2,2,1,3,3,5,4,3</t>
  </si>
  <si>
    <t>20,13,8,5,101,2,3,1</t>
  </si>
  <si>
    <t>1,2,2,3,4,5,5,4</t>
  </si>
  <si>
    <t>209,14,7,5,201,3,101,8</t>
  </si>
  <si>
    <t>2,2,4,3,4,3,4,2</t>
  </si>
  <si>
    <t>14,13,1,5,101,4,201,7</t>
  </si>
  <si>
    <t>1,2,5,5,5,5,2,3</t>
  </si>
  <si>
    <t>208,12,2,5,4,7,3,8</t>
  </si>
  <si>
    <t>3,1,5,2,3,4,3,4</t>
  </si>
  <si>
    <t>21,208,8,4,7,201,2,3</t>
  </si>
  <si>
    <t>1,3,5,4,2,5,2,3</t>
  </si>
  <si>
    <t>21,204,208,207,2,4,5,1</t>
  </si>
  <si>
    <t>1,3,1,2,5,5,2,4</t>
  </si>
  <si>
    <t>19,18,204,208,14,7,201,4</t>
  </si>
  <si>
    <t>1,1,3,1,2,3,2,4</t>
  </si>
  <si>
    <t>207,103,3,2,7,101,4,1</t>
  </si>
  <si>
    <t>1,2,3,3,4,4,2,5</t>
  </si>
  <si>
    <t>19,207,12,8,1,101,201,3</t>
  </si>
  <si>
    <t>1,1,1,5,2,4,4,3</t>
  </si>
  <si>
    <t>207,209,7,101,5,2,1,8</t>
  </si>
  <si>
    <t>1,1,4,3,4,2,2,5</t>
  </si>
  <si>
    <t>14,204,207,5,8,201,4,101</t>
  </si>
  <si>
    <t>2,3,3,3,3,5,2,3</t>
  </si>
  <si>
    <t>19,18,209,13,3,201,4,7</t>
  </si>
  <si>
    <t>1,1,2,2,5,2,5,3</t>
  </si>
  <si>
    <t>21,103,3,8,4,2,201,7</t>
  </si>
  <si>
    <t>1,3,4,2,3,2,5,2</t>
  </si>
  <si>
    <t>12,7,8,2,1,201,101,3</t>
  </si>
  <si>
    <t>2,5,2,5,3,5,2,4</t>
  </si>
  <si>
    <t>208,207,12,4,2,101,3,7</t>
  </si>
  <si>
    <t>1,3,1,2,3,3,5,3</t>
  </si>
  <si>
    <t>207,14,101,2,8,4,201,1</t>
  </si>
  <si>
    <t>3,2,5,5,2,2,2,5</t>
  </si>
  <si>
    <t>18,208,207,103,3,7,2,5</t>
  </si>
  <si>
    <t>16,103,12,3,2,5,101,8</t>
  </si>
  <si>
    <t>1,3,2,3,3,4,4,4</t>
  </si>
  <si>
    <t>19,207,103,12,7,3,2,4</t>
  </si>
  <si>
    <t>1,2,3,3,3,5,5,3</t>
  </si>
  <si>
    <t>19,103,4,3,201,2,8,5</t>
  </si>
  <si>
    <t>1,2,5,3,3,5,2,5</t>
  </si>
  <si>
    <t>21,109,209,2,101,4,1,7</t>
  </si>
  <si>
    <t>1,1,3,4,2,3,2,3</t>
  </si>
  <si>
    <t>204,4,5,1,101,7,8,201</t>
  </si>
  <si>
    <t>2,2,5,2,5,4,4,3</t>
  </si>
  <si>
    <t>19,204,209,103,201,4,2,3</t>
  </si>
  <si>
    <t>1,2,2,3,2,5,4,4</t>
  </si>
  <si>
    <t>209,12,13,7,5,201,1,3</t>
  </si>
  <si>
    <t>3,2,2,5,2,4,5,5</t>
  </si>
  <si>
    <t>18,208,101,2,1,8,5,7</t>
  </si>
  <si>
    <t>1,1,2,2,3,5,3,3</t>
  </si>
  <si>
    <t>13,12,14,8,5,101,2,7</t>
  </si>
  <si>
    <t>2,1,2,3,5,5,2,4</t>
  </si>
  <si>
    <t>17,18,208,3,201,4,8,7</t>
  </si>
  <si>
    <t>1,1,1,5,2,5,5,3</t>
  </si>
  <si>
    <t>14,209,101,3,2,4,201,7</t>
  </si>
  <si>
    <t>3,2,3,4,2,4,3,3</t>
  </si>
  <si>
    <t>13,3,101,201,4,2,5,1</t>
  </si>
  <si>
    <t>3,4,2,4,3,2,4,2</t>
  </si>
  <si>
    <t>207,4,7,1,5,2,8,201</t>
  </si>
  <si>
    <t>1,3,3,2,5,4,4,2</t>
  </si>
  <si>
    <t>21,12,209,14,2,5,7,1</t>
  </si>
  <si>
    <t>1,2,3,1,5,4,5,5</t>
  </si>
  <si>
    <t>109,103,209,204,3,4,101,5</t>
  </si>
  <si>
    <t>209,208,3,101,5,201,1,4</t>
  </si>
  <si>
    <t>3,1,4,2,5,3,3,4</t>
  </si>
  <si>
    <t>204,12,3,7,8,2,1,101</t>
  </si>
  <si>
    <t>3,3,2,4,2,2,4,2</t>
  </si>
  <si>
    <t>14,207,208,8,5,2,201,1</t>
  </si>
  <si>
    <t>3,3,2,4,3,5,2,2</t>
  </si>
  <si>
    <t>209,101,7,1,8,2,201,4</t>
  </si>
  <si>
    <t>2,5,3,3,2,4,4,3</t>
  </si>
  <si>
    <t>207,103,14,8,5,2,201,3</t>
  </si>
  <si>
    <t>3,2,2,4,3,5,3,5</t>
  </si>
  <si>
    <t>19,16,204,201,8,4,3,5</t>
  </si>
  <si>
    <t>1,1,2,2,4,3,5,4</t>
  </si>
  <si>
    <t>13,1,101,5,7,2,201,3</t>
  </si>
  <si>
    <t>2,5,5,3,4,2,4,5</t>
  </si>
  <si>
    <t>20,18,209,12,1,101,4,8</t>
  </si>
  <si>
    <t>14,204,1,7,4,2,3,201</t>
  </si>
  <si>
    <t>1,3,3,5,5,2,4,2</t>
  </si>
  <si>
    <t>20,109,207,7,8,201,2,5</t>
  </si>
  <si>
    <t>1,1,2,4,5,4,2,4</t>
  </si>
  <si>
    <t>18,17,103,5,2,7,3,201</t>
  </si>
  <si>
    <t>18,14,13,201,5,101,3,2</t>
  </si>
  <si>
    <t>17,19,14,3,4,7,2,1</t>
  </si>
  <si>
    <t>1,1,3,5,3,4,3,3</t>
  </si>
  <si>
    <t>20,19,103,13,208,3,101,4</t>
  </si>
  <si>
    <t>204,3,101,7,5,4,201,1</t>
  </si>
  <si>
    <t>2,5,3,3,5,3,2,3</t>
  </si>
  <si>
    <t>14,13,5,8,1,7,201,3</t>
  </si>
  <si>
    <t>3,1,4,4,4,2,4,4</t>
  </si>
  <si>
    <t>20,17,12,204,4,5,8,7</t>
  </si>
  <si>
    <t>103,207,7,4,1,3,5,2</t>
  </si>
  <si>
    <t>2,2,5,4,3,4,3,3</t>
  </si>
  <si>
    <t>17,20,204,201,4,3,7,101</t>
  </si>
  <si>
    <t>204,14,103,1,2,4,3,5</t>
  </si>
  <si>
    <t>3,2,1,4,3,2,3,5</t>
  </si>
  <si>
    <t>12,201,8,5,3,101,1,2</t>
  </si>
  <si>
    <t>1,2,2,2,2,4,5,2</t>
  </si>
  <si>
    <t>21,103,209,3,201,5,7,8</t>
  </si>
  <si>
    <t>208,12,3,7,1,8,201,5</t>
  </si>
  <si>
    <t>2,2,4,4,3,3,2,3</t>
  </si>
  <si>
    <t>18,21,103,1,5,101,4,2</t>
  </si>
  <si>
    <t>1,1,1,3,2,2,2,4</t>
  </si>
  <si>
    <t>109,21,208,201,7,8,1,3</t>
  </si>
  <si>
    <t>1,1,2,5,5,4,2,4</t>
  </si>
  <si>
    <t>13,201,4,7,1,8,5,101</t>
  </si>
  <si>
    <t>2,3,3,2,3,4,2,3</t>
  </si>
  <si>
    <t>207,8,7,4,3,1,201,101</t>
  </si>
  <si>
    <t>3,4,3,5,4,3,3,2</t>
  </si>
  <si>
    <t>209,14,12,4,8,201,3,2</t>
  </si>
  <si>
    <t>3,2,3,5,5,2,3,3</t>
  </si>
  <si>
    <t>14,209,12,4,3,7,8,201</t>
  </si>
  <si>
    <t>3,2,3,2,2,4,4,4</t>
  </si>
  <si>
    <t>16,207,103,2,1,201,4,7</t>
  </si>
  <si>
    <t>1,2,1,5,3,5,2,2</t>
  </si>
  <si>
    <t>109,19,204,4,5,101,201,1</t>
  </si>
  <si>
    <t>103,209,208,101,8,2,201,1</t>
  </si>
  <si>
    <t>3,2,1,3,2,4,2,2</t>
  </si>
  <si>
    <t>207,101,5,7,201,2,4,8</t>
  </si>
  <si>
    <t>2,4,4,3,2,2,5,5</t>
  </si>
  <si>
    <t>17,103,207,5,101,7,3,201</t>
  </si>
  <si>
    <t>1,3,2,4,4,5,4,3</t>
  </si>
  <si>
    <t>109,18,209,207,3,5,2,4</t>
  </si>
  <si>
    <t>17,18,14,207,13,4,8,5</t>
  </si>
  <si>
    <t>1,1,2,2,1,2,3,5</t>
  </si>
  <si>
    <t>30,209,5,7,3,201,2,4</t>
  </si>
  <si>
    <t>1,1,5,3,5,4,4,5</t>
  </si>
  <si>
    <t>207,103,8,1,3,2,7,5</t>
  </si>
  <si>
    <t>1,3,4,2,3,4,2,5</t>
  </si>
  <si>
    <t>13,7,101,5,201,1,2,3</t>
  </si>
  <si>
    <t>2,5,5,2,4,3,2,5</t>
  </si>
  <si>
    <t>13,207,201,3,1,2,101,5</t>
  </si>
  <si>
    <t>2,2,5,2,5,2,3,2</t>
  </si>
  <si>
    <t>109,207,12,13,4,101,7,3</t>
  </si>
  <si>
    <t>20,17,12,209,103,3,1,201</t>
  </si>
  <si>
    <t>109,207,3,5,101,201,1,7</t>
  </si>
  <si>
    <t>1,1,5,3,4,2,5,3</t>
  </si>
  <si>
    <t>16,207,204,2,1,4,8,5</t>
  </si>
  <si>
    <t>1,3,3,2,4,5,5,5</t>
  </si>
  <si>
    <t>109,204,14,7,5,201,4,8</t>
  </si>
  <si>
    <t>1,2,3,3,3,3,5,2</t>
  </si>
  <si>
    <t>19,16,204,208,13,1,5,8</t>
  </si>
  <si>
    <t>1,1,2,2,2,5,3,3</t>
  </si>
  <si>
    <t>18,17,209,204,12,8,2,4</t>
  </si>
  <si>
    <t>13,4,7,2,201,5,3,8</t>
  </si>
  <si>
    <t>14,209,103,5,4,101,1,3</t>
  </si>
  <si>
    <t>1,3,2,5,4,2,2,5</t>
  </si>
  <si>
    <t>17,204,209,201,101,7,8,4</t>
  </si>
  <si>
    <t>1,3,1,5,2,2,2,2</t>
  </si>
  <si>
    <t>204,3,201,1,5,8,4,101</t>
  </si>
  <si>
    <t>2,2,4,5,4,2,4,4</t>
  </si>
  <si>
    <t>109,16,103,12,207,101,8,2</t>
  </si>
  <si>
    <t>1,1,3,2,3,2,3,5</t>
  </si>
  <si>
    <t>204,103,7,2,4,8,1,101</t>
  </si>
  <si>
    <t>2,3,4,5,2,2,2,4</t>
  </si>
  <si>
    <t>109,19,14,209,204,1,5,4</t>
  </si>
  <si>
    <t>16,207,3,1,7,4,101,8</t>
  </si>
  <si>
    <t>1,1,4,5,5,4,3,3</t>
  </si>
  <si>
    <t>19,209,4,8,201,101,5,7</t>
  </si>
  <si>
    <t>1,2,4,4,3,4,5,2</t>
  </si>
  <si>
    <t>12,208,209,7,8,101,5,3</t>
  </si>
  <si>
    <t>1,2,1,4,4,4,3,5</t>
  </si>
  <si>
    <t>18,16,12,13,204,101,2,5</t>
  </si>
  <si>
    <t>204,209,208,101,3,201,7,4</t>
  </si>
  <si>
    <t>3,3,1,2,4,4,3,2</t>
  </si>
  <si>
    <t>16,208,209,14,4,1,8,101</t>
  </si>
  <si>
    <t>16,12,1,8,5,7,4,101</t>
  </si>
  <si>
    <t>1,3,4,5,2,3,4,3</t>
  </si>
  <si>
    <t>20,13,208,4,1,5,8,2</t>
  </si>
  <si>
    <t>20,17,207,208,204,201,2,7</t>
  </si>
  <si>
    <t>209,3,1,2,5,7,4,101</t>
  </si>
  <si>
    <t>1,2,5,5,2,2,5,5</t>
  </si>
  <si>
    <t>20,208,1,2,101,7,4,3</t>
  </si>
  <si>
    <t>109,16,208,207,201,4,3,2</t>
  </si>
  <si>
    <t>18,207,204,13,201,2,5,8</t>
  </si>
  <si>
    <t>103,13,4,5,201,8,3,1</t>
  </si>
  <si>
    <t>2,3,5,3,3,5,2,4</t>
  </si>
  <si>
    <t>208,204,13,3,8,201,1,2</t>
  </si>
  <si>
    <t>1,3,2,3,5,5,5,3</t>
  </si>
  <si>
    <t>204,13,207,1,201,8,7,4</t>
  </si>
  <si>
    <t>1,3,1,5,4,5,3,2</t>
  </si>
  <si>
    <t>103,204,101,7,201,8,3,1</t>
  </si>
  <si>
    <t>1,1,2,4,2,2,5,5</t>
  </si>
  <si>
    <t>103,14,4,5,101,7,8,201</t>
  </si>
  <si>
    <t>2,1,3,4,5,3,2,4</t>
  </si>
  <si>
    <t>204,208,207,5,4,2,201,8</t>
  </si>
  <si>
    <t>16,19,103,8,5,201,3,101</t>
  </si>
  <si>
    <t>21,207,14,204,101,7,4,201</t>
  </si>
  <si>
    <t>109,16,207,14,103,201,1,4</t>
  </si>
  <si>
    <t>1,1,3,3,3,5,5,4</t>
  </si>
  <si>
    <t>109,103,8,5,1,101,7,4</t>
  </si>
  <si>
    <t>1,2,5,2,2,4,2,5</t>
  </si>
  <si>
    <t>21,12,103,207,8,201,5,2</t>
  </si>
  <si>
    <t>1,1,3,1,5,2,4,3</t>
  </si>
  <si>
    <t>103,13,204,7,4,2,201,1</t>
  </si>
  <si>
    <t>3,2,1,3,3,2,2,2</t>
  </si>
  <si>
    <t>204,14,2,7,1,5,101,4</t>
  </si>
  <si>
    <t>1,1,5,5,4,5,2,4</t>
  </si>
  <si>
    <t>109,204,207,2,4,3,101,1</t>
  </si>
  <si>
    <t>17,103,2,3,8,5,1,4</t>
  </si>
  <si>
    <t>1,3,5,3,2,5,2,3</t>
  </si>
  <si>
    <t>20,207,12,2,101,7,8,1</t>
  </si>
  <si>
    <t>21,103,209,101,2,8,201,5</t>
  </si>
  <si>
    <t>1,2,3,4,3,5,2,5</t>
  </si>
  <si>
    <t>21,17,14,204,2,8,201,4</t>
  </si>
  <si>
    <t>1,1,2,3,4,2,4,5</t>
  </si>
  <si>
    <t>13,12,14,4,1,101,5,2</t>
  </si>
  <si>
    <t>2,2,2,4,2,2,3,3</t>
  </si>
  <si>
    <t>207,13,7,101,3,2,4,5</t>
  </si>
  <si>
    <t>2,1,5,4,5,4,2,5</t>
  </si>
  <si>
    <t>17,209,103,207,1,3,101,5</t>
  </si>
  <si>
    <t>209,12,3,8,5,7,4,1</t>
  </si>
  <si>
    <t>2,2,3,4,2,3,4,5</t>
  </si>
  <si>
    <t>18,109,207,12,209,5,2,7</t>
  </si>
  <si>
    <t>14,209,13,7,201,1,101,5</t>
  </si>
  <si>
    <t>109,17,13,103,204,14,4,5</t>
  </si>
  <si>
    <t>208,101,7,8,201,4,3,2</t>
  </si>
  <si>
    <t>2,4,4,3,4,5,3,3</t>
  </si>
  <si>
    <t>21,204,13,209,12,5,4,3</t>
  </si>
  <si>
    <t>1,1,2,2,1,3,5,3</t>
  </si>
  <si>
    <t>19,5,8,7,3,4,2,201</t>
  </si>
  <si>
    <t>1,5,4,5,4,4,3,4</t>
  </si>
  <si>
    <t>207,8,201,7,1,101,2,4</t>
  </si>
  <si>
    <t>3,5,3,3,3,5,5,3</t>
  </si>
  <si>
    <t>17,103,208,101,201,8,4,1</t>
  </si>
  <si>
    <t>1,2,2,4,3,4,5,3</t>
  </si>
  <si>
    <t>108,109,103,208,204,7,2,101</t>
  </si>
  <si>
    <t>13,201,3,8,101,5,1,2</t>
  </si>
  <si>
    <t>3,5,3,5,4,5,4,4</t>
  </si>
  <si>
    <t>210,18,14,103,7,1,201,3</t>
  </si>
  <si>
    <t>12,204,209,208,8,1,101,4</t>
  </si>
  <si>
    <t>1,1,3,1,4,3,5,5</t>
  </si>
  <si>
    <t>1,5,8,3,7,101,2,201</t>
  </si>
  <si>
    <t>5,3,5,3,4,4,3,3</t>
  </si>
  <si>
    <t>103,208,12,14,101,1,201,2</t>
  </si>
  <si>
    <t>3,3,3,1,4,4,3,5</t>
  </si>
  <si>
    <t>12,14,5,201,101,7,4,1</t>
  </si>
  <si>
    <t>3,2,3,4,4,4,5,3</t>
  </si>
  <si>
    <t>2,7,8,101,1,201,5,4</t>
  </si>
  <si>
    <t>4,4,3,5,5,3,3,4</t>
  </si>
  <si>
    <t>12,204,13,14,2,1,4,201</t>
  </si>
  <si>
    <t>2,1,3,1,4,4,5,4</t>
  </si>
  <si>
    <t>204,208,207,8,5,1,7,2</t>
  </si>
  <si>
    <t>19,101,5,7,8,4,201,2</t>
  </si>
  <si>
    <t>207,12,1,2,5,101,8,201</t>
  </si>
  <si>
    <t>3,2,5,3,3,5,5,3</t>
  </si>
  <si>
    <t>207,208,12,3,5,8,2,201</t>
  </si>
  <si>
    <t>3,3,2,3,4,5,3,4</t>
  </si>
  <si>
    <t>209,207,13,208,4,3,5,8</t>
  </si>
  <si>
    <t>2,2,1,1,5,5,5,5</t>
  </si>
  <si>
    <t>19,208,13,204,4,101,2,7</t>
  </si>
  <si>
    <t>7,3,8,5,1,2,101,4</t>
  </si>
  <si>
    <t>4,4,5,3,3,4,4,5</t>
  </si>
  <si>
    <t>210,4,201,2,8,7,1,5</t>
  </si>
  <si>
    <t>1,4,4,5,5,4,3,5</t>
  </si>
  <si>
    <t>108,1,4,7,5,101,201,8</t>
  </si>
  <si>
    <t>1,3,4,3,3,3,5,3</t>
  </si>
  <si>
    <t>20,1,7,3,8,201,2,5</t>
  </si>
  <si>
    <t>1,5,4,5,4,5,3,4</t>
  </si>
  <si>
    <t>201,4,7,5,8,1,2,3</t>
  </si>
  <si>
    <t>3,3,5,3,4,3,5,4</t>
  </si>
  <si>
    <t>20,210,14,209,8,101,5,2</t>
  </si>
  <si>
    <t>108,109,7,101,1,201,2,3</t>
  </si>
  <si>
    <t>1,1,5,5,3,5,4,3</t>
  </si>
  <si>
    <t>101,8,7,2,201,3,5,1</t>
  </si>
  <si>
    <t>3,3,3,4,3,4,5,4</t>
  </si>
  <si>
    <t>210,108,14,13,12,209,8,3</t>
  </si>
  <si>
    <t>14,204,12,201,1,7,5,8</t>
  </si>
  <si>
    <t>1,3,3,4,5,3,3,3</t>
  </si>
  <si>
    <t>16,14,209,204,12,101,3,2</t>
  </si>
  <si>
    <t>17,20,14,204,103,3,2,1</t>
  </si>
  <si>
    <t>208,103,4,101,2,7,3,8</t>
  </si>
  <si>
    <t>2,3,5,3,5,5,4,5</t>
  </si>
  <si>
    <t>12,207,103,101,4,3,7,2</t>
  </si>
  <si>
    <t>2,3,2,3,3,4,4,4</t>
  </si>
  <si>
    <t>13,204,12,2,5,4,101,8</t>
  </si>
  <si>
    <t>13,14,209,12,2,101,1,8</t>
  </si>
  <si>
    <t>3,2,1,1,3,3,4,3</t>
  </si>
  <si>
    <t>5,1,8,2,101,201,3,7</t>
  </si>
  <si>
    <t>3,5,3,4,5,3,3,4</t>
  </si>
  <si>
    <t>208,101,7,201,5,2,8,1</t>
  </si>
  <si>
    <t>207,1,8,7,3,4,201,101</t>
  </si>
  <si>
    <t>3,3,4,4,4,5,5,5</t>
  </si>
  <si>
    <t>207,13,8,2,5,3,1,101</t>
  </si>
  <si>
    <t>103,5,3,8,201,1,101,7</t>
  </si>
  <si>
    <t>1,4,4,5,4,4,3,4</t>
  </si>
  <si>
    <t>18,20,208,2,101,4,5,201</t>
  </si>
  <si>
    <t>201,1,2,3,101,8,5,7</t>
  </si>
  <si>
    <t>4,5,5,5,5,4,5,5</t>
  </si>
  <si>
    <t>208,14,12,13,2,8,3,7</t>
  </si>
  <si>
    <t>19,14,13,208,204,7,8,4</t>
  </si>
  <si>
    <t>1,3,1,3,1,5,3,4</t>
  </si>
  <si>
    <t>21,12,208,209,5,4,201,8</t>
  </si>
  <si>
    <t>19,12,5,7,3,4,1,2</t>
  </si>
  <si>
    <t>210,209,207,208,13,8,2,3</t>
  </si>
  <si>
    <t>1,2,2,2,2,4,4,4</t>
  </si>
  <si>
    <t>13,7,5,201,2,4,8,101</t>
  </si>
  <si>
    <t>2,5,3,4,3,3,3,4</t>
  </si>
  <si>
    <t>4,7,2,5,1,101,8,3</t>
  </si>
  <si>
    <t>108,12,5,2,3,7,1,201</t>
  </si>
  <si>
    <t>1,2,5,4,3,4,3,5</t>
  </si>
  <si>
    <t>5,1,101,4,2,7,8,3</t>
  </si>
  <si>
    <t>5,4,5,4,3,4,4,3</t>
  </si>
  <si>
    <t>210,108,103,207,14,1,2,101</t>
  </si>
  <si>
    <t>208,8,7,3,2,201,1,4</t>
  </si>
  <si>
    <t>3,5,3,5,3,4,3,5</t>
  </si>
  <si>
    <t>101,2,8,3,201,1,7,4</t>
  </si>
  <si>
    <t>4,4,4,5,5,3,4,3</t>
  </si>
  <si>
    <t>209,207,13,14,1,3,7,8</t>
  </si>
  <si>
    <t>1,2,1,2,4,3,5,4</t>
  </si>
  <si>
    <t>210,109,204,5,8,201,7,1</t>
  </si>
  <si>
    <t>13,7,101,8,1,4,2,201</t>
  </si>
  <si>
    <t>2,5,5,3,3,4,4,4</t>
  </si>
  <si>
    <t>204,14,208,12,5,201,3,4</t>
  </si>
  <si>
    <t>1,2,3,1,3,4,3,3</t>
  </si>
  <si>
    <t>209,208,14,207,7,3,1,201</t>
  </si>
  <si>
    <t>2,2,3,2,3,3,5,4</t>
  </si>
  <si>
    <t>209,8,3,201,5,101,1,2</t>
  </si>
  <si>
    <t>2,5,4,3,5,3,5,3</t>
  </si>
  <si>
    <t>13,103,12,5,7,4,201,1</t>
  </si>
  <si>
    <t>3,1,2,4,4,4,3,5</t>
  </si>
  <si>
    <t>18,20,204,13,209,14,8,7</t>
  </si>
  <si>
    <t>1,1,3,3,2,1,3,4</t>
  </si>
  <si>
    <t>108,19,209,103,2,101,3,201</t>
  </si>
  <si>
    <t>207,204,103,14,201,2,1,8</t>
  </si>
  <si>
    <t>3,2,1,1,5,4,4,3</t>
  </si>
  <si>
    <t>14,209,4,201,8,3,2,5</t>
  </si>
  <si>
    <t>1,2,3,5,4,4,5,4</t>
  </si>
  <si>
    <t>204,13,12,4,2,101,201,5</t>
  </si>
  <si>
    <t>3,2,3,3,4,4,3,3</t>
  </si>
  <si>
    <t>103,13,201,8,1,5,4,2</t>
  </si>
  <si>
    <t>3,1,5,4,5,4,5,3</t>
  </si>
  <si>
    <t>209,13,201,8,7,3,4,5</t>
  </si>
  <si>
    <t>3,1,3,4,5,4,3,5</t>
  </si>
  <si>
    <t>4,3,4,5,3,5,3,3</t>
  </si>
  <si>
    <t>204,207,12,103,2,8,7,3</t>
  </si>
  <si>
    <t>3,2,2,3,3,4,3,3</t>
  </si>
  <si>
    <t>7,5,101,4,201,2,8,3</t>
  </si>
  <si>
    <t>4,4,3,4,3,4,4,3</t>
  </si>
  <si>
    <t>17,207,14,1,2,4,3,201</t>
  </si>
  <si>
    <t>19,13,207,209,14,8,3,7</t>
  </si>
  <si>
    <t>108,20,204,13,5,4,7,201</t>
  </si>
  <si>
    <t>13,204,209,208,4,7,5,1</t>
  </si>
  <si>
    <t>2,2,2,2,4,4,5,5</t>
  </si>
  <si>
    <t>204,209,101,4,8,5,1,201</t>
  </si>
  <si>
    <t>2,3,5,3,4,5,3,3</t>
  </si>
  <si>
    <t>204,207,5,201,2,3,8,1</t>
  </si>
  <si>
    <t>207,12,209,103,7,2,5,201</t>
  </si>
  <si>
    <t>2,3,3,2,5,5,3,4</t>
  </si>
  <si>
    <t>210,21,13,209,204,12,7,101</t>
  </si>
  <si>
    <t>19,209,204,208,14,3,4,201</t>
  </si>
  <si>
    <t>1,2,1,1,1,5,4,5</t>
  </si>
  <si>
    <t>17,18,12,101,5,1,201,7</t>
  </si>
  <si>
    <t>210,109,208,3,201,7,101,8</t>
  </si>
  <si>
    <t>1,1,2,3,3,4,4,5</t>
  </si>
  <si>
    <t>14,5,1,8,4,7,101,3</t>
  </si>
  <si>
    <t>3,4,5,4,5,5,5,3</t>
  </si>
  <si>
    <t>209,208,13,12,5,8,201,2</t>
  </si>
  <si>
    <t>1,2,3,3,3,4,3,5</t>
  </si>
  <si>
    <t>16,17,3,4,7,2,8,5</t>
  </si>
  <si>
    <t>209,12,207,5,4,1,101,3</t>
  </si>
  <si>
    <t>109,18,13,207,14,103,3,1</t>
  </si>
  <si>
    <t>210,208,103,7,1,2,101,5</t>
  </si>
  <si>
    <t>13,209,204,14,2,101,1,7</t>
  </si>
  <si>
    <t>103,204,12,14,7,1,4,8</t>
  </si>
  <si>
    <t>204,14,5,101,4,8,2,7</t>
  </si>
  <si>
    <t>2,1,5,3,3,3,4,3</t>
  </si>
  <si>
    <t>12,208,209,8,1,4,3,7</t>
  </si>
  <si>
    <t>3,1,2,5,5,5,5,4</t>
  </si>
  <si>
    <t>8,5,2,1,101,201,3,7</t>
  </si>
  <si>
    <t>5,4,3,3,4,5,4,5</t>
  </si>
  <si>
    <t>103,207,204,1,7,8,5,101</t>
  </si>
  <si>
    <t>7,2,1,5,4,3,201,101</t>
  </si>
  <si>
    <t>3,3,3,3,4,4,5,4</t>
  </si>
  <si>
    <t>109,18,201,1,101,2,3,4</t>
  </si>
  <si>
    <t>1,1,4,3,3,3,3,4</t>
  </si>
  <si>
    <t>103,8,2,101,7,4,3,201</t>
  </si>
  <si>
    <t>3,5,5,5,5,3,5,4</t>
  </si>
  <si>
    <t>17,108,13,12,207,204,201,8</t>
  </si>
  <si>
    <t>19,17,13,208,209,14,3,5</t>
  </si>
  <si>
    <t>1,1,1,2,1,1,3,5</t>
  </si>
  <si>
    <t>12,14,7,1,2,201,3,5</t>
  </si>
  <si>
    <t>2,3,5,4,3,5,5,5</t>
  </si>
  <si>
    <t>12,13,14,1,2,201,8,3</t>
  </si>
  <si>
    <t>2,2,2,5,5,5,5,3</t>
  </si>
  <si>
    <t>103,12,14,13,7,2,3,4</t>
  </si>
  <si>
    <t>2,3,3,1,4,3,3,5</t>
  </si>
  <si>
    <t>208,12,7,1,5,4,8,3</t>
  </si>
  <si>
    <t>3,3,5,3,3,4,3,5</t>
  </si>
  <si>
    <t>207,103,14,201,3,1,4,5</t>
  </si>
  <si>
    <t>3,1,3,5,4,5,4,5</t>
  </si>
  <si>
    <t>12,204,201,7,3,101,4,8</t>
  </si>
  <si>
    <t>17,109,208,13,207,14,1,4</t>
  </si>
  <si>
    <t>1,1,3,1,1,1,4,4</t>
  </si>
  <si>
    <t>14,209,204,2,5,101,4,201</t>
  </si>
  <si>
    <t>2,3,1,5,5,4,5,5</t>
  </si>
  <si>
    <t>108,16,103,13,101,2,1,3</t>
  </si>
  <si>
    <t>1,1,3,3,4,4,4,4</t>
  </si>
  <si>
    <t>2,3,101,5,8,7,1,4</t>
  </si>
  <si>
    <t>4,5,5,4,3,4,3,4</t>
  </si>
  <si>
    <t>208,209,13,12,4,2,101,1</t>
  </si>
  <si>
    <t>17,109,209,101,1,7,2,4</t>
  </si>
  <si>
    <t>1,1,1,4,5,5,4,3</t>
  </si>
  <si>
    <t>12,208,207,204,101,5,8,3</t>
  </si>
  <si>
    <t>2,2,3,1,4,5,4,3</t>
  </si>
  <si>
    <t>1,4,201,101,3,7,8,5</t>
  </si>
  <si>
    <t>3,4,5,4,4,4,3,4</t>
  </si>
  <si>
    <t>16,204,12,103,207,1,7,2</t>
  </si>
  <si>
    <t>18,109,204,13,207,208,8,201</t>
  </si>
  <si>
    <t>1,1,3,1,2,2,4,4</t>
  </si>
  <si>
    <t>210,18,204,208,207,209,3,8</t>
  </si>
  <si>
    <t>12,204,208,207,4,2,1,8</t>
  </si>
  <si>
    <t>19,13,209,201,1,4,101,7</t>
  </si>
  <si>
    <t>1,3,1,4,3,3,4,4</t>
  </si>
  <si>
    <t>14,209,13,207,4,201,7,8</t>
  </si>
  <si>
    <t>3,2,2,3,5,4,5,3</t>
  </si>
  <si>
    <t>14,207,2,1,5,8,3,101</t>
  </si>
  <si>
    <t>3,1,3,3,4,5,4,4</t>
  </si>
  <si>
    <t>5,201,2,3,1,8,101,4</t>
  </si>
  <si>
    <t>4,5,5,5,4,5,5,5</t>
  </si>
  <si>
    <t>210,12,208,14,207,5,4,8</t>
  </si>
  <si>
    <t>1,2,1,3,1,3,5,4</t>
  </si>
  <si>
    <t>4,7,201,2,5,3,101,1</t>
  </si>
  <si>
    <t>5,5,4,4,4,3,4,3</t>
  </si>
  <si>
    <t>12,14,101,5,3,7,2,8</t>
  </si>
  <si>
    <t>3,1,4,5,5,4,3,4</t>
  </si>
  <si>
    <t>17,19,208,12,207,209,7,1</t>
  </si>
  <si>
    <t>1,1,3,3,3,1,5,5</t>
  </si>
  <si>
    <t>20,18,13,201,7,101,1,5</t>
  </si>
  <si>
    <t>1,1,2,3,3,3,3,5</t>
  </si>
  <si>
    <t>103,204,207,8,101,1,3,201</t>
  </si>
  <si>
    <t>13,103,5,4,7,8,1,2</t>
  </si>
  <si>
    <t>3,1,4,3,3,3,4,3</t>
  </si>
  <si>
    <t>17,16,12,7,201,2,101,5</t>
  </si>
  <si>
    <t>208,207,8,7,101,201,1,5</t>
  </si>
  <si>
    <t>1,2,201,101,4,5,8,3</t>
  </si>
  <si>
    <t>4,3,5,4,5,3,4,5</t>
  </si>
  <si>
    <t>7,5,101,201,1,4,2,3</t>
  </si>
  <si>
    <t>14,208,1,7,2,201,8,5</t>
  </si>
  <si>
    <t>2,2,4,4,5,3,4,5</t>
  </si>
  <si>
    <t>21,20,207,209,204,208,4,3</t>
  </si>
  <si>
    <t>207,14,12,201,5,1,7,4</t>
  </si>
  <si>
    <t>103,2,4,3,1,201,7,101</t>
  </si>
  <si>
    <t>3,4,4,5,4,5,3,5</t>
  </si>
  <si>
    <t>18,103,14,209,4,3,101,8</t>
  </si>
  <si>
    <t>1,2,1,3,5,5,5,5</t>
  </si>
  <si>
    <t>204,103,13,4,8,2,3,201</t>
  </si>
  <si>
    <t>2,2,1,5,5,5,3,3</t>
  </si>
  <si>
    <t>208,209,103,4,8,2,3,7</t>
  </si>
  <si>
    <t>3,2,3,4,3,5,5,3</t>
  </si>
  <si>
    <t>209,201,7,4,5,3,8,1</t>
  </si>
  <si>
    <t>1,4,5,5,4,4,4,5</t>
  </si>
  <si>
    <t>201,101,7,2,8,5,4,1</t>
  </si>
  <si>
    <t>3,3,5,5,3,5,5,3</t>
  </si>
  <si>
    <t>17,19,12,14,4,2,5,7</t>
  </si>
  <si>
    <t>1,1,2,2,5,4,4,4</t>
  </si>
  <si>
    <t>103,4,2,201,1,7,8,5</t>
  </si>
  <si>
    <t>16,208,209,204,8,1,201,3</t>
  </si>
  <si>
    <t>1,2,1,3,3,3,3,5</t>
  </si>
  <si>
    <t>3,8,201,1,2,101,5,4</t>
  </si>
  <si>
    <t>3,5,4,5,5,3,4,5</t>
  </si>
  <si>
    <t>210,20,14,2,8,1,201,4</t>
  </si>
  <si>
    <t>1,1,2,4,3,4,5,3</t>
  </si>
  <si>
    <t>207,14,2,1,8,201,4,3</t>
  </si>
  <si>
    <t>3,3,4,5,4,5,3,4</t>
  </si>
  <si>
    <t>108,13,7,3,4,1,201,2</t>
  </si>
  <si>
    <t>1,2,5,3,4,3,5,3</t>
  </si>
  <si>
    <t>103,8,101,4,3,5,201,1</t>
  </si>
  <si>
    <t>1,4,5,4,4,3,5,3</t>
  </si>
  <si>
    <t>109,201,7,1,8,101,2,3</t>
  </si>
  <si>
    <t>1,4,5,5,5,3,5,4</t>
  </si>
  <si>
    <t>108,16,13,207,8,101,1,4</t>
  </si>
  <si>
    <t>1,1,3,2,3,4,5,4</t>
  </si>
  <si>
    <t>1,8,3,7,201,101,4,2</t>
  </si>
  <si>
    <t>4,4,4,4,3,5,3,3</t>
  </si>
  <si>
    <t>13,208,5,4,8,7,201,2</t>
  </si>
  <si>
    <t>2,2,4,4,4,5,5,5</t>
  </si>
  <si>
    <t>30,18,21,204,13,208,4,201</t>
  </si>
  <si>
    <t>1,1,1,2,3,3,5,5</t>
  </si>
  <si>
    <t>210,18,207,5,3,2,7,8</t>
  </si>
  <si>
    <t>1,1,1,5,5,5,5,3</t>
  </si>
  <si>
    <t>19,16,12,204,13,2,3,4</t>
  </si>
  <si>
    <t>108,207,103,12,209,7,201,8</t>
  </si>
  <si>
    <t>1,3,1,2,1,3,5,4</t>
  </si>
  <si>
    <t>1,3,7,5,2,4,101,8</t>
  </si>
  <si>
    <t>4,4,3,5,5,3,3,5</t>
  </si>
  <si>
    <t>207,209,13,4,2,3,101,1</t>
  </si>
  <si>
    <t>3,3,3,3,3,5,3,3</t>
  </si>
  <si>
    <t>13,101,8,201,1,7,4,2</t>
  </si>
  <si>
    <t>1,4,5,3,5,4,4,4</t>
  </si>
  <si>
    <t>109,210,204,12,103,13,3,101</t>
  </si>
  <si>
    <t>1,1,2,3,3,1,4,5</t>
  </si>
  <si>
    <t>204,207,101,2,3,4,201,5</t>
  </si>
  <si>
    <t>2,1,4,4,5,5,3,3</t>
  </si>
  <si>
    <t>19,4,101,7,8,2,201,1</t>
  </si>
  <si>
    <t>20,12,101,8,4,1,3,2</t>
  </si>
  <si>
    <t>1,1,3,5,3,5,3,5</t>
  </si>
  <si>
    <t>13,207,103,12,5,201,101,4</t>
  </si>
  <si>
    <t>3,3,3,1,3,3,4,4</t>
  </si>
  <si>
    <t>210,16,207,208,14,1,4,2</t>
  </si>
  <si>
    <t>1,1,1,3,2,5,5,3</t>
  </si>
  <si>
    <t>108,103,14,12,207,5,7,2</t>
  </si>
  <si>
    <t>1,3,3,3,2,3,5,3</t>
  </si>
  <si>
    <t>7,8,2,5,101,1,4,3</t>
  </si>
  <si>
    <t>5,4,3,5,5,3,5,3</t>
  </si>
  <si>
    <t>12,207,14,204,101,3,4,2</t>
  </si>
  <si>
    <t>2,2,3,2,3,3,5,5</t>
  </si>
  <si>
    <t>16,210,101,201,4,3,5,2</t>
  </si>
  <si>
    <t>1,1,3,4,5,5,3,5</t>
  </si>
  <si>
    <t>17,208,4,7,101,3,201,5</t>
  </si>
  <si>
    <t>1,2,3,4,3,4,5,5</t>
  </si>
  <si>
    <t>21,19,207,5,201,1,2,8</t>
  </si>
  <si>
    <t>20,204,14,208,13,4,1,7</t>
  </si>
  <si>
    <t>21,109,4,1,201,3,7,5</t>
  </si>
  <si>
    <t>1,1,3,5,5,5,5,4</t>
  </si>
  <si>
    <t>16,101,3,7,4,8,2,5</t>
  </si>
  <si>
    <t>209,208,12,3,8,5,1,101</t>
  </si>
  <si>
    <t>5,101,2,3,4,7,1,201</t>
  </si>
  <si>
    <t>4,4,5,5,4,3,3,5</t>
  </si>
  <si>
    <t>108,109,201,5,8,101,3,7</t>
  </si>
  <si>
    <t>1,1,5,5,3,4,3,4</t>
  </si>
  <si>
    <t>103,13,8,2,1,3,101,201</t>
  </si>
  <si>
    <t>1,1,3,4,3,3,4,3</t>
  </si>
  <si>
    <t>209,12,103,13,101,201,5,7</t>
  </si>
  <si>
    <t>2,3,1,2,3,4,4,4</t>
  </si>
  <si>
    <t>19,109,12,13,7,3,8,5</t>
  </si>
  <si>
    <t>1,1,1,2,5,3,4,3</t>
  </si>
  <si>
    <t>16,207,101,5,3,2,4,8</t>
  </si>
  <si>
    <t>1,3,5,3,4,5,5,3</t>
  </si>
  <si>
    <t>17,19,204,209,12,13,101,201</t>
  </si>
  <si>
    <t>20,210,12,13,14,8,1,101</t>
  </si>
  <si>
    <t>20,17,5,2,8,201,101,3</t>
  </si>
  <si>
    <t>1,1,4,3,3,3,5,3</t>
  </si>
  <si>
    <t>12,4,7,2,8,1,101,201</t>
  </si>
  <si>
    <t>2,5,3,4,3,5,5,5</t>
  </si>
  <si>
    <t>19,14,201,101,1,4,5,3</t>
  </si>
  <si>
    <t>210,207,208,7,101,5,201,8</t>
  </si>
  <si>
    <t>1,3,2,5,4,4,4,5</t>
  </si>
  <si>
    <t>108,18,14,209,208,103,2,4</t>
  </si>
  <si>
    <t>1,1,3,1,2,3,4,3</t>
  </si>
  <si>
    <t>30,12,5,2,7,201,1,101</t>
  </si>
  <si>
    <t>18,14,13,208,4,201,3,101</t>
  </si>
  <si>
    <t>19,16,13,209,4,1,3,5</t>
  </si>
  <si>
    <t>30,17,3,7,8,1,2,5</t>
  </si>
  <si>
    <t>16,204,1,7,5,101,8,2</t>
  </si>
  <si>
    <t>1,2,3,5,5,3,3,4</t>
  </si>
  <si>
    <t>13,7,1,5,3,2,101,4</t>
  </si>
  <si>
    <t>2,5,3,4,3,5,3,5</t>
  </si>
  <si>
    <t>13,208,4,101,2,1,201,5</t>
  </si>
  <si>
    <t>1,2,5,4,3,3,3,5</t>
  </si>
  <si>
    <t>21,17,208,207,14,8,5,7</t>
  </si>
  <si>
    <t>17,108,209,8,201,2,7,4</t>
  </si>
  <si>
    <t>18,21,209,201,4,101,8,7</t>
  </si>
  <si>
    <t>8,7,201,1,4,5,101,2</t>
  </si>
  <si>
    <t>5,4,4,4,3,3,3,4</t>
  </si>
  <si>
    <t>20,210,12,204,209,5,101,3</t>
  </si>
  <si>
    <t>209,208,14,207,3,8,4,2</t>
  </si>
  <si>
    <t>3,2,3,2,3,4,3,5</t>
  </si>
  <si>
    <t>208,209,8,2,1,5,7,101</t>
  </si>
  <si>
    <t>1,3,5,3,5,4,5,5</t>
  </si>
  <si>
    <t>12,13,103,208,8,2,201,7</t>
  </si>
  <si>
    <t>2,2,3,2,5,4,4,4</t>
  </si>
  <si>
    <t>108,21,13,14,12,103,2,3</t>
  </si>
  <si>
    <t>1,1,3,1,3,1,3,5</t>
  </si>
  <si>
    <t>5,201,7,4,3,101,1,8</t>
  </si>
  <si>
    <t>3,4,3,5,3,5,4,3</t>
  </si>
  <si>
    <t>108,16,208,14,12,2,3,101</t>
  </si>
  <si>
    <t>1,1,2,2,1,3,5,4</t>
  </si>
  <si>
    <t>19,103,5,4,101,7,1,8</t>
  </si>
  <si>
    <t>210,16,209,3,5,2,1,8</t>
  </si>
  <si>
    <t>1,1,3,5,4,3,5,4</t>
  </si>
  <si>
    <t>204,8,2,3,1,5,101,7</t>
  </si>
  <si>
    <t>3,5,3,5,4,3,4,5</t>
  </si>
  <si>
    <t>2,5,4,8,7,201,1,3</t>
  </si>
  <si>
    <t>4,4,5,3,4,3,5,4</t>
  </si>
  <si>
    <t>13,12,208,103,3,5,101,1</t>
  </si>
  <si>
    <t>1,2,3,2,4,5,3,5</t>
  </si>
  <si>
    <t>207,12,103,201,1,4,101,5</t>
  </si>
  <si>
    <t>2,1,2,4,3,5,5,3</t>
  </si>
  <si>
    <t>108,20,2,5,3,201,8,1</t>
  </si>
  <si>
    <t>1,1,5,5,3,5,5,3</t>
  </si>
  <si>
    <t>20,207,8,2,5,1,101,7</t>
  </si>
  <si>
    <t>1,3,5,5,5,5,3,4</t>
  </si>
  <si>
    <t>20,109,13,14,103,209,201,7</t>
  </si>
  <si>
    <t>1,1,2,2,2,1,5,5</t>
  </si>
  <si>
    <t>19,18,101,5,201,7,2,4</t>
  </si>
  <si>
    <t>1,1,4,5,3,4,4,3</t>
  </si>
  <si>
    <t>204,4,3,101,1,201,7,5</t>
  </si>
  <si>
    <t>108,14,208,207,1,101,8,4</t>
  </si>
  <si>
    <t>1,1,1,2,4,5,3,3</t>
  </si>
  <si>
    <t>204,12,201,7,1,4,101,3</t>
  </si>
  <si>
    <t>3,1,5,4,4,4,4,3</t>
  </si>
  <si>
    <t>108,204,3,2,101,7,4,201</t>
  </si>
  <si>
    <t>1,1,3,3,5,4,5,5</t>
  </si>
  <si>
    <t>17,14,103,1,8,101,3,7</t>
  </si>
  <si>
    <t>1,2,3,4,5,4,5,3</t>
  </si>
  <si>
    <t>204,13,103,8,5,2,7,101</t>
  </si>
  <si>
    <t>2,3,3,4,4,3,3,5</t>
  </si>
  <si>
    <t>204,2,7,201,8,101,4,5</t>
  </si>
  <si>
    <t>2,4,5,4,5,5,4,3</t>
  </si>
  <si>
    <t>17,109,208,13,209,12,201,5</t>
  </si>
  <si>
    <t>209,12,1,5,201,8,7,3</t>
  </si>
  <si>
    <t>204,1,2,101,201,4,5,3</t>
  </si>
  <si>
    <t>2,5,5,5,4,4,5,5</t>
  </si>
  <si>
    <t>17,18,14,208,2,3,1,4</t>
  </si>
  <si>
    <t>16,204,101,4,2,3,1,7</t>
  </si>
  <si>
    <t>1,2,4,5,3,5,3,5</t>
  </si>
  <si>
    <t>204,14,209,2,4,8,7,3</t>
  </si>
  <si>
    <t>2,1,3,4,4,5,3,5</t>
  </si>
  <si>
    <t>109,17,207,13,14,7,8,101</t>
  </si>
  <si>
    <t>13,207,8,7,2,201,101,5</t>
  </si>
  <si>
    <t>13,14,3,4,5,7,101,1</t>
  </si>
  <si>
    <t>3,3,3,5,3,4,3,5</t>
  </si>
  <si>
    <t>103,204,12,14,2,8,101,4</t>
  </si>
  <si>
    <t>1,5,7,201,3,8,101,2</t>
  </si>
  <si>
    <t>5,5,4,5,3,5,3,3</t>
  </si>
  <si>
    <t>210,209,204,208,2,201,4,5</t>
  </si>
  <si>
    <t>18,7,3,2,5,101,4,201</t>
  </si>
  <si>
    <t>1,4,4,5,3,4,5,3</t>
  </si>
  <si>
    <t>103,1,201,2,8,5,101,4</t>
  </si>
  <si>
    <t>2,3,5,4,3,3,3,3</t>
  </si>
  <si>
    <t>204,7,101,201,8,5,1,2</t>
  </si>
  <si>
    <t>17,210,208,207,209,2,4,201</t>
  </si>
  <si>
    <t>1,7,4,3,2,8,101,201</t>
  </si>
  <si>
    <t>5,5,5,3,3,4,4,5</t>
  </si>
  <si>
    <t>12,204,103,4,101,2,8,5</t>
  </si>
  <si>
    <t>1,2,1,4,3,5,3,3</t>
  </si>
  <si>
    <t>13,207,3,1,5,4,101,8</t>
  </si>
  <si>
    <t>1,3,4,4,3,3,4,3</t>
  </si>
  <si>
    <t>20,210,4,201,5,2,101,7</t>
  </si>
  <si>
    <t>12,207,204,103,8,2,4,1</t>
  </si>
  <si>
    <t>1,3,2,2,4,4,4,3</t>
  </si>
  <si>
    <t>108,16,209,103,8,2,3,5</t>
  </si>
  <si>
    <t>204,103,101,5,2,1,3,201</t>
  </si>
  <si>
    <t>1,2,5,3,5,4,3,5</t>
  </si>
  <si>
    <t>17,18,3,2,7,201,8,5</t>
  </si>
  <si>
    <t>1,1,4,4,4,5,3,3</t>
  </si>
  <si>
    <t>209,1,3,201,4,7,8,2</t>
  </si>
  <si>
    <t>2,5,4,4,5,3,5,4</t>
  </si>
  <si>
    <t>210,103,1,4,7,201,3,2</t>
  </si>
  <si>
    <t>1,3,4,4,4,3,4,4</t>
  </si>
  <si>
    <t>19,21,3,1,2,4,201,101</t>
  </si>
  <si>
    <t>207,101,2,8,1,201,4,5</t>
  </si>
  <si>
    <t>1,4,4,5,3,5,3,3</t>
  </si>
  <si>
    <t>21,14,208,8,1,3,5,201</t>
  </si>
  <si>
    <t>1,2,3,3,4,4,3,5</t>
  </si>
  <si>
    <t>12,201,4,1,3,2,101,7</t>
  </si>
  <si>
    <t>16,19,207,3,4,101,7,201</t>
  </si>
  <si>
    <t>1,1,3,5,3,5,3,3</t>
  </si>
  <si>
    <t>13,207,12,103,1,201,8,7</t>
  </si>
  <si>
    <t>1,3,2,2,3,4,3,3</t>
  </si>
  <si>
    <t>30,207,209,208,204,3,1,2</t>
  </si>
  <si>
    <t>1,2,3,1,3,4,3,4</t>
  </si>
  <si>
    <t>209,204,5,2,1,8,101,201</t>
  </si>
  <si>
    <t>210,109,5,1,7,3,4,8</t>
  </si>
  <si>
    <t>1,1,3,4,3,4,3,5</t>
  </si>
  <si>
    <t>209,14,207,103,3,2,5,8</t>
  </si>
  <si>
    <t>2,1,1,3,4,4,4,4</t>
  </si>
  <si>
    <t>18,14,101,2,7,5,1,8</t>
  </si>
  <si>
    <t>1,2,5,5,3,4,4,3</t>
  </si>
  <si>
    <t>108,210,13,209,208,201,1,8</t>
  </si>
  <si>
    <t>21,108,207,14,13,3,7,4</t>
  </si>
  <si>
    <t>208,14,204,4,201,2,1,3</t>
  </si>
  <si>
    <t>3,3,2,3,5,4,3,3</t>
  </si>
  <si>
    <t>109,17,5,2,201,7,3,4</t>
  </si>
  <si>
    <t>1,1,5,4,5,5,5,3</t>
  </si>
  <si>
    <t>209,103,12,204,5,7,4,101</t>
  </si>
  <si>
    <t>2,3,1,2,4,5,4,3</t>
  </si>
  <si>
    <t>21,20,209,204,201,101,3,2</t>
  </si>
  <si>
    <t>1,1,2,3,5,4,3,4</t>
  </si>
  <si>
    <t>108,4,5,1,2,101,201,7</t>
  </si>
  <si>
    <t>14,12,208,4,3,7,1,2</t>
  </si>
  <si>
    <t>207,14,208,5,1,7,8,4</t>
  </si>
  <si>
    <t>3,3,3,3,3,3,4,3</t>
  </si>
  <si>
    <t>204,103,1,3,201,7,101,5</t>
  </si>
  <si>
    <t>1,3,4,4,3,3,4,5</t>
  </si>
  <si>
    <t>7,3,2,4,201,8,1,5</t>
  </si>
  <si>
    <t>3,5,4,4,5,4,4,4</t>
  </si>
  <si>
    <t>19,109,204,209,13,5,8,101</t>
  </si>
  <si>
    <t>201,2,5,8,3,7,4,1</t>
  </si>
  <si>
    <t>5,4,5,5,3,3,4,3</t>
  </si>
  <si>
    <t>108,109,103,7,8,5,3,201</t>
  </si>
  <si>
    <t>1,1,2,3,5,3,5,4</t>
  </si>
  <si>
    <t>16,17,1,8,4,201,3,101</t>
  </si>
  <si>
    <t>1,1,3,3,3,3,4,5</t>
  </si>
  <si>
    <t>20,108,103,207,8,3,201,1</t>
  </si>
  <si>
    <t>18,17,209,101,5,8,201,4</t>
  </si>
  <si>
    <t>17,14,13,12,1,5,4,3</t>
  </si>
  <si>
    <t>101,8,3,7,201,4,1,5</t>
  </si>
  <si>
    <t>4,4,4,4,4,3,4,3</t>
  </si>
  <si>
    <t>19,3,201,2,4,5,101,8</t>
  </si>
  <si>
    <t>201,5,3,4,1,8,7,2</t>
  </si>
  <si>
    <t>3,4,3,3,3,3,3,3</t>
  </si>
  <si>
    <t>204,12,207,14,3,8,1,201</t>
  </si>
  <si>
    <t>30,21,20,14,12,103,2,8</t>
  </si>
  <si>
    <t>201,1,3,4,5,8,101,2</t>
  </si>
  <si>
    <t>5,5,3,3,4,4,3,4</t>
  </si>
  <si>
    <t>19,20,103,208,8,5,101,1</t>
  </si>
  <si>
    <t>20,108,13,5,8,4,1,7</t>
  </si>
  <si>
    <t>1,1,2,4,3,5,4,5</t>
  </si>
  <si>
    <t>209,208,1,2,5,4,101,7</t>
  </si>
  <si>
    <t>2,2,5,4,5,3,3,5</t>
  </si>
  <si>
    <t>19,207,208,204,7,101,1,2</t>
  </si>
  <si>
    <t>18,21,204,4,7,101,5,8</t>
  </si>
  <si>
    <t>12,5,4,1,7,2,8,101</t>
  </si>
  <si>
    <t>3,3,4,5,3,4,3,3</t>
  </si>
  <si>
    <t>13,8,1,3,7,4,5,2</t>
  </si>
  <si>
    <t>3,4,4,4,5,5,5,3</t>
  </si>
  <si>
    <t>109,204,103,207,1,2,7,101</t>
  </si>
  <si>
    <t>1,2,2,1,4,3,3,5</t>
  </si>
  <si>
    <t>207,208,4,201,1,7,101,8</t>
  </si>
  <si>
    <t>2,1,5,3,4,5,5,5</t>
  </si>
  <si>
    <t>103,208,207,101,7,4,5,8</t>
  </si>
  <si>
    <t>1,2,1,5,3,3,3,4</t>
  </si>
  <si>
    <t>17,19,14,12,207,201,8,4</t>
  </si>
  <si>
    <t>108,14,209,12,3,7,101,8</t>
  </si>
  <si>
    <t>1,3,2,3,3,5,4,4</t>
  </si>
  <si>
    <t>210,17,208,209,204,12,201,4</t>
  </si>
  <si>
    <t>16,109,207,14,5,201,4,1</t>
  </si>
  <si>
    <t>19,109,209,13,7,5,1,8</t>
  </si>
  <si>
    <t>1,1,1,2,4,3,5,3</t>
  </si>
  <si>
    <t>210,19,14,13,209,12,201,4</t>
  </si>
  <si>
    <t>1,1,1,3,3,1,4,3</t>
  </si>
  <si>
    <t>210,204,14,13,209,8,2,3</t>
  </si>
  <si>
    <t>1,1,2,1,2,5,5,5</t>
  </si>
  <si>
    <t>108,14,204,7,1,201,101,3</t>
  </si>
  <si>
    <t>13,209,14,204,7,5,2,4</t>
  </si>
  <si>
    <t>2,3,3,1,4,3,5,4</t>
  </si>
  <si>
    <t>101,1,8,2,201,7,5,3</t>
  </si>
  <si>
    <t>101,3,1,4,7,5,201,2</t>
  </si>
  <si>
    <t>3,4,5,5,3,3,5,3</t>
  </si>
  <si>
    <t>208,209,101,8,1,4,201,3</t>
  </si>
  <si>
    <t>2,2,5,3,5,5,5,5</t>
  </si>
  <si>
    <t>103,209,13,1,3,2,8,201</t>
  </si>
  <si>
    <t>2,3,2,3,3,4,4,5</t>
  </si>
  <si>
    <t>30,12,13,209,204,4,101,5</t>
  </si>
  <si>
    <t>210,209,207,208,103,1,2,7</t>
  </si>
  <si>
    <t>1,2,2,2,3,5,3,5</t>
  </si>
  <si>
    <t>30,8,201,4,7,1,2,5</t>
  </si>
  <si>
    <t>1,5,3,5,5,5,5,3</t>
  </si>
  <si>
    <t>17,101,4,1,2,7,8,201</t>
  </si>
  <si>
    <t>1,3,5,3,3,5,5,3</t>
  </si>
  <si>
    <t>108,207,208,12,14,5,1,201</t>
  </si>
  <si>
    <t>1,3,1,2,3,3,4,3</t>
  </si>
  <si>
    <t>207,14,12,1,101,201,2,7</t>
  </si>
  <si>
    <t>209,14,103,7,5,101,3,2</t>
  </si>
  <si>
    <t>210,18,12,207,14,13,4,7</t>
  </si>
  <si>
    <t>18,210,208,12,207,103,3,101</t>
  </si>
  <si>
    <t>3,201,101,2,1,8,4,5</t>
  </si>
  <si>
    <t>5,5,4,4,5,4,5,3</t>
  </si>
  <si>
    <t>103,13,12,101,3,201,8,7</t>
  </si>
  <si>
    <t>3,1,1,4,3,4,3,4</t>
  </si>
  <si>
    <t>30,210,108,204,101,1,5,7</t>
  </si>
  <si>
    <t>1,1,1,1,4,5,3,3</t>
  </si>
  <si>
    <t>21,4,8,101,3,1,201,5</t>
  </si>
  <si>
    <t>21,108,2,3,7,201,8,5</t>
  </si>
  <si>
    <t>18,210,1,101,4,3,2,5</t>
  </si>
  <si>
    <t>21,14,103,204,209,1,8,4</t>
  </si>
  <si>
    <t>1,3,2,2,2,3,3,5</t>
  </si>
  <si>
    <t>209,14,204,103,5,201,2,3</t>
  </si>
  <si>
    <t>13,12,209,204,201,5,8,1</t>
  </si>
  <si>
    <t>1,2,3,2,3,5,3,3</t>
  </si>
  <si>
    <t>208,13,8,201,1,4,7,101</t>
  </si>
  <si>
    <t>1,2,3,3,4,5,5,5</t>
  </si>
  <si>
    <t>109,20,14,207,209,12,7,101</t>
  </si>
  <si>
    <t>1,1,3,1,2,2,5,5</t>
  </si>
  <si>
    <t>19,210,12,103,207,13,2,3</t>
  </si>
  <si>
    <t>1,1,2,3,3,1,5,5</t>
  </si>
  <si>
    <t>109,108,13,208,5,7,1,101</t>
  </si>
  <si>
    <t>1,1,2,2,5,5,3,4</t>
  </si>
  <si>
    <t>209,103,14,204,2,1,101,5</t>
  </si>
  <si>
    <t>1,1,1,1,3,5,4,5</t>
  </si>
  <si>
    <t>13,204,3,101,7,201,2,1</t>
  </si>
  <si>
    <t>2,1,3,3,4,5,4,4</t>
  </si>
  <si>
    <t>5,1,4,101,201,3,2,7</t>
  </si>
  <si>
    <t>3,4,4,4,4,5,5,5</t>
  </si>
  <si>
    <t>12,14,209,207,101,2,4,7</t>
  </si>
  <si>
    <t>3,1,1,2,3,3,4,3</t>
  </si>
  <si>
    <t>21,204,12,101,201,2,3,8</t>
  </si>
  <si>
    <t>13,7,1,4,5,8,101,201</t>
  </si>
  <si>
    <t>3,4,5,5,5,3,4,4</t>
  </si>
  <si>
    <t>103,204,14,12,2,7,1,3</t>
  </si>
  <si>
    <t>3,2,3,2,5,5,5,4</t>
  </si>
  <si>
    <t>103,13,12,207,3,4,5,8</t>
  </si>
  <si>
    <t>1,2,2,2,4,5,4,3</t>
  </si>
  <si>
    <t>14,7,201,3,2,101,1,8</t>
  </si>
  <si>
    <t>2,5,5,3,3,5,3,5</t>
  </si>
  <si>
    <t>7,8,3,4,1,201,5,2</t>
  </si>
  <si>
    <t>3,4,4,5,4,4,4,5</t>
  </si>
  <si>
    <t>14,13,8,101,2,1,3,201</t>
  </si>
  <si>
    <t>2,1,5,4,4,4,3,3</t>
  </si>
  <si>
    <t>30,201,5,1,7,101,3,8</t>
  </si>
  <si>
    <t>1,4,5,5,3,3,3,5</t>
  </si>
  <si>
    <t>209,204,207,13,3,201,5,4</t>
  </si>
  <si>
    <t>3,1,2,3,5,5,5,4</t>
  </si>
  <si>
    <t>204,207,13,209,4,101,5,1</t>
  </si>
  <si>
    <t>3,3,2,1,5,3,4,3</t>
  </si>
  <si>
    <t>21,204,7,2,4,5,1,8</t>
  </si>
  <si>
    <t>1,2,5,5,5,3,3,4</t>
  </si>
  <si>
    <t>2,3,201,5,1,101,7,8</t>
  </si>
  <si>
    <t>3,3,3,5,3,4,5,3</t>
  </si>
  <si>
    <t>103,209,208,3,1,101,4,8</t>
  </si>
  <si>
    <t>1,3,3,5,4,4,5,4</t>
  </si>
  <si>
    <t>208,204,201,3,4,101,7,1</t>
  </si>
  <si>
    <t>1,1,5,5,5,3,4,4</t>
  </si>
  <si>
    <t>209,208,3,201,101,8,1,4</t>
  </si>
  <si>
    <t>1,2,4,3,6,6,3,6</t>
  </si>
  <si>
    <t>204,14,201,7,2,1,5,3</t>
  </si>
  <si>
    <t>1,1,5,3,4,3,4,3</t>
  </si>
  <si>
    <t>209,101,8,7,4,5,2,1</t>
  </si>
  <si>
    <t>3,5,6,5,4,5,4,6</t>
  </si>
  <si>
    <t>19,1,2,3,5,201,7,8</t>
  </si>
  <si>
    <t>1,5,5,5,3,4,3,6</t>
  </si>
  <si>
    <t>207,208,12,103,5,7,3,2</t>
  </si>
  <si>
    <t>2,4,1,3,5,6,6,5</t>
  </si>
  <si>
    <t>20,16,12,5,201,1,101,7</t>
  </si>
  <si>
    <t>1,1,4,4,6,3,5,3</t>
  </si>
  <si>
    <t>12,13,209,103,3,4,8,5</t>
  </si>
  <si>
    <t>4,2,3,3,4,6,3,5</t>
  </si>
  <si>
    <t>19,13,207,14,209,8,101,7</t>
  </si>
  <si>
    <t>1,2,4,2,3,5,6,6</t>
  </si>
  <si>
    <t>204,103,208,209,201,8,3,2</t>
  </si>
  <si>
    <t>4,4,1,1,3,4,6,3</t>
  </si>
  <si>
    <t>19,13,204,103,1,4,5,201</t>
  </si>
  <si>
    <t>18,108,3,201,8,101,7,4</t>
  </si>
  <si>
    <t>210,21,13,207,204,12,1,3</t>
  </si>
  <si>
    <t>1,1,2,3,2,1,5,5</t>
  </si>
  <si>
    <t>16,17,204,4,201,7,5,1</t>
  </si>
  <si>
    <t>1,1,4,3,3,5,6,4</t>
  </si>
  <si>
    <t>1,5,7,3,201,101,8,2</t>
  </si>
  <si>
    <t>4,4,5,5,3,6,4,6</t>
  </si>
  <si>
    <t>20,204,209,3,7,2,5,4</t>
  </si>
  <si>
    <t>1,4,1,6,3,4,3,4</t>
  </si>
  <si>
    <t>20,4,3,7,1,101,2,8</t>
  </si>
  <si>
    <t>1,4,4,3,3,5,4,5</t>
  </si>
  <si>
    <t>209,13,7,5,1,2,3,8</t>
  </si>
  <si>
    <t>1,1,3,5,3,6,4,4</t>
  </si>
  <si>
    <t>108,208,3,2,8,4,1,101</t>
  </si>
  <si>
    <t>1,1,4,4,5,6,4,5</t>
  </si>
  <si>
    <t>20,204,201,101,5,8,3,4</t>
  </si>
  <si>
    <t>1,2,5,6,4,4,6,3</t>
  </si>
  <si>
    <t>14,209,5,7,2,8,101,201</t>
  </si>
  <si>
    <t>2,4,3,5,3,5,5,5</t>
  </si>
  <si>
    <t>17,8,4,7,3,5,1,101</t>
  </si>
  <si>
    <t>1,3,4,3,6,3,4,3</t>
  </si>
  <si>
    <t>108,103,14,204,1,5,101,201</t>
  </si>
  <si>
    <t>1,2,4,4,5,6,4,6</t>
  </si>
  <si>
    <t>30,204,209,101,5,1,7,4</t>
  </si>
  <si>
    <t>108,13,1,7,5,101,2,3</t>
  </si>
  <si>
    <t>1,4,3,5,3,3,6,4</t>
  </si>
  <si>
    <t>109,16,12,1,2,5,201,3</t>
  </si>
  <si>
    <t>1,1,4,6,4,4,4,5</t>
  </si>
  <si>
    <t>17,13,209,1,3,4,5,101</t>
  </si>
  <si>
    <t>1,1,4,4,6,5,6,6</t>
  </si>
  <si>
    <t>17,201,3,4,2,8,1,101</t>
  </si>
  <si>
    <t>1,6,3,6,5,4,3,6</t>
  </si>
  <si>
    <t>108,13,8,101,3,1,7,2</t>
  </si>
  <si>
    <t>1,4,4,3,5,4,5,4</t>
  </si>
  <si>
    <t>30,19,18,208,13,12,5,8</t>
  </si>
  <si>
    <t>1,1,1,1,4,4,6,5</t>
  </si>
  <si>
    <t>17,19,8,5,201,2,101,4</t>
  </si>
  <si>
    <t>1,1,5,3,6,3,3,5</t>
  </si>
  <si>
    <t>30,101,1,7,8,2,201,5</t>
  </si>
  <si>
    <t>1,3,6,5,3,3,6,4</t>
  </si>
  <si>
    <t>14,103,207,208,101,4,201,8</t>
  </si>
  <si>
    <t>2,1,4,1,3,3,6,3</t>
  </si>
  <si>
    <t>18,208,1,5,7,2,4,8</t>
  </si>
  <si>
    <t>1,4,4,4,4,5,6,4</t>
  </si>
  <si>
    <t>109,210,5,4,7,201,3,8</t>
  </si>
  <si>
    <t>1,1,5,6,5,6,3,5</t>
  </si>
  <si>
    <t>13,204,1,4,3,2,5,7</t>
  </si>
  <si>
    <t>4,2,4,5,3,3,4,6</t>
  </si>
  <si>
    <t>8,2,7,201,5,101,4,1</t>
  </si>
  <si>
    <t>4,4,3,5,3,4,3,5</t>
  </si>
  <si>
    <t>109,13,12,7,1,3,8,2</t>
  </si>
  <si>
    <t>1,3,1,5,5,4,5,3</t>
  </si>
  <si>
    <t>17,109,208,12,14,209,8,5</t>
  </si>
  <si>
    <t>12,204,208,1,4,8,2,3</t>
  </si>
  <si>
    <t>4,4,4,5,6,5,4,3</t>
  </si>
  <si>
    <t>108,13,201,7,101,4,3,1</t>
  </si>
  <si>
    <t>1,3,4,3,3,4,6,5</t>
  </si>
  <si>
    <t>207,103,201,3,4,2,1,5</t>
  </si>
  <si>
    <t>3,4,4,6,3,3,6,6</t>
  </si>
  <si>
    <t>208,101,2,8,4,1,201,3</t>
  </si>
  <si>
    <t>3,6,6,3,3,6,3,5</t>
  </si>
  <si>
    <t>210,108,12,103,2,5,201,8</t>
  </si>
  <si>
    <t>1,1,1,3,6,6,4,3</t>
  </si>
  <si>
    <t>204,12,2,7,4,1,8,3</t>
  </si>
  <si>
    <t>1,4,6,4,6,6,4,3</t>
  </si>
  <si>
    <t>209,13,12,1,7,8,2,201</t>
  </si>
  <si>
    <t>108,101,201,8,4,1,5,7</t>
  </si>
  <si>
    <t>1,3,5,5,6,3,3,5</t>
  </si>
  <si>
    <t>16,18,207,1,5,201,7,8</t>
  </si>
  <si>
    <t>1,1,1,3,5,4,4,6</t>
  </si>
  <si>
    <t>210,19,13,2,101,201,3,4</t>
  </si>
  <si>
    <t>204,12,13,7,2,1,5,101</t>
  </si>
  <si>
    <t>3,2,3,5,4,3,4,6</t>
  </si>
  <si>
    <t>207,204,8,1,2,5,3,201</t>
  </si>
  <si>
    <t>3,1,5,4,5,6,4,3</t>
  </si>
  <si>
    <t>30,14,209,13,208,8,4,5</t>
  </si>
  <si>
    <t>1,2,1,4,3,3,3,5</t>
  </si>
  <si>
    <t>18,209,208,1,201,5,8,7</t>
  </si>
  <si>
    <t>1,4,3,6,3,3,6,3</t>
  </si>
  <si>
    <t>30,3,201,4,8,7,1,2</t>
  </si>
  <si>
    <t>1,5,3,4,6,5,6,5</t>
  </si>
  <si>
    <t>20,109,207,208,12,209,5,2</t>
  </si>
  <si>
    <t>18,3,8,4,201,1,101,5</t>
  </si>
  <si>
    <t>1,3,4,3,6,5,3,5</t>
  </si>
  <si>
    <t>4,5,201,7,2,101,3,8</t>
  </si>
  <si>
    <t>3,5,6,6,3,4,4,4</t>
  </si>
  <si>
    <t>30,16,209,101,8,201,3,5</t>
  </si>
  <si>
    <t>201,4,101,7,8,3,5,1</t>
  </si>
  <si>
    <t>4,6,6,6,4,5,6,6</t>
  </si>
  <si>
    <t>109,17,208,103,209,207,4,8</t>
  </si>
  <si>
    <t>17,16,103,209,13,101,5,8</t>
  </si>
  <si>
    <t>1,1,2,3,3,6,4,3</t>
  </si>
  <si>
    <t>210,17,209,207,204,8,4,2</t>
  </si>
  <si>
    <t>1,1,1,2,2,6,5,5</t>
  </si>
  <si>
    <t>207,7,201,101,1,3,4,8</t>
  </si>
  <si>
    <t>2,3,3,5,5,5,4,6</t>
  </si>
  <si>
    <t>109,204,14,103,7,1,101,8</t>
  </si>
  <si>
    <t>1,2,2,2,4,3,3,6</t>
  </si>
  <si>
    <t>5,101,3,4,7,8,1,2</t>
  </si>
  <si>
    <t>5,4,4,5,3,6,5,5</t>
  </si>
  <si>
    <t>21,12,209,103,5,2,4,7</t>
  </si>
  <si>
    <t>1,3,2,1,3,5,6,4</t>
  </si>
  <si>
    <t>17,208,2,4,101,7,3,201</t>
  </si>
  <si>
    <t>1,2,4,4,3,5,3,3</t>
  </si>
  <si>
    <t>108,20,2,4,201,1,3,7</t>
  </si>
  <si>
    <t>1,1,6,4,3,6,3,4</t>
  </si>
  <si>
    <t>20,208,3,7,2,5,1,8</t>
  </si>
  <si>
    <t>1,3,5,6,6,5,4,5</t>
  </si>
  <si>
    <t>210,19,103,12,14,201,4,3</t>
  </si>
  <si>
    <t>1,1,1,3,2,6,3,6</t>
  </si>
  <si>
    <t>13,208,209,207,5,1,7,8</t>
  </si>
  <si>
    <t>2,1,3,4,4,3,6,3</t>
  </si>
  <si>
    <t>103,14,2,5,3,1,8,4</t>
  </si>
  <si>
    <t>4,2,6,5,3,4,4,4</t>
  </si>
  <si>
    <t>20,207,3,8,5,7,4,101</t>
  </si>
  <si>
    <t>1,4,3,5,5,3,3,4</t>
  </si>
  <si>
    <t>108,207,12,1,4,8,101,7</t>
  </si>
  <si>
    <t>210,103,13,7,2,4,3,201</t>
  </si>
  <si>
    <t>1,2,2,3,4,4,3,6</t>
  </si>
  <si>
    <t>204,209,14,201,1,3,7,4</t>
  </si>
  <si>
    <t>2,1,3,6,5,5,5,6</t>
  </si>
  <si>
    <t>21,14,208,201,101,1,2,5</t>
  </si>
  <si>
    <t>1,3,3,3,3,4,6,6</t>
  </si>
  <si>
    <t>19,18,14,103,12,209,7,1</t>
  </si>
  <si>
    <t>1,1,4,3,2,4,3,5</t>
  </si>
  <si>
    <t>17,210,204,7,3,201,5,101</t>
  </si>
  <si>
    <t>204,4,5,8,3,2,101,1</t>
  </si>
  <si>
    <t>3,3,3,6,4,5,3,3</t>
  </si>
  <si>
    <t>204,8,201,3,7,1,5,101</t>
  </si>
  <si>
    <t>2,5,3,4,5,3,5,4</t>
  </si>
  <si>
    <t>13,7,5,1,8,201,4,101</t>
  </si>
  <si>
    <t>3,3,5,3,4,6,4,4</t>
  </si>
  <si>
    <t>18,108,8,2,4,101,7,5</t>
  </si>
  <si>
    <t>1,1,6,4,6,6,3,5</t>
  </si>
  <si>
    <t>210,19,103,2,1,7,101,5</t>
  </si>
  <si>
    <t>1,1,4,5,4,3,3,3</t>
  </si>
  <si>
    <t>109,108,14,8,5,4,3,1</t>
  </si>
  <si>
    <t>1,1,3,5,6,6,5,3</t>
  </si>
  <si>
    <t>21,207,204,103,1,7,101,2</t>
  </si>
  <si>
    <t>1,3,3,1,4,5,4,6</t>
  </si>
  <si>
    <t>209,207,2,5,201,1,101,7</t>
  </si>
  <si>
    <t>1,3,4,4,5,6,3,3</t>
  </si>
  <si>
    <t>17,207,209,3,4,8,101,5</t>
  </si>
  <si>
    <t>1,1,4,3,3,4,3,5</t>
  </si>
  <si>
    <t>21,18,14,103,209,204,4,2</t>
  </si>
  <si>
    <t>1,1,1,4,2,1,4,5</t>
  </si>
  <si>
    <t>209,12,13,201,1,8,3,7</t>
  </si>
  <si>
    <t>3,3,4,4,5,4,5,3</t>
  </si>
  <si>
    <t>21,209,13,207,204,4,7,3</t>
  </si>
  <si>
    <t>1,3,1,1,3,3,3,5</t>
  </si>
  <si>
    <t>20,103,1,101,5,4,8,201</t>
  </si>
  <si>
    <t>1,3,5,6,4,6,3,6</t>
  </si>
  <si>
    <t>17,204,201,3,2,4,1,5</t>
  </si>
  <si>
    <t>1,2,5,4,4,6,6,6</t>
  </si>
  <si>
    <t>17,3,7,101,5,1,8,4</t>
  </si>
  <si>
    <t>1,6,5,6,4,5,5,5</t>
  </si>
  <si>
    <t>18,210,13,12,208,3,4,1</t>
  </si>
  <si>
    <t>1,1,4,4,1,5,4,4</t>
  </si>
  <si>
    <t>17,18,208,2,5,3,201,1</t>
  </si>
  <si>
    <t>1,1,3,3,5,6,3,4</t>
  </si>
  <si>
    <t>18,201,101,3,5,4,1,8</t>
  </si>
  <si>
    <t>1,6,4,3,6,3,5,5</t>
  </si>
  <si>
    <t>18,207,204,103,14,4,2,201</t>
  </si>
  <si>
    <t>1,4,1,1,2,4,5,6</t>
  </si>
  <si>
    <t>16,109,14,13,103,1,8,3</t>
  </si>
  <si>
    <t>1,1,1,4,3,3,3,5</t>
  </si>
  <si>
    <t>18,108,209,208,207,201,7,4</t>
  </si>
  <si>
    <t>1,1,3,2,3,5,3,4</t>
  </si>
  <si>
    <t>19,103,208,1,7,8,2,4</t>
  </si>
  <si>
    <t>1,4,1,4,6,3,6,4</t>
  </si>
  <si>
    <t>16,14,4,8,201,3,2,1</t>
  </si>
  <si>
    <t>17,16,7,101,5,1,2,201</t>
  </si>
  <si>
    <t>5,101,2,7,4,8,201,3</t>
  </si>
  <si>
    <t>5,5,4,6,6,6,3,3</t>
  </si>
  <si>
    <t>109,16,1,4,101,8,201,3</t>
  </si>
  <si>
    <t>14,204,2,201,8,5,1,7</t>
  </si>
  <si>
    <t>1,1,4,3,3,4,4,3</t>
  </si>
  <si>
    <t>1,3,4,8,2,101,5,7</t>
  </si>
  <si>
    <t>4,4,3,6,6,6,5,4</t>
  </si>
  <si>
    <t>18,109,209,14,5,8,4,101</t>
  </si>
  <si>
    <t>12,1,7,201,2,5,4,8</t>
  </si>
  <si>
    <t>2,5,5,6,3,3,5,6</t>
  </si>
  <si>
    <t>13,207,204,7,4,8,5,1</t>
  </si>
  <si>
    <t>4,1,4,3,6,6,3,3</t>
  </si>
  <si>
    <t>13,7,2,101,201,8,5,3</t>
  </si>
  <si>
    <t>2,3,3,4,6,4,3,3</t>
  </si>
  <si>
    <t>207,2,8,5,1,4,201,101</t>
  </si>
  <si>
    <t>2,3,3,4,4,3,3,4</t>
  </si>
  <si>
    <t>19,18,14,207,103,204,8,201</t>
  </si>
  <si>
    <t>1,1,1,2,4,4,5,3</t>
  </si>
  <si>
    <t>210,20,12,209,13,201,8,101</t>
  </si>
  <si>
    <t>1,1,3,3,3,4,4,6</t>
  </si>
  <si>
    <t>109,209,204,7,8,3,201,1</t>
  </si>
  <si>
    <t>1,4,3,6,3,5,5,5</t>
  </si>
  <si>
    <t>16,210,103,3,8,101,1,5</t>
  </si>
  <si>
    <t>1,1,1,6,3,4,6,5</t>
  </si>
  <si>
    <t>208,14,13,101,2,8,5,7</t>
  </si>
  <si>
    <t>1,3,2,4,6,6,4,5</t>
  </si>
  <si>
    <t>19,17,207,1,201,101,5,2</t>
  </si>
  <si>
    <t>1,1,2,4,4,5,4,3</t>
  </si>
  <si>
    <t>2,5,4,7,201,1,8,3</t>
  </si>
  <si>
    <t>5,6,5,4,5,3,4,4</t>
  </si>
  <si>
    <t>210,209,207,8,5,1,7,4</t>
  </si>
  <si>
    <t>1,4,2,3,5,4,3,3</t>
  </si>
  <si>
    <t>12,207,209,13,7,2,201,4</t>
  </si>
  <si>
    <t>4,2,3,4,3,3,3,4</t>
  </si>
  <si>
    <t>208,207,204,4,3,1,101,2</t>
  </si>
  <si>
    <t>4,3,1,3,5,6,6,5</t>
  </si>
  <si>
    <t>18,13,208,103,1,5,101,7</t>
  </si>
  <si>
    <t>1,1,1,2,3,6,4,3</t>
  </si>
  <si>
    <t>12,103,1,4,5,7,8,3</t>
  </si>
  <si>
    <t>4,2,3,4,3,5,4,6</t>
  </si>
  <si>
    <t>19,17,209,208,4,8,5,1</t>
  </si>
  <si>
    <t>21,17,5,101,4,1,2,7</t>
  </si>
  <si>
    <t>1,1,4,4,4,6,6,4</t>
  </si>
  <si>
    <t>204,14,13,7,1,4,8,201</t>
  </si>
  <si>
    <t>4,4,3,5,5,6,6,6</t>
  </si>
  <si>
    <t>204,103,14,13,201,101,7,1</t>
  </si>
  <si>
    <t>3,3,2,4,4,3,3,3</t>
  </si>
  <si>
    <t>208,204,207,7,5,201,8,2</t>
  </si>
  <si>
    <t>3,1,3,4,5,3,3,6</t>
  </si>
  <si>
    <t>12,209,3,1,4,101,2,5</t>
  </si>
  <si>
    <t>3,2,4,4,4,5,6,6</t>
  </si>
  <si>
    <t>210,19,13,4,2,7,5,8</t>
  </si>
  <si>
    <t>1,1,2,6,3,4,6,6</t>
  </si>
  <si>
    <t>17,21,204,208,209,103,4,2</t>
  </si>
  <si>
    <t>1,1,3,2,1,1,4,4</t>
  </si>
  <si>
    <t>21,109,5,1,201,8,101,3</t>
  </si>
  <si>
    <t>1,1,3,6,5,3,4,5</t>
  </si>
  <si>
    <t>21,210,209,103,13,2,3,5</t>
  </si>
  <si>
    <t>1,1,1,2,4,5,6,4</t>
  </si>
  <si>
    <t>210,12,204,103,207,101,2,201</t>
  </si>
  <si>
    <t>1,2,3,1,2,4,4,6</t>
  </si>
  <si>
    <t>20,209,8,7,2,101,1,201</t>
  </si>
  <si>
    <t>1,4,3,6,4,4,4,3</t>
  </si>
  <si>
    <t>207,12,209,101,4,1,201,8</t>
  </si>
  <si>
    <t>2,1,3,3,4,6,5,4</t>
  </si>
  <si>
    <t>16,207,208,7,5,201,8,4</t>
  </si>
  <si>
    <t>1,2,2,5,5,6,5,6</t>
  </si>
  <si>
    <t>17,19,201,1,2,101,4,8</t>
  </si>
  <si>
    <t>1,1,5,6,4,4,4,4</t>
  </si>
  <si>
    <t>210,16,14,207,101,3,5,8</t>
  </si>
  <si>
    <t>1,1,3,4,6,5,5,4</t>
  </si>
  <si>
    <t>20,209,14,1,2,3,101,7</t>
  </si>
  <si>
    <t>1,3,2,4,4,6,6,4</t>
  </si>
  <si>
    <t>21,18,14,103,12,208,3,101</t>
  </si>
  <si>
    <t>1,1,1,1,1,4,3,5</t>
  </si>
  <si>
    <t>20,108,207,204,208,209,4,201</t>
  </si>
  <si>
    <t>1,1,1,1,1,4,6,3</t>
  </si>
  <si>
    <t>18,103,12,208,204,3,5,8</t>
  </si>
  <si>
    <t>1,2,1,3,2,5,5,3</t>
  </si>
  <si>
    <t>208,204,207,7,4,8,1,201</t>
  </si>
  <si>
    <t>2,4,1,4,3,5,3,3</t>
  </si>
  <si>
    <t>109,16,12,204,103,208,8,5</t>
  </si>
  <si>
    <t>17,14,103,12,3,1,201,4</t>
  </si>
  <si>
    <t>1,3,4,4,4,6,3,3</t>
  </si>
  <si>
    <t>208,14,103,4,8,201,5,101</t>
  </si>
  <si>
    <t>4,3,3,4,6,4,5,3</t>
  </si>
  <si>
    <t>1,8,3,201,2,5,7,4</t>
  </si>
  <si>
    <t>3,4,6,3,3,4,4,5</t>
  </si>
  <si>
    <t>20,19,13,101,2,4,8,3</t>
  </si>
  <si>
    <t>1,1,1,6,6,6,5,3</t>
  </si>
  <si>
    <t>17,103,201,101,3,1,8,2</t>
  </si>
  <si>
    <t>1,2,3,5,6,6,4,5</t>
  </si>
  <si>
    <t>109,20,103,204,208,2,9,201</t>
  </si>
  <si>
    <t>1,1,3,1,1,4,6,6</t>
  </si>
  <si>
    <t>209,4,9,202,101,3,201,1</t>
  </si>
  <si>
    <t>1,5,5,4,3,4,5,3</t>
  </si>
  <si>
    <t>108,207,208,4,202,1,5,7</t>
  </si>
  <si>
    <t>1,4,1,5,4,4,4,3</t>
  </si>
  <si>
    <t>210,10,9,101,8,201,4,5</t>
  </si>
  <si>
    <t>1,3,6,3,5,6,3,5</t>
  </si>
  <si>
    <t>109,12,204,13,201,3,2,202</t>
  </si>
  <si>
    <t>1,3,2,4,3,3,5,3</t>
  </si>
  <si>
    <t>16,14,8,4,7,9,201,101</t>
  </si>
  <si>
    <t>21,14,207,10,204,1,101,201</t>
  </si>
  <si>
    <t>1,4,3,2,3,6,5,3</t>
  </si>
  <si>
    <t>208,207,204,4,8,202,2,7</t>
  </si>
  <si>
    <t>2,3,3,3,5,4,6,6</t>
  </si>
  <si>
    <t>204,13,4,3,101,1,5,7</t>
  </si>
  <si>
    <t>1,3,4,4,6,6,4,6</t>
  </si>
  <si>
    <t>18,109,208,13,8,202,201,4</t>
  </si>
  <si>
    <t>1,1,2,2,6,6,3,3</t>
  </si>
  <si>
    <t>210,21,204,10,14,208,201,1</t>
  </si>
  <si>
    <t>1,1,3,1,3,2,6,5</t>
  </si>
  <si>
    <t>108,109,207,8,5,101,202,3</t>
  </si>
  <si>
    <t>1,1,3,3,5,4,3,4</t>
  </si>
  <si>
    <t>103,10,201,8,3,5,202,9</t>
  </si>
  <si>
    <t>4,4,5,3,4,6,5,4</t>
  </si>
  <si>
    <t>30,16,20,13,14,209,9,8</t>
  </si>
  <si>
    <t>109,207,208,204,10,101,7,201</t>
  </si>
  <si>
    <t>16,19,204,209,10,202,3,2</t>
  </si>
  <si>
    <t>1,1,1,3,1,5,4,3</t>
  </si>
  <si>
    <t>210,21,13,204,4,3,5,8</t>
  </si>
  <si>
    <t>210,13,103,4,3,5,201,7</t>
  </si>
  <si>
    <t>1,2,3,4,4,4,6,5</t>
  </si>
  <si>
    <t>19,14,7,9,3,101,202,5</t>
  </si>
  <si>
    <t>1,4,4,5,4,4,4,3</t>
  </si>
  <si>
    <t>16,20,209,10,103,8,1,2</t>
  </si>
  <si>
    <t>18,210,208,103,5,202,9,8</t>
  </si>
  <si>
    <t>1,1,3,2,6,5,6,6</t>
  </si>
  <si>
    <t>18,12,9,1,5,101,201,8</t>
  </si>
  <si>
    <t>1,3,5,6,6,4,3,5</t>
  </si>
  <si>
    <t>204,14,13,2,3,201,4,5</t>
  </si>
  <si>
    <t>4,2,4,5,4,6,6,3</t>
  </si>
  <si>
    <t>21,210,204,103,10,9,201,3</t>
  </si>
  <si>
    <t>1,1,1,2,2,3,4,6</t>
  </si>
  <si>
    <t>16,209,13,103,201,8,1,101</t>
  </si>
  <si>
    <t>1,1,1,1,3,6,5,4</t>
  </si>
  <si>
    <t>109,210,208,10,204,202,7,5</t>
  </si>
  <si>
    <t>1,1,3,2,1,3,4,4</t>
  </si>
  <si>
    <t>21,209,204,103,8,4,3,5</t>
  </si>
  <si>
    <t>1,1,2,1,5,4,3,5</t>
  </si>
  <si>
    <t>13,204,4,7,3,201,5,101</t>
  </si>
  <si>
    <t>1,4,4,4,6,6,4,3</t>
  </si>
  <si>
    <t>210,16,10,209,14,2,1,7</t>
  </si>
  <si>
    <t>1,1,4,1,3,6,5,5</t>
  </si>
  <si>
    <t>16,20,209,12,204,103,2,8</t>
  </si>
  <si>
    <t>109,12,207,208,204,101,1,2</t>
  </si>
  <si>
    <t>1,4,1,1,3,5,6,4</t>
  </si>
  <si>
    <t>21,207,204,209,103,4,9,3</t>
  </si>
  <si>
    <t>1,1,1,4,2,6,4,3</t>
  </si>
  <si>
    <t>210,14,4,202,9,8,2,1</t>
  </si>
  <si>
    <t>1,3,3,6,4,6,4,4</t>
  </si>
  <si>
    <t>204,1,202,4,7,201,9,5</t>
  </si>
  <si>
    <t>2,4,6,6,3,3,4,3</t>
  </si>
  <si>
    <t>12,9,201,5,2,4,3,1</t>
  </si>
  <si>
    <t>4,4,5,3,4,3,5,3</t>
  </si>
  <si>
    <t>108,13,209,5,4,1,3,201</t>
  </si>
  <si>
    <t>1,3,1,5,3,4,4,4</t>
  </si>
  <si>
    <t>103,208,204,201,101,4,8,2</t>
  </si>
  <si>
    <t>3,4,3,4,6,4,3,5</t>
  </si>
  <si>
    <t>13,208,2,7,8,201,3,1</t>
  </si>
  <si>
    <t>2,1,4,4,5,4,3,4</t>
  </si>
  <si>
    <t>108,109,12,208,13,204,2,8</t>
  </si>
  <si>
    <t>19,10,204,101,8,5,2,3</t>
  </si>
  <si>
    <t>1,3,3,4,5,4,3,5</t>
  </si>
  <si>
    <t>16,204,13,103,12,4,5,202</t>
  </si>
  <si>
    <t>1,2,4,4,2,3,3,4</t>
  </si>
  <si>
    <t>209,208,204,207,8,1,4,2</t>
  </si>
  <si>
    <t>3,4,4,4,4,3,5,4</t>
  </si>
  <si>
    <t>103,14,209,204,4,2,201,9</t>
  </si>
  <si>
    <t>3,1,4,3,3,5,5,5</t>
  </si>
  <si>
    <t>10,209,207,204,202,201,4,2</t>
  </si>
  <si>
    <t>4,3,3,2,3,4,3,6</t>
  </si>
  <si>
    <t>20,103,204,209,12,7,5,101</t>
  </si>
  <si>
    <t>1,2,1,3,3,6,5,4</t>
  </si>
  <si>
    <t>19,20,207,10,204,209,8,5</t>
  </si>
  <si>
    <t>1,1,2,3,2,1,4,3</t>
  </si>
  <si>
    <t>19,18,10,208,9,7,1,3</t>
  </si>
  <si>
    <t>1,1,2,2,6,4,3,5</t>
  </si>
  <si>
    <t>20,12,103,7,1,201,2,5</t>
  </si>
  <si>
    <t>1,1,2,6,4,4,4,3</t>
  </si>
  <si>
    <t>108,209,4,7,5,3,8,201</t>
  </si>
  <si>
    <t>1,3,4,4,3,4,4,3</t>
  </si>
  <si>
    <t>30,13,12,103,101,4,202,7</t>
  </si>
  <si>
    <t>1,1,4,3,4,6,5,6</t>
  </si>
  <si>
    <t>16,108,204,209,12,3,1,101</t>
  </si>
  <si>
    <t>1,1,4,1,3,3,5,4</t>
  </si>
  <si>
    <t>13,207,205,12,9,202,7,101</t>
  </si>
  <si>
    <t>3,2,1,1,4,5,4,3</t>
  </si>
  <si>
    <t>20,17,13,10,9,8,2,101</t>
  </si>
  <si>
    <t>1,1,3,4,6,5,6,6</t>
  </si>
  <si>
    <t>12,1,202,2,5,101,201,3</t>
  </si>
  <si>
    <t>4,3,4,5,6,4,4,4</t>
  </si>
  <si>
    <t>21,208,10,12,202,9,4,5</t>
  </si>
  <si>
    <t>1,1,3,3,4,3,6,4</t>
  </si>
  <si>
    <t>16,22,208,10,204,1,202,201</t>
  </si>
  <si>
    <t>1,1,1,1,4,3,5,5</t>
  </si>
  <si>
    <t>12,10,2,202,5,4,9,101</t>
  </si>
  <si>
    <t>16,209,10,101,1,3,8,202</t>
  </si>
  <si>
    <t>17,210,14,207,5,4,101,3</t>
  </si>
  <si>
    <t>1,1,4,1,3,3,6,3</t>
  </si>
  <si>
    <t>205,204,1,5,8,202,201,101</t>
  </si>
  <si>
    <t>4,3,6,5,6,5,3,5</t>
  </si>
  <si>
    <t>16,12,8,3,7,101,202,9</t>
  </si>
  <si>
    <t>1,4,6,3,6,4,4,4</t>
  </si>
  <si>
    <t>14,8,1,5,2,3,201,9</t>
  </si>
  <si>
    <t>3,3,6,5,3,5,4,5</t>
  </si>
  <si>
    <t>210,14,3,201,4,202,5,101</t>
  </si>
  <si>
    <t>1,3,5,4,6,6,3,3</t>
  </si>
  <si>
    <t>205,207,202,8,7,3,1,101</t>
  </si>
  <si>
    <t>4,1,5,6,5,5,3,3</t>
  </si>
  <si>
    <t>18,13,10,209,4,201,202,2</t>
  </si>
  <si>
    <t>1,3,3,1,3,4,3,6</t>
  </si>
  <si>
    <t>14,12,13,205,1,3,2,5</t>
  </si>
  <si>
    <t>1,2,3,1,4,6,5,6</t>
  </si>
  <si>
    <t>17,207,209,208,10,202,201,2</t>
  </si>
  <si>
    <t>1,1,2,1,4,6,5,4</t>
  </si>
  <si>
    <t>109,10,202,1,201,8,9,4</t>
  </si>
  <si>
    <t>1,3,5,5,5,3,5,4</t>
  </si>
  <si>
    <t>108,204,208,9,2,3,201,8</t>
  </si>
  <si>
    <t>1,3,4,6,4,3,3,3</t>
  </si>
  <si>
    <t>205,202,3,5,9,2,7,101</t>
  </si>
  <si>
    <t>3,6,6,6,4,6,4,6</t>
  </si>
  <si>
    <t>21,19,13,207,14,103,5,201</t>
  </si>
  <si>
    <t>14,10,2,9,1,3,4,202</t>
  </si>
  <si>
    <t>2,2,6,5,6,5,5,3</t>
  </si>
  <si>
    <t>103,10,204,12,3,2,9,1</t>
  </si>
  <si>
    <t>3,4,1,2,5,5,3,6</t>
  </si>
  <si>
    <t>20,106,103,13,202,5,3,4</t>
  </si>
  <si>
    <t>1,1,2,3,3,4,6,3</t>
  </si>
  <si>
    <t>106,20,207,12,209,205,3,101</t>
  </si>
  <si>
    <t>1,1,3,1,1,4,5,5</t>
  </si>
  <si>
    <t>30,106,12,204,209,208,2,101</t>
  </si>
  <si>
    <t>1,1,1,3,4,2,4,6</t>
  </si>
  <si>
    <t>19,16,208,207,204,14,1,8</t>
  </si>
  <si>
    <t>1,1,2,4,2,2,6,6</t>
  </si>
  <si>
    <t>17,108,10,12,103,205,2,5</t>
  </si>
  <si>
    <t>1,1,3,3,3,2,4,5</t>
  </si>
  <si>
    <t>106,16,207,5,1,201,3,4</t>
  </si>
  <si>
    <t>1,1,1,3,5,5,6,4</t>
  </si>
  <si>
    <t>109,208,103,204,3,101,202,7</t>
  </si>
  <si>
    <t>1,3,3,4,4,3,6,5</t>
  </si>
  <si>
    <t>13,101,1,202,5,201,7,8</t>
  </si>
  <si>
    <t>4,5,4,6,4,3,6,3</t>
  </si>
  <si>
    <t>205,10,14,4,201,3,9,5</t>
  </si>
  <si>
    <t>2,4,4,3,4,6,4,4</t>
  </si>
  <si>
    <t>106,13,12,204,2,4,7,201</t>
  </si>
  <si>
    <t>1,3,4,2,6,5,5,3</t>
  </si>
  <si>
    <t>18,103,14,13,201,202,8,1</t>
  </si>
  <si>
    <t>1,1,3,1,6,3,3,4</t>
  </si>
  <si>
    <t>17,21,207,13,2,4,5,101</t>
  </si>
  <si>
    <t>1,1,1,2,3,5,6,3</t>
  </si>
  <si>
    <t>14,208,103,9,7,2,101,4</t>
  </si>
  <si>
    <t>3,4,2,6,6,4,4,4</t>
  </si>
  <si>
    <t>21,16,209,7,101,202,9,4</t>
  </si>
  <si>
    <t>21,20,12,207,13,202,2,8</t>
  </si>
  <si>
    <t>1,1,4,2,2,5,5,6</t>
  </si>
  <si>
    <t>13,201,1,9,8,5,7,3</t>
  </si>
  <si>
    <t>3,6,6,4,5,6,6,6</t>
  </si>
  <si>
    <t>14,204,205,3,7,201,5,9</t>
  </si>
  <si>
    <t>3,1,4,3,5,6,3,5</t>
  </si>
  <si>
    <t>22,108,207,13,103,202,3,4</t>
  </si>
  <si>
    <t>30,205,10,12,14,1,202,101</t>
  </si>
  <si>
    <t>1,2,1,2,3,5,6,6</t>
  </si>
  <si>
    <t>108,204,10,12,3,9,201,202</t>
  </si>
  <si>
    <t>1,2,2,3,6,3,6,3</t>
  </si>
  <si>
    <t>22,16,205,12,204,209,7,5</t>
  </si>
  <si>
    <t>1,1,4,1,2,4,6,5</t>
  </si>
  <si>
    <t>22,19,14,103,13,12,1,3</t>
  </si>
  <si>
    <t>22,20,10,12,14,204,201,4</t>
  </si>
  <si>
    <t>205,13,1,8,7,201,101,9</t>
  </si>
  <si>
    <t>2,1,6,5,4,3,3,3</t>
  </si>
  <si>
    <t>18,208,103,14,12,1,8,9</t>
  </si>
  <si>
    <t>1,4,4,1,3,3,6,5</t>
  </si>
  <si>
    <t>12,13,204,202,2,1,7,4</t>
  </si>
  <si>
    <t>22,19,14,103,12,101,9,201</t>
  </si>
  <si>
    <t>108,205,10,4,2,3,9,5</t>
  </si>
  <si>
    <t>1,2,2,4,3,6,5,4</t>
  </si>
  <si>
    <t>17,18,207,5,202,2,9,8</t>
  </si>
  <si>
    <t>207,5,7,8,202,201,1,101</t>
  </si>
  <si>
    <t>3,6,4,3,6,3,4,3</t>
  </si>
  <si>
    <t>30,109,12,14,4,8,1,7</t>
  </si>
  <si>
    <t>1,1,3,3,3,5,6,4</t>
  </si>
  <si>
    <t>20,13,204,10,4,5,3,9</t>
  </si>
  <si>
    <t>1,3,2,3,6,5,6,3</t>
  </si>
  <si>
    <t>106,20,13,10,209,2,7,202</t>
  </si>
  <si>
    <t>30,106,108,207,103,5,4,101</t>
  </si>
  <si>
    <t>1,1,1,4,4,6,3,4</t>
  </si>
  <si>
    <t>207,208,209,5,7,101,201,1</t>
  </si>
  <si>
    <t>2,3,1,4,3,5,3,5</t>
  </si>
  <si>
    <t>108,14,103,7,9,5,202,3</t>
  </si>
  <si>
    <t>208,12,9,8,3,2,201,1</t>
  </si>
  <si>
    <t>2,4,5,3,5,3,5,6</t>
  </si>
  <si>
    <t>21,18,207,103,101,7,202,9</t>
  </si>
  <si>
    <t>17,106,14,8,3,5,9,4</t>
  </si>
  <si>
    <t>1,1,1,5,5,3,4,5</t>
  </si>
  <si>
    <t>13,207,205,7,3,101,201,9</t>
  </si>
  <si>
    <t>1,1,4,4,6,4,3,6</t>
  </si>
  <si>
    <t>109,20,207,10,201,2,8,1</t>
  </si>
  <si>
    <t>1,1,4,1,5,5,4,4</t>
  </si>
  <si>
    <t>17,22,208,12,14,4,2,101</t>
  </si>
  <si>
    <t>1,1,2,1,3,5,3,6</t>
  </si>
  <si>
    <t>14,209,204,13,1,3,7,202</t>
  </si>
  <si>
    <t>4,3,3,1,5,4,4,3</t>
  </si>
  <si>
    <t>20,103,13,14,7,201,5,202</t>
  </si>
  <si>
    <t>1,3,2,4,6,4,4,4</t>
  </si>
  <si>
    <t>210,106,205,209,5,3,7,1</t>
  </si>
  <si>
    <t>1,1,2,1,5,4,5,5</t>
  </si>
  <si>
    <t>20,16,205,4,3,8,201,1</t>
  </si>
  <si>
    <t>1,1,4,5,6,4,4,4</t>
  </si>
  <si>
    <t>208,205,101,3,9,201,202,2</t>
  </si>
  <si>
    <t>4,3,5,3,4,6,4,5</t>
  </si>
  <si>
    <t>30,103,208,14,3,202,1,2</t>
  </si>
  <si>
    <t>1,2,3,1,3,5,6,3</t>
  </si>
  <si>
    <t>108,19,103,1,101,201,9,2</t>
  </si>
  <si>
    <t>109,108,204,209,10,9,201,4</t>
  </si>
  <si>
    <t>1,1,4,3,4,5,5,4</t>
  </si>
  <si>
    <t>20,13,5,2,201,9,3,202</t>
  </si>
  <si>
    <t>1,3,6,6,3,4,4,6</t>
  </si>
  <si>
    <t>19,22,10,14,103,5,9,4</t>
  </si>
  <si>
    <t>1,1,2,2,2,4,6,3</t>
  </si>
  <si>
    <t>30,106,21,12,208,4,202,8</t>
  </si>
  <si>
    <t>1,1,1,1,4,6,4,3</t>
  </si>
  <si>
    <t>210,10,14,7,202,201,9,101</t>
  </si>
  <si>
    <t>1,2,1,3,3,4,3,4</t>
  </si>
  <si>
    <t>205,204,14,2,8,101,201,5</t>
  </si>
  <si>
    <t>1,3,2,3,4,6,5,6</t>
  </si>
  <si>
    <t>13,3,7,9,101,201,8,1</t>
  </si>
  <si>
    <t>1,4,3,6,4,3,3,5</t>
  </si>
  <si>
    <t>21,22,208,3,201,202,4,1</t>
  </si>
  <si>
    <t>1,1,1,4,3,6,3,6</t>
  </si>
  <si>
    <t>109,16,10,204,208,209,9,2</t>
  </si>
  <si>
    <t>1,1,2,4,4,1,5,4</t>
  </si>
  <si>
    <t>210,21,12,205,209,204,7,5</t>
  </si>
  <si>
    <t>1,1,2,4,3,4,6,3</t>
  </si>
  <si>
    <t>108,14,1,101,9,5,4,201</t>
  </si>
  <si>
    <t>1,2,3,6,3,6,3,3</t>
  </si>
  <si>
    <t>19,209,12,103,9,4,202,201</t>
  </si>
  <si>
    <t>1,4,4,3,4,5,4,6</t>
  </si>
  <si>
    <t>21,22,12,13,2,9,7,5</t>
  </si>
  <si>
    <t>1,1,4,1,3,5,5,5</t>
  </si>
  <si>
    <t>21,17,13,202,201,2,8,101</t>
  </si>
  <si>
    <t>20,17,12,209,204,8,2,202</t>
  </si>
  <si>
    <t>106,10,204,209,14,9,8,2</t>
  </si>
  <si>
    <t>1,4,1,2,3,6,4,4</t>
  </si>
  <si>
    <t>108,205,3,9,1,8,2,4</t>
  </si>
  <si>
    <t>1,4,6,5,4,5,6,5</t>
  </si>
  <si>
    <t>18,109,209,205,103,9,3,8</t>
  </si>
  <si>
    <t>1,1,3,3,2,6,6,3</t>
  </si>
  <si>
    <t>17,20,207,201,9,4,101,3</t>
  </si>
  <si>
    <t>10,13,12,204,202,101,201,3</t>
  </si>
  <si>
    <t>3,3,3,2,4,3,3,4</t>
  </si>
  <si>
    <t>109,205,208,10,12,202,9,7</t>
  </si>
  <si>
    <t>1,2,1,4,3,3,4,5</t>
  </si>
  <si>
    <t>19,14,205,103,13,5,7,201</t>
  </si>
  <si>
    <t>1,1,4,1,1,6,3,6</t>
  </si>
  <si>
    <t>19,21,208,209,205,9,201,4</t>
  </si>
  <si>
    <t>210,22,14,208,209,9,5,1</t>
  </si>
  <si>
    <t>1,1,4,3,1,5,4,6</t>
  </si>
  <si>
    <t>207,205,208,12,8,2,9,101</t>
  </si>
  <si>
    <t>2,3,1,2,3,3,4,6</t>
  </si>
  <si>
    <t>21,10,208,13,5,202,4,101</t>
  </si>
  <si>
    <t>1,1,1,4,6,5,5,6</t>
  </si>
  <si>
    <t>210,14,207,10,208,7,101,8</t>
  </si>
  <si>
    <t>22,208,12,205,103,9,4,3</t>
  </si>
  <si>
    <t>1,4,4,1,4,3,5,4</t>
  </si>
  <si>
    <t>22,21,204,207,5,2,1,9</t>
  </si>
  <si>
    <t>1,1,2,1,6,6,5,5</t>
  </si>
  <si>
    <t>18,16,103,12,15,10,2,102</t>
  </si>
  <si>
    <t>109,209,103,204,15,1,2,101</t>
  </si>
  <si>
    <t>2,2,3,4,5,4,4,4</t>
  </si>
  <si>
    <t>205,13,207,8,201,9,1,101</t>
  </si>
  <si>
    <t>3,2,4,5,7,7,6,6</t>
  </si>
  <si>
    <t>19,18,17,10,12,7,101,201</t>
  </si>
  <si>
    <t>3,3,1,5,3,7,8,5</t>
  </si>
  <si>
    <t>109,207,14,13,205,4,201,102</t>
  </si>
  <si>
    <t>3,5,4,6,6,7,5,6</t>
  </si>
  <si>
    <t>107,19,207,13,209,206,9,1</t>
  </si>
  <si>
    <t>2,2,3,5,4,4,8,6</t>
  </si>
  <si>
    <t>207,204,205,5,102,9,101,1</t>
  </si>
  <si>
    <t>3,6,5,5,8,5,7,8</t>
  </si>
  <si>
    <t>108,109,21,206,9,7,101,2</t>
  </si>
  <si>
    <t>2,1,3,4,7,5,7,7</t>
  </si>
  <si>
    <t>110,208,205,207,3,9,202,101</t>
  </si>
  <si>
    <t>4,7,4,5,9,6,6,7</t>
  </si>
  <si>
    <t>108,16,205,2,201,102,202,9</t>
  </si>
  <si>
    <t>4,2,6,9,8,8,9,7</t>
  </si>
  <si>
    <t>204,10,207,103,9,101,1,7</t>
  </si>
  <si>
    <t>6,6,7,7,9,6,8,8</t>
  </si>
  <si>
    <t>25,109,209,14,12,204,3,8</t>
  </si>
  <si>
    <t>1,1,7,4,4,5,6,9</t>
  </si>
  <si>
    <t>105,106,17,206,7,201,203,4</t>
  </si>
  <si>
    <t>1,3,3,7,6,9,9,9</t>
  </si>
  <si>
    <t>21,12,205,209,1,201,2,8</t>
  </si>
  <si>
    <t>3,7,7,7,8,8,7,8</t>
  </si>
  <si>
    <t>105,204,9,203,5,101,2,7</t>
  </si>
  <si>
    <t>1,7,9,7,10,8,10,7</t>
  </si>
  <si>
    <t>pvpLocation</t>
    <phoneticPr fontId="4" type="noConversion"/>
  </si>
  <si>
    <t>fightarea2  蓝</t>
    <phoneticPr fontId="4" type="noConversion"/>
  </si>
  <si>
    <t>fightarea4  绿</t>
    <phoneticPr fontId="4" type="noConversion"/>
  </si>
  <si>
    <t>fightarea3  黄</t>
    <phoneticPr fontId="4" type="noConversion"/>
  </si>
  <si>
    <t>fightarea3</t>
  </si>
  <si>
    <t>fightarea4</t>
  </si>
  <si>
    <t>9阶竞技场</t>
  </si>
  <si>
    <t>301,302,303</t>
    <phoneticPr fontId="4" type="noConversion"/>
  </si>
  <si>
    <t>埃拉托色尼</t>
    <phoneticPr fontId="4" type="noConversion"/>
  </si>
  <si>
    <t>阿维森纳</t>
    <phoneticPr fontId="4" type="noConversion"/>
  </si>
  <si>
    <t>罗吉尔</t>
    <phoneticPr fontId="4" type="noConversion"/>
  </si>
  <si>
    <t>盖里克</t>
    <phoneticPr fontId="4" type="noConversion"/>
  </si>
  <si>
    <t>黑铁段位</t>
    <phoneticPr fontId="4" type="noConversion"/>
  </si>
  <si>
    <t>青铜段位</t>
    <phoneticPr fontId="4" type="noConversion"/>
  </si>
  <si>
    <t>白银段位</t>
    <phoneticPr fontId="4" type="noConversion"/>
  </si>
  <si>
    <t>黄金段位</t>
    <phoneticPr fontId="4" type="noConversion"/>
  </si>
  <si>
    <t>白金段位</t>
    <phoneticPr fontId="4" type="noConversion"/>
  </si>
  <si>
    <t>钻石段位</t>
    <phoneticPr fontId="4" type="noConversion"/>
  </si>
  <si>
    <t>大师段位</t>
    <phoneticPr fontId="4" type="noConversion"/>
  </si>
  <si>
    <t>宗师段位</t>
    <phoneticPr fontId="4" type="noConversion"/>
  </si>
  <si>
    <t>王者段位</t>
    <phoneticPr fontId="4" type="noConversion"/>
  </si>
  <si>
    <t>name</t>
  </si>
  <si>
    <t>ID</t>
  </si>
  <si>
    <t>playerLevel</t>
  </si>
  <si>
    <t>玩家等级</t>
  </si>
  <si>
    <t>initialTrophy</t>
  </si>
  <si>
    <t>初始奖杯</t>
  </si>
  <si>
    <t>scrawl</t>
  </si>
  <si>
    <t>int32[]</t>
  </si>
  <si>
    <t>拥有喷漆</t>
  </si>
  <si>
    <t>竞技场</t>
  </si>
  <si>
    <t>登录名</t>
  </si>
  <si>
    <t>fishluv_1</t>
  </si>
  <si>
    <t>cards</t>
  </si>
  <si>
    <t>uint16[]</t>
  </si>
  <si>
    <t>卡牌</t>
  </si>
  <si>
    <t>cardsLevel</t>
  </si>
  <si>
    <t>卡牌等级</t>
  </si>
  <si>
    <t>towers</t>
  </si>
  <si>
    <t>towersLevel</t>
  </si>
  <si>
    <t>塔牌等级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</si>
</sst>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>
    <font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name val="宋体"/>
      <family val="3"/>
      <charset val="134"/>
    </font>
    <font>
      <sz val="11"/>
      <color rgb="FFFF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1"/>
      <color rgb="FF000000"/>
      <name val="宋体"/>
      <family val="3"/>
      <charset val="134"/>
    </font>
    <font>
      <sz val="11"/>
      <name val="宋体"/>
      <family val="3"/>
      <charset val="134"/>
    </font>
    <font>
      <b/>
      <sz val="11"/>
      <color rgb="FF00B050"/>
      <name val="宋体"/>
      <family val="3"/>
      <charset val="134"/>
    </font>
    <font>
      <sz val="11"/>
      <color rgb="FF7030A0"/>
      <name val="宋体"/>
      <family val="3"/>
      <charset val="134"/>
    </font>
    <font>
      <b/>
      <sz val="11"/>
      <color rgb="FF7030A0"/>
      <name val="宋体"/>
      <family val="3"/>
      <charset val="134"/>
    </font>
    <font>
      <b/>
      <sz val="11"/>
      <color rgb="FF0070C0"/>
      <name val="宋体"/>
      <family val="3"/>
      <charset val="134"/>
    </font>
    <font>
      <b/>
      <sz val="11"/>
      <color theme="9" tint="-0.249977111117893"/>
      <name val="宋体"/>
      <family val="3"/>
      <charset val="134"/>
    </font>
    <font>
      <sz val="11"/>
      <color rgb="FF00B05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B05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6" fillId="0" borderId="0" xfId="1">
      <alignment vertical="center"/>
    </xf>
    <xf numFmtId="0" fontId="6" fillId="0" borderId="0" xfId="1" applyBorder="1">
      <alignment vertical="center"/>
    </xf>
    <xf numFmtId="0" fontId="1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6" fillId="0" borderId="0" xfId="1" applyAlignment="1">
      <alignment horizontal="center" vertical="center"/>
    </xf>
    <xf numFmtId="0" fontId="2" fillId="0" borderId="0" xfId="0" applyFont="1" applyBorder="1">
      <alignment vertical="center"/>
    </xf>
    <xf numFmtId="0" fontId="6" fillId="0" borderId="0" xfId="1" applyBorder="1" applyAlignment="1">
      <alignment vertical="center" wrapText="1"/>
    </xf>
    <xf numFmtId="0" fontId="2" fillId="0" borderId="0" xfId="0" applyFont="1">
      <alignment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0" xfId="0" quotePrefix="1" applyFont="1">
      <alignment vertical="center"/>
    </xf>
    <xf numFmtId="0" fontId="16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1" fillId="0" borderId="0" xfId="0" quotePrefix="1" applyFont="1" applyAlignment="1">
      <alignment horizontal="right" vertical="center"/>
    </xf>
    <xf numFmtId="0" fontId="21" fillId="0" borderId="0" xfId="0" applyFont="1" applyAlignment="1">
      <alignment horizontal="center"/>
    </xf>
    <xf numFmtId="0" fontId="1" fillId="0" borderId="0" xfId="0" quotePrefix="1" applyFont="1">
      <alignment vertical="center"/>
    </xf>
    <xf numFmtId="0" fontId="1" fillId="0" borderId="0" xfId="0" quotePrefix="1" applyFont="1" applyAlignment="1">
      <alignment horizontal="center" vertical="center"/>
    </xf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4" borderId="0" xfId="0" applyFill="1">
      <alignment vertical="center"/>
    </xf>
    <xf numFmtId="0" fontId="13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1" fillId="5" borderId="0" xfId="0" applyFont="1" applyFill="1">
      <alignment vertical="center"/>
    </xf>
    <xf numFmtId="0" fontId="1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49" fontId="0" fillId="0" borderId="0" xfId="0" applyNumberForma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 wrapText="1"/>
    </xf>
    <xf numFmtId="0" fontId="14" fillId="5" borderId="5" xfId="0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 wrapText="1"/>
    </xf>
    <xf numFmtId="0" fontId="13" fillId="5" borderId="5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</cellXfs>
  <cellStyles count="2">
    <cellStyle name="常规" xfId="0" builtinId="0"/>
    <cellStyle name="常规 3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机器人统计!$P$2:$P$9</c:f>
              <c:numCache>
                <c:formatCode>General</c:formatCode>
                <c:ptCount val="8"/>
                <c:pt idx="0">
                  <c:v>0</c:v>
                </c:pt>
                <c:pt idx="1">
                  <c:v>57</c:v>
                </c:pt>
                <c:pt idx="2">
                  <c:v>209</c:v>
                </c:pt>
                <c:pt idx="3">
                  <c:v>436</c:v>
                </c:pt>
                <c:pt idx="4">
                  <c:v>848</c:v>
                </c:pt>
                <c:pt idx="5">
                  <c:v>1017</c:v>
                </c:pt>
                <c:pt idx="6">
                  <c:v>681</c:v>
                </c:pt>
                <c:pt idx="7">
                  <c:v>215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机器人统计!$P$38:$P$45</c:f>
              <c:numCache>
                <c:formatCode>General</c:formatCode>
                <c:ptCount val="8"/>
                <c:pt idx="0">
                  <c:v>0</c:v>
                </c:pt>
                <c:pt idx="1">
                  <c:v>22</c:v>
                </c:pt>
                <c:pt idx="2">
                  <c:v>41</c:v>
                </c:pt>
                <c:pt idx="3">
                  <c:v>49</c:v>
                </c:pt>
                <c:pt idx="4">
                  <c:v>45</c:v>
                </c:pt>
                <c:pt idx="5">
                  <c:v>31</c:v>
                </c:pt>
                <c:pt idx="6">
                  <c:v>10</c:v>
                </c:pt>
                <c:pt idx="7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0</xdr:row>
          <xdr:rowOff>0</xdr:rowOff>
        </xdr:from>
        <xdr:to>
          <xdr:col>6</xdr:col>
          <xdr:colOff>228600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4</xdr:col>
          <xdr:colOff>85725</xdr:colOff>
          <xdr:row>0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0</xdr:row>
          <xdr:rowOff>0</xdr:rowOff>
        </xdr:from>
        <xdr:to>
          <xdr:col>5</xdr:col>
          <xdr:colOff>219075</xdr:colOff>
          <xdr:row>0</xdr:row>
          <xdr:rowOff>152400</xdr:rowOff>
        </xdr:to>
        <xdr:sp macro="" textlink="">
          <xdr:nvSpPr>
            <xdr:cNvPr id="5122" name="Button 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4</xdr:col>
          <xdr:colOff>85725</xdr:colOff>
          <xdr:row>0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180974</xdr:colOff>
      <xdr:row>22</xdr:row>
      <xdr:rowOff>85725</xdr:rowOff>
    </xdr:from>
    <xdr:to>
      <xdr:col>12</xdr:col>
      <xdr:colOff>114299</xdr:colOff>
      <xdr:row>27</xdr:row>
      <xdr:rowOff>152400</xdr:rowOff>
    </xdr:to>
    <xdr:sp macro="" textlink="">
      <xdr:nvSpPr>
        <xdr:cNvPr id="3" name="矩形标注 2"/>
        <xdr:cNvSpPr/>
      </xdr:nvSpPr>
      <xdr:spPr>
        <a:xfrm>
          <a:off x="5810249" y="4371975"/>
          <a:ext cx="2562225" cy="923925"/>
        </a:xfrm>
        <a:prstGeom prst="wedgeRectCallout">
          <a:avLst>
            <a:gd name="adj1" fmla="val -57773"/>
            <a:gd name="adj2" fmla="val -23345"/>
          </a:avLst>
        </a:pr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t"/>
        <a:lstStyle/>
        <a:p>
          <a:pPr algn="l"/>
          <a:r>
            <a:rPr lang="zh-CN" altLang="en-US" sz="1100" b="1"/>
            <a:t>机器人的白卡太少</a:t>
          </a:r>
          <a:endParaRPr lang="en-US" altLang="zh-CN" sz="1100" b="1"/>
        </a:p>
        <a:p>
          <a:pPr algn="l"/>
          <a:r>
            <a:rPr lang="zh-CN" altLang="en-US" sz="1100" b="1"/>
            <a:t>所以把高级的白卡挪到前面来了</a:t>
          </a:r>
          <a:endParaRPr lang="en-US" altLang="zh-CN" sz="1100" b="1"/>
        </a:p>
        <a:p>
          <a:pPr algn="l"/>
          <a:endParaRPr lang="en-US" altLang="zh-CN" sz="1100" b="1"/>
        </a:p>
        <a:p>
          <a:pPr algn="l"/>
          <a:r>
            <a:rPr lang="zh-CN" altLang="en-US" sz="1100" b="1"/>
            <a:t>不能自动排序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533400</xdr:colOff>
      <xdr:row>13</xdr:row>
      <xdr:rowOff>9525</xdr:rowOff>
    </xdr:from>
    <xdr:to>
      <xdr:col>19</xdr:col>
      <xdr:colOff>304800</xdr:colOff>
      <xdr:row>29</xdr:row>
      <xdr:rowOff>9525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409575</xdr:colOff>
      <xdr:row>32</xdr:row>
      <xdr:rowOff>19050</xdr:rowOff>
    </xdr:from>
    <xdr:to>
      <xdr:col>23</xdr:col>
      <xdr:colOff>180975</xdr:colOff>
      <xdr:row>48</xdr:row>
      <xdr:rowOff>19050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orkspace_sg3\app_data\xls\K&#26694;&#2655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K&#21345;&#292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界面功能"/>
      <sheetName val="配置文件"/>
      <sheetName val="工作进度"/>
      <sheetName val="玩家属性"/>
      <sheetName val="武将属性表"/>
      <sheetName val="框架图"/>
      <sheetName val="目录"/>
      <sheetName val="修改"/>
      <sheetName val="系统"/>
      <sheetName val="引导"/>
      <sheetName val="属性"/>
      <sheetName val="产出种类"/>
      <sheetName val="曲线"/>
      <sheetName val="VIP"/>
      <sheetName val="升级"/>
      <sheetName val="金币"/>
      <sheetName val="问题"/>
      <sheetName val="技能策略回收站"/>
      <sheetName val="属性投放"/>
      <sheetName val="武将"/>
      <sheetName val="军队"/>
      <sheetName val="技能"/>
      <sheetName val="组合技"/>
      <sheetName val="天赋"/>
      <sheetName val="人物天赋"/>
      <sheetName val="材料"/>
      <sheetName val="系统框架"/>
      <sheetName val="Sheet1"/>
      <sheetName val="布阵废弃"/>
      <sheetName val="武将技能废弃"/>
      <sheetName val="装备"/>
      <sheetName val="人物装备"/>
      <sheetName val="装备合成"/>
      <sheetName val="征战产出"/>
      <sheetName val="战斗时间"/>
      <sheetName val="名将产出"/>
      <sheetName val="强化消耗"/>
      <sheetName val="竞技场"/>
      <sheetName val="签到"/>
      <sheetName val="成就"/>
      <sheetName val="抽奖"/>
      <sheetName val="K框架"/>
    </sheetNames>
    <sheetDataSet>
      <sheetData sheetId="0">
        <row r="2">
          <cell r="A2" t="str">
            <v>登录</v>
          </cell>
        </row>
      </sheetData>
      <sheetData sheetId="1">
        <row r="4">
          <cell r="B4" t="str">
            <v>涉及系统</v>
          </cell>
        </row>
      </sheetData>
      <sheetData sheetId="2">
        <row r="2">
          <cell r="G2" t="str">
            <v>冒险</v>
          </cell>
        </row>
      </sheetData>
      <sheetData sheetId="3">
        <row r="2">
          <cell r="A2" t="str">
            <v>所属系统</v>
          </cell>
        </row>
      </sheetData>
      <sheetData sheetId="4">
        <row r="2">
          <cell r="B2" t="str">
            <v>战斗/休息</v>
          </cell>
        </row>
      </sheetData>
      <sheetData sheetId="5">
        <row r="49">
          <cell r="B49" t="str">
            <v>核心玩法：冒险、挖矿、竞技场</v>
          </cell>
        </row>
      </sheetData>
      <sheetData sheetId="6">
        <row r="2">
          <cell r="C2" t="str">
            <v xml:space="preserve">标签管理  </v>
          </cell>
        </row>
      </sheetData>
      <sheetData sheetId="7">
        <row r="2">
          <cell r="A2">
            <v>41919</v>
          </cell>
        </row>
      </sheetData>
      <sheetData sheetId="8">
        <row r="2">
          <cell r="A2" t="str">
            <v>1
战斗演示</v>
          </cell>
        </row>
      </sheetData>
      <sheetData sheetId="9">
        <row r="4">
          <cell r="B4" t="str">
            <v>需要引导玩家，让玩家产生目标感：</v>
          </cell>
        </row>
      </sheetData>
      <sheetData sheetId="10">
        <row r="4">
          <cell r="D4" t="str">
            <v>升星需要等级</v>
          </cell>
        </row>
      </sheetData>
      <sheetData sheetId="11">
        <row r="3">
          <cell r="B3" t="str">
            <v>月签到</v>
          </cell>
        </row>
      </sheetData>
      <sheetData sheetId="12">
        <row r="2">
          <cell r="A2" t="str">
            <v>常数C</v>
          </cell>
        </row>
      </sheetData>
      <sheetData sheetId="13">
        <row r="2">
          <cell r="A2">
            <v>0</v>
          </cell>
        </row>
      </sheetData>
      <sheetData sheetId="14">
        <row r="2">
          <cell r="H2" t="str">
            <v>获得经验</v>
          </cell>
        </row>
      </sheetData>
      <sheetData sheetId="15">
        <row r="4">
          <cell r="A4" t="str">
            <v>金币消耗</v>
          </cell>
        </row>
      </sheetData>
      <sheetData sheetId="16">
        <row r="2">
          <cell r="D2" t="str">
            <v>主界面（如要改主界面就删，如不用改主界面就不删。）</v>
          </cell>
        </row>
      </sheetData>
      <sheetData sheetId="17">
        <row r="2">
          <cell r="H2" t="str">
            <v>新公式</v>
          </cell>
        </row>
      </sheetData>
      <sheetData sheetId="18">
        <row r="4">
          <cell r="B4" t="str">
            <v>远近</v>
          </cell>
        </row>
        <row r="23">
          <cell r="P23">
            <v>8.1645339317120494E-3</v>
          </cell>
        </row>
        <row r="24">
          <cell r="P24">
            <v>1.7708775547334587E-2</v>
          </cell>
          <cell r="Q24">
            <v>2.1689879294336123</v>
          </cell>
        </row>
        <row r="25">
          <cell r="P25">
            <v>2.8951118927770025E-2</v>
          </cell>
          <cell r="Q25">
            <v>1.6348458904109586</v>
          </cell>
        </row>
        <row r="26">
          <cell r="P26">
            <v>4.2209958153920799E-2</v>
          </cell>
          <cell r="Q26">
            <v>1.4579732914375492</v>
          </cell>
        </row>
        <row r="27">
          <cell r="P27">
            <v>5.7803687306689305E-2</v>
          </cell>
          <cell r="Q27">
            <v>1.3694324712643677</v>
          </cell>
        </row>
        <row r="28">
          <cell r="P28">
            <v>7.6050700466977983E-2</v>
          </cell>
          <cell r="Q28">
            <v>1.315672131147541</v>
          </cell>
        </row>
        <row r="29">
          <cell r="P29">
            <v>9.7269391715689241E-2</v>
          </cell>
          <cell r="Q29">
            <v>1.2790071770334928</v>
          </cell>
        </row>
        <row r="30">
          <cell r="P30">
            <v>0.1217781551337255</v>
          </cell>
          <cell r="Q30">
            <v>1.2519678902657627</v>
          </cell>
        </row>
        <row r="31">
          <cell r="P31">
            <v>0.14989538480198922</v>
          </cell>
          <cell r="Q31">
            <v>1.2308889442231077</v>
          </cell>
        </row>
        <row r="32">
          <cell r="P32">
            <v>0.18193947480138273</v>
          </cell>
          <cell r="Q32">
            <v>1.2137763617053556</v>
          </cell>
        </row>
        <row r="33">
          <cell r="P33">
            <v>0.21822881921280851</v>
          </cell>
          <cell r="Q33">
            <v>1.1994583333333333</v>
          </cell>
        </row>
      </sheetData>
      <sheetData sheetId="19">
        <row r="2">
          <cell r="A2" t="str">
            <v>武将名</v>
          </cell>
          <cell r="B2" t="str">
            <v>职业</v>
          </cell>
          <cell r="C2" t="str">
            <v>品质</v>
          </cell>
          <cell r="D2" t="str">
            <v>显示颜色</v>
          </cell>
          <cell r="E2" t="str">
            <v>射程</v>
          </cell>
          <cell r="F2" t="str">
            <v>类</v>
          </cell>
          <cell r="G2" t="str">
            <v>具体威力</v>
          </cell>
          <cell r="H2" t="str">
            <v>额外血攻比</v>
          </cell>
          <cell r="I2" t="str">
            <v>血量系数</v>
          </cell>
          <cell r="J2" t="str">
            <v>攻击系数</v>
          </cell>
          <cell r="K2" t="str">
            <v>士兵血量系数</v>
          </cell>
          <cell r="L2" t="str">
            <v>士兵攻击系数</v>
          </cell>
          <cell r="M2" t="str">
            <v>兵种</v>
          </cell>
          <cell r="N2" t="str">
            <v>组合技</v>
          </cell>
          <cell r="O2" t="str">
            <v>升级消耗</v>
          </cell>
          <cell r="P2" t="str">
            <v>升星消耗碎片</v>
          </cell>
          <cell r="Q2" t="str">
            <v>升1星消耗货币</v>
          </cell>
          <cell r="R2" t="str">
            <v>升2星消耗货币</v>
          </cell>
          <cell r="S2" t="str">
            <v>升3星消耗货币</v>
          </cell>
          <cell r="T2" t="str">
            <v>升4星消耗货币</v>
          </cell>
          <cell r="U2" t="str">
            <v>升5星消耗货币</v>
          </cell>
          <cell r="V2" t="str">
            <v>合成需要碎片</v>
          </cell>
          <cell r="W2" t="str">
            <v>武将转化碎片</v>
          </cell>
          <cell r="X2" t="str">
            <v>兵种ID（引用）</v>
          </cell>
          <cell r="Z2" t="str">
            <v>初始血量</v>
          </cell>
          <cell r="AA2" t="str">
            <v>血量成长</v>
          </cell>
          <cell r="AB2" t="str">
            <v>初始攻击</v>
          </cell>
          <cell r="AC2" t="str">
            <v>攻击成长</v>
          </cell>
          <cell r="AD2" t="str">
            <v>武将元宝价值</v>
          </cell>
          <cell r="AE2" t="str">
            <v>碎片元宝价值</v>
          </cell>
        </row>
        <row r="3">
          <cell r="A3" t="str">
            <v>诸葛亮</v>
          </cell>
          <cell r="B3">
            <v>2</v>
          </cell>
          <cell r="C3">
            <v>6</v>
          </cell>
          <cell r="D3">
            <v>3</v>
          </cell>
          <cell r="E3">
            <v>0</v>
          </cell>
          <cell r="F3" t="str">
            <v>文官-杀兵</v>
          </cell>
          <cell r="G3">
            <v>1.03</v>
          </cell>
          <cell r="H3">
            <v>1</v>
          </cell>
          <cell r="I3">
            <v>72.521563342318046</v>
          </cell>
          <cell r="J3">
            <v>139.58625336927224</v>
          </cell>
          <cell r="K3">
            <v>5.5</v>
          </cell>
          <cell r="L3">
            <v>7.5</v>
          </cell>
          <cell r="M3" t="str">
            <v>法兵</v>
          </cell>
          <cell r="N3" t="str">
            <v>12017,12019</v>
          </cell>
          <cell r="O3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3" t="str">
            <v>10,20,40,60,80</v>
          </cell>
          <cell r="Q3" t="str">
            <v>4,330,0,0,0,0</v>
          </cell>
          <cell r="R3" t="str">
            <v>4,480,5,420,0,0</v>
          </cell>
          <cell r="S3" t="str">
            <v>4,660,5,560,6,500</v>
          </cell>
          <cell r="T3" t="str">
            <v>4,840,5,720,6,620</v>
          </cell>
          <cell r="U3" t="str">
            <v>4,990,5,860,6,740</v>
          </cell>
          <cell r="V3">
            <v>30</v>
          </cell>
          <cell r="W3">
            <v>10</v>
          </cell>
          <cell r="X3">
            <v>21512</v>
          </cell>
          <cell r="Z3">
            <v>1221.4285714285711</v>
          </cell>
          <cell r="AA3">
            <v>145.40816326530609</v>
          </cell>
          <cell r="AB3">
            <v>91.207161040764376</v>
          </cell>
          <cell r="AC3">
            <v>10.85799536199576</v>
          </cell>
          <cell r="AD3">
            <v>2318.181818181818</v>
          </cell>
          <cell r="AE3">
            <v>212.5</v>
          </cell>
        </row>
        <row r="4">
          <cell r="A4" t="str">
            <v>小乔</v>
          </cell>
          <cell r="B4">
            <v>2</v>
          </cell>
          <cell r="C4">
            <v>6</v>
          </cell>
          <cell r="D4">
            <v>3</v>
          </cell>
          <cell r="E4">
            <v>0</v>
          </cell>
          <cell r="F4" t="str">
            <v>文官-杀兵</v>
          </cell>
          <cell r="G4">
            <v>1.02</v>
          </cell>
          <cell r="H4">
            <v>1</v>
          </cell>
          <cell r="I4">
            <v>77.0154986522911</v>
          </cell>
          <cell r="J4">
            <v>147.34164420485175</v>
          </cell>
          <cell r="K4">
            <v>4.7250000000000005</v>
          </cell>
          <cell r="L4">
            <v>6.7249999999999988</v>
          </cell>
          <cell r="M4" t="str">
            <v>法兵</v>
          </cell>
          <cell r="N4">
            <v>12011</v>
          </cell>
          <cell r="O4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4" t="str">
            <v>10,20,40,60,80</v>
          </cell>
          <cell r="Q4" t="str">
            <v>4,330,0,0,0,0</v>
          </cell>
          <cell r="R4" t="str">
            <v>4,480,5,420,0,0</v>
          </cell>
          <cell r="S4" t="str">
            <v>4,660,5,560,6,500</v>
          </cell>
          <cell r="T4" t="str">
            <v>4,840,5,720,6,620</v>
          </cell>
          <cell r="U4" t="str">
            <v>4,990,5,860,6,740</v>
          </cell>
          <cell r="V4">
            <v>30</v>
          </cell>
          <cell r="W4">
            <v>10</v>
          </cell>
          <cell r="X4">
            <v>21512</v>
          </cell>
          <cell r="Z4">
            <v>1221.4285714285711</v>
          </cell>
          <cell r="AA4">
            <v>145.40816326530609</v>
          </cell>
          <cell r="AB4">
            <v>91.207161040764376</v>
          </cell>
          <cell r="AC4">
            <v>10.85799536199576</v>
          </cell>
          <cell r="AD4">
            <v>2000</v>
          </cell>
          <cell r="AE4">
            <v>183.33333333333334</v>
          </cell>
        </row>
        <row r="5">
          <cell r="A5" t="str">
            <v>黄月英</v>
          </cell>
          <cell r="B5">
            <v>2</v>
          </cell>
          <cell r="C5">
            <v>6</v>
          </cell>
          <cell r="D5">
            <v>3</v>
          </cell>
          <cell r="E5">
            <v>0</v>
          </cell>
          <cell r="F5" t="str">
            <v>文官-杀兵</v>
          </cell>
          <cell r="G5">
            <v>1.01</v>
          </cell>
          <cell r="H5">
            <v>1</v>
          </cell>
          <cell r="I5">
            <v>79.419811320754718</v>
          </cell>
          <cell r="J5">
            <v>139.06266846361189</v>
          </cell>
          <cell r="K5">
            <v>4.875</v>
          </cell>
          <cell r="L5">
            <v>6.8749999999999991</v>
          </cell>
          <cell r="M5" t="str">
            <v>法兵</v>
          </cell>
          <cell r="N5" t="str">
            <v>12005,12019</v>
          </cell>
          <cell r="O5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5" t="str">
            <v>10,20,40,60,80</v>
          </cell>
          <cell r="Q5" t="str">
            <v>4,330,0,0,0,0</v>
          </cell>
          <cell r="R5" t="str">
            <v>4,480,5,420,0,0</v>
          </cell>
          <cell r="S5" t="str">
            <v>4,660,5,560,6,500</v>
          </cell>
          <cell r="T5" t="str">
            <v>4,840,5,720,6,620</v>
          </cell>
          <cell r="U5" t="str">
            <v>4,990,5,860,6,740</v>
          </cell>
          <cell r="V5">
            <v>30</v>
          </cell>
          <cell r="W5">
            <v>10</v>
          </cell>
          <cell r="X5">
            <v>21512</v>
          </cell>
          <cell r="Z5">
            <v>1221.4285714285711</v>
          </cell>
          <cell r="AA5">
            <v>145.40816326530609</v>
          </cell>
          <cell r="AB5">
            <v>91.207161040764376</v>
          </cell>
          <cell r="AC5">
            <v>10.85799536199576</v>
          </cell>
          <cell r="AD5">
            <v>1545.4545454545455</v>
          </cell>
          <cell r="AE5">
            <v>141.66666666666666</v>
          </cell>
        </row>
        <row r="6">
          <cell r="A6" t="str">
            <v>大乔</v>
          </cell>
          <cell r="B6">
            <v>2</v>
          </cell>
          <cell r="C6">
            <v>6</v>
          </cell>
          <cell r="D6">
            <v>3</v>
          </cell>
          <cell r="E6">
            <v>0</v>
          </cell>
          <cell r="F6" t="str">
            <v>文官-杀兵</v>
          </cell>
          <cell r="G6">
            <v>1</v>
          </cell>
          <cell r="H6">
            <v>1</v>
          </cell>
          <cell r="I6">
            <v>85.920485175202145</v>
          </cell>
          <cell r="J6">
            <v>122.19407008086255</v>
          </cell>
          <cell r="K6">
            <v>5.0250000000000004</v>
          </cell>
          <cell r="L6">
            <v>7.0249999999999986</v>
          </cell>
          <cell r="M6" t="str">
            <v>法兵</v>
          </cell>
          <cell r="N6">
            <v>12011</v>
          </cell>
          <cell r="O6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6" t="str">
            <v>10,20,40,60,80</v>
          </cell>
          <cell r="Q6" t="str">
            <v>4,330,0,0,0,0</v>
          </cell>
          <cell r="R6" t="str">
            <v>4,480,5,420,0,0</v>
          </cell>
          <cell r="S6" t="str">
            <v>4,660,5,560,6,500</v>
          </cell>
          <cell r="T6" t="str">
            <v>4,840,5,720,6,620</v>
          </cell>
          <cell r="U6" t="str">
            <v>4,990,5,860,6,740</v>
          </cell>
          <cell r="V6">
            <v>30</v>
          </cell>
          <cell r="W6">
            <v>10</v>
          </cell>
          <cell r="X6">
            <v>21512</v>
          </cell>
          <cell r="Z6">
            <v>1221.4285714285711</v>
          </cell>
          <cell r="AA6">
            <v>145.40816326530609</v>
          </cell>
          <cell r="AB6">
            <v>91.207161040764376</v>
          </cell>
          <cell r="AC6">
            <v>10.85799536199576</v>
          </cell>
          <cell r="AD6">
            <v>1090.909090909091</v>
          </cell>
          <cell r="AE6">
            <v>100</v>
          </cell>
        </row>
        <row r="7">
          <cell r="A7" t="str">
            <v>郭嘉</v>
          </cell>
          <cell r="B7">
            <v>2</v>
          </cell>
          <cell r="C7">
            <v>5</v>
          </cell>
          <cell r="D7">
            <v>3</v>
          </cell>
          <cell r="E7">
            <v>0</v>
          </cell>
          <cell r="F7" t="str">
            <v>文官-招兵</v>
          </cell>
          <cell r="G7">
            <v>1.07</v>
          </cell>
          <cell r="H7">
            <v>1</v>
          </cell>
          <cell r="I7">
            <v>93.526954177897551</v>
          </cell>
          <cell r="J7">
            <v>104.30053908355795</v>
          </cell>
          <cell r="K7">
            <v>4.75</v>
          </cell>
          <cell r="L7">
            <v>6.7499999999999991</v>
          </cell>
          <cell r="M7" t="str">
            <v>法兵</v>
          </cell>
          <cell r="N7">
            <v>12020</v>
          </cell>
          <cell r="O7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7" t="str">
            <v>10,20,40,60,80</v>
          </cell>
          <cell r="Q7" t="str">
            <v>4,330,0,0,0,0</v>
          </cell>
          <cell r="R7" t="str">
            <v>4,480,5,420,0,0</v>
          </cell>
          <cell r="S7" t="str">
            <v>4,660,5,560,6,500</v>
          </cell>
          <cell r="T7" t="str">
            <v>4,840,5,720,6,620</v>
          </cell>
          <cell r="U7" t="str">
            <v>4,990,5,860,6,740</v>
          </cell>
          <cell r="V7">
            <v>30</v>
          </cell>
          <cell r="W7">
            <v>10</v>
          </cell>
          <cell r="X7">
            <v>21512</v>
          </cell>
          <cell r="Z7">
            <v>1157.1428571428569</v>
          </cell>
          <cell r="AA7">
            <v>137.7551020408163</v>
          </cell>
          <cell r="AB7">
            <v>86.406784143882049</v>
          </cell>
          <cell r="AC7">
            <v>10.286521921890721</v>
          </cell>
          <cell r="AD7">
            <v>630</v>
          </cell>
          <cell r="AE7">
            <v>57.75</v>
          </cell>
        </row>
        <row r="8">
          <cell r="A8" t="str">
            <v>貂蝉</v>
          </cell>
          <cell r="B8">
            <v>2</v>
          </cell>
          <cell r="C8">
            <v>5</v>
          </cell>
          <cell r="D8">
            <v>3</v>
          </cell>
          <cell r="E8">
            <v>0</v>
          </cell>
          <cell r="F8" t="str">
            <v>文官-杀兵</v>
          </cell>
          <cell r="G8">
            <v>1.05</v>
          </cell>
          <cell r="H8">
            <v>1</v>
          </cell>
          <cell r="I8">
            <v>98.80795148247978</v>
          </cell>
          <cell r="J8">
            <v>100.86051212938004</v>
          </cell>
          <cell r="K8">
            <v>4.3499999999999996</v>
          </cell>
          <cell r="L8">
            <v>6.35</v>
          </cell>
          <cell r="M8" t="str">
            <v>法兵</v>
          </cell>
          <cell r="N8" t="str">
            <v>12005,12016</v>
          </cell>
          <cell r="O8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8" t="str">
            <v>10,20,40,60,80</v>
          </cell>
          <cell r="Q8" t="str">
            <v>4,330,0,0,0,0</v>
          </cell>
          <cell r="R8" t="str">
            <v>4,480,5,420,0,0</v>
          </cell>
          <cell r="S8" t="str">
            <v>4,660,5,560,6,500</v>
          </cell>
          <cell r="T8" t="str">
            <v>4,840,5,720,6,620</v>
          </cell>
          <cell r="U8" t="str">
            <v>4,990,5,860,6,740</v>
          </cell>
          <cell r="V8">
            <v>30</v>
          </cell>
          <cell r="W8">
            <v>10</v>
          </cell>
          <cell r="X8">
            <v>21512</v>
          </cell>
          <cell r="Z8">
            <v>1157.1428571428569</v>
          </cell>
          <cell r="AA8">
            <v>137.7551020408163</v>
          </cell>
          <cell r="AB8">
            <v>86.406784143882049</v>
          </cell>
          <cell r="AC8">
            <v>10.286521921890721</v>
          </cell>
          <cell r="AD8">
            <v>350</v>
          </cell>
          <cell r="AE8">
            <v>32.083333333333336</v>
          </cell>
        </row>
        <row r="9">
          <cell r="A9" t="str">
            <v>甄姬</v>
          </cell>
          <cell r="B9">
            <v>2</v>
          </cell>
          <cell r="C9">
            <v>5</v>
          </cell>
          <cell r="D9">
            <v>3</v>
          </cell>
          <cell r="E9">
            <v>0</v>
          </cell>
          <cell r="F9" t="str">
            <v>文官-招兵</v>
          </cell>
          <cell r="G9">
            <v>1.04</v>
          </cell>
          <cell r="H9">
            <v>1</v>
          </cell>
          <cell r="I9">
            <v>102.17520215633422</v>
          </cell>
          <cell r="J9">
            <v>101.41913746630728</v>
          </cell>
          <cell r="K9">
            <v>4.8249999999999993</v>
          </cell>
          <cell r="L9">
            <v>6.8249999999999984</v>
          </cell>
          <cell r="M9" t="str">
            <v>法兵</v>
          </cell>
          <cell r="N9">
            <v>12005</v>
          </cell>
          <cell r="O9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9" t="str">
            <v>10,20,40,60,80</v>
          </cell>
          <cell r="Q9" t="str">
            <v>4,330,0,0,0,0</v>
          </cell>
          <cell r="R9" t="str">
            <v>4,480,5,420,0,0</v>
          </cell>
          <cell r="S9" t="str">
            <v>4,660,5,560,6,500</v>
          </cell>
          <cell r="T9" t="str">
            <v>4,840,5,720,6,620</v>
          </cell>
          <cell r="U9" t="str">
            <v>4,990,5,860,6,740</v>
          </cell>
          <cell r="V9">
            <v>30</v>
          </cell>
          <cell r="W9">
            <v>10</v>
          </cell>
          <cell r="X9">
            <v>21512</v>
          </cell>
          <cell r="Z9">
            <v>1157.1428571428569</v>
          </cell>
          <cell r="AA9">
            <v>137.7551020408163</v>
          </cell>
          <cell r="AB9">
            <v>86.406784143882049</v>
          </cell>
          <cell r="AC9">
            <v>10.286521921890721</v>
          </cell>
          <cell r="AD9">
            <v>250</v>
          </cell>
          <cell r="AE9">
            <v>22.916666666666668</v>
          </cell>
        </row>
        <row r="10">
          <cell r="A10" t="str">
            <v>贾诩</v>
          </cell>
          <cell r="B10">
            <v>2</v>
          </cell>
          <cell r="C10">
            <v>5</v>
          </cell>
          <cell r="D10">
            <v>3</v>
          </cell>
          <cell r="E10">
            <v>0</v>
          </cell>
          <cell r="F10" t="str">
            <v>文官-招兵</v>
          </cell>
          <cell r="G10">
            <v>1.03</v>
          </cell>
          <cell r="H10">
            <v>1</v>
          </cell>
          <cell r="I10">
            <v>92.599730458221003</v>
          </cell>
          <cell r="J10">
            <v>101.18194070080862</v>
          </cell>
          <cell r="K10">
            <v>5.15</v>
          </cell>
          <cell r="L10">
            <v>7.1499999999999995</v>
          </cell>
          <cell r="M10" t="str">
            <v>法兵</v>
          </cell>
          <cell r="N10">
            <v>12036</v>
          </cell>
          <cell r="O10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10" t="str">
            <v>10,20,40,60,80</v>
          </cell>
          <cell r="Q10" t="str">
            <v>4,330,0,0,0,0</v>
          </cell>
          <cell r="R10" t="str">
            <v>4,480,5,420,0,0</v>
          </cell>
          <cell r="S10" t="str">
            <v>4,660,5,560,6,500</v>
          </cell>
          <cell r="T10" t="str">
            <v>4,840,5,720,6,620</v>
          </cell>
          <cell r="U10" t="str">
            <v>4,990,5,860,6,740</v>
          </cell>
          <cell r="V10">
            <v>30</v>
          </cell>
          <cell r="W10">
            <v>10</v>
          </cell>
          <cell r="X10">
            <v>21512</v>
          </cell>
          <cell r="Z10">
            <v>1157.1428571428569</v>
          </cell>
          <cell r="AA10">
            <v>137.7551020408163</v>
          </cell>
          <cell r="AB10">
            <v>86.406784143882049</v>
          </cell>
          <cell r="AC10">
            <v>10.286521921890721</v>
          </cell>
          <cell r="AD10">
            <v>240</v>
          </cell>
          <cell r="AE10">
            <v>22</v>
          </cell>
        </row>
        <row r="11">
          <cell r="A11" t="str">
            <v>张角</v>
          </cell>
          <cell r="B11">
            <v>2</v>
          </cell>
          <cell r="C11">
            <v>5</v>
          </cell>
          <cell r="D11">
            <v>3</v>
          </cell>
          <cell r="E11">
            <v>0</v>
          </cell>
          <cell r="F11" t="str">
            <v>文官-杀兵</v>
          </cell>
          <cell r="G11">
            <v>1.02</v>
          </cell>
          <cell r="H11">
            <v>1</v>
          </cell>
          <cell r="I11">
            <v>91.06738544474392</v>
          </cell>
          <cell r="J11">
            <v>101.18194070080862</v>
          </cell>
          <cell r="K11">
            <v>5.15</v>
          </cell>
          <cell r="L11">
            <v>7.1499999999999995</v>
          </cell>
          <cell r="M11" t="str">
            <v>法兵</v>
          </cell>
          <cell r="N11" t="str">
            <v>12007,12018</v>
          </cell>
          <cell r="O11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11" t="str">
            <v>10,20,40,60,80</v>
          </cell>
          <cell r="Q11" t="str">
            <v>4,330,0,0,0,0</v>
          </cell>
          <cell r="R11" t="str">
            <v>4,480,5,420,0,0</v>
          </cell>
          <cell r="S11" t="str">
            <v>4,660,5,560,6,500</v>
          </cell>
          <cell r="T11" t="str">
            <v>4,840,5,720,6,620</v>
          </cell>
          <cell r="U11" t="str">
            <v>4,990,5,860,6,740</v>
          </cell>
          <cell r="V11">
            <v>30</v>
          </cell>
          <cell r="W11">
            <v>10</v>
          </cell>
          <cell r="X11">
            <v>21512</v>
          </cell>
          <cell r="Z11">
            <v>1157.1428571428569</v>
          </cell>
          <cell r="AA11">
            <v>137.7551020408163</v>
          </cell>
          <cell r="AB11">
            <v>86.406784143882049</v>
          </cell>
          <cell r="AC11">
            <v>10.286521921890721</v>
          </cell>
          <cell r="AD11">
            <v>230</v>
          </cell>
          <cell r="AE11">
            <v>21.083333333333332</v>
          </cell>
        </row>
        <row r="12">
          <cell r="A12" t="str">
            <v>陆逊</v>
          </cell>
          <cell r="B12">
            <v>2</v>
          </cell>
          <cell r="C12">
            <v>5</v>
          </cell>
          <cell r="D12">
            <v>3</v>
          </cell>
          <cell r="E12">
            <v>0</v>
          </cell>
          <cell r="F12" t="str">
            <v>文官-杀兵</v>
          </cell>
          <cell r="G12">
            <v>1.01</v>
          </cell>
          <cell r="H12">
            <v>1</v>
          </cell>
          <cell r="I12">
            <v>94.099730458221003</v>
          </cell>
          <cell r="J12">
            <v>101.18194070080862</v>
          </cell>
          <cell r="K12">
            <v>4.75</v>
          </cell>
          <cell r="L12">
            <v>6.7499999999999991</v>
          </cell>
          <cell r="M12" t="str">
            <v>法兵</v>
          </cell>
          <cell r="N12" t="str">
            <v>12003,12038</v>
          </cell>
          <cell r="O12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12" t="str">
            <v>10,20,40,60,80</v>
          </cell>
          <cell r="Q12" t="str">
            <v>4,330,0,0,0,0</v>
          </cell>
          <cell r="R12" t="str">
            <v>4,480,5,420,0,0</v>
          </cell>
          <cell r="S12" t="str">
            <v>4,660,5,560,6,500</v>
          </cell>
          <cell r="T12" t="str">
            <v>4,840,5,720,6,620</v>
          </cell>
          <cell r="U12" t="str">
            <v>4,990,5,860,6,740</v>
          </cell>
          <cell r="V12">
            <v>30</v>
          </cell>
          <cell r="W12">
            <v>10</v>
          </cell>
          <cell r="X12">
            <v>21512</v>
          </cell>
          <cell r="Z12">
            <v>1157.1428571428569</v>
          </cell>
          <cell r="AA12">
            <v>137.7551020408163</v>
          </cell>
          <cell r="AB12">
            <v>86.406784143882049</v>
          </cell>
          <cell r="AC12">
            <v>10.286521921890721</v>
          </cell>
          <cell r="AD12">
            <v>220</v>
          </cell>
          <cell r="AE12">
            <v>20.166666666666668</v>
          </cell>
        </row>
        <row r="13">
          <cell r="A13" t="str">
            <v>于吉</v>
          </cell>
          <cell r="B13">
            <v>2</v>
          </cell>
          <cell r="C13">
            <v>5</v>
          </cell>
          <cell r="D13">
            <v>3</v>
          </cell>
          <cell r="E13">
            <v>0</v>
          </cell>
          <cell r="F13" t="str">
            <v>文官-杀兵</v>
          </cell>
          <cell r="G13">
            <v>1</v>
          </cell>
          <cell r="H13">
            <v>1</v>
          </cell>
          <cell r="I13">
            <v>102.17520215633421</v>
          </cell>
          <cell r="J13">
            <v>101.18194070080862</v>
          </cell>
          <cell r="K13">
            <v>4.5749999999999993</v>
          </cell>
          <cell r="L13">
            <v>6.5749999999999984</v>
          </cell>
          <cell r="M13" t="str">
            <v>法兵</v>
          </cell>
          <cell r="N13">
            <v>12018</v>
          </cell>
          <cell r="O13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13" t="str">
            <v>10,20,40,60,80</v>
          </cell>
          <cell r="Q13" t="str">
            <v>4,330,0,0,0,0</v>
          </cell>
          <cell r="R13" t="str">
            <v>4,480,5,420,0,0</v>
          </cell>
          <cell r="S13" t="str">
            <v>4,660,5,560,6,500</v>
          </cell>
          <cell r="T13" t="str">
            <v>4,840,5,720,6,620</v>
          </cell>
          <cell r="U13" t="str">
            <v>4,990,5,860,6,740</v>
          </cell>
          <cell r="V13">
            <v>30</v>
          </cell>
          <cell r="W13">
            <v>10</v>
          </cell>
          <cell r="X13">
            <v>21512</v>
          </cell>
          <cell r="Z13">
            <v>1157.1428571428569</v>
          </cell>
          <cell r="AA13">
            <v>137.7551020408163</v>
          </cell>
          <cell r="AB13">
            <v>86.406784143882049</v>
          </cell>
          <cell r="AC13">
            <v>10.286521921890721</v>
          </cell>
          <cell r="AD13">
            <v>210</v>
          </cell>
          <cell r="AE13">
            <v>19.25</v>
          </cell>
        </row>
        <row r="14">
          <cell r="A14" t="str">
            <v>鲁肃</v>
          </cell>
          <cell r="B14">
            <v>2</v>
          </cell>
          <cell r="C14">
            <v>4</v>
          </cell>
          <cell r="D14">
            <v>3</v>
          </cell>
          <cell r="E14">
            <v>0</v>
          </cell>
          <cell r="F14" t="str">
            <v>文官-招兵</v>
          </cell>
          <cell r="G14">
            <v>1</v>
          </cell>
          <cell r="H14">
            <v>1</v>
          </cell>
          <cell r="I14">
            <v>85.712129380053909</v>
          </cell>
          <cell r="J14">
            <v>85.490296495956869</v>
          </cell>
          <cell r="K14">
            <v>4.3249999999999993</v>
          </cell>
          <cell r="L14">
            <v>6.3249999999999993</v>
          </cell>
          <cell r="M14" t="str">
            <v>法兵</v>
          </cell>
          <cell r="N14" t="str">
            <v>12003,12033,12034</v>
          </cell>
          <cell r="O14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14" t="str">
            <v>10,20,40,60,80</v>
          </cell>
          <cell r="Q14" t="str">
            <v>4,330,0,0,0,0</v>
          </cell>
          <cell r="R14" t="str">
            <v>4,480,5,420,0,0</v>
          </cell>
          <cell r="S14" t="str">
            <v>4,660,5,560,6,500</v>
          </cell>
          <cell r="T14" t="str">
            <v>4,840,5,720,6,620</v>
          </cell>
          <cell r="U14" t="str">
            <v>4,990,5,860,6,740</v>
          </cell>
          <cell r="V14">
            <v>30</v>
          </cell>
          <cell r="W14">
            <v>10</v>
          </cell>
          <cell r="X14">
            <v>21512</v>
          </cell>
          <cell r="Z14">
            <v>1092.8571428571424</v>
          </cell>
          <cell r="AA14">
            <v>130.10204081632648</v>
          </cell>
          <cell r="AB14">
            <v>81.606407246999709</v>
          </cell>
          <cell r="AC14">
            <v>9.715048481785681</v>
          </cell>
          <cell r="AD14">
            <v>180</v>
          </cell>
          <cell r="AE14">
            <v>12.5</v>
          </cell>
        </row>
        <row r="15">
          <cell r="A15" t="str">
            <v>吕布</v>
          </cell>
          <cell r="B15">
            <v>0</v>
          </cell>
          <cell r="C15">
            <v>7</v>
          </cell>
          <cell r="D15">
            <v>3</v>
          </cell>
          <cell r="E15">
            <v>1</v>
          </cell>
          <cell r="F15" t="str">
            <v>武官-杀将</v>
          </cell>
          <cell r="G15">
            <v>1.01</v>
          </cell>
          <cell r="H15">
            <v>1</v>
          </cell>
          <cell r="I15">
            <v>223.92048517520212</v>
          </cell>
          <cell r="J15">
            <v>75.153638814016176</v>
          </cell>
          <cell r="K15">
            <v>6.05</v>
          </cell>
          <cell r="L15">
            <v>3.2</v>
          </cell>
          <cell r="M15" t="str">
            <v>枪兵</v>
          </cell>
          <cell r="N15" t="str">
            <v>12015,12016</v>
          </cell>
          <cell r="O15" t="str">
            <v>47,51,57,66,78,94,115,140,171,207,250,299,356,421,493,575,665,765,876,997,1129,1273,1429,1598,1779,1975,2184,2408,2647,2901,3171,3458,3762,4083,4423,4780,5157,5553,5969,6405,6862,7340,7841,8363,8909,9478,10070,10687,11328,11995,12688,13406,14152,14924,15724,16553,17410,18296,19212,20157,21134,22141,23180,24252,25355,26492,27662,28866,30105,31378,32687,34032,35414,36832,38288,39781,41313,42884,44494,46144</v>
          </cell>
          <cell r="P15" t="str">
            <v>10,20,40,60,80</v>
          </cell>
          <cell r="Q15" t="str">
            <v>4,330,0,0,0,0</v>
          </cell>
          <cell r="R15" t="str">
            <v>4,480,5,420,0,0</v>
          </cell>
          <cell r="S15" t="str">
            <v>4,660,5,560,6,500</v>
          </cell>
          <cell r="T15" t="str">
            <v>4,840,5,720,6,620</v>
          </cell>
          <cell r="U15" t="str">
            <v>4,990,5,860,6,740</v>
          </cell>
          <cell r="V15">
            <v>30</v>
          </cell>
          <cell r="W15">
            <v>10</v>
          </cell>
          <cell r="X15">
            <v>21506</v>
          </cell>
          <cell r="Z15">
            <v>2571.4285714285706</v>
          </cell>
          <cell r="AA15">
            <v>306.12244897959175</v>
          </cell>
          <cell r="AB15">
            <v>73.851952259728236</v>
          </cell>
          <cell r="AC15">
            <v>8.7918990785390765</v>
          </cell>
          <cell r="AD15">
            <v>4545.454545454545</v>
          </cell>
          <cell r="AE15">
            <v>416.66666666666669</v>
          </cell>
        </row>
        <row r="16">
          <cell r="A16" t="str">
            <v>关羽</v>
          </cell>
          <cell r="B16">
            <v>0</v>
          </cell>
          <cell r="C16">
            <v>7</v>
          </cell>
          <cell r="D16">
            <v>3</v>
          </cell>
          <cell r="E16">
            <v>0</v>
          </cell>
          <cell r="F16" t="str">
            <v>武官-杀将</v>
          </cell>
          <cell r="G16">
            <v>1</v>
          </cell>
          <cell r="H16">
            <v>1</v>
          </cell>
          <cell r="I16">
            <v>213.57574123989221</v>
          </cell>
          <cell r="J16">
            <v>74.353638814016165</v>
          </cell>
          <cell r="K16">
            <v>6.5</v>
          </cell>
          <cell r="L16">
            <v>3.6500000000000004</v>
          </cell>
          <cell r="M16" t="str">
            <v>弓兵</v>
          </cell>
          <cell r="N16" t="str">
            <v>12001,12006</v>
          </cell>
          <cell r="O16" t="str">
            <v>47,51,57,66,78,94,115,140,171,207,250,299,356,421,493,575,665,765,876,997,1129,1273,1429,1598,1779,1975,2184,2408,2647,2901,3171,3458,3762,4083,4423,4780,5157,5553,5969,6405,6862,7340,7841,8363,8909,9478,10070,10687,11328,11995,12688,13406,14152,14924,15724,16553,17410,18296,19212,20157,21134,22141,23180,24252,25355,26492,27662,28866,30105,31378,32687,34032,35414,36832,38288,39781,41313,42884,44494,46144</v>
          </cell>
          <cell r="P16" t="str">
            <v>10,20,40,60,80</v>
          </cell>
          <cell r="Q16" t="str">
            <v>4,330,0,0,0,0</v>
          </cell>
          <cell r="R16" t="str">
            <v>4,480,5,420,0,0</v>
          </cell>
          <cell r="S16" t="str">
            <v>4,660,5,560,6,500</v>
          </cell>
          <cell r="T16" t="str">
            <v>4,840,5,720,6,620</v>
          </cell>
          <cell r="U16" t="str">
            <v>4,990,5,860,6,740</v>
          </cell>
          <cell r="V16">
            <v>30</v>
          </cell>
          <cell r="W16">
            <v>10</v>
          </cell>
          <cell r="X16">
            <v>21509</v>
          </cell>
          <cell r="Z16">
            <v>2571.4285714285706</v>
          </cell>
          <cell r="AA16">
            <v>306.12244897959175</v>
          </cell>
          <cell r="AB16">
            <v>73.851952259728236</v>
          </cell>
          <cell r="AC16">
            <v>8.7918990785390765</v>
          </cell>
          <cell r="AD16">
            <v>3636.3636363636365</v>
          </cell>
          <cell r="AE16">
            <v>333.33333333333331</v>
          </cell>
        </row>
        <row r="17">
          <cell r="A17" t="str">
            <v>马超</v>
          </cell>
          <cell r="B17">
            <v>0</v>
          </cell>
          <cell r="C17">
            <v>6</v>
          </cell>
          <cell r="D17">
            <v>3</v>
          </cell>
          <cell r="E17">
            <v>1</v>
          </cell>
          <cell r="F17" t="str">
            <v>武官-杀将</v>
          </cell>
          <cell r="G17">
            <v>1.05</v>
          </cell>
          <cell r="H17">
            <v>1</v>
          </cell>
          <cell r="I17">
            <v>198.21590296495961</v>
          </cell>
          <cell r="J17">
            <v>72.439892183288407</v>
          </cell>
          <cell r="K17">
            <v>5.3749999999999991</v>
          </cell>
          <cell r="L17">
            <v>2.7249999999999996</v>
          </cell>
          <cell r="M17" t="str">
            <v>枪兵</v>
          </cell>
          <cell r="N17">
            <v>12001</v>
          </cell>
          <cell r="O17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17" t="str">
            <v>10,20,40,60,80</v>
          </cell>
          <cell r="Q17" t="str">
            <v>4,330,0,0,0,0</v>
          </cell>
          <cell r="R17" t="str">
            <v>4,480,5,420,0,0</v>
          </cell>
          <cell r="S17" t="str">
            <v>4,660,5,560,6,500</v>
          </cell>
          <cell r="T17" t="str">
            <v>4,840,5,720,6,620</v>
          </cell>
          <cell r="U17" t="str">
            <v>4,990,5,860,6,740</v>
          </cell>
          <cell r="V17">
            <v>30</v>
          </cell>
          <cell r="W17">
            <v>10</v>
          </cell>
          <cell r="X17">
            <v>21506</v>
          </cell>
          <cell r="Z17">
            <v>2442.8571428571422</v>
          </cell>
          <cell r="AA17">
            <v>290.81632653061217</v>
          </cell>
          <cell r="AB17">
            <v>70.159354646741818</v>
          </cell>
          <cell r="AC17">
            <v>8.3523041246121217</v>
          </cell>
          <cell r="AD17">
            <v>2954.5454545454545</v>
          </cell>
          <cell r="AE17">
            <v>270.83333333333331</v>
          </cell>
        </row>
        <row r="18">
          <cell r="A18" t="str">
            <v>典韦</v>
          </cell>
          <cell r="B18">
            <v>0</v>
          </cell>
          <cell r="C18">
            <v>6</v>
          </cell>
          <cell r="D18">
            <v>3</v>
          </cell>
          <cell r="E18">
            <v>1</v>
          </cell>
          <cell r="F18" t="str">
            <v>武官-杀将</v>
          </cell>
          <cell r="G18">
            <v>1.04</v>
          </cell>
          <cell r="H18">
            <v>1</v>
          </cell>
          <cell r="I18">
            <v>196.83288409703508</v>
          </cell>
          <cell r="J18">
            <v>70.79245283018868</v>
          </cell>
          <cell r="K18">
            <v>5.5749999999999993</v>
          </cell>
          <cell r="L18">
            <v>2.9249999999999998</v>
          </cell>
          <cell r="M18" t="str">
            <v>枪兵</v>
          </cell>
          <cell r="N18">
            <v>12009</v>
          </cell>
          <cell r="O18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18" t="str">
            <v>10,20,40,60,80</v>
          </cell>
          <cell r="Q18" t="str">
            <v>4,330,0,0,0,0</v>
          </cell>
          <cell r="R18" t="str">
            <v>4,480,5,420,0,0</v>
          </cell>
          <cell r="S18" t="str">
            <v>4,660,5,560,6,500</v>
          </cell>
          <cell r="T18" t="str">
            <v>4,840,5,720,6,620</v>
          </cell>
          <cell r="U18" t="str">
            <v>4,990,5,860,6,740</v>
          </cell>
          <cell r="V18">
            <v>30</v>
          </cell>
          <cell r="W18">
            <v>10</v>
          </cell>
          <cell r="X18">
            <v>21506</v>
          </cell>
          <cell r="Z18">
            <v>2442.8571428571422</v>
          </cell>
          <cell r="AA18">
            <v>290.81632653061217</v>
          </cell>
          <cell r="AB18">
            <v>70.159354646741818</v>
          </cell>
          <cell r="AC18">
            <v>8.3523041246121217</v>
          </cell>
          <cell r="AD18">
            <v>2636.3636363636365</v>
          </cell>
          <cell r="AE18">
            <v>241.66666666666666</v>
          </cell>
        </row>
        <row r="19">
          <cell r="A19" t="str">
            <v>张飞</v>
          </cell>
          <cell r="B19">
            <v>0</v>
          </cell>
          <cell r="C19">
            <v>6</v>
          </cell>
          <cell r="D19">
            <v>3</v>
          </cell>
          <cell r="E19">
            <v>1</v>
          </cell>
          <cell r="F19" t="str">
            <v>武官-杀将</v>
          </cell>
          <cell r="G19">
            <v>1.04</v>
          </cell>
          <cell r="H19">
            <v>1.05</v>
          </cell>
          <cell r="I19">
            <v>235.62021563342321</v>
          </cell>
          <cell r="J19">
            <v>64.159568733153648</v>
          </cell>
          <cell r="K19">
            <v>4.625</v>
          </cell>
          <cell r="L19">
            <v>2.4249999999999998</v>
          </cell>
          <cell r="M19" t="str">
            <v>步兵</v>
          </cell>
          <cell r="N19" t="str">
            <v>12001,12006</v>
          </cell>
          <cell r="O19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19" t="str">
            <v>10,20,40,60,80</v>
          </cell>
          <cell r="Q19" t="str">
            <v>4,330,0,0,0,0</v>
          </cell>
          <cell r="R19" t="str">
            <v>4,480,5,420,0,0</v>
          </cell>
          <cell r="S19" t="str">
            <v>4,660,5,560,6,500</v>
          </cell>
          <cell r="T19" t="str">
            <v>4,840,5,720,6,620</v>
          </cell>
          <cell r="U19" t="str">
            <v>4,990,5,860,6,740</v>
          </cell>
          <cell r="V19">
            <v>30</v>
          </cell>
          <cell r="W19">
            <v>10</v>
          </cell>
          <cell r="X19">
            <v>21503</v>
          </cell>
          <cell r="Z19">
            <v>2564.9999999999995</v>
          </cell>
          <cell r="AA19">
            <v>305.35714285714283</v>
          </cell>
          <cell r="AB19">
            <v>66.818432996896973</v>
          </cell>
          <cell r="AC19">
            <v>7.9545753567734501</v>
          </cell>
          <cell r="AD19">
            <v>2636.3636363636365</v>
          </cell>
          <cell r="AE19">
            <v>241.66666666666666</v>
          </cell>
        </row>
        <row r="20">
          <cell r="A20" t="str">
            <v>曹操</v>
          </cell>
          <cell r="B20">
            <v>0</v>
          </cell>
          <cell r="C20">
            <v>6</v>
          </cell>
          <cell r="D20">
            <v>3</v>
          </cell>
          <cell r="E20">
            <v>1</v>
          </cell>
          <cell r="F20" t="str">
            <v>武官-砍将</v>
          </cell>
          <cell r="G20">
            <v>1.03</v>
          </cell>
          <cell r="H20">
            <v>1</v>
          </cell>
          <cell r="I20">
            <v>198.84150943396227</v>
          </cell>
          <cell r="J20">
            <v>68.869002695417791</v>
          </cell>
          <cell r="K20">
            <v>6.1249999999999991</v>
          </cell>
          <cell r="L20">
            <v>3.4749999999999996</v>
          </cell>
          <cell r="M20" t="str">
            <v>枪兵</v>
          </cell>
          <cell r="N20" t="str">
            <v>12004,12020</v>
          </cell>
          <cell r="O20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0" t="str">
            <v>10,20,40,60,80</v>
          </cell>
          <cell r="Q20" t="str">
            <v>4,330,0,0,0,0</v>
          </cell>
          <cell r="R20" t="str">
            <v>4,480,5,420,0,0</v>
          </cell>
          <cell r="S20" t="str">
            <v>4,660,5,560,6,500</v>
          </cell>
          <cell r="T20" t="str">
            <v>4,840,5,720,6,620</v>
          </cell>
          <cell r="U20" t="str">
            <v>4,990,5,860,6,740</v>
          </cell>
          <cell r="V20">
            <v>30</v>
          </cell>
          <cell r="W20">
            <v>10</v>
          </cell>
          <cell r="X20">
            <v>21506</v>
          </cell>
          <cell r="Z20">
            <v>2442.8571428571422</v>
          </cell>
          <cell r="AA20">
            <v>290.81632653061217</v>
          </cell>
          <cell r="AB20">
            <v>70.159354646741818</v>
          </cell>
          <cell r="AC20">
            <v>8.3523041246121217</v>
          </cell>
          <cell r="AD20">
            <v>2318.181818181818</v>
          </cell>
          <cell r="AE20">
            <v>212.5</v>
          </cell>
        </row>
        <row r="21">
          <cell r="A21" t="str">
            <v>刘备</v>
          </cell>
          <cell r="B21">
            <v>0</v>
          </cell>
          <cell r="C21">
            <v>6</v>
          </cell>
          <cell r="D21">
            <v>3</v>
          </cell>
          <cell r="E21">
            <v>1</v>
          </cell>
          <cell r="F21" t="str">
            <v>武官-砍将</v>
          </cell>
          <cell r="G21">
            <v>1.03</v>
          </cell>
          <cell r="H21">
            <v>1.05</v>
          </cell>
          <cell r="I21">
            <v>230.97331536388145</v>
          </cell>
          <cell r="J21">
            <v>40.763342318059301</v>
          </cell>
          <cell r="K21">
            <v>5.375</v>
          </cell>
          <cell r="L21">
            <v>3.1749999999999998</v>
          </cell>
          <cell r="M21" t="str">
            <v>步兵</v>
          </cell>
          <cell r="N21" t="str">
            <v>12004,12006</v>
          </cell>
          <cell r="O21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1" t="str">
            <v>10,20,40,60,80</v>
          </cell>
          <cell r="Q21" t="str">
            <v>4,330,0,0,0,0</v>
          </cell>
          <cell r="R21" t="str">
            <v>4,480,5,420,0,0</v>
          </cell>
          <cell r="S21" t="str">
            <v>4,660,5,560,6,500</v>
          </cell>
          <cell r="T21" t="str">
            <v>4,840,5,720,6,620</v>
          </cell>
          <cell r="U21" t="str">
            <v>4,990,5,860,6,740</v>
          </cell>
          <cell r="V21">
            <v>30</v>
          </cell>
          <cell r="W21">
            <v>10</v>
          </cell>
          <cell r="X21">
            <v>21503</v>
          </cell>
          <cell r="Z21">
            <v>2564.9999999999995</v>
          </cell>
          <cell r="AA21">
            <v>305.35714285714283</v>
          </cell>
          <cell r="AB21">
            <v>66.818432996896973</v>
          </cell>
          <cell r="AC21">
            <v>7.9545753567734501</v>
          </cell>
          <cell r="AD21">
            <v>2318.181818181818</v>
          </cell>
          <cell r="AE21">
            <v>212.5</v>
          </cell>
        </row>
        <row r="22">
          <cell r="A22" t="str">
            <v>孙权</v>
          </cell>
          <cell r="B22">
            <v>0</v>
          </cell>
          <cell r="C22">
            <v>6</v>
          </cell>
          <cell r="D22">
            <v>3</v>
          </cell>
          <cell r="E22">
            <v>1</v>
          </cell>
          <cell r="F22" t="str">
            <v>武官-砍将</v>
          </cell>
          <cell r="G22">
            <v>1.02</v>
          </cell>
          <cell r="H22">
            <v>1</v>
          </cell>
          <cell r="I22">
            <v>190.49919137466304</v>
          </cell>
          <cell r="J22">
            <v>81.464690026954173</v>
          </cell>
          <cell r="K22">
            <v>5.6249999999999991</v>
          </cell>
          <cell r="L22">
            <v>3.4249999999999998</v>
          </cell>
          <cell r="M22" t="str">
            <v>枪兵</v>
          </cell>
          <cell r="N22" t="str">
            <v>12004,12010</v>
          </cell>
          <cell r="O22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2" t="str">
            <v>10,20,40,60,80</v>
          </cell>
          <cell r="Q22" t="str">
            <v>4,330,0,0,0,0</v>
          </cell>
          <cell r="R22" t="str">
            <v>4,480,5,420,0,0</v>
          </cell>
          <cell r="S22" t="str">
            <v>4,660,5,560,6,500</v>
          </cell>
          <cell r="T22" t="str">
            <v>4,840,5,720,6,620</v>
          </cell>
          <cell r="U22" t="str">
            <v>4,990,5,860,6,740</v>
          </cell>
          <cell r="V22">
            <v>30</v>
          </cell>
          <cell r="W22">
            <v>10</v>
          </cell>
          <cell r="X22">
            <v>21506</v>
          </cell>
          <cell r="Z22">
            <v>2442.8571428571422</v>
          </cell>
          <cell r="AA22">
            <v>290.81632653061217</v>
          </cell>
          <cell r="AB22">
            <v>70.159354646741818</v>
          </cell>
          <cell r="AC22">
            <v>8.3523041246121217</v>
          </cell>
          <cell r="AD22">
            <v>2000</v>
          </cell>
          <cell r="AE22">
            <v>183.33333333333334</v>
          </cell>
        </row>
        <row r="23">
          <cell r="A23" t="str">
            <v>吕绮玲</v>
          </cell>
          <cell r="B23">
            <v>0</v>
          </cell>
          <cell r="C23">
            <v>6</v>
          </cell>
          <cell r="D23">
            <v>3</v>
          </cell>
          <cell r="E23">
            <v>1</v>
          </cell>
          <cell r="F23" t="str">
            <v>武官-杀将</v>
          </cell>
          <cell r="G23">
            <v>1.01</v>
          </cell>
          <cell r="H23">
            <v>1</v>
          </cell>
          <cell r="I23">
            <v>186.7509433962264</v>
          </cell>
          <cell r="J23">
            <v>78.245822102425876</v>
          </cell>
          <cell r="K23">
            <v>5.4249999999999998</v>
          </cell>
          <cell r="L23">
            <v>3.2250000000000005</v>
          </cell>
          <cell r="M23" t="str">
            <v>枪兵</v>
          </cell>
          <cell r="N23" t="str">
            <v>12005,12015</v>
          </cell>
          <cell r="O23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3" t="str">
            <v>10,20,40,60,80</v>
          </cell>
          <cell r="Q23" t="str">
            <v>4,330,0,0,0,0</v>
          </cell>
          <cell r="R23" t="str">
            <v>4,480,5,420,0,0</v>
          </cell>
          <cell r="S23" t="str">
            <v>4,660,5,560,6,500</v>
          </cell>
          <cell r="T23" t="str">
            <v>4,840,5,720,6,620</v>
          </cell>
          <cell r="U23" t="str">
            <v>4,990,5,860,6,740</v>
          </cell>
          <cell r="V23">
            <v>30</v>
          </cell>
          <cell r="W23">
            <v>10</v>
          </cell>
          <cell r="X23">
            <v>21506</v>
          </cell>
          <cell r="Z23">
            <v>2442.8571428571422</v>
          </cell>
          <cell r="AA23">
            <v>290.81632653061217</v>
          </cell>
          <cell r="AB23">
            <v>70.159354646741818</v>
          </cell>
          <cell r="AC23">
            <v>8.3523041246121217</v>
          </cell>
          <cell r="AD23">
            <v>1545.4545454545455</v>
          </cell>
          <cell r="AE23">
            <v>141.66666666666666</v>
          </cell>
        </row>
        <row r="24">
          <cell r="A24" t="str">
            <v>太史慈</v>
          </cell>
          <cell r="B24">
            <v>0</v>
          </cell>
          <cell r="C24">
            <v>6</v>
          </cell>
          <cell r="D24">
            <v>3</v>
          </cell>
          <cell r="E24">
            <v>1</v>
          </cell>
          <cell r="F24" t="str">
            <v>武官-杀将</v>
          </cell>
          <cell r="G24">
            <v>1</v>
          </cell>
          <cell r="H24">
            <v>1</v>
          </cell>
          <cell r="I24">
            <v>198.82884097035046</v>
          </cell>
          <cell r="J24">
            <v>73.665768194070083</v>
          </cell>
          <cell r="K24">
            <v>5.3749999999999991</v>
          </cell>
          <cell r="L24">
            <v>2.7249999999999996</v>
          </cell>
          <cell r="M24" t="str">
            <v>枪兵</v>
          </cell>
          <cell r="N24" t="str">
            <v>12003,12008</v>
          </cell>
          <cell r="O24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24" t="str">
            <v>10,20,40,60,80</v>
          </cell>
          <cell r="Q24" t="str">
            <v>4,330,0,0,0,0</v>
          </cell>
          <cell r="R24" t="str">
            <v>4,480,5,420,0,0</v>
          </cell>
          <cell r="S24" t="str">
            <v>4,660,5,560,6,500</v>
          </cell>
          <cell r="T24" t="str">
            <v>4,840,5,720,6,620</v>
          </cell>
          <cell r="U24" t="str">
            <v>4,990,5,860,6,740</v>
          </cell>
          <cell r="V24">
            <v>30</v>
          </cell>
          <cell r="W24">
            <v>10</v>
          </cell>
          <cell r="X24">
            <v>21506</v>
          </cell>
          <cell r="Z24">
            <v>2442.8571428571422</v>
          </cell>
          <cell r="AA24">
            <v>290.81632653061217</v>
          </cell>
          <cell r="AB24">
            <v>70.159354646741818</v>
          </cell>
          <cell r="AC24">
            <v>8.3523041246121217</v>
          </cell>
          <cell r="AD24">
            <v>1090.909090909091</v>
          </cell>
          <cell r="AE24">
            <v>100</v>
          </cell>
        </row>
        <row r="25">
          <cell r="A25" t="str">
            <v>周瑜</v>
          </cell>
          <cell r="B25">
            <v>0</v>
          </cell>
          <cell r="C25">
            <v>5</v>
          </cell>
          <cell r="D25">
            <v>3</v>
          </cell>
          <cell r="E25">
            <v>0</v>
          </cell>
          <cell r="F25" t="str">
            <v>武官-杀将</v>
          </cell>
          <cell r="G25">
            <v>1.06</v>
          </cell>
          <cell r="H25">
            <v>1</v>
          </cell>
          <cell r="I25">
            <v>150.29703504043124</v>
          </cell>
          <cell r="J25">
            <v>69.21940700808625</v>
          </cell>
          <cell r="K25">
            <v>5.8249999999999993</v>
          </cell>
          <cell r="L25">
            <v>3.2750000000000004</v>
          </cell>
          <cell r="M25" t="str">
            <v>步兵</v>
          </cell>
          <cell r="N25" t="str">
            <v>12003,12012</v>
          </cell>
          <cell r="O25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5" t="str">
            <v>10,20,40,60,80</v>
          </cell>
          <cell r="Q25" t="str">
            <v>4,330,0,0,0,0</v>
          </cell>
          <cell r="R25" t="str">
            <v>4,480,5,420,0,0</v>
          </cell>
          <cell r="S25" t="str">
            <v>4,660,5,560,6,500</v>
          </cell>
          <cell r="T25" t="str">
            <v>4,840,5,720,6,620</v>
          </cell>
          <cell r="U25" t="str">
            <v>4,990,5,860,6,740</v>
          </cell>
          <cell r="V25">
            <v>30</v>
          </cell>
          <cell r="W25">
            <v>10</v>
          </cell>
          <cell r="X25">
            <v>21503</v>
          </cell>
          <cell r="Z25">
            <v>2314.2857142857138</v>
          </cell>
          <cell r="AA25">
            <v>275.51020408163259</v>
          </cell>
          <cell r="AB25">
            <v>66.466757033755414</v>
          </cell>
          <cell r="AC25">
            <v>7.9127091706851687</v>
          </cell>
          <cell r="AD25">
            <v>450</v>
          </cell>
          <cell r="AE25">
            <v>41.25</v>
          </cell>
        </row>
        <row r="26">
          <cell r="A26" t="str">
            <v>张辽</v>
          </cell>
          <cell r="B26">
            <v>0</v>
          </cell>
          <cell r="C26">
            <v>5</v>
          </cell>
          <cell r="D26">
            <v>3</v>
          </cell>
          <cell r="E26">
            <v>1</v>
          </cell>
          <cell r="F26" t="str">
            <v>武官-杀将</v>
          </cell>
          <cell r="G26">
            <v>1.03</v>
          </cell>
          <cell r="H26">
            <v>1</v>
          </cell>
          <cell r="I26">
            <v>164.42884097035042</v>
          </cell>
          <cell r="J26">
            <v>64.181132075471695</v>
          </cell>
          <cell r="K26">
            <v>5.5249999999999995</v>
          </cell>
          <cell r="L26">
            <v>2.9750000000000005</v>
          </cell>
          <cell r="M26" t="str">
            <v>枪兵</v>
          </cell>
          <cell r="N26" t="str">
            <v>12002,12037</v>
          </cell>
          <cell r="O26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6" t="str">
            <v>10,20,40,60,80</v>
          </cell>
          <cell r="Q26" t="str">
            <v>4,330,0,0,0,0</v>
          </cell>
          <cell r="R26" t="str">
            <v>4,480,5,420,0,0</v>
          </cell>
          <cell r="S26" t="str">
            <v>4,660,5,560,6,500</v>
          </cell>
          <cell r="T26" t="str">
            <v>4,840,5,720,6,620</v>
          </cell>
          <cell r="U26" t="str">
            <v>4,990,5,860,6,740</v>
          </cell>
          <cell r="V26">
            <v>30</v>
          </cell>
          <cell r="W26">
            <v>10</v>
          </cell>
          <cell r="X26">
            <v>21506</v>
          </cell>
          <cell r="Z26">
            <v>2314.2857142857138</v>
          </cell>
          <cell r="AA26">
            <v>275.51020408163259</v>
          </cell>
          <cell r="AB26">
            <v>66.466757033755414</v>
          </cell>
          <cell r="AC26">
            <v>7.9127091706851687</v>
          </cell>
          <cell r="AD26">
            <v>240</v>
          </cell>
          <cell r="AE26">
            <v>22</v>
          </cell>
        </row>
        <row r="27">
          <cell r="A27" t="str">
            <v>夏侯惇</v>
          </cell>
          <cell r="B27">
            <v>0</v>
          </cell>
          <cell r="C27">
            <v>5</v>
          </cell>
          <cell r="D27">
            <v>3</v>
          </cell>
          <cell r="E27">
            <v>1</v>
          </cell>
          <cell r="F27" t="str">
            <v>武官-杀将</v>
          </cell>
          <cell r="G27">
            <v>1.03</v>
          </cell>
          <cell r="H27">
            <v>1.05</v>
          </cell>
          <cell r="I27">
            <v>220.0080862533693</v>
          </cell>
          <cell r="J27">
            <v>48.520215633423184</v>
          </cell>
          <cell r="K27">
            <v>4.7</v>
          </cell>
          <cell r="L27">
            <v>2.1500000000000004</v>
          </cell>
          <cell r="M27" t="str">
            <v>步兵</v>
          </cell>
          <cell r="N27">
            <v>12014</v>
          </cell>
          <cell r="O27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7" t="str">
            <v>10,20,40,60,80</v>
          </cell>
          <cell r="Q27" t="str">
            <v>4,330,0,0,0,0</v>
          </cell>
          <cell r="R27" t="str">
            <v>4,480,5,420,0,0</v>
          </cell>
          <cell r="S27" t="str">
            <v>4,660,5,560,6,500</v>
          </cell>
          <cell r="T27" t="str">
            <v>4,840,5,720,6,620</v>
          </cell>
          <cell r="U27" t="str">
            <v>4,990,5,860,6,740</v>
          </cell>
          <cell r="V27">
            <v>30</v>
          </cell>
          <cell r="W27">
            <v>10</v>
          </cell>
          <cell r="X27">
            <v>21503</v>
          </cell>
          <cell r="Z27">
            <v>2429.9999999999995</v>
          </cell>
          <cell r="AA27">
            <v>289.28571428571428</v>
          </cell>
          <cell r="AB27">
            <v>63.301673365481342</v>
          </cell>
          <cell r="AC27">
            <v>7.5359134958906369</v>
          </cell>
          <cell r="AD27">
            <v>240</v>
          </cell>
          <cell r="AE27">
            <v>22</v>
          </cell>
        </row>
        <row r="28">
          <cell r="A28" t="str">
            <v>姜维</v>
          </cell>
          <cell r="B28">
            <v>0</v>
          </cell>
          <cell r="C28">
            <v>5</v>
          </cell>
          <cell r="D28">
            <v>3</v>
          </cell>
          <cell r="E28">
            <v>1</v>
          </cell>
          <cell r="F28" t="str">
            <v>武官-杀将</v>
          </cell>
          <cell r="G28">
            <v>1.02</v>
          </cell>
          <cell r="H28">
            <v>1</v>
          </cell>
          <cell r="I28">
            <v>148.27789757412398</v>
          </cell>
          <cell r="J28">
            <v>76.776819407008077</v>
          </cell>
          <cell r="K28">
            <v>5.5249999999999995</v>
          </cell>
          <cell r="L28">
            <v>2.9750000000000005</v>
          </cell>
          <cell r="M28" t="str">
            <v>枪兵</v>
          </cell>
          <cell r="N28" t="str">
            <v>12017,12038</v>
          </cell>
          <cell r="O28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8" t="str">
            <v>10,20,40,60,80</v>
          </cell>
          <cell r="Q28" t="str">
            <v>4,330,0,0,0,0</v>
          </cell>
          <cell r="R28" t="str">
            <v>4,480,5,420,0,0</v>
          </cell>
          <cell r="S28" t="str">
            <v>4,660,5,560,6,500</v>
          </cell>
          <cell r="T28" t="str">
            <v>4,840,5,720,6,620</v>
          </cell>
          <cell r="U28" t="str">
            <v>4,990,5,860,6,740</v>
          </cell>
          <cell r="V28">
            <v>30</v>
          </cell>
          <cell r="W28">
            <v>10</v>
          </cell>
          <cell r="X28">
            <v>21506</v>
          </cell>
          <cell r="Z28">
            <v>2314.2857142857138</v>
          </cell>
          <cell r="AA28">
            <v>275.51020408163259</v>
          </cell>
          <cell r="AB28">
            <v>66.466757033755414</v>
          </cell>
          <cell r="AC28">
            <v>7.9127091706851687</v>
          </cell>
          <cell r="AD28">
            <v>230</v>
          </cell>
          <cell r="AE28">
            <v>21.083333333333332</v>
          </cell>
        </row>
        <row r="29">
          <cell r="A29" t="str">
            <v>孙坚</v>
          </cell>
          <cell r="B29">
            <v>0</v>
          </cell>
          <cell r="C29">
            <v>5</v>
          </cell>
          <cell r="D29">
            <v>3</v>
          </cell>
          <cell r="E29">
            <v>1</v>
          </cell>
          <cell r="F29" t="str">
            <v>武官-杀将</v>
          </cell>
          <cell r="G29">
            <v>1.02</v>
          </cell>
          <cell r="H29">
            <v>1.05</v>
          </cell>
          <cell r="I29">
            <v>210.91051212938004</v>
          </cell>
          <cell r="J29">
            <v>50.443665768194073</v>
          </cell>
          <cell r="K29">
            <v>4.8499999999999996</v>
          </cell>
          <cell r="L29">
            <v>2.2999999999999998</v>
          </cell>
          <cell r="M29" t="str">
            <v>步兵</v>
          </cell>
          <cell r="N29">
            <v>12010</v>
          </cell>
          <cell r="O29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29" t="str">
            <v>10,20,40,60,80</v>
          </cell>
          <cell r="Q29" t="str">
            <v>4,330,0,0,0,0</v>
          </cell>
          <cell r="R29" t="str">
            <v>4,480,5,420,0,0</v>
          </cell>
          <cell r="S29" t="str">
            <v>4,660,5,560,6,500</v>
          </cell>
          <cell r="T29" t="str">
            <v>4,840,5,720,6,620</v>
          </cell>
          <cell r="U29" t="str">
            <v>4,990,5,860,6,740</v>
          </cell>
          <cell r="V29">
            <v>30</v>
          </cell>
          <cell r="W29">
            <v>10</v>
          </cell>
          <cell r="X29">
            <v>21503</v>
          </cell>
          <cell r="Z29">
            <v>2429.9999999999995</v>
          </cell>
          <cell r="AA29">
            <v>289.28571428571428</v>
          </cell>
          <cell r="AB29">
            <v>63.301673365481342</v>
          </cell>
          <cell r="AC29">
            <v>7.5359134958906369</v>
          </cell>
          <cell r="AD29">
            <v>230</v>
          </cell>
          <cell r="AE29">
            <v>21.083333333333332</v>
          </cell>
        </row>
        <row r="30">
          <cell r="A30" t="str">
            <v>孙策</v>
          </cell>
          <cell r="B30">
            <v>0</v>
          </cell>
          <cell r="C30">
            <v>5</v>
          </cell>
          <cell r="D30">
            <v>3</v>
          </cell>
          <cell r="E30">
            <v>1</v>
          </cell>
          <cell r="F30" t="str">
            <v>武官-砍将</v>
          </cell>
          <cell r="G30">
            <v>1.01</v>
          </cell>
          <cell r="H30">
            <v>1</v>
          </cell>
          <cell r="I30">
            <v>150.29703504043124</v>
          </cell>
          <cell r="J30">
            <v>69.21940700808625</v>
          </cell>
          <cell r="K30">
            <v>5.8249999999999993</v>
          </cell>
          <cell r="L30">
            <v>3.2750000000000004</v>
          </cell>
          <cell r="M30" t="str">
            <v>枪兵</v>
          </cell>
          <cell r="N30" t="str">
            <v>12008,12010</v>
          </cell>
          <cell r="O30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30" t="str">
            <v>10,20,40,60,80</v>
          </cell>
          <cell r="Q30" t="str">
            <v>4,330,0,0,0,0</v>
          </cell>
          <cell r="R30" t="str">
            <v>4,480,5,420,0,0</v>
          </cell>
          <cell r="S30" t="str">
            <v>4,660,5,560,6,500</v>
          </cell>
          <cell r="T30" t="str">
            <v>4,840,5,720,6,620</v>
          </cell>
          <cell r="U30" t="str">
            <v>4,990,5,860,6,740</v>
          </cell>
          <cell r="V30">
            <v>30</v>
          </cell>
          <cell r="W30">
            <v>10</v>
          </cell>
          <cell r="X30">
            <v>21506</v>
          </cell>
          <cell r="Z30">
            <v>2314.2857142857138</v>
          </cell>
          <cell r="AA30">
            <v>275.51020408163259</v>
          </cell>
          <cell r="AB30">
            <v>66.466757033755414</v>
          </cell>
          <cell r="AC30">
            <v>7.9127091706851687</v>
          </cell>
          <cell r="AD30">
            <v>220</v>
          </cell>
          <cell r="AE30">
            <v>20.166666666666668</v>
          </cell>
        </row>
        <row r="31">
          <cell r="A31" t="str">
            <v>袁绍</v>
          </cell>
          <cell r="B31">
            <v>0</v>
          </cell>
          <cell r="C31">
            <v>5</v>
          </cell>
          <cell r="D31">
            <v>3</v>
          </cell>
          <cell r="E31">
            <v>1</v>
          </cell>
          <cell r="F31" t="str">
            <v>武官-杀将</v>
          </cell>
          <cell r="G31">
            <v>1</v>
          </cell>
          <cell r="H31">
            <v>1</v>
          </cell>
          <cell r="I31">
            <v>142.63099730458219</v>
          </cell>
          <cell r="J31">
            <v>68.47762803234501</v>
          </cell>
          <cell r="K31">
            <v>5.8749999999999991</v>
          </cell>
          <cell r="L31">
            <v>3.3250000000000002</v>
          </cell>
          <cell r="M31" t="str">
            <v>枪兵</v>
          </cell>
          <cell r="N31" t="str">
            <v>12030,12031</v>
          </cell>
          <cell r="O31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31" t="str">
            <v>10,20,40,60,80</v>
          </cell>
          <cell r="Q31" t="str">
            <v>4,330,0,0,0,0</v>
          </cell>
          <cell r="R31" t="str">
            <v>4,480,5,420,0,0</v>
          </cell>
          <cell r="S31" t="str">
            <v>4,660,5,560,6,500</v>
          </cell>
          <cell r="T31" t="str">
            <v>4,840,5,720,6,620</v>
          </cell>
          <cell r="U31" t="str">
            <v>4,990,5,860,6,740</v>
          </cell>
          <cell r="V31">
            <v>30</v>
          </cell>
          <cell r="W31">
            <v>10</v>
          </cell>
          <cell r="X31">
            <v>21506</v>
          </cell>
          <cell r="Z31">
            <v>2314.2857142857138</v>
          </cell>
          <cell r="AA31">
            <v>275.51020408163259</v>
          </cell>
          <cell r="AB31">
            <v>66.466757033755414</v>
          </cell>
          <cell r="AC31">
            <v>7.9127091706851687</v>
          </cell>
          <cell r="AD31">
            <v>210</v>
          </cell>
          <cell r="AE31">
            <v>19.25</v>
          </cell>
        </row>
        <row r="32">
          <cell r="A32" t="str">
            <v>赵云</v>
          </cell>
          <cell r="B32">
            <v>0</v>
          </cell>
          <cell r="C32">
            <v>4</v>
          </cell>
          <cell r="D32">
            <v>3</v>
          </cell>
          <cell r="E32">
            <v>1</v>
          </cell>
          <cell r="F32" t="str">
            <v>武官-杀将</v>
          </cell>
          <cell r="G32">
            <v>1.03</v>
          </cell>
          <cell r="H32">
            <v>1</v>
          </cell>
          <cell r="I32">
            <v>148.20673854447438</v>
          </cell>
          <cell r="J32">
            <v>69.21940700808625</v>
          </cell>
          <cell r="K32">
            <v>5.7249999999999996</v>
          </cell>
          <cell r="L32">
            <v>3.1749999999999998</v>
          </cell>
          <cell r="M32" t="str">
            <v>枪兵</v>
          </cell>
          <cell r="N32" t="str">
            <v>12001,12013</v>
          </cell>
          <cell r="O32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2" t="str">
            <v>10,20,40,60,80</v>
          </cell>
          <cell r="Q32" t="str">
            <v>4,330,0,0,0,0</v>
          </cell>
          <cell r="R32" t="str">
            <v>4,480,5,420,0,0</v>
          </cell>
          <cell r="S32" t="str">
            <v>4,660,5,560,6,500</v>
          </cell>
          <cell r="T32" t="str">
            <v>4,840,5,720,6,620</v>
          </cell>
          <cell r="U32" t="str">
            <v>4,990,5,860,6,740</v>
          </cell>
          <cell r="V32">
            <v>30</v>
          </cell>
          <cell r="W32">
            <v>10</v>
          </cell>
          <cell r="X32">
            <v>21506</v>
          </cell>
          <cell r="Z32">
            <v>2185.7142857142849</v>
          </cell>
          <cell r="AA32">
            <v>260.20408163265296</v>
          </cell>
          <cell r="AB32">
            <v>62.774159420768996</v>
          </cell>
          <cell r="AC32">
            <v>7.4731142167582139</v>
          </cell>
          <cell r="AD32">
            <v>200</v>
          </cell>
          <cell r="AE32">
            <v>18.333333333333332</v>
          </cell>
        </row>
        <row r="33">
          <cell r="A33" t="str">
            <v>许褚</v>
          </cell>
          <cell r="B33">
            <v>0</v>
          </cell>
          <cell r="C33">
            <v>4</v>
          </cell>
          <cell r="D33">
            <v>3</v>
          </cell>
          <cell r="E33">
            <v>1</v>
          </cell>
          <cell r="F33" t="str">
            <v>武官-杀将</v>
          </cell>
          <cell r="G33">
            <v>1.03</v>
          </cell>
          <cell r="H33">
            <v>1.05</v>
          </cell>
          <cell r="I33">
            <v>199.16010781671162</v>
          </cell>
          <cell r="J33">
            <v>50.269002695417782</v>
          </cell>
          <cell r="K33">
            <v>4.95</v>
          </cell>
          <cell r="L33">
            <v>2.3999999999999995</v>
          </cell>
          <cell r="M33" t="str">
            <v>步兵</v>
          </cell>
          <cell r="N33" t="str">
            <v>12009,12013</v>
          </cell>
          <cell r="O33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3" t="str">
            <v>10,20,40,60,80</v>
          </cell>
          <cell r="Q33" t="str">
            <v>4,330,0,0,0,0</v>
          </cell>
          <cell r="R33" t="str">
            <v>4,480,5,420,0,0</v>
          </cell>
          <cell r="S33" t="str">
            <v>4,660,5,560,6,500</v>
          </cell>
          <cell r="T33" t="str">
            <v>4,840,5,720,6,620</v>
          </cell>
          <cell r="U33" t="str">
            <v>4,990,5,860,6,740</v>
          </cell>
          <cell r="V33">
            <v>30</v>
          </cell>
          <cell r="W33">
            <v>10</v>
          </cell>
          <cell r="X33">
            <v>21503</v>
          </cell>
          <cell r="Z33">
            <v>2294.9999999999991</v>
          </cell>
          <cell r="AA33">
            <v>273.21428571428561</v>
          </cell>
          <cell r="AB33">
            <v>59.784913734065711</v>
          </cell>
          <cell r="AC33">
            <v>7.1172516350078228</v>
          </cell>
          <cell r="AD33">
            <v>200</v>
          </cell>
          <cell r="AE33">
            <v>18.333333333333332</v>
          </cell>
        </row>
        <row r="34">
          <cell r="A34" t="str">
            <v>张郃</v>
          </cell>
          <cell r="B34">
            <v>0</v>
          </cell>
          <cell r="C34">
            <v>4</v>
          </cell>
          <cell r="D34">
            <v>3</v>
          </cell>
          <cell r="E34">
            <v>1</v>
          </cell>
          <cell r="F34" t="str">
            <v>武官-杀将</v>
          </cell>
          <cell r="G34">
            <v>1</v>
          </cell>
          <cell r="H34">
            <v>1</v>
          </cell>
          <cell r="I34">
            <v>151.10269541778973</v>
          </cell>
          <cell r="J34">
            <v>45.898113207547169</v>
          </cell>
          <cell r="K34">
            <v>5.7749999999999986</v>
          </cell>
          <cell r="L34">
            <v>3.3249999999999997</v>
          </cell>
          <cell r="M34" t="str">
            <v>枪兵</v>
          </cell>
          <cell r="N34" t="str">
            <v>12002,12031</v>
          </cell>
          <cell r="O34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4" t="str">
            <v>10,20,40,60,80</v>
          </cell>
          <cell r="Q34" t="str">
            <v>4,330,0,0,0,0</v>
          </cell>
          <cell r="R34" t="str">
            <v>4,480,5,420,0,0</v>
          </cell>
          <cell r="S34" t="str">
            <v>4,660,5,560,6,500</v>
          </cell>
          <cell r="T34" t="str">
            <v>4,840,5,720,6,620</v>
          </cell>
          <cell r="U34" t="str">
            <v>4,990,5,860,6,740</v>
          </cell>
          <cell r="V34">
            <v>30</v>
          </cell>
          <cell r="W34">
            <v>10</v>
          </cell>
          <cell r="X34">
            <v>21506</v>
          </cell>
          <cell r="Z34">
            <v>2185.7142857142849</v>
          </cell>
          <cell r="AA34">
            <v>260.20408163265296</v>
          </cell>
          <cell r="AB34">
            <v>62.774159420768996</v>
          </cell>
          <cell r="AC34">
            <v>7.4731142167582139</v>
          </cell>
          <cell r="AD34">
            <v>180</v>
          </cell>
          <cell r="AE34">
            <v>12.5</v>
          </cell>
        </row>
        <row r="35">
          <cell r="A35" t="str">
            <v>徐晃</v>
          </cell>
          <cell r="B35">
            <v>0</v>
          </cell>
          <cell r="C35">
            <v>4</v>
          </cell>
          <cell r="D35">
            <v>3</v>
          </cell>
          <cell r="E35">
            <v>1</v>
          </cell>
          <cell r="F35" t="str">
            <v>武官-杀将</v>
          </cell>
          <cell r="G35">
            <v>1</v>
          </cell>
          <cell r="H35">
            <v>1.05</v>
          </cell>
          <cell r="I35">
            <v>233.30512129380057</v>
          </cell>
          <cell r="J35">
            <v>40.81239892183288</v>
          </cell>
          <cell r="K35">
            <v>4.7</v>
          </cell>
          <cell r="L35">
            <v>2.1500000000000004</v>
          </cell>
          <cell r="M35" t="str">
            <v>步兵</v>
          </cell>
          <cell r="N35" t="str">
            <v>12002,12037</v>
          </cell>
          <cell r="O35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5" t="str">
            <v>10,20,40,60,80</v>
          </cell>
          <cell r="Q35" t="str">
            <v>4,330,0,0,0,0</v>
          </cell>
          <cell r="R35" t="str">
            <v>4,480,5,420,0,0</v>
          </cell>
          <cell r="S35" t="str">
            <v>4,660,5,560,6,500</v>
          </cell>
          <cell r="T35" t="str">
            <v>4,840,5,720,6,620</v>
          </cell>
          <cell r="U35" t="str">
            <v>4,990,5,860,6,740</v>
          </cell>
          <cell r="V35">
            <v>30</v>
          </cell>
          <cell r="W35">
            <v>10</v>
          </cell>
          <cell r="X35">
            <v>21503</v>
          </cell>
          <cell r="Z35">
            <v>2294.9999999999991</v>
          </cell>
          <cell r="AA35">
            <v>273.21428571428561</v>
          </cell>
          <cell r="AB35">
            <v>59.784913734065711</v>
          </cell>
          <cell r="AC35">
            <v>7.1172516350078228</v>
          </cell>
          <cell r="AD35">
            <v>180</v>
          </cell>
          <cell r="AE35">
            <v>12.5</v>
          </cell>
        </row>
        <row r="36">
          <cell r="A36" t="str">
            <v>黄忠</v>
          </cell>
          <cell r="B36">
            <v>1</v>
          </cell>
          <cell r="C36">
            <v>6</v>
          </cell>
          <cell r="D36">
            <v>3</v>
          </cell>
          <cell r="E36">
            <v>0</v>
          </cell>
          <cell r="F36" t="str">
            <v>射手-杀将</v>
          </cell>
          <cell r="G36">
            <v>1</v>
          </cell>
          <cell r="H36">
            <v>1</v>
          </cell>
          <cell r="I36">
            <v>185.7366576819407</v>
          </cell>
          <cell r="J36">
            <v>78.67412398921833</v>
          </cell>
          <cell r="K36">
            <v>3.8250000000000002</v>
          </cell>
          <cell r="L36">
            <v>4.9249999999999998</v>
          </cell>
          <cell r="M36" t="str">
            <v>弓兵</v>
          </cell>
          <cell r="N36">
            <v>12001</v>
          </cell>
          <cell r="O36" t="str">
            <v>42,45,51,59,70,85,103,126,154,186,225,269,320,378,444,517,599,689,788,897,1016,1146,1286,1438,1601,1777,1965,2167,2382,2611,2854,3112,3386,3675,3980,4302,4641,4997,5372,5764,6176,6606,7057,7527,8018,8530,9063,9618,10195,10795,11419,12066,12736,13432,14152,14897,15669,16466,17290,18142,19020,19927,20862,21826,22820,23843,24896,25979,27094,28240,29419,30629,31872,33149,34459,35803,37182,38595,40044,41529</v>
          </cell>
          <cell r="P36" t="str">
            <v>10,20,40,60,80</v>
          </cell>
          <cell r="Q36" t="str">
            <v>4,330,0,0,0,0</v>
          </cell>
          <cell r="R36" t="str">
            <v>4,480,5,420,0,0</v>
          </cell>
          <cell r="S36" t="str">
            <v>4,660,5,560,6,500</v>
          </cell>
          <cell r="T36" t="str">
            <v>4,840,5,720,6,620</v>
          </cell>
          <cell r="U36" t="str">
            <v>4,990,5,860,6,740</v>
          </cell>
          <cell r="V36">
            <v>30</v>
          </cell>
          <cell r="W36">
            <v>10</v>
          </cell>
          <cell r="X36">
            <v>21509</v>
          </cell>
          <cell r="Z36">
            <v>1465.7142857142853</v>
          </cell>
          <cell r="AA36">
            <v>174.48979591836732</v>
          </cell>
          <cell r="AB36">
            <v>94.715128773101455</v>
          </cell>
          <cell r="AC36">
            <v>11.275610568226364</v>
          </cell>
          <cell r="AD36">
            <v>1090.909090909091</v>
          </cell>
          <cell r="AE36">
            <v>100</v>
          </cell>
        </row>
        <row r="37">
          <cell r="A37" t="str">
            <v>夏侯渊</v>
          </cell>
          <cell r="B37">
            <v>1</v>
          </cell>
          <cell r="C37">
            <v>5</v>
          </cell>
          <cell r="D37">
            <v>3</v>
          </cell>
          <cell r="E37">
            <v>0</v>
          </cell>
          <cell r="F37" t="str">
            <v>射手-杀将</v>
          </cell>
          <cell r="G37">
            <v>1.01</v>
          </cell>
          <cell r="H37">
            <v>1</v>
          </cell>
          <cell r="I37">
            <v>149.81644204851753</v>
          </cell>
          <cell r="J37">
            <v>75.866037735849048</v>
          </cell>
          <cell r="K37">
            <v>6</v>
          </cell>
          <cell r="L37">
            <v>3.4500000000000006</v>
          </cell>
          <cell r="M37" t="str">
            <v>弓兵</v>
          </cell>
          <cell r="N37" t="str">
            <v>12014,12037</v>
          </cell>
          <cell r="O37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37" t="str">
            <v>10,20,40,60,80</v>
          </cell>
          <cell r="Q37" t="str">
            <v>4,330,0,0,0,0</v>
          </cell>
          <cell r="R37" t="str">
            <v>4,480,5,420,0,0</v>
          </cell>
          <cell r="S37" t="str">
            <v>4,660,5,560,6,500</v>
          </cell>
          <cell r="T37" t="str">
            <v>4,840,5,720,6,620</v>
          </cell>
          <cell r="U37" t="str">
            <v>4,990,5,860,6,740</v>
          </cell>
          <cell r="V37">
            <v>30</v>
          </cell>
          <cell r="W37">
            <v>10</v>
          </cell>
          <cell r="X37">
            <v>21509</v>
          </cell>
          <cell r="Z37">
            <v>1388.5714285714282</v>
          </cell>
          <cell r="AA37">
            <v>165.30612244897955</v>
          </cell>
          <cell r="AB37">
            <v>89.730121995569817</v>
          </cell>
          <cell r="AC37">
            <v>10.682157380424979</v>
          </cell>
          <cell r="AD37">
            <v>220</v>
          </cell>
          <cell r="AE37">
            <v>20.166666666666668</v>
          </cell>
        </row>
        <row r="38">
          <cell r="A38" t="str">
            <v>甘宁</v>
          </cell>
          <cell r="B38">
            <v>1</v>
          </cell>
          <cell r="C38">
            <v>5</v>
          </cell>
          <cell r="D38">
            <v>3</v>
          </cell>
          <cell r="E38">
            <v>0</v>
          </cell>
          <cell r="F38" t="str">
            <v>武官-杀将</v>
          </cell>
          <cell r="G38">
            <v>1</v>
          </cell>
          <cell r="H38">
            <v>1</v>
          </cell>
          <cell r="I38">
            <v>150.44649595687332</v>
          </cell>
          <cell r="J38">
            <v>76.566172506738539</v>
          </cell>
          <cell r="K38">
            <v>5.4999999999999991</v>
          </cell>
          <cell r="L38">
            <v>2.9499999999999997</v>
          </cell>
          <cell r="M38" t="str">
            <v>弓兵</v>
          </cell>
          <cell r="N38" t="str">
            <v>12003,12032</v>
          </cell>
          <cell r="O38" t="str">
            <v>37,40,45,52,62,75,92,112,136,166,200,239,285,336,394,460,532,612,701,798,903,1018,1143,1278,1423,1580,1747,1926,2117,2321,2537,2766,3009,3267,3538,3824,4125,4442,4775,5124,5490,5872,6273,6691,7127,7582,8056,8549,9063,9596,10150,10725,11321,11939,12579,13242,13928,14637,15369,16126,16907,17713,18544,19401,20284,21193,22130,23093,24084,25103,26150,27226,28331,29465,30630,31825,33050,34307,35595,36915</v>
          </cell>
          <cell r="P38" t="str">
            <v>10,20,40,60,80</v>
          </cell>
          <cell r="Q38" t="str">
            <v>4,330,0,0,0,0</v>
          </cell>
          <cell r="R38" t="str">
            <v>4,480,5,420,0,0</v>
          </cell>
          <cell r="S38" t="str">
            <v>4,660,5,560,6,500</v>
          </cell>
          <cell r="T38" t="str">
            <v>4,840,5,720,6,620</v>
          </cell>
          <cell r="U38" t="str">
            <v>4,990,5,860,6,740</v>
          </cell>
          <cell r="V38">
            <v>30</v>
          </cell>
          <cell r="W38">
            <v>10</v>
          </cell>
          <cell r="X38">
            <v>21509</v>
          </cell>
          <cell r="Z38">
            <v>1388.5714285714282</v>
          </cell>
          <cell r="AA38">
            <v>165.30612244897955</v>
          </cell>
          <cell r="AB38">
            <v>89.730121995569817</v>
          </cell>
          <cell r="AC38">
            <v>10.682157380424979</v>
          </cell>
          <cell r="AD38">
            <v>210</v>
          </cell>
          <cell r="AE38">
            <v>19.25</v>
          </cell>
        </row>
        <row r="39">
          <cell r="A39" t="str">
            <v>孙尚香</v>
          </cell>
          <cell r="B39">
            <v>1</v>
          </cell>
          <cell r="C39">
            <v>4</v>
          </cell>
          <cell r="D39">
            <v>3</v>
          </cell>
          <cell r="E39">
            <v>0</v>
          </cell>
          <cell r="F39" t="str">
            <v>射手-杀将</v>
          </cell>
          <cell r="G39">
            <v>1.03</v>
          </cell>
          <cell r="H39">
            <v>1</v>
          </cell>
          <cell r="I39">
            <v>147.49932614555257</v>
          </cell>
          <cell r="J39">
            <v>87.535714285714292</v>
          </cell>
          <cell r="K39">
            <v>5.7250000000000005</v>
          </cell>
          <cell r="L39">
            <v>3.1749999999999998</v>
          </cell>
          <cell r="M39" t="str">
            <v>弓兵</v>
          </cell>
          <cell r="N39" t="str">
            <v>12010,12013</v>
          </cell>
          <cell r="O39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39" t="str">
            <v>10,20,40,60,80</v>
          </cell>
          <cell r="Q39" t="str">
            <v>4,330,0,0,0,0</v>
          </cell>
          <cell r="R39" t="str">
            <v>4,480,5,420,0,0</v>
          </cell>
          <cell r="S39" t="str">
            <v>4,660,5,560,6,500</v>
          </cell>
          <cell r="T39" t="str">
            <v>4,840,5,720,6,620</v>
          </cell>
          <cell r="U39" t="str">
            <v>4,990,5,860,6,740</v>
          </cell>
          <cell r="V39">
            <v>30</v>
          </cell>
          <cell r="W39">
            <v>10</v>
          </cell>
          <cell r="X39">
            <v>21509</v>
          </cell>
          <cell r="Z39">
            <v>1311.4285714285711</v>
          </cell>
          <cell r="AA39">
            <v>156.12244897959181</v>
          </cell>
          <cell r="AB39">
            <v>84.745115218038151</v>
          </cell>
          <cell r="AC39">
            <v>10.08870419262359</v>
          </cell>
          <cell r="AD39">
            <v>200</v>
          </cell>
          <cell r="AE39">
            <v>18.333333333333332</v>
          </cell>
        </row>
        <row r="40">
          <cell r="A40" t="str">
            <v>于禁</v>
          </cell>
          <cell r="B40">
            <v>1</v>
          </cell>
          <cell r="C40">
            <v>4</v>
          </cell>
          <cell r="D40">
            <v>3</v>
          </cell>
          <cell r="E40">
            <v>0</v>
          </cell>
          <cell r="F40" t="str">
            <v>武官-杀将</v>
          </cell>
          <cell r="G40">
            <v>1.01</v>
          </cell>
          <cell r="H40">
            <v>1</v>
          </cell>
          <cell r="I40">
            <v>154.74312668463611</v>
          </cell>
          <cell r="J40">
            <v>43.23288409703504</v>
          </cell>
          <cell r="K40">
            <v>5.8249999999999993</v>
          </cell>
          <cell r="L40">
            <v>3.3749999999999996</v>
          </cell>
          <cell r="M40" t="str">
            <v>弓兵</v>
          </cell>
          <cell r="N40" t="str">
            <v>12002,12035,12039</v>
          </cell>
          <cell r="O40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40" t="str">
            <v>10,20,40,60,80</v>
          </cell>
          <cell r="Q40" t="str">
            <v>4,330,0,0,0,0</v>
          </cell>
          <cell r="R40" t="str">
            <v>4,480,5,420,0,0</v>
          </cell>
          <cell r="S40" t="str">
            <v>4,660,5,560,6,500</v>
          </cell>
          <cell r="T40" t="str">
            <v>4,840,5,720,6,620</v>
          </cell>
          <cell r="U40" t="str">
            <v>4,990,5,860,6,740</v>
          </cell>
          <cell r="V40">
            <v>30</v>
          </cell>
          <cell r="W40">
            <v>10</v>
          </cell>
          <cell r="X40">
            <v>21509</v>
          </cell>
          <cell r="Z40">
            <v>1311.4285714285711</v>
          </cell>
          <cell r="AA40">
            <v>156.12244897959181</v>
          </cell>
          <cell r="AB40">
            <v>84.745115218038151</v>
          </cell>
          <cell r="AC40">
            <v>10.08870419262359</v>
          </cell>
          <cell r="AD40">
            <v>190</v>
          </cell>
          <cell r="AE40">
            <v>17.416666666666668</v>
          </cell>
        </row>
        <row r="41">
          <cell r="A41" t="str">
            <v>乐进</v>
          </cell>
          <cell r="B41">
            <v>1</v>
          </cell>
          <cell r="C41">
            <v>4</v>
          </cell>
          <cell r="D41">
            <v>3</v>
          </cell>
          <cell r="E41">
            <v>0</v>
          </cell>
          <cell r="G41">
            <v>1</v>
          </cell>
          <cell r="H41">
            <v>1</v>
          </cell>
          <cell r="I41">
            <v>150.87021563342319</v>
          </cell>
          <cell r="J41">
            <v>77.413611859838269</v>
          </cell>
          <cell r="K41">
            <v>5.4999999999999991</v>
          </cell>
          <cell r="L41">
            <v>2.9499999999999997</v>
          </cell>
          <cell r="M41" t="str">
            <v>弓兵</v>
          </cell>
          <cell r="N41" t="str">
            <v>12002,12039</v>
          </cell>
          <cell r="O41" t="str">
            <v>33,35,40,46,54,66,80,98,119,145,175,209,249,294,345,402,465,536,613,698,790,891,1000,1118,1245,1382,1529,1685,1852,2030,2220,2421,2633,2858,3096,3346,3610,3887,4178,4483,4803,5138,5488,5854,6236,6634,7049,7481,7930,8396,8881,9384,9906,10447,11007,11587,12187,12807,13448,14110,14794,15499,16226,16976,17749,18544,19363,20206,21073,21965,22881,23822,24789,25782,26801,27847,28919,30018,31145,32300</v>
          </cell>
          <cell r="P41" t="str">
            <v>10,20,40,60,80</v>
          </cell>
          <cell r="Q41" t="str">
            <v>4,330,0,0,0,0</v>
          </cell>
          <cell r="R41" t="str">
            <v>4,480,5,420,0,0</v>
          </cell>
          <cell r="S41" t="str">
            <v>4,660,5,560,6,500</v>
          </cell>
          <cell r="T41" t="str">
            <v>4,840,5,720,6,620</v>
          </cell>
          <cell r="U41" t="str">
            <v>4,990,5,860,6,740</v>
          </cell>
          <cell r="V41">
            <v>30</v>
          </cell>
          <cell r="W41">
            <v>10</v>
          </cell>
          <cell r="X41">
            <v>21509</v>
          </cell>
          <cell r="Z41">
            <v>1311.4285714285711</v>
          </cell>
          <cell r="AA41">
            <v>156.12244897959181</v>
          </cell>
          <cell r="AB41">
            <v>84.745115218038151</v>
          </cell>
          <cell r="AC41">
            <v>10.08870419262359</v>
          </cell>
          <cell r="AD41">
            <v>180</v>
          </cell>
          <cell r="AE41">
            <v>12.5</v>
          </cell>
        </row>
        <row r="42">
          <cell r="A42" t="str">
            <v>陈宫</v>
          </cell>
          <cell r="B42">
            <v>2</v>
          </cell>
          <cell r="C42">
            <v>3</v>
          </cell>
          <cell r="D42">
            <v>2</v>
          </cell>
          <cell r="E42">
            <v>0</v>
          </cell>
          <cell r="F42" t="str">
            <v>文官-杀兵</v>
          </cell>
          <cell r="G42">
            <v>1.05</v>
          </cell>
          <cell r="H42">
            <v>1</v>
          </cell>
          <cell r="I42">
            <v>82.241778975741241</v>
          </cell>
          <cell r="J42">
            <v>79.549595687331532</v>
          </cell>
          <cell r="K42">
            <v>4.4249999999999998</v>
          </cell>
          <cell r="L42">
            <v>6.4249999999999998</v>
          </cell>
          <cell r="M42" t="str">
            <v>法兵</v>
          </cell>
          <cell r="N42" t="str">
            <v>12022,12023</v>
          </cell>
          <cell r="O42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2" t="str">
            <v>10,20,40,60,80</v>
          </cell>
          <cell r="Q42" t="str">
            <v>4,150,0,0,0,0</v>
          </cell>
          <cell r="R42" t="str">
            <v>4,240,5,200,0,0</v>
          </cell>
          <cell r="S42" t="str">
            <v>4,330,5,280,6,240</v>
          </cell>
          <cell r="T42" t="str">
            <v>4,420,5,360,6,300</v>
          </cell>
          <cell r="U42" t="str">
            <v>4,480,5,420,6,360</v>
          </cell>
          <cell r="V42">
            <v>20</v>
          </cell>
          <cell r="W42">
            <v>8</v>
          </cell>
          <cell r="X42">
            <v>21511</v>
          </cell>
          <cell r="Z42">
            <v>1028.5714285714282</v>
          </cell>
          <cell r="AA42">
            <v>122.4489795918367</v>
          </cell>
          <cell r="AB42">
            <v>76.806030350117382</v>
          </cell>
          <cell r="AC42">
            <v>9.1435750416806414</v>
          </cell>
          <cell r="AD42">
            <v>20.183486238532112</v>
          </cell>
          <cell r="AE42">
            <v>2.3913043478260869</v>
          </cell>
        </row>
        <row r="43">
          <cell r="A43" t="str">
            <v>公孙婷</v>
          </cell>
          <cell r="B43">
            <v>2</v>
          </cell>
          <cell r="C43">
            <v>3</v>
          </cell>
          <cell r="D43">
            <v>2</v>
          </cell>
          <cell r="E43">
            <v>0</v>
          </cell>
          <cell r="G43">
            <v>1.04</v>
          </cell>
          <cell r="H43">
            <v>1</v>
          </cell>
          <cell r="I43">
            <v>75.580053908355794</v>
          </cell>
          <cell r="J43">
            <v>93.844743935309964</v>
          </cell>
          <cell r="K43">
            <v>4.3499999999999996</v>
          </cell>
          <cell r="L43">
            <v>6.35</v>
          </cell>
          <cell r="M43" t="str">
            <v>法兵</v>
          </cell>
          <cell r="N43">
            <v>12027</v>
          </cell>
          <cell r="O43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3" t="str">
            <v>10,20,40,60,80</v>
          </cell>
          <cell r="Q43" t="str">
            <v>4,150,0,0,0,0</v>
          </cell>
          <cell r="R43" t="str">
            <v>4,240,5,200,0,0</v>
          </cell>
          <cell r="S43" t="str">
            <v>4,330,5,280,6,240</v>
          </cell>
          <cell r="T43" t="str">
            <v>4,420,5,360,6,300</v>
          </cell>
          <cell r="U43" t="str">
            <v>4,480,5,420,6,360</v>
          </cell>
          <cell r="V43">
            <v>20</v>
          </cell>
          <cell r="W43">
            <v>8</v>
          </cell>
          <cell r="X43">
            <v>21511</v>
          </cell>
          <cell r="Z43">
            <v>1028.5714285714282</v>
          </cell>
          <cell r="AA43">
            <v>122.4489795918367</v>
          </cell>
          <cell r="AB43">
            <v>76.806030350117382</v>
          </cell>
          <cell r="AC43">
            <v>9.1435750416806414</v>
          </cell>
          <cell r="AD43">
            <v>18.348623853211009</v>
          </cell>
          <cell r="AE43">
            <v>2.1739130434782608</v>
          </cell>
        </row>
        <row r="44">
          <cell r="A44" t="str">
            <v>徐庶</v>
          </cell>
          <cell r="B44">
            <v>2</v>
          </cell>
          <cell r="C44">
            <v>3</v>
          </cell>
          <cell r="D44">
            <v>2</v>
          </cell>
          <cell r="E44">
            <v>0</v>
          </cell>
          <cell r="F44" t="str">
            <v>文官-杀兵</v>
          </cell>
          <cell r="G44">
            <v>1.03</v>
          </cell>
          <cell r="H44">
            <v>1</v>
          </cell>
          <cell r="I44">
            <v>85.712129380053909</v>
          </cell>
          <cell r="J44">
            <v>81.614285714285714</v>
          </cell>
          <cell r="K44">
            <v>4.5249999999999995</v>
          </cell>
          <cell r="L44">
            <v>6.5249999999999995</v>
          </cell>
          <cell r="M44" t="str">
            <v>法兵</v>
          </cell>
          <cell r="N44" t="str">
            <v>12029,12033</v>
          </cell>
          <cell r="O44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4" t="str">
            <v>10,20,40,60,80</v>
          </cell>
          <cell r="Q44" t="str">
            <v>4,150,0,0,0,0</v>
          </cell>
          <cell r="R44" t="str">
            <v>4,240,5,200,0,0</v>
          </cell>
          <cell r="S44" t="str">
            <v>4,330,5,280,6,240</v>
          </cell>
          <cell r="T44" t="str">
            <v>4,420,5,360,6,300</v>
          </cell>
          <cell r="U44" t="str">
            <v>4,480,5,420,6,360</v>
          </cell>
          <cell r="V44">
            <v>20</v>
          </cell>
          <cell r="W44">
            <v>8</v>
          </cell>
          <cell r="X44">
            <v>21511</v>
          </cell>
          <cell r="Z44">
            <v>1028.5714285714282</v>
          </cell>
          <cell r="AA44">
            <v>122.4489795918367</v>
          </cell>
          <cell r="AB44">
            <v>76.806030350117382</v>
          </cell>
          <cell r="AC44">
            <v>9.1435750416806414</v>
          </cell>
          <cell r="AD44">
            <v>16.513761467889907</v>
          </cell>
          <cell r="AE44">
            <v>1.9565217391304348</v>
          </cell>
        </row>
        <row r="45">
          <cell r="A45" t="str">
            <v>张梁</v>
          </cell>
          <cell r="B45">
            <v>2</v>
          </cell>
          <cell r="C45">
            <v>3</v>
          </cell>
          <cell r="D45">
            <v>2</v>
          </cell>
          <cell r="E45">
            <v>0</v>
          </cell>
          <cell r="G45">
            <v>1.02</v>
          </cell>
          <cell r="H45">
            <v>1</v>
          </cell>
          <cell r="I45">
            <v>77.020754716981131</v>
          </cell>
          <cell r="J45">
            <v>89.298921832884091</v>
          </cell>
          <cell r="K45">
            <v>4.4000000000000004</v>
          </cell>
          <cell r="L45">
            <v>6.3999999999999986</v>
          </cell>
          <cell r="M45" t="str">
            <v>法兵</v>
          </cell>
          <cell r="N45">
            <v>12007</v>
          </cell>
          <cell r="O45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5" t="str">
            <v>10,20,40,60,80</v>
          </cell>
          <cell r="Q45" t="str">
            <v>4,150,0,0,0,0</v>
          </cell>
          <cell r="R45" t="str">
            <v>4,240,5,200,0,0</v>
          </cell>
          <cell r="S45" t="str">
            <v>4,330,5,280,6,240</v>
          </cell>
          <cell r="T45" t="str">
            <v>4,420,5,360,6,300</v>
          </cell>
          <cell r="U45" t="str">
            <v>4,480,5,420,6,360</v>
          </cell>
          <cell r="V45">
            <v>20</v>
          </cell>
          <cell r="W45">
            <v>8</v>
          </cell>
          <cell r="X45">
            <v>21511</v>
          </cell>
          <cell r="Z45">
            <v>1028.5714285714282</v>
          </cell>
          <cell r="AA45">
            <v>122.4489795918367</v>
          </cell>
          <cell r="AB45">
            <v>76.806030350117382</v>
          </cell>
          <cell r="AC45">
            <v>9.1435750416806414</v>
          </cell>
          <cell r="AD45">
            <v>14.678899082568808</v>
          </cell>
          <cell r="AE45">
            <v>1.7391304347826086</v>
          </cell>
        </row>
        <row r="46">
          <cell r="A46" t="str">
            <v>李儒</v>
          </cell>
          <cell r="B46">
            <v>2</v>
          </cell>
          <cell r="C46">
            <v>3</v>
          </cell>
          <cell r="D46">
            <v>2</v>
          </cell>
          <cell r="E46">
            <v>0</v>
          </cell>
          <cell r="F46" t="str">
            <v>文官-杀兵</v>
          </cell>
          <cell r="G46">
            <v>1.01</v>
          </cell>
          <cell r="H46">
            <v>1</v>
          </cell>
          <cell r="I46">
            <v>77.636657681940704</v>
          </cell>
          <cell r="J46">
            <v>85.490296495956869</v>
          </cell>
          <cell r="K46">
            <v>4.55</v>
          </cell>
          <cell r="L46">
            <v>6.55</v>
          </cell>
          <cell r="M46" t="str">
            <v>法兵</v>
          </cell>
          <cell r="N46" t="str">
            <v>12023,12026,12034</v>
          </cell>
          <cell r="O46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6" t="str">
            <v>10,20,40,60,80</v>
          </cell>
          <cell r="Q46" t="str">
            <v>4,150,0,0,0,0</v>
          </cell>
          <cell r="R46" t="str">
            <v>4,240,5,200,0,0</v>
          </cell>
          <cell r="S46" t="str">
            <v>4,330,5,280,6,240</v>
          </cell>
          <cell r="T46" t="str">
            <v>4,420,5,360,6,300</v>
          </cell>
          <cell r="U46" t="str">
            <v>4,480,5,420,6,360</v>
          </cell>
          <cell r="V46">
            <v>20</v>
          </cell>
          <cell r="W46">
            <v>8</v>
          </cell>
          <cell r="X46">
            <v>21511</v>
          </cell>
          <cell r="Z46">
            <v>1028.5714285714282</v>
          </cell>
          <cell r="AA46">
            <v>122.4489795918367</v>
          </cell>
          <cell r="AB46">
            <v>76.806030350117382</v>
          </cell>
          <cell r="AC46">
            <v>9.1435750416806414</v>
          </cell>
          <cell r="AD46">
            <v>12.844036697247706</v>
          </cell>
          <cell r="AE46">
            <v>1.5217391304347827</v>
          </cell>
        </row>
        <row r="47">
          <cell r="A47" t="str">
            <v>张昭</v>
          </cell>
          <cell r="B47">
            <v>2</v>
          </cell>
          <cell r="C47">
            <v>3</v>
          </cell>
          <cell r="D47">
            <v>2</v>
          </cell>
          <cell r="E47">
            <v>0</v>
          </cell>
          <cell r="F47" t="str">
            <v>文官-招兵</v>
          </cell>
          <cell r="G47">
            <v>1</v>
          </cell>
          <cell r="H47">
            <v>1</v>
          </cell>
          <cell r="I47">
            <v>87.271428571428558</v>
          </cell>
          <cell r="J47">
            <v>84.490296495956869</v>
          </cell>
          <cell r="K47">
            <v>4.4249999999999989</v>
          </cell>
          <cell r="L47">
            <v>6.4249999999999989</v>
          </cell>
          <cell r="M47" t="str">
            <v>法兵</v>
          </cell>
          <cell r="N47" t="str">
            <v>12022,12034</v>
          </cell>
          <cell r="O47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47" t="str">
            <v>10,20,40,60,80</v>
          </cell>
          <cell r="Q47" t="str">
            <v>4,150,0,0,0,0</v>
          </cell>
          <cell r="R47" t="str">
            <v>4,240,5,200,0,0</v>
          </cell>
          <cell r="S47" t="str">
            <v>4,330,5,280,6,240</v>
          </cell>
          <cell r="T47" t="str">
            <v>4,420,5,360,6,300</v>
          </cell>
          <cell r="U47" t="str">
            <v>4,480,5,420,6,360</v>
          </cell>
          <cell r="V47">
            <v>20</v>
          </cell>
          <cell r="W47">
            <v>8</v>
          </cell>
          <cell r="X47">
            <v>21511</v>
          </cell>
          <cell r="Z47">
            <v>1028.5714285714282</v>
          </cell>
          <cell r="AA47">
            <v>122.4489795918367</v>
          </cell>
          <cell r="AB47">
            <v>76.806030350117382</v>
          </cell>
          <cell r="AC47">
            <v>9.1435750416806414</v>
          </cell>
          <cell r="AD47">
            <v>11.009174311926605</v>
          </cell>
          <cell r="AE47">
            <v>1.3043478260869565</v>
          </cell>
        </row>
        <row r="48">
          <cell r="A48" t="str">
            <v>李肃</v>
          </cell>
          <cell r="B48">
            <v>2</v>
          </cell>
          <cell r="C48">
            <v>2</v>
          </cell>
          <cell r="D48">
            <v>1</v>
          </cell>
          <cell r="E48">
            <v>0</v>
          </cell>
          <cell r="F48" t="str">
            <v>射手-杀将</v>
          </cell>
          <cell r="G48">
            <v>1.05</v>
          </cell>
          <cell r="H48">
            <v>1</v>
          </cell>
          <cell r="I48">
            <v>69.887331536388146</v>
          </cell>
          <cell r="J48">
            <v>73.991644204851752</v>
          </cell>
          <cell r="K48">
            <v>3.9999999999999996</v>
          </cell>
          <cell r="L48">
            <v>5.3999999999999986</v>
          </cell>
          <cell r="M48" t="str">
            <v>法兵</v>
          </cell>
          <cell r="N48" t="str">
            <v/>
          </cell>
          <cell r="O48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48" t="str">
            <v>10,20,40,60,80</v>
          </cell>
          <cell r="Q48" t="str">
            <v>4,120,0,0,0,0</v>
          </cell>
          <cell r="R48" t="str">
            <v>4,180,5,160,0,0</v>
          </cell>
          <cell r="S48" t="str">
            <v>4,270,5,220,6,200</v>
          </cell>
          <cell r="T48" t="str">
            <v>4,330,5,280,6,240</v>
          </cell>
          <cell r="U48" t="str">
            <v>4,390,5,340,6,300</v>
          </cell>
          <cell r="V48">
            <v>10</v>
          </cell>
          <cell r="W48">
            <v>6</v>
          </cell>
          <cell r="X48">
            <v>21510</v>
          </cell>
          <cell r="Z48">
            <v>964.28571428571399</v>
          </cell>
          <cell r="AA48">
            <v>114.79591836734691</v>
          </cell>
          <cell r="AB48">
            <v>72.005653453235041</v>
          </cell>
          <cell r="AC48">
            <v>8.5721016015756</v>
          </cell>
          <cell r="AD48">
            <v>4.166666666666667</v>
          </cell>
          <cell r="AE48">
            <v>0.68181818181818177</v>
          </cell>
        </row>
        <row r="49">
          <cell r="A49" t="str">
            <v>蔡夫人</v>
          </cell>
          <cell r="B49">
            <v>2</v>
          </cell>
          <cell r="C49">
            <v>2</v>
          </cell>
          <cell r="D49">
            <v>1</v>
          </cell>
          <cell r="E49">
            <v>0</v>
          </cell>
          <cell r="F49" t="str">
            <v>文官-招兵</v>
          </cell>
          <cell r="G49">
            <v>1.04</v>
          </cell>
          <cell r="H49">
            <v>1</v>
          </cell>
          <cell r="I49">
            <v>66.416981132075477</v>
          </cell>
          <cell r="J49">
            <v>78.800269541778974</v>
          </cell>
          <cell r="K49">
            <v>3.8499999999999996</v>
          </cell>
          <cell r="L49">
            <v>5.2499999999999991</v>
          </cell>
          <cell r="M49" t="str">
            <v>法兵</v>
          </cell>
          <cell r="N49">
            <v>12021</v>
          </cell>
          <cell r="O49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49" t="str">
            <v>10,20,40,60,80</v>
          </cell>
          <cell r="Q49" t="str">
            <v>4,120,0,0,0,0</v>
          </cell>
          <cell r="R49" t="str">
            <v>4,180,5,160,0,0</v>
          </cell>
          <cell r="S49" t="str">
            <v>4,270,5,220,6,200</v>
          </cell>
          <cell r="T49" t="str">
            <v>4,330,5,280,6,240</v>
          </cell>
          <cell r="U49" t="str">
            <v>4,390,5,340,6,300</v>
          </cell>
          <cell r="V49">
            <v>10</v>
          </cell>
          <cell r="W49">
            <v>6</v>
          </cell>
          <cell r="X49">
            <v>21510</v>
          </cell>
          <cell r="Z49">
            <v>964.28571428571399</v>
          </cell>
          <cell r="AA49">
            <v>114.79591836734691</v>
          </cell>
          <cell r="AB49">
            <v>72.005653453235041</v>
          </cell>
          <cell r="AC49">
            <v>8.5721016015756</v>
          </cell>
          <cell r="AD49">
            <v>3.6111111111111112</v>
          </cell>
          <cell r="AE49">
            <v>0.59090909090909094</v>
          </cell>
        </row>
        <row r="50">
          <cell r="A50" t="str">
            <v>许攸</v>
          </cell>
          <cell r="B50">
            <v>2</v>
          </cell>
          <cell r="C50">
            <v>2</v>
          </cell>
          <cell r="D50">
            <v>1</v>
          </cell>
          <cell r="E50">
            <v>0</v>
          </cell>
          <cell r="F50" t="str">
            <v>文官-杀兵</v>
          </cell>
          <cell r="G50">
            <v>1.03</v>
          </cell>
          <cell r="H50">
            <v>1</v>
          </cell>
          <cell r="I50">
            <v>64.01266846361186</v>
          </cell>
          <cell r="J50">
            <v>78.800269541778974</v>
          </cell>
          <cell r="K50">
            <v>4.25</v>
          </cell>
          <cell r="L50">
            <v>5.6499999999999986</v>
          </cell>
          <cell r="M50" t="str">
            <v>法兵</v>
          </cell>
          <cell r="N50" t="str">
            <v/>
          </cell>
          <cell r="O50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50" t="str">
            <v>10,20,40,60,80</v>
          </cell>
          <cell r="Q50" t="str">
            <v>4,120,0,0,0,0</v>
          </cell>
          <cell r="R50" t="str">
            <v>4,180,5,160,0,0</v>
          </cell>
          <cell r="S50" t="str">
            <v>4,270,5,220,6,200</v>
          </cell>
          <cell r="T50" t="str">
            <v>4,330,5,280,6,240</v>
          </cell>
          <cell r="U50" t="str">
            <v>4,390,5,340,6,300</v>
          </cell>
          <cell r="V50">
            <v>10</v>
          </cell>
          <cell r="W50">
            <v>6</v>
          </cell>
          <cell r="X50">
            <v>21510</v>
          </cell>
          <cell r="Z50">
            <v>964.28571428571399</v>
          </cell>
          <cell r="AA50">
            <v>114.79591836734691</v>
          </cell>
          <cell r="AB50">
            <v>72.005653453235041</v>
          </cell>
          <cell r="AC50">
            <v>8.5721016015756</v>
          </cell>
          <cell r="AD50">
            <v>3.0555555555555554</v>
          </cell>
          <cell r="AE50">
            <v>0.5</v>
          </cell>
        </row>
        <row r="51">
          <cell r="A51" t="str">
            <v>袁术</v>
          </cell>
          <cell r="B51">
            <v>2</v>
          </cell>
          <cell r="C51">
            <v>2</v>
          </cell>
          <cell r="D51">
            <v>1</v>
          </cell>
          <cell r="E51">
            <v>0</v>
          </cell>
          <cell r="F51" t="str">
            <v>文官-招兵</v>
          </cell>
          <cell r="G51">
            <v>1.02</v>
          </cell>
          <cell r="H51">
            <v>1</v>
          </cell>
          <cell r="I51">
            <v>65.357681940700814</v>
          </cell>
          <cell r="J51">
            <v>73.991644204851752</v>
          </cell>
          <cell r="K51">
            <v>4.05</v>
          </cell>
          <cell r="L51">
            <v>5.4499999999999993</v>
          </cell>
          <cell r="M51" t="str">
            <v>法兵</v>
          </cell>
          <cell r="N51">
            <v>12030</v>
          </cell>
          <cell r="O51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51" t="str">
            <v>10,20,40,60,80</v>
          </cell>
          <cell r="Q51" t="str">
            <v>4,120,0,0,0,0</v>
          </cell>
          <cell r="R51" t="str">
            <v>4,180,5,160,0,0</v>
          </cell>
          <cell r="S51" t="str">
            <v>4,270,5,220,6,200</v>
          </cell>
          <cell r="T51" t="str">
            <v>4,330,5,280,6,240</v>
          </cell>
          <cell r="U51" t="str">
            <v>4,390,5,340,6,300</v>
          </cell>
          <cell r="V51">
            <v>10</v>
          </cell>
          <cell r="W51">
            <v>6</v>
          </cell>
          <cell r="X51">
            <v>21510</v>
          </cell>
          <cell r="Z51">
            <v>964.28571428571399</v>
          </cell>
          <cell r="AA51">
            <v>114.79591836734691</v>
          </cell>
          <cell r="AB51">
            <v>72.005653453235041</v>
          </cell>
          <cell r="AC51">
            <v>8.5721016015756</v>
          </cell>
          <cell r="AD51">
            <v>2.5</v>
          </cell>
          <cell r="AE51">
            <v>0.40909090909090912</v>
          </cell>
        </row>
        <row r="52">
          <cell r="A52" t="str">
            <v>刘表</v>
          </cell>
          <cell r="B52">
            <v>2</v>
          </cell>
          <cell r="C52">
            <v>2</v>
          </cell>
          <cell r="D52">
            <v>1</v>
          </cell>
          <cell r="E52">
            <v>0</v>
          </cell>
          <cell r="F52" t="str">
            <v>文官-招兵</v>
          </cell>
          <cell r="G52">
            <v>1.01</v>
          </cell>
          <cell r="H52">
            <v>1</v>
          </cell>
          <cell r="I52">
            <v>66.416981132075477</v>
          </cell>
          <cell r="J52">
            <v>73.991644204851752</v>
          </cell>
          <cell r="K52">
            <v>4.25</v>
          </cell>
          <cell r="L52">
            <v>5.6499999999999986</v>
          </cell>
          <cell r="M52" t="str">
            <v>法兵</v>
          </cell>
          <cell r="N52">
            <v>12021</v>
          </cell>
          <cell r="O52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52" t="str">
            <v>10,20,40,60,80</v>
          </cell>
          <cell r="Q52" t="str">
            <v>4,120,0,0,0,0</v>
          </cell>
          <cell r="R52" t="str">
            <v>4,180,5,160,0,0</v>
          </cell>
          <cell r="S52" t="str">
            <v>4,270,5,220,6,200</v>
          </cell>
          <cell r="T52" t="str">
            <v>4,330,5,280,6,240</v>
          </cell>
          <cell r="U52" t="str">
            <v>4,390,5,340,6,300</v>
          </cell>
          <cell r="V52">
            <v>10</v>
          </cell>
          <cell r="W52">
            <v>6</v>
          </cell>
          <cell r="X52">
            <v>21510</v>
          </cell>
          <cell r="Z52">
            <v>964.28571428571399</v>
          </cell>
          <cell r="AA52">
            <v>114.79591836734691</v>
          </cell>
          <cell r="AB52">
            <v>72.005653453235041</v>
          </cell>
          <cell r="AC52">
            <v>8.5721016015756</v>
          </cell>
          <cell r="AD52">
            <v>1.9444444444444444</v>
          </cell>
          <cell r="AE52">
            <v>0.31818181818181818</v>
          </cell>
        </row>
        <row r="53">
          <cell r="A53" t="str">
            <v>简雍</v>
          </cell>
          <cell r="B53">
            <v>2</v>
          </cell>
          <cell r="C53">
            <v>2</v>
          </cell>
          <cell r="D53">
            <v>1</v>
          </cell>
          <cell r="E53">
            <v>0</v>
          </cell>
          <cell r="G53">
            <v>1</v>
          </cell>
          <cell r="H53">
            <v>1</v>
          </cell>
          <cell r="I53">
            <v>66.916981132075477</v>
          </cell>
          <cell r="J53">
            <v>72.991644204851752</v>
          </cell>
          <cell r="K53">
            <v>4.05</v>
          </cell>
          <cell r="L53">
            <v>5.4499999999999993</v>
          </cell>
          <cell r="M53" t="str">
            <v>法兵</v>
          </cell>
          <cell r="N53" t="str">
            <v/>
          </cell>
          <cell r="O53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53" t="str">
            <v>10,20,40,60,80</v>
          </cell>
          <cell r="Q53" t="str">
            <v>4,120,0,0,0,0</v>
          </cell>
          <cell r="R53" t="str">
            <v>4,180,5,160,0,0</v>
          </cell>
          <cell r="S53" t="str">
            <v>4,270,5,220,6,200</v>
          </cell>
          <cell r="T53" t="str">
            <v>4,330,5,280,6,240</v>
          </cell>
          <cell r="U53" t="str">
            <v>4,390,5,340,6,300</v>
          </cell>
          <cell r="V53">
            <v>10</v>
          </cell>
          <cell r="W53">
            <v>6</v>
          </cell>
          <cell r="X53">
            <v>21510</v>
          </cell>
          <cell r="Z53">
            <v>964.28571428571399</v>
          </cell>
          <cell r="AA53">
            <v>114.79591836734691</v>
          </cell>
          <cell r="AB53">
            <v>72.005653453235041</v>
          </cell>
          <cell r="AC53">
            <v>8.5721016015756</v>
          </cell>
          <cell r="AD53">
            <v>1.3888888888888888</v>
          </cell>
          <cell r="AE53">
            <v>0.22727272727272727</v>
          </cell>
        </row>
        <row r="54">
          <cell r="A54" t="str">
            <v>伦直</v>
          </cell>
          <cell r="B54">
            <v>2</v>
          </cell>
          <cell r="C54">
            <v>1</v>
          </cell>
          <cell r="D54">
            <v>0</v>
          </cell>
          <cell r="E54">
            <v>0</v>
          </cell>
          <cell r="G54">
            <v>1.04</v>
          </cell>
          <cell r="H54">
            <v>1</v>
          </cell>
          <cell r="I54">
            <v>73.874663072776286</v>
          </cell>
          <cell r="J54">
            <v>59.824797843665763</v>
          </cell>
          <cell r="K54">
            <v>3.3499999999999996</v>
          </cell>
          <cell r="L54">
            <v>2.6499999999999995</v>
          </cell>
          <cell r="M54" t="str">
            <v>法兵</v>
          </cell>
          <cell r="N54" t="str">
            <v/>
          </cell>
          <cell r="O54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4" t="str">
            <v>10,20,40,60,80</v>
          </cell>
          <cell r="Q54" t="str">
            <v>4,90,0,0,0,0</v>
          </cell>
          <cell r="R54" t="str">
            <v>4,150,5,120,0,0</v>
          </cell>
          <cell r="S54" t="str">
            <v>4,180,5,160,6,140</v>
          </cell>
          <cell r="T54" t="str">
            <v>4,240,5,200,6,180</v>
          </cell>
          <cell r="U54" t="str">
            <v>4,300,5,240,6,220</v>
          </cell>
          <cell r="V54">
            <v>1</v>
          </cell>
          <cell r="W54">
            <v>4</v>
          </cell>
          <cell r="X54">
            <v>21510</v>
          </cell>
          <cell r="Z54">
            <v>899.99999999999966</v>
          </cell>
          <cell r="AA54">
            <v>107.14285714285711</v>
          </cell>
          <cell r="AB54">
            <v>67.2052765563527</v>
          </cell>
          <cell r="AC54">
            <v>8.0006281614705603</v>
          </cell>
          <cell r="AD54">
            <v>0.37383177570093457</v>
          </cell>
          <cell r="AE54">
            <v>9.4786729857819899E-2</v>
          </cell>
        </row>
        <row r="55">
          <cell r="A55" t="str">
            <v>何植</v>
          </cell>
          <cell r="B55">
            <v>2</v>
          </cell>
          <cell r="C55">
            <v>1</v>
          </cell>
          <cell r="D55">
            <v>0</v>
          </cell>
          <cell r="E55">
            <v>0</v>
          </cell>
          <cell r="G55">
            <v>1.03</v>
          </cell>
          <cell r="H55">
            <v>1</v>
          </cell>
          <cell r="I55">
            <v>72.315363881401623</v>
          </cell>
          <cell r="J55">
            <v>60.415094339622641</v>
          </cell>
          <cell r="K55">
            <v>3.3499999999999996</v>
          </cell>
          <cell r="L55">
            <v>2.6499999999999995</v>
          </cell>
          <cell r="M55" t="str">
            <v>法兵</v>
          </cell>
          <cell r="N55" t="str">
            <v/>
          </cell>
          <cell r="O55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5" t="str">
            <v>10,20,40,60,80</v>
          </cell>
          <cell r="Q55" t="str">
            <v>4,90,0,0,0,0</v>
          </cell>
          <cell r="R55" t="str">
            <v>4,150,5,120,0,0</v>
          </cell>
          <cell r="S55" t="str">
            <v>4,180,5,160,6,140</v>
          </cell>
          <cell r="T55" t="str">
            <v>4,240,5,200,6,180</v>
          </cell>
          <cell r="U55" t="str">
            <v>4,300,5,240,6,220</v>
          </cell>
          <cell r="V55">
            <v>1</v>
          </cell>
          <cell r="W55">
            <v>4</v>
          </cell>
          <cell r="X55">
            <v>21510</v>
          </cell>
          <cell r="Z55">
            <v>899.99999999999966</v>
          </cell>
          <cell r="AA55">
            <v>107.14285714285711</v>
          </cell>
          <cell r="AB55">
            <v>67.2052765563527</v>
          </cell>
          <cell r="AC55">
            <v>8.0006281614705603</v>
          </cell>
          <cell r="AD55">
            <v>0.3364485981308411</v>
          </cell>
          <cell r="AE55">
            <v>8.5308056872037921E-2</v>
          </cell>
        </row>
        <row r="56">
          <cell r="A56" t="str">
            <v>韩玄</v>
          </cell>
          <cell r="B56">
            <v>2</v>
          </cell>
          <cell r="C56">
            <v>1</v>
          </cell>
          <cell r="D56">
            <v>0</v>
          </cell>
          <cell r="E56">
            <v>0</v>
          </cell>
          <cell r="G56">
            <v>1.02</v>
          </cell>
          <cell r="H56">
            <v>1</v>
          </cell>
          <cell r="I56">
            <v>68.845013477088955</v>
          </cell>
          <cell r="J56">
            <v>56.706199460916437</v>
          </cell>
          <cell r="K56">
            <v>3.8499999999999996</v>
          </cell>
          <cell r="L56">
            <v>3.1499999999999995</v>
          </cell>
          <cell r="M56" t="str">
            <v>法兵</v>
          </cell>
          <cell r="N56" t="str">
            <v/>
          </cell>
          <cell r="O56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6" t="str">
            <v>10,20,40,60,80</v>
          </cell>
          <cell r="Q56" t="str">
            <v>4,90,0,0,0,0</v>
          </cell>
          <cell r="R56" t="str">
            <v>4,150,5,120,0,0</v>
          </cell>
          <cell r="S56" t="str">
            <v>4,180,5,160,6,140</v>
          </cell>
          <cell r="T56" t="str">
            <v>4,240,5,200,6,180</v>
          </cell>
          <cell r="U56" t="str">
            <v>4,300,5,240,6,220</v>
          </cell>
          <cell r="V56">
            <v>1</v>
          </cell>
          <cell r="W56">
            <v>4</v>
          </cell>
          <cell r="X56">
            <v>21510</v>
          </cell>
          <cell r="Z56">
            <v>899.99999999999966</v>
          </cell>
          <cell r="AA56">
            <v>107.14285714285711</v>
          </cell>
          <cell r="AB56">
            <v>67.2052765563527</v>
          </cell>
          <cell r="AC56">
            <v>8.0006281614705603</v>
          </cell>
          <cell r="AD56">
            <v>0.29906542056074764</v>
          </cell>
          <cell r="AE56">
            <v>7.582938388625593E-2</v>
          </cell>
        </row>
        <row r="57">
          <cell r="A57" t="str">
            <v>王祥</v>
          </cell>
          <cell r="B57">
            <v>2</v>
          </cell>
          <cell r="C57">
            <v>1</v>
          </cell>
          <cell r="D57">
            <v>0</v>
          </cell>
          <cell r="E57">
            <v>0</v>
          </cell>
          <cell r="G57">
            <v>1.01</v>
          </cell>
          <cell r="H57">
            <v>1</v>
          </cell>
          <cell r="I57">
            <v>72.315363881401623</v>
          </cell>
          <cell r="J57">
            <v>56.706199460916437</v>
          </cell>
          <cell r="K57">
            <v>3.7499999999999996</v>
          </cell>
          <cell r="L57">
            <v>3.0499999999999994</v>
          </cell>
          <cell r="M57" t="str">
            <v>法兵</v>
          </cell>
          <cell r="N57" t="str">
            <v/>
          </cell>
          <cell r="O57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7" t="str">
            <v>10,20,40,60,80</v>
          </cell>
          <cell r="Q57" t="str">
            <v>4,90,0,0,0,0</v>
          </cell>
          <cell r="R57" t="str">
            <v>4,150,5,120,0,0</v>
          </cell>
          <cell r="S57" t="str">
            <v>4,180,5,160,6,140</v>
          </cell>
          <cell r="T57" t="str">
            <v>4,240,5,200,6,180</v>
          </cell>
          <cell r="U57" t="str">
            <v>4,300,5,240,6,220</v>
          </cell>
          <cell r="V57">
            <v>1</v>
          </cell>
          <cell r="W57">
            <v>4</v>
          </cell>
          <cell r="X57">
            <v>21510</v>
          </cell>
          <cell r="Z57">
            <v>899.99999999999966</v>
          </cell>
          <cell r="AA57">
            <v>107.14285714285711</v>
          </cell>
          <cell r="AB57">
            <v>67.2052765563527</v>
          </cell>
          <cell r="AC57">
            <v>8.0006281614705603</v>
          </cell>
          <cell r="AD57">
            <v>0.26168224299065418</v>
          </cell>
          <cell r="AE57">
            <v>6.6350710900473939E-2</v>
          </cell>
        </row>
        <row r="58">
          <cell r="A58" t="str">
            <v>孙乾</v>
          </cell>
          <cell r="B58">
            <v>2</v>
          </cell>
          <cell r="C58">
            <v>1</v>
          </cell>
          <cell r="D58">
            <v>0</v>
          </cell>
          <cell r="E58">
            <v>0</v>
          </cell>
          <cell r="G58">
            <v>1</v>
          </cell>
          <cell r="H58">
            <v>1</v>
          </cell>
          <cell r="I58">
            <v>71.815363881401623</v>
          </cell>
          <cell r="J58">
            <v>59.824797843665763</v>
          </cell>
          <cell r="K58">
            <v>3.65</v>
          </cell>
          <cell r="L58">
            <v>2.9499999999999997</v>
          </cell>
          <cell r="M58" t="str">
            <v>法兵</v>
          </cell>
          <cell r="N58" t="str">
            <v/>
          </cell>
          <cell r="O58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58" t="str">
            <v>10,20,40,60,80</v>
          </cell>
          <cell r="Q58" t="str">
            <v>4,90,0,0,0,0</v>
          </cell>
          <cell r="R58" t="str">
            <v>4,150,5,120,0,0</v>
          </cell>
          <cell r="S58" t="str">
            <v>4,180,5,160,6,140</v>
          </cell>
          <cell r="T58" t="str">
            <v>4,240,5,200,6,180</v>
          </cell>
          <cell r="U58" t="str">
            <v>4,300,5,240,6,220</v>
          </cell>
          <cell r="V58">
            <v>1</v>
          </cell>
          <cell r="W58">
            <v>4</v>
          </cell>
          <cell r="X58">
            <v>21510</v>
          </cell>
          <cell r="Z58">
            <v>899.99999999999966</v>
          </cell>
          <cell r="AA58">
            <v>107.14285714285711</v>
          </cell>
          <cell r="AB58">
            <v>67.2052765563527</v>
          </cell>
          <cell r="AC58">
            <v>8.0006281614705603</v>
          </cell>
          <cell r="AD58">
            <v>0.22429906542056074</v>
          </cell>
          <cell r="AE58">
            <v>5.6872037914691941E-2</v>
          </cell>
        </row>
        <row r="59">
          <cell r="A59" t="str">
            <v>曹洪</v>
          </cell>
          <cell r="B59">
            <v>0</v>
          </cell>
          <cell r="C59">
            <v>3</v>
          </cell>
          <cell r="D59">
            <v>2</v>
          </cell>
          <cell r="E59">
            <v>1</v>
          </cell>
          <cell r="F59" t="str">
            <v>武官-砍将</v>
          </cell>
          <cell r="G59">
            <v>1.06</v>
          </cell>
          <cell r="H59">
            <v>1</v>
          </cell>
          <cell r="I59">
            <v>156.37008086253368</v>
          </cell>
          <cell r="J59">
            <v>44.885714285714286</v>
          </cell>
          <cell r="K59">
            <v>5.7249999999999988</v>
          </cell>
          <cell r="L59">
            <v>3.2749999999999999</v>
          </cell>
          <cell r="M59" t="str">
            <v>枪兵</v>
          </cell>
          <cell r="N59">
            <v>12028</v>
          </cell>
          <cell r="O59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59" t="str">
            <v>10,20,40,60,80</v>
          </cell>
          <cell r="Q59" t="str">
            <v>4,150,0,0,0,0</v>
          </cell>
          <cell r="R59" t="str">
            <v>4,240,5,200,0,0</v>
          </cell>
          <cell r="S59" t="str">
            <v>4,330,5,280,6,240</v>
          </cell>
          <cell r="T59" t="str">
            <v>4,420,5,360,6,300</v>
          </cell>
          <cell r="U59" t="str">
            <v>4,480,5,420,6,360</v>
          </cell>
          <cell r="V59">
            <v>20</v>
          </cell>
          <cell r="W59">
            <v>8</v>
          </cell>
          <cell r="X59">
            <v>21505</v>
          </cell>
          <cell r="Z59">
            <v>2057.1428571428564</v>
          </cell>
          <cell r="AA59">
            <v>244.89795918367341</v>
          </cell>
          <cell r="AB59">
            <v>59.081561807782592</v>
          </cell>
          <cell r="AC59">
            <v>7.0335192628312617</v>
          </cell>
          <cell r="AD59">
            <v>22.01834862385321</v>
          </cell>
          <cell r="AE59">
            <v>2.6086956521739131</v>
          </cell>
        </row>
        <row r="60">
          <cell r="A60" t="str">
            <v>曹仁</v>
          </cell>
          <cell r="B60">
            <v>0</v>
          </cell>
          <cell r="C60">
            <v>3</v>
          </cell>
          <cell r="D60">
            <v>2</v>
          </cell>
          <cell r="E60">
            <v>1</v>
          </cell>
          <cell r="F60" t="str">
            <v>武官-砍将</v>
          </cell>
          <cell r="G60">
            <v>1.06</v>
          </cell>
          <cell r="H60">
            <v>1.05</v>
          </cell>
          <cell r="I60">
            <v>208.4609164420485</v>
          </cell>
          <cell r="J60">
            <v>27.466307277628033</v>
          </cell>
          <cell r="K60">
            <v>5.0749999999999993</v>
          </cell>
          <cell r="L60">
            <v>2.625</v>
          </cell>
          <cell r="M60" t="str">
            <v>步兵</v>
          </cell>
          <cell r="N60" t="str">
            <v>12028,12035</v>
          </cell>
          <cell r="O60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0" t="str">
            <v>10,20,40,60,80</v>
          </cell>
          <cell r="Q60" t="str">
            <v>4,150,0,0,0,0</v>
          </cell>
          <cell r="R60" t="str">
            <v>4,240,5,200,0,0</v>
          </cell>
          <cell r="S60" t="str">
            <v>4,330,5,280,6,240</v>
          </cell>
          <cell r="T60" t="str">
            <v>4,420,5,360,6,300</v>
          </cell>
          <cell r="U60" t="str">
            <v>4,480,5,420,6,360</v>
          </cell>
          <cell r="V60">
            <v>20</v>
          </cell>
          <cell r="W60">
            <v>8</v>
          </cell>
          <cell r="X60">
            <v>21502</v>
          </cell>
          <cell r="Z60">
            <v>2159.9999999999995</v>
          </cell>
          <cell r="AA60">
            <v>257.14285714285711</v>
          </cell>
          <cell r="AB60">
            <v>56.268154102650087</v>
          </cell>
          <cell r="AC60">
            <v>6.6985897741250104</v>
          </cell>
          <cell r="AD60">
            <v>22.01834862385321</v>
          </cell>
          <cell r="AE60">
            <v>2.6086956521739131</v>
          </cell>
        </row>
        <row r="61">
          <cell r="A61" t="str">
            <v>潘凤</v>
          </cell>
          <cell r="B61">
            <v>0</v>
          </cell>
          <cell r="C61">
            <v>3</v>
          </cell>
          <cell r="D61">
            <v>2</v>
          </cell>
          <cell r="E61">
            <v>1</v>
          </cell>
          <cell r="F61" t="str">
            <v>武官-砍将</v>
          </cell>
          <cell r="G61">
            <v>1.05</v>
          </cell>
          <cell r="H61">
            <v>1.05</v>
          </cell>
          <cell r="I61">
            <v>184.26576819407009</v>
          </cell>
          <cell r="J61">
            <v>41.585444743935312</v>
          </cell>
          <cell r="K61">
            <v>5.5749999999999993</v>
          </cell>
          <cell r="L61">
            <v>3.1249999999999996</v>
          </cell>
          <cell r="M61" t="str">
            <v>步兵</v>
          </cell>
          <cell r="N61" t="str">
            <v/>
          </cell>
          <cell r="O61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1" t="str">
            <v>10,20,40,60,80</v>
          </cell>
          <cell r="Q61" t="str">
            <v>4,150,0,0,0,0</v>
          </cell>
          <cell r="R61" t="str">
            <v>4,240,5,200,0,0</v>
          </cell>
          <cell r="S61" t="str">
            <v>4,330,5,280,6,240</v>
          </cell>
          <cell r="T61" t="str">
            <v>4,420,5,360,6,300</v>
          </cell>
          <cell r="U61" t="str">
            <v>4,480,5,420,6,360</v>
          </cell>
          <cell r="V61">
            <v>20</v>
          </cell>
          <cell r="W61">
            <v>8</v>
          </cell>
          <cell r="X61">
            <v>21502</v>
          </cell>
          <cell r="Z61">
            <v>2159.9999999999995</v>
          </cell>
          <cell r="AA61">
            <v>257.14285714285711</v>
          </cell>
          <cell r="AB61">
            <v>56.268154102650087</v>
          </cell>
          <cell r="AC61">
            <v>6.6985897741250104</v>
          </cell>
          <cell r="AD61">
            <v>20.183486238532112</v>
          </cell>
          <cell r="AE61">
            <v>2.3913043478260869</v>
          </cell>
        </row>
        <row r="62">
          <cell r="A62" t="str">
            <v>华雄</v>
          </cell>
          <cell r="B62">
            <v>0</v>
          </cell>
          <cell r="C62">
            <v>3</v>
          </cell>
          <cell r="D62">
            <v>2</v>
          </cell>
          <cell r="E62">
            <v>1</v>
          </cell>
          <cell r="F62" t="str">
            <v>武官-杀将</v>
          </cell>
          <cell r="G62">
            <v>1.04</v>
          </cell>
          <cell r="H62">
            <v>1.05</v>
          </cell>
          <cell r="I62">
            <v>184.51940700808623</v>
          </cell>
          <cell r="J62">
            <v>36.947169811320755</v>
          </cell>
          <cell r="K62">
            <v>5.3749999999999991</v>
          </cell>
          <cell r="L62">
            <v>2.9249999999999998</v>
          </cell>
          <cell r="M62" t="str">
            <v>步兵</v>
          </cell>
          <cell r="N62" t="str">
            <v>12024,12026</v>
          </cell>
          <cell r="O62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2" t="str">
            <v>10,20,40,60,80</v>
          </cell>
          <cell r="Q62" t="str">
            <v>4,150,0,0,0,0</v>
          </cell>
          <cell r="R62" t="str">
            <v>4,240,5,200,0,0</v>
          </cell>
          <cell r="S62" t="str">
            <v>4,330,5,280,6,240</v>
          </cell>
          <cell r="T62" t="str">
            <v>4,420,5,360,6,300</v>
          </cell>
          <cell r="U62" t="str">
            <v>4,480,5,420,6,360</v>
          </cell>
          <cell r="V62">
            <v>20</v>
          </cell>
          <cell r="W62">
            <v>8</v>
          </cell>
          <cell r="X62">
            <v>21502</v>
          </cell>
          <cell r="Z62">
            <v>2159.9999999999995</v>
          </cell>
          <cell r="AA62">
            <v>257.14285714285711</v>
          </cell>
          <cell r="AB62">
            <v>56.268154102650087</v>
          </cell>
          <cell r="AC62">
            <v>6.6985897741250104</v>
          </cell>
          <cell r="AD62">
            <v>18.348623853211009</v>
          </cell>
          <cell r="AE62">
            <v>2.1739130434782608</v>
          </cell>
        </row>
        <row r="63">
          <cell r="A63" t="str">
            <v>颜良</v>
          </cell>
          <cell r="B63">
            <v>0</v>
          </cell>
          <cell r="C63">
            <v>3</v>
          </cell>
          <cell r="D63">
            <v>2</v>
          </cell>
          <cell r="E63">
            <v>1</v>
          </cell>
          <cell r="F63" t="str">
            <v>武官-杀将</v>
          </cell>
          <cell r="G63">
            <v>1.03</v>
          </cell>
          <cell r="H63">
            <v>1</v>
          </cell>
          <cell r="I63">
            <v>156.97008086253368</v>
          </cell>
          <cell r="J63">
            <v>44.085714285714282</v>
          </cell>
          <cell r="K63">
            <v>5.8249999999999993</v>
          </cell>
          <cell r="L63">
            <v>3.3749999999999996</v>
          </cell>
          <cell r="M63" t="str">
            <v>枪兵</v>
          </cell>
          <cell r="N63">
            <v>12025</v>
          </cell>
          <cell r="O63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3" t="str">
            <v>10,20,40,60,80</v>
          </cell>
          <cell r="Q63" t="str">
            <v>4,150,0,0,0,0</v>
          </cell>
          <cell r="R63" t="str">
            <v>4,240,5,200,0,0</v>
          </cell>
          <cell r="S63" t="str">
            <v>4,330,5,280,6,240</v>
          </cell>
          <cell r="T63" t="str">
            <v>4,420,5,360,6,300</v>
          </cell>
          <cell r="U63" t="str">
            <v>4,480,5,420,6,360</v>
          </cell>
          <cell r="V63">
            <v>20</v>
          </cell>
          <cell r="W63">
            <v>8</v>
          </cell>
          <cell r="X63">
            <v>21505</v>
          </cell>
          <cell r="Z63">
            <v>2057.1428571428564</v>
          </cell>
          <cell r="AA63">
            <v>244.89795918367341</v>
          </cell>
          <cell r="AB63">
            <v>59.081561807782592</v>
          </cell>
          <cell r="AC63">
            <v>7.0335192628312617</v>
          </cell>
          <cell r="AD63">
            <v>16.513761467889907</v>
          </cell>
          <cell r="AE63">
            <v>1.9565217391304348</v>
          </cell>
        </row>
        <row r="64">
          <cell r="A64" t="str">
            <v>文丑</v>
          </cell>
          <cell r="B64">
            <v>0</v>
          </cell>
          <cell r="C64">
            <v>3</v>
          </cell>
          <cell r="D64">
            <v>2</v>
          </cell>
          <cell r="E64">
            <v>1</v>
          </cell>
          <cell r="F64" t="str">
            <v>武官-杀将</v>
          </cell>
          <cell r="G64">
            <v>1.03</v>
          </cell>
          <cell r="H64">
            <v>1.05</v>
          </cell>
          <cell r="I64">
            <v>176.79999999999998</v>
          </cell>
          <cell r="J64">
            <v>41.985444743935311</v>
          </cell>
          <cell r="K64">
            <v>5.3749999999999991</v>
          </cell>
          <cell r="L64">
            <v>2.9249999999999998</v>
          </cell>
          <cell r="M64" t="str">
            <v>步兵</v>
          </cell>
          <cell r="N64">
            <v>12025</v>
          </cell>
          <cell r="O64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4" t="str">
            <v>10,20,40,60,80</v>
          </cell>
          <cell r="Q64" t="str">
            <v>4,150,0,0,0,0</v>
          </cell>
          <cell r="R64" t="str">
            <v>4,240,5,200,0,0</v>
          </cell>
          <cell r="S64" t="str">
            <v>4,330,5,280,6,240</v>
          </cell>
          <cell r="T64" t="str">
            <v>4,420,5,360,6,300</v>
          </cell>
          <cell r="U64" t="str">
            <v>4,480,5,420,6,360</v>
          </cell>
          <cell r="V64">
            <v>20</v>
          </cell>
          <cell r="W64">
            <v>8</v>
          </cell>
          <cell r="X64">
            <v>21502</v>
          </cell>
          <cell r="Z64">
            <v>2159.9999999999995</v>
          </cell>
          <cell r="AA64">
            <v>257.14285714285711</v>
          </cell>
          <cell r="AB64">
            <v>56.268154102650087</v>
          </cell>
          <cell r="AC64">
            <v>6.6985897741250104</v>
          </cell>
          <cell r="AD64">
            <v>16.513761467889907</v>
          </cell>
          <cell r="AE64">
            <v>1.9565217391304348</v>
          </cell>
        </row>
        <row r="65">
          <cell r="A65" t="str">
            <v>张绣</v>
          </cell>
          <cell r="B65">
            <v>0</v>
          </cell>
          <cell r="C65">
            <v>3</v>
          </cell>
          <cell r="D65">
            <v>2</v>
          </cell>
          <cell r="E65">
            <v>1</v>
          </cell>
          <cell r="F65" t="str">
            <v>武官-杀将</v>
          </cell>
          <cell r="G65">
            <v>1.02</v>
          </cell>
          <cell r="H65">
            <v>1</v>
          </cell>
          <cell r="I65">
            <v>155.78382749326141</v>
          </cell>
          <cell r="J65">
            <v>46.422102425876012</v>
          </cell>
          <cell r="K65">
            <v>5.7249999999999988</v>
          </cell>
          <cell r="L65">
            <v>3.2749999999999999</v>
          </cell>
          <cell r="M65" t="str">
            <v>枪兵</v>
          </cell>
          <cell r="N65">
            <v>12023</v>
          </cell>
          <cell r="O65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5" t="str">
            <v>10,20,40,60,80</v>
          </cell>
          <cell r="Q65" t="str">
            <v>4,150,0,0,0,0</v>
          </cell>
          <cell r="R65" t="str">
            <v>4,240,5,200,0,0</v>
          </cell>
          <cell r="S65" t="str">
            <v>4,330,5,280,6,240</v>
          </cell>
          <cell r="T65" t="str">
            <v>4,420,5,360,6,300</v>
          </cell>
          <cell r="U65" t="str">
            <v>4,480,5,420,6,360</v>
          </cell>
          <cell r="V65">
            <v>20</v>
          </cell>
          <cell r="W65">
            <v>8</v>
          </cell>
          <cell r="X65">
            <v>21505</v>
          </cell>
          <cell r="Z65">
            <v>2057.1428571428564</v>
          </cell>
          <cell r="AA65">
            <v>244.89795918367341</v>
          </cell>
          <cell r="AB65">
            <v>59.081561807782592</v>
          </cell>
          <cell r="AC65">
            <v>7.0335192628312617</v>
          </cell>
          <cell r="AD65">
            <v>14.678899082568808</v>
          </cell>
          <cell r="AE65">
            <v>1.7391304347826086</v>
          </cell>
        </row>
        <row r="66">
          <cell r="A66" t="str">
            <v>黄盖</v>
          </cell>
          <cell r="B66">
            <v>0</v>
          </cell>
          <cell r="C66">
            <v>3</v>
          </cell>
          <cell r="D66">
            <v>2</v>
          </cell>
          <cell r="E66">
            <v>1</v>
          </cell>
          <cell r="F66" t="str">
            <v>武官-砍将</v>
          </cell>
          <cell r="G66">
            <v>1.02</v>
          </cell>
          <cell r="H66">
            <v>1.05</v>
          </cell>
          <cell r="I66">
            <v>199.20862533692721</v>
          </cell>
          <cell r="J66">
            <v>35.023719676549867</v>
          </cell>
          <cell r="K66">
            <v>5.3749999999999991</v>
          </cell>
          <cell r="L66">
            <v>2.9249999999999998</v>
          </cell>
          <cell r="M66" t="str">
            <v>步兵</v>
          </cell>
          <cell r="N66" t="str">
            <v>12012,12032</v>
          </cell>
          <cell r="O66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6" t="str">
            <v>10,20,40,60,80</v>
          </cell>
          <cell r="Q66" t="str">
            <v>4,150,0,0,0,0</v>
          </cell>
          <cell r="R66" t="str">
            <v>4,240,5,200,0,0</v>
          </cell>
          <cell r="S66" t="str">
            <v>4,330,5,280,6,240</v>
          </cell>
          <cell r="T66" t="str">
            <v>4,420,5,360,6,300</v>
          </cell>
          <cell r="U66" t="str">
            <v>4,480,5,420,6,360</v>
          </cell>
          <cell r="V66">
            <v>20</v>
          </cell>
          <cell r="W66">
            <v>8</v>
          </cell>
          <cell r="X66">
            <v>21502</v>
          </cell>
          <cell r="Z66">
            <v>2159.9999999999995</v>
          </cell>
          <cell r="AA66">
            <v>257.14285714285711</v>
          </cell>
          <cell r="AB66">
            <v>56.268154102650087</v>
          </cell>
          <cell r="AC66">
            <v>6.6985897741250104</v>
          </cell>
          <cell r="AD66">
            <v>14.678899082568808</v>
          </cell>
          <cell r="AE66">
            <v>1.7391304347826086</v>
          </cell>
        </row>
        <row r="67">
          <cell r="A67" t="str">
            <v>张宝</v>
          </cell>
          <cell r="B67">
            <v>0</v>
          </cell>
          <cell r="C67">
            <v>3</v>
          </cell>
          <cell r="D67">
            <v>2</v>
          </cell>
          <cell r="E67">
            <v>1</v>
          </cell>
          <cell r="G67">
            <v>1.01</v>
          </cell>
          <cell r="H67">
            <v>1.05</v>
          </cell>
          <cell r="I67">
            <v>197.5574123989218</v>
          </cell>
          <cell r="J67">
            <v>39.661994609164417</v>
          </cell>
          <cell r="K67">
            <v>5.5749999999999993</v>
          </cell>
          <cell r="L67">
            <v>3.1249999999999996</v>
          </cell>
          <cell r="M67" t="str">
            <v>步兵</v>
          </cell>
          <cell r="N67">
            <v>12007</v>
          </cell>
          <cell r="O67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7" t="str">
            <v>10,20,40,60,80</v>
          </cell>
          <cell r="Q67" t="str">
            <v>4,150,0,0,0,0</v>
          </cell>
          <cell r="R67" t="str">
            <v>4,240,5,200,0,0</v>
          </cell>
          <cell r="S67" t="str">
            <v>4,330,5,280,6,240</v>
          </cell>
          <cell r="T67" t="str">
            <v>4,420,5,360,6,300</v>
          </cell>
          <cell r="U67" t="str">
            <v>4,480,5,420,6,360</v>
          </cell>
          <cell r="V67">
            <v>20</v>
          </cell>
          <cell r="W67">
            <v>8</v>
          </cell>
          <cell r="X67">
            <v>21502</v>
          </cell>
          <cell r="Z67">
            <v>2159.9999999999995</v>
          </cell>
          <cell r="AA67">
            <v>257.14285714285711</v>
          </cell>
          <cell r="AB67">
            <v>56.268154102650087</v>
          </cell>
          <cell r="AC67">
            <v>6.6985897741250104</v>
          </cell>
          <cell r="AD67">
            <v>12.844036697247706</v>
          </cell>
          <cell r="AE67">
            <v>1.5217391304347827</v>
          </cell>
        </row>
        <row r="68">
          <cell r="A68" t="str">
            <v>董卓</v>
          </cell>
          <cell r="B68">
            <v>0</v>
          </cell>
          <cell r="C68">
            <v>3</v>
          </cell>
          <cell r="D68">
            <v>2</v>
          </cell>
          <cell r="E68">
            <v>1</v>
          </cell>
          <cell r="F68" t="str">
            <v>武官-杀将</v>
          </cell>
          <cell r="G68">
            <v>1</v>
          </cell>
          <cell r="H68">
            <v>1.05</v>
          </cell>
          <cell r="I68">
            <v>192.1622641509434</v>
          </cell>
          <cell r="J68">
            <v>34.170889487870618</v>
          </cell>
          <cell r="K68">
            <v>5.3749999999999991</v>
          </cell>
          <cell r="L68">
            <v>2.9249999999999998</v>
          </cell>
          <cell r="M68" t="str">
            <v>步兵</v>
          </cell>
          <cell r="N68" t="str">
            <v>12024,12026,12036</v>
          </cell>
          <cell r="O68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68" t="str">
            <v>10,20,40,60,80</v>
          </cell>
          <cell r="Q68" t="str">
            <v>4,150,0,0,0,0</v>
          </cell>
          <cell r="R68" t="str">
            <v>4,240,5,200,0,0</v>
          </cell>
          <cell r="S68" t="str">
            <v>4,330,5,280,6,240</v>
          </cell>
          <cell r="T68" t="str">
            <v>4,420,5,360,6,300</v>
          </cell>
          <cell r="U68" t="str">
            <v>4,480,5,420,6,360</v>
          </cell>
          <cell r="V68">
            <v>20</v>
          </cell>
          <cell r="W68">
            <v>8</v>
          </cell>
          <cell r="X68">
            <v>21502</v>
          </cell>
          <cell r="Z68">
            <v>2159.9999999999995</v>
          </cell>
          <cell r="AA68">
            <v>257.14285714285711</v>
          </cell>
          <cell r="AB68">
            <v>56.268154102650087</v>
          </cell>
          <cell r="AC68">
            <v>6.6985897741250104</v>
          </cell>
          <cell r="AD68">
            <v>11.009174311926605</v>
          </cell>
          <cell r="AE68">
            <v>1.3043478260869565</v>
          </cell>
        </row>
        <row r="69">
          <cell r="A69" t="str">
            <v>蔡瑁</v>
          </cell>
          <cell r="B69">
            <v>0</v>
          </cell>
          <cell r="C69">
            <v>2</v>
          </cell>
          <cell r="D69">
            <v>1</v>
          </cell>
          <cell r="E69">
            <v>1</v>
          </cell>
          <cell r="F69" t="str">
            <v>武官-杀将</v>
          </cell>
          <cell r="G69">
            <v>1.04</v>
          </cell>
          <cell r="H69">
            <v>1</v>
          </cell>
          <cell r="I69">
            <v>163.71293800539087</v>
          </cell>
          <cell r="J69">
            <v>32.374663072776279</v>
          </cell>
          <cell r="K69">
            <v>3.6749999999999998</v>
          </cell>
          <cell r="L69">
            <v>2.2750000000000004</v>
          </cell>
          <cell r="M69" t="str">
            <v>枪兵</v>
          </cell>
          <cell r="N69" t="str">
            <v/>
          </cell>
          <cell r="O69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69" t="str">
            <v>10,20,40,60,80</v>
          </cell>
          <cell r="Q69" t="str">
            <v>4,120,0,0,0,0</v>
          </cell>
          <cell r="R69" t="str">
            <v>4,180,5,160,0,0</v>
          </cell>
          <cell r="S69" t="str">
            <v>4,270,5,220,6,200</v>
          </cell>
          <cell r="T69" t="str">
            <v>4,330,5,280,6,240</v>
          </cell>
          <cell r="U69" t="str">
            <v>4,390,5,340,6,300</v>
          </cell>
          <cell r="V69">
            <v>10</v>
          </cell>
          <cell r="W69">
            <v>6</v>
          </cell>
          <cell r="X69">
            <v>21504</v>
          </cell>
          <cell r="Z69">
            <v>1928.571428571428</v>
          </cell>
          <cell r="AA69">
            <v>229.59183673469383</v>
          </cell>
          <cell r="AB69">
            <v>55.388964194796174</v>
          </cell>
          <cell r="AC69">
            <v>6.5939243089043069</v>
          </cell>
          <cell r="AD69">
            <v>3.6111111111111112</v>
          </cell>
          <cell r="AE69">
            <v>0.59090909090909094</v>
          </cell>
        </row>
        <row r="70">
          <cell r="A70" t="str">
            <v>纪灵</v>
          </cell>
          <cell r="B70">
            <v>0</v>
          </cell>
          <cell r="C70">
            <v>2</v>
          </cell>
          <cell r="D70">
            <v>1</v>
          </cell>
          <cell r="E70">
            <v>1</v>
          </cell>
          <cell r="F70" t="str">
            <v>武官-杀将</v>
          </cell>
          <cell r="G70">
            <v>1.03</v>
          </cell>
          <cell r="H70">
            <v>1</v>
          </cell>
          <cell r="I70">
            <v>160.7180592991914</v>
          </cell>
          <cell r="J70">
            <v>33.622102425876008</v>
          </cell>
          <cell r="K70">
            <v>3.7749999999999995</v>
          </cell>
          <cell r="L70">
            <v>2.3750000000000004</v>
          </cell>
          <cell r="M70" t="str">
            <v>枪兵</v>
          </cell>
          <cell r="N70" t="str">
            <v/>
          </cell>
          <cell r="O70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0" t="str">
            <v>10,20,40,60,80</v>
          </cell>
          <cell r="Q70" t="str">
            <v>4,120,0,0,0,0</v>
          </cell>
          <cell r="R70" t="str">
            <v>4,180,5,160,0,0</v>
          </cell>
          <cell r="S70" t="str">
            <v>4,270,5,220,6,200</v>
          </cell>
          <cell r="T70" t="str">
            <v>4,330,5,280,6,240</v>
          </cell>
          <cell r="U70" t="str">
            <v>4,390,5,340,6,300</v>
          </cell>
          <cell r="V70">
            <v>10</v>
          </cell>
          <cell r="W70">
            <v>6</v>
          </cell>
          <cell r="X70">
            <v>21504</v>
          </cell>
          <cell r="Z70">
            <v>1928.571428571428</v>
          </cell>
          <cell r="AA70">
            <v>229.59183673469383</v>
          </cell>
          <cell r="AB70">
            <v>55.388964194796174</v>
          </cell>
          <cell r="AC70">
            <v>6.5939243089043069</v>
          </cell>
          <cell r="AD70">
            <v>3.0555555555555554</v>
          </cell>
          <cell r="AE70">
            <v>0.5</v>
          </cell>
        </row>
        <row r="71">
          <cell r="A71" t="str">
            <v>李典</v>
          </cell>
          <cell r="B71">
            <v>0</v>
          </cell>
          <cell r="C71">
            <v>2</v>
          </cell>
          <cell r="D71">
            <v>1</v>
          </cell>
          <cell r="E71">
            <v>1</v>
          </cell>
          <cell r="G71">
            <v>1.03</v>
          </cell>
          <cell r="H71">
            <v>1.05</v>
          </cell>
          <cell r="I71">
            <v>209.50161725067386</v>
          </cell>
          <cell r="J71">
            <v>14.337466307277628</v>
          </cell>
          <cell r="K71">
            <v>3.2750000000000004</v>
          </cell>
          <cell r="L71">
            <v>1.8750000000000004</v>
          </cell>
          <cell r="M71" t="str">
            <v>步兵</v>
          </cell>
          <cell r="N71" t="str">
            <v/>
          </cell>
          <cell r="O71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1" t="str">
            <v>10,20,40,60,80</v>
          </cell>
          <cell r="Q71" t="str">
            <v>4,120,0,0,0,0</v>
          </cell>
          <cell r="R71" t="str">
            <v>4,180,5,160,0,0</v>
          </cell>
          <cell r="S71" t="str">
            <v>4,270,5,220,6,200</v>
          </cell>
          <cell r="T71" t="str">
            <v>4,330,5,280,6,240</v>
          </cell>
          <cell r="U71" t="str">
            <v>4,390,5,340,6,300</v>
          </cell>
          <cell r="V71">
            <v>10</v>
          </cell>
          <cell r="W71">
            <v>6</v>
          </cell>
          <cell r="X71">
            <v>21501</v>
          </cell>
          <cell r="Z71">
            <v>2024.9999999999995</v>
          </cell>
          <cell r="AA71">
            <v>241.07142857142853</v>
          </cell>
          <cell r="AB71">
            <v>52.751394471234448</v>
          </cell>
          <cell r="AC71">
            <v>6.2799279132421963</v>
          </cell>
          <cell r="AD71">
            <v>3.0555555555555554</v>
          </cell>
          <cell r="AE71">
            <v>0.5</v>
          </cell>
        </row>
        <row r="72">
          <cell r="A72" t="str">
            <v>管亥</v>
          </cell>
          <cell r="B72">
            <v>0</v>
          </cell>
          <cell r="C72">
            <v>2</v>
          </cell>
          <cell r="D72">
            <v>1</v>
          </cell>
          <cell r="E72">
            <v>1</v>
          </cell>
          <cell r="F72" t="str">
            <v>武官-杀将</v>
          </cell>
          <cell r="G72">
            <v>1.02</v>
          </cell>
          <cell r="H72">
            <v>1</v>
          </cell>
          <cell r="I72">
            <v>162.1536388140162</v>
          </cell>
          <cell r="J72">
            <v>32.374663072776279</v>
          </cell>
          <cell r="K72">
            <v>3.7749999999999999</v>
          </cell>
          <cell r="L72">
            <v>2.3750000000000004</v>
          </cell>
          <cell r="M72" t="str">
            <v>枪兵</v>
          </cell>
          <cell r="N72" t="str">
            <v/>
          </cell>
          <cell r="O72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2" t="str">
            <v>10,20,40,60,80</v>
          </cell>
          <cell r="Q72" t="str">
            <v>4,120,0,0,0,0</v>
          </cell>
          <cell r="R72" t="str">
            <v>4,180,5,160,0,0</v>
          </cell>
          <cell r="S72" t="str">
            <v>4,270,5,220,6,200</v>
          </cell>
          <cell r="T72" t="str">
            <v>4,330,5,280,6,240</v>
          </cell>
          <cell r="U72" t="str">
            <v>4,390,5,340,6,300</v>
          </cell>
          <cell r="V72">
            <v>10</v>
          </cell>
          <cell r="W72">
            <v>6</v>
          </cell>
          <cell r="X72">
            <v>21504</v>
          </cell>
          <cell r="Z72">
            <v>1928.571428571428</v>
          </cell>
          <cell r="AA72">
            <v>229.59183673469383</v>
          </cell>
          <cell r="AB72">
            <v>55.388964194796174</v>
          </cell>
          <cell r="AC72">
            <v>6.5939243089043069</v>
          </cell>
          <cell r="AD72">
            <v>2.5</v>
          </cell>
          <cell r="AE72">
            <v>0.40909090909090912</v>
          </cell>
        </row>
        <row r="73">
          <cell r="A73" t="str">
            <v>曹豹</v>
          </cell>
          <cell r="B73">
            <v>0</v>
          </cell>
          <cell r="C73">
            <v>2</v>
          </cell>
          <cell r="D73">
            <v>1</v>
          </cell>
          <cell r="E73">
            <v>1</v>
          </cell>
          <cell r="F73" t="str">
            <v>武官-砍将</v>
          </cell>
          <cell r="G73">
            <v>1.02</v>
          </cell>
          <cell r="H73">
            <v>1.05</v>
          </cell>
          <cell r="I73">
            <v>186.73072776280324</v>
          </cell>
          <cell r="J73">
            <v>26.933153638814016</v>
          </cell>
          <cell r="K73">
            <v>3.2750000000000004</v>
          </cell>
          <cell r="L73">
            <v>1.8750000000000004</v>
          </cell>
          <cell r="M73" t="str">
            <v>步兵</v>
          </cell>
          <cell r="N73" t="str">
            <v/>
          </cell>
          <cell r="O73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3" t="str">
            <v>10,20,40,60,80</v>
          </cell>
          <cell r="Q73" t="str">
            <v>4,120,0,0,0,0</v>
          </cell>
          <cell r="R73" t="str">
            <v>4,180,5,160,0,0</v>
          </cell>
          <cell r="S73" t="str">
            <v>4,270,5,220,6,200</v>
          </cell>
          <cell r="T73" t="str">
            <v>4,330,5,280,6,240</v>
          </cell>
          <cell r="U73" t="str">
            <v>4,390,5,340,6,300</v>
          </cell>
          <cell r="V73">
            <v>10</v>
          </cell>
          <cell r="W73">
            <v>6</v>
          </cell>
          <cell r="X73">
            <v>21501</v>
          </cell>
          <cell r="Z73">
            <v>2024.9999999999995</v>
          </cell>
          <cell r="AA73">
            <v>241.07142857142853</v>
          </cell>
          <cell r="AB73">
            <v>52.751394471234448</v>
          </cell>
          <cell r="AC73">
            <v>6.2799279132421963</v>
          </cell>
          <cell r="AD73">
            <v>2.5</v>
          </cell>
          <cell r="AE73">
            <v>0.40909090909090912</v>
          </cell>
        </row>
        <row r="74">
          <cell r="A74" t="str">
            <v>闵贡</v>
          </cell>
          <cell r="B74">
            <v>0</v>
          </cell>
          <cell r="C74">
            <v>2</v>
          </cell>
          <cell r="D74">
            <v>1</v>
          </cell>
          <cell r="E74">
            <v>1</v>
          </cell>
          <cell r="F74" t="str">
            <v>武官-杀将</v>
          </cell>
          <cell r="G74">
            <v>1.01</v>
          </cell>
          <cell r="H74">
            <v>1</v>
          </cell>
          <cell r="I74">
            <v>161.59433962264151</v>
          </cell>
          <cell r="J74">
            <v>32.374663072776279</v>
          </cell>
          <cell r="K74">
            <v>3.6749999999999998</v>
          </cell>
          <cell r="L74">
            <v>2.2750000000000004</v>
          </cell>
          <cell r="M74" t="str">
            <v>枪兵</v>
          </cell>
          <cell r="N74" t="str">
            <v/>
          </cell>
          <cell r="O74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4" t="str">
            <v>10,20,40,60,80</v>
          </cell>
          <cell r="Q74" t="str">
            <v>4,120,0,0,0,0</v>
          </cell>
          <cell r="R74" t="str">
            <v>4,180,5,160,0,0</v>
          </cell>
          <cell r="S74" t="str">
            <v>4,270,5,220,6,200</v>
          </cell>
          <cell r="T74" t="str">
            <v>4,330,5,280,6,240</v>
          </cell>
          <cell r="U74" t="str">
            <v>4,390,5,340,6,300</v>
          </cell>
          <cell r="V74">
            <v>10</v>
          </cell>
          <cell r="W74">
            <v>6</v>
          </cell>
          <cell r="X74">
            <v>21504</v>
          </cell>
          <cell r="Z74">
            <v>1928.571428571428</v>
          </cell>
          <cell r="AA74">
            <v>229.59183673469383</v>
          </cell>
          <cell r="AB74">
            <v>55.388964194796174</v>
          </cell>
          <cell r="AC74">
            <v>6.5939243089043069</v>
          </cell>
          <cell r="AD74">
            <v>1.9444444444444444</v>
          </cell>
          <cell r="AE74">
            <v>0.31818181818181818</v>
          </cell>
        </row>
        <row r="75">
          <cell r="A75" t="str">
            <v>蔡阳</v>
          </cell>
          <cell r="B75">
            <v>0</v>
          </cell>
          <cell r="C75">
            <v>2</v>
          </cell>
          <cell r="D75">
            <v>1</v>
          </cell>
          <cell r="E75">
            <v>1</v>
          </cell>
          <cell r="F75" t="str">
            <v>武官-杀将</v>
          </cell>
          <cell r="G75">
            <v>1.01</v>
          </cell>
          <cell r="H75">
            <v>1.05</v>
          </cell>
          <cell r="I75">
            <v>195.47978436657684</v>
          </cell>
          <cell r="J75">
            <v>28.180592991913748</v>
          </cell>
          <cell r="K75">
            <v>3.1750000000000003</v>
          </cell>
          <cell r="L75">
            <v>1.7750000000000004</v>
          </cell>
          <cell r="M75" t="str">
            <v>步兵</v>
          </cell>
          <cell r="N75" t="str">
            <v/>
          </cell>
          <cell r="O75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5" t="str">
            <v>10,20,40,60,80</v>
          </cell>
          <cell r="Q75" t="str">
            <v>4,120,0,0,0,0</v>
          </cell>
          <cell r="R75" t="str">
            <v>4,180,5,160,0,0</v>
          </cell>
          <cell r="S75" t="str">
            <v>4,270,5,220,6,200</v>
          </cell>
          <cell r="T75" t="str">
            <v>4,330,5,280,6,240</v>
          </cell>
          <cell r="U75" t="str">
            <v>4,390,5,340,6,300</v>
          </cell>
          <cell r="V75">
            <v>10</v>
          </cell>
          <cell r="W75">
            <v>6</v>
          </cell>
          <cell r="X75">
            <v>21501</v>
          </cell>
          <cell r="Z75">
            <v>2024.9999999999995</v>
          </cell>
          <cell r="AA75">
            <v>241.07142857142853</v>
          </cell>
          <cell r="AB75">
            <v>52.751394471234448</v>
          </cell>
          <cell r="AC75">
            <v>6.2799279132421963</v>
          </cell>
          <cell r="AD75">
            <v>1.9444444444444444</v>
          </cell>
          <cell r="AE75">
            <v>0.31818181818181818</v>
          </cell>
        </row>
        <row r="76">
          <cell r="A76" t="str">
            <v>张闿</v>
          </cell>
          <cell r="B76">
            <v>0</v>
          </cell>
          <cell r="C76">
            <v>2</v>
          </cell>
          <cell r="D76">
            <v>1</v>
          </cell>
          <cell r="E76">
            <v>1</v>
          </cell>
          <cell r="F76" t="str">
            <v>武官-杀将</v>
          </cell>
          <cell r="G76">
            <v>1</v>
          </cell>
          <cell r="H76">
            <v>1</v>
          </cell>
          <cell r="I76">
            <v>163.01293800539085</v>
          </cell>
          <cell r="J76">
            <v>31.974663072776281</v>
          </cell>
          <cell r="K76">
            <v>3.9749999999999996</v>
          </cell>
          <cell r="L76">
            <v>2.5750000000000002</v>
          </cell>
          <cell r="M76" t="str">
            <v>枪兵</v>
          </cell>
          <cell r="N76" t="str">
            <v/>
          </cell>
          <cell r="O76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6" t="str">
            <v>10,20,40,60,80</v>
          </cell>
          <cell r="Q76" t="str">
            <v>4,120,0,0,0,0</v>
          </cell>
          <cell r="R76" t="str">
            <v>4,180,5,160,0,0</v>
          </cell>
          <cell r="S76" t="str">
            <v>4,270,5,220,6,200</v>
          </cell>
          <cell r="T76" t="str">
            <v>4,330,5,280,6,240</v>
          </cell>
          <cell r="U76" t="str">
            <v>4,390,5,340,6,300</v>
          </cell>
          <cell r="V76">
            <v>10</v>
          </cell>
          <cell r="W76">
            <v>6</v>
          </cell>
          <cell r="X76">
            <v>21504</v>
          </cell>
          <cell r="Z76">
            <v>1928.571428571428</v>
          </cell>
          <cell r="AA76">
            <v>229.59183673469383</v>
          </cell>
          <cell r="AB76">
            <v>55.388964194796174</v>
          </cell>
          <cell r="AC76">
            <v>6.5939243089043069</v>
          </cell>
          <cell r="AD76">
            <v>1.3888888888888888</v>
          </cell>
          <cell r="AE76">
            <v>0.22727272727272727</v>
          </cell>
        </row>
        <row r="77">
          <cell r="A77" t="str">
            <v>高览</v>
          </cell>
          <cell r="B77">
            <v>0</v>
          </cell>
          <cell r="C77">
            <v>2</v>
          </cell>
          <cell r="D77">
            <v>1</v>
          </cell>
          <cell r="E77">
            <v>1</v>
          </cell>
          <cell r="F77" t="str">
            <v>武官-杀将</v>
          </cell>
          <cell r="G77">
            <v>1</v>
          </cell>
          <cell r="H77">
            <v>1.05</v>
          </cell>
          <cell r="I77">
            <v>193.09784366576821</v>
          </cell>
          <cell r="J77">
            <v>26.427493261455524</v>
          </cell>
          <cell r="K77">
            <v>3.2750000000000004</v>
          </cell>
          <cell r="L77">
            <v>1.8750000000000004</v>
          </cell>
          <cell r="M77" t="str">
            <v>步兵</v>
          </cell>
          <cell r="N77" t="str">
            <v/>
          </cell>
          <cell r="O77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77" t="str">
            <v>10,20,40,60,80</v>
          </cell>
          <cell r="Q77" t="str">
            <v>4,120,0,0,0,0</v>
          </cell>
          <cell r="R77" t="str">
            <v>4,180,5,160,0,0</v>
          </cell>
          <cell r="S77" t="str">
            <v>4,270,5,220,6,200</v>
          </cell>
          <cell r="T77" t="str">
            <v>4,330,5,280,6,240</v>
          </cell>
          <cell r="U77" t="str">
            <v>4,390,5,340,6,300</v>
          </cell>
          <cell r="V77">
            <v>10</v>
          </cell>
          <cell r="W77">
            <v>6</v>
          </cell>
          <cell r="X77">
            <v>21501</v>
          </cell>
          <cell r="Z77">
            <v>2024.9999999999995</v>
          </cell>
          <cell r="AA77">
            <v>241.07142857142853</v>
          </cell>
          <cell r="AB77">
            <v>52.751394471234448</v>
          </cell>
          <cell r="AC77">
            <v>6.2799279132421963</v>
          </cell>
          <cell r="AD77">
            <v>1.3888888888888888</v>
          </cell>
          <cell r="AE77">
            <v>0.22727272727272727</v>
          </cell>
        </row>
        <row r="78">
          <cell r="A78" t="str">
            <v>李严</v>
          </cell>
          <cell r="B78">
            <v>0</v>
          </cell>
          <cell r="C78">
            <v>1</v>
          </cell>
          <cell r="D78">
            <v>0</v>
          </cell>
          <cell r="E78">
            <v>1</v>
          </cell>
          <cell r="G78">
            <v>1.02</v>
          </cell>
          <cell r="H78">
            <v>1</v>
          </cell>
          <cell r="I78">
            <v>130.5530997304582</v>
          </cell>
          <cell r="J78">
            <v>16.928301886792454</v>
          </cell>
          <cell r="K78">
            <v>3.2499999999999996</v>
          </cell>
          <cell r="L78">
            <v>2.5499999999999998</v>
          </cell>
          <cell r="M78" t="str">
            <v>枪兵</v>
          </cell>
          <cell r="N78" t="str">
            <v/>
          </cell>
          <cell r="O78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78" t="str">
            <v>10,20,40,60,80</v>
          </cell>
          <cell r="Q78" t="str">
            <v>4,90,0,0,0,0</v>
          </cell>
          <cell r="R78" t="str">
            <v>4,150,5,120,0,0</v>
          </cell>
          <cell r="S78" t="str">
            <v>4,180,5,160,6,140</v>
          </cell>
          <cell r="T78" t="str">
            <v>4,240,5,200,6,180</v>
          </cell>
          <cell r="U78" t="str">
            <v>4,300,5,240,6,220</v>
          </cell>
          <cell r="V78">
            <v>1</v>
          </cell>
          <cell r="W78">
            <v>4</v>
          </cell>
          <cell r="X78">
            <v>21504</v>
          </cell>
          <cell r="Z78">
            <v>1799.9999999999993</v>
          </cell>
          <cell r="AA78">
            <v>214.28571428571422</v>
          </cell>
          <cell r="AB78">
            <v>51.696366581809762</v>
          </cell>
          <cell r="AC78">
            <v>6.154329354977353</v>
          </cell>
          <cell r="AD78">
            <v>0.29906542056074764</v>
          </cell>
          <cell r="AE78">
            <v>7.582938388625593E-2</v>
          </cell>
        </row>
        <row r="79">
          <cell r="A79" t="str">
            <v>严白虎</v>
          </cell>
          <cell r="B79">
            <v>0</v>
          </cell>
          <cell r="C79">
            <v>1</v>
          </cell>
          <cell r="D79">
            <v>0</v>
          </cell>
          <cell r="E79">
            <v>1</v>
          </cell>
          <cell r="G79">
            <v>1.02</v>
          </cell>
          <cell r="H79">
            <v>1.05</v>
          </cell>
          <cell r="I79">
            <v>173.67412398921834</v>
          </cell>
          <cell r="J79">
            <v>29.70943396226415</v>
          </cell>
          <cell r="K79">
            <v>3.4</v>
          </cell>
          <cell r="L79">
            <v>2.0000000000000004</v>
          </cell>
          <cell r="M79" t="str">
            <v>步兵</v>
          </cell>
          <cell r="N79" t="str">
            <v/>
          </cell>
          <cell r="O79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79" t="str">
            <v>10,20,40,60,80</v>
          </cell>
          <cell r="Q79" t="str">
            <v>4,90,0,0,0,0</v>
          </cell>
          <cell r="R79" t="str">
            <v>4,150,5,120,0,0</v>
          </cell>
          <cell r="S79" t="str">
            <v>4,180,5,160,6,140</v>
          </cell>
          <cell r="T79" t="str">
            <v>4,240,5,200,6,180</v>
          </cell>
          <cell r="U79" t="str">
            <v>4,300,5,240,6,220</v>
          </cell>
          <cell r="V79">
            <v>1</v>
          </cell>
          <cell r="W79">
            <v>4</v>
          </cell>
          <cell r="X79">
            <v>21501</v>
          </cell>
          <cell r="Z79">
            <v>1889.9999999999993</v>
          </cell>
          <cell r="AA79">
            <v>224.99999999999994</v>
          </cell>
          <cell r="AB79">
            <v>49.234634839818817</v>
          </cell>
          <cell r="AC79">
            <v>5.8612660523593831</v>
          </cell>
          <cell r="AD79">
            <v>0.29906542056074764</v>
          </cell>
          <cell r="AE79">
            <v>7.582938388625593E-2</v>
          </cell>
        </row>
        <row r="80">
          <cell r="A80" t="str">
            <v>王门</v>
          </cell>
          <cell r="B80">
            <v>0</v>
          </cell>
          <cell r="C80">
            <v>1</v>
          </cell>
          <cell r="D80">
            <v>0</v>
          </cell>
          <cell r="E80">
            <v>1</v>
          </cell>
          <cell r="G80">
            <v>1.01</v>
          </cell>
          <cell r="H80">
            <v>1</v>
          </cell>
          <cell r="I80">
            <v>129.75309973045822</v>
          </cell>
          <cell r="J80">
            <v>17.328301886792453</v>
          </cell>
          <cell r="K80">
            <v>3.2499999999999996</v>
          </cell>
          <cell r="L80">
            <v>2.5499999999999998</v>
          </cell>
          <cell r="M80" t="str">
            <v>枪兵</v>
          </cell>
          <cell r="N80" t="str">
            <v/>
          </cell>
          <cell r="O80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0" t="str">
            <v>10,20,40,60,80</v>
          </cell>
          <cell r="Q80" t="str">
            <v>4,90,0,0,0,0</v>
          </cell>
          <cell r="R80" t="str">
            <v>4,150,5,120,0,0</v>
          </cell>
          <cell r="S80" t="str">
            <v>4,180,5,160,6,140</v>
          </cell>
          <cell r="T80" t="str">
            <v>4,240,5,200,6,180</v>
          </cell>
          <cell r="U80" t="str">
            <v>4,300,5,240,6,220</v>
          </cell>
          <cell r="V80">
            <v>1</v>
          </cell>
          <cell r="W80">
            <v>4</v>
          </cell>
          <cell r="X80">
            <v>21504</v>
          </cell>
          <cell r="Z80">
            <v>1799.9999999999993</v>
          </cell>
          <cell r="AA80">
            <v>214.28571428571422</v>
          </cell>
          <cell r="AB80">
            <v>51.696366581809762</v>
          </cell>
          <cell r="AC80">
            <v>6.154329354977353</v>
          </cell>
          <cell r="AD80">
            <v>0.26168224299065418</v>
          </cell>
          <cell r="AE80">
            <v>6.6350710900473939E-2</v>
          </cell>
        </row>
        <row r="81">
          <cell r="A81" t="str">
            <v>程远志</v>
          </cell>
          <cell r="B81">
            <v>0</v>
          </cell>
          <cell r="C81">
            <v>1</v>
          </cell>
          <cell r="D81">
            <v>0</v>
          </cell>
          <cell r="E81">
            <v>1</v>
          </cell>
          <cell r="G81">
            <v>1.01</v>
          </cell>
          <cell r="H81">
            <v>1.05</v>
          </cell>
          <cell r="I81">
            <v>174.49218328840973</v>
          </cell>
          <cell r="J81">
            <v>26.933153638814016</v>
          </cell>
          <cell r="K81">
            <v>3.55</v>
          </cell>
          <cell r="L81">
            <v>2.1500000000000004</v>
          </cell>
          <cell r="M81" t="str">
            <v>步兵</v>
          </cell>
          <cell r="N81" t="str">
            <v/>
          </cell>
          <cell r="O81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1" t="str">
            <v>10,20,40,60,80</v>
          </cell>
          <cell r="Q81" t="str">
            <v>4,90,0,0,0,0</v>
          </cell>
          <cell r="R81" t="str">
            <v>4,150,5,120,0,0</v>
          </cell>
          <cell r="S81" t="str">
            <v>4,180,5,160,6,140</v>
          </cell>
          <cell r="T81" t="str">
            <v>4,240,5,200,6,180</v>
          </cell>
          <cell r="U81" t="str">
            <v>4,300,5,240,6,220</v>
          </cell>
          <cell r="V81">
            <v>1</v>
          </cell>
          <cell r="W81">
            <v>4</v>
          </cell>
          <cell r="X81">
            <v>21501</v>
          </cell>
          <cell r="Z81">
            <v>1889.9999999999993</v>
          </cell>
          <cell r="AA81">
            <v>224.99999999999994</v>
          </cell>
          <cell r="AB81">
            <v>49.234634839818817</v>
          </cell>
          <cell r="AC81">
            <v>5.8612660523593831</v>
          </cell>
          <cell r="AD81">
            <v>0.26168224299065418</v>
          </cell>
          <cell r="AE81">
            <v>6.6350710900473939E-2</v>
          </cell>
        </row>
        <row r="82">
          <cell r="A82" t="str">
            <v>马铁</v>
          </cell>
          <cell r="B82">
            <v>0</v>
          </cell>
          <cell r="C82">
            <v>1</v>
          </cell>
          <cell r="D82">
            <v>0</v>
          </cell>
          <cell r="E82">
            <v>1</v>
          </cell>
          <cell r="G82">
            <v>1</v>
          </cell>
          <cell r="H82">
            <v>1</v>
          </cell>
          <cell r="I82">
            <v>130.5530997304582</v>
          </cell>
          <cell r="J82">
            <v>16.928301886792454</v>
          </cell>
          <cell r="K82">
            <v>3.2499999999999996</v>
          </cell>
          <cell r="L82">
            <v>2.5499999999999998</v>
          </cell>
          <cell r="M82" t="str">
            <v>枪兵</v>
          </cell>
          <cell r="N82" t="str">
            <v/>
          </cell>
          <cell r="O82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2" t="str">
            <v>10,20,40,60,80</v>
          </cell>
          <cell r="Q82" t="str">
            <v>4,90,0,0,0,0</v>
          </cell>
          <cell r="R82" t="str">
            <v>4,150,5,120,0,0</v>
          </cell>
          <cell r="S82" t="str">
            <v>4,180,5,160,6,140</v>
          </cell>
          <cell r="T82" t="str">
            <v>4,240,5,200,6,180</v>
          </cell>
          <cell r="U82" t="str">
            <v>4,300,5,240,6,220</v>
          </cell>
          <cell r="V82">
            <v>1</v>
          </cell>
          <cell r="W82">
            <v>4</v>
          </cell>
          <cell r="X82">
            <v>21504</v>
          </cell>
          <cell r="Z82">
            <v>1799.9999999999993</v>
          </cell>
          <cell r="AA82">
            <v>214.28571428571422</v>
          </cell>
          <cell r="AB82">
            <v>51.696366581809762</v>
          </cell>
          <cell r="AC82">
            <v>6.154329354977353</v>
          </cell>
          <cell r="AD82">
            <v>0.22429906542056074</v>
          </cell>
          <cell r="AE82">
            <v>5.6872037914691941E-2</v>
          </cell>
        </row>
        <row r="83">
          <cell r="A83" t="str">
            <v>张横</v>
          </cell>
          <cell r="B83">
            <v>0</v>
          </cell>
          <cell r="C83">
            <v>1</v>
          </cell>
          <cell r="D83">
            <v>0</v>
          </cell>
          <cell r="E83">
            <v>1</v>
          </cell>
          <cell r="G83">
            <v>1</v>
          </cell>
          <cell r="H83">
            <v>1.05</v>
          </cell>
          <cell r="I83">
            <v>177.0824797843666</v>
          </cell>
          <cell r="J83">
            <v>26.933153638814016</v>
          </cell>
          <cell r="K83">
            <v>3.55</v>
          </cell>
          <cell r="L83">
            <v>2.1500000000000004</v>
          </cell>
          <cell r="M83" t="str">
            <v>步兵</v>
          </cell>
          <cell r="N83" t="str">
            <v/>
          </cell>
          <cell r="O83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3" t="str">
            <v>10,20,40,60,80</v>
          </cell>
          <cell r="Q83" t="str">
            <v>4,90,0,0,0,0</v>
          </cell>
          <cell r="R83" t="str">
            <v>4,150,5,120,0,0</v>
          </cell>
          <cell r="S83" t="str">
            <v>4,180,5,160,6,140</v>
          </cell>
          <cell r="T83" t="str">
            <v>4,240,5,200,6,180</v>
          </cell>
          <cell r="U83" t="str">
            <v>4,300,5,240,6,220</v>
          </cell>
          <cell r="V83">
            <v>1</v>
          </cell>
          <cell r="W83">
            <v>4</v>
          </cell>
          <cell r="X83">
            <v>21501</v>
          </cell>
          <cell r="Z83">
            <v>1889.9999999999993</v>
          </cell>
          <cell r="AA83">
            <v>224.99999999999994</v>
          </cell>
          <cell r="AB83">
            <v>49.234634839818817</v>
          </cell>
          <cell r="AC83">
            <v>5.8612660523593831</v>
          </cell>
          <cell r="AD83">
            <v>0.22429906542056074</v>
          </cell>
          <cell r="AE83">
            <v>5.6872037914691941E-2</v>
          </cell>
        </row>
        <row r="84">
          <cell r="A84" t="str">
            <v>马云禄</v>
          </cell>
          <cell r="B84">
            <v>1</v>
          </cell>
          <cell r="C84">
            <v>3</v>
          </cell>
          <cell r="D84">
            <v>2</v>
          </cell>
          <cell r="E84">
            <v>0</v>
          </cell>
          <cell r="F84" t="str">
            <v>武官-杀将</v>
          </cell>
          <cell r="G84">
            <v>1.01</v>
          </cell>
          <cell r="H84">
            <v>1</v>
          </cell>
          <cell r="I84">
            <v>128.79123989218328</v>
          </cell>
          <cell r="J84">
            <v>64.314959568733158</v>
          </cell>
          <cell r="K84">
            <v>3.85</v>
          </cell>
          <cell r="L84">
            <v>5.8499999999999988</v>
          </cell>
          <cell r="M84" t="str">
            <v>弓兵</v>
          </cell>
          <cell r="N84">
            <v>12027</v>
          </cell>
          <cell r="O84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84" t="str">
            <v>10,20,40,60,80</v>
          </cell>
          <cell r="Q84" t="str">
            <v>4,150,0,0,0,0</v>
          </cell>
          <cell r="R84" t="str">
            <v>4,240,5,200,0,0</v>
          </cell>
          <cell r="S84" t="str">
            <v>4,330,5,280,6,240</v>
          </cell>
          <cell r="T84" t="str">
            <v>4,420,5,360,6,300</v>
          </cell>
          <cell r="U84" t="str">
            <v>4,480,5,420,6,360</v>
          </cell>
          <cell r="V84">
            <v>20</v>
          </cell>
          <cell r="W84">
            <v>8</v>
          </cell>
          <cell r="X84">
            <v>21508</v>
          </cell>
          <cell r="Z84">
            <v>1234.285714285714</v>
          </cell>
          <cell r="AA84">
            <v>146.93877551020407</v>
          </cell>
          <cell r="AB84">
            <v>79.7601084405065</v>
          </cell>
          <cell r="AC84">
            <v>9.4952510048222027</v>
          </cell>
          <cell r="AD84">
            <v>12.844036697247706</v>
          </cell>
          <cell r="AE84">
            <v>1.5217391304347827</v>
          </cell>
        </row>
        <row r="85">
          <cell r="A85" t="str">
            <v>庞德</v>
          </cell>
          <cell r="B85">
            <v>1</v>
          </cell>
          <cell r="C85">
            <v>3</v>
          </cell>
          <cell r="D85">
            <v>2</v>
          </cell>
          <cell r="E85">
            <v>0</v>
          </cell>
          <cell r="F85" t="str">
            <v>武官-杀将</v>
          </cell>
          <cell r="G85">
            <v>1</v>
          </cell>
          <cell r="H85">
            <v>1</v>
          </cell>
          <cell r="I85">
            <v>134.7420485175202</v>
          </cell>
          <cell r="J85">
            <v>68.183557951482484</v>
          </cell>
          <cell r="K85">
            <v>3.4499999999999997</v>
          </cell>
          <cell r="L85">
            <v>5.4499999999999993</v>
          </cell>
          <cell r="M85" t="str">
            <v>弓兵</v>
          </cell>
          <cell r="N85">
            <v>12029</v>
          </cell>
          <cell r="O85" t="str">
            <v>28,30,34,39,47,56,69,84,102,124,150,179,213,252,296,345,399,459,525,598,677,764,857,958,1067,1185,1310,1444,1588,1740,1903,2075,2257,2450,2653,2868,3094,3331,3581,3843,4117,4404,4704,5018,5345,5686,6042,6412,6797,7197,7612,8044,8491,8954,9434,9931,10446,10977,11527,12094,12680,13285,13908,14551,15213,15895,16597,17319,18063,18827,19612,20419,21248,22099,22972,23868,24788,25730,26696,27686</v>
          </cell>
          <cell r="P85" t="str">
            <v>10,20,40,60,80</v>
          </cell>
          <cell r="Q85" t="str">
            <v>4,150,0,0,0,0</v>
          </cell>
          <cell r="R85" t="str">
            <v>4,240,5,200,0,0</v>
          </cell>
          <cell r="S85" t="str">
            <v>4,330,5,280,6,240</v>
          </cell>
          <cell r="T85" t="str">
            <v>4,420,5,360,6,300</v>
          </cell>
          <cell r="U85" t="str">
            <v>4,480,5,420,6,360</v>
          </cell>
          <cell r="V85">
            <v>20</v>
          </cell>
          <cell r="W85">
            <v>8</v>
          </cell>
          <cell r="X85">
            <v>21508</v>
          </cell>
          <cell r="Z85">
            <v>1234.285714285714</v>
          </cell>
          <cell r="AA85">
            <v>146.93877551020407</v>
          </cell>
          <cell r="AB85">
            <v>79.7601084405065</v>
          </cell>
          <cell r="AC85">
            <v>9.4952510048222027</v>
          </cell>
          <cell r="AD85">
            <v>11.009174311926605</v>
          </cell>
          <cell r="AE85">
            <v>1.3043478260869565</v>
          </cell>
        </row>
        <row r="86">
          <cell r="A86" t="str">
            <v>丁仪</v>
          </cell>
          <cell r="B86">
            <v>1</v>
          </cell>
          <cell r="C86">
            <v>2</v>
          </cell>
          <cell r="D86">
            <v>1</v>
          </cell>
          <cell r="E86">
            <v>0</v>
          </cell>
          <cell r="G86">
            <v>1.01</v>
          </cell>
          <cell r="H86">
            <v>1</v>
          </cell>
          <cell r="I86">
            <v>126.94123989218328</v>
          </cell>
          <cell r="J86">
            <v>57.643935309973045</v>
          </cell>
          <cell r="K86">
            <v>2.2750000000000004</v>
          </cell>
          <cell r="L86">
            <v>3.6749999999999998</v>
          </cell>
          <cell r="M86" t="str">
            <v>弓兵</v>
          </cell>
          <cell r="N86" t="str">
            <v/>
          </cell>
          <cell r="O86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86" t="str">
            <v>10,20,40,60,80</v>
          </cell>
          <cell r="Q86" t="str">
            <v>4,120,0,0,0,0</v>
          </cell>
          <cell r="R86" t="str">
            <v>4,180,5,160,0,0</v>
          </cell>
          <cell r="S86" t="str">
            <v>4,270,5,220,6,200</v>
          </cell>
          <cell r="T86" t="str">
            <v>4,330,5,280,6,240</v>
          </cell>
          <cell r="U86" t="str">
            <v>4,390,5,340,6,300</v>
          </cell>
          <cell r="V86">
            <v>10</v>
          </cell>
          <cell r="W86">
            <v>6</v>
          </cell>
          <cell r="X86">
            <v>21507</v>
          </cell>
          <cell r="Z86">
            <v>1157.1428571428569</v>
          </cell>
          <cell r="AA86">
            <v>137.7551020408163</v>
          </cell>
          <cell r="AB86">
            <v>74.775101662974834</v>
          </cell>
          <cell r="AC86">
            <v>8.9017978170208139</v>
          </cell>
          <cell r="AD86">
            <v>1.9444444444444444</v>
          </cell>
          <cell r="AE86">
            <v>0.31818181818181818</v>
          </cell>
        </row>
        <row r="87">
          <cell r="A87" t="str">
            <v>逢纪</v>
          </cell>
          <cell r="B87">
            <v>1</v>
          </cell>
          <cell r="C87">
            <v>2</v>
          </cell>
          <cell r="D87">
            <v>1</v>
          </cell>
          <cell r="E87">
            <v>0</v>
          </cell>
          <cell r="G87">
            <v>1</v>
          </cell>
          <cell r="H87">
            <v>1</v>
          </cell>
          <cell r="I87">
            <v>110.29029649595687</v>
          </cell>
          <cell r="J87">
            <v>70.239622641509442</v>
          </cell>
          <cell r="K87">
            <v>2.3750000000000004</v>
          </cell>
          <cell r="L87">
            <v>3.7749999999999995</v>
          </cell>
          <cell r="M87" t="str">
            <v>弓兵</v>
          </cell>
          <cell r="N87" t="str">
            <v/>
          </cell>
          <cell r="O87" t="str">
            <v>23,25,28,33,39,47,57,70,85,103,125,149,178,210,246,287,332,382,438,498,564,636,714,799,889,987,1092,1204,1323,1450,1585,1729,1881,2041,2211,2390,2578,2776,2984,3202,3431,3670,3920,4181,4454,4739,5035,5343,5664,5997,6344,6703,7076,7462,7862,8276,8705,9148,9606,10078,10567,11070,11590,12126,12677,13246,13831,14433,15052,15689,16343,17016,17707,18416,19144,19890,20656,21442,22247,23072</v>
          </cell>
          <cell r="P87" t="str">
            <v>10,20,40,60,80</v>
          </cell>
          <cell r="Q87" t="str">
            <v>4,120,0,0,0,0</v>
          </cell>
          <cell r="R87" t="str">
            <v>4,180,5,160,0,0</v>
          </cell>
          <cell r="S87" t="str">
            <v>4,270,5,220,6,200</v>
          </cell>
          <cell r="T87" t="str">
            <v>4,330,5,280,6,240</v>
          </cell>
          <cell r="U87" t="str">
            <v>4,390,5,340,6,300</v>
          </cell>
          <cell r="V87">
            <v>10</v>
          </cell>
          <cell r="W87">
            <v>6</v>
          </cell>
          <cell r="X87">
            <v>21507</v>
          </cell>
          <cell r="Z87">
            <v>1157.1428571428569</v>
          </cell>
          <cell r="AA87">
            <v>137.7551020408163</v>
          </cell>
          <cell r="AB87">
            <v>74.775101662974834</v>
          </cell>
          <cell r="AC87">
            <v>8.9017978170208139</v>
          </cell>
          <cell r="AD87">
            <v>1.3888888888888888</v>
          </cell>
          <cell r="AE87">
            <v>0.22727272727272727</v>
          </cell>
        </row>
        <row r="88">
          <cell r="A88" t="str">
            <v>牛辅</v>
          </cell>
          <cell r="B88">
            <v>1</v>
          </cell>
          <cell r="C88">
            <v>1</v>
          </cell>
          <cell r="D88">
            <v>0</v>
          </cell>
          <cell r="E88">
            <v>0</v>
          </cell>
          <cell r="G88">
            <v>1.02</v>
          </cell>
          <cell r="H88">
            <v>1</v>
          </cell>
          <cell r="I88">
            <v>116.29703504043127</v>
          </cell>
          <cell r="J88">
            <v>23.424258760107818</v>
          </cell>
          <cell r="K88">
            <v>3.2499999999999996</v>
          </cell>
          <cell r="L88">
            <v>2.5499999999999998</v>
          </cell>
          <cell r="M88" t="str">
            <v>弓兵</v>
          </cell>
          <cell r="N88" t="str">
            <v/>
          </cell>
          <cell r="O88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8" t="str">
            <v>10,20,40,60,80</v>
          </cell>
          <cell r="Q88" t="str">
            <v>4,90,0,0,0,0</v>
          </cell>
          <cell r="R88" t="str">
            <v>4,150,5,120,0,0</v>
          </cell>
          <cell r="S88" t="str">
            <v>4,180,5,160,6,140</v>
          </cell>
          <cell r="T88" t="str">
            <v>4,240,5,200,6,180</v>
          </cell>
          <cell r="U88" t="str">
            <v>4,300,5,240,6,220</v>
          </cell>
          <cell r="V88">
            <v>1</v>
          </cell>
          <cell r="W88">
            <v>4</v>
          </cell>
          <cell r="X88">
            <v>21507</v>
          </cell>
          <cell r="Z88">
            <v>1079.9999999999995</v>
          </cell>
          <cell r="AA88">
            <v>128.57142857142853</v>
          </cell>
          <cell r="AB88">
            <v>69.790094885443182</v>
          </cell>
          <cell r="AC88">
            <v>8.3083446292194267</v>
          </cell>
          <cell r="AD88">
            <v>0.29906542056074764</v>
          </cell>
          <cell r="AE88">
            <v>7.582938388625593E-2</v>
          </cell>
        </row>
        <row r="89">
          <cell r="A89" t="str">
            <v>张球</v>
          </cell>
          <cell r="B89">
            <v>1</v>
          </cell>
          <cell r="C89">
            <v>1</v>
          </cell>
          <cell r="D89">
            <v>0</v>
          </cell>
          <cell r="E89">
            <v>0</v>
          </cell>
          <cell r="G89">
            <v>1.01</v>
          </cell>
          <cell r="H89">
            <v>1</v>
          </cell>
          <cell r="I89">
            <v>116.54986522911051</v>
          </cell>
          <cell r="J89">
            <v>23.929919137466307</v>
          </cell>
          <cell r="K89">
            <v>3.2499999999999996</v>
          </cell>
          <cell r="L89">
            <v>2.5499999999999998</v>
          </cell>
          <cell r="M89" t="str">
            <v>弓兵</v>
          </cell>
          <cell r="N89" t="str">
            <v/>
          </cell>
          <cell r="O89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89" t="str">
            <v>10,20,40,60,80</v>
          </cell>
          <cell r="Q89" t="str">
            <v>4,90,0,0,0,0</v>
          </cell>
          <cell r="R89" t="str">
            <v>4,150,5,120,0,0</v>
          </cell>
          <cell r="S89" t="str">
            <v>4,180,5,160,6,140</v>
          </cell>
          <cell r="T89" t="str">
            <v>4,240,5,200,6,180</v>
          </cell>
          <cell r="U89" t="str">
            <v>4,300,5,240,6,220</v>
          </cell>
          <cell r="V89">
            <v>1</v>
          </cell>
          <cell r="W89">
            <v>4</v>
          </cell>
          <cell r="X89">
            <v>21507</v>
          </cell>
          <cell r="Z89">
            <v>1079.9999999999995</v>
          </cell>
          <cell r="AA89">
            <v>128.57142857142853</v>
          </cell>
          <cell r="AB89">
            <v>69.790094885443182</v>
          </cell>
          <cell r="AC89">
            <v>8.3083446292194267</v>
          </cell>
          <cell r="AD89">
            <v>0.26168224299065418</v>
          </cell>
          <cell r="AE89">
            <v>6.6350710900473939E-2</v>
          </cell>
        </row>
        <row r="90">
          <cell r="A90" t="str">
            <v>韩当</v>
          </cell>
          <cell r="B90">
            <v>1</v>
          </cell>
          <cell r="C90">
            <v>1</v>
          </cell>
          <cell r="D90">
            <v>0</v>
          </cell>
          <cell r="E90">
            <v>0</v>
          </cell>
          <cell r="G90">
            <v>1</v>
          </cell>
          <cell r="H90">
            <v>1</v>
          </cell>
          <cell r="I90">
            <v>119.04474393530998</v>
          </cell>
          <cell r="J90">
            <v>22.682479784366578</v>
          </cell>
          <cell r="K90">
            <v>3.2499999999999996</v>
          </cell>
          <cell r="L90">
            <v>2.5499999999999998</v>
          </cell>
          <cell r="M90" t="str">
            <v>弓兵</v>
          </cell>
          <cell r="N90" t="str">
            <v/>
          </cell>
          <cell r="O90" t="str">
            <v>18,20,22,26,31,37,46,56,68,83,100,119,142,168,197,230,266,306,350,399,451,509,571,639,711,790,873,963,1058,1160,1268,1383,1504,1633,1769,1912,2062,2221,2387,2562,2745,2936,3136,3345,3563,3791,4028,4274,4531,4798,5075,5362,5660,5969,6289,6621,6964,7318,7684,8063,8453,8856,9272,9700,10142,10596,11065,11546,12042,12551,13075,13613,14165,14732,15315,15912,16525,17153,17797,18457</v>
          </cell>
          <cell r="P90" t="str">
            <v>10,20,40,60,80</v>
          </cell>
          <cell r="Q90" t="str">
            <v>4,90,0,0,0,0</v>
          </cell>
          <cell r="R90" t="str">
            <v>4,150,5,120,0,0</v>
          </cell>
          <cell r="S90" t="str">
            <v>4,180,5,160,6,140</v>
          </cell>
          <cell r="T90" t="str">
            <v>4,240,5,200,6,180</v>
          </cell>
          <cell r="U90" t="str">
            <v>4,300,5,240,6,220</v>
          </cell>
          <cell r="V90">
            <v>1</v>
          </cell>
          <cell r="W90">
            <v>4</v>
          </cell>
          <cell r="X90">
            <v>21507</v>
          </cell>
          <cell r="Z90">
            <v>1079.9999999999995</v>
          </cell>
          <cell r="AA90">
            <v>128.57142857142853</v>
          </cell>
          <cell r="AB90">
            <v>69.790094885443182</v>
          </cell>
          <cell r="AC90">
            <v>8.3083446292194267</v>
          </cell>
          <cell r="AD90">
            <v>0.22429906542056074</v>
          </cell>
          <cell r="AE90">
            <v>5.6872037914691941E-2</v>
          </cell>
        </row>
      </sheetData>
      <sheetData sheetId="20">
        <row r="2">
          <cell r="A2" t="str">
            <v>武将引用</v>
          </cell>
        </row>
      </sheetData>
      <sheetData sheetId="21">
        <row r="2">
          <cell r="D2" t="str">
            <v>释放特效</v>
          </cell>
        </row>
      </sheetData>
      <sheetData sheetId="22">
        <row r="2">
          <cell r="B2" t="str">
            <v>ID</v>
          </cell>
        </row>
      </sheetData>
      <sheetData sheetId="23">
        <row r="1">
          <cell r="A1" t="str">
            <v>天赋</v>
          </cell>
        </row>
      </sheetData>
      <sheetData sheetId="24">
        <row r="2">
          <cell r="G2">
            <v>4</v>
          </cell>
        </row>
      </sheetData>
      <sheetData sheetId="25">
        <row r="2">
          <cell r="L2" t="str">
            <v>铁剑</v>
          </cell>
        </row>
      </sheetData>
      <sheetData sheetId="26">
        <row r="4">
          <cell r="C4" t="str">
            <v>李贝</v>
          </cell>
        </row>
      </sheetData>
      <sheetData sheetId="27"/>
      <sheetData sheetId="28">
        <row r="5">
          <cell r="B5" t="str">
            <v>布阵</v>
          </cell>
        </row>
      </sheetData>
      <sheetData sheetId="29">
        <row r="2">
          <cell r="H2" t="str">
            <v>诸葛亮</v>
          </cell>
        </row>
      </sheetData>
      <sheetData sheetId="30">
        <row r="1">
          <cell r="H1" t="str">
            <v>装备名·</v>
          </cell>
        </row>
      </sheetData>
      <sheetData sheetId="31">
        <row r="1">
          <cell r="B1" t="str">
            <v>武将</v>
          </cell>
        </row>
      </sheetData>
      <sheetData sheetId="32">
        <row r="2">
          <cell r="A2" t="str">
            <v>军师袍</v>
          </cell>
        </row>
      </sheetData>
      <sheetData sheetId="33">
        <row r="2">
          <cell r="F2" t="str">
            <v>同一副本内概率：</v>
          </cell>
        </row>
      </sheetData>
      <sheetData sheetId="34">
        <row r="5">
          <cell r="A5" t="str">
            <v>章节</v>
          </cell>
        </row>
      </sheetData>
      <sheetData sheetId="35">
        <row r="2">
          <cell r="K2" t="str">
            <v>战魂</v>
          </cell>
        </row>
      </sheetData>
      <sheetData sheetId="36">
        <row r="2">
          <cell r="C2" t="str">
            <v>品质</v>
          </cell>
        </row>
      </sheetData>
      <sheetData sheetId="37">
        <row r="3">
          <cell r="C3" t="str">
            <v>1,2,3,4,5,6,7,8,9,10,11,12,13,14,15,16,17,18,19,20,22,24,26,28,30,32,34,36,38,40,45,50,55,60,65,70,75,80,85,90,95,100,110,120,130,140,150,160,170,180,190,200,220,240,260,280,300,320,340,360,380,400,420,440,460,480,500,600,700,800,900,1000,1200,1400,1600,1800,2000,2500,3000,3500,4000,4500,5000,5500,6000,6500,7000,7500,8000,8500,9000,9500,10000,11000,12000,13000,14000,15000,16000,17000,18000,19000,20000</v>
          </cell>
        </row>
      </sheetData>
      <sheetData sheetId="38">
        <row r="6">
          <cell r="B6" t="str">
            <v>累计</v>
          </cell>
        </row>
      </sheetData>
      <sheetData sheetId="39">
        <row r="5">
          <cell r="C5" t="str">
            <v>主角_买金币_次数</v>
          </cell>
        </row>
      </sheetData>
      <sheetData sheetId="40">
        <row r="2">
          <cell r="A2" t="str">
            <v>金币抽奖</v>
          </cell>
        </row>
      </sheetData>
      <sheetData sheetId="4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"/>
      <sheetName val="卡牌显示属性"/>
      <sheetName val="备注"/>
      <sheetName val="CardLevel"/>
      <sheetName val="Troop"/>
      <sheetName val="Spell"/>
      <sheetName val="Building"/>
      <sheetName val="Tower"/>
      <sheetName val="GM卡牌"/>
      <sheetName val="一级属性"/>
      <sheetName val="攻击帧数"/>
      <sheetName val="卡牌顺序"/>
      <sheetName val="导出CSV"/>
      <sheetName val="角色比例"/>
      <sheetName val="wiki"/>
      <sheetName val="特效用到的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  <cell r="B1" t="str">
            <v>名称</v>
          </cell>
          <cell r="C1" t="str">
            <v>CR</v>
          </cell>
          <cell r="D1" t="str">
            <v>是卡牌</v>
          </cell>
          <cell r="E1" t="str">
            <v>竞技场解锁等级</v>
          </cell>
          <cell r="F1" t="str">
            <v>未解锁时显示问号</v>
          </cell>
          <cell r="G1" t="str">
            <v>排序序号</v>
          </cell>
          <cell r="H1" t="str">
            <v>品质</v>
          </cell>
        </row>
        <row r="2">
          <cell r="A2">
            <v>1</v>
          </cell>
          <cell r="B2" t="str">
            <v>骨头</v>
          </cell>
          <cell r="C2" t="str">
            <v>骷髅兵</v>
          </cell>
          <cell r="D2">
            <v>1</v>
          </cell>
          <cell r="E2">
            <v>2</v>
          </cell>
          <cell r="F2"/>
          <cell r="G2">
            <v>100</v>
          </cell>
          <cell r="H2">
            <v>0</v>
          </cell>
        </row>
        <row r="3">
          <cell r="A3">
            <v>17</v>
          </cell>
          <cell r="B3" t="str">
            <v>骨头兄弟</v>
          </cell>
          <cell r="C3" t="str">
            <v>骷髅海</v>
          </cell>
          <cell r="D3">
            <v>1</v>
          </cell>
          <cell r="E3">
            <v>0</v>
          </cell>
          <cell r="F3"/>
          <cell r="G3">
            <v>55</v>
          </cell>
          <cell r="H3">
            <v>2</v>
          </cell>
        </row>
        <row r="4">
          <cell r="A4">
            <v>3</v>
          </cell>
          <cell r="B4" t="str">
            <v>哈根达斯</v>
          </cell>
          <cell r="C4" t="str">
            <v>哥布林</v>
          </cell>
          <cell r="D4">
            <v>1</v>
          </cell>
          <cell r="E4">
            <v>1</v>
          </cell>
          <cell r="F4"/>
          <cell r="G4">
            <v>5</v>
          </cell>
          <cell r="H4">
            <v>0</v>
          </cell>
        </row>
        <row r="5">
          <cell r="A5">
            <v>2</v>
          </cell>
          <cell r="B5" t="str">
            <v>梅赛德斯</v>
          </cell>
          <cell r="C5" t="str">
            <v>投枪哥布林</v>
          </cell>
          <cell r="D5">
            <v>1</v>
          </cell>
          <cell r="E5">
            <v>1</v>
          </cell>
          <cell r="F5"/>
          <cell r="G5">
            <v>15</v>
          </cell>
          <cell r="H5">
            <v>0</v>
          </cell>
        </row>
        <row r="6">
          <cell r="A6">
            <v>4</v>
          </cell>
          <cell r="B6" t="str">
            <v>花椰射手</v>
          </cell>
          <cell r="C6" t="str">
            <v>弓箭手</v>
          </cell>
          <cell r="D6">
            <v>1</v>
          </cell>
          <cell r="E6">
            <v>0</v>
          </cell>
          <cell r="F6"/>
          <cell r="G6">
            <v>10</v>
          </cell>
          <cell r="H6">
            <v>0</v>
          </cell>
        </row>
        <row r="7">
          <cell r="A7">
            <v>5</v>
          </cell>
          <cell r="B7" t="str">
            <v>邦尼</v>
          </cell>
          <cell r="C7" t="str">
            <v>炸弹人</v>
          </cell>
          <cell r="D7">
            <v>1</v>
          </cell>
          <cell r="E7">
            <v>0</v>
          </cell>
          <cell r="F7"/>
          <cell r="G7">
            <v>40</v>
          </cell>
          <cell r="H7">
            <v>0</v>
          </cell>
        </row>
        <row r="8">
          <cell r="A8">
            <v>7</v>
          </cell>
          <cell r="B8" t="str">
            <v>小丸子</v>
          </cell>
          <cell r="C8" t="str">
            <v>亡灵</v>
          </cell>
          <cell r="D8">
            <v>1</v>
          </cell>
          <cell r="E8">
            <v>2</v>
          </cell>
          <cell r="F8"/>
          <cell r="G8">
            <v>95</v>
          </cell>
          <cell r="H8">
            <v>0</v>
          </cell>
        </row>
        <row r="9">
          <cell r="A9">
            <v>9</v>
          </cell>
          <cell r="B9" t="str">
            <v>丸子兵团</v>
          </cell>
          <cell r="C9" t="str">
            <v>亡灵部落</v>
          </cell>
          <cell r="D9">
            <v>1</v>
          </cell>
          <cell r="E9">
            <v>4</v>
          </cell>
          <cell r="F9"/>
          <cell r="G9">
            <v>155</v>
          </cell>
          <cell r="H9">
            <v>0</v>
          </cell>
        </row>
        <row r="10">
          <cell r="A10">
            <v>8</v>
          </cell>
          <cell r="B10" t="str">
            <v>盖奇</v>
          </cell>
          <cell r="C10" t="str">
            <v>野蛮人</v>
          </cell>
          <cell r="D10">
            <v>1</v>
          </cell>
          <cell r="E10">
            <v>3</v>
          </cell>
          <cell r="F10"/>
          <cell r="G10">
            <v>125</v>
          </cell>
          <cell r="H10">
            <v>0</v>
          </cell>
        </row>
        <row r="11">
          <cell r="A11">
            <v>12</v>
          </cell>
          <cell r="B11" t="str">
            <v>莫西干战神</v>
          </cell>
          <cell r="C11" t="str">
            <v>武神</v>
          </cell>
          <cell r="D11">
            <v>1</v>
          </cell>
          <cell r="E11">
            <v>1</v>
          </cell>
          <cell r="F11"/>
          <cell r="G11">
            <v>20</v>
          </cell>
          <cell r="H11">
            <v>1</v>
          </cell>
        </row>
        <row r="12">
          <cell r="A12">
            <v>13</v>
          </cell>
          <cell r="B12" t="str">
            <v>大猫</v>
          </cell>
          <cell r="C12" t="str">
            <v>巨人</v>
          </cell>
          <cell r="D12">
            <v>1</v>
          </cell>
          <cell r="E12">
            <v>0</v>
          </cell>
          <cell r="F12"/>
          <cell r="G12">
            <v>85</v>
          </cell>
          <cell r="H12">
            <v>1</v>
          </cell>
        </row>
        <row r="13">
          <cell r="A13">
            <v>14</v>
          </cell>
          <cell r="B13" t="str">
            <v>安卡斯</v>
          </cell>
          <cell r="C13" t="str">
            <v>火枪手</v>
          </cell>
          <cell r="D13">
            <v>1</v>
          </cell>
          <cell r="E13">
            <v>0</v>
          </cell>
          <cell r="F13"/>
          <cell r="G13">
            <v>35</v>
          </cell>
          <cell r="H13">
            <v>1</v>
          </cell>
        </row>
        <row r="14">
          <cell r="A14">
            <v>28</v>
          </cell>
          <cell r="B14" t="str">
            <v>安卡斯兄弟</v>
          </cell>
          <cell r="C14" t="str">
            <v>三个火枪手</v>
          </cell>
          <cell r="D14">
            <v>1</v>
          </cell>
          <cell r="E14">
            <v>7</v>
          </cell>
          <cell r="F14"/>
          <cell r="G14">
            <v>235</v>
          </cell>
          <cell r="H14">
            <v>1</v>
          </cell>
        </row>
        <row r="15">
          <cell r="A15">
            <v>16</v>
          </cell>
          <cell r="B15" t="str">
            <v>飞龙</v>
          </cell>
          <cell r="C15" t="str">
            <v>幼龙</v>
          </cell>
          <cell r="D15">
            <v>1</v>
          </cell>
          <cell r="E15">
            <v>0</v>
          </cell>
          <cell r="F15"/>
          <cell r="G15">
            <v>60</v>
          </cell>
          <cell r="H15">
            <v>2</v>
          </cell>
        </row>
        <row r="16">
          <cell r="A16">
            <v>20</v>
          </cell>
          <cell r="B16" t="str">
            <v>布莱尔</v>
          </cell>
          <cell r="C16" t="str">
            <v>女巫</v>
          </cell>
          <cell r="D16">
            <v>1</v>
          </cell>
          <cell r="E16">
            <v>0</v>
          </cell>
          <cell r="F16"/>
          <cell r="G16">
            <v>45</v>
          </cell>
          <cell r="H16">
            <v>2</v>
          </cell>
        </row>
        <row r="17">
          <cell r="A17">
            <v>22</v>
          </cell>
          <cell r="B17" t="str">
            <v>战争古树</v>
          </cell>
          <cell r="C17" t="str">
            <v>大皮卡</v>
          </cell>
          <cell r="D17">
            <v>1</v>
          </cell>
          <cell r="E17">
            <v>4</v>
          </cell>
          <cell r="F17">
            <v>1</v>
          </cell>
          <cell r="G17">
            <v>175</v>
          </cell>
          <cell r="H17">
            <v>2</v>
          </cell>
        </row>
        <row r="18">
          <cell r="A18">
            <v>23</v>
          </cell>
          <cell r="B18" t="str">
            <v>泰山</v>
          </cell>
          <cell r="C18" t="str">
            <v>石头人</v>
          </cell>
          <cell r="D18">
            <v>1</v>
          </cell>
          <cell r="E18">
            <v>6</v>
          </cell>
          <cell r="F18">
            <v>1</v>
          </cell>
          <cell r="G18">
            <v>220</v>
          </cell>
          <cell r="H18">
            <v>2</v>
          </cell>
        </row>
        <row r="19">
          <cell r="A19">
            <v>24</v>
          </cell>
          <cell r="B19" t="str">
            <v>泰山宝宝</v>
          </cell>
          <cell r="C19" t="str">
            <v>小石头人</v>
          </cell>
          <cell r="D19">
            <v>0</v>
          </cell>
          <cell r="E19">
            <v>6</v>
          </cell>
          <cell r="F19"/>
          <cell r="G19">
            <v>225</v>
          </cell>
          <cell r="H19">
            <v>2</v>
          </cell>
        </row>
        <row r="20">
          <cell r="A20">
            <v>15</v>
          </cell>
          <cell r="B20" t="str">
            <v>烈火陨石</v>
          </cell>
          <cell r="C20" t="str">
            <v>法师</v>
          </cell>
          <cell r="D20">
            <v>1</v>
          </cell>
          <cell r="E20">
            <v>5</v>
          </cell>
          <cell r="F20"/>
          <cell r="G20">
            <v>190</v>
          </cell>
          <cell r="H20">
            <v>1</v>
          </cell>
        </row>
        <row r="21">
          <cell r="A21">
            <v>18</v>
          </cell>
          <cell r="B21" t="str">
            <v>飞艇</v>
          </cell>
          <cell r="C21" t="str">
            <v>气球炸弹</v>
          </cell>
          <cell r="D21">
            <v>1</v>
          </cell>
          <cell r="E21">
            <v>2</v>
          </cell>
          <cell r="F21">
            <v>1</v>
          </cell>
          <cell r="G21">
            <v>115</v>
          </cell>
          <cell r="H21">
            <v>2</v>
          </cell>
        </row>
        <row r="22">
          <cell r="A22">
            <v>19</v>
          </cell>
          <cell r="B22" t="str">
            <v>小王子</v>
          </cell>
          <cell r="C22" t="str">
            <v>王子</v>
          </cell>
          <cell r="D22">
            <v>1</v>
          </cell>
          <cell r="E22">
            <v>0</v>
          </cell>
          <cell r="F22"/>
          <cell r="G22">
            <v>65</v>
          </cell>
          <cell r="H22">
            <v>2</v>
          </cell>
        </row>
        <row r="23">
          <cell r="A23">
            <v>21</v>
          </cell>
          <cell r="B23" t="str">
            <v>兀鹰战士</v>
          </cell>
          <cell r="C23" t="str">
            <v>骷髅巨人</v>
          </cell>
          <cell r="D23">
            <v>1</v>
          </cell>
          <cell r="E23">
            <v>2</v>
          </cell>
          <cell r="F23">
            <v>1</v>
          </cell>
          <cell r="G23">
            <v>120</v>
          </cell>
          <cell r="H23">
            <v>2</v>
          </cell>
        </row>
        <row r="24">
          <cell r="A24">
            <v>25</v>
          </cell>
          <cell r="B24" t="str">
            <v>寒冰陨石</v>
          </cell>
          <cell r="C24" t="str">
            <v>寒冰法师</v>
          </cell>
          <cell r="D24">
            <v>1</v>
          </cell>
          <cell r="E24">
            <v>5</v>
          </cell>
          <cell r="F24">
            <v>1</v>
          </cell>
          <cell r="G24">
            <v>205</v>
          </cell>
          <cell r="H24">
            <v>3</v>
          </cell>
        </row>
        <row r="25">
          <cell r="A25">
            <v>10</v>
          </cell>
          <cell r="B25" t="str">
            <v>哈雷</v>
          </cell>
          <cell r="C25" t="str">
            <v>野猪骑士</v>
          </cell>
          <cell r="D25">
            <v>1</v>
          </cell>
          <cell r="E25">
            <v>4</v>
          </cell>
          <cell r="F25"/>
          <cell r="G25">
            <v>165</v>
          </cell>
          <cell r="H25">
            <v>1</v>
          </cell>
        </row>
        <row r="26">
          <cell r="A26">
            <v>30</v>
          </cell>
          <cell r="B26" t="str">
            <v>法里娅</v>
          </cell>
          <cell r="C26" t="str">
            <v>回旋镖</v>
          </cell>
          <cell r="D26">
            <v>1</v>
          </cell>
          <cell r="E26">
            <v>1</v>
          </cell>
          <cell r="F26">
            <v>1</v>
          </cell>
          <cell r="G26">
            <v>245</v>
          </cell>
          <cell r="H26">
            <v>3</v>
          </cell>
        </row>
        <row r="27">
          <cell r="A27">
            <v>6</v>
          </cell>
          <cell r="B27" t="str">
            <v>桑切斯</v>
          </cell>
          <cell r="C27" t="str">
            <v>骑士</v>
          </cell>
          <cell r="D27">
            <v>1</v>
          </cell>
          <cell r="E27">
            <v>0</v>
          </cell>
          <cell r="F27"/>
          <cell r="G27">
            <v>75</v>
          </cell>
          <cell r="H27">
            <v>1</v>
          </cell>
        </row>
        <row r="28">
          <cell r="A28">
            <v>31</v>
          </cell>
          <cell r="B28" t="str">
            <v>火精灵</v>
          </cell>
          <cell r="C28" t="str">
            <v>自爆火球</v>
          </cell>
          <cell r="D28">
            <v>1</v>
          </cell>
          <cell r="E28">
            <v>2</v>
          </cell>
          <cell r="F28"/>
          <cell r="G28">
            <v>100</v>
          </cell>
          <cell r="H28">
            <v>0</v>
          </cell>
        </row>
        <row r="29">
          <cell r="A29">
            <v>32</v>
          </cell>
          <cell r="B29" t="str">
            <v>冰精灵</v>
          </cell>
          <cell r="C29" t="str">
            <v>自爆冰球</v>
          </cell>
          <cell r="D29">
            <v>1</v>
          </cell>
          <cell r="E29">
            <v>2</v>
          </cell>
          <cell r="F29"/>
          <cell r="G29">
            <v>100</v>
          </cell>
          <cell r="H29">
            <v>0</v>
          </cell>
        </row>
        <row r="30">
          <cell r="A30">
            <v>48</v>
          </cell>
          <cell r="B30" t="str">
            <v>艾斯特</v>
          </cell>
          <cell r="C30" t="str">
            <v>尤里</v>
          </cell>
          <cell r="D30">
            <v>1</v>
          </cell>
          <cell r="E30">
            <v>3</v>
          </cell>
          <cell r="F30"/>
          <cell r="G30">
            <v>100</v>
          </cell>
          <cell r="H30">
            <v>3</v>
          </cell>
        </row>
        <row r="31">
          <cell r="A31">
            <v>204</v>
          </cell>
          <cell r="B31" t="str">
            <v>骨头营地</v>
          </cell>
          <cell r="C31" t="str">
            <v>墓地</v>
          </cell>
          <cell r="D31">
            <v>1</v>
          </cell>
          <cell r="E31">
            <v>2</v>
          </cell>
          <cell r="F31"/>
          <cell r="G31">
            <v>110</v>
          </cell>
          <cell r="H31">
            <v>1</v>
          </cell>
        </row>
        <row r="32">
          <cell r="A32">
            <v>207</v>
          </cell>
          <cell r="B32" t="str">
            <v>梅赛德斯中心</v>
          </cell>
          <cell r="C32" t="str">
            <v>哥布林小屋</v>
          </cell>
          <cell r="D32">
            <v>1</v>
          </cell>
          <cell r="E32">
            <v>1</v>
          </cell>
          <cell r="F32"/>
          <cell r="G32">
            <v>25</v>
          </cell>
          <cell r="H32">
            <v>1</v>
          </cell>
        </row>
        <row r="33">
          <cell r="A33">
            <v>208</v>
          </cell>
          <cell r="B33" t="str">
            <v>盖奇小屋</v>
          </cell>
          <cell r="C33" t="str">
            <v>野蛮人之家</v>
          </cell>
          <cell r="D33">
            <v>1</v>
          </cell>
          <cell r="E33">
            <v>3</v>
          </cell>
          <cell r="F33"/>
          <cell r="G33">
            <v>135</v>
          </cell>
          <cell r="H33">
            <v>1</v>
          </cell>
        </row>
        <row r="34">
          <cell r="A34">
            <v>201</v>
          </cell>
          <cell r="B34" t="str">
            <v>加农炮</v>
          </cell>
          <cell r="C34" t="str">
            <v>加农炮</v>
          </cell>
          <cell r="D34">
            <v>1</v>
          </cell>
          <cell r="E34">
            <v>3</v>
          </cell>
          <cell r="F34"/>
          <cell r="G34">
            <v>130</v>
          </cell>
          <cell r="H34">
            <v>0</v>
          </cell>
        </row>
        <row r="35">
          <cell r="A35">
            <v>202</v>
          </cell>
          <cell r="B35" t="str">
            <v>幽灵之塔</v>
          </cell>
          <cell r="C35" t="str">
            <v>特斯拉线圈</v>
          </cell>
          <cell r="D35">
            <v>1</v>
          </cell>
          <cell r="E35">
            <v>4</v>
          </cell>
          <cell r="F35"/>
          <cell r="G35">
            <v>160</v>
          </cell>
          <cell r="H35">
            <v>0</v>
          </cell>
        </row>
        <row r="36">
          <cell r="A36">
            <v>203</v>
          </cell>
          <cell r="B36" t="str">
            <v>投石机</v>
          </cell>
          <cell r="C36" t="str">
            <v>迫击炮</v>
          </cell>
          <cell r="D36">
            <v>1</v>
          </cell>
          <cell r="E36">
            <v>6</v>
          </cell>
          <cell r="F36"/>
          <cell r="G36">
            <v>210</v>
          </cell>
          <cell r="H36">
            <v>0</v>
          </cell>
        </row>
        <row r="37">
          <cell r="A37">
            <v>205</v>
          </cell>
          <cell r="B37" t="str">
            <v>恶魔之塔</v>
          </cell>
          <cell r="C37" t="str">
            <v>地狱之塔</v>
          </cell>
          <cell r="D37">
            <v>1</v>
          </cell>
          <cell r="E37">
            <v>4</v>
          </cell>
          <cell r="F37"/>
          <cell r="G37">
            <v>170</v>
          </cell>
          <cell r="H37">
            <v>1</v>
          </cell>
        </row>
        <row r="38">
          <cell r="A38">
            <v>206</v>
          </cell>
          <cell r="B38" t="str">
            <v>原力圣殿</v>
          </cell>
          <cell r="C38" t="str">
            <v>能量收集器</v>
          </cell>
          <cell r="D38">
            <v>1</v>
          </cell>
          <cell r="E38">
            <v>6</v>
          </cell>
          <cell r="F38"/>
          <cell r="G38">
            <v>215</v>
          </cell>
          <cell r="H38">
            <v>1</v>
          </cell>
        </row>
        <row r="39">
          <cell r="A39">
            <v>209</v>
          </cell>
          <cell r="B39" t="str">
            <v>萌萌塔</v>
          </cell>
          <cell r="C39" t="str">
            <v>炸弹塔</v>
          </cell>
          <cell r="D39">
            <v>1</v>
          </cell>
          <cell r="E39">
            <v>2</v>
          </cell>
          <cell r="F39"/>
          <cell r="G39">
            <v>105</v>
          </cell>
          <cell r="H39">
            <v>1</v>
          </cell>
        </row>
        <row r="40">
          <cell r="A40">
            <v>210</v>
          </cell>
          <cell r="B40" t="str">
            <v>强弩</v>
          </cell>
          <cell r="C40" t="str">
            <v>X弩</v>
          </cell>
          <cell r="D40">
            <v>1</v>
          </cell>
          <cell r="E40">
            <v>3</v>
          </cell>
          <cell r="F40">
            <v>1</v>
          </cell>
          <cell r="G40">
            <v>145</v>
          </cell>
          <cell r="H40">
            <v>2</v>
          </cell>
        </row>
        <row r="41">
          <cell r="A41">
            <v>101</v>
          </cell>
          <cell r="B41" t="str">
            <v>万箭齐发</v>
          </cell>
          <cell r="C41" t="str">
            <v>箭雨</v>
          </cell>
          <cell r="D41">
            <v>1</v>
          </cell>
          <cell r="E41">
            <v>0</v>
          </cell>
          <cell r="F41"/>
          <cell r="G41">
            <v>80</v>
          </cell>
          <cell r="H41">
            <v>0</v>
          </cell>
        </row>
        <row r="42">
          <cell r="A42">
            <v>102</v>
          </cell>
          <cell r="B42" t="str">
            <v>电击术</v>
          </cell>
          <cell r="C42" t="str">
            <v>震击</v>
          </cell>
          <cell r="D42">
            <v>1</v>
          </cell>
          <cell r="E42">
            <v>5</v>
          </cell>
          <cell r="F42"/>
          <cell r="G42">
            <v>185</v>
          </cell>
          <cell r="H42">
            <v>0</v>
          </cell>
        </row>
        <row r="43">
          <cell r="A43">
            <v>111</v>
          </cell>
          <cell r="B43" t="str">
            <v>原力护盾</v>
          </cell>
          <cell r="C43" t="str">
            <v>护盾</v>
          </cell>
          <cell r="D43">
            <v>1</v>
          </cell>
          <cell r="E43">
            <v>4</v>
          </cell>
          <cell r="F43">
            <v>1</v>
          </cell>
          <cell r="G43">
            <v>180</v>
          </cell>
          <cell r="H43">
            <v>1</v>
          </cell>
        </row>
        <row r="44">
          <cell r="A44">
            <v>106</v>
          </cell>
          <cell r="B44" t="str">
            <v>冰冻术</v>
          </cell>
          <cell r="C44" t="str">
            <v>冻结</v>
          </cell>
          <cell r="D44">
            <v>1</v>
          </cell>
          <cell r="E44">
            <v>4</v>
          </cell>
          <cell r="F44">
            <v>1</v>
          </cell>
          <cell r="G44">
            <v>180</v>
          </cell>
          <cell r="H44">
            <v>2</v>
          </cell>
        </row>
        <row r="45">
          <cell r="A45">
            <v>107</v>
          </cell>
          <cell r="B45" t="str">
            <v>镜像术</v>
          </cell>
          <cell r="C45" t="str">
            <v>镜像</v>
          </cell>
          <cell r="D45">
            <v>1</v>
          </cell>
          <cell r="E45">
            <v>5</v>
          </cell>
          <cell r="F45">
            <v>1</v>
          </cell>
          <cell r="G45">
            <v>200</v>
          </cell>
          <cell r="H45">
            <v>2</v>
          </cell>
        </row>
        <row r="46">
          <cell r="A46">
            <v>108</v>
          </cell>
          <cell r="B46" t="str">
            <v>狂暴术</v>
          </cell>
          <cell r="C46" t="str">
            <v>狂暴药水</v>
          </cell>
          <cell r="D46">
            <v>1</v>
          </cell>
          <cell r="E46">
            <v>3</v>
          </cell>
          <cell r="F46">
            <v>1</v>
          </cell>
          <cell r="G46">
            <v>150</v>
          </cell>
          <cell r="H46">
            <v>2</v>
          </cell>
        </row>
        <row r="47">
          <cell r="A47">
            <v>109</v>
          </cell>
          <cell r="B47" t="str">
            <v>闪电术</v>
          </cell>
          <cell r="C47" t="str">
            <v>闪电</v>
          </cell>
          <cell r="D47">
            <v>1</v>
          </cell>
          <cell r="E47">
            <v>1</v>
          </cell>
          <cell r="F47">
            <v>1</v>
          </cell>
          <cell r="G47">
            <v>70</v>
          </cell>
          <cell r="H47">
            <v>2</v>
          </cell>
        </row>
        <row r="48">
          <cell r="A48">
            <v>110</v>
          </cell>
          <cell r="B48" t="str">
            <v>诅咒</v>
          </cell>
          <cell r="C48" t="str">
            <v>毒药</v>
          </cell>
          <cell r="D48">
            <v>1</v>
          </cell>
          <cell r="E48">
            <v>5</v>
          </cell>
          <cell r="F48"/>
          <cell r="G48">
            <v>195</v>
          </cell>
          <cell r="H48">
            <v>2</v>
          </cell>
        </row>
        <row r="49">
          <cell r="A49">
            <v>103</v>
          </cell>
          <cell r="B49" t="str">
            <v>飞火流星</v>
          </cell>
          <cell r="C49" t="str">
            <v>火球</v>
          </cell>
          <cell r="D49">
            <v>1</v>
          </cell>
          <cell r="E49">
            <v>0</v>
          </cell>
          <cell r="F49"/>
          <cell r="G49">
            <v>90</v>
          </cell>
          <cell r="H49">
            <v>1</v>
          </cell>
        </row>
        <row r="50">
          <cell r="A50">
            <v>105</v>
          </cell>
          <cell r="B50" t="str">
            <v>宝箱怪</v>
          </cell>
          <cell r="C50" t="str">
            <v>矿工技能卡</v>
          </cell>
          <cell r="D50">
            <v>1</v>
          </cell>
          <cell r="E50">
            <v>7</v>
          </cell>
          <cell r="F50">
            <v>1</v>
          </cell>
          <cell r="G50">
            <v>30</v>
          </cell>
          <cell r="H50">
            <v>3</v>
          </cell>
        </row>
        <row r="51">
          <cell r="A51">
            <v>33</v>
          </cell>
          <cell r="B51" t="str">
            <v>宝箱怪</v>
          </cell>
          <cell r="C51" t="str">
            <v>矿工兵种</v>
          </cell>
          <cell r="D51">
            <v>0</v>
          </cell>
          <cell r="E51">
            <v>1</v>
          </cell>
          <cell r="F51"/>
          <cell r="G51">
            <v>5</v>
          </cell>
          <cell r="H51">
            <v>0</v>
          </cell>
        </row>
        <row r="52">
          <cell r="A52">
            <v>301</v>
          </cell>
          <cell r="B52" t="str">
            <v>酋长塔</v>
          </cell>
          <cell r="C52" t="str">
            <v>国王塔</v>
          </cell>
          <cell r="D52">
            <v>1</v>
          </cell>
          <cell r="E52">
            <v>0</v>
          </cell>
          <cell r="F52"/>
          <cell r="G52">
            <v>1</v>
          </cell>
          <cell r="H52">
            <v>0</v>
          </cell>
        </row>
        <row r="53">
          <cell r="A53">
            <v>302</v>
          </cell>
          <cell r="B53" t="str">
            <v>箭塔</v>
          </cell>
          <cell r="C53" t="str">
            <v>防御塔</v>
          </cell>
          <cell r="D53">
            <v>1</v>
          </cell>
          <cell r="E53">
            <v>0</v>
          </cell>
          <cell r="F53"/>
          <cell r="G53">
            <v>2</v>
          </cell>
          <cell r="H53">
            <v>0</v>
          </cell>
        </row>
        <row r="54">
          <cell r="A54">
            <v>303</v>
          </cell>
          <cell r="B54" t="str">
            <v>女巫塔</v>
          </cell>
          <cell r="C54" t="str">
            <v>女巫塔</v>
          </cell>
          <cell r="D54">
            <v>1</v>
          </cell>
          <cell r="E54">
            <v>0</v>
          </cell>
          <cell r="F54"/>
          <cell r="G54">
            <v>3</v>
          </cell>
          <cell r="H54">
            <v>0</v>
          </cell>
        </row>
        <row r="55">
          <cell r="A55">
            <v>304</v>
          </cell>
          <cell r="B55" t="str">
            <v>炸弹塔</v>
          </cell>
          <cell r="C55" t="str">
            <v>炸弹塔</v>
          </cell>
          <cell r="D55">
            <v>1</v>
          </cell>
          <cell r="E55">
            <v>0</v>
          </cell>
          <cell r="F55"/>
          <cell r="G55">
            <v>4</v>
          </cell>
          <cell r="H55">
            <v>0</v>
          </cell>
        </row>
        <row r="56">
          <cell r="A56">
            <v>104</v>
          </cell>
          <cell r="B56" t="str">
            <v>火箭</v>
          </cell>
          <cell r="C56" t="str">
            <v>火箭</v>
          </cell>
          <cell r="D56">
            <v>1</v>
          </cell>
          <cell r="E56">
            <v>3</v>
          </cell>
          <cell r="F56"/>
          <cell r="G56">
            <v>140</v>
          </cell>
          <cell r="H56">
            <v>1</v>
          </cell>
        </row>
        <row r="57">
          <cell r="A57">
            <v>112</v>
          </cell>
          <cell r="B57" t="str">
            <v>哥布林桶</v>
          </cell>
          <cell r="C57" t="str">
            <v>哥布林桶</v>
          </cell>
          <cell r="D57">
            <v>1</v>
          </cell>
          <cell r="E57">
            <v>1</v>
          </cell>
          <cell r="F57">
            <v>1</v>
          </cell>
          <cell r="G57">
            <v>30</v>
          </cell>
          <cell r="H57">
            <v>2</v>
          </cell>
        </row>
        <row r="58">
          <cell r="A58">
            <v>11</v>
          </cell>
          <cell r="B58" t="str">
            <v>迷你皮卡</v>
          </cell>
          <cell r="C58" t="str">
            <v>小皮卡</v>
          </cell>
          <cell r="D58">
            <v>1</v>
          </cell>
          <cell r="E58">
            <v>0</v>
          </cell>
          <cell r="F58"/>
          <cell r="G58">
            <v>50</v>
          </cell>
          <cell r="H58">
            <v>1</v>
          </cell>
        </row>
        <row r="59">
          <cell r="A59">
            <v>26</v>
          </cell>
          <cell r="B59" t="str">
            <v>皇家巨人</v>
          </cell>
          <cell r="C59" t="str">
            <v>巨人王子</v>
          </cell>
          <cell r="D59">
            <v>1</v>
          </cell>
          <cell r="E59">
            <v>7</v>
          </cell>
          <cell r="F59"/>
          <cell r="G59">
            <v>230</v>
          </cell>
          <cell r="H59">
            <v>0</v>
          </cell>
        </row>
        <row r="60">
          <cell r="A60">
            <v>27</v>
          </cell>
          <cell r="B60" t="str">
            <v>黑暗王子</v>
          </cell>
          <cell r="C60" t="str">
            <v>黑暗王子</v>
          </cell>
          <cell r="D60">
            <v>1</v>
          </cell>
          <cell r="E60">
            <v>7</v>
          </cell>
          <cell r="H60">
            <v>2</v>
          </cell>
        </row>
        <row r="61">
          <cell r="A61">
            <v>29</v>
          </cell>
          <cell r="B61" t="str">
            <v>公主</v>
          </cell>
          <cell r="C61" t="str">
            <v>公主</v>
          </cell>
          <cell r="D61">
            <v>1</v>
          </cell>
          <cell r="E61">
            <v>7</v>
          </cell>
          <cell r="F61">
            <v>1</v>
          </cell>
          <cell r="G61">
            <v>245</v>
          </cell>
          <cell r="H61">
            <v>3</v>
          </cell>
        </row>
        <row r="65">
          <cell r="A65">
            <v>34</v>
          </cell>
          <cell r="B65" t="str">
            <v>排骨</v>
          </cell>
          <cell r="C65" t="str">
            <v>卡牌数量</v>
          </cell>
          <cell r="D65" t="str">
            <v>等级</v>
          </cell>
          <cell r="E65">
            <v>0</v>
          </cell>
          <cell r="F65">
            <v>1</v>
          </cell>
          <cell r="G65">
            <v>2</v>
          </cell>
          <cell r="H65">
            <v>3</v>
          </cell>
        </row>
        <row r="66">
          <cell r="A66">
            <v>35</v>
          </cell>
          <cell r="B66" t="str">
            <v>排骨</v>
          </cell>
          <cell r="D66">
            <v>0</v>
          </cell>
          <cell r="E66">
            <v>2</v>
          </cell>
          <cell r="F66">
            <v>3</v>
          </cell>
          <cell r="G66">
            <v>4</v>
          </cell>
          <cell r="H66">
            <v>0</v>
          </cell>
        </row>
        <row r="67">
          <cell r="A67">
            <v>36</v>
          </cell>
          <cell r="B67" t="str">
            <v>排骨</v>
          </cell>
          <cell r="D67">
            <v>1</v>
          </cell>
          <cell r="E67">
            <v>2</v>
          </cell>
          <cell r="F67">
            <v>2</v>
          </cell>
          <cell r="G67">
            <v>0</v>
          </cell>
          <cell r="H67">
            <v>1</v>
          </cell>
        </row>
        <row r="68">
          <cell r="A68">
            <v>37</v>
          </cell>
          <cell r="B68" t="str">
            <v>排骨</v>
          </cell>
          <cell r="D68">
            <v>2</v>
          </cell>
          <cell r="E68">
            <v>4</v>
          </cell>
          <cell r="F68">
            <v>2</v>
          </cell>
          <cell r="G68">
            <v>2</v>
          </cell>
          <cell r="H68">
            <v>0</v>
          </cell>
        </row>
        <row r="69">
          <cell r="A69">
            <v>38</v>
          </cell>
          <cell r="B69" t="str">
            <v>梅赛德斯</v>
          </cell>
          <cell r="D69">
            <v>3</v>
          </cell>
          <cell r="E69">
            <v>2</v>
          </cell>
          <cell r="F69">
            <v>1</v>
          </cell>
          <cell r="G69">
            <v>0</v>
          </cell>
          <cell r="H69">
            <v>1</v>
          </cell>
        </row>
        <row r="70">
          <cell r="A70">
            <v>39</v>
          </cell>
          <cell r="B70" t="str">
            <v>梅赛德斯</v>
          </cell>
          <cell r="D70">
            <v>4</v>
          </cell>
          <cell r="E70">
            <v>2</v>
          </cell>
          <cell r="F70">
            <v>2</v>
          </cell>
          <cell r="G70">
            <v>1</v>
          </cell>
          <cell r="H70">
            <v>0</v>
          </cell>
        </row>
        <row r="71">
          <cell r="A71">
            <v>40</v>
          </cell>
          <cell r="B71" t="str">
            <v>梅赛德斯</v>
          </cell>
          <cell r="D71">
            <v>5</v>
          </cell>
          <cell r="E71">
            <v>0</v>
          </cell>
          <cell r="F71">
            <v>1</v>
          </cell>
          <cell r="G71">
            <v>0</v>
          </cell>
          <cell r="H71">
            <v>1</v>
          </cell>
        </row>
        <row r="72">
          <cell r="A72">
            <v>41</v>
          </cell>
          <cell r="B72" t="str">
            <v>梅赛德斯</v>
          </cell>
          <cell r="D72">
            <v>6</v>
          </cell>
          <cell r="E72">
            <v>1</v>
          </cell>
          <cell r="F72">
            <v>1</v>
          </cell>
          <cell r="G72">
            <v>1</v>
          </cell>
          <cell r="H72">
            <v>0</v>
          </cell>
        </row>
        <row r="73">
          <cell r="A73">
            <v>42</v>
          </cell>
          <cell r="B73" t="str">
            <v>哈根达斯</v>
          </cell>
          <cell r="D73">
            <v>7</v>
          </cell>
          <cell r="E73">
            <v>0</v>
          </cell>
          <cell r="F73">
            <v>1</v>
          </cell>
          <cell r="G73">
            <v>0</v>
          </cell>
          <cell r="H73">
            <v>0</v>
          </cell>
        </row>
        <row r="74">
          <cell r="A74">
            <v>43</v>
          </cell>
          <cell r="B74" t="str">
            <v>花椰射手</v>
          </cell>
        </row>
        <row r="75">
          <cell r="A75">
            <v>44</v>
          </cell>
          <cell r="B75" t="str">
            <v>花椰射手</v>
          </cell>
        </row>
        <row r="76">
          <cell r="A76">
            <v>45</v>
          </cell>
          <cell r="B76" t="str">
            <v>兔小爷</v>
          </cell>
          <cell r="C76" t="str">
            <v>累计数量</v>
          </cell>
          <cell r="D76" t="str">
            <v>等级</v>
          </cell>
          <cell r="E76">
            <v>0</v>
          </cell>
          <cell r="F76">
            <v>1</v>
          </cell>
          <cell r="G76">
            <v>2</v>
          </cell>
          <cell r="H76">
            <v>3</v>
          </cell>
        </row>
        <row r="77">
          <cell r="A77">
            <v>46</v>
          </cell>
          <cell r="B77" t="str">
            <v>兔小爷</v>
          </cell>
          <cell r="D77">
            <v>0</v>
          </cell>
          <cell r="E77">
            <v>2</v>
          </cell>
          <cell r="F77">
            <v>3</v>
          </cell>
          <cell r="G77">
            <v>4</v>
          </cell>
          <cell r="H77">
            <v>0</v>
          </cell>
        </row>
        <row r="78">
          <cell r="A78">
            <v>47</v>
          </cell>
          <cell r="B78" t="str">
            <v>飞龙</v>
          </cell>
          <cell r="D78">
            <v>1</v>
          </cell>
          <cell r="E78">
            <v>4</v>
          </cell>
          <cell r="F78">
            <v>5</v>
          </cell>
          <cell r="G78">
            <v>4</v>
          </cell>
          <cell r="H78">
            <v>1</v>
          </cell>
        </row>
        <row r="79">
          <cell r="D79">
            <v>2</v>
          </cell>
          <cell r="E79">
            <v>8</v>
          </cell>
          <cell r="F79">
            <v>7</v>
          </cell>
          <cell r="G79">
            <v>6</v>
          </cell>
          <cell r="H79">
            <v>1</v>
          </cell>
        </row>
        <row r="80">
          <cell r="D80">
            <v>3</v>
          </cell>
          <cell r="E80">
            <v>10</v>
          </cell>
          <cell r="F80">
            <v>8</v>
          </cell>
          <cell r="G80">
            <v>6</v>
          </cell>
          <cell r="H80">
            <v>2</v>
          </cell>
        </row>
        <row r="81">
          <cell r="D81">
            <v>4</v>
          </cell>
          <cell r="E81">
            <v>12</v>
          </cell>
          <cell r="F81">
            <v>10</v>
          </cell>
          <cell r="G81">
            <v>7</v>
          </cell>
          <cell r="H81">
            <v>2</v>
          </cell>
        </row>
        <row r="82">
          <cell r="D82">
            <v>5</v>
          </cell>
          <cell r="E82">
            <v>12</v>
          </cell>
          <cell r="F82">
            <v>11</v>
          </cell>
          <cell r="G82">
            <v>7</v>
          </cell>
          <cell r="H82">
            <v>3</v>
          </cell>
        </row>
        <row r="83">
          <cell r="D83">
            <v>6</v>
          </cell>
          <cell r="E83">
            <v>13</v>
          </cell>
          <cell r="F83">
            <v>12</v>
          </cell>
          <cell r="G83">
            <v>8</v>
          </cell>
          <cell r="H83">
            <v>3</v>
          </cell>
        </row>
        <row r="84">
          <cell r="D84">
            <v>7</v>
          </cell>
          <cell r="E84">
            <v>13</v>
          </cell>
          <cell r="F84">
            <v>13</v>
          </cell>
          <cell r="G84">
            <v>8</v>
          </cell>
          <cell r="H84">
            <v>3</v>
          </cell>
        </row>
      </sheetData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-0.249977111117893"/>
  </sheetPr>
  <dimension ref="A3:B6"/>
  <sheetViews>
    <sheetView workbookViewId="0">
      <selection activeCell="A7" sqref="A7"/>
    </sheetView>
  </sheetViews>
  <sheetFormatPr defaultRowHeight="13.5"/>
  <cols>
    <col min="1" max="1" width="20.625" customWidth="1"/>
  </cols>
  <sheetData>
    <row r="3" spans="1:2">
      <c r="A3" s="20">
        <v>42424</v>
      </c>
      <c r="B3" s="12" t="s">
        <v>44</v>
      </c>
    </row>
    <row r="4" spans="1:2">
      <c r="B4" s="12" t="s">
        <v>43</v>
      </c>
    </row>
    <row r="6" spans="1:2">
      <c r="A6" s="20">
        <v>42431</v>
      </c>
      <c r="B6" s="12" t="s">
        <v>54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46"/>
  <sheetViews>
    <sheetView zoomScaleNormal="100" workbookViewId="0">
      <selection activeCell="K12" sqref="K12"/>
    </sheetView>
  </sheetViews>
  <sheetFormatPr defaultColWidth="8.625" defaultRowHeight="14.25"/>
  <cols>
    <col min="1" max="1" width="1.75" style="5" customWidth="1"/>
    <col min="2" max="2" width="10.625" customWidth="1"/>
    <col min="3" max="3" width="8.375" style="2" customWidth="1"/>
    <col min="4" max="4" width="13.5" style="2" customWidth="1"/>
    <col min="5" max="5" width="13.75" style="2" customWidth="1"/>
    <col min="6" max="6" width="12.25" style="2" customWidth="1"/>
    <col min="7" max="7" width="18.25" style="4" customWidth="1"/>
    <col min="8" max="8" width="11.625" style="2" customWidth="1"/>
    <col min="9" max="9" width="8.625" style="2" customWidth="1"/>
    <col min="10" max="10" width="9.625" style="2" customWidth="1"/>
    <col min="11" max="11" width="9.125" style="2" customWidth="1"/>
    <col min="12" max="12" width="9" style="2" customWidth="1"/>
    <col min="13" max="13" width="8.25" style="2" customWidth="1"/>
    <col min="14" max="14" width="8.375" style="2" customWidth="1"/>
    <col min="15" max="15" width="15.125" style="2" customWidth="1"/>
    <col min="16" max="16" width="5.25" style="2" customWidth="1"/>
    <col min="17" max="17" width="7.25" style="2" customWidth="1"/>
    <col min="18" max="18" width="12.375" customWidth="1"/>
    <col min="19" max="19" width="14.875" customWidth="1"/>
    <col min="20" max="20" width="15.375" customWidth="1"/>
    <col min="21" max="22" width="11.125" customWidth="1"/>
  </cols>
  <sheetData>
    <row r="1" spans="1:23">
      <c r="A1" s="2"/>
      <c r="B1" s="6" t="s">
        <v>0</v>
      </c>
      <c r="C1" s="6"/>
      <c r="E1" s="6"/>
      <c r="F1" s="6"/>
      <c r="G1" s="7"/>
      <c r="O1" s="2" t="s">
        <v>16</v>
      </c>
      <c r="V1" s="8"/>
    </row>
    <row r="2" spans="1:23" ht="40.5">
      <c r="B2" s="8" t="s">
        <v>6</v>
      </c>
      <c r="C2" s="10" t="s">
        <v>17</v>
      </c>
      <c r="D2" s="10" t="s">
        <v>18</v>
      </c>
      <c r="E2" s="2" t="s">
        <v>14</v>
      </c>
      <c r="F2" s="16" t="s">
        <v>19</v>
      </c>
      <c r="G2" s="11" t="s">
        <v>20</v>
      </c>
      <c r="H2" s="12" t="s">
        <v>21</v>
      </c>
      <c r="I2" s="24" t="s">
        <v>1022</v>
      </c>
      <c r="J2" s="24" t="s">
        <v>1017</v>
      </c>
      <c r="K2" s="24" t="s">
        <v>1018</v>
      </c>
      <c r="L2" s="24" t="s">
        <v>1019</v>
      </c>
      <c r="M2" s="24" t="s">
        <v>1020</v>
      </c>
      <c r="N2" s="24" t="s">
        <v>1021</v>
      </c>
      <c r="O2" s="12" t="s">
        <v>15958</v>
      </c>
      <c r="P2" s="12"/>
      <c r="Q2" s="12"/>
    </row>
    <row r="3" spans="1:23">
      <c r="B3" s="6" t="s">
        <v>1</v>
      </c>
      <c r="C3" s="2" t="s">
        <v>1</v>
      </c>
      <c r="D3" s="2" t="s">
        <v>2</v>
      </c>
      <c r="E3" s="2" t="s">
        <v>2</v>
      </c>
      <c r="F3" s="2" t="s">
        <v>1</v>
      </c>
      <c r="G3" s="4" t="s">
        <v>1</v>
      </c>
      <c r="H3" t="s">
        <v>2</v>
      </c>
      <c r="I3" s="6" t="s">
        <v>1</v>
      </c>
      <c r="J3" s="6" t="s">
        <v>1</v>
      </c>
      <c r="K3" s="6" t="s">
        <v>1</v>
      </c>
      <c r="L3" s="6" t="s">
        <v>1</v>
      </c>
      <c r="M3" s="6" t="s">
        <v>1</v>
      </c>
      <c r="N3" s="6" t="s">
        <v>1</v>
      </c>
      <c r="O3" t="s">
        <v>2</v>
      </c>
      <c r="P3"/>
      <c r="Q3"/>
    </row>
    <row r="4" spans="1:23" s="3" customFormat="1">
      <c r="A4" s="4"/>
      <c r="B4" s="7" t="s">
        <v>3</v>
      </c>
      <c r="C4" s="7" t="s">
        <v>3</v>
      </c>
      <c r="D4" s="9" t="s">
        <v>3</v>
      </c>
      <c r="E4" s="7"/>
      <c r="F4" s="9" t="s">
        <v>3</v>
      </c>
      <c r="G4" s="9" t="s">
        <v>3</v>
      </c>
      <c r="H4" s="7"/>
      <c r="I4" s="9" t="s">
        <v>3</v>
      </c>
      <c r="J4" s="9" t="s">
        <v>3</v>
      </c>
      <c r="K4" s="9" t="s">
        <v>3</v>
      </c>
      <c r="L4" s="9" t="s">
        <v>3</v>
      </c>
      <c r="M4" s="9" t="s">
        <v>3</v>
      </c>
      <c r="N4" s="9" t="s">
        <v>3</v>
      </c>
      <c r="O4" s="7"/>
      <c r="P4" s="7"/>
      <c r="Q4" s="7"/>
      <c r="R4" s="3" t="s">
        <v>1011</v>
      </c>
    </row>
    <row r="5" spans="1:23" s="3" customFormat="1">
      <c r="A5" s="4"/>
      <c r="C5" s="7"/>
      <c r="D5" s="9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/>
      <c r="S5"/>
      <c r="T5"/>
    </row>
    <row r="6" spans="1:23" ht="48" customHeight="1">
      <c r="B6" s="13" t="s">
        <v>15</v>
      </c>
      <c r="C6" s="14" t="s">
        <v>9</v>
      </c>
      <c r="D6" s="13" t="s">
        <v>11</v>
      </c>
      <c r="E6" s="5" t="s">
        <v>10</v>
      </c>
      <c r="F6" s="14" t="s">
        <v>7</v>
      </c>
      <c r="G6" s="13" t="s">
        <v>8</v>
      </c>
      <c r="H6" s="12" t="s">
        <v>13</v>
      </c>
      <c r="I6" s="24" t="s">
        <v>1023</v>
      </c>
      <c r="J6" s="22" t="s">
        <v>1012</v>
      </c>
      <c r="K6" s="22" t="s">
        <v>1013</v>
      </c>
      <c r="L6" s="22" t="s">
        <v>1014</v>
      </c>
      <c r="M6" s="22" t="s">
        <v>1015</v>
      </c>
      <c r="N6" s="22" t="s">
        <v>1016</v>
      </c>
      <c r="O6" s="12" t="s">
        <v>12</v>
      </c>
      <c r="P6" s="12"/>
      <c r="Q6" s="12"/>
      <c r="R6" s="43">
        <v>0.18</v>
      </c>
      <c r="S6" s="43">
        <v>0.2</v>
      </c>
      <c r="T6" s="43">
        <v>0.25</v>
      </c>
    </row>
    <row r="7" spans="1:23">
      <c r="A7" s="4" t="s">
        <v>4</v>
      </c>
      <c r="B7" s="6">
        <v>1</v>
      </c>
      <c r="C7" s="13">
        <v>0</v>
      </c>
      <c r="D7" s="8" t="s">
        <v>45</v>
      </c>
      <c r="E7" s="10"/>
      <c r="F7" s="6">
        <v>0</v>
      </c>
      <c r="G7" s="7">
        <v>0</v>
      </c>
      <c r="H7"/>
      <c r="I7" s="1">
        <v>0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19" t="s">
        <v>15962</v>
      </c>
      <c r="P7" s="19"/>
      <c r="Q7" s="19"/>
      <c r="R7" s="1">
        <v>0</v>
      </c>
      <c r="S7" s="1">
        <v>0</v>
      </c>
      <c r="T7" s="1">
        <v>0</v>
      </c>
      <c r="U7">
        <f>R7</f>
        <v>0</v>
      </c>
      <c r="V7">
        <f t="shared" ref="V7" si="0">S7</f>
        <v>0</v>
      </c>
      <c r="W7">
        <f t="shared" ref="W7" si="1">T7</f>
        <v>0</v>
      </c>
    </row>
    <row r="8" spans="1:23">
      <c r="B8" s="6">
        <v>2</v>
      </c>
      <c r="C8" s="13">
        <v>1</v>
      </c>
      <c r="D8" s="8" t="s">
        <v>46</v>
      </c>
      <c r="E8" s="8" t="s">
        <v>15970</v>
      </c>
      <c r="F8" s="6">
        <v>0</v>
      </c>
      <c r="G8" s="7">
        <v>0</v>
      </c>
      <c r="H8"/>
      <c r="I8" s="25">
        <v>60</v>
      </c>
      <c r="J8" s="23">
        <v>5</v>
      </c>
      <c r="K8" s="63">
        <v>1</v>
      </c>
      <c r="L8" s="63">
        <v>1</v>
      </c>
      <c r="M8" s="63">
        <v>10</v>
      </c>
      <c r="N8" s="63">
        <v>1</v>
      </c>
      <c r="O8" s="19" t="s">
        <v>15962</v>
      </c>
      <c r="P8" s="19"/>
      <c r="Q8" s="45">
        <v>400</v>
      </c>
      <c r="R8" s="1">
        <f>INT($Q8*R$6)</f>
        <v>72</v>
      </c>
      <c r="S8" s="1">
        <f t="shared" ref="S8:T16" si="2">INT($Q8*S$6)</f>
        <v>80</v>
      </c>
      <c r="T8" s="1">
        <f t="shared" si="2"/>
        <v>100</v>
      </c>
      <c r="U8" t="str">
        <f>U7&amp;","&amp;R8</f>
        <v>0,72</v>
      </c>
      <c r="V8" t="str">
        <f t="shared" ref="V8" si="3">V7&amp;","&amp;S8</f>
        <v>0,80</v>
      </c>
      <c r="W8" t="str">
        <f t="shared" ref="W8" si="4">W7&amp;","&amp;T8</f>
        <v>0,100</v>
      </c>
    </row>
    <row r="9" spans="1:23">
      <c r="B9" s="6">
        <v>3</v>
      </c>
      <c r="C9" s="13">
        <v>2</v>
      </c>
      <c r="D9" s="8" t="s">
        <v>47</v>
      </c>
      <c r="E9" s="8" t="s">
        <v>15971</v>
      </c>
      <c r="F9" s="1">
        <v>200</v>
      </c>
      <c r="G9" s="7">
        <f>F9-50</f>
        <v>150</v>
      </c>
      <c r="H9"/>
      <c r="I9" s="25">
        <v>60</v>
      </c>
      <c r="J9" s="23">
        <v>7</v>
      </c>
      <c r="K9" s="63">
        <v>2</v>
      </c>
      <c r="L9" s="63">
        <v>1</v>
      </c>
      <c r="M9" s="63">
        <v>10</v>
      </c>
      <c r="N9" s="63">
        <v>1</v>
      </c>
      <c r="O9" s="19" t="s">
        <v>15963</v>
      </c>
      <c r="P9" s="45">
        <v>130</v>
      </c>
      <c r="Q9" s="44">
        <f>P9+Q8</f>
        <v>530</v>
      </c>
      <c r="R9" s="1">
        <f t="shared" ref="R9:R16" si="5">INT($Q9*R$6)</f>
        <v>95</v>
      </c>
      <c r="S9" s="1">
        <f t="shared" si="2"/>
        <v>106</v>
      </c>
      <c r="T9" s="1">
        <f t="shared" si="2"/>
        <v>132</v>
      </c>
      <c r="U9" t="str">
        <f t="shared" ref="U9:U15" si="6">U8&amp;","&amp;R9</f>
        <v>0,72,95</v>
      </c>
      <c r="V9" t="str">
        <f t="shared" ref="V9:V15" si="7">V8&amp;","&amp;S9</f>
        <v>0,80,106</v>
      </c>
      <c r="W9" t="str">
        <f t="shared" ref="W9:W14" si="8">W8&amp;","&amp;T9</f>
        <v>0,100,132</v>
      </c>
    </row>
    <row r="10" spans="1:23">
      <c r="B10" s="6">
        <v>4</v>
      </c>
      <c r="C10" s="13">
        <v>3</v>
      </c>
      <c r="D10" s="8" t="s">
        <v>48</v>
      </c>
      <c r="E10" s="8" t="s">
        <v>15972</v>
      </c>
      <c r="F10" s="1">
        <v>500</v>
      </c>
      <c r="G10" s="7">
        <f t="shared" ref="G10:G16" si="9">F10-50</f>
        <v>450</v>
      </c>
      <c r="H10"/>
      <c r="I10" s="1">
        <v>60</v>
      </c>
      <c r="J10" s="23">
        <v>9</v>
      </c>
      <c r="K10" s="63">
        <v>2</v>
      </c>
      <c r="L10" s="63">
        <v>1</v>
      </c>
      <c r="M10" s="63">
        <v>10</v>
      </c>
      <c r="N10" s="63">
        <v>1</v>
      </c>
      <c r="O10" s="19" t="s">
        <v>15963</v>
      </c>
      <c r="P10" s="45">
        <v>110</v>
      </c>
      <c r="Q10" s="44">
        <f t="shared" ref="Q10:Q15" si="10">P10+Q9</f>
        <v>640</v>
      </c>
      <c r="R10" s="1">
        <f t="shared" si="5"/>
        <v>115</v>
      </c>
      <c r="S10" s="1">
        <f t="shared" si="2"/>
        <v>128</v>
      </c>
      <c r="T10" s="1">
        <f t="shared" si="2"/>
        <v>160</v>
      </c>
      <c r="U10" t="str">
        <f t="shared" si="6"/>
        <v>0,72,95,115</v>
      </c>
      <c r="V10" t="str">
        <f t="shared" si="7"/>
        <v>0,80,106,128</v>
      </c>
      <c r="W10" t="str">
        <f t="shared" si="8"/>
        <v>0,100,132,160</v>
      </c>
    </row>
    <row r="11" spans="1:23">
      <c r="B11" s="6">
        <v>5</v>
      </c>
      <c r="C11" s="13">
        <v>4</v>
      </c>
      <c r="D11" s="8" t="s">
        <v>49</v>
      </c>
      <c r="E11" s="8" t="s">
        <v>15973</v>
      </c>
      <c r="F11" s="1">
        <v>900</v>
      </c>
      <c r="G11" s="7">
        <f t="shared" si="9"/>
        <v>850</v>
      </c>
      <c r="H11"/>
      <c r="I11" s="25">
        <v>80</v>
      </c>
      <c r="J11" s="23">
        <v>11</v>
      </c>
      <c r="K11" s="63">
        <v>4</v>
      </c>
      <c r="L11" s="63">
        <v>1</v>
      </c>
      <c r="M11" s="63">
        <v>20</v>
      </c>
      <c r="N11" s="63">
        <v>2</v>
      </c>
      <c r="O11" s="19" t="s">
        <v>15963</v>
      </c>
      <c r="P11" s="44">
        <f>$P$10-$P$9+P10</f>
        <v>90</v>
      </c>
      <c r="Q11" s="44">
        <f t="shared" si="10"/>
        <v>730</v>
      </c>
      <c r="R11" s="1">
        <f t="shared" si="5"/>
        <v>131</v>
      </c>
      <c r="S11" s="1">
        <f t="shared" si="2"/>
        <v>146</v>
      </c>
      <c r="T11" s="1">
        <f t="shared" si="2"/>
        <v>182</v>
      </c>
      <c r="U11" t="str">
        <f t="shared" si="6"/>
        <v>0,72,95,115,131</v>
      </c>
      <c r="V11" t="str">
        <f t="shared" si="7"/>
        <v>0,80,106,128,146</v>
      </c>
      <c r="W11" t="str">
        <f t="shared" si="8"/>
        <v>0,100,132,160,182</v>
      </c>
    </row>
    <row r="12" spans="1:23">
      <c r="B12" s="6">
        <v>6</v>
      </c>
      <c r="C12" s="13">
        <v>5</v>
      </c>
      <c r="D12" s="8" t="s">
        <v>50</v>
      </c>
      <c r="E12" s="8" t="s">
        <v>15974</v>
      </c>
      <c r="F12" s="1">
        <v>1300</v>
      </c>
      <c r="G12" s="7">
        <f t="shared" si="9"/>
        <v>1250</v>
      </c>
      <c r="H12"/>
      <c r="I12" s="63">
        <v>120</v>
      </c>
      <c r="J12" s="23">
        <v>12</v>
      </c>
      <c r="K12" s="63">
        <v>4</v>
      </c>
      <c r="L12" s="63">
        <v>1</v>
      </c>
      <c r="M12" s="63">
        <v>20</v>
      </c>
      <c r="N12" s="63">
        <v>2</v>
      </c>
      <c r="O12" s="19" t="s">
        <v>15963</v>
      </c>
      <c r="P12" s="44">
        <f t="shared" ref="P12:P13" si="11">$P$10-$P$9+P11</f>
        <v>70</v>
      </c>
      <c r="Q12" s="44">
        <f t="shared" si="10"/>
        <v>800</v>
      </c>
      <c r="R12" s="1">
        <f t="shared" si="5"/>
        <v>144</v>
      </c>
      <c r="S12" s="1">
        <f t="shared" si="2"/>
        <v>160</v>
      </c>
      <c r="T12" s="1">
        <f t="shared" si="2"/>
        <v>200</v>
      </c>
      <c r="U12" t="str">
        <f t="shared" si="6"/>
        <v>0,72,95,115,131,144</v>
      </c>
      <c r="V12" t="str">
        <f t="shared" si="7"/>
        <v>0,80,106,128,146,160</v>
      </c>
      <c r="W12" t="str">
        <f t="shared" si="8"/>
        <v>0,100,132,160,182,200</v>
      </c>
    </row>
    <row r="13" spans="1:23">
      <c r="B13" s="6">
        <v>7</v>
      </c>
      <c r="C13" s="13">
        <v>6</v>
      </c>
      <c r="D13" s="8" t="s">
        <v>51</v>
      </c>
      <c r="E13" s="8" t="s">
        <v>15975</v>
      </c>
      <c r="F13" s="1">
        <v>1700</v>
      </c>
      <c r="G13" s="7">
        <f t="shared" si="9"/>
        <v>1650</v>
      </c>
      <c r="H13"/>
      <c r="I13" s="25">
        <v>160</v>
      </c>
      <c r="J13" s="23">
        <v>14</v>
      </c>
      <c r="K13" s="63">
        <v>4</v>
      </c>
      <c r="L13" s="63">
        <v>1</v>
      </c>
      <c r="M13" s="63">
        <v>20</v>
      </c>
      <c r="N13" s="63">
        <v>2</v>
      </c>
      <c r="O13" s="19" t="s">
        <v>15963</v>
      </c>
      <c r="P13" s="44">
        <f t="shared" si="11"/>
        <v>50</v>
      </c>
      <c r="Q13" s="44">
        <f t="shared" si="10"/>
        <v>850</v>
      </c>
      <c r="R13" s="1">
        <f t="shared" si="5"/>
        <v>153</v>
      </c>
      <c r="S13" s="1">
        <f t="shared" si="2"/>
        <v>170</v>
      </c>
      <c r="T13" s="1">
        <f t="shared" si="2"/>
        <v>212</v>
      </c>
      <c r="U13" t="str">
        <f t="shared" si="6"/>
        <v>0,72,95,115,131,144,153</v>
      </c>
      <c r="V13" t="str">
        <f t="shared" si="7"/>
        <v>0,80,106,128,146,160,170</v>
      </c>
      <c r="W13" t="str">
        <f t="shared" si="8"/>
        <v>0,100,132,160,182,200,212</v>
      </c>
    </row>
    <row r="14" spans="1:23">
      <c r="A14" s="4"/>
      <c r="B14" s="15">
        <v>8</v>
      </c>
      <c r="C14" s="18">
        <v>7</v>
      </c>
      <c r="D14" s="8" t="s">
        <v>52</v>
      </c>
      <c r="E14" s="62" t="s">
        <v>15976</v>
      </c>
      <c r="F14" s="1">
        <v>2100</v>
      </c>
      <c r="G14" s="7">
        <f t="shared" si="9"/>
        <v>2050</v>
      </c>
      <c r="H14"/>
      <c r="I14" s="23">
        <v>180</v>
      </c>
      <c r="J14" s="23">
        <v>15</v>
      </c>
      <c r="K14" s="63">
        <v>6</v>
      </c>
      <c r="L14" s="63">
        <v>1</v>
      </c>
      <c r="M14" s="63">
        <v>30</v>
      </c>
      <c r="N14" s="63">
        <v>3</v>
      </c>
      <c r="O14" s="19" t="s">
        <v>15963</v>
      </c>
      <c r="P14" s="44">
        <f>P13</f>
        <v>50</v>
      </c>
      <c r="Q14" s="44">
        <f t="shared" si="10"/>
        <v>900</v>
      </c>
      <c r="R14" s="1">
        <f t="shared" si="5"/>
        <v>162</v>
      </c>
      <c r="S14" s="1">
        <f t="shared" si="2"/>
        <v>180</v>
      </c>
      <c r="T14" s="1">
        <f t="shared" si="2"/>
        <v>225</v>
      </c>
      <c r="U14" t="str">
        <f t="shared" si="6"/>
        <v>0,72,95,115,131,144,153,162</v>
      </c>
      <c r="V14" t="str">
        <f t="shared" si="7"/>
        <v>0,80,106,128,146,160,170,180</v>
      </c>
      <c r="W14" t="str">
        <f t="shared" si="8"/>
        <v>0,100,132,160,182,200,212,225</v>
      </c>
    </row>
    <row r="15" spans="1:23">
      <c r="B15" s="6">
        <v>9</v>
      </c>
      <c r="C15" s="13">
        <v>8</v>
      </c>
      <c r="D15" s="8" t="s">
        <v>53</v>
      </c>
      <c r="E15" s="62" t="s">
        <v>15977</v>
      </c>
      <c r="F15" s="1">
        <v>2500</v>
      </c>
      <c r="G15" s="7">
        <f t="shared" si="9"/>
        <v>2450</v>
      </c>
      <c r="H15"/>
      <c r="I15" s="1">
        <v>200</v>
      </c>
      <c r="J15" s="23">
        <v>20</v>
      </c>
      <c r="K15" s="63">
        <v>6</v>
      </c>
      <c r="L15" s="63">
        <v>1</v>
      </c>
      <c r="M15" s="63">
        <v>30</v>
      </c>
      <c r="N15" s="63">
        <v>3</v>
      </c>
      <c r="O15" s="19" t="s">
        <v>15963</v>
      </c>
      <c r="P15" s="45">
        <v>220</v>
      </c>
      <c r="Q15" s="44">
        <f t="shared" si="10"/>
        <v>1120</v>
      </c>
      <c r="R15" s="1">
        <f t="shared" si="5"/>
        <v>201</v>
      </c>
      <c r="S15" s="1">
        <f t="shared" si="2"/>
        <v>224</v>
      </c>
      <c r="T15" s="1">
        <f t="shared" si="2"/>
        <v>280</v>
      </c>
      <c r="U15" t="str">
        <f t="shared" si="6"/>
        <v>0,72,95,115,131,144,153,162,201</v>
      </c>
      <c r="V15" t="str">
        <f t="shared" si="7"/>
        <v>0,80,106,128,146,160,170,180,224</v>
      </c>
      <c r="W15" t="str">
        <f>W14&amp;","&amp;T15</f>
        <v>0,100,132,160,182,200,212,225,280</v>
      </c>
    </row>
    <row r="16" spans="1:23">
      <c r="A16" s="4" t="s">
        <v>5</v>
      </c>
      <c r="B16" s="15">
        <v>10</v>
      </c>
      <c r="C16" s="18">
        <v>9</v>
      </c>
      <c r="D16" s="8" t="s">
        <v>15964</v>
      </c>
      <c r="E16" s="8" t="s">
        <v>15978</v>
      </c>
      <c r="F16" s="1">
        <v>3000</v>
      </c>
      <c r="G16" s="7">
        <f t="shared" si="9"/>
        <v>2950</v>
      </c>
      <c r="H16" s="42"/>
      <c r="I16" s="1">
        <v>240</v>
      </c>
      <c r="J16" s="23">
        <v>20</v>
      </c>
      <c r="K16" s="63">
        <v>8</v>
      </c>
      <c r="L16" s="63">
        <v>1</v>
      </c>
      <c r="M16" s="63">
        <v>40</v>
      </c>
      <c r="N16" s="63">
        <v>4</v>
      </c>
      <c r="O16" s="19" t="s">
        <v>15963</v>
      </c>
      <c r="P16" s="45">
        <v>220</v>
      </c>
      <c r="Q16" s="44">
        <f t="shared" ref="Q16" si="12">P16+Q15</f>
        <v>1340</v>
      </c>
      <c r="R16" s="1">
        <f t="shared" si="5"/>
        <v>241</v>
      </c>
      <c r="S16" s="1">
        <f t="shared" si="2"/>
        <v>268</v>
      </c>
      <c r="T16" s="1">
        <f t="shared" si="2"/>
        <v>335</v>
      </c>
      <c r="U16" t="str">
        <f t="shared" ref="U16" si="13">U15&amp;","&amp;R16</f>
        <v>0,72,95,115,131,144,153,162,201,241</v>
      </c>
      <c r="V16" t="str">
        <f t="shared" ref="V16" si="14">V15&amp;","&amp;S16</f>
        <v>0,80,106,128,146,160,170,180,224,268</v>
      </c>
      <c r="W16" t="str">
        <f>W15&amp;","&amp;T16</f>
        <v>0,100,132,160,182,200,212,225,280,335</v>
      </c>
    </row>
    <row r="17" spans="3:17" ht="13.5">
      <c r="C17"/>
      <c r="D17"/>
      <c r="E17"/>
      <c r="F17"/>
      <c r="G17"/>
      <c r="J17"/>
      <c r="K17"/>
      <c r="L17"/>
      <c r="M17"/>
      <c r="N17"/>
      <c r="O17"/>
      <c r="P17"/>
      <c r="Q17"/>
    </row>
    <row r="18" spans="3:17" ht="13.5">
      <c r="C18"/>
      <c r="D18"/>
      <c r="E18"/>
      <c r="F18"/>
      <c r="G18"/>
      <c r="H18"/>
      <c r="I18"/>
      <c r="O18" s="10" t="s">
        <v>15959</v>
      </c>
    </row>
    <row r="19" spans="3:17" ht="13.5">
      <c r="C19"/>
      <c r="D19"/>
      <c r="E19"/>
      <c r="F19"/>
      <c r="G19"/>
      <c r="H19"/>
      <c r="I19"/>
      <c r="O19" s="10" t="s">
        <v>15961</v>
      </c>
    </row>
    <row r="20" spans="3:17" ht="13.5">
      <c r="C20"/>
      <c r="D20"/>
      <c r="E20"/>
      <c r="F20"/>
      <c r="G20"/>
      <c r="H20"/>
      <c r="I20"/>
      <c r="O20" s="10" t="s">
        <v>15960</v>
      </c>
    </row>
    <row r="21" spans="3:17" ht="13.5">
      <c r="C21"/>
      <c r="D21"/>
      <c r="E21"/>
      <c r="F21"/>
      <c r="G21"/>
      <c r="H21"/>
      <c r="I21"/>
    </row>
    <row r="22" spans="3:17" ht="13.5">
      <c r="C22"/>
      <c r="D22"/>
      <c r="E22"/>
      <c r="F22"/>
      <c r="G22"/>
      <c r="H22"/>
      <c r="I22"/>
    </row>
    <row r="23" spans="3:17" ht="13.5"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3:17" ht="13.5"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3:17" ht="13.5"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3:17" ht="13.5"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3:17" ht="13.5"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3:17" ht="13.5"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3:17" ht="13.5">
      <c r="F29"/>
      <c r="G29"/>
      <c r="H29"/>
      <c r="I29"/>
      <c r="J29"/>
      <c r="K29"/>
      <c r="L29"/>
      <c r="M29"/>
      <c r="N29"/>
      <c r="O29"/>
    </row>
    <row r="30" spans="3:17" ht="13.5">
      <c r="F30"/>
      <c r="G30"/>
      <c r="H30"/>
      <c r="I30"/>
      <c r="J30"/>
      <c r="K30"/>
      <c r="L30"/>
      <c r="M30"/>
      <c r="N30"/>
      <c r="O30"/>
    </row>
    <row r="31" spans="3:17" ht="13.5">
      <c r="F31"/>
      <c r="G31"/>
      <c r="H31"/>
      <c r="I31"/>
      <c r="J31"/>
      <c r="K31"/>
      <c r="L31"/>
      <c r="M31"/>
      <c r="N31"/>
      <c r="O31"/>
    </row>
    <row r="32" spans="3:17" ht="13.5">
      <c r="F32"/>
      <c r="G32"/>
      <c r="H32"/>
      <c r="I32"/>
      <c r="J32"/>
      <c r="K32"/>
      <c r="L32"/>
      <c r="M32"/>
      <c r="N32"/>
      <c r="O32"/>
    </row>
    <row r="33" spans="6:15" ht="13.5">
      <c r="F33"/>
      <c r="G33"/>
      <c r="H33"/>
      <c r="I33"/>
      <c r="J33"/>
      <c r="K33"/>
      <c r="L33"/>
      <c r="M33"/>
      <c r="N33"/>
      <c r="O33"/>
    </row>
    <row r="34" spans="6:15" ht="13.5">
      <c r="F34"/>
      <c r="G34"/>
      <c r="H34"/>
      <c r="I34"/>
      <c r="J34"/>
      <c r="K34"/>
      <c r="L34"/>
      <c r="M34"/>
      <c r="N34"/>
      <c r="O34"/>
    </row>
    <row r="35" spans="6:15" ht="13.5">
      <c r="F35"/>
      <c r="G35"/>
      <c r="H35"/>
      <c r="I35"/>
      <c r="J35"/>
      <c r="K35"/>
      <c r="L35"/>
      <c r="M35"/>
      <c r="N35"/>
      <c r="O35"/>
    </row>
    <row r="36" spans="6:15" ht="13.5">
      <c r="F36"/>
      <c r="G36"/>
      <c r="H36"/>
      <c r="I36"/>
      <c r="J36"/>
      <c r="K36"/>
      <c r="L36"/>
      <c r="M36"/>
      <c r="N36"/>
      <c r="O36"/>
    </row>
    <row r="37" spans="6:15">
      <c r="H37"/>
      <c r="I37"/>
      <c r="J37"/>
      <c r="K37"/>
      <c r="L37"/>
      <c r="M37"/>
      <c r="N37"/>
      <c r="O37"/>
    </row>
    <row r="38" spans="6:15">
      <c r="H38"/>
      <c r="I38"/>
      <c r="J38"/>
      <c r="K38"/>
      <c r="L38"/>
      <c r="M38"/>
      <c r="N38"/>
      <c r="O38"/>
    </row>
    <row r="39" spans="6:15">
      <c r="H39"/>
      <c r="I39"/>
      <c r="J39"/>
      <c r="K39"/>
      <c r="L39"/>
      <c r="M39"/>
      <c r="N39"/>
      <c r="O39"/>
    </row>
    <row r="40" spans="6:15">
      <c r="H40"/>
      <c r="I40"/>
      <c r="J40"/>
      <c r="K40"/>
      <c r="L40"/>
      <c r="M40"/>
      <c r="N40"/>
      <c r="O40"/>
    </row>
    <row r="41" spans="6:15">
      <c r="H41"/>
      <c r="I41"/>
      <c r="J41"/>
      <c r="K41"/>
      <c r="L41"/>
      <c r="M41"/>
      <c r="N41"/>
      <c r="O41"/>
    </row>
    <row r="42" spans="6:15">
      <c r="H42"/>
      <c r="I42"/>
      <c r="J42"/>
      <c r="K42"/>
      <c r="L42"/>
      <c r="M42"/>
      <c r="N42"/>
      <c r="O42"/>
    </row>
    <row r="43" spans="6:15">
      <c r="H43"/>
      <c r="I43"/>
      <c r="J43"/>
      <c r="K43"/>
      <c r="L43"/>
      <c r="M43"/>
      <c r="N43"/>
      <c r="O43"/>
    </row>
    <row r="44" spans="6:15">
      <c r="H44"/>
      <c r="I44"/>
      <c r="J44"/>
      <c r="K44"/>
      <c r="L44"/>
      <c r="M44"/>
      <c r="N44"/>
      <c r="O44"/>
    </row>
    <row r="45" spans="6:15">
      <c r="H45"/>
      <c r="I45"/>
      <c r="J45"/>
      <c r="K45"/>
      <c r="L45"/>
      <c r="M45"/>
      <c r="N45"/>
      <c r="O45"/>
    </row>
    <row r="46" spans="6:15">
      <c r="H46"/>
      <c r="I46"/>
      <c r="J46"/>
      <c r="K46"/>
      <c r="L46"/>
      <c r="M46"/>
      <c r="N46"/>
      <c r="O46"/>
    </row>
  </sheetData>
  <sortState ref="A68:AB376">
    <sortCondition ref="A67"/>
  </sortState>
  <phoneticPr fontId="4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export">
                <anchor moveWithCells="1" sizeWithCells="1">
                  <from>
                    <xdr:col>3</xdr:col>
                    <xdr:colOff>933450</xdr:colOff>
                    <xdr:row>0</xdr:row>
                    <xdr:rowOff>0</xdr:rowOff>
                  </from>
                  <to>
                    <xdr:col>6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6"/>
  <sheetViews>
    <sheetView workbookViewId="0">
      <pane ySplit="6" topLeftCell="A7" activePane="bottomLeft" state="frozen"/>
      <selection pane="bottomLeft" activeCell="G7" sqref="G7"/>
    </sheetView>
  </sheetViews>
  <sheetFormatPr defaultRowHeight="13.5"/>
  <cols>
    <col min="1" max="1" width="2.5" bestFit="1" customWidth="1"/>
    <col min="2" max="2" width="11.75" customWidth="1"/>
    <col min="3" max="3" width="14.5" customWidth="1"/>
    <col min="4" max="4" width="8.25" customWidth="1"/>
    <col min="5" max="5" width="14.5" customWidth="1"/>
    <col min="6" max="6" width="11" customWidth="1"/>
    <col min="7" max="9" width="13.375" customWidth="1"/>
    <col min="10" max="11" width="28.5" customWidth="1"/>
  </cols>
  <sheetData>
    <row r="1" spans="1:20">
      <c r="A1" s="6"/>
      <c r="B1" s="6" t="s">
        <v>0</v>
      </c>
      <c r="C1" s="6"/>
      <c r="D1" s="6"/>
      <c r="E1" s="6"/>
      <c r="F1" s="6"/>
      <c r="G1" s="6"/>
      <c r="H1" s="6"/>
      <c r="I1" s="6"/>
      <c r="J1" s="6"/>
      <c r="K1" s="8" t="s">
        <v>42</v>
      </c>
    </row>
    <row r="2" spans="1:20">
      <c r="A2" s="13"/>
      <c r="B2" s="8" t="s">
        <v>15</v>
      </c>
      <c r="C2" s="8" t="s">
        <v>41</v>
      </c>
      <c r="D2" s="8" t="s">
        <v>4770</v>
      </c>
      <c r="E2" s="8" t="s">
        <v>57</v>
      </c>
      <c r="F2" s="8" t="s">
        <v>4768</v>
      </c>
      <c r="G2" s="8" t="s">
        <v>4766</v>
      </c>
      <c r="H2" s="8" t="s">
        <v>4797</v>
      </c>
      <c r="I2" s="8" t="s">
        <v>4772</v>
      </c>
      <c r="J2" s="8" t="s">
        <v>58</v>
      </c>
      <c r="K2" s="8" t="s">
        <v>55</v>
      </c>
    </row>
    <row r="3" spans="1:20">
      <c r="A3" s="13"/>
      <c r="B3" s="6" t="s">
        <v>1</v>
      </c>
      <c r="C3" s="6" t="s">
        <v>1</v>
      </c>
      <c r="D3" s="6" t="s">
        <v>1</v>
      </c>
      <c r="E3" s="6" t="s">
        <v>1</v>
      </c>
      <c r="F3" s="6" t="s">
        <v>1</v>
      </c>
      <c r="G3" s="6" t="s">
        <v>2</v>
      </c>
      <c r="H3" s="8" t="s">
        <v>4773</v>
      </c>
      <c r="I3" s="8" t="s">
        <v>4774</v>
      </c>
      <c r="J3" s="8" t="s">
        <v>56</v>
      </c>
      <c r="K3" s="8" t="s">
        <v>60</v>
      </c>
    </row>
    <row r="4" spans="1:20" ht="14.25">
      <c r="A4" s="7"/>
      <c r="B4" s="7" t="s">
        <v>3</v>
      </c>
      <c r="C4" s="7" t="s">
        <v>3</v>
      </c>
      <c r="D4" s="7" t="s">
        <v>3</v>
      </c>
      <c r="E4" s="7" t="s">
        <v>3</v>
      </c>
      <c r="F4" s="7" t="s">
        <v>3</v>
      </c>
      <c r="G4" s="7" t="s">
        <v>3</v>
      </c>
      <c r="H4" s="7" t="s">
        <v>3</v>
      </c>
      <c r="I4" s="7" t="s">
        <v>3</v>
      </c>
      <c r="J4" s="7" t="s">
        <v>3</v>
      </c>
      <c r="K4" s="9" t="s">
        <v>3</v>
      </c>
    </row>
    <row r="5" spans="1:20" ht="14.25">
      <c r="A5" s="7"/>
      <c r="B5" s="9" t="s">
        <v>29</v>
      </c>
      <c r="C5" s="9" t="s">
        <v>29</v>
      </c>
      <c r="D5" s="9" t="s">
        <v>29</v>
      </c>
      <c r="E5" s="9" t="s">
        <v>29</v>
      </c>
      <c r="F5" s="9" t="s">
        <v>29</v>
      </c>
      <c r="G5" s="9" t="s">
        <v>29</v>
      </c>
      <c r="H5" s="9"/>
      <c r="I5" s="9"/>
      <c r="J5" s="7"/>
      <c r="K5" s="9"/>
    </row>
    <row r="6" spans="1:20">
      <c r="A6" s="13"/>
      <c r="B6" s="13" t="s">
        <v>28</v>
      </c>
      <c r="C6" s="13" t="s">
        <v>40</v>
      </c>
      <c r="D6" s="13" t="s">
        <v>4771</v>
      </c>
      <c r="E6" s="13" t="s">
        <v>39</v>
      </c>
      <c r="F6" s="13" t="s">
        <v>4769</v>
      </c>
      <c r="G6" s="13" t="s">
        <v>4767</v>
      </c>
      <c r="H6" s="13" t="s">
        <v>4775</v>
      </c>
      <c r="I6" s="13" t="s">
        <v>4776</v>
      </c>
      <c r="J6" s="14" t="s">
        <v>23</v>
      </c>
      <c r="K6" s="13" t="s">
        <v>24</v>
      </c>
      <c r="L6" s="34"/>
      <c r="M6" s="34"/>
      <c r="N6" s="34"/>
      <c r="O6" s="34"/>
      <c r="P6" s="34"/>
      <c r="Q6" s="34"/>
      <c r="R6" s="34"/>
      <c r="S6" s="34"/>
      <c r="T6" s="34" t="s">
        <v>4781</v>
      </c>
    </row>
    <row r="7" spans="1:20">
      <c r="A7" s="21" t="s">
        <v>27</v>
      </c>
      <c r="B7" s="17">
        <v>1</v>
      </c>
      <c r="C7" s="17">
        <v>1</v>
      </c>
      <c r="D7" s="17">
        <v>0</v>
      </c>
      <c r="E7" s="17">
        <v>1</v>
      </c>
      <c r="F7" s="17">
        <v>1</v>
      </c>
      <c r="G7" s="26" t="s">
        <v>15968</v>
      </c>
      <c r="H7" s="32" t="s">
        <v>15965</v>
      </c>
      <c r="I7" s="12" t="str">
        <f>C7&amp;","&amp;C7&amp;","&amp;C7</f>
        <v>1,1,1</v>
      </c>
      <c r="J7" s="38" t="s">
        <v>4792</v>
      </c>
      <c r="K7" s="38" t="s">
        <v>4791</v>
      </c>
      <c r="L7" s="35" t="s">
        <v>4782</v>
      </c>
      <c r="M7" s="35" t="s">
        <v>4782</v>
      </c>
      <c r="N7" s="35" t="s">
        <v>4782</v>
      </c>
      <c r="O7" s="35" t="s">
        <v>4782</v>
      </c>
      <c r="P7" s="35" t="s">
        <v>4783</v>
      </c>
      <c r="Q7" s="35" t="s">
        <v>4783</v>
      </c>
      <c r="R7" s="35" t="s">
        <v>4783</v>
      </c>
      <c r="S7" s="35" t="s">
        <v>4783</v>
      </c>
      <c r="T7" s="34">
        <v>2</v>
      </c>
    </row>
    <row r="8" spans="1:20">
      <c r="A8" s="21"/>
      <c r="B8" s="17">
        <v>2</v>
      </c>
      <c r="C8" s="17">
        <v>1</v>
      </c>
      <c r="D8" s="17">
        <v>0</v>
      </c>
      <c r="E8" s="17">
        <v>30</v>
      </c>
      <c r="F8" s="17">
        <v>1</v>
      </c>
      <c r="G8" s="26" t="s">
        <v>15966</v>
      </c>
      <c r="H8" s="32" t="s">
        <v>15965</v>
      </c>
      <c r="I8" s="12" t="str">
        <f t="shared" ref="I8:I11" si="0">C8&amp;","&amp;C8&amp;","&amp;C8</f>
        <v>1,1,1</v>
      </c>
      <c r="J8" s="38" t="s">
        <v>4793</v>
      </c>
      <c r="K8" s="38" t="s">
        <v>4791</v>
      </c>
      <c r="L8" s="35" t="s">
        <v>4782</v>
      </c>
      <c r="M8" s="35" t="s">
        <v>4782</v>
      </c>
      <c r="N8" s="35" t="s">
        <v>4782</v>
      </c>
      <c r="O8" s="37" t="s">
        <v>4784</v>
      </c>
      <c r="P8" s="39" t="s">
        <v>4784</v>
      </c>
      <c r="Q8" s="35" t="s">
        <v>4783</v>
      </c>
      <c r="R8" s="35" t="s">
        <v>4783</v>
      </c>
      <c r="S8" s="34" t="s">
        <v>4785</v>
      </c>
      <c r="T8" s="34">
        <v>4</v>
      </c>
    </row>
    <row r="9" spans="1:20">
      <c r="A9" s="21"/>
      <c r="B9" s="17">
        <v>3</v>
      </c>
      <c r="C9" s="17">
        <v>1</v>
      </c>
      <c r="D9" s="17">
        <v>0</v>
      </c>
      <c r="E9" s="17">
        <v>60</v>
      </c>
      <c r="F9" s="17">
        <v>1</v>
      </c>
      <c r="G9" s="26" t="s">
        <v>15969</v>
      </c>
      <c r="H9" s="32" t="s">
        <v>4777</v>
      </c>
      <c r="I9" s="12" t="str">
        <f t="shared" si="0"/>
        <v>1,1,1</v>
      </c>
      <c r="J9" s="38" t="s">
        <v>4795</v>
      </c>
      <c r="K9" s="38" t="s">
        <v>4791</v>
      </c>
      <c r="L9" s="35" t="s">
        <v>4782</v>
      </c>
      <c r="M9" s="35" t="s">
        <v>4782</v>
      </c>
      <c r="N9" s="37" t="s">
        <v>4786</v>
      </c>
      <c r="O9" s="35" t="s">
        <v>4784</v>
      </c>
      <c r="P9" s="35" t="s">
        <v>4784</v>
      </c>
      <c r="Q9" s="35" t="s">
        <v>4783</v>
      </c>
      <c r="R9" s="37" t="s">
        <v>4786</v>
      </c>
      <c r="S9" s="35" t="s">
        <v>4794</v>
      </c>
      <c r="T9" s="34">
        <v>5</v>
      </c>
    </row>
    <row r="10" spans="1:20">
      <c r="A10" s="21"/>
      <c r="B10" s="17">
        <v>4</v>
      </c>
      <c r="C10" s="17">
        <v>1</v>
      </c>
      <c r="D10" s="17">
        <v>0</v>
      </c>
      <c r="E10" s="17">
        <v>90</v>
      </c>
      <c r="F10" s="17">
        <v>1</v>
      </c>
      <c r="G10" s="26" t="s">
        <v>15967</v>
      </c>
      <c r="H10" s="32" t="s">
        <v>4777</v>
      </c>
      <c r="I10" s="12" t="str">
        <f t="shared" si="0"/>
        <v>1,1,1</v>
      </c>
      <c r="J10" s="38" t="s">
        <v>4796</v>
      </c>
      <c r="K10" s="38" t="s">
        <v>4791</v>
      </c>
      <c r="L10" s="35" t="s">
        <v>4782</v>
      </c>
      <c r="M10" s="35" t="s">
        <v>4782</v>
      </c>
      <c r="N10" s="35" t="s">
        <v>4786</v>
      </c>
      <c r="O10" s="35" t="s">
        <v>4784</v>
      </c>
      <c r="P10" s="35" t="s">
        <v>4784</v>
      </c>
      <c r="Q10" s="35" t="s">
        <v>4783</v>
      </c>
      <c r="R10" s="37" t="s">
        <v>4787</v>
      </c>
      <c r="S10" s="35" t="s">
        <v>4794</v>
      </c>
      <c r="T10" s="34">
        <v>6</v>
      </c>
    </row>
    <row r="11" spans="1:20">
      <c r="A11" s="21"/>
      <c r="B11" s="17">
        <v>5</v>
      </c>
      <c r="C11" s="17">
        <v>1</v>
      </c>
      <c r="D11" s="17">
        <v>1</v>
      </c>
      <c r="E11" s="17">
        <v>120</v>
      </c>
      <c r="F11" s="17">
        <v>0</v>
      </c>
      <c r="G11" s="12" t="s">
        <v>4816</v>
      </c>
      <c r="H11" s="32" t="s">
        <v>4777</v>
      </c>
      <c r="I11" s="12" t="str">
        <f t="shared" si="0"/>
        <v>1,1,1</v>
      </c>
      <c r="J11" s="38" t="s">
        <v>4790</v>
      </c>
      <c r="K11" s="38" t="s">
        <v>4791</v>
      </c>
      <c r="L11" s="12" t="s">
        <v>4815</v>
      </c>
    </row>
    <row r="12" spans="1:20">
      <c r="A12" s="21"/>
      <c r="B12" s="17">
        <v>6</v>
      </c>
      <c r="C12" s="17">
        <v>5</v>
      </c>
      <c r="D12" s="17">
        <v>1</v>
      </c>
      <c r="E12" s="17">
        <v>150</v>
      </c>
      <c r="F12" s="17">
        <v>1</v>
      </c>
      <c r="G12" s="12" t="s">
        <v>4831</v>
      </c>
      <c r="H12" s="32" t="s">
        <v>4810</v>
      </c>
      <c r="I12" s="12" t="s">
        <v>4780</v>
      </c>
      <c r="J12" s="33" t="s">
        <v>4750</v>
      </c>
      <c r="K12" s="33" t="s">
        <v>1065</v>
      </c>
      <c r="L12" s="12" t="s">
        <v>4752</v>
      </c>
    </row>
    <row r="13" spans="1:20">
      <c r="A13" s="21"/>
      <c r="B13" s="17">
        <v>7</v>
      </c>
      <c r="C13" s="17">
        <v>10</v>
      </c>
      <c r="D13" s="17">
        <v>1</v>
      </c>
      <c r="E13" s="17">
        <v>500</v>
      </c>
      <c r="F13" s="17">
        <v>2</v>
      </c>
      <c r="G13" s="12" t="s">
        <v>4818</v>
      </c>
      <c r="H13" s="32" t="s">
        <v>4779</v>
      </c>
      <c r="I13" s="12" t="s">
        <v>4798</v>
      </c>
      <c r="J13" s="33" t="s">
        <v>4689</v>
      </c>
      <c r="K13" s="33" t="s">
        <v>4690</v>
      </c>
      <c r="L13" s="12" t="s">
        <v>4753</v>
      </c>
      <c r="O13" s="36">
        <v>34</v>
      </c>
      <c r="P13" s="37" t="s">
        <v>4782</v>
      </c>
    </row>
    <row r="14" spans="1:20">
      <c r="A14" s="21"/>
      <c r="B14" s="17">
        <v>8</v>
      </c>
      <c r="C14" s="17">
        <v>15</v>
      </c>
      <c r="D14" s="17">
        <v>1</v>
      </c>
      <c r="E14" s="17">
        <v>800</v>
      </c>
      <c r="F14" s="17">
        <v>3</v>
      </c>
      <c r="G14" s="12" t="s">
        <v>4817</v>
      </c>
      <c r="H14" s="32" t="s">
        <v>4806</v>
      </c>
      <c r="I14" s="12" t="s">
        <v>4799</v>
      </c>
      <c r="J14" s="33" t="s">
        <v>4732</v>
      </c>
      <c r="K14" s="33" t="s">
        <v>4733</v>
      </c>
      <c r="L14" s="12" t="s">
        <v>4754</v>
      </c>
      <c r="O14" s="36">
        <v>35</v>
      </c>
      <c r="P14" s="37" t="s">
        <v>4782</v>
      </c>
    </row>
    <row r="15" spans="1:20">
      <c r="A15" s="21"/>
      <c r="B15" s="17">
        <v>9</v>
      </c>
      <c r="C15" s="17">
        <v>20</v>
      </c>
      <c r="D15" s="17">
        <v>1</v>
      </c>
      <c r="E15" s="17">
        <v>1200</v>
      </c>
      <c r="F15" s="17">
        <v>4</v>
      </c>
      <c r="G15" s="12" t="s">
        <v>4819</v>
      </c>
      <c r="H15" s="32" t="s">
        <v>4807</v>
      </c>
      <c r="I15" s="12" t="s">
        <v>4800</v>
      </c>
      <c r="J15" s="33" t="s">
        <v>4737</v>
      </c>
      <c r="K15" s="33" t="s">
        <v>4738</v>
      </c>
      <c r="L15" s="12" t="s">
        <v>4755</v>
      </c>
      <c r="O15" s="36">
        <v>36</v>
      </c>
      <c r="P15" s="37" t="s">
        <v>4782</v>
      </c>
    </row>
    <row r="16" spans="1:20">
      <c r="B16" s="17">
        <v>10</v>
      </c>
      <c r="C16" s="17">
        <v>25</v>
      </c>
      <c r="D16" s="17">
        <v>1</v>
      </c>
      <c r="E16" s="17">
        <v>1500</v>
      </c>
      <c r="F16" s="17">
        <v>5</v>
      </c>
      <c r="G16" s="12" t="s">
        <v>4820</v>
      </c>
      <c r="H16" s="32" t="s">
        <v>4808</v>
      </c>
      <c r="I16" s="12" t="s">
        <v>4801</v>
      </c>
      <c r="J16" s="33" t="s">
        <v>4751</v>
      </c>
      <c r="K16" s="33" t="s">
        <v>4739</v>
      </c>
      <c r="L16" s="12" t="s">
        <v>4756</v>
      </c>
      <c r="O16" s="36">
        <v>37</v>
      </c>
      <c r="P16" s="37" t="s">
        <v>4782</v>
      </c>
    </row>
    <row r="17" spans="1:16">
      <c r="A17" s="21"/>
      <c r="B17" s="17">
        <v>11</v>
      </c>
      <c r="C17" s="17">
        <v>30</v>
      </c>
      <c r="D17" s="17">
        <v>1</v>
      </c>
      <c r="E17" s="17">
        <v>1600</v>
      </c>
      <c r="F17" s="17">
        <v>5</v>
      </c>
      <c r="G17" s="12" t="s">
        <v>4821</v>
      </c>
      <c r="H17" s="32" t="s">
        <v>4809</v>
      </c>
      <c r="I17" s="12" t="s">
        <v>4801</v>
      </c>
      <c r="J17" s="33" t="s">
        <v>4740</v>
      </c>
      <c r="K17" s="33" t="s">
        <v>4741</v>
      </c>
      <c r="L17" s="12" t="s">
        <v>4757</v>
      </c>
      <c r="O17" s="36">
        <v>38</v>
      </c>
      <c r="P17" s="37" t="s">
        <v>4788</v>
      </c>
    </row>
    <row r="18" spans="1:16">
      <c r="A18" s="21"/>
      <c r="B18" s="17">
        <v>12</v>
      </c>
      <c r="C18" s="17">
        <v>35</v>
      </c>
      <c r="D18" s="17">
        <v>1</v>
      </c>
      <c r="E18" s="17">
        <v>1800</v>
      </c>
      <c r="F18" s="17">
        <v>6</v>
      </c>
      <c r="G18" s="12" t="s">
        <v>4822</v>
      </c>
      <c r="H18" s="32" t="s">
        <v>4810</v>
      </c>
      <c r="I18" s="12" t="s">
        <v>4802</v>
      </c>
      <c r="J18" s="33" t="s">
        <v>4742</v>
      </c>
      <c r="K18" s="33" t="s">
        <v>4743</v>
      </c>
      <c r="L18" s="12" t="s">
        <v>4758</v>
      </c>
      <c r="O18" s="36">
        <v>39</v>
      </c>
      <c r="P18" s="37" t="s">
        <v>4788</v>
      </c>
    </row>
    <row r="19" spans="1:16">
      <c r="A19" s="21"/>
      <c r="B19" s="17">
        <v>13</v>
      </c>
      <c r="C19" s="17">
        <v>40</v>
      </c>
      <c r="D19" s="17">
        <v>1</v>
      </c>
      <c r="E19" s="17">
        <v>1900</v>
      </c>
      <c r="F19" s="17">
        <v>6</v>
      </c>
      <c r="G19" s="12" t="s">
        <v>4823</v>
      </c>
      <c r="H19" s="32" t="s">
        <v>4779</v>
      </c>
      <c r="I19" s="12" t="s">
        <v>4802</v>
      </c>
      <c r="J19" s="33" t="s">
        <v>4744</v>
      </c>
      <c r="K19" s="33" t="s">
        <v>4745</v>
      </c>
      <c r="L19" s="12" t="s">
        <v>4759</v>
      </c>
      <c r="O19" s="36">
        <v>40</v>
      </c>
      <c r="P19" s="37" t="s">
        <v>4788</v>
      </c>
    </row>
    <row r="20" spans="1:16">
      <c r="A20" s="21"/>
      <c r="B20" s="17">
        <v>14</v>
      </c>
      <c r="C20" s="17">
        <v>50</v>
      </c>
      <c r="D20" s="17">
        <v>1</v>
      </c>
      <c r="E20" s="17">
        <v>2100</v>
      </c>
      <c r="F20" s="17">
        <v>7</v>
      </c>
      <c r="G20" s="12" t="s">
        <v>4825</v>
      </c>
      <c r="H20" s="32" t="s">
        <v>4806</v>
      </c>
      <c r="I20" s="12" t="s">
        <v>4803</v>
      </c>
      <c r="J20" s="33" t="s">
        <v>4746</v>
      </c>
      <c r="K20" s="33" t="s">
        <v>4747</v>
      </c>
      <c r="L20" s="12" t="s">
        <v>4760</v>
      </c>
      <c r="O20" s="36">
        <v>41</v>
      </c>
      <c r="P20" s="37" t="s">
        <v>4788</v>
      </c>
    </row>
    <row r="21" spans="1:16">
      <c r="A21" s="21"/>
      <c r="B21" s="17">
        <v>15</v>
      </c>
      <c r="C21" s="17">
        <v>60</v>
      </c>
      <c r="D21" s="17">
        <v>1</v>
      </c>
      <c r="E21" s="17">
        <v>2200</v>
      </c>
      <c r="F21" s="17">
        <v>7</v>
      </c>
      <c r="G21" s="12" t="s">
        <v>4827</v>
      </c>
      <c r="H21" s="32" t="s">
        <v>4807</v>
      </c>
      <c r="I21" s="12" t="s">
        <v>4803</v>
      </c>
      <c r="J21" s="33" t="s">
        <v>4748</v>
      </c>
      <c r="K21" s="33" t="s">
        <v>4749</v>
      </c>
      <c r="L21" s="12" t="s">
        <v>4761</v>
      </c>
      <c r="O21" s="36">
        <v>42</v>
      </c>
      <c r="P21" s="37" t="s">
        <v>4789</v>
      </c>
    </row>
    <row r="22" spans="1:16">
      <c r="A22" s="21"/>
      <c r="B22" s="17">
        <v>16</v>
      </c>
      <c r="C22" s="17">
        <v>70</v>
      </c>
      <c r="D22" s="17">
        <v>1</v>
      </c>
      <c r="E22" s="17">
        <v>3200</v>
      </c>
      <c r="F22" s="17">
        <v>8</v>
      </c>
      <c r="G22" s="12" t="s">
        <v>4828</v>
      </c>
      <c r="H22" s="32" t="s">
        <v>4808</v>
      </c>
      <c r="I22" s="12" t="s">
        <v>4804</v>
      </c>
      <c r="J22" s="33" t="s">
        <v>4746</v>
      </c>
      <c r="K22" s="33" t="s">
        <v>4747</v>
      </c>
      <c r="L22" s="12" t="s">
        <v>4762</v>
      </c>
      <c r="O22" s="36">
        <v>43</v>
      </c>
      <c r="P22" s="37" t="s">
        <v>4784</v>
      </c>
    </row>
    <row r="23" spans="1:16">
      <c r="A23" s="21"/>
      <c r="B23" s="17">
        <v>17</v>
      </c>
      <c r="C23" s="17">
        <v>80</v>
      </c>
      <c r="D23" s="17">
        <v>1</v>
      </c>
      <c r="E23" s="17">
        <v>3300</v>
      </c>
      <c r="F23" s="17">
        <v>8</v>
      </c>
      <c r="G23" s="12" t="s">
        <v>4826</v>
      </c>
      <c r="H23" s="32" t="s">
        <v>4809</v>
      </c>
      <c r="I23" s="12" t="s">
        <v>4804</v>
      </c>
      <c r="J23" s="33" t="s">
        <v>4748</v>
      </c>
      <c r="K23" s="33" t="s">
        <v>4749</v>
      </c>
      <c r="L23" s="12" t="s">
        <v>4763</v>
      </c>
      <c r="O23" s="36">
        <v>44</v>
      </c>
      <c r="P23" s="37" t="s">
        <v>4784</v>
      </c>
    </row>
    <row r="24" spans="1:16">
      <c r="A24" s="21"/>
      <c r="B24" s="17">
        <v>18</v>
      </c>
      <c r="C24" s="17">
        <v>90</v>
      </c>
      <c r="D24" s="17">
        <v>1</v>
      </c>
      <c r="E24" s="17">
        <v>3500</v>
      </c>
      <c r="F24" s="17">
        <v>9</v>
      </c>
      <c r="G24" s="12" t="s">
        <v>4829</v>
      </c>
      <c r="H24" s="32" t="s">
        <v>4810</v>
      </c>
      <c r="I24" s="12" t="s">
        <v>4805</v>
      </c>
      <c r="J24" s="33" t="s">
        <v>4746</v>
      </c>
      <c r="K24" s="33" t="s">
        <v>4747</v>
      </c>
      <c r="L24" s="12" t="s">
        <v>4764</v>
      </c>
      <c r="O24" s="36">
        <v>45</v>
      </c>
      <c r="P24" s="37" t="s">
        <v>4786</v>
      </c>
    </row>
    <row r="25" spans="1:16">
      <c r="A25" s="21" t="s">
        <v>5</v>
      </c>
      <c r="B25" s="17">
        <v>19</v>
      </c>
      <c r="C25" s="17">
        <v>100</v>
      </c>
      <c r="D25" s="17">
        <v>1</v>
      </c>
      <c r="E25" s="17">
        <v>3600</v>
      </c>
      <c r="F25" s="17">
        <v>9</v>
      </c>
      <c r="G25" s="12" t="s">
        <v>4830</v>
      </c>
      <c r="H25" s="32" t="s">
        <v>4779</v>
      </c>
      <c r="I25" s="12" t="s">
        <v>4805</v>
      </c>
      <c r="J25" s="33" t="s">
        <v>4748</v>
      </c>
      <c r="K25" s="33" t="s">
        <v>4749</v>
      </c>
      <c r="L25" s="12" t="s">
        <v>4765</v>
      </c>
      <c r="O25" s="36">
        <v>46</v>
      </c>
      <c r="P25" s="37" t="s">
        <v>4786</v>
      </c>
    </row>
    <row r="26" spans="1:16">
      <c r="O26" s="36">
        <v>47</v>
      </c>
      <c r="P26" s="37" t="s">
        <v>4787</v>
      </c>
    </row>
  </sheetData>
  <phoneticPr fontId="4" type="noConversion"/>
  <conditionalFormatting sqref="G7:G30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export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85725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</sheetPr>
  <dimension ref="A1:L306"/>
  <sheetViews>
    <sheetView workbookViewId="0">
      <selection activeCell="G2" sqref="G2:H5"/>
    </sheetView>
  </sheetViews>
  <sheetFormatPr defaultRowHeight="13.5"/>
  <sheetData>
    <row r="1" spans="1:12">
      <c r="B1" t="s">
        <v>0</v>
      </c>
      <c r="L1" t="s">
        <v>16</v>
      </c>
    </row>
    <row r="2" spans="1:12">
      <c r="B2" t="s">
        <v>1009</v>
      </c>
      <c r="C2" t="s">
        <v>15981</v>
      </c>
      <c r="E2" t="s">
        <v>15983</v>
      </c>
      <c r="F2" t="s">
        <v>15985</v>
      </c>
      <c r="H2" t="s">
        <v>15979</v>
      </c>
      <c r="I2" t="s">
        <v>15991</v>
      </c>
      <c r="J2" t="s">
        <v>15994</v>
      </c>
      <c r="K2" t="s">
        <v>15996</v>
      </c>
      <c r="L2" t="s">
        <v>15997</v>
      </c>
    </row>
    <row r="3" spans="1:12">
      <c r="B3" t="s">
        <v>1</v>
      </c>
      <c r="C3" t="s">
        <v>1</v>
      </c>
      <c r="E3" t="s">
        <v>1</v>
      </c>
      <c r="F3" t="s">
        <v>15986</v>
      </c>
      <c r="H3" t="s">
        <v>2</v>
      </c>
      <c r="I3" t="s">
        <v>15992</v>
      </c>
      <c r="J3" t="s">
        <v>15986</v>
      </c>
      <c r="K3" t="s">
        <v>15992</v>
      </c>
      <c r="L3" t="s">
        <v>15986</v>
      </c>
    </row>
    <row r="4" spans="1:12">
      <c r="B4" t="s">
        <v>3</v>
      </c>
      <c r="C4" t="s">
        <v>3</v>
      </c>
      <c r="E4" t="s">
        <v>3</v>
      </c>
      <c r="F4" t="s">
        <v>3</v>
      </c>
      <c r="H4" t="s">
        <v>3</v>
      </c>
      <c r="I4" t="s">
        <v>3</v>
      </c>
      <c r="J4" t="s">
        <v>3</v>
      </c>
      <c r="K4" t="s">
        <v>3</v>
      </c>
      <c r="L4" t="s">
        <v>3</v>
      </c>
    </row>
    <row r="5" spans="1:12">
      <c r="B5" t="s">
        <v>29</v>
      </c>
      <c r="C5" t="s">
        <v>29</v>
      </c>
      <c r="E5" t="s">
        <v>29</v>
      </c>
      <c r="F5" t="s">
        <v>29</v>
      </c>
      <c r="H5" t="s">
        <v>29</v>
      </c>
    </row>
    <row r="6" spans="1:12">
      <c r="B6" t="s">
        <v>15980</v>
      </c>
      <c r="C6" t="s">
        <v>15982</v>
      </c>
      <c r="E6" t="s">
        <v>15984</v>
      </c>
      <c r="F6" t="s">
        <v>15987</v>
      </c>
      <c r="G6" t="s">
        <v>15988</v>
      </c>
      <c r="H6" t="s">
        <v>15989</v>
      </c>
      <c r="I6" t="s">
        <v>15993</v>
      </c>
      <c r="J6" t="s">
        <v>15995</v>
      </c>
      <c r="K6" t="s">
        <v>4778</v>
      </c>
      <c r="L6" t="s">
        <v>15998</v>
      </c>
    </row>
    <row r="7" spans="1:12">
      <c r="A7" t="s">
        <v>4</v>
      </c>
      <c r="B7">
        <v>1</v>
      </c>
      <c r="C7">
        <v>1</v>
      </c>
      <c r="E7">
        <v>1</v>
      </c>
      <c r="F7">
        <v>101</v>
      </c>
      <c r="G7">
        <v>1</v>
      </c>
      <c r="H7" t="s">
        <v>15990</v>
      </c>
      <c r="I7" t="s">
        <v>5941</v>
      </c>
      <c r="J7" t="s">
        <v>1065</v>
      </c>
      <c r="K7" t="s">
        <v>4779</v>
      </c>
      <c r="L7" t="s">
        <v>4780</v>
      </c>
    </row>
    <row r="8" spans="1:12">
      <c r="B8">
        <v>2</v>
      </c>
      <c r="C8">
        <v>1</v>
      </c>
      <c r="D8">
        <v>0</v>
      </c>
      <c r="E8">
        <v>3</v>
      </c>
      <c r="F8" t="s">
        <v>4813</v>
      </c>
      <c r="G8">
        <v>1</v>
      </c>
      <c r="H8" t="s">
        <v>1073</v>
      </c>
      <c r="I8" t="s">
        <v>5942</v>
      </c>
      <c r="J8" t="s">
        <v>1065</v>
      </c>
      <c r="K8" t="s">
        <v>4779</v>
      </c>
      <c r="L8" t="s">
        <v>4780</v>
      </c>
    </row>
    <row r="9" spans="1:12">
      <c r="B9">
        <v>3</v>
      </c>
      <c r="C9">
        <v>1</v>
      </c>
      <c r="D9">
        <v>0</v>
      </c>
      <c r="E9">
        <v>5</v>
      </c>
      <c r="F9" t="s">
        <v>4813</v>
      </c>
      <c r="G9">
        <v>1</v>
      </c>
      <c r="H9" t="s">
        <v>1074</v>
      </c>
      <c r="I9" t="s">
        <v>5943</v>
      </c>
      <c r="J9" t="s">
        <v>1065</v>
      </c>
      <c r="K9" t="s">
        <v>4779</v>
      </c>
      <c r="L9" t="s">
        <v>4780</v>
      </c>
    </row>
    <row r="10" spans="1:12">
      <c r="B10">
        <v>4</v>
      </c>
      <c r="C10">
        <v>1</v>
      </c>
      <c r="D10">
        <v>1</v>
      </c>
      <c r="E10">
        <v>7</v>
      </c>
      <c r="F10" t="s">
        <v>4813</v>
      </c>
      <c r="G10">
        <v>1</v>
      </c>
      <c r="H10" t="s">
        <v>1075</v>
      </c>
      <c r="I10" t="s">
        <v>5944</v>
      </c>
      <c r="J10" t="s">
        <v>1065</v>
      </c>
      <c r="K10" t="s">
        <v>4779</v>
      </c>
      <c r="L10" t="s">
        <v>4780</v>
      </c>
    </row>
    <row r="11" spans="1:12">
      <c r="B11">
        <v>5</v>
      </c>
      <c r="C11">
        <v>1</v>
      </c>
      <c r="D11">
        <v>0</v>
      </c>
      <c r="E11">
        <v>11</v>
      </c>
      <c r="F11" t="s">
        <v>4813</v>
      </c>
      <c r="G11">
        <v>1</v>
      </c>
      <c r="H11" t="s">
        <v>1076</v>
      </c>
      <c r="I11" t="s">
        <v>5945</v>
      </c>
      <c r="J11" t="s">
        <v>1065</v>
      </c>
      <c r="K11" t="s">
        <v>4779</v>
      </c>
      <c r="L11" t="s">
        <v>4780</v>
      </c>
    </row>
    <row r="12" spans="1:12">
      <c r="B12">
        <v>6</v>
      </c>
      <c r="C12">
        <v>1</v>
      </c>
      <c r="D12">
        <v>0</v>
      </c>
      <c r="E12">
        <v>15</v>
      </c>
      <c r="F12" t="s">
        <v>4813</v>
      </c>
      <c r="G12">
        <v>1</v>
      </c>
      <c r="H12" t="s">
        <v>1077</v>
      </c>
      <c r="I12" t="s">
        <v>5946</v>
      </c>
      <c r="J12" t="s">
        <v>1065</v>
      </c>
      <c r="K12" t="s">
        <v>4779</v>
      </c>
      <c r="L12" t="s">
        <v>4780</v>
      </c>
    </row>
    <row r="13" spans="1:12">
      <c r="B13">
        <v>7</v>
      </c>
      <c r="C13">
        <v>1</v>
      </c>
      <c r="D13">
        <v>1</v>
      </c>
      <c r="E13">
        <v>19</v>
      </c>
      <c r="F13" t="s">
        <v>4813</v>
      </c>
      <c r="G13">
        <v>1</v>
      </c>
      <c r="H13" t="s">
        <v>1078</v>
      </c>
      <c r="I13" t="s">
        <v>5947</v>
      </c>
      <c r="J13" t="s">
        <v>1065</v>
      </c>
      <c r="K13" t="s">
        <v>4779</v>
      </c>
      <c r="L13" t="s">
        <v>4780</v>
      </c>
    </row>
    <row r="14" spans="1:12">
      <c r="B14">
        <v>8</v>
      </c>
      <c r="C14">
        <v>1</v>
      </c>
      <c r="D14">
        <v>0</v>
      </c>
      <c r="E14">
        <v>23</v>
      </c>
      <c r="F14" t="s">
        <v>4813</v>
      </c>
      <c r="G14">
        <v>1</v>
      </c>
      <c r="H14" t="s">
        <v>1079</v>
      </c>
      <c r="I14" t="s">
        <v>5948</v>
      </c>
      <c r="J14" t="s">
        <v>1065</v>
      </c>
      <c r="K14" t="s">
        <v>4779</v>
      </c>
      <c r="L14" t="s">
        <v>4780</v>
      </c>
    </row>
    <row r="15" spans="1:12">
      <c r="B15">
        <v>9</v>
      </c>
      <c r="C15">
        <v>1</v>
      </c>
      <c r="D15">
        <v>0</v>
      </c>
      <c r="E15">
        <v>27</v>
      </c>
      <c r="F15" t="s">
        <v>4813</v>
      </c>
      <c r="G15">
        <v>1</v>
      </c>
      <c r="H15" t="s">
        <v>1080</v>
      </c>
      <c r="I15" t="s">
        <v>5949</v>
      </c>
      <c r="J15" t="s">
        <v>1065</v>
      </c>
      <c r="K15" t="s">
        <v>4779</v>
      </c>
      <c r="L15" t="s">
        <v>4780</v>
      </c>
    </row>
    <row r="16" spans="1:12">
      <c r="B16">
        <v>10</v>
      </c>
      <c r="C16">
        <v>1</v>
      </c>
      <c r="D16">
        <v>1</v>
      </c>
      <c r="E16">
        <v>31</v>
      </c>
      <c r="F16" t="s">
        <v>4813</v>
      </c>
      <c r="G16">
        <v>1</v>
      </c>
      <c r="H16" t="s">
        <v>1081</v>
      </c>
      <c r="I16" t="s">
        <v>5950</v>
      </c>
      <c r="J16" t="s">
        <v>1065</v>
      </c>
      <c r="K16" t="s">
        <v>4779</v>
      </c>
      <c r="L16" t="s">
        <v>4780</v>
      </c>
    </row>
    <row r="17" spans="2:12">
      <c r="B17">
        <v>11</v>
      </c>
      <c r="C17">
        <v>1</v>
      </c>
      <c r="D17">
        <v>0</v>
      </c>
      <c r="E17">
        <v>35</v>
      </c>
      <c r="F17" t="s">
        <v>4813</v>
      </c>
      <c r="G17">
        <v>1</v>
      </c>
      <c r="H17" t="s">
        <v>1082</v>
      </c>
      <c r="I17" t="s">
        <v>5951</v>
      </c>
      <c r="J17" t="s">
        <v>1065</v>
      </c>
      <c r="K17" t="s">
        <v>4779</v>
      </c>
      <c r="L17" t="s">
        <v>4780</v>
      </c>
    </row>
    <row r="18" spans="2:12">
      <c r="B18">
        <v>12</v>
      </c>
      <c r="C18">
        <v>1</v>
      </c>
      <c r="D18">
        <v>0</v>
      </c>
      <c r="E18">
        <v>39</v>
      </c>
      <c r="F18" t="s">
        <v>4813</v>
      </c>
      <c r="G18">
        <v>1</v>
      </c>
      <c r="H18" t="s">
        <v>1083</v>
      </c>
      <c r="I18" t="s">
        <v>5952</v>
      </c>
      <c r="J18" t="s">
        <v>1065</v>
      </c>
      <c r="K18" t="s">
        <v>4779</v>
      </c>
      <c r="L18" t="s">
        <v>4780</v>
      </c>
    </row>
    <row r="19" spans="2:12">
      <c r="B19">
        <v>13</v>
      </c>
      <c r="C19">
        <v>1</v>
      </c>
      <c r="D19">
        <v>1</v>
      </c>
      <c r="E19">
        <v>43</v>
      </c>
      <c r="F19" t="s">
        <v>4813</v>
      </c>
      <c r="G19">
        <v>1</v>
      </c>
      <c r="H19" t="s">
        <v>1084</v>
      </c>
      <c r="I19" t="s">
        <v>5953</v>
      </c>
      <c r="J19" t="s">
        <v>1065</v>
      </c>
      <c r="K19" t="s">
        <v>4779</v>
      </c>
      <c r="L19" t="s">
        <v>4780</v>
      </c>
    </row>
    <row r="20" spans="2:12">
      <c r="B20">
        <v>14</v>
      </c>
      <c r="C20">
        <v>1</v>
      </c>
      <c r="D20">
        <v>0</v>
      </c>
      <c r="E20">
        <v>47</v>
      </c>
      <c r="F20" t="s">
        <v>4813</v>
      </c>
      <c r="G20">
        <v>1</v>
      </c>
      <c r="H20" t="s">
        <v>1085</v>
      </c>
      <c r="I20" t="s">
        <v>5954</v>
      </c>
      <c r="J20" t="s">
        <v>1065</v>
      </c>
      <c r="K20" t="s">
        <v>4779</v>
      </c>
      <c r="L20" t="s">
        <v>4780</v>
      </c>
    </row>
    <row r="21" spans="2:12">
      <c r="B21">
        <v>15</v>
      </c>
      <c r="C21">
        <v>1</v>
      </c>
      <c r="D21">
        <v>0</v>
      </c>
      <c r="E21">
        <v>51</v>
      </c>
      <c r="F21" t="s">
        <v>4813</v>
      </c>
      <c r="G21">
        <v>1</v>
      </c>
      <c r="H21" t="s">
        <v>1086</v>
      </c>
      <c r="I21" t="s">
        <v>5955</v>
      </c>
      <c r="J21" t="s">
        <v>1065</v>
      </c>
      <c r="K21" t="s">
        <v>4779</v>
      </c>
      <c r="L21" t="s">
        <v>4780</v>
      </c>
    </row>
    <row r="22" spans="2:12">
      <c r="B22">
        <v>16</v>
      </c>
      <c r="C22">
        <v>1</v>
      </c>
      <c r="D22">
        <v>1</v>
      </c>
      <c r="E22">
        <v>55</v>
      </c>
      <c r="F22" t="s">
        <v>4813</v>
      </c>
      <c r="G22">
        <v>1</v>
      </c>
      <c r="H22" t="s">
        <v>1087</v>
      </c>
      <c r="I22" t="s">
        <v>5956</v>
      </c>
      <c r="J22" t="s">
        <v>1065</v>
      </c>
      <c r="K22" t="s">
        <v>4779</v>
      </c>
      <c r="L22" t="s">
        <v>4780</v>
      </c>
    </row>
    <row r="23" spans="2:12">
      <c r="B23">
        <v>17</v>
      </c>
      <c r="C23">
        <v>1</v>
      </c>
      <c r="D23">
        <v>0</v>
      </c>
      <c r="E23">
        <v>59</v>
      </c>
      <c r="F23" t="s">
        <v>4813</v>
      </c>
      <c r="G23">
        <v>1</v>
      </c>
      <c r="H23" t="s">
        <v>1088</v>
      </c>
      <c r="I23" t="s">
        <v>5957</v>
      </c>
      <c r="J23" t="s">
        <v>1065</v>
      </c>
      <c r="K23" t="s">
        <v>4779</v>
      </c>
      <c r="L23" t="s">
        <v>4780</v>
      </c>
    </row>
    <row r="24" spans="2:12">
      <c r="B24">
        <v>18</v>
      </c>
      <c r="C24">
        <v>1</v>
      </c>
      <c r="D24">
        <v>0</v>
      </c>
      <c r="E24">
        <v>63</v>
      </c>
      <c r="F24" t="s">
        <v>4813</v>
      </c>
      <c r="G24">
        <v>1</v>
      </c>
      <c r="H24" t="s">
        <v>1089</v>
      </c>
      <c r="I24" t="s">
        <v>5958</v>
      </c>
      <c r="J24" t="s">
        <v>1065</v>
      </c>
      <c r="K24" t="s">
        <v>4779</v>
      </c>
      <c r="L24" t="s">
        <v>4780</v>
      </c>
    </row>
    <row r="25" spans="2:12">
      <c r="B25">
        <v>19</v>
      </c>
      <c r="C25">
        <v>1</v>
      </c>
      <c r="D25">
        <v>1</v>
      </c>
      <c r="E25">
        <v>67</v>
      </c>
      <c r="F25" t="s">
        <v>4813</v>
      </c>
      <c r="G25">
        <v>1</v>
      </c>
      <c r="H25" t="s">
        <v>1090</v>
      </c>
      <c r="I25" t="s">
        <v>5959</v>
      </c>
      <c r="J25" t="s">
        <v>1065</v>
      </c>
      <c r="K25" t="s">
        <v>4779</v>
      </c>
      <c r="L25" t="s">
        <v>4780</v>
      </c>
    </row>
    <row r="26" spans="2:12">
      <c r="B26">
        <v>20</v>
      </c>
      <c r="C26">
        <v>1</v>
      </c>
      <c r="D26">
        <v>0</v>
      </c>
      <c r="E26">
        <v>71</v>
      </c>
      <c r="F26" t="s">
        <v>4813</v>
      </c>
      <c r="G26">
        <v>1</v>
      </c>
      <c r="H26" t="s">
        <v>1091</v>
      </c>
      <c r="I26" t="s">
        <v>5960</v>
      </c>
      <c r="J26" t="s">
        <v>1065</v>
      </c>
      <c r="K26" t="s">
        <v>4779</v>
      </c>
      <c r="L26" t="s">
        <v>4780</v>
      </c>
    </row>
    <row r="27" spans="2:12">
      <c r="B27">
        <v>21</v>
      </c>
      <c r="C27">
        <v>1</v>
      </c>
      <c r="D27">
        <v>0</v>
      </c>
      <c r="E27">
        <v>75</v>
      </c>
      <c r="F27" t="s">
        <v>4813</v>
      </c>
      <c r="G27">
        <v>1</v>
      </c>
      <c r="H27" t="s">
        <v>1092</v>
      </c>
      <c r="I27" t="s">
        <v>5961</v>
      </c>
      <c r="J27" t="s">
        <v>1065</v>
      </c>
      <c r="K27" t="s">
        <v>4779</v>
      </c>
      <c r="L27" t="s">
        <v>4780</v>
      </c>
    </row>
    <row r="28" spans="2:12">
      <c r="B28">
        <v>22</v>
      </c>
      <c r="C28">
        <v>1</v>
      </c>
      <c r="D28">
        <v>1</v>
      </c>
      <c r="E28">
        <v>79</v>
      </c>
      <c r="F28" t="s">
        <v>4813</v>
      </c>
      <c r="G28">
        <v>1</v>
      </c>
      <c r="H28" t="s">
        <v>1093</v>
      </c>
      <c r="I28" t="s">
        <v>5053</v>
      </c>
      <c r="J28" t="s">
        <v>1065</v>
      </c>
      <c r="K28" t="s">
        <v>4779</v>
      </c>
      <c r="L28" t="s">
        <v>4780</v>
      </c>
    </row>
    <row r="29" spans="2:12">
      <c r="B29">
        <v>23</v>
      </c>
      <c r="C29">
        <v>1</v>
      </c>
      <c r="D29">
        <v>0</v>
      </c>
      <c r="E29">
        <v>83</v>
      </c>
      <c r="F29" t="s">
        <v>4813</v>
      </c>
      <c r="G29">
        <v>1</v>
      </c>
      <c r="H29" t="s">
        <v>1094</v>
      </c>
      <c r="I29" t="s">
        <v>5962</v>
      </c>
      <c r="J29" t="s">
        <v>1065</v>
      </c>
      <c r="K29" t="s">
        <v>4779</v>
      </c>
      <c r="L29" t="s">
        <v>4780</v>
      </c>
    </row>
    <row r="30" spans="2:12">
      <c r="B30">
        <v>24</v>
      </c>
      <c r="C30">
        <v>1</v>
      </c>
      <c r="D30">
        <v>0</v>
      </c>
      <c r="E30">
        <v>87</v>
      </c>
      <c r="F30" t="s">
        <v>4813</v>
      </c>
      <c r="G30">
        <v>1</v>
      </c>
      <c r="H30" t="s">
        <v>1095</v>
      </c>
      <c r="I30" t="s">
        <v>5963</v>
      </c>
      <c r="J30" t="s">
        <v>1065</v>
      </c>
      <c r="K30" t="s">
        <v>4779</v>
      </c>
      <c r="L30" t="s">
        <v>4780</v>
      </c>
    </row>
    <row r="31" spans="2:12">
      <c r="B31">
        <v>25</v>
      </c>
      <c r="C31">
        <v>1</v>
      </c>
      <c r="D31">
        <v>1</v>
      </c>
      <c r="E31">
        <v>91</v>
      </c>
      <c r="F31" t="s">
        <v>4813</v>
      </c>
      <c r="G31">
        <v>1</v>
      </c>
      <c r="H31" t="s">
        <v>1096</v>
      </c>
      <c r="I31" t="s">
        <v>5964</v>
      </c>
      <c r="J31" t="s">
        <v>1065</v>
      </c>
      <c r="K31" t="s">
        <v>4779</v>
      </c>
      <c r="L31" t="s">
        <v>4780</v>
      </c>
    </row>
    <row r="32" spans="2:12">
      <c r="B32">
        <v>26</v>
      </c>
      <c r="C32">
        <v>1</v>
      </c>
      <c r="D32">
        <v>0</v>
      </c>
      <c r="E32">
        <v>95</v>
      </c>
      <c r="F32" t="s">
        <v>4813</v>
      </c>
      <c r="G32">
        <v>1</v>
      </c>
      <c r="H32" t="s">
        <v>1097</v>
      </c>
      <c r="I32" t="s">
        <v>5965</v>
      </c>
      <c r="J32" t="s">
        <v>1065</v>
      </c>
      <c r="K32" t="s">
        <v>4779</v>
      </c>
      <c r="L32" t="s">
        <v>4780</v>
      </c>
    </row>
    <row r="33" spans="2:12">
      <c r="B33">
        <v>27</v>
      </c>
      <c r="C33">
        <v>1</v>
      </c>
      <c r="D33">
        <v>1</v>
      </c>
      <c r="E33">
        <v>101</v>
      </c>
      <c r="F33" t="s">
        <v>4813</v>
      </c>
      <c r="G33">
        <v>1</v>
      </c>
      <c r="H33" t="s">
        <v>1098</v>
      </c>
      <c r="I33" t="s">
        <v>5968</v>
      </c>
      <c r="J33" t="s">
        <v>1065</v>
      </c>
      <c r="K33" t="s">
        <v>4779</v>
      </c>
      <c r="L33" t="s">
        <v>4780</v>
      </c>
    </row>
    <row r="34" spans="2:12">
      <c r="B34">
        <v>28</v>
      </c>
      <c r="C34">
        <v>1</v>
      </c>
      <c r="D34">
        <v>1</v>
      </c>
      <c r="E34">
        <v>105</v>
      </c>
      <c r="F34" t="s">
        <v>4813</v>
      </c>
      <c r="G34">
        <v>1</v>
      </c>
      <c r="H34" t="s">
        <v>1099</v>
      </c>
      <c r="I34" t="s">
        <v>5980</v>
      </c>
      <c r="J34" t="s">
        <v>4890</v>
      </c>
      <c r="K34" t="s">
        <v>4779</v>
      </c>
      <c r="L34" t="s">
        <v>4780</v>
      </c>
    </row>
    <row r="35" spans="2:12">
      <c r="B35">
        <v>29</v>
      </c>
      <c r="C35">
        <v>1</v>
      </c>
      <c r="D35">
        <v>0</v>
      </c>
      <c r="E35">
        <v>108</v>
      </c>
      <c r="F35" t="s">
        <v>4813</v>
      </c>
      <c r="G35">
        <v>1</v>
      </c>
      <c r="H35" t="s">
        <v>1100</v>
      </c>
      <c r="I35" t="s">
        <v>5991</v>
      </c>
      <c r="J35" t="s">
        <v>4670</v>
      </c>
      <c r="K35" t="s">
        <v>4779</v>
      </c>
      <c r="L35" t="s">
        <v>4780</v>
      </c>
    </row>
    <row r="36" spans="2:12">
      <c r="B36">
        <v>30</v>
      </c>
      <c r="C36">
        <v>1</v>
      </c>
      <c r="D36">
        <v>0</v>
      </c>
      <c r="E36">
        <v>112</v>
      </c>
      <c r="F36" t="s">
        <v>4813</v>
      </c>
      <c r="G36">
        <v>1</v>
      </c>
      <c r="H36" t="s">
        <v>1101</v>
      </c>
      <c r="I36" t="s">
        <v>6003</v>
      </c>
      <c r="J36" t="s">
        <v>4868</v>
      </c>
      <c r="K36" t="s">
        <v>4779</v>
      </c>
      <c r="L36" t="s">
        <v>4780</v>
      </c>
    </row>
    <row r="37" spans="2:12">
      <c r="B37">
        <v>31</v>
      </c>
      <c r="C37">
        <v>1</v>
      </c>
      <c r="D37">
        <v>0</v>
      </c>
      <c r="E37">
        <v>116</v>
      </c>
      <c r="F37" t="s">
        <v>4813</v>
      </c>
      <c r="G37">
        <v>1</v>
      </c>
      <c r="H37" t="s">
        <v>1102</v>
      </c>
      <c r="I37" t="s">
        <v>6015</v>
      </c>
      <c r="J37" t="s">
        <v>4591</v>
      </c>
      <c r="K37" t="s">
        <v>4779</v>
      </c>
      <c r="L37" t="s">
        <v>4780</v>
      </c>
    </row>
    <row r="38" spans="2:12">
      <c r="B38">
        <v>32</v>
      </c>
      <c r="C38">
        <v>1</v>
      </c>
      <c r="D38">
        <v>0</v>
      </c>
      <c r="E38">
        <v>120</v>
      </c>
      <c r="F38" t="s">
        <v>4813</v>
      </c>
      <c r="G38">
        <v>1</v>
      </c>
      <c r="H38" t="s">
        <v>1103</v>
      </c>
      <c r="I38" t="s">
        <v>6027</v>
      </c>
      <c r="J38" t="s">
        <v>4864</v>
      </c>
      <c r="K38" t="s">
        <v>4779</v>
      </c>
      <c r="L38" t="s">
        <v>4780</v>
      </c>
    </row>
    <row r="39" spans="2:12">
      <c r="B39">
        <v>33</v>
      </c>
      <c r="C39">
        <v>1</v>
      </c>
      <c r="D39">
        <v>1</v>
      </c>
      <c r="E39">
        <v>124</v>
      </c>
      <c r="F39" t="s">
        <v>4813</v>
      </c>
      <c r="G39">
        <v>1</v>
      </c>
      <c r="H39" t="s">
        <v>1104</v>
      </c>
      <c r="I39" t="s">
        <v>6038</v>
      </c>
      <c r="J39" t="s">
        <v>4877</v>
      </c>
      <c r="K39" t="s">
        <v>4779</v>
      </c>
      <c r="L39" t="s">
        <v>4780</v>
      </c>
    </row>
    <row r="40" spans="2:12">
      <c r="B40">
        <v>34</v>
      </c>
      <c r="C40">
        <v>1</v>
      </c>
      <c r="D40">
        <v>1</v>
      </c>
      <c r="E40">
        <v>128</v>
      </c>
      <c r="F40" t="s">
        <v>4813</v>
      </c>
      <c r="G40">
        <v>1</v>
      </c>
      <c r="H40" t="s">
        <v>1105</v>
      </c>
      <c r="I40" t="s">
        <v>6050</v>
      </c>
      <c r="J40" t="s">
        <v>4899</v>
      </c>
      <c r="K40" t="s">
        <v>4779</v>
      </c>
      <c r="L40" t="s">
        <v>4780</v>
      </c>
    </row>
    <row r="41" spans="2:12">
      <c r="B41">
        <v>35</v>
      </c>
      <c r="C41">
        <v>1</v>
      </c>
      <c r="D41">
        <v>0</v>
      </c>
      <c r="E41">
        <v>131</v>
      </c>
      <c r="F41" t="s">
        <v>4813</v>
      </c>
      <c r="G41">
        <v>1</v>
      </c>
      <c r="H41" t="s">
        <v>1106</v>
      </c>
      <c r="I41" t="s">
        <v>6062</v>
      </c>
      <c r="J41" t="s">
        <v>4616</v>
      </c>
      <c r="K41" t="s">
        <v>4779</v>
      </c>
      <c r="L41" t="s">
        <v>4780</v>
      </c>
    </row>
    <row r="42" spans="2:12">
      <c r="B42">
        <v>36</v>
      </c>
      <c r="C42">
        <v>1</v>
      </c>
      <c r="D42">
        <v>0</v>
      </c>
      <c r="E42">
        <v>135</v>
      </c>
      <c r="F42" t="s">
        <v>4813</v>
      </c>
      <c r="G42">
        <v>1</v>
      </c>
      <c r="H42" t="s">
        <v>1107</v>
      </c>
      <c r="I42" t="s">
        <v>5183</v>
      </c>
      <c r="J42" t="s">
        <v>4900</v>
      </c>
      <c r="K42" t="s">
        <v>4779</v>
      </c>
      <c r="L42" t="s">
        <v>4780</v>
      </c>
    </row>
    <row r="43" spans="2:12">
      <c r="B43">
        <v>37</v>
      </c>
      <c r="C43">
        <v>1</v>
      </c>
      <c r="D43">
        <v>0</v>
      </c>
      <c r="E43">
        <v>139</v>
      </c>
      <c r="F43" t="s">
        <v>4813</v>
      </c>
      <c r="G43">
        <v>1</v>
      </c>
      <c r="H43" t="s">
        <v>1108</v>
      </c>
      <c r="I43" t="s">
        <v>6084</v>
      </c>
      <c r="J43" t="s">
        <v>4849</v>
      </c>
      <c r="K43" t="s">
        <v>4779</v>
      </c>
      <c r="L43" t="s">
        <v>4780</v>
      </c>
    </row>
    <row r="44" spans="2:12">
      <c r="B44">
        <v>38</v>
      </c>
      <c r="C44">
        <v>1</v>
      </c>
      <c r="D44">
        <v>0</v>
      </c>
      <c r="E44">
        <v>143</v>
      </c>
      <c r="F44" t="s">
        <v>4813</v>
      </c>
      <c r="G44">
        <v>1</v>
      </c>
      <c r="H44" t="s">
        <v>1109</v>
      </c>
      <c r="I44" t="s">
        <v>6096</v>
      </c>
      <c r="J44" t="s">
        <v>6097</v>
      </c>
      <c r="K44" t="s">
        <v>4779</v>
      </c>
      <c r="L44" t="s">
        <v>4780</v>
      </c>
    </row>
    <row r="45" spans="2:12">
      <c r="B45">
        <v>39</v>
      </c>
      <c r="C45">
        <v>1</v>
      </c>
      <c r="D45">
        <v>1</v>
      </c>
      <c r="E45">
        <v>147</v>
      </c>
      <c r="F45" t="s">
        <v>4813</v>
      </c>
      <c r="G45">
        <v>1</v>
      </c>
      <c r="H45" t="s">
        <v>1110</v>
      </c>
      <c r="I45" t="s">
        <v>6109</v>
      </c>
      <c r="J45" t="s">
        <v>4881</v>
      </c>
      <c r="K45" t="s">
        <v>4779</v>
      </c>
      <c r="L45" t="s">
        <v>4780</v>
      </c>
    </row>
    <row r="46" spans="2:12">
      <c r="B46">
        <v>40</v>
      </c>
      <c r="C46">
        <v>1</v>
      </c>
      <c r="D46">
        <v>1</v>
      </c>
      <c r="E46">
        <v>151</v>
      </c>
      <c r="F46" t="s">
        <v>4813</v>
      </c>
      <c r="G46">
        <v>1</v>
      </c>
      <c r="H46" t="s">
        <v>1111</v>
      </c>
      <c r="I46" t="s">
        <v>6120</v>
      </c>
      <c r="J46" t="s">
        <v>4578</v>
      </c>
      <c r="K46" t="s">
        <v>4779</v>
      </c>
      <c r="L46" t="s">
        <v>4780</v>
      </c>
    </row>
    <row r="47" spans="2:12">
      <c r="B47">
        <v>41</v>
      </c>
      <c r="C47">
        <v>1</v>
      </c>
      <c r="D47">
        <v>0</v>
      </c>
      <c r="E47">
        <v>154</v>
      </c>
      <c r="F47" t="s">
        <v>4813</v>
      </c>
      <c r="G47">
        <v>1</v>
      </c>
      <c r="H47" t="s">
        <v>1112</v>
      </c>
      <c r="I47" t="s">
        <v>6131</v>
      </c>
      <c r="J47" t="s">
        <v>4853</v>
      </c>
      <c r="K47" t="s">
        <v>4779</v>
      </c>
      <c r="L47" t="s">
        <v>4780</v>
      </c>
    </row>
    <row r="48" spans="2:12">
      <c r="B48">
        <v>42</v>
      </c>
      <c r="C48">
        <v>1</v>
      </c>
      <c r="D48">
        <v>0</v>
      </c>
      <c r="E48">
        <v>158</v>
      </c>
      <c r="F48" t="s">
        <v>4813</v>
      </c>
      <c r="G48">
        <v>1</v>
      </c>
      <c r="H48" t="s">
        <v>1113</v>
      </c>
      <c r="I48" t="s">
        <v>5641</v>
      </c>
      <c r="J48" t="s">
        <v>4566</v>
      </c>
      <c r="K48" t="s">
        <v>4779</v>
      </c>
      <c r="L48" t="s">
        <v>4780</v>
      </c>
    </row>
    <row r="49" spans="2:12">
      <c r="B49">
        <v>43</v>
      </c>
      <c r="C49">
        <v>1</v>
      </c>
      <c r="D49">
        <v>0</v>
      </c>
      <c r="E49">
        <v>162</v>
      </c>
      <c r="F49" t="s">
        <v>4813</v>
      </c>
      <c r="G49">
        <v>1</v>
      </c>
      <c r="H49" t="s">
        <v>1114</v>
      </c>
      <c r="I49" t="s">
        <v>6153</v>
      </c>
      <c r="J49" t="s">
        <v>5188</v>
      </c>
      <c r="K49" t="s">
        <v>4779</v>
      </c>
      <c r="L49" t="s">
        <v>4780</v>
      </c>
    </row>
    <row r="50" spans="2:12">
      <c r="B50">
        <v>44</v>
      </c>
      <c r="C50">
        <v>1</v>
      </c>
      <c r="D50">
        <v>0</v>
      </c>
      <c r="E50">
        <v>166</v>
      </c>
      <c r="F50" t="s">
        <v>4813</v>
      </c>
      <c r="G50">
        <v>1</v>
      </c>
      <c r="H50" t="s">
        <v>1115</v>
      </c>
      <c r="I50" t="s">
        <v>6165</v>
      </c>
      <c r="J50" t="s">
        <v>4627</v>
      </c>
      <c r="K50" t="s">
        <v>4779</v>
      </c>
      <c r="L50" t="s">
        <v>4780</v>
      </c>
    </row>
    <row r="51" spans="2:12">
      <c r="B51">
        <v>45</v>
      </c>
      <c r="C51">
        <v>1</v>
      </c>
      <c r="D51">
        <v>1</v>
      </c>
      <c r="E51">
        <v>170</v>
      </c>
      <c r="F51" t="s">
        <v>4813</v>
      </c>
      <c r="G51">
        <v>1</v>
      </c>
      <c r="H51" t="s">
        <v>1116</v>
      </c>
      <c r="I51" t="s">
        <v>6176</v>
      </c>
      <c r="J51" t="s">
        <v>4555</v>
      </c>
      <c r="K51" t="s">
        <v>4779</v>
      </c>
      <c r="L51" t="s">
        <v>4780</v>
      </c>
    </row>
    <row r="52" spans="2:12">
      <c r="B52">
        <v>46</v>
      </c>
      <c r="C52">
        <v>1</v>
      </c>
      <c r="D52">
        <v>1</v>
      </c>
      <c r="E52">
        <v>174</v>
      </c>
      <c r="F52" t="s">
        <v>4813</v>
      </c>
      <c r="G52">
        <v>1</v>
      </c>
      <c r="H52" t="s">
        <v>1117</v>
      </c>
      <c r="I52" t="s">
        <v>6188</v>
      </c>
      <c r="J52" t="s">
        <v>4882</v>
      </c>
      <c r="K52" t="s">
        <v>4779</v>
      </c>
      <c r="L52" t="s">
        <v>4780</v>
      </c>
    </row>
    <row r="53" spans="2:12">
      <c r="B53">
        <v>47</v>
      </c>
      <c r="C53">
        <v>1</v>
      </c>
      <c r="D53">
        <v>0</v>
      </c>
      <c r="E53">
        <v>177</v>
      </c>
      <c r="F53" t="s">
        <v>4813</v>
      </c>
      <c r="G53">
        <v>1</v>
      </c>
      <c r="H53" t="s">
        <v>1118</v>
      </c>
      <c r="I53" t="s">
        <v>6200</v>
      </c>
      <c r="J53" t="s">
        <v>4546</v>
      </c>
      <c r="K53" t="s">
        <v>4779</v>
      </c>
      <c r="L53" t="s">
        <v>4780</v>
      </c>
    </row>
    <row r="54" spans="2:12">
      <c r="B54">
        <v>48</v>
      </c>
      <c r="C54">
        <v>1</v>
      </c>
      <c r="D54">
        <v>0</v>
      </c>
      <c r="E54">
        <v>181</v>
      </c>
      <c r="F54" t="s">
        <v>4813</v>
      </c>
      <c r="G54">
        <v>1</v>
      </c>
      <c r="H54" t="s">
        <v>1119</v>
      </c>
      <c r="I54" t="s">
        <v>6212</v>
      </c>
      <c r="J54" t="s">
        <v>4875</v>
      </c>
      <c r="K54" t="s">
        <v>4807</v>
      </c>
      <c r="L54" t="s">
        <v>4780</v>
      </c>
    </row>
    <row r="55" spans="2:12">
      <c r="B55">
        <v>49</v>
      </c>
      <c r="C55">
        <v>1</v>
      </c>
      <c r="D55">
        <v>0</v>
      </c>
      <c r="E55">
        <v>185</v>
      </c>
      <c r="F55" t="s">
        <v>4813</v>
      </c>
      <c r="G55">
        <v>1</v>
      </c>
      <c r="H55" t="s">
        <v>1120</v>
      </c>
      <c r="I55" t="s">
        <v>6223</v>
      </c>
      <c r="J55" t="s">
        <v>4564</v>
      </c>
      <c r="K55" t="s">
        <v>4779</v>
      </c>
      <c r="L55" t="s">
        <v>4780</v>
      </c>
    </row>
    <row r="56" spans="2:12">
      <c r="B56">
        <v>50</v>
      </c>
      <c r="C56">
        <v>1</v>
      </c>
      <c r="D56">
        <v>0</v>
      </c>
      <c r="E56">
        <v>189</v>
      </c>
      <c r="F56" t="s">
        <v>4813</v>
      </c>
      <c r="G56">
        <v>1</v>
      </c>
      <c r="H56" t="s">
        <v>1121</v>
      </c>
      <c r="I56" t="s">
        <v>6236</v>
      </c>
      <c r="J56" t="s">
        <v>1071</v>
      </c>
      <c r="K56" t="s">
        <v>4779</v>
      </c>
      <c r="L56" t="s">
        <v>4780</v>
      </c>
    </row>
    <row r="57" spans="2:12">
      <c r="B57">
        <v>51</v>
      </c>
      <c r="C57">
        <v>1</v>
      </c>
      <c r="D57">
        <v>1</v>
      </c>
      <c r="E57">
        <v>193</v>
      </c>
      <c r="F57" t="s">
        <v>4813</v>
      </c>
      <c r="G57">
        <v>1</v>
      </c>
      <c r="H57" t="s">
        <v>1122</v>
      </c>
      <c r="I57" t="s">
        <v>6247</v>
      </c>
      <c r="J57" t="s">
        <v>1067</v>
      </c>
      <c r="K57" t="s">
        <v>4779</v>
      </c>
      <c r="L57" t="s">
        <v>4780</v>
      </c>
    </row>
    <row r="58" spans="2:12">
      <c r="B58">
        <v>52</v>
      </c>
      <c r="C58">
        <v>1</v>
      </c>
      <c r="D58">
        <v>1</v>
      </c>
      <c r="E58">
        <v>197</v>
      </c>
      <c r="F58" t="s">
        <v>4813</v>
      </c>
      <c r="G58">
        <v>1</v>
      </c>
      <c r="H58" t="s">
        <v>1123</v>
      </c>
      <c r="I58" t="s">
        <v>6259</v>
      </c>
      <c r="J58" t="s">
        <v>4672</v>
      </c>
      <c r="K58" t="s">
        <v>4779</v>
      </c>
      <c r="L58" t="s">
        <v>4780</v>
      </c>
    </row>
    <row r="59" spans="2:12">
      <c r="B59">
        <v>53</v>
      </c>
      <c r="C59">
        <v>1</v>
      </c>
      <c r="D59">
        <v>0</v>
      </c>
      <c r="E59">
        <v>200</v>
      </c>
      <c r="F59" t="s">
        <v>4813</v>
      </c>
      <c r="G59">
        <v>2</v>
      </c>
      <c r="H59" t="s">
        <v>1124</v>
      </c>
      <c r="I59" t="s">
        <v>6270</v>
      </c>
      <c r="J59" t="s">
        <v>4568</v>
      </c>
      <c r="K59" t="s">
        <v>4779</v>
      </c>
      <c r="L59" t="s">
        <v>4780</v>
      </c>
    </row>
    <row r="60" spans="2:12">
      <c r="B60">
        <v>54</v>
      </c>
      <c r="C60">
        <v>1</v>
      </c>
      <c r="D60">
        <v>0</v>
      </c>
      <c r="E60">
        <v>204</v>
      </c>
      <c r="F60" t="s">
        <v>4813</v>
      </c>
      <c r="G60">
        <v>2</v>
      </c>
      <c r="H60" t="s">
        <v>1125</v>
      </c>
      <c r="I60" t="s">
        <v>6282</v>
      </c>
      <c r="J60" t="s">
        <v>4890</v>
      </c>
      <c r="K60" t="s">
        <v>4779</v>
      </c>
      <c r="L60" t="s">
        <v>4780</v>
      </c>
    </row>
    <row r="61" spans="2:12">
      <c r="B61">
        <v>55</v>
      </c>
      <c r="C61">
        <v>1</v>
      </c>
      <c r="D61">
        <v>0</v>
      </c>
      <c r="E61">
        <v>208</v>
      </c>
      <c r="F61" t="s">
        <v>4813</v>
      </c>
      <c r="G61">
        <v>2</v>
      </c>
      <c r="H61" t="s">
        <v>1126</v>
      </c>
      <c r="I61" t="s">
        <v>6293</v>
      </c>
      <c r="J61" t="s">
        <v>4550</v>
      </c>
      <c r="K61" t="s">
        <v>4779</v>
      </c>
      <c r="L61" t="s">
        <v>4780</v>
      </c>
    </row>
    <row r="62" spans="2:12">
      <c r="B62">
        <v>56</v>
      </c>
      <c r="C62">
        <v>1</v>
      </c>
      <c r="D62">
        <v>0</v>
      </c>
      <c r="E62">
        <v>212</v>
      </c>
      <c r="F62" t="s">
        <v>4813</v>
      </c>
      <c r="G62">
        <v>2</v>
      </c>
      <c r="H62" t="s">
        <v>1127</v>
      </c>
      <c r="I62" t="s">
        <v>6305</v>
      </c>
      <c r="J62" t="s">
        <v>4550</v>
      </c>
      <c r="K62" t="s">
        <v>4779</v>
      </c>
      <c r="L62" t="s">
        <v>4780</v>
      </c>
    </row>
    <row r="63" spans="2:12">
      <c r="B63">
        <v>57</v>
      </c>
      <c r="C63">
        <v>1</v>
      </c>
      <c r="D63">
        <v>1</v>
      </c>
      <c r="E63">
        <v>216</v>
      </c>
      <c r="F63" t="s">
        <v>4813</v>
      </c>
      <c r="G63">
        <v>2</v>
      </c>
      <c r="H63" t="s">
        <v>1128</v>
      </c>
      <c r="I63" t="s">
        <v>6316</v>
      </c>
      <c r="J63" t="s">
        <v>4853</v>
      </c>
      <c r="K63" t="s">
        <v>4779</v>
      </c>
      <c r="L63" t="s">
        <v>4780</v>
      </c>
    </row>
    <row r="64" spans="2:12">
      <c r="B64">
        <v>58</v>
      </c>
      <c r="C64">
        <v>1</v>
      </c>
      <c r="D64">
        <v>1</v>
      </c>
      <c r="E64">
        <v>220</v>
      </c>
      <c r="F64" t="s">
        <v>4813</v>
      </c>
      <c r="G64">
        <v>2</v>
      </c>
      <c r="H64" t="s">
        <v>1129</v>
      </c>
      <c r="I64" t="s">
        <v>6328</v>
      </c>
      <c r="J64" t="s">
        <v>1068</v>
      </c>
      <c r="K64" t="s">
        <v>4779</v>
      </c>
      <c r="L64" t="s">
        <v>4780</v>
      </c>
    </row>
    <row r="65" spans="2:12">
      <c r="B65">
        <v>59</v>
      </c>
      <c r="C65">
        <v>1</v>
      </c>
      <c r="D65">
        <v>0</v>
      </c>
      <c r="E65">
        <v>223</v>
      </c>
      <c r="F65" t="s">
        <v>4813</v>
      </c>
      <c r="G65">
        <v>2</v>
      </c>
      <c r="H65" t="s">
        <v>1130</v>
      </c>
      <c r="I65" t="s">
        <v>6339</v>
      </c>
      <c r="J65" t="s">
        <v>4596</v>
      </c>
      <c r="K65" t="s">
        <v>4779</v>
      </c>
      <c r="L65" t="s">
        <v>4780</v>
      </c>
    </row>
    <row r="66" spans="2:12">
      <c r="B66">
        <v>60</v>
      </c>
      <c r="C66">
        <v>1</v>
      </c>
      <c r="D66">
        <v>0</v>
      </c>
      <c r="E66">
        <v>227</v>
      </c>
      <c r="F66" t="s">
        <v>4813</v>
      </c>
      <c r="G66">
        <v>2</v>
      </c>
      <c r="H66" t="s">
        <v>1131</v>
      </c>
      <c r="I66" t="s">
        <v>6351</v>
      </c>
      <c r="J66" t="s">
        <v>4890</v>
      </c>
      <c r="K66" t="s">
        <v>4779</v>
      </c>
      <c r="L66" t="s">
        <v>4780</v>
      </c>
    </row>
    <row r="67" spans="2:12">
      <c r="B67">
        <v>61</v>
      </c>
      <c r="C67">
        <v>1</v>
      </c>
      <c r="D67">
        <v>0</v>
      </c>
      <c r="E67">
        <v>231</v>
      </c>
      <c r="F67" t="s">
        <v>4813</v>
      </c>
      <c r="G67">
        <v>2</v>
      </c>
      <c r="H67" t="s">
        <v>1132</v>
      </c>
      <c r="I67" t="s">
        <v>6362</v>
      </c>
      <c r="J67" t="s">
        <v>4555</v>
      </c>
      <c r="K67" t="s">
        <v>4779</v>
      </c>
      <c r="L67" t="s">
        <v>4780</v>
      </c>
    </row>
    <row r="68" spans="2:12">
      <c r="B68">
        <v>62</v>
      </c>
      <c r="C68">
        <v>1</v>
      </c>
      <c r="D68">
        <v>0</v>
      </c>
      <c r="E68">
        <v>235</v>
      </c>
      <c r="F68" t="s">
        <v>4813</v>
      </c>
      <c r="G68">
        <v>2</v>
      </c>
      <c r="H68" t="s">
        <v>1133</v>
      </c>
      <c r="I68" t="s">
        <v>6374</v>
      </c>
      <c r="J68" t="s">
        <v>4860</v>
      </c>
      <c r="K68" t="s">
        <v>4779</v>
      </c>
      <c r="L68" t="s">
        <v>4780</v>
      </c>
    </row>
    <row r="69" spans="2:12">
      <c r="B69">
        <v>63</v>
      </c>
      <c r="C69">
        <v>1</v>
      </c>
      <c r="D69">
        <v>1</v>
      </c>
      <c r="E69">
        <v>239</v>
      </c>
      <c r="F69" t="s">
        <v>4813</v>
      </c>
      <c r="G69">
        <v>2</v>
      </c>
      <c r="H69" t="s">
        <v>1134</v>
      </c>
      <c r="I69" t="s">
        <v>6385</v>
      </c>
      <c r="J69" t="s">
        <v>4882</v>
      </c>
      <c r="K69" t="s">
        <v>4779</v>
      </c>
      <c r="L69" t="s">
        <v>4780</v>
      </c>
    </row>
    <row r="70" spans="2:12">
      <c r="B70">
        <v>64</v>
      </c>
      <c r="C70">
        <v>1</v>
      </c>
      <c r="D70">
        <v>1</v>
      </c>
      <c r="E70">
        <v>243</v>
      </c>
      <c r="F70" t="s">
        <v>4813</v>
      </c>
      <c r="G70">
        <v>2</v>
      </c>
      <c r="H70" t="s">
        <v>1135</v>
      </c>
      <c r="I70" t="s">
        <v>6397</v>
      </c>
      <c r="J70" t="s">
        <v>4575</v>
      </c>
      <c r="K70" t="s">
        <v>4779</v>
      </c>
      <c r="L70" t="s">
        <v>4780</v>
      </c>
    </row>
    <row r="71" spans="2:12">
      <c r="B71">
        <v>65</v>
      </c>
      <c r="C71">
        <v>1</v>
      </c>
      <c r="D71">
        <v>0</v>
      </c>
      <c r="E71">
        <v>246</v>
      </c>
      <c r="F71" t="s">
        <v>4813</v>
      </c>
      <c r="G71">
        <v>2</v>
      </c>
      <c r="H71" t="s">
        <v>1136</v>
      </c>
      <c r="I71" t="s">
        <v>6408</v>
      </c>
      <c r="J71" t="s">
        <v>1066</v>
      </c>
      <c r="K71" t="s">
        <v>4779</v>
      </c>
      <c r="L71" t="s">
        <v>4780</v>
      </c>
    </row>
    <row r="72" spans="2:12">
      <c r="B72">
        <v>66</v>
      </c>
      <c r="C72">
        <v>1</v>
      </c>
      <c r="D72">
        <v>0</v>
      </c>
      <c r="E72">
        <v>250</v>
      </c>
      <c r="F72" t="s">
        <v>4813</v>
      </c>
      <c r="G72">
        <v>2</v>
      </c>
      <c r="H72" t="s">
        <v>1137</v>
      </c>
      <c r="I72" t="s">
        <v>6420</v>
      </c>
      <c r="J72" t="s">
        <v>4596</v>
      </c>
      <c r="K72" t="s">
        <v>4779</v>
      </c>
      <c r="L72" t="s">
        <v>4780</v>
      </c>
    </row>
    <row r="73" spans="2:12">
      <c r="B73">
        <v>67</v>
      </c>
      <c r="C73">
        <v>2</v>
      </c>
      <c r="D73">
        <v>0</v>
      </c>
      <c r="E73">
        <v>254</v>
      </c>
      <c r="F73" t="s">
        <v>4813</v>
      </c>
      <c r="G73">
        <v>2</v>
      </c>
      <c r="H73" t="s">
        <v>1138</v>
      </c>
      <c r="I73" t="s">
        <v>6433</v>
      </c>
      <c r="J73" t="s">
        <v>4629</v>
      </c>
      <c r="K73" t="s">
        <v>4779</v>
      </c>
      <c r="L73" t="s">
        <v>4798</v>
      </c>
    </row>
    <row r="74" spans="2:12">
      <c r="B74">
        <v>68</v>
      </c>
      <c r="C74">
        <v>2</v>
      </c>
      <c r="D74">
        <v>0</v>
      </c>
      <c r="E74">
        <v>258</v>
      </c>
      <c r="F74" t="s">
        <v>4813</v>
      </c>
      <c r="G74">
        <v>2</v>
      </c>
      <c r="H74" t="s">
        <v>1139</v>
      </c>
      <c r="I74" t="s">
        <v>6449</v>
      </c>
      <c r="J74" t="s">
        <v>4913</v>
      </c>
      <c r="K74" t="s">
        <v>4779</v>
      </c>
      <c r="L74" t="s">
        <v>4798</v>
      </c>
    </row>
    <row r="75" spans="2:12">
      <c r="B75">
        <v>69</v>
      </c>
      <c r="C75">
        <v>2</v>
      </c>
      <c r="D75">
        <v>1</v>
      </c>
      <c r="E75">
        <v>262</v>
      </c>
      <c r="F75" t="s">
        <v>4813</v>
      </c>
      <c r="G75">
        <v>2</v>
      </c>
      <c r="H75" t="s">
        <v>1140</v>
      </c>
      <c r="I75" t="s">
        <v>6465</v>
      </c>
      <c r="J75" t="s">
        <v>6466</v>
      </c>
      <c r="K75" t="s">
        <v>4779</v>
      </c>
      <c r="L75" t="s">
        <v>4798</v>
      </c>
    </row>
    <row r="76" spans="2:12">
      <c r="B76">
        <v>70</v>
      </c>
      <c r="C76">
        <v>2</v>
      </c>
      <c r="D76">
        <v>1</v>
      </c>
      <c r="E76">
        <v>266</v>
      </c>
      <c r="F76" t="s">
        <v>4813</v>
      </c>
      <c r="G76">
        <v>2</v>
      </c>
      <c r="H76" t="s">
        <v>1141</v>
      </c>
      <c r="I76" t="s">
        <v>6481</v>
      </c>
      <c r="J76" t="s">
        <v>5664</v>
      </c>
      <c r="K76" t="s">
        <v>4779</v>
      </c>
      <c r="L76" t="s">
        <v>4798</v>
      </c>
    </row>
    <row r="77" spans="2:12">
      <c r="B77">
        <v>71</v>
      </c>
      <c r="C77">
        <v>2</v>
      </c>
      <c r="D77">
        <v>0</v>
      </c>
      <c r="E77">
        <v>269</v>
      </c>
      <c r="F77" t="s">
        <v>4813</v>
      </c>
      <c r="G77">
        <v>2</v>
      </c>
      <c r="H77" t="s">
        <v>1142</v>
      </c>
      <c r="I77" t="s">
        <v>6495</v>
      </c>
      <c r="J77" t="s">
        <v>6496</v>
      </c>
      <c r="K77" t="s">
        <v>4779</v>
      </c>
      <c r="L77" t="s">
        <v>4798</v>
      </c>
    </row>
    <row r="78" spans="2:12">
      <c r="B78">
        <v>72</v>
      </c>
      <c r="C78">
        <v>2</v>
      </c>
      <c r="D78">
        <v>0</v>
      </c>
      <c r="E78">
        <v>273</v>
      </c>
      <c r="F78" t="s">
        <v>4813</v>
      </c>
      <c r="G78">
        <v>2</v>
      </c>
      <c r="H78" t="s">
        <v>1143</v>
      </c>
      <c r="I78" t="s">
        <v>6513</v>
      </c>
      <c r="J78" t="s">
        <v>6514</v>
      </c>
      <c r="K78" t="s">
        <v>4779</v>
      </c>
      <c r="L78" t="s">
        <v>4798</v>
      </c>
    </row>
    <row r="79" spans="2:12">
      <c r="B79">
        <v>73</v>
      </c>
      <c r="C79">
        <v>2</v>
      </c>
      <c r="D79">
        <v>0</v>
      </c>
      <c r="E79">
        <v>277</v>
      </c>
      <c r="F79" t="s">
        <v>4813</v>
      </c>
      <c r="G79">
        <v>2</v>
      </c>
      <c r="H79" t="s">
        <v>1144</v>
      </c>
      <c r="I79" t="s">
        <v>6526</v>
      </c>
      <c r="J79" t="s">
        <v>4683</v>
      </c>
      <c r="K79" t="s">
        <v>4779</v>
      </c>
      <c r="L79" t="s">
        <v>4798</v>
      </c>
    </row>
    <row r="80" spans="2:12">
      <c r="B80">
        <v>74</v>
      </c>
      <c r="C80">
        <v>2</v>
      </c>
      <c r="D80">
        <v>0</v>
      </c>
      <c r="E80">
        <v>281</v>
      </c>
      <c r="F80" t="s">
        <v>4813</v>
      </c>
      <c r="G80">
        <v>2</v>
      </c>
      <c r="H80" t="s">
        <v>1145</v>
      </c>
      <c r="I80" t="s">
        <v>6539</v>
      </c>
      <c r="J80" t="s">
        <v>6540</v>
      </c>
      <c r="K80" t="s">
        <v>4779</v>
      </c>
      <c r="L80" t="s">
        <v>4798</v>
      </c>
    </row>
    <row r="81" spans="2:12">
      <c r="B81">
        <v>75</v>
      </c>
      <c r="C81">
        <v>2</v>
      </c>
      <c r="D81">
        <v>1</v>
      </c>
      <c r="E81">
        <v>285</v>
      </c>
      <c r="F81" t="s">
        <v>4813</v>
      </c>
      <c r="G81">
        <v>2</v>
      </c>
      <c r="H81" t="s">
        <v>1146</v>
      </c>
      <c r="I81" t="s">
        <v>6553</v>
      </c>
      <c r="J81" t="s">
        <v>6554</v>
      </c>
      <c r="K81" t="s">
        <v>4779</v>
      </c>
      <c r="L81" t="s">
        <v>4798</v>
      </c>
    </row>
    <row r="82" spans="2:12">
      <c r="B82">
        <v>76</v>
      </c>
      <c r="C82">
        <v>2</v>
      </c>
      <c r="D82">
        <v>1</v>
      </c>
      <c r="E82">
        <v>289</v>
      </c>
      <c r="F82" t="s">
        <v>4813</v>
      </c>
      <c r="G82">
        <v>2</v>
      </c>
      <c r="H82" t="s">
        <v>1147</v>
      </c>
      <c r="I82" t="s">
        <v>6567</v>
      </c>
      <c r="J82" t="s">
        <v>4635</v>
      </c>
      <c r="K82" t="s">
        <v>4779</v>
      </c>
      <c r="L82" t="s">
        <v>4798</v>
      </c>
    </row>
    <row r="83" spans="2:12">
      <c r="B83">
        <v>77</v>
      </c>
      <c r="C83">
        <v>2</v>
      </c>
      <c r="D83">
        <v>0</v>
      </c>
      <c r="E83">
        <v>292</v>
      </c>
      <c r="F83" t="s">
        <v>4813</v>
      </c>
      <c r="G83">
        <v>2</v>
      </c>
      <c r="H83" t="s">
        <v>1148</v>
      </c>
      <c r="I83" t="s">
        <v>6583</v>
      </c>
      <c r="J83" t="s">
        <v>6584</v>
      </c>
      <c r="K83" t="s">
        <v>4779</v>
      </c>
      <c r="L83" t="s">
        <v>4798</v>
      </c>
    </row>
    <row r="84" spans="2:12">
      <c r="B84">
        <v>78</v>
      </c>
      <c r="C84">
        <v>2</v>
      </c>
      <c r="D84">
        <v>0</v>
      </c>
      <c r="E84">
        <v>296</v>
      </c>
      <c r="F84" t="s">
        <v>4813</v>
      </c>
      <c r="G84">
        <v>2</v>
      </c>
      <c r="H84" t="s">
        <v>1149</v>
      </c>
      <c r="I84" t="s">
        <v>6598</v>
      </c>
      <c r="J84" t="s">
        <v>4993</v>
      </c>
      <c r="K84" t="s">
        <v>4810</v>
      </c>
      <c r="L84" t="s">
        <v>4798</v>
      </c>
    </row>
    <row r="85" spans="2:12">
      <c r="B85">
        <v>79</v>
      </c>
      <c r="C85">
        <v>2</v>
      </c>
      <c r="D85">
        <v>0</v>
      </c>
      <c r="E85">
        <v>300</v>
      </c>
      <c r="F85" t="s">
        <v>4813</v>
      </c>
      <c r="G85">
        <v>2</v>
      </c>
      <c r="H85" t="s">
        <v>1150</v>
      </c>
      <c r="I85" t="s">
        <v>6613</v>
      </c>
      <c r="J85" t="s">
        <v>4896</v>
      </c>
      <c r="K85" t="s">
        <v>4779</v>
      </c>
      <c r="L85" t="s">
        <v>4798</v>
      </c>
    </row>
    <row r="86" spans="2:12">
      <c r="B86">
        <v>80</v>
      </c>
      <c r="C86">
        <v>2</v>
      </c>
      <c r="D86">
        <v>0</v>
      </c>
      <c r="E86">
        <v>304</v>
      </c>
      <c r="F86" t="s">
        <v>4813</v>
      </c>
      <c r="G86">
        <v>2</v>
      </c>
      <c r="H86" t="s">
        <v>1151</v>
      </c>
      <c r="I86" t="s">
        <v>6625</v>
      </c>
      <c r="J86" t="s">
        <v>4680</v>
      </c>
      <c r="K86" t="s">
        <v>4779</v>
      </c>
      <c r="L86" t="s">
        <v>4798</v>
      </c>
    </row>
    <row r="87" spans="2:12">
      <c r="B87">
        <v>81</v>
      </c>
      <c r="C87">
        <v>2</v>
      </c>
      <c r="D87">
        <v>1</v>
      </c>
      <c r="E87">
        <v>308</v>
      </c>
      <c r="F87" t="s">
        <v>4813</v>
      </c>
      <c r="G87">
        <v>2</v>
      </c>
      <c r="H87" t="s">
        <v>1152</v>
      </c>
      <c r="I87" t="s">
        <v>6637</v>
      </c>
      <c r="J87" t="s">
        <v>5266</v>
      </c>
      <c r="K87" t="s">
        <v>4779</v>
      </c>
      <c r="L87" t="s">
        <v>4798</v>
      </c>
    </row>
    <row r="88" spans="2:12">
      <c r="B88">
        <v>82</v>
      </c>
      <c r="C88">
        <v>2</v>
      </c>
      <c r="D88">
        <v>1</v>
      </c>
      <c r="E88">
        <v>312</v>
      </c>
      <c r="F88" t="s">
        <v>4813</v>
      </c>
      <c r="G88">
        <v>2</v>
      </c>
      <c r="H88" t="s">
        <v>1153</v>
      </c>
      <c r="I88" t="s">
        <v>6651</v>
      </c>
      <c r="J88" t="s">
        <v>5438</v>
      </c>
      <c r="K88" t="s">
        <v>4779</v>
      </c>
      <c r="L88" t="s">
        <v>4798</v>
      </c>
    </row>
    <row r="89" spans="2:12">
      <c r="B89">
        <v>83</v>
      </c>
      <c r="C89">
        <v>2</v>
      </c>
      <c r="D89">
        <v>0</v>
      </c>
      <c r="E89">
        <v>315</v>
      </c>
      <c r="F89" t="s">
        <v>4813</v>
      </c>
      <c r="G89">
        <v>2</v>
      </c>
      <c r="H89" t="s">
        <v>1154</v>
      </c>
      <c r="I89" t="s">
        <v>6664</v>
      </c>
      <c r="J89" t="s">
        <v>6665</v>
      </c>
      <c r="K89" t="s">
        <v>4779</v>
      </c>
      <c r="L89" t="s">
        <v>4798</v>
      </c>
    </row>
    <row r="90" spans="2:12">
      <c r="B90">
        <v>84</v>
      </c>
      <c r="C90">
        <v>2</v>
      </c>
      <c r="D90">
        <v>0</v>
      </c>
      <c r="E90">
        <v>319</v>
      </c>
      <c r="F90" t="s">
        <v>4813</v>
      </c>
      <c r="G90">
        <v>2</v>
      </c>
      <c r="H90" t="s">
        <v>1155</v>
      </c>
      <c r="I90" t="s">
        <v>6681</v>
      </c>
      <c r="J90" t="s">
        <v>4607</v>
      </c>
      <c r="K90" t="s">
        <v>4779</v>
      </c>
      <c r="L90" t="s">
        <v>4798</v>
      </c>
    </row>
    <row r="91" spans="2:12">
      <c r="B91">
        <v>85</v>
      </c>
      <c r="C91">
        <v>2</v>
      </c>
      <c r="D91">
        <v>0</v>
      </c>
      <c r="E91">
        <v>323</v>
      </c>
      <c r="F91" t="s">
        <v>4813</v>
      </c>
      <c r="G91">
        <v>2</v>
      </c>
      <c r="H91" t="s">
        <v>1156</v>
      </c>
      <c r="I91" t="s">
        <v>6696</v>
      </c>
      <c r="J91" t="s">
        <v>5061</v>
      </c>
      <c r="K91" t="s">
        <v>4779</v>
      </c>
      <c r="L91" t="s">
        <v>4798</v>
      </c>
    </row>
    <row r="92" spans="2:12">
      <c r="B92">
        <v>86</v>
      </c>
      <c r="C92">
        <v>2</v>
      </c>
      <c r="D92">
        <v>0</v>
      </c>
      <c r="E92">
        <v>327</v>
      </c>
      <c r="F92" t="s">
        <v>4813</v>
      </c>
      <c r="G92">
        <v>2</v>
      </c>
      <c r="H92" t="s">
        <v>1157</v>
      </c>
      <c r="I92" t="s">
        <v>6711</v>
      </c>
      <c r="J92" t="s">
        <v>6712</v>
      </c>
      <c r="K92" t="s">
        <v>4779</v>
      </c>
      <c r="L92" t="s">
        <v>4798</v>
      </c>
    </row>
    <row r="93" spans="2:12">
      <c r="B93">
        <v>87</v>
      </c>
      <c r="C93">
        <v>2</v>
      </c>
      <c r="D93">
        <v>1</v>
      </c>
      <c r="E93">
        <v>331</v>
      </c>
      <c r="F93" t="s">
        <v>4813</v>
      </c>
      <c r="G93">
        <v>2</v>
      </c>
      <c r="H93" t="s">
        <v>1158</v>
      </c>
      <c r="I93" t="s">
        <v>6725</v>
      </c>
      <c r="J93" t="s">
        <v>5228</v>
      </c>
      <c r="K93" t="s">
        <v>4779</v>
      </c>
      <c r="L93" t="s">
        <v>4798</v>
      </c>
    </row>
    <row r="94" spans="2:12">
      <c r="B94">
        <v>88</v>
      </c>
      <c r="C94">
        <v>2</v>
      </c>
      <c r="D94">
        <v>1</v>
      </c>
      <c r="E94">
        <v>335</v>
      </c>
      <c r="F94" t="s">
        <v>4813</v>
      </c>
      <c r="G94">
        <v>2</v>
      </c>
      <c r="H94" t="s">
        <v>1159</v>
      </c>
      <c r="I94" t="s">
        <v>6739</v>
      </c>
      <c r="J94" t="s">
        <v>5060</v>
      </c>
      <c r="K94" t="s">
        <v>4779</v>
      </c>
      <c r="L94" t="s">
        <v>4798</v>
      </c>
    </row>
    <row r="95" spans="2:12">
      <c r="B95">
        <v>89</v>
      </c>
      <c r="C95">
        <v>2</v>
      </c>
      <c r="D95">
        <v>0</v>
      </c>
      <c r="E95">
        <v>338</v>
      </c>
      <c r="F95" t="s">
        <v>4813</v>
      </c>
      <c r="G95">
        <v>2</v>
      </c>
      <c r="H95" t="s">
        <v>1160</v>
      </c>
      <c r="I95" t="s">
        <v>6752</v>
      </c>
      <c r="J95" t="s">
        <v>6753</v>
      </c>
      <c r="K95" t="s">
        <v>4779</v>
      </c>
      <c r="L95" t="s">
        <v>4798</v>
      </c>
    </row>
    <row r="96" spans="2:12">
      <c r="B96">
        <v>90</v>
      </c>
      <c r="C96">
        <v>2</v>
      </c>
      <c r="D96">
        <v>0</v>
      </c>
      <c r="E96">
        <v>342</v>
      </c>
      <c r="F96" t="s">
        <v>4813</v>
      </c>
      <c r="G96">
        <v>2</v>
      </c>
      <c r="H96" t="s">
        <v>1161</v>
      </c>
      <c r="I96" t="s">
        <v>6768</v>
      </c>
      <c r="J96" t="s">
        <v>5423</v>
      </c>
      <c r="K96" t="s">
        <v>4779</v>
      </c>
      <c r="L96" t="s">
        <v>4798</v>
      </c>
    </row>
    <row r="97" spans="2:12">
      <c r="B97">
        <v>91</v>
      </c>
      <c r="C97">
        <v>2</v>
      </c>
      <c r="D97">
        <v>0</v>
      </c>
      <c r="E97">
        <v>346</v>
      </c>
      <c r="F97" t="s">
        <v>4813</v>
      </c>
      <c r="G97">
        <v>2</v>
      </c>
      <c r="H97" t="s">
        <v>1162</v>
      </c>
      <c r="I97" t="s">
        <v>6779</v>
      </c>
      <c r="J97" t="s">
        <v>4923</v>
      </c>
      <c r="K97" t="s">
        <v>4779</v>
      </c>
      <c r="L97" t="s">
        <v>4798</v>
      </c>
    </row>
    <row r="98" spans="2:12">
      <c r="B98">
        <v>92</v>
      </c>
      <c r="C98">
        <v>2</v>
      </c>
      <c r="D98">
        <v>0</v>
      </c>
      <c r="E98">
        <v>350</v>
      </c>
      <c r="F98" t="s">
        <v>4813</v>
      </c>
      <c r="G98">
        <v>2</v>
      </c>
      <c r="H98" t="s">
        <v>1163</v>
      </c>
      <c r="I98" t="s">
        <v>6798</v>
      </c>
      <c r="J98" t="s">
        <v>4943</v>
      </c>
      <c r="K98" t="s">
        <v>4779</v>
      </c>
      <c r="L98" t="s">
        <v>4798</v>
      </c>
    </row>
    <row r="99" spans="2:12">
      <c r="B99">
        <v>93</v>
      </c>
      <c r="C99">
        <v>2</v>
      </c>
      <c r="D99">
        <v>1</v>
      </c>
      <c r="E99">
        <v>354</v>
      </c>
      <c r="F99" t="s">
        <v>4813</v>
      </c>
      <c r="G99">
        <v>2</v>
      </c>
      <c r="H99" t="s">
        <v>1164</v>
      </c>
      <c r="I99" t="s">
        <v>6811</v>
      </c>
      <c r="J99" t="s">
        <v>6812</v>
      </c>
      <c r="K99" t="s">
        <v>4779</v>
      </c>
      <c r="L99" t="s">
        <v>4798</v>
      </c>
    </row>
    <row r="100" spans="2:12">
      <c r="B100">
        <v>94</v>
      </c>
      <c r="C100">
        <v>2</v>
      </c>
      <c r="D100">
        <v>1</v>
      </c>
      <c r="E100">
        <v>358</v>
      </c>
      <c r="F100" t="s">
        <v>4813</v>
      </c>
      <c r="G100">
        <v>2</v>
      </c>
      <c r="H100" t="s">
        <v>1165</v>
      </c>
      <c r="I100" t="s">
        <v>6831</v>
      </c>
      <c r="J100" t="s">
        <v>6832</v>
      </c>
      <c r="K100" t="s">
        <v>4779</v>
      </c>
      <c r="L100" t="s">
        <v>4798</v>
      </c>
    </row>
    <row r="101" spans="2:12">
      <c r="B101">
        <v>95</v>
      </c>
      <c r="C101">
        <v>2</v>
      </c>
      <c r="D101">
        <v>0</v>
      </c>
      <c r="E101">
        <v>361</v>
      </c>
      <c r="F101" t="s">
        <v>4813</v>
      </c>
      <c r="G101">
        <v>2</v>
      </c>
      <c r="H101" t="s">
        <v>1166</v>
      </c>
      <c r="I101" t="s">
        <v>6851</v>
      </c>
      <c r="J101" t="s">
        <v>5192</v>
      </c>
      <c r="K101" t="s">
        <v>4779</v>
      </c>
      <c r="L101" t="s">
        <v>4798</v>
      </c>
    </row>
    <row r="102" spans="2:12">
      <c r="B102">
        <v>96</v>
      </c>
      <c r="C102">
        <v>2</v>
      </c>
      <c r="D102">
        <v>0</v>
      </c>
      <c r="E102">
        <v>365</v>
      </c>
      <c r="F102" t="s">
        <v>4813</v>
      </c>
      <c r="G102">
        <v>2</v>
      </c>
      <c r="H102" t="s">
        <v>1167</v>
      </c>
      <c r="I102" t="s">
        <v>6871</v>
      </c>
      <c r="J102" t="s">
        <v>6872</v>
      </c>
      <c r="K102" t="s">
        <v>4779</v>
      </c>
      <c r="L102" t="s">
        <v>4798</v>
      </c>
    </row>
    <row r="103" spans="2:12">
      <c r="B103">
        <v>97</v>
      </c>
      <c r="C103">
        <v>2</v>
      </c>
      <c r="D103">
        <v>0</v>
      </c>
      <c r="E103">
        <v>369</v>
      </c>
      <c r="F103" t="s">
        <v>4813</v>
      </c>
      <c r="G103">
        <v>2</v>
      </c>
      <c r="H103" t="s">
        <v>1168</v>
      </c>
      <c r="I103" t="s">
        <v>6891</v>
      </c>
      <c r="J103" t="s">
        <v>6892</v>
      </c>
      <c r="K103" t="s">
        <v>4779</v>
      </c>
      <c r="L103" t="s">
        <v>4798</v>
      </c>
    </row>
    <row r="104" spans="2:12">
      <c r="B104">
        <v>98</v>
      </c>
      <c r="C104">
        <v>2</v>
      </c>
      <c r="D104">
        <v>0</v>
      </c>
      <c r="E104">
        <v>373</v>
      </c>
      <c r="F104" t="s">
        <v>4813</v>
      </c>
      <c r="G104">
        <v>2</v>
      </c>
      <c r="H104" t="s">
        <v>1169</v>
      </c>
      <c r="I104" t="s">
        <v>6913</v>
      </c>
      <c r="J104" t="s">
        <v>6914</v>
      </c>
      <c r="K104" t="s">
        <v>4779</v>
      </c>
      <c r="L104" t="s">
        <v>4798</v>
      </c>
    </row>
    <row r="105" spans="2:12">
      <c r="B105">
        <v>99</v>
      </c>
      <c r="C105">
        <v>2</v>
      </c>
      <c r="D105">
        <v>1</v>
      </c>
      <c r="E105">
        <v>377</v>
      </c>
      <c r="F105" t="s">
        <v>4813</v>
      </c>
      <c r="G105">
        <v>2</v>
      </c>
      <c r="H105" t="s">
        <v>1170</v>
      </c>
      <c r="I105" t="s">
        <v>6932</v>
      </c>
      <c r="J105" t="s">
        <v>6933</v>
      </c>
      <c r="K105" t="s">
        <v>4779</v>
      </c>
      <c r="L105" t="s">
        <v>4798</v>
      </c>
    </row>
    <row r="106" spans="2:12">
      <c r="B106">
        <v>100</v>
      </c>
      <c r="C106">
        <v>2</v>
      </c>
      <c r="D106">
        <v>1</v>
      </c>
      <c r="E106">
        <v>381</v>
      </c>
      <c r="F106" t="s">
        <v>4813</v>
      </c>
      <c r="G106">
        <v>2</v>
      </c>
      <c r="H106" t="s">
        <v>1171</v>
      </c>
      <c r="I106" t="s">
        <v>6953</v>
      </c>
      <c r="J106" t="s">
        <v>6954</v>
      </c>
      <c r="K106" t="s">
        <v>4779</v>
      </c>
      <c r="L106" t="s">
        <v>4798</v>
      </c>
    </row>
    <row r="107" spans="2:12">
      <c r="B107">
        <v>101</v>
      </c>
      <c r="C107">
        <v>2</v>
      </c>
      <c r="D107">
        <v>0</v>
      </c>
      <c r="E107">
        <v>384</v>
      </c>
      <c r="F107" t="s">
        <v>4813</v>
      </c>
      <c r="G107">
        <v>2</v>
      </c>
      <c r="H107" t="s">
        <v>1172</v>
      </c>
      <c r="I107" t="s">
        <v>6971</v>
      </c>
      <c r="J107" t="s">
        <v>6972</v>
      </c>
      <c r="K107" t="s">
        <v>4779</v>
      </c>
      <c r="L107" t="s">
        <v>4798</v>
      </c>
    </row>
    <row r="108" spans="2:12">
      <c r="B108">
        <v>102</v>
      </c>
      <c r="C108">
        <v>2</v>
      </c>
      <c r="D108">
        <v>0</v>
      </c>
      <c r="E108">
        <v>388</v>
      </c>
      <c r="F108" t="s">
        <v>4813</v>
      </c>
      <c r="G108">
        <v>2</v>
      </c>
      <c r="H108" t="s">
        <v>1173</v>
      </c>
      <c r="I108" t="s">
        <v>6993</v>
      </c>
      <c r="J108" t="s">
        <v>6994</v>
      </c>
      <c r="K108" t="s">
        <v>4779</v>
      </c>
      <c r="L108" t="s">
        <v>4798</v>
      </c>
    </row>
    <row r="109" spans="2:12">
      <c r="B109">
        <v>103</v>
      </c>
      <c r="C109">
        <v>2</v>
      </c>
      <c r="D109">
        <v>0</v>
      </c>
      <c r="E109">
        <v>392</v>
      </c>
      <c r="F109" t="s">
        <v>4813</v>
      </c>
      <c r="G109">
        <v>2</v>
      </c>
      <c r="H109" t="s">
        <v>1174</v>
      </c>
      <c r="I109" t="s">
        <v>7013</v>
      </c>
      <c r="J109" t="s">
        <v>7014</v>
      </c>
      <c r="K109" t="s">
        <v>4779</v>
      </c>
      <c r="L109" t="s">
        <v>4798</v>
      </c>
    </row>
    <row r="110" spans="2:12">
      <c r="B110">
        <v>104</v>
      </c>
      <c r="C110">
        <v>2</v>
      </c>
      <c r="D110">
        <v>0</v>
      </c>
      <c r="E110">
        <v>396</v>
      </c>
      <c r="F110" t="s">
        <v>4813</v>
      </c>
      <c r="G110">
        <v>2</v>
      </c>
      <c r="H110" t="s">
        <v>1175</v>
      </c>
      <c r="I110" t="s">
        <v>7037</v>
      </c>
      <c r="J110" t="s">
        <v>7038</v>
      </c>
      <c r="K110" t="s">
        <v>4779</v>
      </c>
      <c r="L110" t="s">
        <v>4798</v>
      </c>
    </row>
    <row r="111" spans="2:12">
      <c r="B111">
        <v>105</v>
      </c>
      <c r="C111">
        <v>2</v>
      </c>
      <c r="D111">
        <v>1</v>
      </c>
      <c r="E111">
        <v>400</v>
      </c>
      <c r="F111" t="s">
        <v>4813</v>
      </c>
      <c r="G111">
        <v>2</v>
      </c>
      <c r="H111" t="s">
        <v>1176</v>
      </c>
      <c r="I111" t="s">
        <v>7057</v>
      </c>
      <c r="J111" t="s">
        <v>7058</v>
      </c>
      <c r="K111" t="s">
        <v>4779</v>
      </c>
      <c r="L111" t="s">
        <v>4798</v>
      </c>
    </row>
    <row r="112" spans="2:12">
      <c r="B112">
        <v>106</v>
      </c>
      <c r="C112">
        <v>2</v>
      </c>
      <c r="D112">
        <v>1</v>
      </c>
      <c r="E112">
        <v>404</v>
      </c>
      <c r="F112" t="s">
        <v>4813</v>
      </c>
      <c r="G112">
        <v>2</v>
      </c>
      <c r="H112" t="s">
        <v>1177</v>
      </c>
      <c r="I112" t="s">
        <v>7077</v>
      </c>
      <c r="J112" t="s">
        <v>7078</v>
      </c>
      <c r="K112" t="s">
        <v>4779</v>
      </c>
      <c r="L112" t="s">
        <v>4798</v>
      </c>
    </row>
    <row r="113" spans="2:12">
      <c r="B113">
        <v>107</v>
      </c>
      <c r="C113">
        <v>2</v>
      </c>
      <c r="D113">
        <v>0</v>
      </c>
      <c r="E113">
        <v>407</v>
      </c>
      <c r="F113" t="s">
        <v>4813</v>
      </c>
      <c r="G113">
        <v>2</v>
      </c>
      <c r="H113" t="s">
        <v>1178</v>
      </c>
      <c r="I113" t="s">
        <v>7096</v>
      </c>
      <c r="J113" t="s">
        <v>7097</v>
      </c>
      <c r="K113" t="s">
        <v>4779</v>
      </c>
      <c r="L113" t="s">
        <v>4798</v>
      </c>
    </row>
    <row r="114" spans="2:12">
      <c r="B114">
        <v>108</v>
      </c>
      <c r="C114">
        <v>2</v>
      </c>
      <c r="D114">
        <v>0</v>
      </c>
      <c r="E114">
        <v>411</v>
      </c>
      <c r="F114" t="s">
        <v>4813</v>
      </c>
      <c r="G114">
        <v>2</v>
      </c>
      <c r="H114" t="s">
        <v>1179</v>
      </c>
      <c r="I114" t="s">
        <v>7116</v>
      </c>
      <c r="J114" t="s">
        <v>5554</v>
      </c>
      <c r="K114" t="s">
        <v>4779</v>
      </c>
      <c r="L114" t="s">
        <v>4798</v>
      </c>
    </row>
    <row r="115" spans="2:12">
      <c r="B115">
        <v>109</v>
      </c>
      <c r="C115">
        <v>2</v>
      </c>
      <c r="D115">
        <v>0</v>
      </c>
      <c r="E115">
        <v>415</v>
      </c>
      <c r="F115" t="s">
        <v>4813</v>
      </c>
      <c r="G115">
        <v>2</v>
      </c>
      <c r="H115" t="s">
        <v>1180</v>
      </c>
      <c r="I115" t="s">
        <v>7134</v>
      </c>
      <c r="J115" t="s">
        <v>7135</v>
      </c>
      <c r="K115" t="s">
        <v>4779</v>
      </c>
      <c r="L115" t="s">
        <v>4798</v>
      </c>
    </row>
    <row r="116" spans="2:12">
      <c r="B116">
        <v>110</v>
      </c>
      <c r="C116">
        <v>2</v>
      </c>
      <c r="D116">
        <v>0</v>
      </c>
      <c r="E116">
        <v>419</v>
      </c>
      <c r="F116" t="s">
        <v>4813</v>
      </c>
      <c r="G116">
        <v>2</v>
      </c>
      <c r="H116" t="s">
        <v>1181</v>
      </c>
      <c r="I116" t="s">
        <v>7154</v>
      </c>
      <c r="J116" t="s">
        <v>7155</v>
      </c>
      <c r="K116" t="s">
        <v>4779</v>
      </c>
      <c r="L116" t="s">
        <v>4798</v>
      </c>
    </row>
    <row r="117" spans="2:12">
      <c r="B117">
        <v>111</v>
      </c>
      <c r="C117">
        <v>2</v>
      </c>
      <c r="D117">
        <v>1</v>
      </c>
      <c r="E117">
        <v>423</v>
      </c>
      <c r="F117" t="s">
        <v>4813</v>
      </c>
      <c r="G117">
        <v>2</v>
      </c>
      <c r="H117" t="s">
        <v>1182</v>
      </c>
      <c r="I117" t="s">
        <v>7173</v>
      </c>
      <c r="J117" t="s">
        <v>7174</v>
      </c>
      <c r="K117" t="s">
        <v>4779</v>
      </c>
      <c r="L117" t="s">
        <v>4798</v>
      </c>
    </row>
    <row r="118" spans="2:12">
      <c r="B118">
        <v>112</v>
      </c>
      <c r="C118">
        <v>2</v>
      </c>
      <c r="D118">
        <v>1</v>
      </c>
      <c r="E118">
        <v>427</v>
      </c>
      <c r="F118" t="s">
        <v>4813</v>
      </c>
      <c r="G118">
        <v>2</v>
      </c>
      <c r="H118" t="s">
        <v>1183</v>
      </c>
      <c r="I118" t="s">
        <v>7194</v>
      </c>
      <c r="J118" t="s">
        <v>7195</v>
      </c>
      <c r="K118" t="s">
        <v>4779</v>
      </c>
      <c r="L118" t="s">
        <v>4798</v>
      </c>
    </row>
    <row r="119" spans="2:12">
      <c r="B119">
        <v>113</v>
      </c>
      <c r="C119">
        <v>2</v>
      </c>
      <c r="D119">
        <v>0</v>
      </c>
      <c r="E119">
        <v>430</v>
      </c>
      <c r="F119" t="s">
        <v>4813</v>
      </c>
      <c r="G119">
        <v>2</v>
      </c>
      <c r="H119" t="s">
        <v>1184</v>
      </c>
      <c r="I119" t="s">
        <v>7216</v>
      </c>
      <c r="J119" t="s">
        <v>7217</v>
      </c>
      <c r="K119" t="s">
        <v>4779</v>
      </c>
      <c r="L119" t="s">
        <v>4798</v>
      </c>
    </row>
    <row r="120" spans="2:12">
      <c r="B120">
        <v>114</v>
      </c>
      <c r="C120">
        <v>2</v>
      </c>
      <c r="D120">
        <v>0</v>
      </c>
      <c r="E120">
        <v>434</v>
      </c>
      <c r="F120" t="s">
        <v>4813</v>
      </c>
      <c r="G120">
        <v>2</v>
      </c>
      <c r="H120" t="s">
        <v>1185</v>
      </c>
      <c r="I120" t="s">
        <v>7237</v>
      </c>
      <c r="J120" t="s">
        <v>7238</v>
      </c>
      <c r="K120" t="s">
        <v>4779</v>
      </c>
      <c r="L120" t="s">
        <v>4798</v>
      </c>
    </row>
    <row r="121" spans="2:12">
      <c r="B121">
        <v>115</v>
      </c>
      <c r="C121">
        <v>2</v>
      </c>
      <c r="D121">
        <v>0</v>
      </c>
      <c r="E121">
        <v>438</v>
      </c>
      <c r="F121" t="s">
        <v>4813</v>
      </c>
      <c r="G121">
        <v>2</v>
      </c>
      <c r="H121" t="s">
        <v>1186</v>
      </c>
      <c r="I121" t="s">
        <v>7257</v>
      </c>
      <c r="J121" t="s">
        <v>7258</v>
      </c>
      <c r="K121" t="s">
        <v>4779</v>
      </c>
      <c r="L121" t="s">
        <v>4798</v>
      </c>
    </row>
    <row r="122" spans="2:12">
      <c r="B122">
        <v>116</v>
      </c>
      <c r="C122">
        <v>2</v>
      </c>
      <c r="D122">
        <v>0</v>
      </c>
      <c r="E122">
        <v>442</v>
      </c>
      <c r="F122" t="s">
        <v>4813</v>
      </c>
      <c r="G122">
        <v>2</v>
      </c>
      <c r="H122" t="s">
        <v>1187</v>
      </c>
      <c r="I122" t="s">
        <v>7278</v>
      </c>
      <c r="J122" t="s">
        <v>7155</v>
      </c>
      <c r="K122" t="s">
        <v>4779</v>
      </c>
      <c r="L122" t="s">
        <v>4798</v>
      </c>
    </row>
    <row r="123" spans="2:12">
      <c r="B123">
        <v>117</v>
      </c>
      <c r="C123">
        <v>2</v>
      </c>
      <c r="D123">
        <v>1</v>
      </c>
      <c r="E123">
        <v>446</v>
      </c>
      <c r="F123" t="s">
        <v>4813</v>
      </c>
      <c r="G123">
        <v>2</v>
      </c>
      <c r="H123" t="s">
        <v>1188</v>
      </c>
      <c r="I123" t="s">
        <v>7297</v>
      </c>
      <c r="J123" t="s">
        <v>7285</v>
      </c>
      <c r="K123" t="s">
        <v>4779</v>
      </c>
      <c r="L123" t="s">
        <v>4798</v>
      </c>
    </row>
    <row r="124" spans="2:12">
      <c r="B124">
        <v>118</v>
      </c>
      <c r="C124">
        <v>2</v>
      </c>
      <c r="D124">
        <v>1</v>
      </c>
      <c r="E124">
        <v>450</v>
      </c>
      <c r="F124" t="s">
        <v>4813</v>
      </c>
      <c r="G124">
        <v>2</v>
      </c>
      <c r="H124" t="s">
        <v>1189</v>
      </c>
      <c r="I124" t="s">
        <v>7315</v>
      </c>
      <c r="J124" t="s">
        <v>7316</v>
      </c>
      <c r="K124" t="s">
        <v>4779</v>
      </c>
      <c r="L124" t="s">
        <v>4798</v>
      </c>
    </row>
    <row r="125" spans="2:12">
      <c r="B125">
        <v>119</v>
      </c>
      <c r="C125">
        <v>2</v>
      </c>
      <c r="D125">
        <v>0</v>
      </c>
      <c r="E125">
        <v>453</v>
      </c>
      <c r="F125" t="s">
        <v>4813</v>
      </c>
      <c r="G125">
        <v>2</v>
      </c>
      <c r="H125" t="s">
        <v>1190</v>
      </c>
      <c r="I125" t="s">
        <v>7334</v>
      </c>
      <c r="J125" t="s">
        <v>7335</v>
      </c>
      <c r="K125" t="s">
        <v>4779</v>
      </c>
      <c r="L125" t="s">
        <v>4798</v>
      </c>
    </row>
    <row r="126" spans="2:12">
      <c r="B126">
        <v>120</v>
      </c>
      <c r="C126">
        <v>2</v>
      </c>
      <c r="D126">
        <v>0</v>
      </c>
      <c r="E126">
        <v>457</v>
      </c>
      <c r="F126" t="s">
        <v>4813</v>
      </c>
      <c r="G126">
        <v>2</v>
      </c>
      <c r="H126" t="s">
        <v>1191</v>
      </c>
      <c r="I126" t="s">
        <v>7351</v>
      </c>
      <c r="J126" t="s">
        <v>7352</v>
      </c>
      <c r="K126" t="s">
        <v>4779</v>
      </c>
      <c r="L126" t="s">
        <v>4798</v>
      </c>
    </row>
    <row r="127" spans="2:12">
      <c r="B127">
        <v>121</v>
      </c>
      <c r="C127">
        <v>2</v>
      </c>
      <c r="D127">
        <v>0</v>
      </c>
      <c r="E127">
        <v>461</v>
      </c>
      <c r="F127" t="s">
        <v>4813</v>
      </c>
      <c r="G127">
        <v>2</v>
      </c>
      <c r="H127" t="s">
        <v>1192</v>
      </c>
      <c r="I127" t="s">
        <v>7370</v>
      </c>
      <c r="J127" t="s">
        <v>7371</v>
      </c>
      <c r="K127" t="s">
        <v>4779</v>
      </c>
      <c r="L127" t="s">
        <v>4798</v>
      </c>
    </row>
    <row r="128" spans="2:12">
      <c r="B128">
        <v>122</v>
      </c>
      <c r="C128">
        <v>2</v>
      </c>
      <c r="D128">
        <v>0</v>
      </c>
      <c r="E128">
        <v>465</v>
      </c>
      <c r="F128" t="s">
        <v>4813</v>
      </c>
      <c r="G128">
        <v>2</v>
      </c>
      <c r="H128" t="s">
        <v>1193</v>
      </c>
      <c r="I128" t="s">
        <v>7393</v>
      </c>
      <c r="J128" t="s">
        <v>7394</v>
      </c>
      <c r="K128" t="s">
        <v>4779</v>
      </c>
      <c r="L128" t="s">
        <v>4798</v>
      </c>
    </row>
    <row r="129" spans="2:12">
      <c r="B129">
        <v>123</v>
      </c>
      <c r="C129">
        <v>2</v>
      </c>
      <c r="D129">
        <v>1</v>
      </c>
      <c r="E129">
        <v>469</v>
      </c>
      <c r="F129" t="s">
        <v>4813</v>
      </c>
      <c r="G129">
        <v>2</v>
      </c>
      <c r="H129" t="s">
        <v>1194</v>
      </c>
      <c r="I129" t="s">
        <v>7411</v>
      </c>
      <c r="J129" t="s">
        <v>7412</v>
      </c>
      <c r="K129" t="s">
        <v>4779</v>
      </c>
      <c r="L129" t="s">
        <v>4798</v>
      </c>
    </row>
    <row r="130" spans="2:12">
      <c r="B130">
        <v>124</v>
      </c>
      <c r="C130">
        <v>2</v>
      </c>
      <c r="D130">
        <v>1</v>
      </c>
      <c r="E130">
        <v>473</v>
      </c>
      <c r="F130" t="s">
        <v>4813</v>
      </c>
      <c r="G130">
        <v>2</v>
      </c>
      <c r="H130" t="s">
        <v>1195</v>
      </c>
      <c r="I130" t="s">
        <v>7428</v>
      </c>
      <c r="J130" t="s">
        <v>5721</v>
      </c>
      <c r="K130" t="s">
        <v>4808</v>
      </c>
      <c r="L130" t="s">
        <v>4798</v>
      </c>
    </row>
    <row r="131" spans="2:12">
      <c r="B131">
        <v>125</v>
      </c>
      <c r="C131">
        <v>2</v>
      </c>
      <c r="D131">
        <v>0</v>
      </c>
      <c r="E131">
        <v>476</v>
      </c>
      <c r="F131" t="s">
        <v>4813</v>
      </c>
      <c r="G131">
        <v>2</v>
      </c>
      <c r="H131" t="s">
        <v>1196</v>
      </c>
      <c r="I131" t="s">
        <v>7444</v>
      </c>
      <c r="J131" t="s">
        <v>7445</v>
      </c>
      <c r="K131" t="s">
        <v>4779</v>
      </c>
      <c r="L131" t="s">
        <v>4798</v>
      </c>
    </row>
    <row r="132" spans="2:12">
      <c r="B132">
        <v>126</v>
      </c>
      <c r="C132">
        <v>2</v>
      </c>
      <c r="D132">
        <v>0</v>
      </c>
      <c r="E132">
        <v>480</v>
      </c>
      <c r="F132" t="s">
        <v>4813</v>
      </c>
      <c r="G132">
        <v>2</v>
      </c>
      <c r="H132" t="s">
        <v>1197</v>
      </c>
      <c r="I132" t="s">
        <v>7462</v>
      </c>
      <c r="J132" t="s">
        <v>4667</v>
      </c>
      <c r="K132" t="s">
        <v>4779</v>
      </c>
      <c r="L132" t="s">
        <v>4798</v>
      </c>
    </row>
    <row r="133" spans="2:12">
      <c r="B133">
        <v>127</v>
      </c>
      <c r="C133">
        <v>2</v>
      </c>
      <c r="D133">
        <v>0</v>
      </c>
      <c r="E133">
        <v>484</v>
      </c>
      <c r="F133" t="s">
        <v>4813</v>
      </c>
      <c r="G133">
        <v>2</v>
      </c>
      <c r="H133" t="s">
        <v>1198</v>
      </c>
      <c r="I133" t="s">
        <v>7479</v>
      </c>
      <c r="J133" t="s">
        <v>7480</v>
      </c>
      <c r="K133" t="s">
        <v>4779</v>
      </c>
      <c r="L133" t="s">
        <v>4798</v>
      </c>
    </row>
    <row r="134" spans="2:12">
      <c r="B134">
        <v>128</v>
      </c>
      <c r="C134">
        <v>2</v>
      </c>
      <c r="D134">
        <v>0</v>
      </c>
      <c r="E134">
        <v>488</v>
      </c>
      <c r="F134" t="s">
        <v>4813</v>
      </c>
      <c r="G134">
        <v>2</v>
      </c>
      <c r="H134" t="s">
        <v>1199</v>
      </c>
      <c r="I134" t="s">
        <v>7495</v>
      </c>
      <c r="J134" t="s">
        <v>5004</v>
      </c>
      <c r="K134" t="s">
        <v>4779</v>
      </c>
      <c r="L134" t="s">
        <v>4798</v>
      </c>
    </row>
    <row r="135" spans="2:12">
      <c r="B135">
        <v>129</v>
      </c>
      <c r="C135">
        <v>2</v>
      </c>
      <c r="D135">
        <v>1</v>
      </c>
      <c r="E135">
        <v>492</v>
      </c>
      <c r="F135" t="s">
        <v>4813</v>
      </c>
      <c r="G135">
        <v>2</v>
      </c>
      <c r="H135" t="s">
        <v>1200</v>
      </c>
      <c r="I135" t="s">
        <v>7511</v>
      </c>
      <c r="J135" t="s">
        <v>5691</v>
      </c>
      <c r="K135" t="s">
        <v>4779</v>
      </c>
      <c r="L135" t="s">
        <v>4798</v>
      </c>
    </row>
    <row r="136" spans="2:12">
      <c r="B136">
        <v>130</v>
      </c>
      <c r="C136">
        <v>2</v>
      </c>
      <c r="D136">
        <v>1</v>
      </c>
      <c r="E136">
        <v>496</v>
      </c>
      <c r="F136" t="s">
        <v>4813</v>
      </c>
      <c r="G136">
        <v>2</v>
      </c>
      <c r="H136" t="s">
        <v>1201</v>
      </c>
      <c r="I136" t="s">
        <v>7532</v>
      </c>
      <c r="J136" t="s">
        <v>7533</v>
      </c>
      <c r="K136" t="s">
        <v>4779</v>
      </c>
      <c r="L136" t="s">
        <v>4798</v>
      </c>
    </row>
    <row r="137" spans="2:12">
      <c r="B137">
        <v>131</v>
      </c>
      <c r="C137">
        <v>2</v>
      </c>
      <c r="D137">
        <v>0</v>
      </c>
      <c r="E137">
        <v>499</v>
      </c>
      <c r="F137" t="s">
        <v>4813</v>
      </c>
      <c r="G137">
        <v>2</v>
      </c>
      <c r="H137" t="s">
        <v>1202</v>
      </c>
      <c r="I137" t="s">
        <v>7551</v>
      </c>
      <c r="J137" t="s">
        <v>7552</v>
      </c>
      <c r="K137" t="s">
        <v>4779</v>
      </c>
      <c r="L137" t="s">
        <v>4798</v>
      </c>
    </row>
    <row r="138" spans="2:12">
      <c r="B138">
        <v>132</v>
      </c>
      <c r="C138">
        <v>2</v>
      </c>
      <c r="D138">
        <v>0</v>
      </c>
      <c r="E138">
        <v>503</v>
      </c>
      <c r="F138" t="s">
        <v>4813</v>
      </c>
      <c r="G138">
        <v>3</v>
      </c>
      <c r="H138" t="s">
        <v>1203</v>
      </c>
      <c r="I138" t="s">
        <v>7568</v>
      </c>
      <c r="J138" t="s">
        <v>5465</v>
      </c>
      <c r="K138" t="s">
        <v>4779</v>
      </c>
      <c r="L138" t="s">
        <v>4798</v>
      </c>
    </row>
    <row r="139" spans="2:12">
      <c r="B139">
        <v>133</v>
      </c>
      <c r="C139">
        <v>2</v>
      </c>
      <c r="D139">
        <v>0</v>
      </c>
      <c r="E139">
        <v>507</v>
      </c>
      <c r="F139" t="s">
        <v>4813</v>
      </c>
      <c r="G139">
        <v>3</v>
      </c>
      <c r="H139" t="s">
        <v>1204</v>
      </c>
      <c r="I139" t="s">
        <v>7580</v>
      </c>
      <c r="J139" t="s">
        <v>5283</v>
      </c>
      <c r="K139" t="s">
        <v>4779</v>
      </c>
      <c r="L139" t="s">
        <v>4798</v>
      </c>
    </row>
    <row r="140" spans="2:12">
      <c r="B140">
        <v>134</v>
      </c>
      <c r="C140">
        <v>2</v>
      </c>
      <c r="D140">
        <v>0</v>
      </c>
      <c r="E140">
        <v>511</v>
      </c>
      <c r="F140" t="s">
        <v>4813</v>
      </c>
      <c r="G140">
        <v>3</v>
      </c>
      <c r="H140" t="s">
        <v>1205</v>
      </c>
      <c r="I140" t="s">
        <v>7597</v>
      </c>
      <c r="J140" t="s">
        <v>5475</v>
      </c>
      <c r="K140" t="s">
        <v>4779</v>
      </c>
      <c r="L140" t="s">
        <v>4798</v>
      </c>
    </row>
    <row r="141" spans="2:12">
      <c r="B141">
        <v>135</v>
      </c>
      <c r="C141">
        <v>2</v>
      </c>
      <c r="D141">
        <v>1</v>
      </c>
      <c r="E141">
        <v>515</v>
      </c>
      <c r="F141" t="s">
        <v>4813</v>
      </c>
      <c r="G141">
        <v>3</v>
      </c>
      <c r="H141" t="s">
        <v>1206</v>
      </c>
      <c r="I141" t="s">
        <v>7614</v>
      </c>
      <c r="J141" t="s">
        <v>5570</v>
      </c>
      <c r="K141" t="s">
        <v>4779</v>
      </c>
      <c r="L141" t="s">
        <v>4798</v>
      </c>
    </row>
    <row r="142" spans="2:12">
      <c r="B142">
        <v>136</v>
      </c>
      <c r="C142">
        <v>2</v>
      </c>
      <c r="D142">
        <v>1</v>
      </c>
      <c r="E142">
        <v>519</v>
      </c>
      <c r="F142" t="s">
        <v>4813</v>
      </c>
      <c r="G142">
        <v>3</v>
      </c>
      <c r="H142" t="s">
        <v>1207</v>
      </c>
      <c r="I142" t="s">
        <v>7633</v>
      </c>
      <c r="J142" t="s">
        <v>5010</v>
      </c>
      <c r="K142" t="s">
        <v>4779</v>
      </c>
      <c r="L142" t="s">
        <v>4798</v>
      </c>
    </row>
    <row r="143" spans="2:12">
      <c r="B143">
        <v>137</v>
      </c>
      <c r="C143">
        <v>2</v>
      </c>
      <c r="D143">
        <v>0</v>
      </c>
      <c r="E143">
        <v>522</v>
      </c>
      <c r="F143" t="s">
        <v>4813</v>
      </c>
      <c r="G143">
        <v>3</v>
      </c>
      <c r="H143" t="s">
        <v>1208</v>
      </c>
      <c r="I143" t="s">
        <v>7649</v>
      </c>
      <c r="J143" t="s">
        <v>5632</v>
      </c>
      <c r="K143" t="s">
        <v>4779</v>
      </c>
      <c r="L143" t="s">
        <v>4798</v>
      </c>
    </row>
    <row r="144" spans="2:12">
      <c r="B144">
        <v>138</v>
      </c>
      <c r="C144">
        <v>2</v>
      </c>
      <c r="D144">
        <v>0</v>
      </c>
      <c r="E144">
        <v>526</v>
      </c>
      <c r="F144" t="s">
        <v>4813</v>
      </c>
      <c r="G144">
        <v>3</v>
      </c>
      <c r="H144" t="s">
        <v>1209</v>
      </c>
      <c r="I144" t="s">
        <v>7670</v>
      </c>
      <c r="J144" t="s">
        <v>5378</v>
      </c>
      <c r="K144" t="s">
        <v>4808</v>
      </c>
      <c r="L144" t="s">
        <v>4798</v>
      </c>
    </row>
    <row r="145" spans="2:12">
      <c r="B145">
        <v>139</v>
      </c>
      <c r="C145">
        <v>2</v>
      </c>
      <c r="D145">
        <v>0</v>
      </c>
      <c r="E145">
        <v>530</v>
      </c>
      <c r="F145" t="s">
        <v>4813</v>
      </c>
      <c r="G145">
        <v>3</v>
      </c>
      <c r="H145" t="s">
        <v>1210</v>
      </c>
      <c r="I145" t="s">
        <v>7685</v>
      </c>
      <c r="J145" t="s">
        <v>7686</v>
      </c>
      <c r="K145" t="s">
        <v>4779</v>
      </c>
      <c r="L145" t="s">
        <v>4798</v>
      </c>
    </row>
    <row r="146" spans="2:12">
      <c r="B146">
        <v>140</v>
      </c>
      <c r="C146">
        <v>2</v>
      </c>
      <c r="D146">
        <v>0</v>
      </c>
      <c r="E146">
        <v>534</v>
      </c>
      <c r="F146" t="s">
        <v>4813</v>
      </c>
      <c r="G146">
        <v>3</v>
      </c>
      <c r="H146" t="s">
        <v>1211</v>
      </c>
      <c r="I146" t="s">
        <v>7700</v>
      </c>
      <c r="J146" t="s">
        <v>7701</v>
      </c>
      <c r="K146" t="s">
        <v>4779</v>
      </c>
      <c r="L146" t="s">
        <v>4798</v>
      </c>
    </row>
    <row r="147" spans="2:12">
      <c r="B147">
        <v>141</v>
      </c>
      <c r="C147">
        <v>2</v>
      </c>
      <c r="D147">
        <v>1</v>
      </c>
      <c r="E147">
        <v>538</v>
      </c>
      <c r="F147" t="s">
        <v>4813</v>
      </c>
      <c r="G147">
        <v>3</v>
      </c>
      <c r="H147" t="s">
        <v>1212</v>
      </c>
      <c r="I147" t="s">
        <v>7719</v>
      </c>
      <c r="J147" t="s">
        <v>7720</v>
      </c>
      <c r="K147" t="s">
        <v>4808</v>
      </c>
      <c r="L147" t="s">
        <v>4798</v>
      </c>
    </row>
    <row r="148" spans="2:12">
      <c r="B148">
        <v>142</v>
      </c>
      <c r="C148">
        <v>2</v>
      </c>
      <c r="D148">
        <v>1</v>
      </c>
      <c r="E148">
        <v>542</v>
      </c>
      <c r="F148" t="s">
        <v>4813</v>
      </c>
      <c r="G148">
        <v>3</v>
      </c>
      <c r="H148" t="s">
        <v>1213</v>
      </c>
      <c r="I148" t="s">
        <v>7738</v>
      </c>
      <c r="J148" t="s">
        <v>5453</v>
      </c>
      <c r="K148" t="s">
        <v>4779</v>
      </c>
      <c r="L148" t="s">
        <v>4798</v>
      </c>
    </row>
    <row r="149" spans="2:12">
      <c r="B149">
        <v>143</v>
      </c>
      <c r="C149">
        <v>2</v>
      </c>
      <c r="D149">
        <v>0</v>
      </c>
      <c r="E149">
        <v>545</v>
      </c>
      <c r="F149" t="s">
        <v>4813</v>
      </c>
      <c r="G149">
        <v>3</v>
      </c>
      <c r="H149" t="s">
        <v>1214</v>
      </c>
      <c r="I149" t="s">
        <v>7754</v>
      </c>
      <c r="J149" t="s">
        <v>7593</v>
      </c>
      <c r="K149" t="s">
        <v>4779</v>
      </c>
      <c r="L149" t="s">
        <v>4798</v>
      </c>
    </row>
    <row r="150" spans="2:12">
      <c r="B150">
        <v>144</v>
      </c>
      <c r="C150">
        <v>2</v>
      </c>
      <c r="D150">
        <v>0</v>
      </c>
      <c r="E150">
        <v>549</v>
      </c>
      <c r="F150" t="s">
        <v>4813</v>
      </c>
      <c r="G150">
        <v>3</v>
      </c>
      <c r="H150" t="s">
        <v>1215</v>
      </c>
      <c r="I150" t="s">
        <v>7770</v>
      </c>
      <c r="J150" t="s">
        <v>7771</v>
      </c>
      <c r="K150" t="s">
        <v>4779</v>
      </c>
      <c r="L150" t="s">
        <v>4798</v>
      </c>
    </row>
    <row r="151" spans="2:12">
      <c r="B151">
        <v>145</v>
      </c>
      <c r="C151">
        <v>2</v>
      </c>
      <c r="D151">
        <v>0</v>
      </c>
      <c r="E151">
        <v>553</v>
      </c>
      <c r="F151" t="s">
        <v>4813</v>
      </c>
      <c r="G151">
        <v>3</v>
      </c>
      <c r="H151" t="s">
        <v>1216</v>
      </c>
      <c r="I151" t="s">
        <v>7786</v>
      </c>
      <c r="J151" t="s">
        <v>7787</v>
      </c>
      <c r="K151" t="s">
        <v>4807</v>
      </c>
      <c r="L151" t="s">
        <v>4798</v>
      </c>
    </row>
    <row r="152" spans="2:12">
      <c r="B152">
        <v>146</v>
      </c>
      <c r="C152">
        <v>2</v>
      </c>
      <c r="D152">
        <v>0</v>
      </c>
      <c r="E152">
        <v>557</v>
      </c>
      <c r="F152" t="s">
        <v>4813</v>
      </c>
      <c r="G152">
        <v>3</v>
      </c>
      <c r="H152" t="s">
        <v>1217</v>
      </c>
      <c r="I152" t="s">
        <v>7804</v>
      </c>
      <c r="J152" t="s">
        <v>7805</v>
      </c>
      <c r="K152" t="s">
        <v>4779</v>
      </c>
      <c r="L152" t="s">
        <v>4798</v>
      </c>
    </row>
    <row r="153" spans="2:12">
      <c r="B153">
        <v>147</v>
      </c>
      <c r="C153">
        <v>2</v>
      </c>
      <c r="D153">
        <v>1</v>
      </c>
      <c r="E153">
        <v>561</v>
      </c>
      <c r="F153" t="s">
        <v>4813</v>
      </c>
      <c r="G153">
        <v>3</v>
      </c>
      <c r="H153" t="s">
        <v>1218</v>
      </c>
      <c r="I153" t="s">
        <v>7822</v>
      </c>
      <c r="J153" t="s">
        <v>7823</v>
      </c>
      <c r="K153" t="s">
        <v>4779</v>
      </c>
      <c r="L153" t="s">
        <v>4798</v>
      </c>
    </row>
    <row r="154" spans="2:12">
      <c r="B154">
        <v>148</v>
      </c>
      <c r="C154">
        <v>2</v>
      </c>
      <c r="D154">
        <v>1</v>
      </c>
      <c r="E154">
        <v>565</v>
      </c>
      <c r="F154" t="s">
        <v>4813</v>
      </c>
      <c r="G154">
        <v>3</v>
      </c>
      <c r="H154" t="s">
        <v>1219</v>
      </c>
      <c r="I154" t="s">
        <v>7842</v>
      </c>
      <c r="J154" t="s">
        <v>5907</v>
      </c>
      <c r="K154" t="s">
        <v>4779</v>
      </c>
      <c r="L154" t="s">
        <v>4798</v>
      </c>
    </row>
    <row r="155" spans="2:12">
      <c r="B155">
        <v>149</v>
      </c>
      <c r="C155">
        <v>2</v>
      </c>
      <c r="D155">
        <v>0</v>
      </c>
      <c r="E155">
        <v>568</v>
      </c>
      <c r="F155" t="s">
        <v>4813</v>
      </c>
      <c r="G155">
        <v>3</v>
      </c>
      <c r="H155" t="s">
        <v>1220</v>
      </c>
      <c r="I155" t="s">
        <v>7858</v>
      </c>
      <c r="J155" t="s">
        <v>7859</v>
      </c>
      <c r="K155" t="s">
        <v>4779</v>
      </c>
      <c r="L155" t="s">
        <v>4798</v>
      </c>
    </row>
    <row r="156" spans="2:12">
      <c r="B156">
        <v>150</v>
      </c>
      <c r="C156">
        <v>2</v>
      </c>
      <c r="D156">
        <v>0</v>
      </c>
      <c r="E156">
        <v>572</v>
      </c>
      <c r="F156" t="s">
        <v>4813</v>
      </c>
      <c r="G156">
        <v>3</v>
      </c>
      <c r="H156" t="s">
        <v>1221</v>
      </c>
      <c r="I156" t="s">
        <v>7875</v>
      </c>
      <c r="J156" t="s">
        <v>7876</v>
      </c>
      <c r="K156" t="s">
        <v>4806</v>
      </c>
      <c r="L156" t="s">
        <v>4798</v>
      </c>
    </row>
    <row r="157" spans="2:12">
      <c r="B157">
        <v>151</v>
      </c>
      <c r="C157">
        <v>2</v>
      </c>
      <c r="D157">
        <v>0</v>
      </c>
      <c r="E157">
        <v>576</v>
      </c>
      <c r="F157" t="s">
        <v>4813</v>
      </c>
      <c r="G157">
        <v>3</v>
      </c>
      <c r="H157" t="s">
        <v>1222</v>
      </c>
      <c r="I157" t="s">
        <v>7895</v>
      </c>
      <c r="J157" t="s">
        <v>5314</v>
      </c>
      <c r="K157" t="s">
        <v>4779</v>
      </c>
      <c r="L157" t="s">
        <v>4798</v>
      </c>
    </row>
    <row r="158" spans="2:12">
      <c r="B158">
        <v>152</v>
      </c>
      <c r="C158">
        <v>2</v>
      </c>
      <c r="D158">
        <v>0</v>
      </c>
      <c r="E158">
        <v>580</v>
      </c>
      <c r="F158" t="s">
        <v>4813</v>
      </c>
      <c r="G158">
        <v>3</v>
      </c>
      <c r="H158" t="s">
        <v>1223</v>
      </c>
      <c r="I158" t="s">
        <v>7909</v>
      </c>
      <c r="J158" t="s">
        <v>5523</v>
      </c>
      <c r="K158" t="s">
        <v>4779</v>
      </c>
      <c r="L158" t="s">
        <v>4798</v>
      </c>
    </row>
    <row r="159" spans="2:12">
      <c r="B159">
        <v>153</v>
      </c>
      <c r="C159">
        <v>2</v>
      </c>
      <c r="D159">
        <v>1</v>
      </c>
      <c r="E159">
        <v>584</v>
      </c>
      <c r="F159" t="s">
        <v>4813</v>
      </c>
      <c r="G159">
        <v>3</v>
      </c>
      <c r="H159" t="s">
        <v>1224</v>
      </c>
      <c r="I159" t="s">
        <v>7926</v>
      </c>
      <c r="J159" t="s">
        <v>5143</v>
      </c>
      <c r="K159" t="s">
        <v>4779</v>
      </c>
      <c r="L159" t="s">
        <v>4798</v>
      </c>
    </row>
    <row r="160" spans="2:12">
      <c r="B160">
        <v>154</v>
      </c>
      <c r="C160">
        <v>2</v>
      </c>
      <c r="D160">
        <v>1</v>
      </c>
      <c r="E160">
        <v>588</v>
      </c>
      <c r="F160" t="s">
        <v>4813</v>
      </c>
      <c r="G160">
        <v>3</v>
      </c>
      <c r="H160" t="s">
        <v>1225</v>
      </c>
      <c r="I160" t="s">
        <v>7943</v>
      </c>
      <c r="J160" t="s">
        <v>7944</v>
      </c>
      <c r="K160" t="s">
        <v>4779</v>
      </c>
      <c r="L160" t="s">
        <v>4798</v>
      </c>
    </row>
    <row r="161" spans="2:12">
      <c r="B161">
        <v>155</v>
      </c>
      <c r="C161">
        <v>2</v>
      </c>
      <c r="D161">
        <v>0</v>
      </c>
      <c r="E161">
        <v>591</v>
      </c>
      <c r="F161" t="s">
        <v>4813</v>
      </c>
      <c r="G161">
        <v>3</v>
      </c>
      <c r="H161" t="s">
        <v>1226</v>
      </c>
      <c r="I161" t="s">
        <v>7958</v>
      </c>
      <c r="J161" t="s">
        <v>5716</v>
      </c>
      <c r="K161" t="s">
        <v>4779</v>
      </c>
      <c r="L161" t="s">
        <v>4798</v>
      </c>
    </row>
    <row r="162" spans="2:12">
      <c r="B162">
        <v>156</v>
      </c>
      <c r="C162">
        <v>2</v>
      </c>
      <c r="D162">
        <v>0</v>
      </c>
      <c r="E162">
        <v>595</v>
      </c>
      <c r="F162" t="s">
        <v>4813</v>
      </c>
      <c r="G162">
        <v>3</v>
      </c>
      <c r="H162" t="s">
        <v>1227</v>
      </c>
      <c r="I162" t="s">
        <v>7974</v>
      </c>
      <c r="J162" t="s">
        <v>7975</v>
      </c>
      <c r="K162" t="s">
        <v>4779</v>
      </c>
      <c r="L162" t="s">
        <v>4798</v>
      </c>
    </row>
    <row r="163" spans="2:12">
      <c r="B163">
        <v>157</v>
      </c>
      <c r="C163">
        <v>2</v>
      </c>
      <c r="D163">
        <v>0</v>
      </c>
      <c r="E163">
        <v>599</v>
      </c>
      <c r="F163" t="s">
        <v>4813</v>
      </c>
      <c r="G163">
        <v>3</v>
      </c>
      <c r="H163" t="s">
        <v>1228</v>
      </c>
      <c r="I163" t="s">
        <v>7989</v>
      </c>
      <c r="J163" t="s">
        <v>5289</v>
      </c>
      <c r="K163" t="s">
        <v>4779</v>
      </c>
      <c r="L163" t="s">
        <v>4798</v>
      </c>
    </row>
    <row r="164" spans="2:12">
      <c r="B164">
        <v>158</v>
      </c>
      <c r="C164">
        <v>2</v>
      </c>
      <c r="D164">
        <v>0</v>
      </c>
      <c r="E164">
        <v>603</v>
      </c>
      <c r="F164" t="s">
        <v>4813</v>
      </c>
      <c r="G164">
        <v>3</v>
      </c>
      <c r="H164" t="s">
        <v>1229</v>
      </c>
      <c r="I164" t="s">
        <v>8011</v>
      </c>
      <c r="J164" t="s">
        <v>8012</v>
      </c>
      <c r="K164" t="s">
        <v>4779</v>
      </c>
      <c r="L164" t="s">
        <v>4798</v>
      </c>
    </row>
    <row r="165" spans="2:12">
      <c r="B165">
        <v>159</v>
      </c>
      <c r="C165">
        <v>2</v>
      </c>
      <c r="D165">
        <v>1</v>
      </c>
      <c r="E165">
        <v>607</v>
      </c>
      <c r="F165" t="s">
        <v>4813</v>
      </c>
      <c r="G165">
        <v>3</v>
      </c>
      <c r="H165" t="s">
        <v>1230</v>
      </c>
      <c r="I165" t="s">
        <v>8029</v>
      </c>
      <c r="J165" t="s">
        <v>8030</v>
      </c>
      <c r="K165" t="s">
        <v>4779</v>
      </c>
      <c r="L165" t="s">
        <v>4798</v>
      </c>
    </row>
    <row r="166" spans="2:12">
      <c r="B166">
        <v>160</v>
      </c>
      <c r="C166">
        <v>2</v>
      </c>
      <c r="D166">
        <v>1</v>
      </c>
      <c r="E166">
        <v>611</v>
      </c>
      <c r="F166" t="s">
        <v>4813</v>
      </c>
      <c r="G166">
        <v>3</v>
      </c>
      <c r="H166" t="s">
        <v>1231</v>
      </c>
      <c r="I166" t="s">
        <v>8045</v>
      </c>
      <c r="J166" t="s">
        <v>8046</v>
      </c>
      <c r="K166" t="s">
        <v>4809</v>
      </c>
      <c r="L166" t="s">
        <v>4798</v>
      </c>
    </row>
    <row r="167" spans="2:12">
      <c r="B167">
        <v>161</v>
      </c>
      <c r="C167">
        <v>2</v>
      </c>
      <c r="D167">
        <v>0</v>
      </c>
      <c r="E167">
        <v>614</v>
      </c>
      <c r="F167" t="s">
        <v>4813</v>
      </c>
      <c r="G167">
        <v>3</v>
      </c>
      <c r="H167" t="s">
        <v>1232</v>
      </c>
      <c r="I167" t="s">
        <v>8062</v>
      </c>
      <c r="J167" t="s">
        <v>8063</v>
      </c>
      <c r="K167" t="s">
        <v>4779</v>
      </c>
      <c r="L167" t="s">
        <v>4798</v>
      </c>
    </row>
    <row r="168" spans="2:12">
      <c r="B168">
        <v>162</v>
      </c>
      <c r="C168">
        <v>2</v>
      </c>
      <c r="D168">
        <v>0</v>
      </c>
      <c r="E168">
        <v>618</v>
      </c>
      <c r="F168" t="s">
        <v>4813</v>
      </c>
      <c r="G168">
        <v>3</v>
      </c>
      <c r="H168" t="s">
        <v>1233</v>
      </c>
      <c r="I168" t="s">
        <v>8082</v>
      </c>
      <c r="J168" t="s">
        <v>5779</v>
      </c>
      <c r="K168" t="s">
        <v>4779</v>
      </c>
      <c r="L168" t="s">
        <v>4798</v>
      </c>
    </row>
    <row r="169" spans="2:12">
      <c r="B169">
        <v>163</v>
      </c>
      <c r="C169">
        <v>2</v>
      </c>
      <c r="D169">
        <v>0</v>
      </c>
      <c r="E169">
        <v>622</v>
      </c>
      <c r="F169" t="s">
        <v>4813</v>
      </c>
      <c r="G169">
        <v>3</v>
      </c>
      <c r="H169" t="s">
        <v>1234</v>
      </c>
      <c r="I169" t="s">
        <v>8094</v>
      </c>
      <c r="J169" t="s">
        <v>8095</v>
      </c>
      <c r="K169" t="s">
        <v>4779</v>
      </c>
      <c r="L169" t="s">
        <v>4798</v>
      </c>
    </row>
    <row r="170" spans="2:12">
      <c r="B170">
        <v>164</v>
      </c>
      <c r="C170">
        <v>2</v>
      </c>
      <c r="D170">
        <v>0</v>
      </c>
      <c r="E170">
        <v>626</v>
      </c>
      <c r="F170" t="s">
        <v>4813</v>
      </c>
      <c r="G170">
        <v>3</v>
      </c>
      <c r="H170" t="s">
        <v>1235</v>
      </c>
      <c r="I170" t="s">
        <v>8114</v>
      </c>
      <c r="J170" t="s">
        <v>4671</v>
      </c>
      <c r="K170" t="s">
        <v>4779</v>
      </c>
      <c r="L170" t="s">
        <v>4798</v>
      </c>
    </row>
    <row r="171" spans="2:12">
      <c r="B171">
        <v>165</v>
      </c>
      <c r="C171">
        <v>2</v>
      </c>
      <c r="D171">
        <v>1</v>
      </c>
      <c r="E171">
        <v>630</v>
      </c>
      <c r="F171" t="s">
        <v>4813</v>
      </c>
      <c r="G171">
        <v>3</v>
      </c>
      <c r="H171" t="s">
        <v>1236</v>
      </c>
      <c r="I171" t="s">
        <v>8130</v>
      </c>
      <c r="J171" t="s">
        <v>7655</v>
      </c>
      <c r="K171" t="s">
        <v>4779</v>
      </c>
      <c r="L171" t="s">
        <v>4798</v>
      </c>
    </row>
    <row r="172" spans="2:12">
      <c r="B172">
        <v>166</v>
      </c>
      <c r="C172">
        <v>2</v>
      </c>
      <c r="D172">
        <v>1</v>
      </c>
      <c r="E172">
        <v>634</v>
      </c>
      <c r="F172" t="s">
        <v>4813</v>
      </c>
      <c r="G172">
        <v>3</v>
      </c>
      <c r="H172" t="s">
        <v>1237</v>
      </c>
      <c r="I172" t="s">
        <v>8149</v>
      </c>
      <c r="J172" t="s">
        <v>5700</v>
      </c>
      <c r="K172" t="s">
        <v>4779</v>
      </c>
      <c r="L172" t="s">
        <v>4798</v>
      </c>
    </row>
    <row r="173" spans="2:12">
      <c r="B173">
        <v>167</v>
      </c>
      <c r="C173">
        <v>2</v>
      </c>
      <c r="D173">
        <v>0</v>
      </c>
      <c r="E173">
        <v>637</v>
      </c>
      <c r="F173" t="s">
        <v>4813</v>
      </c>
      <c r="G173">
        <v>3</v>
      </c>
      <c r="H173" t="s">
        <v>1238</v>
      </c>
      <c r="I173" t="s">
        <v>8166</v>
      </c>
      <c r="J173" t="s">
        <v>5229</v>
      </c>
      <c r="K173" t="s">
        <v>4808</v>
      </c>
      <c r="L173" t="s">
        <v>4798</v>
      </c>
    </row>
    <row r="174" spans="2:12">
      <c r="B174">
        <v>168</v>
      </c>
      <c r="C174">
        <v>2</v>
      </c>
      <c r="D174">
        <v>0</v>
      </c>
      <c r="E174">
        <v>641</v>
      </c>
      <c r="F174" t="s">
        <v>4813</v>
      </c>
      <c r="G174">
        <v>3</v>
      </c>
      <c r="H174" t="s">
        <v>1239</v>
      </c>
      <c r="I174" t="s">
        <v>8181</v>
      </c>
      <c r="J174" t="s">
        <v>5051</v>
      </c>
      <c r="K174" t="s">
        <v>4779</v>
      </c>
      <c r="L174" t="s">
        <v>4798</v>
      </c>
    </row>
    <row r="175" spans="2:12">
      <c r="B175">
        <v>169</v>
      </c>
      <c r="C175">
        <v>2</v>
      </c>
      <c r="D175">
        <v>0</v>
      </c>
      <c r="E175">
        <v>645</v>
      </c>
      <c r="F175" t="s">
        <v>4813</v>
      </c>
      <c r="G175">
        <v>3</v>
      </c>
      <c r="H175" t="s">
        <v>1240</v>
      </c>
      <c r="I175" t="s">
        <v>8196</v>
      </c>
      <c r="J175" t="s">
        <v>5798</v>
      </c>
      <c r="K175" t="s">
        <v>4779</v>
      </c>
      <c r="L175" t="s">
        <v>4798</v>
      </c>
    </row>
    <row r="176" spans="2:12">
      <c r="B176">
        <v>170</v>
      </c>
      <c r="C176">
        <v>2</v>
      </c>
      <c r="D176">
        <v>0</v>
      </c>
      <c r="E176">
        <v>649</v>
      </c>
      <c r="F176" t="s">
        <v>4813</v>
      </c>
      <c r="G176">
        <v>3</v>
      </c>
      <c r="H176" t="s">
        <v>1241</v>
      </c>
      <c r="I176" t="s">
        <v>8216</v>
      </c>
      <c r="J176" t="s">
        <v>8217</v>
      </c>
      <c r="K176" t="s">
        <v>4779</v>
      </c>
      <c r="L176" t="s">
        <v>4798</v>
      </c>
    </row>
    <row r="177" spans="2:12">
      <c r="B177">
        <v>171</v>
      </c>
      <c r="C177">
        <v>2</v>
      </c>
      <c r="D177">
        <v>1</v>
      </c>
      <c r="E177">
        <v>653</v>
      </c>
      <c r="F177" t="s">
        <v>4813</v>
      </c>
      <c r="G177">
        <v>3</v>
      </c>
      <c r="H177" t="s">
        <v>1242</v>
      </c>
      <c r="I177" t="s">
        <v>8230</v>
      </c>
      <c r="J177" t="s">
        <v>5104</v>
      </c>
      <c r="K177" t="s">
        <v>4779</v>
      </c>
      <c r="L177" t="s">
        <v>4798</v>
      </c>
    </row>
    <row r="178" spans="2:12">
      <c r="B178">
        <v>172</v>
      </c>
      <c r="C178">
        <v>2</v>
      </c>
      <c r="D178">
        <v>1</v>
      </c>
      <c r="E178">
        <v>657</v>
      </c>
      <c r="F178" t="s">
        <v>4813</v>
      </c>
      <c r="G178">
        <v>3</v>
      </c>
      <c r="H178" t="s">
        <v>1243</v>
      </c>
      <c r="I178" t="s">
        <v>8248</v>
      </c>
      <c r="J178" t="s">
        <v>5363</v>
      </c>
      <c r="K178" t="s">
        <v>4779</v>
      </c>
      <c r="L178" t="s">
        <v>4798</v>
      </c>
    </row>
    <row r="179" spans="2:12">
      <c r="B179">
        <v>173</v>
      </c>
      <c r="C179">
        <v>2</v>
      </c>
      <c r="D179">
        <v>0</v>
      </c>
      <c r="E179">
        <v>660</v>
      </c>
      <c r="F179" t="s">
        <v>4813</v>
      </c>
      <c r="G179">
        <v>3</v>
      </c>
      <c r="H179" t="s">
        <v>1244</v>
      </c>
      <c r="I179" t="s">
        <v>8265</v>
      </c>
      <c r="J179" t="s">
        <v>5456</v>
      </c>
      <c r="K179" t="s">
        <v>4779</v>
      </c>
      <c r="L179" t="s">
        <v>4798</v>
      </c>
    </row>
    <row r="180" spans="2:12">
      <c r="B180">
        <v>174</v>
      </c>
      <c r="C180">
        <v>2</v>
      </c>
      <c r="D180">
        <v>0</v>
      </c>
      <c r="E180">
        <v>664</v>
      </c>
      <c r="F180" t="s">
        <v>4813</v>
      </c>
      <c r="G180">
        <v>3</v>
      </c>
      <c r="H180" t="s">
        <v>1245</v>
      </c>
      <c r="I180" t="s">
        <v>8280</v>
      </c>
      <c r="J180" t="s">
        <v>8281</v>
      </c>
      <c r="K180" t="s">
        <v>4779</v>
      </c>
      <c r="L180" t="s">
        <v>4798</v>
      </c>
    </row>
    <row r="181" spans="2:12">
      <c r="B181">
        <v>175</v>
      </c>
      <c r="C181">
        <v>2</v>
      </c>
      <c r="D181">
        <v>0</v>
      </c>
      <c r="E181">
        <v>668</v>
      </c>
      <c r="F181" t="s">
        <v>4813</v>
      </c>
      <c r="G181">
        <v>3</v>
      </c>
      <c r="H181" t="s">
        <v>1246</v>
      </c>
      <c r="I181" t="s">
        <v>8297</v>
      </c>
      <c r="J181" t="s">
        <v>8298</v>
      </c>
      <c r="K181" t="s">
        <v>4806</v>
      </c>
      <c r="L181" t="s">
        <v>4798</v>
      </c>
    </row>
    <row r="182" spans="2:12">
      <c r="B182">
        <v>176</v>
      </c>
      <c r="C182">
        <v>2</v>
      </c>
      <c r="D182">
        <v>0</v>
      </c>
      <c r="E182">
        <v>672</v>
      </c>
      <c r="F182" t="s">
        <v>4813</v>
      </c>
      <c r="G182">
        <v>3</v>
      </c>
      <c r="H182" t="s">
        <v>1247</v>
      </c>
      <c r="I182" t="s">
        <v>8314</v>
      </c>
      <c r="J182" t="s">
        <v>8315</v>
      </c>
      <c r="K182" t="s">
        <v>4779</v>
      </c>
      <c r="L182" t="s">
        <v>4798</v>
      </c>
    </row>
    <row r="183" spans="2:12">
      <c r="B183">
        <v>177</v>
      </c>
      <c r="C183">
        <v>2</v>
      </c>
      <c r="D183">
        <v>1</v>
      </c>
      <c r="E183">
        <v>676</v>
      </c>
      <c r="F183" t="s">
        <v>4813</v>
      </c>
      <c r="G183">
        <v>3</v>
      </c>
      <c r="H183" t="s">
        <v>1248</v>
      </c>
      <c r="I183" t="s">
        <v>8329</v>
      </c>
      <c r="J183" t="s">
        <v>5600</v>
      </c>
      <c r="K183" t="s">
        <v>4779</v>
      </c>
      <c r="L183" t="s">
        <v>4798</v>
      </c>
    </row>
    <row r="184" spans="2:12">
      <c r="B184">
        <v>178</v>
      </c>
      <c r="C184">
        <v>2</v>
      </c>
      <c r="D184">
        <v>1</v>
      </c>
      <c r="E184">
        <v>680</v>
      </c>
      <c r="F184" t="s">
        <v>4813</v>
      </c>
      <c r="G184">
        <v>3</v>
      </c>
      <c r="H184" t="s">
        <v>1249</v>
      </c>
      <c r="I184" t="s">
        <v>8346</v>
      </c>
      <c r="J184" t="s">
        <v>5801</v>
      </c>
      <c r="K184" t="s">
        <v>4779</v>
      </c>
      <c r="L184" t="s">
        <v>4798</v>
      </c>
    </row>
    <row r="185" spans="2:12">
      <c r="B185">
        <v>179</v>
      </c>
      <c r="C185">
        <v>2</v>
      </c>
      <c r="D185">
        <v>0</v>
      </c>
      <c r="E185">
        <v>683</v>
      </c>
      <c r="F185" t="s">
        <v>4813</v>
      </c>
      <c r="G185">
        <v>3</v>
      </c>
      <c r="H185" t="s">
        <v>1250</v>
      </c>
      <c r="I185" t="s">
        <v>8360</v>
      </c>
      <c r="J185" t="s">
        <v>5704</v>
      </c>
      <c r="K185" t="s">
        <v>4779</v>
      </c>
      <c r="L185" t="s">
        <v>4798</v>
      </c>
    </row>
    <row r="186" spans="2:12">
      <c r="B186">
        <v>180</v>
      </c>
      <c r="C186">
        <v>2</v>
      </c>
      <c r="D186">
        <v>0</v>
      </c>
      <c r="E186">
        <v>687</v>
      </c>
      <c r="F186" t="s">
        <v>4813</v>
      </c>
      <c r="G186">
        <v>3</v>
      </c>
      <c r="H186" t="s">
        <v>1251</v>
      </c>
      <c r="I186" t="s">
        <v>8375</v>
      </c>
      <c r="J186" t="s">
        <v>8376</v>
      </c>
      <c r="K186" t="s">
        <v>4779</v>
      </c>
      <c r="L186" t="s">
        <v>4798</v>
      </c>
    </row>
    <row r="187" spans="2:12">
      <c r="B187">
        <v>181</v>
      </c>
      <c r="C187">
        <v>2</v>
      </c>
      <c r="D187">
        <v>0</v>
      </c>
      <c r="E187">
        <v>691</v>
      </c>
      <c r="F187" t="s">
        <v>4813</v>
      </c>
      <c r="G187">
        <v>3</v>
      </c>
      <c r="H187" t="s">
        <v>1252</v>
      </c>
      <c r="I187" t="s">
        <v>8391</v>
      </c>
      <c r="J187" t="s">
        <v>5341</v>
      </c>
      <c r="K187" t="s">
        <v>4779</v>
      </c>
      <c r="L187" t="s">
        <v>4798</v>
      </c>
    </row>
    <row r="188" spans="2:12">
      <c r="B188">
        <v>182</v>
      </c>
      <c r="C188">
        <v>2</v>
      </c>
      <c r="D188">
        <v>0</v>
      </c>
      <c r="E188">
        <v>695</v>
      </c>
      <c r="F188" t="s">
        <v>4813</v>
      </c>
      <c r="G188">
        <v>3</v>
      </c>
      <c r="H188" t="s">
        <v>1253</v>
      </c>
      <c r="I188" t="s">
        <v>8408</v>
      </c>
      <c r="J188" t="s">
        <v>8409</v>
      </c>
      <c r="K188" t="s">
        <v>4808</v>
      </c>
      <c r="L188" t="s">
        <v>4798</v>
      </c>
    </row>
    <row r="189" spans="2:12">
      <c r="B189">
        <v>183</v>
      </c>
      <c r="C189">
        <v>2</v>
      </c>
      <c r="D189">
        <v>1</v>
      </c>
      <c r="E189">
        <v>699</v>
      </c>
      <c r="F189" t="s">
        <v>4813</v>
      </c>
      <c r="G189">
        <v>3</v>
      </c>
      <c r="H189" t="s">
        <v>1254</v>
      </c>
      <c r="I189" t="s">
        <v>8424</v>
      </c>
      <c r="J189" t="s">
        <v>8425</v>
      </c>
      <c r="K189" t="s">
        <v>4779</v>
      </c>
      <c r="L189" t="s">
        <v>4798</v>
      </c>
    </row>
    <row r="190" spans="2:12">
      <c r="B190">
        <v>184</v>
      </c>
      <c r="C190">
        <v>2</v>
      </c>
      <c r="D190">
        <v>1</v>
      </c>
      <c r="E190">
        <v>703</v>
      </c>
      <c r="F190" t="s">
        <v>4813</v>
      </c>
      <c r="G190">
        <v>3</v>
      </c>
      <c r="H190" t="s">
        <v>1255</v>
      </c>
      <c r="I190" t="s">
        <v>8439</v>
      </c>
      <c r="J190" t="s">
        <v>8440</v>
      </c>
      <c r="K190" t="s">
        <v>4779</v>
      </c>
      <c r="L190" t="s">
        <v>4798</v>
      </c>
    </row>
    <row r="191" spans="2:12">
      <c r="B191">
        <v>185</v>
      </c>
      <c r="C191">
        <v>2</v>
      </c>
      <c r="D191">
        <v>0</v>
      </c>
      <c r="E191">
        <v>706</v>
      </c>
      <c r="F191" t="s">
        <v>4813</v>
      </c>
      <c r="G191">
        <v>3</v>
      </c>
      <c r="H191" t="s">
        <v>1256</v>
      </c>
      <c r="I191" t="s">
        <v>8455</v>
      </c>
      <c r="J191" t="s">
        <v>4946</v>
      </c>
      <c r="K191" t="s">
        <v>4779</v>
      </c>
      <c r="L191" t="s">
        <v>4798</v>
      </c>
    </row>
    <row r="192" spans="2:12">
      <c r="B192">
        <v>186</v>
      </c>
      <c r="C192">
        <v>2</v>
      </c>
      <c r="D192">
        <v>0</v>
      </c>
      <c r="E192">
        <v>710</v>
      </c>
      <c r="F192" t="s">
        <v>4813</v>
      </c>
      <c r="G192">
        <v>3</v>
      </c>
      <c r="H192" t="s">
        <v>1257</v>
      </c>
      <c r="I192" t="s">
        <v>8473</v>
      </c>
      <c r="J192" t="s">
        <v>5339</v>
      </c>
      <c r="K192" t="s">
        <v>4779</v>
      </c>
      <c r="L192" t="s">
        <v>4798</v>
      </c>
    </row>
    <row r="193" spans="2:12">
      <c r="B193">
        <v>187</v>
      </c>
      <c r="C193">
        <v>2</v>
      </c>
      <c r="D193">
        <v>0</v>
      </c>
      <c r="E193">
        <v>714</v>
      </c>
      <c r="F193" t="s">
        <v>4813</v>
      </c>
      <c r="G193">
        <v>3</v>
      </c>
      <c r="H193" t="s">
        <v>1258</v>
      </c>
      <c r="I193" t="s">
        <v>8486</v>
      </c>
      <c r="J193" t="s">
        <v>7964</v>
      </c>
      <c r="K193" t="s">
        <v>4779</v>
      </c>
      <c r="L193" t="s">
        <v>4798</v>
      </c>
    </row>
    <row r="194" spans="2:12">
      <c r="B194">
        <v>188</v>
      </c>
      <c r="C194">
        <v>2</v>
      </c>
      <c r="D194">
        <v>0</v>
      </c>
      <c r="E194">
        <v>718</v>
      </c>
      <c r="F194" t="s">
        <v>4813</v>
      </c>
      <c r="G194">
        <v>3</v>
      </c>
      <c r="H194" t="s">
        <v>1259</v>
      </c>
      <c r="I194" t="s">
        <v>8500</v>
      </c>
      <c r="J194" t="s">
        <v>5343</v>
      </c>
      <c r="K194" t="s">
        <v>4779</v>
      </c>
      <c r="L194" t="s">
        <v>4798</v>
      </c>
    </row>
    <row r="195" spans="2:12">
      <c r="B195">
        <v>189</v>
      </c>
      <c r="C195">
        <v>2</v>
      </c>
      <c r="D195">
        <v>1</v>
      </c>
      <c r="E195">
        <v>722</v>
      </c>
      <c r="F195" t="s">
        <v>4813</v>
      </c>
      <c r="G195">
        <v>3</v>
      </c>
      <c r="H195" t="s">
        <v>1260</v>
      </c>
      <c r="I195" t="s">
        <v>8516</v>
      </c>
      <c r="J195" t="s">
        <v>8517</v>
      </c>
      <c r="K195" t="s">
        <v>4807</v>
      </c>
      <c r="L195" t="s">
        <v>4798</v>
      </c>
    </row>
    <row r="196" spans="2:12">
      <c r="B196">
        <v>190</v>
      </c>
      <c r="C196">
        <v>2</v>
      </c>
      <c r="D196">
        <v>1</v>
      </c>
      <c r="E196">
        <v>726</v>
      </c>
      <c r="F196" t="s">
        <v>4813</v>
      </c>
      <c r="G196">
        <v>3</v>
      </c>
      <c r="H196" t="s">
        <v>1261</v>
      </c>
      <c r="I196" t="s">
        <v>8531</v>
      </c>
      <c r="J196" t="s">
        <v>5117</v>
      </c>
      <c r="K196" t="s">
        <v>4779</v>
      </c>
      <c r="L196" t="s">
        <v>4798</v>
      </c>
    </row>
    <row r="197" spans="2:12">
      <c r="B197">
        <v>191</v>
      </c>
      <c r="C197">
        <v>2</v>
      </c>
      <c r="D197">
        <v>0</v>
      </c>
      <c r="E197">
        <v>729</v>
      </c>
      <c r="F197" t="s">
        <v>4813</v>
      </c>
      <c r="G197">
        <v>3</v>
      </c>
      <c r="H197" t="s">
        <v>1262</v>
      </c>
      <c r="I197" t="s">
        <v>8545</v>
      </c>
      <c r="J197" t="s">
        <v>5505</v>
      </c>
      <c r="K197" t="s">
        <v>4779</v>
      </c>
      <c r="L197" t="s">
        <v>4798</v>
      </c>
    </row>
    <row r="198" spans="2:12">
      <c r="B198">
        <v>192</v>
      </c>
      <c r="C198">
        <v>2</v>
      </c>
      <c r="D198">
        <v>0</v>
      </c>
      <c r="E198">
        <v>733</v>
      </c>
      <c r="F198" t="s">
        <v>4813</v>
      </c>
      <c r="G198">
        <v>3</v>
      </c>
      <c r="H198" t="s">
        <v>1263</v>
      </c>
      <c r="I198" t="s">
        <v>8564</v>
      </c>
      <c r="J198" t="s">
        <v>8565</v>
      </c>
      <c r="K198" t="s">
        <v>4779</v>
      </c>
      <c r="L198" t="s">
        <v>4798</v>
      </c>
    </row>
    <row r="199" spans="2:12">
      <c r="B199">
        <v>193</v>
      </c>
      <c r="C199">
        <v>2</v>
      </c>
      <c r="D199">
        <v>0</v>
      </c>
      <c r="E199">
        <v>737</v>
      </c>
      <c r="F199" t="s">
        <v>4813</v>
      </c>
      <c r="G199">
        <v>3</v>
      </c>
      <c r="H199" t="s">
        <v>1264</v>
      </c>
      <c r="I199" t="s">
        <v>8584</v>
      </c>
      <c r="J199" t="s">
        <v>8585</v>
      </c>
      <c r="K199" t="s">
        <v>4779</v>
      </c>
      <c r="L199" t="s">
        <v>4798</v>
      </c>
    </row>
    <row r="200" spans="2:12">
      <c r="B200">
        <v>194</v>
      </c>
      <c r="C200">
        <v>2</v>
      </c>
      <c r="D200">
        <v>0</v>
      </c>
      <c r="E200">
        <v>741</v>
      </c>
      <c r="F200" t="s">
        <v>4813</v>
      </c>
      <c r="G200">
        <v>3</v>
      </c>
      <c r="H200" t="s">
        <v>1265</v>
      </c>
      <c r="I200" t="s">
        <v>8606</v>
      </c>
      <c r="J200" t="s">
        <v>8607</v>
      </c>
      <c r="K200" t="s">
        <v>4779</v>
      </c>
      <c r="L200" t="s">
        <v>4798</v>
      </c>
    </row>
    <row r="201" spans="2:12">
      <c r="B201">
        <v>195</v>
      </c>
      <c r="C201">
        <v>2</v>
      </c>
      <c r="D201">
        <v>1</v>
      </c>
      <c r="E201">
        <v>745</v>
      </c>
      <c r="F201" t="s">
        <v>4813</v>
      </c>
      <c r="G201">
        <v>3</v>
      </c>
      <c r="H201" t="s">
        <v>1266</v>
      </c>
      <c r="I201" t="s">
        <v>8626</v>
      </c>
      <c r="J201" t="s">
        <v>5747</v>
      </c>
      <c r="K201" t="s">
        <v>4807</v>
      </c>
      <c r="L201" t="s">
        <v>4798</v>
      </c>
    </row>
    <row r="202" spans="2:12">
      <c r="B202">
        <v>196</v>
      </c>
      <c r="C202">
        <v>2</v>
      </c>
      <c r="D202">
        <v>1</v>
      </c>
      <c r="E202">
        <v>749</v>
      </c>
      <c r="F202" t="s">
        <v>4813</v>
      </c>
      <c r="G202">
        <v>3</v>
      </c>
      <c r="H202" t="s">
        <v>1267</v>
      </c>
      <c r="I202" t="s">
        <v>8646</v>
      </c>
      <c r="J202" t="s">
        <v>5902</v>
      </c>
      <c r="K202" t="s">
        <v>4779</v>
      </c>
      <c r="L202" t="s">
        <v>4798</v>
      </c>
    </row>
    <row r="203" spans="2:12">
      <c r="B203">
        <v>197</v>
      </c>
      <c r="C203">
        <v>2</v>
      </c>
      <c r="D203">
        <v>0</v>
      </c>
      <c r="E203">
        <v>752</v>
      </c>
      <c r="F203" t="s">
        <v>4813</v>
      </c>
      <c r="G203">
        <v>3</v>
      </c>
      <c r="H203" t="s">
        <v>1268</v>
      </c>
      <c r="I203" t="s">
        <v>8664</v>
      </c>
      <c r="J203" t="s">
        <v>8665</v>
      </c>
      <c r="K203" t="s">
        <v>4808</v>
      </c>
      <c r="L203" t="s">
        <v>4798</v>
      </c>
    </row>
    <row r="204" spans="2:12">
      <c r="B204">
        <v>198</v>
      </c>
      <c r="C204">
        <v>2</v>
      </c>
      <c r="D204">
        <v>0</v>
      </c>
      <c r="E204">
        <v>756</v>
      </c>
      <c r="F204" t="s">
        <v>4813</v>
      </c>
      <c r="G204">
        <v>3</v>
      </c>
      <c r="H204" t="s">
        <v>1269</v>
      </c>
      <c r="I204" t="s">
        <v>8687</v>
      </c>
      <c r="J204" t="s">
        <v>8688</v>
      </c>
      <c r="K204" t="s">
        <v>4779</v>
      </c>
      <c r="L204" t="s">
        <v>4798</v>
      </c>
    </row>
    <row r="205" spans="2:12">
      <c r="B205">
        <v>199</v>
      </c>
      <c r="C205">
        <v>2</v>
      </c>
      <c r="D205">
        <v>0</v>
      </c>
      <c r="E205">
        <v>760</v>
      </c>
      <c r="F205" t="s">
        <v>4813</v>
      </c>
      <c r="G205">
        <v>3</v>
      </c>
      <c r="H205" t="s">
        <v>1270</v>
      </c>
      <c r="I205" t="s">
        <v>8706</v>
      </c>
      <c r="J205" t="s">
        <v>8707</v>
      </c>
      <c r="K205" t="s">
        <v>4779</v>
      </c>
      <c r="L205" t="s">
        <v>4798</v>
      </c>
    </row>
    <row r="206" spans="2:12">
      <c r="B206">
        <v>200</v>
      </c>
      <c r="C206">
        <v>2</v>
      </c>
      <c r="D206">
        <v>0</v>
      </c>
      <c r="E206">
        <v>764</v>
      </c>
      <c r="F206" t="s">
        <v>4813</v>
      </c>
      <c r="G206">
        <v>3</v>
      </c>
      <c r="H206" t="s">
        <v>1271</v>
      </c>
      <c r="I206" t="s">
        <v>8727</v>
      </c>
      <c r="J206" t="s">
        <v>8728</v>
      </c>
      <c r="K206" t="s">
        <v>4779</v>
      </c>
      <c r="L206" t="s">
        <v>4798</v>
      </c>
    </row>
    <row r="207" spans="2:12">
      <c r="B207">
        <v>201</v>
      </c>
      <c r="C207">
        <v>2</v>
      </c>
      <c r="D207">
        <v>1</v>
      </c>
      <c r="E207">
        <v>768</v>
      </c>
      <c r="F207" t="s">
        <v>4813</v>
      </c>
      <c r="G207">
        <v>3</v>
      </c>
      <c r="H207" t="s">
        <v>1272</v>
      </c>
      <c r="I207" t="s">
        <v>8748</v>
      </c>
      <c r="J207" t="s">
        <v>4724</v>
      </c>
      <c r="K207" t="s">
        <v>4779</v>
      </c>
      <c r="L207" t="s">
        <v>4798</v>
      </c>
    </row>
    <row r="208" spans="2:12">
      <c r="B208">
        <v>202</v>
      </c>
      <c r="C208">
        <v>2</v>
      </c>
      <c r="D208">
        <v>1</v>
      </c>
      <c r="E208">
        <v>772</v>
      </c>
      <c r="F208" t="s">
        <v>4813</v>
      </c>
      <c r="G208">
        <v>3</v>
      </c>
      <c r="H208" t="s">
        <v>1273</v>
      </c>
      <c r="I208" t="s">
        <v>8768</v>
      </c>
      <c r="J208" t="s">
        <v>8769</v>
      </c>
      <c r="K208" t="s">
        <v>4779</v>
      </c>
      <c r="L208" t="s">
        <v>4798</v>
      </c>
    </row>
    <row r="209" spans="2:12">
      <c r="B209">
        <v>203</v>
      </c>
      <c r="C209">
        <v>2</v>
      </c>
      <c r="D209">
        <v>0</v>
      </c>
      <c r="E209">
        <v>775</v>
      </c>
      <c r="F209" t="s">
        <v>4813</v>
      </c>
      <c r="G209">
        <v>3</v>
      </c>
      <c r="H209" t="s">
        <v>1274</v>
      </c>
      <c r="I209" t="s">
        <v>8790</v>
      </c>
      <c r="J209" t="s">
        <v>4878</v>
      </c>
      <c r="K209" t="s">
        <v>4779</v>
      </c>
      <c r="L209" t="s">
        <v>4798</v>
      </c>
    </row>
    <row r="210" spans="2:12">
      <c r="B210">
        <v>204</v>
      </c>
      <c r="C210">
        <v>2</v>
      </c>
      <c r="D210">
        <v>0</v>
      </c>
      <c r="E210">
        <v>779</v>
      </c>
      <c r="F210" t="s">
        <v>4813</v>
      </c>
      <c r="G210">
        <v>3</v>
      </c>
      <c r="H210" t="s">
        <v>1275</v>
      </c>
      <c r="I210" t="s">
        <v>8812</v>
      </c>
      <c r="J210" t="s">
        <v>5930</v>
      </c>
      <c r="K210" t="s">
        <v>4779</v>
      </c>
      <c r="L210" t="s">
        <v>4798</v>
      </c>
    </row>
    <row r="211" spans="2:12">
      <c r="B211">
        <v>205</v>
      </c>
      <c r="C211">
        <v>2</v>
      </c>
      <c r="D211">
        <v>0</v>
      </c>
      <c r="E211">
        <v>783</v>
      </c>
      <c r="F211" t="s">
        <v>4813</v>
      </c>
      <c r="G211">
        <v>3</v>
      </c>
      <c r="H211" t="s">
        <v>1276</v>
      </c>
      <c r="I211" t="s">
        <v>8831</v>
      </c>
      <c r="J211" t="s">
        <v>5871</v>
      </c>
      <c r="K211" t="s">
        <v>4779</v>
      </c>
      <c r="L211" t="s">
        <v>4798</v>
      </c>
    </row>
    <row r="212" spans="2:12">
      <c r="B212">
        <v>206</v>
      </c>
      <c r="C212">
        <v>2</v>
      </c>
      <c r="D212">
        <v>0</v>
      </c>
      <c r="E212">
        <v>787</v>
      </c>
      <c r="F212" t="s">
        <v>4813</v>
      </c>
      <c r="G212">
        <v>3</v>
      </c>
      <c r="H212" t="s">
        <v>1277</v>
      </c>
      <c r="I212" t="s">
        <v>8851</v>
      </c>
      <c r="J212" t="s">
        <v>8852</v>
      </c>
      <c r="K212" t="s">
        <v>4779</v>
      </c>
      <c r="L212" t="s">
        <v>4798</v>
      </c>
    </row>
    <row r="213" spans="2:12">
      <c r="B213">
        <v>207</v>
      </c>
      <c r="C213">
        <v>2</v>
      </c>
      <c r="D213">
        <v>1</v>
      </c>
      <c r="E213">
        <v>791</v>
      </c>
      <c r="F213" t="s">
        <v>4813</v>
      </c>
      <c r="G213">
        <v>3</v>
      </c>
      <c r="H213" t="s">
        <v>1278</v>
      </c>
      <c r="I213" t="s">
        <v>8872</v>
      </c>
      <c r="J213" t="s">
        <v>8873</v>
      </c>
      <c r="K213" t="s">
        <v>4779</v>
      </c>
      <c r="L213" t="s">
        <v>4798</v>
      </c>
    </row>
    <row r="214" spans="2:12">
      <c r="B214">
        <v>208</v>
      </c>
      <c r="C214">
        <v>2</v>
      </c>
      <c r="D214">
        <v>1</v>
      </c>
      <c r="E214">
        <v>795</v>
      </c>
      <c r="F214" t="s">
        <v>4813</v>
      </c>
      <c r="G214">
        <v>3</v>
      </c>
      <c r="H214" t="s">
        <v>1279</v>
      </c>
      <c r="I214" t="s">
        <v>8895</v>
      </c>
      <c r="J214" t="s">
        <v>8896</v>
      </c>
      <c r="K214" t="s">
        <v>4809</v>
      </c>
      <c r="L214" t="s">
        <v>4798</v>
      </c>
    </row>
    <row r="215" spans="2:12">
      <c r="B215">
        <v>209</v>
      </c>
      <c r="C215">
        <v>2</v>
      </c>
      <c r="D215">
        <v>0</v>
      </c>
      <c r="E215">
        <v>798</v>
      </c>
      <c r="F215" t="s">
        <v>4813</v>
      </c>
      <c r="G215">
        <v>3</v>
      </c>
      <c r="H215" t="s">
        <v>1280</v>
      </c>
      <c r="I215" t="s">
        <v>8917</v>
      </c>
      <c r="J215" t="s">
        <v>8918</v>
      </c>
      <c r="K215" t="s">
        <v>4779</v>
      </c>
      <c r="L215" t="s">
        <v>4798</v>
      </c>
    </row>
    <row r="216" spans="2:12">
      <c r="B216">
        <v>210</v>
      </c>
      <c r="C216">
        <v>2</v>
      </c>
      <c r="D216">
        <v>0</v>
      </c>
      <c r="E216">
        <v>802</v>
      </c>
      <c r="F216" t="s">
        <v>4813</v>
      </c>
      <c r="G216">
        <v>3</v>
      </c>
      <c r="H216" t="s">
        <v>1281</v>
      </c>
      <c r="I216" t="s">
        <v>8938</v>
      </c>
      <c r="J216" t="s">
        <v>8939</v>
      </c>
      <c r="K216" t="s">
        <v>4779</v>
      </c>
      <c r="L216" t="s">
        <v>4798</v>
      </c>
    </row>
    <row r="217" spans="2:12">
      <c r="B217">
        <v>211</v>
      </c>
      <c r="C217">
        <v>2</v>
      </c>
      <c r="D217">
        <v>0</v>
      </c>
      <c r="E217">
        <v>806</v>
      </c>
      <c r="F217" t="s">
        <v>4813</v>
      </c>
      <c r="G217">
        <v>3</v>
      </c>
      <c r="H217" t="s">
        <v>1282</v>
      </c>
      <c r="I217" t="s">
        <v>8960</v>
      </c>
      <c r="J217" t="s">
        <v>5285</v>
      </c>
      <c r="K217" t="s">
        <v>4779</v>
      </c>
      <c r="L217" t="s">
        <v>4798</v>
      </c>
    </row>
    <row r="218" spans="2:12">
      <c r="B218">
        <v>212</v>
      </c>
      <c r="C218">
        <v>2</v>
      </c>
      <c r="D218">
        <v>0</v>
      </c>
      <c r="E218">
        <v>810</v>
      </c>
      <c r="F218" t="s">
        <v>4813</v>
      </c>
      <c r="G218">
        <v>3</v>
      </c>
      <c r="H218" t="s">
        <v>1283</v>
      </c>
      <c r="I218" t="s">
        <v>8981</v>
      </c>
      <c r="J218" t="s">
        <v>8982</v>
      </c>
      <c r="K218" t="s">
        <v>4779</v>
      </c>
      <c r="L218" t="s">
        <v>4798</v>
      </c>
    </row>
    <row r="219" spans="2:12">
      <c r="B219">
        <v>213</v>
      </c>
      <c r="C219">
        <v>2</v>
      </c>
      <c r="D219">
        <v>1</v>
      </c>
      <c r="E219">
        <v>814</v>
      </c>
      <c r="F219" t="s">
        <v>4813</v>
      </c>
      <c r="G219">
        <v>3</v>
      </c>
      <c r="H219" t="s">
        <v>1284</v>
      </c>
      <c r="I219" t="s">
        <v>9001</v>
      </c>
      <c r="J219" t="s">
        <v>9002</v>
      </c>
      <c r="K219" t="s">
        <v>4779</v>
      </c>
      <c r="L219" t="s">
        <v>4798</v>
      </c>
    </row>
    <row r="220" spans="2:12">
      <c r="B220">
        <v>214</v>
      </c>
      <c r="C220">
        <v>2</v>
      </c>
      <c r="D220">
        <v>1</v>
      </c>
      <c r="E220">
        <v>818</v>
      </c>
      <c r="F220" t="s">
        <v>4813</v>
      </c>
      <c r="G220">
        <v>3</v>
      </c>
      <c r="H220" t="s">
        <v>1285</v>
      </c>
      <c r="I220" t="s">
        <v>9024</v>
      </c>
      <c r="J220" t="s">
        <v>9025</v>
      </c>
      <c r="K220" t="s">
        <v>4779</v>
      </c>
      <c r="L220" t="s">
        <v>4798</v>
      </c>
    </row>
    <row r="221" spans="2:12">
      <c r="B221">
        <v>215</v>
      </c>
      <c r="C221">
        <v>2</v>
      </c>
      <c r="D221">
        <v>0</v>
      </c>
      <c r="E221">
        <v>821</v>
      </c>
      <c r="F221" t="s">
        <v>4813</v>
      </c>
      <c r="G221">
        <v>3</v>
      </c>
      <c r="H221" t="s">
        <v>1286</v>
      </c>
      <c r="I221" t="s">
        <v>9044</v>
      </c>
      <c r="J221" t="s">
        <v>9045</v>
      </c>
      <c r="K221" t="s">
        <v>4779</v>
      </c>
      <c r="L221" t="s">
        <v>4798</v>
      </c>
    </row>
    <row r="222" spans="2:12">
      <c r="B222">
        <v>216</v>
      </c>
      <c r="C222">
        <v>2</v>
      </c>
      <c r="D222">
        <v>0</v>
      </c>
      <c r="E222">
        <v>825</v>
      </c>
      <c r="F222" t="s">
        <v>4813</v>
      </c>
      <c r="G222">
        <v>3</v>
      </c>
      <c r="H222" t="s">
        <v>1287</v>
      </c>
      <c r="I222" t="s">
        <v>9067</v>
      </c>
      <c r="J222" t="s">
        <v>9068</v>
      </c>
      <c r="K222" t="s">
        <v>4779</v>
      </c>
      <c r="L222" t="s">
        <v>4798</v>
      </c>
    </row>
    <row r="223" spans="2:12">
      <c r="B223">
        <v>217</v>
      </c>
      <c r="C223">
        <v>2</v>
      </c>
      <c r="D223">
        <v>0</v>
      </c>
      <c r="E223">
        <v>829</v>
      </c>
      <c r="F223" t="s">
        <v>4813</v>
      </c>
      <c r="G223">
        <v>3</v>
      </c>
      <c r="H223" t="s">
        <v>1288</v>
      </c>
      <c r="I223" t="s">
        <v>9086</v>
      </c>
      <c r="J223" t="s">
        <v>9087</v>
      </c>
      <c r="K223" t="s">
        <v>4779</v>
      </c>
      <c r="L223" t="s">
        <v>4798</v>
      </c>
    </row>
    <row r="224" spans="2:12">
      <c r="B224">
        <v>218</v>
      </c>
      <c r="C224">
        <v>2</v>
      </c>
      <c r="D224">
        <v>0</v>
      </c>
      <c r="E224">
        <v>833</v>
      </c>
      <c r="F224" t="s">
        <v>4813</v>
      </c>
      <c r="G224">
        <v>3</v>
      </c>
      <c r="H224" t="s">
        <v>1289</v>
      </c>
      <c r="I224" t="s">
        <v>9106</v>
      </c>
      <c r="J224" t="s">
        <v>9107</v>
      </c>
      <c r="K224" t="s">
        <v>4779</v>
      </c>
      <c r="L224" t="s">
        <v>4798</v>
      </c>
    </row>
    <row r="225" spans="2:12">
      <c r="B225">
        <v>219</v>
      </c>
      <c r="C225">
        <v>2</v>
      </c>
      <c r="D225">
        <v>1</v>
      </c>
      <c r="E225">
        <v>837</v>
      </c>
      <c r="F225" t="s">
        <v>4813</v>
      </c>
      <c r="G225">
        <v>3</v>
      </c>
      <c r="H225" t="s">
        <v>1290</v>
      </c>
      <c r="I225" t="s">
        <v>9127</v>
      </c>
      <c r="J225" t="s">
        <v>9128</v>
      </c>
      <c r="K225" t="s">
        <v>4779</v>
      </c>
      <c r="L225" t="s">
        <v>4798</v>
      </c>
    </row>
    <row r="226" spans="2:12">
      <c r="B226">
        <v>220</v>
      </c>
      <c r="C226">
        <v>2</v>
      </c>
      <c r="D226">
        <v>1</v>
      </c>
      <c r="E226">
        <v>841</v>
      </c>
      <c r="F226" t="s">
        <v>4813</v>
      </c>
      <c r="G226">
        <v>3</v>
      </c>
      <c r="H226" t="s">
        <v>1291</v>
      </c>
      <c r="I226" t="s">
        <v>9149</v>
      </c>
      <c r="J226" t="s">
        <v>9150</v>
      </c>
      <c r="K226" t="s">
        <v>4779</v>
      </c>
      <c r="L226" t="s">
        <v>4798</v>
      </c>
    </row>
    <row r="227" spans="2:12">
      <c r="B227">
        <v>221</v>
      </c>
      <c r="C227">
        <v>2</v>
      </c>
      <c r="D227">
        <v>0</v>
      </c>
      <c r="E227">
        <v>844</v>
      </c>
      <c r="F227" t="s">
        <v>4813</v>
      </c>
      <c r="G227">
        <v>3</v>
      </c>
      <c r="H227" t="s">
        <v>1292</v>
      </c>
      <c r="I227" t="s">
        <v>9167</v>
      </c>
      <c r="J227" t="s">
        <v>4920</v>
      </c>
      <c r="K227" t="s">
        <v>4779</v>
      </c>
      <c r="L227" t="s">
        <v>4798</v>
      </c>
    </row>
    <row r="228" spans="2:12">
      <c r="B228">
        <v>222</v>
      </c>
      <c r="C228">
        <v>2</v>
      </c>
      <c r="D228">
        <v>0</v>
      </c>
      <c r="E228">
        <v>848</v>
      </c>
      <c r="F228" t="s">
        <v>4813</v>
      </c>
      <c r="G228">
        <v>3</v>
      </c>
      <c r="H228" t="s">
        <v>1293</v>
      </c>
      <c r="I228" t="s">
        <v>9188</v>
      </c>
      <c r="J228" t="s">
        <v>9189</v>
      </c>
      <c r="K228" t="s">
        <v>4779</v>
      </c>
      <c r="L228" t="s">
        <v>4798</v>
      </c>
    </row>
    <row r="229" spans="2:12">
      <c r="B229">
        <v>223</v>
      </c>
      <c r="C229">
        <v>2</v>
      </c>
      <c r="D229">
        <v>0</v>
      </c>
      <c r="E229">
        <v>852</v>
      </c>
      <c r="F229" t="s">
        <v>4813</v>
      </c>
      <c r="G229">
        <v>3</v>
      </c>
      <c r="H229" t="s">
        <v>1294</v>
      </c>
      <c r="I229" t="s">
        <v>9209</v>
      </c>
      <c r="J229" t="s">
        <v>9210</v>
      </c>
      <c r="K229" t="s">
        <v>4779</v>
      </c>
      <c r="L229" t="s">
        <v>4798</v>
      </c>
    </row>
    <row r="230" spans="2:12">
      <c r="B230">
        <v>224</v>
      </c>
      <c r="C230">
        <v>2</v>
      </c>
      <c r="D230">
        <v>0</v>
      </c>
      <c r="E230">
        <v>856</v>
      </c>
      <c r="F230" t="s">
        <v>4813</v>
      </c>
      <c r="G230">
        <v>3</v>
      </c>
      <c r="H230" t="s">
        <v>1295</v>
      </c>
      <c r="I230" t="s">
        <v>9233</v>
      </c>
      <c r="J230" t="s">
        <v>9234</v>
      </c>
      <c r="K230" t="s">
        <v>4779</v>
      </c>
      <c r="L230" t="s">
        <v>4798</v>
      </c>
    </row>
    <row r="231" spans="2:12">
      <c r="B231">
        <v>225</v>
      </c>
      <c r="C231">
        <v>2</v>
      </c>
      <c r="D231">
        <v>1</v>
      </c>
      <c r="E231">
        <v>860</v>
      </c>
      <c r="F231" t="s">
        <v>4813</v>
      </c>
      <c r="G231">
        <v>3</v>
      </c>
      <c r="H231" t="s">
        <v>1296</v>
      </c>
      <c r="I231" t="s">
        <v>9253</v>
      </c>
      <c r="J231" t="s">
        <v>9254</v>
      </c>
      <c r="K231" t="s">
        <v>4806</v>
      </c>
      <c r="L231" t="s">
        <v>4798</v>
      </c>
    </row>
    <row r="232" spans="2:12">
      <c r="B232">
        <v>226</v>
      </c>
      <c r="C232">
        <v>2</v>
      </c>
      <c r="D232">
        <v>1</v>
      </c>
      <c r="E232">
        <v>864</v>
      </c>
      <c r="F232" t="s">
        <v>4813</v>
      </c>
      <c r="G232">
        <v>3</v>
      </c>
      <c r="H232" t="s">
        <v>1297</v>
      </c>
      <c r="I232" t="s">
        <v>9272</v>
      </c>
      <c r="J232" t="s">
        <v>9273</v>
      </c>
      <c r="K232" t="s">
        <v>4779</v>
      </c>
      <c r="L232" t="s">
        <v>4798</v>
      </c>
    </row>
    <row r="233" spans="2:12">
      <c r="B233">
        <v>227</v>
      </c>
      <c r="C233">
        <v>2</v>
      </c>
      <c r="D233">
        <v>0</v>
      </c>
      <c r="E233">
        <v>867</v>
      </c>
      <c r="F233" t="s">
        <v>4813</v>
      </c>
      <c r="G233">
        <v>3</v>
      </c>
      <c r="H233" t="s">
        <v>1298</v>
      </c>
      <c r="I233" t="s">
        <v>9292</v>
      </c>
      <c r="J233" t="s">
        <v>9293</v>
      </c>
      <c r="K233" t="s">
        <v>4779</v>
      </c>
      <c r="L233" t="s">
        <v>4798</v>
      </c>
    </row>
    <row r="234" spans="2:12">
      <c r="B234">
        <v>228</v>
      </c>
      <c r="C234">
        <v>2</v>
      </c>
      <c r="D234">
        <v>0</v>
      </c>
      <c r="E234">
        <v>871</v>
      </c>
      <c r="F234" t="s">
        <v>4813</v>
      </c>
      <c r="G234">
        <v>3</v>
      </c>
      <c r="H234" t="s">
        <v>1299</v>
      </c>
      <c r="I234" t="s">
        <v>9315</v>
      </c>
      <c r="J234" t="s">
        <v>9316</v>
      </c>
      <c r="K234" t="s">
        <v>4809</v>
      </c>
      <c r="L234" t="s">
        <v>4798</v>
      </c>
    </row>
    <row r="235" spans="2:12">
      <c r="B235">
        <v>229</v>
      </c>
      <c r="C235">
        <v>2</v>
      </c>
      <c r="D235">
        <v>0</v>
      </c>
      <c r="E235">
        <v>875</v>
      </c>
      <c r="F235" t="s">
        <v>4813</v>
      </c>
      <c r="G235">
        <v>3</v>
      </c>
      <c r="H235" t="s">
        <v>1300</v>
      </c>
      <c r="I235" t="s">
        <v>9336</v>
      </c>
      <c r="J235" t="s">
        <v>9337</v>
      </c>
      <c r="K235" t="s">
        <v>4779</v>
      </c>
      <c r="L235" t="s">
        <v>4798</v>
      </c>
    </row>
    <row r="236" spans="2:12">
      <c r="B236">
        <v>230</v>
      </c>
      <c r="C236">
        <v>2</v>
      </c>
      <c r="D236">
        <v>0</v>
      </c>
      <c r="E236">
        <v>879</v>
      </c>
      <c r="F236" t="s">
        <v>4813</v>
      </c>
      <c r="G236">
        <v>3</v>
      </c>
      <c r="H236" t="s">
        <v>1301</v>
      </c>
      <c r="I236" t="s">
        <v>9356</v>
      </c>
      <c r="J236" t="s">
        <v>9357</v>
      </c>
      <c r="K236" t="s">
        <v>4779</v>
      </c>
      <c r="L236" t="s">
        <v>4798</v>
      </c>
    </row>
    <row r="237" spans="2:12">
      <c r="B237">
        <v>231</v>
      </c>
      <c r="C237">
        <v>2</v>
      </c>
      <c r="D237">
        <v>1</v>
      </c>
      <c r="E237">
        <v>883</v>
      </c>
      <c r="F237" t="s">
        <v>4813</v>
      </c>
      <c r="G237">
        <v>3</v>
      </c>
      <c r="H237" t="s">
        <v>1302</v>
      </c>
      <c r="I237" t="s">
        <v>9376</v>
      </c>
      <c r="J237" t="s">
        <v>9377</v>
      </c>
      <c r="K237" t="s">
        <v>4779</v>
      </c>
      <c r="L237" t="s">
        <v>4798</v>
      </c>
    </row>
    <row r="238" spans="2:12">
      <c r="B238">
        <v>232</v>
      </c>
      <c r="C238">
        <v>2</v>
      </c>
      <c r="D238">
        <v>1</v>
      </c>
      <c r="E238">
        <v>887</v>
      </c>
      <c r="F238" t="s">
        <v>4813</v>
      </c>
      <c r="G238">
        <v>3</v>
      </c>
      <c r="H238" t="s">
        <v>1303</v>
      </c>
      <c r="I238" t="s">
        <v>9399</v>
      </c>
      <c r="J238" t="s">
        <v>9400</v>
      </c>
      <c r="K238" t="s">
        <v>4779</v>
      </c>
      <c r="L238" t="s">
        <v>4798</v>
      </c>
    </row>
    <row r="239" spans="2:12">
      <c r="B239">
        <v>233</v>
      </c>
      <c r="C239">
        <v>2</v>
      </c>
      <c r="D239">
        <v>0</v>
      </c>
      <c r="E239">
        <v>890</v>
      </c>
      <c r="F239" t="s">
        <v>4813</v>
      </c>
      <c r="G239">
        <v>3</v>
      </c>
      <c r="H239" t="s">
        <v>1304</v>
      </c>
      <c r="I239" t="s">
        <v>9420</v>
      </c>
      <c r="J239" t="s">
        <v>9421</v>
      </c>
      <c r="K239" t="s">
        <v>4779</v>
      </c>
      <c r="L239" t="s">
        <v>4798</v>
      </c>
    </row>
    <row r="240" spans="2:12">
      <c r="B240">
        <v>234</v>
      </c>
      <c r="C240">
        <v>2</v>
      </c>
      <c r="D240">
        <v>0</v>
      </c>
      <c r="E240">
        <v>894</v>
      </c>
      <c r="F240" t="s">
        <v>4813</v>
      </c>
      <c r="G240">
        <v>3</v>
      </c>
      <c r="H240" t="s">
        <v>1305</v>
      </c>
      <c r="I240" t="s">
        <v>9442</v>
      </c>
      <c r="J240" t="s">
        <v>9443</v>
      </c>
      <c r="K240" t="s">
        <v>4779</v>
      </c>
      <c r="L240" t="s">
        <v>4798</v>
      </c>
    </row>
    <row r="241" spans="2:12">
      <c r="B241">
        <v>235</v>
      </c>
      <c r="C241">
        <v>2</v>
      </c>
      <c r="D241">
        <v>0</v>
      </c>
      <c r="E241">
        <v>898</v>
      </c>
      <c r="F241" t="s">
        <v>4813</v>
      </c>
      <c r="G241">
        <v>3</v>
      </c>
      <c r="H241" t="s">
        <v>1306</v>
      </c>
      <c r="I241" t="s">
        <v>9462</v>
      </c>
      <c r="J241" t="s">
        <v>9463</v>
      </c>
      <c r="K241" t="s">
        <v>4779</v>
      </c>
      <c r="L241" t="s">
        <v>4798</v>
      </c>
    </row>
    <row r="242" spans="2:12">
      <c r="B242">
        <v>236</v>
      </c>
      <c r="C242">
        <v>3</v>
      </c>
      <c r="D242">
        <v>0</v>
      </c>
      <c r="E242">
        <v>902</v>
      </c>
      <c r="F242" t="s">
        <v>4813</v>
      </c>
      <c r="G242">
        <v>4</v>
      </c>
      <c r="H242" t="s">
        <v>1307</v>
      </c>
      <c r="I242" t="s">
        <v>9486</v>
      </c>
      <c r="J242" t="s">
        <v>9487</v>
      </c>
      <c r="K242" t="s">
        <v>4779</v>
      </c>
      <c r="L242" t="s">
        <v>4799</v>
      </c>
    </row>
    <row r="243" spans="2:12">
      <c r="B243">
        <v>237</v>
      </c>
      <c r="C243">
        <v>3</v>
      </c>
      <c r="D243">
        <v>1</v>
      </c>
      <c r="E243">
        <v>906</v>
      </c>
      <c r="F243" t="s">
        <v>4813</v>
      </c>
      <c r="G243">
        <v>4</v>
      </c>
      <c r="H243" t="s">
        <v>1308</v>
      </c>
      <c r="I243" t="s">
        <v>9503</v>
      </c>
      <c r="J243" t="s">
        <v>9504</v>
      </c>
      <c r="K243" t="s">
        <v>4808</v>
      </c>
      <c r="L243" t="s">
        <v>4799</v>
      </c>
    </row>
    <row r="244" spans="2:12">
      <c r="B244">
        <v>238</v>
      </c>
      <c r="C244">
        <v>3</v>
      </c>
      <c r="D244">
        <v>1</v>
      </c>
      <c r="E244">
        <v>910</v>
      </c>
      <c r="F244" t="s">
        <v>4813</v>
      </c>
      <c r="G244">
        <v>4</v>
      </c>
      <c r="H244" t="s">
        <v>1309</v>
      </c>
      <c r="I244" t="s">
        <v>9524</v>
      </c>
      <c r="J244" t="s">
        <v>9525</v>
      </c>
      <c r="K244" t="s">
        <v>4779</v>
      </c>
      <c r="L244" t="s">
        <v>4799</v>
      </c>
    </row>
    <row r="245" spans="2:12">
      <c r="B245">
        <v>239</v>
      </c>
      <c r="C245">
        <v>3</v>
      </c>
      <c r="D245">
        <v>0</v>
      </c>
      <c r="E245">
        <v>913</v>
      </c>
      <c r="F245" t="s">
        <v>4813</v>
      </c>
      <c r="G245">
        <v>4</v>
      </c>
      <c r="H245" t="s">
        <v>1310</v>
      </c>
      <c r="I245" t="s">
        <v>9546</v>
      </c>
      <c r="J245" t="s">
        <v>5686</v>
      </c>
      <c r="K245" t="s">
        <v>4779</v>
      </c>
      <c r="L245" t="s">
        <v>4799</v>
      </c>
    </row>
    <row r="246" spans="2:12">
      <c r="B246">
        <v>240</v>
      </c>
      <c r="C246">
        <v>3</v>
      </c>
      <c r="D246">
        <v>0</v>
      </c>
      <c r="E246">
        <v>917</v>
      </c>
      <c r="F246" t="s">
        <v>4813</v>
      </c>
      <c r="G246">
        <v>4</v>
      </c>
      <c r="H246" t="s">
        <v>1311</v>
      </c>
      <c r="I246" t="s">
        <v>9565</v>
      </c>
      <c r="J246" t="s">
        <v>9566</v>
      </c>
      <c r="K246" t="s">
        <v>4779</v>
      </c>
      <c r="L246" t="s">
        <v>4799</v>
      </c>
    </row>
    <row r="247" spans="2:12">
      <c r="B247">
        <v>241</v>
      </c>
      <c r="C247">
        <v>3</v>
      </c>
      <c r="D247">
        <v>0</v>
      </c>
      <c r="E247">
        <v>921</v>
      </c>
      <c r="F247" t="s">
        <v>4813</v>
      </c>
      <c r="G247">
        <v>4</v>
      </c>
      <c r="H247" t="s">
        <v>1312</v>
      </c>
      <c r="I247" t="s">
        <v>9586</v>
      </c>
      <c r="J247" t="s">
        <v>9587</v>
      </c>
      <c r="K247" t="s">
        <v>4779</v>
      </c>
      <c r="L247" t="s">
        <v>4799</v>
      </c>
    </row>
    <row r="248" spans="2:12">
      <c r="B248">
        <v>242</v>
      </c>
      <c r="C248">
        <v>3</v>
      </c>
      <c r="D248">
        <v>0</v>
      </c>
      <c r="E248">
        <v>925</v>
      </c>
      <c r="F248" t="s">
        <v>4813</v>
      </c>
      <c r="G248">
        <v>4</v>
      </c>
      <c r="H248" t="s">
        <v>1313</v>
      </c>
      <c r="I248" t="s">
        <v>9609</v>
      </c>
      <c r="J248" t="s">
        <v>9610</v>
      </c>
      <c r="K248" t="s">
        <v>4779</v>
      </c>
      <c r="L248" t="s">
        <v>4799</v>
      </c>
    </row>
    <row r="249" spans="2:12">
      <c r="B249">
        <v>243</v>
      </c>
      <c r="C249">
        <v>3</v>
      </c>
      <c r="D249">
        <v>1</v>
      </c>
      <c r="E249">
        <v>929</v>
      </c>
      <c r="F249" t="s">
        <v>4813</v>
      </c>
      <c r="G249">
        <v>4</v>
      </c>
      <c r="H249" t="s">
        <v>1314</v>
      </c>
      <c r="I249" t="s">
        <v>9630</v>
      </c>
      <c r="J249" t="s">
        <v>9631</v>
      </c>
      <c r="K249" t="s">
        <v>4779</v>
      </c>
      <c r="L249" t="s">
        <v>4799</v>
      </c>
    </row>
    <row r="250" spans="2:12">
      <c r="B250">
        <v>244</v>
      </c>
      <c r="C250">
        <v>3</v>
      </c>
      <c r="D250">
        <v>1</v>
      </c>
      <c r="E250">
        <v>933</v>
      </c>
      <c r="F250" t="s">
        <v>4813</v>
      </c>
      <c r="G250">
        <v>4</v>
      </c>
      <c r="H250" t="s">
        <v>1315</v>
      </c>
      <c r="I250" t="s">
        <v>9651</v>
      </c>
      <c r="J250" t="s">
        <v>9652</v>
      </c>
      <c r="K250" t="s">
        <v>4809</v>
      </c>
      <c r="L250" t="s">
        <v>4799</v>
      </c>
    </row>
    <row r="251" spans="2:12">
      <c r="B251">
        <v>245</v>
      </c>
      <c r="C251">
        <v>3</v>
      </c>
      <c r="D251">
        <v>0</v>
      </c>
      <c r="E251">
        <v>936</v>
      </c>
      <c r="F251" t="s">
        <v>4813</v>
      </c>
      <c r="G251">
        <v>4</v>
      </c>
      <c r="H251" t="s">
        <v>1316</v>
      </c>
      <c r="I251" t="s">
        <v>9671</v>
      </c>
      <c r="J251" t="s">
        <v>9672</v>
      </c>
      <c r="K251" t="s">
        <v>4779</v>
      </c>
      <c r="L251" t="s">
        <v>4799</v>
      </c>
    </row>
    <row r="252" spans="2:12">
      <c r="B252">
        <v>246</v>
      </c>
      <c r="C252">
        <v>3</v>
      </c>
      <c r="D252">
        <v>0</v>
      </c>
      <c r="E252">
        <v>940</v>
      </c>
      <c r="F252" t="s">
        <v>4813</v>
      </c>
      <c r="G252">
        <v>4</v>
      </c>
      <c r="H252" t="s">
        <v>1317</v>
      </c>
      <c r="I252" t="s">
        <v>9692</v>
      </c>
      <c r="J252" t="s">
        <v>9693</v>
      </c>
      <c r="K252" t="s">
        <v>4779</v>
      </c>
      <c r="L252" t="s">
        <v>4799</v>
      </c>
    </row>
    <row r="253" spans="2:12">
      <c r="B253">
        <v>247</v>
      </c>
      <c r="C253">
        <v>3</v>
      </c>
      <c r="D253">
        <v>0</v>
      </c>
      <c r="E253">
        <v>944</v>
      </c>
      <c r="F253" t="s">
        <v>4813</v>
      </c>
      <c r="G253">
        <v>4</v>
      </c>
      <c r="H253" t="s">
        <v>1318</v>
      </c>
      <c r="I253" t="s">
        <v>9712</v>
      </c>
      <c r="J253" t="s">
        <v>9713</v>
      </c>
      <c r="K253" t="s">
        <v>4779</v>
      </c>
      <c r="L253" t="s">
        <v>4799</v>
      </c>
    </row>
    <row r="254" spans="2:12">
      <c r="B254">
        <v>248</v>
      </c>
      <c r="C254">
        <v>3</v>
      </c>
      <c r="D254">
        <v>0</v>
      </c>
      <c r="E254">
        <v>948</v>
      </c>
      <c r="F254" t="s">
        <v>4813</v>
      </c>
      <c r="G254">
        <v>4</v>
      </c>
      <c r="H254" t="s">
        <v>1319</v>
      </c>
      <c r="I254" t="s">
        <v>9734</v>
      </c>
      <c r="J254" t="s">
        <v>9735</v>
      </c>
      <c r="K254" t="s">
        <v>4779</v>
      </c>
      <c r="L254" t="s">
        <v>4799</v>
      </c>
    </row>
    <row r="255" spans="2:12">
      <c r="B255">
        <v>249</v>
      </c>
      <c r="C255">
        <v>3</v>
      </c>
      <c r="D255">
        <v>1</v>
      </c>
      <c r="E255">
        <v>952</v>
      </c>
      <c r="F255" t="s">
        <v>4813</v>
      </c>
      <c r="G255">
        <v>4</v>
      </c>
      <c r="H255" t="s">
        <v>1320</v>
      </c>
      <c r="I255" t="s">
        <v>9755</v>
      </c>
      <c r="J255" t="s">
        <v>5121</v>
      </c>
      <c r="K255" t="s">
        <v>4779</v>
      </c>
      <c r="L255" t="s">
        <v>4799</v>
      </c>
    </row>
    <row r="256" spans="2:12">
      <c r="B256">
        <v>250</v>
      </c>
      <c r="C256">
        <v>3</v>
      </c>
      <c r="D256">
        <v>1</v>
      </c>
      <c r="E256">
        <v>956</v>
      </c>
      <c r="F256" t="s">
        <v>4813</v>
      </c>
      <c r="G256">
        <v>4</v>
      </c>
      <c r="H256" t="s">
        <v>1321</v>
      </c>
      <c r="I256" t="s">
        <v>9776</v>
      </c>
      <c r="J256" t="s">
        <v>5159</v>
      </c>
      <c r="K256" t="s">
        <v>4779</v>
      </c>
      <c r="L256" t="s">
        <v>4799</v>
      </c>
    </row>
    <row r="257" spans="2:12">
      <c r="B257">
        <v>251</v>
      </c>
      <c r="C257">
        <v>3</v>
      </c>
      <c r="D257">
        <v>0</v>
      </c>
      <c r="E257">
        <v>959</v>
      </c>
      <c r="F257" t="s">
        <v>4813</v>
      </c>
      <c r="G257">
        <v>4</v>
      </c>
      <c r="H257" t="s">
        <v>1322</v>
      </c>
      <c r="I257" t="s">
        <v>9796</v>
      </c>
      <c r="J257" t="s">
        <v>9797</v>
      </c>
      <c r="K257" t="s">
        <v>4779</v>
      </c>
      <c r="L257" t="s">
        <v>4799</v>
      </c>
    </row>
    <row r="258" spans="2:12">
      <c r="B258">
        <v>252</v>
      </c>
      <c r="C258">
        <v>3</v>
      </c>
      <c r="D258">
        <v>0</v>
      </c>
      <c r="E258">
        <v>963</v>
      </c>
      <c r="F258" t="s">
        <v>4813</v>
      </c>
      <c r="G258">
        <v>4</v>
      </c>
      <c r="H258" t="s">
        <v>1323</v>
      </c>
      <c r="I258" t="s">
        <v>9818</v>
      </c>
      <c r="J258" t="s">
        <v>5588</v>
      </c>
      <c r="K258" t="s">
        <v>4808</v>
      </c>
      <c r="L258" t="s">
        <v>4799</v>
      </c>
    </row>
    <row r="259" spans="2:12">
      <c r="B259">
        <v>253</v>
      </c>
      <c r="C259">
        <v>3</v>
      </c>
      <c r="D259">
        <v>0</v>
      </c>
      <c r="E259">
        <v>967</v>
      </c>
      <c r="F259" t="s">
        <v>4813</v>
      </c>
      <c r="G259">
        <v>4</v>
      </c>
      <c r="H259" t="s">
        <v>1324</v>
      </c>
      <c r="I259" t="s">
        <v>9839</v>
      </c>
      <c r="J259" t="s">
        <v>5756</v>
      </c>
      <c r="K259" t="s">
        <v>4779</v>
      </c>
      <c r="L259" t="s">
        <v>4799</v>
      </c>
    </row>
    <row r="260" spans="2:12">
      <c r="B260">
        <v>254</v>
      </c>
      <c r="C260">
        <v>3</v>
      </c>
      <c r="D260">
        <v>0</v>
      </c>
      <c r="E260">
        <v>971</v>
      </c>
      <c r="F260" t="s">
        <v>4813</v>
      </c>
      <c r="G260">
        <v>4</v>
      </c>
      <c r="H260" t="s">
        <v>1325</v>
      </c>
      <c r="I260" t="s">
        <v>9858</v>
      </c>
      <c r="J260" t="s">
        <v>9859</v>
      </c>
      <c r="K260" t="s">
        <v>4779</v>
      </c>
      <c r="L260" t="s">
        <v>4799</v>
      </c>
    </row>
    <row r="261" spans="2:12">
      <c r="B261">
        <v>255</v>
      </c>
      <c r="C261">
        <v>3</v>
      </c>
      <c r="D261">
        <v>1</v>
      </c>
      <c r="E261">
        <v>975</v>
      </c>
      <c r="F261" t="s">
        <v>4813</v>
      </c>
      <c r="G261">
        <v>4</v>
      </c>
      <c r="H261" t="s">
        <v>1326</v>
      </c>
      <c r="I261" t="s">
        <v>9879</v>
      </c>
      <c r="J261" t="s">
        <v>9880</v>
      </c>
      <c r="K261" t="s">
        <v>4779</v>
      </c>
      <c r="L261" t="s">
        <v>4799</v>
      </c>
    </row>
    <row r="262" spans="2:12">
      <c r="B262">
        <v>256</v>
      </c>
      <c r="C262">
        <v>3</v>
      </c>
      <c r="D262">
        <v>1</v>
      </c>
      <c r="E262">
        <v>979</v>
      </c>
      <c r="F262" t="s">
        <v>4813</v>
      </c>
      <c r="G262">
        <v>4</v>
      </c>
      <c r="H262" t="s">
        <v>1327</v>
      </c>
      <c r="I262" t="s">
        <v>9900</v>
      </c>
      <c r="J262" t="s">
        <v>9901</v>
      </c>
      <c r="K262" t="s">
        <v>4779</v>
      </c>
      <c r="L262" t="s">
        <v>4799</v>
      </c>
    </row>
    <row r="263" spans="2:12">
      <c r="B263">
        <v>257</v>
      </c>
      <c r="C263">
        <v>3</v>
      </c>
      <c r="D263">
        <v>0</v>
      </c>
      <c r="E263">
        <v>982</v>
      </c>
      <c r="F263" t="s">
        <v>4813</v>
      </c>
      <c r="G263">
        <v>4</v>
      </c>
      <c r="H263" t="s">
        <v>1328</v>
      </c>
      <c r="I263" t="s">
        <v>9921</v>
      </c>
      <c r="J263" t="s">
        <v>9922</v>
      </c>
      <c r="K263" t="s">
        <v>4779</v>
      </c>
      <c r="L263" t="s">
        <v>4799</v>
      </c>
    </row>
    <row r="264" spans="2:12">
      <c r="B264">
        <v>258</v>
      </c>
      <c r="C264">
        <v>3</v>
      </c>
      <c r="D264">
        <v>0</v>
      </c>
      <c r="E264">
        <v>986</v>
      </c>
      <c r="F264" t="s">
        <v>4813</v>
      </c>
      <c r="G264">
        <v>4</v>
      </c>
      <c r="H264" t="s">
        <v>1329</v>
      </c>
      <c r="I264" t="s">
        <v>9942</v>
      </c>
      <c r="J264" t="s">
        <v>9943</v>
      </c>
      <c r="K264" t="s">
        <v>4779</v>
      </c>
      <c r="L264" t="s">
        <v>4799</v>
      </c>
    </row>
    <row r="265" spans="2:12">
      <c r="B265">
        <v>259</v>
      </c>
      <c r="C265">
        <v>3</v>
      </c>
      <c r="D265">
        <v>0</v>
      </c>
      <c r="E265">
        <v>990</v>
      </c>
      <c r="F265" t="s">
        <v>4813</v>
      </c>
      <c r="G265">
        <v>4</v>
      </c>
      <c r="H265" t="s">
        <v>1330</v>
      </c>
      <c r="I265" t="s">
        <v>9961</v>
      </c>
      <c r="J265" t="s">
        <v>5170</v>
      </c>
      <c r="K265" t="s">
        <v>4779</v>
      </c>
      <c r="L265" t="s">
        <v>4799</v>
      </c>
    </row>
    <row r="266" spans="2:12">
      <c r="B266">
        <v>260</v>
      </c>
      <c r="C266">
        <v>3</v>
      </c>
      <c r="D266">
        <v>0</v>
      </c>
      <c r="E266">
        <v>994</v>
      </c>
      <c r="F266" t="s">
        <v>4813</v>
      </c>
      <c r="G266">
        <v>4</v>
      </c>
      <c r="H266" t="s">
        <v>1331</v>
      </c>
      <c r="I266" t="s">
        <v>9983</v>
      </c>
      <c r="J266" t="s">
        <v>9984</v>
      </c>
      <c r="K266" t="s">
        <v>4779</v>
      </c>
      <c r="L266" t="s">
        <v>4799</v>
      </c>
    </row>
    <row r="267" spans="2:12">
      <c r="B267">
        <v>261</v>
      </c>
      <c r="C267">
        <v>3</v>
      </c>
      <c r="D267">
        <v>1</v>
      </c>
      <c r="E267">
        <v>998</v>
      </c>
      <c r="F267" t="s">
        <v>4813</v>
      </c>
      <c r="G267">
        <v>4</v>
      </c>
      <c r="H267" t="s">
        <v>1332</v>
      </c>
      <c r="I267" t="s">
        <v>10004</v>
      </c>
      <c r="J267" t="s">
        <v>10005</v>
      </c>
      <c r="K267" t="s">
        <v>4779</v>
      </c>
      <c r="L267" t="s">
        <v>4799</v>
      </c>
    </row>
    <row r="268" spans="2:12">
      <c r="B268">
        <v>262</v>
      </c>
      <c r="C268">
        <v>3</v>
      </c>
      <c r="D268">
        <v>1</v>
      </c>
      <c r="E268">
        <v>1002</v>
      </c>
      <c r="F268" t="s">
        <v>4813</v>
      </c>
      <c r="G268">
        <v>4</v>
      </c>
      <c r="H268" t="s">
        <v>1333</v>
      </c>
      <c r="I268" t="s">
        <v>10027</v>
      </c>
      <c r="J268" t="s">
        <v>5621</v>
      </c>
      <c r="K268" t="s">
        <v>4779</v>
      </c>
      <c r="L268" t="s">
        <v>4799</v>
      </c>
    </row>
    <row r="269" spans="2:12">
      <c r="B269">
        <v>263</v>
      </c>
      <c r="C269">
        <v>3</v>
      </c>
      <c r="D269">
        <v>0</v>
      </c>
      <c r="E269">
        <v>1005</v>
      </c>
      <c r="F269" t="s">
        <v>4813</v>
      </c>
      <c r="G269">
        <v>4</v>
      </c>
      <c r="H269" t="s">
        <v>1334</v>
      </c>
      <c r="I269" t="s">
        <v>10045</v>
      </c>
      <c r="J269" t="s">
        <v>10046</v>
      </c>
      <c r="K269" t="s">
        <v>4807</v>
      </c>
      <c r="L269" t="s">
        <v>4799</v>
      </c>
    </row>
    <row r="270" spans="2:12">
      <c r="B270">
        <v>264</v>
      </c>
      <c r="C270">
        <v>3</v>
      </c>
      <c r="D270">
        <v>0</v>
      </c>
      <c r="E270">
        <v>1009</v>
      </c>
      <c r="F270" t="s">
        <v>4813</v>
      </c>
      <c r="G270">
        <v>4</v>
      </c>
      <c r="H270" t="s">
        <v>1335</v>
      </c>
      <c r="I270" t="s">
        <v>10067</v>
      </c>
      <c r="J270" t="s">
        <v>10068</v>
      </c>
      <c r="K270" t="s">
        <v>4779</v>
      </c>
      <c r="L270" t="s">
        <v>4799</v>
      </c>
    </row>
    <row r="271" spans="2:12">
      <c r="B271">
        <v>265</v>
      </c>
      <c r="C271">
        <v>3</v>
      </c>
      <c r="D271">
        <v>0</v>
      </c>
      <c r="E271">
        <v>1013</v>
      </c>
      <c r="F271" t="s">
        <v>4813</v>
      </c>
      <c r="G271">
        <v>4</v>
      </c>
      <c r="H271" t="s">
        <v>1336</v>
      </c>
      <c r="I271" t="s">
        <v>10087</v>
      </c>
      <c r="J271" t="s">
        <v>10088</v>
      </c>
      <c r="K271" t="s">
        <v>4779</v>
      </c>
      <c r="L271" t="s">
        <v>4799</v>
      </c>
    </row>
    <row r="272" spans="2:12">
      <c r="B272">
        <v>266</v>
      </c>
      <c r="C272">
        <v>3</v>
      </c>
      <c r="D272">
        <v>0</v>
      </c>
      <c r="E272">
        <v>1017</v>
      </c>
      <c r="F272" t="s">
        <v>4813</v>
      </c>
      <c r="G272">
        <v>4</v>
      </c>
      <c r="H272" t="s">
        <v>1337</v>
      </c>
      <c r="I272" t="s">
        <v>10109</v>
      </c>
      <c r="J272" t="s">
        <v>10110</v>
      </c>
      <c r="K272" t="s">
        <v>4779</v>
      </c>
      <c r="L272" t="s">
        <v>4799</v>
      </c>
    </row>
    <row r="273" spans="2:12">
      <c r="B273">
        <v>267</v>
      </c>
      <c r="C273">
        <v>3</v>
      </c>
      <c r="D273">
        <v>1</v>
      </c>
      <c r="E273">
        <v>1021</v>
      </c>
      <c r="F273" t="s">
        <v>4813</v>
      </c>
      <c r="G273">
        <v>4</v>
      </c>
      <c r="H273" t="s">
        <v>1338</v>
      </c>
      <c r="I273" t="s">
        <v>10130</v>
      </c>
      <c r="J273" t="s">
        <v>10131</v>
      </c>
      <c r="K273" t="s">
        <v>4779</v>
      </c>
      <c r="L273" t="s">
        <v>4799</v>
      </c>
    </row>
    <row r="274" spans="2:12">
      <c r="B274">
        <v>268</v>
      </c>
      <c r="C274">
        <v>3</v>
      </c>
      <c r="D274">
        <v>1</v>
      </c>
      <c r="E274">
        <v>1025</v>
      </c>
      <c r="F274" t="s">
        <v>4813</v>
      </c>
      <c r="G274">
        <v>4</v>
      </c>
      <c r="H274" t="s">
        <v>1339</v>
      </c>
      <c r="I274" t="s">
        <v>10152</v>
      </c>
      <c r="J274" t="s">
        <v>10153</v>
      </c>
      <c r="K274" t="s">
        <v>4779</v>
      </c>
      <c r="L274" t="s">
        <v>4799</v>
      </c>
    </row>
    <row r="275" spans="2:12">
      <c r="B275">
        <v>269</v>
      </c>
      <c r="C275">
        <v>3</v>
      </c>
      <c r="D275">
        <v>0</v>
      </c>
      <c r="E275">
        <v>1028</v>
      </c>
      <c r="F275" t="s">
        <v>4813</v>
      </c>
      <c r="G275">
        <v>4</v>
      </c>
      <c r="H275" t="s">
        <v>1340</v>
      </c>
      <c r="I275" t="s">
        <v>10171</v>
      </c>
      <c r="J275" t="s">
        <v>10172</v>
      </c>
      <c r="K275" t="s">
        <v>4779</v>
      </c>
      <c r="L275" t="s">
        <v>4799</v>
      </c>
    </row>
    <row r="276" spans="2:12">
      <c r="B276">
        <v>270</v>
      </c>
      <c r="C276">
        <v>3</v>
      </c>
      <c r="D276">
        <v>0</v>
      </c>
      <c r="E276">
        <v>1032</v>
      </c>
      <c r="F276" t="s">
        <v>4813</v>
      </c>
      <c r="G276">
        <v>4</v>
      </c>
      <c r="H276" t="s">
        <v>1341</v>
      </c>
      <c r="I276" t="s">
        <v>10194</v>
      </c>
      <c r="J276" t="s">
        <v>10195</v>
      </c>
      <c r="K276" t="s">
        <v>4779</v>
      </c>
      <c r="L276" t="s">
        <v>4799</v>
      </c>
    </row>
    <row r="277" spans="2:12">
      <c r="B277">
        <v>271</v>
      </c>
      <c r="C277">
        <v>3</v>
      </c>
      <c r="D277">
        <v>0</v>
      </c>
      <c r="E277">
        <v>1036</v>
      </c>
      <c r="F277" t="s">
        <v>4813</v>
      </c>
      <c r="G277">
        <v>4</v>
      </c>
      <c r="H277" t="s">
        <v>1342</v>
      </c>
      <c r="I277" t="s">
        <v>10211</v>
      </c>
      <c r="J277" t="s">
        <v>5928</v>
      </c>
      <c r="K277" t="s">
        <v>4779</v>
      </c>
      <c r="L277" t="s">
        <v>4799</v>
      </c>
    </row>
    <row r="278" spans="2:12">
      <c r="B278">
        <v>272</v>
      </c>
      <c r="C278">
        <v>3</v>
      </c>
      <c r="D278">
        <v>0</v>
      </c>
      <c r="E278">
        <v>1040</v>
      </c>
      <c r="F278" t="s">
        <v>4813</v>
      </c>
      <c r="G278">
        <v>4</v>
      </c>
      <c r="H278" t="s">
        <v>1343</v>
      </c>
      <c r="I278" t="s">
        <v>10232</v>
      </c>
      <c r="J278" t="s">
        <v>10233</v>
      </c>
      <c r="K278" t="s">
        <v>4779</v>
      </c>
      <c r="L278" t="s">
        <v>4799</v>
      </c>
    </row>
    <row r="279" spans="2:12">
      <c r="B279">
        <v>273</v>
      </c>
      <c r="C279">
        <v>3</v>
      </c>
      <c r="D279">
        <v>1</v>
      </c>
      <c r="E279">
        <v>1044</v>
      </c>
      <c r="F279" t="s">
        <v>4813</v>
      </c>
      <c r="G279">
        <v>4</v>
      </c>
      <c r="H279" t="s">
        <v>1344</v>
      </c>
      <c r="I279" t="s">
        <v>10252</v>
      </c>
      <c r="J279" t="s">
        <v>10253</v>
      </c>
      <c r="K279" t="s">
        <v>4779</v>
      </c>
      <c r="L279" t="s">
        <v>4799</v>
      </c>
    </row>
    <row r="280" spans="2:12">
      <c r="B280">
        <v>274</v>
      </c>
      <c r="C280">
        <v>3</v>
      </c>
      <c r="D280">
        <v>1</v>
      </c>
      <c r="E280">
        <v>1048</v>
      </c>
      <c r="F280" t="s">
        <v>4813</v>
      </c>
      <c r="G280">
        <v>4</v>
      </c>
      <c r="H280" t="s">
        <v>1345</v>
      </c>
      <c r="I280" t="s">
        <v>10275</v>
      </c>
      <c r="J280" t="s">
        <v>10276</v>
      </c>
      <c r="K280" t="s">
        <v>4779</v>
      </c>
      <c r="L280" t="s">
        <v>4799</v>
      </c>
    </row>
    <row r="281" spans="2:12">
      <c r="B281">
        <v>275</v>
      </c>
      <c r="C281">
        <v>3</v>
      </c>
      <c r="D281">
        <v>0</v>
      </c>
      <c r="E281">
        <v>1051</v>
      </c>
      <c r="F281" t="s">
        <v>4813</v>
      </c>
      <c r="G281">
        <v>4</v>
      </c>
      <c r="H281" t="s">
        <v>1346</v>
      </c>
      <c r="I281" t="s">
        <v>10297</v>
      </c>
      <c r="J281" t="s">
        <v>10298</v>
      </c>
      <c r="K281" t="s">
        <v>4810</v>
      </c>
      <c r="L281" t="s">
        <v>4799</v>
      </c>
    </row>
    <row r="282" spans="2:12">
      <c r="B282">
        <v>276</v>
      </c>
      <c r="C282">
        <v>3</v>
      </c>
      <c r="D282">
        <v>0</v>
      </c>
      <c r="E282">
        <v>1055</v>
      </c>
      <c r="F282" t="s">
        <v>4813</v>
      </c>
      <c r="G282">
        <v>4</v>
      </c>
      <c r="H282" t="s">
        <v>1347</v>
      </c>
      <c r="I282" t="s">
        <v>10321</v>
      </c>
      <c r="J282" t="s">
        <v>10322</v>
      </c>
      <c r="K282" t="s">
        <v>4779</v>
      </c>
      <c r="L282" t="s">
        <v>4799</v>
      </c>
    </row>
    <row r="283" spans="2:12">
      <c r="B283">
        <v>277</v>
      </c>
      <c r="C283">
        <v>3</v>
      </c>
      <c r="D283">
        <v>0</v>
      </c>
      <c r="E283">
        <v>1059</v>
      </c>
      <c r="F283" t="s">
        <v>4813</v>
      </c>
      <c r="G283">
        <v>4</v>
      </c>
      <c r="H283" t="s">
        <v>1348</v>
      </c>
      <c r="I283" t="s">
        <v>10342</v>
      </c>
      <c r="J283" t="s">
        <v>10343</v>
      </c>
      <c r="K283" t="s">
        <v>4779</v>
      </c>
      <c r="L283" t="s">
        <v>4799</v>
      </c>
    </row>
    <row r="284" spans="2:12">
      <c r="B284">
        <v>278</v>
      </c>
      <c r="C284">
        <v>4</v>
      </c>
      <c r="D284">
        <v>0</v>
      </c>
      <c r="E284">
        <v>1063</v>
      </c>
      <c r="F284" t="s">
        <v>4813</v>
      </c>
      <c r="G284">
        <v>4</v>
      </c>
      <c r="H284" t="s">
        <v>1349</v>
      </c>
      <c r="I284" t="s">
        <v>10365</v>
      </c>
      <c r="J284" t="s">
        <v>10366</v>
      </c>
      <c r="K284" t="s">
        <v>4779</v>
      </c>
      <c r="L284" t="s">
        <v>4800</v>
      </c>
    </row>
    <row r="285" spans="2:12">
      <c r="B285">
        <v>279</v>
      </c>
      <c r="C285">
        <v>4</v>
      </c>
      <c r="D285">
        <v>1</v>
      </c>
      <c r="E285">
        <v>1067</v>
      </c>
      <c r="F285" t="s">
        <v>4813</v>
      </c>
      <c r="G285">
        <v>4</v>
      </c>
      <c r="H285" t="s">
        <v>1350</v>
      </c>
      <c r="I285" t="s">
        <v>10387</v>
      </c>
      <c r="J285" t="s">
        <v>10388</v>
      </c>
      <c r="K285" t="s">
        <v>4779</v>
      </c>
      <c r="L285" t="s">
        <v>4800</v>
      </c>
    </row>
    <row r="286" spans="2:12">
      <c r="B286">
        <v>280</v>
      </c>
      <c r="C286">
        <v>4</v>
      </c>
      <c r="D286">
        <v>1</v>
      </c>
      <c r="E286">
        <v>1071</v>
      </c>
      <c r="F286" t="s">
        <v>4813</v>
      </c>
      <c r="G286">
        <v>4</v>
      </c>
      <c r="H286" t="s">
        <v>1351</v>
      </c>
      <c r="I286" t="s">
        <v>10411</v>
      </c>
      <c r="J286" t="s">
        <v>10412</v>
      </c>
      <c r="K286" t="s">
        <v>4779</v>
      </c>
      <c r="L286" t="s">
        <v>4800</v>
      </c>
    </row>
    <row r="287" spans="2:12">
      <c r="B287">
        <v>281</v>
      </c>
      <c r="C287">
        <v>4</v>
      </c>
      <c r="D287">
        <v>0</v>
      </c>
      <c r="E287">
        <v>1074</v>
      </c>
      <c r="F287" t="s">
        <v>4813</v>
      </c>
      <c r="G287">
        <v>4</v>
      </c>
      <c r="H287" t="s">
        <v>1352</v>
      </c>
      <c r="I287" t="s">
        <v>10432</v>
      </c>
      <c r="J287" t="s">
        <v>10433</v>
      </c>
      <c r="K287" t="s">
        <v>4779</v>
      </c>
      <c r="L287" t="s">
        <v>4800</v>
      </c>
    </row>
    <row r="288" spans="2:12">
      <c r="B288">
        <v>282</v>
      </c>
      <c r="C288">
        <v>4</v>
      </c>
      <c r="D288">
        <v>0</v>
      </c>
      <c r="E288">
        <v>1078</v>
      </c>
      <c r="F288" t="s">
        <v>4813</v>
      </c>
      <c r="G288">
        <v>4</v>
      </c>
      <c r="H288" t="s">
        <v>1353</v>
      </c>
      <c r="I288" t="s">
        <v>10454</v>
      </c>
      <c r="J288" t="s">
        <v>10455</v>
      </c>
      <c r="K288" t="s">
        <v>4779</v>
      </c>
      <c r="L288" t="s">
        <v>4800</v>
      </c>
    </row>
    <row r="289" spans="2:12">
      <c r="B289">
        <v>283</v>
      </c>
      <c r="C289">
        <v>4</v>
      </c>
      <c r="D289">
        <v>0</v>
      </c>
      <c r="E289">
        <v>1082</v>
      </c>
      <c r="F289" t="s">
        <v>4813</v>
      </c>
      <c r="G289">
        <v>4</v>
      </c>
      <c r="H289" t="s">
        <v>1354</v>
      </c>
      <c r="I289" t="s">
        <v>10475</v>
      </c>
      <c r="J289" t="s">
        <v>10476</v>
      </c>
      <c r="K289" t="s">
        <v>4779</v>
      </c>
      <c r="L289" t="s">
        <v>4800</v>
      </c>
    </row>
    <row r="290" spans="2:12">
      <c r="B290">
        <v>284</v>
      </c>
      <c r="C290">
        <v>4</v>
      </c>
      <c r="D290">
        <v>0</v>
      </c>
      <c r="E290">
        <v>1086</v>
      </c>
      <c r="F290" t="s">
        <v>4813</v>
      </c>
      <c r="G290">
        <v>4</v>
      </c>
      <c r="H290" t="s">
        <v>1355</v>
      </c>
      <c r="I290" t="s">
        <v>10499</v>
      </c>
      <c r="J290" t="s">
        <v>10500</v>
      </c>
      <c r="K290" t="s">
        <v>4779</v>
      </c>
      <c r="L290" t="s">
        <v>4800</v>
      </c>
    </row>
    <row r="291" spans="2:12">
      <c r="B291">
        <v>285</v>
      </c>
      <c r="C291">
        <v>4</v>
      </c>
      <c r="D291">
        <v>1</v>
      </c>
      <c r="E291">
        <v>1090</v>
      </c>
      <c r="F291" t="s">
        <v>4813</v>
      </c>
      <c r="G291">
        <v>4</v>
      </c>
      <c r="H291" t="s">
        <v>1356</v>
      </c>
      <c r="I291" t="s">
        <v>10519</v>
      </c>
      <c r="J291" t="s">
        <v>10520</v>
      </c>
      <c r="K291" t="s">
        <v>4779</v>
      </c>
      <c r="L291" t="s">
        <v>4800</v>
      </c>
    </row>
    <row r="292" spans="2:12">
      <c r="B292">
        <v>286</v>
      </c>
      <c r="C292">
        <v>4</v>
      </c>
      <c r="D292">
        <v>1</v>
      </c>
      <c r="E292">
        <v>1094</v>
      </c>
      <c r="F292" t="s">
        <v>4813</v>
      </c>
      <c r="G292">
        <v>4</v>
      </c>
      <c r="H292" t="s">
        <v>1357</v>
      </c>
      <c r="I292" t="s">
        <v>10543</v>
      </c>
      <c r="J292" t="s">
        <v>10544</v>
      </c>
      <c r="K292" t="s">
        <v>4809</v>
      </c>
      <c r="L292" t="s">
        <v>4800</v>
      </c>
    </row>
    <row r="293" spans="2:12">
      <c r="B293">
        <v>287</v>
      </c>
      <c r="C293">
        <v>4</v>
      </c>
      <c r="D293">
        <v>0</v>
      </c>
      <c r="E293">
        <v>1097</v>
      </c>
      <c r="F293" t="s">
        <v>4813</v>
      </c>
      <c r="G293">
        <v>4</v>
      </c>
      <c r="H293" t="s">
        <v>1358</v>
      </c>
      <c r="I293" t="s">
        <v>10565</v>
      </c>
      <c r="J293" t="s">
        <v>10566</v>
      </c>
      <c r="K293" t="s">
        <v>4779</v>
      </c>
      <c r="L293" t="s">
        <v>4800</v>
      </c>
    </row>
    <row r="294" spans="2:12">
      <c r="B294">
        <v>288</v>
      </c>
      <c r="C294">
        <v>4</v>
      </c>
      <c r="D294">
        <v>0</v>
      </c>
      <c r="E294">
        <v>1101</v>
      </c>
      <c r="F294" t="s">
        <v>4813</v>
      </c>
      <c r="G294">
        <v>4</v>
      </c>
      <c r="H294" t="s">
        <v>1359</v>
      </c>
      <c r="I294" t="s">
        <v>10589</v>
      </c>
      <c r="J294" t="s">
        <v>7735</v>
      </c>
      <c r="K294" t="s">
        <v>4779</v>
      </c>
      <c r="L294" t="s">
        <v>4800</v>
      </c>
    </row>
    <row r="295" spans="2:12">
      <c r="B295">
        <v>289</v>
      </c>
      <c r="C295">
        <v>4</v>
      </c>
      <c r="D295">
        <v>0</v>
      </c>
      <c r="E295">
        <v>1105</v>
      </c>
      <c r="F295" t="s">
        <v>4813</v>
      </c>
      <c r="G295">
        <v>4</v>
      </c>
      <c r="H295" t="s">
        <v>1360</v>
      </c>
      <c r="I295" t="s">
        <v>10609</v>
      </c>
      <c r="J295" t="s">
        <v>10610</v>
      </c>
      <c r="K295" t="s">
        <v>4779</v>
      </c>
      <c r="L295" t="s">
        <v>4800</v>
      </c>
    </row>
    <row r="296" spans="2:12">
      <c r="B296">
        <v>290</v>
      </c>
      <c r="C296">
        <v>4</v>
      </c>
      <c r="D296">
        <v>0</v>
      </c>
      <c r="E296">
        <v>1109</v>
      </c>
      <c r="F296" t="s">
        <v>4813</v>
      </c>
      <c r="G296">
        <v>4</v>
      </c>
      <c r="H296" t="s">
        <v>1361</v>
      </c>
      <c r="I296" t="s">
        <v>10632</v>
      </c>
      <c r="J296" t="s">
        <v>10633</v>
      </c>
      <c r="K296" t="s">
        <v>4810</v>
      </c>
      <c r="L296" t="s">
        <v>4800</v>
      </c>
    </row>
    <row r="297" spans="2:12">
      <c r="B297">
        <v>291</v>
      </c>
      <c r="C297">
        <v>4</v>
      </c>
      <c r="D297">
        <v>1</v>
      </c>
      <c r="E297">
        <v>1113</v>
      </c>
      <c r="F297" t="s">
        <v>4813</v>
      </c>
      <c r="G297">
        <v>4</v>
      </c>
      <c r="H297" t="s">
        <v>1362</v>
      </c>
      <c r="I297" t="s">
        <v>10654</v>
      </c>
      <c r="J297" t="s">
        <v>10655</v>
      </c>
      <c r="K297" t="s">
        <v>4779</v>
      </c>
      <c r="L297" t="s">
        <v>4800</v>
      </c>
    </row>
    <row r="298" spans="2:12">
      <c r="B298">
        <v>292</v>
      </c>
      <c r="C298">
        <v>4</v>
      </c>
      <c r="D298">
        <v>1</v>
      </c>
      <c r="E298">
        <v>1117</v>
      </c>
      <c r="F298" t="s">
        <v>4813</v>
      </c>
      <c r="G298">
        <v>4</v>
      </c>
      <c r="H298" t="s">
        <v>1363</v>
      </c>
      <c r="I298" t="s">
        <v>10676</v>
      </c>
      <c r="J298" t="s">
        <v>10677</v>
      </c>
      <c r="K298" t="s">
        <v>4779</v>
      </c>
      <c r="L298" t="s">
        <v>4800</v>
      </c>
    </row>
    <row r="299" spans="2:12">
      <c r="B299">
        <v>293</v>
      </c>
      <c r="C299">
        <v>4</v>
      </c>
      <c r="D299">
        <v>0</v>
      </c>
      <c r="E299">
        <v>1120</v>
      </c>
      <c r="F299" t="s">
        <v>4813</v>
      </c>
      <c r="G299">
        <v>4</v>
      </c>
      <c r="H299" t="s">
        <v>1364</v>
      </c>
      <c r="I299" t="s">
        <v>10697</v>
      </c>
      <c r="J299" t="s">
        <v>10698</v>
      </c>
      <c r="K299" t="s">
        <v>4779</v>
      </c>
      <c r="L299" t="s">
        <v>4800</v>
      </c>
    </row>
    <row r="300" spans="2:12">
      <c r="B300">
        <v>294</v>
      </c>
      <c r="C300">
        <v>4</v>
      </c>
      <c r="D300">
        <v>0</v>
      </c>
      <c r="E300">
        <v>1124</v>
      </c>
      <c r="F300" t="s">
        <v>4813</v>
      </c>
      <c r="G300">
        <v>4</v>
      </c>
      <c r="H300" t="s">
        <v>1365</v>
      </c>
      <c r="I300" t="s">
        <v>10721</v>
      </c>
      <c r="J300" t="s">
        <v>10722</v>
      </c>
      <c r="K300" t="s">
        <v>4779</v>
      </c>
      <c r="L300" t="s">
        <v>4800</v>
      </c>
    </row>
    <row r="301" spans="2:12">
      <c r="B301">
        <v>295</v>
      </c>
      <c r="C301">
        <v>4</v>
      </c>
      <c r="D301">
        <v>0</v>
      </c>
      <c r="E301">
        <v>1128</v>
      </c>
      <c r="F301" t="s">
        <v>4813</v>
      </c>
      <c r="G301">
        <v>4</v>
      </c>
      <c r="H301" t="s">
        <v>1366</v>
      </c>
      <c r="I301" t="s">
        <v>10743</v>
      </c>
      <c r="J301" t="s">
        <v>10744</v>
      </c>
      <c r="K301" t="s">
        <v>4779</v>
      </c>
      <c r="L301" t="s">
        <v>4800</v>
      </c>
    </row>
    <row r="302" spans="2:12">
      <c r="B302">
        <v>296</v>
      </c>
      <c r="C302">
        <v>4</v>
      </c>
      <c r="D302">
        <v>0</v>
      </c>
      <c r="E302">
        <v>1132</v>
      </c>
      <c r="F302" t="s">
        <v>4813</v>
      </c>
      <c r="G302">
        <v>4</v>
      </c>
      <c r="H302" t="s">
        <v>1367</v>
      </c>
      <c r="I302" t="s">
        <v>10767</v>
      </c>
      <c r="J302" t="s">
        <v>10768</v>
      </c>
      <c r="K302" t="s">
        <v>4779</v>
      </c>
      <c r="L302" t="s">
        <v>4800</v>
      </c>
    </row>
    <row r="303" spans="2:12">
      <c r="B303">
        <v>297</v>
      </c>
      <c r="C303">
        <v>4</v>
      </c>
      <c r="D303">
        <v>1</v>
      </c>
      <c r="E303">
        <v>1136</v>
      </c>
      <c r="F303" t="s">
        <v>4813</v>
      </c>
      <c r="G303">
        <v>4</v>
      </c>
      <c r="H303" t="s">
        <v>1368</v>
      </c>
      <c r="I303" t="s">
        <v>10789</v>
      </c>
      <c r="J303" t="s">
        <v>10790</v>
      </c>
      <c r="K303" t="s">
        <v>4779</v>
      </c>
      <c r="L303" t="s">
        <v>4800</v>
      </c>
    </row>
    <row r="304" spans="2:12">
      <c r="B304">
        <v>298</v>
      </c>
      <c r="C304">
        <v>4</v>
      </c>
      <c r="D304">
        <v>1</v>
      </c>
      <c r="E304">
        <v>1140</v>
      </c>
      <c r="F304" t="s">
        <v>4813</v>
      </c>
      <c r="G304">
        <v>4</v>
      </c>
      <c r="H304" t="s">
        <v>1369</v>
      </c>
      <c r="I304" t="s">
        <v>10813</v>
      </c>
      <c r="J304" t="s">
        <v>10814</v>
      </c>
      <c r="K304" t="s">
        <v>4779</v>
      </c>
      <c r="L304" t="s">
        <v>4800</v>
      </c>
    </row>
    <row r="305" spans="1:12">
      <c r="B305">
        <v>299</v>
      </c>
      <c r="C305">
        <v>4</v>
      </c>
      <c r="D305">
        <v>0</v>
      </c>
      <c r="E305">
        <v>1143</v>
      </c>
      <c r="F305" t="s">
        <v>4813</v>
      </c>
      <c r="G305">
        <v>4</v>
      </c>
      <c r="H305" t="s">
        <v>1370</v>
      </c>
      <c r="I305" t="s">
        <v>10833</v>
      </c>
      <c r="J305" t="s">
        <v>10834</v>
      </c>
      <c r="K305" t="s">
        <v>4779</v>
      </c>
      <c r="L305" t="s">
        <v>4800</v>
      </c>
    </row>
    <row r="306" spans="1:12">
      <c r="A306" t="s">
        <v>22</v>
      </c>
      <c r="B306">
        <v>300</v>
      </c>
      <c r="C306">
        <v>4</v>
      </c>
      <c r="D306">
        <v>0</v>
      </c>
      <c r="E306">
        <v>1147</v>
      </c>
      <c r="F306" t="s">
        <v>4813</v>
      </c>
      <c r="G306">
        <v>4</v>
      </c>
      <c r="H306" t="s">
        <v>1371</v>
      </c>
      <c r="I306" t="s">
        <v>10856</v>
      </c>
      <c r="J306" t="s">
        <v>10857</v>
      </c>
      <c r="K306" t="s">
        <v>4779</v>
      </c>
      <c r="L306" t="s">
        <v>4800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505"/>
  <sheetViews>
    <sheetView workbookViewId="0">
      <selection activeCell="H28" sqref="H28"/>
    </sheetView>
  </sheetViews>
  <sheetFormatPr defaultRowHeight="13.5"/>
  <cols>
    <col min="2" max="2" width="15.25" customWidth="1"/>
    <col min="3" max="3" width="17.875" customWidth="1"/>
  </cols>
  <sheetData>
    <row r="1" spans="1:3">
      <c r="A1" s="6"/>
      <c r="B1" s="6" t="s">
        <v>0</v>
      </c>
      <c r="C1" s="8" t="s">
        <v>61</v>
      </c>
    </row>
    <row r="2" spans="1:3">
      <c r="A2" s="13"/>
      <c r="B2" s="8" t="s">
        <v>62</v>
      </c>
      <c r="C2" s="8" t="s">
        <v>63</v>
      </c>
    </row>
    <row r="3" spans="1:3">
      <c r="A3" s="13"/>
      <c r="B3" s="6" t="s">
        <v>2</v>
      </c>
      <c r="C3" s="6" t="s">
        <v>2</v>
      </c>
    </row>
    <row r="4" spans="1:3" ht="14.25">
      <c r="A4" s="7"/>
      <c r="B4" s="7"/>
      <c r="C4" s="7"/>
    </row>
    <row r="5" spans="1:3" ht="14.25">
      <c r="A5" s="7"/>
      <c r="B5" s="9"/>
      <c r="C5" s="9"/>
    </row>
    <row r="6" spans="1:3">
      <c r="A6" s="13"/>
      <c r="B6" s="13" t="s">
        <v>64</v>
      </c>
      <c r="C6" s="13" t="s">
        <v>65</v>
      </c>
    </row>
    <row r="7" spans="1:3">
      <c r="A7" s="21" t="s">
        <v>66</v>
      </c>
      <c r="B7" t="s">
        <v>67</v>
      </c>
      <c r="C7" t="s">
        <v>68</v>
      </c>
    </row>
    <row r="8" spans="1:3">
      <c r="A8" s="21"/>
      <c r="B8" t="s">
        <v>69</v>
      </c>
      <c r="C8" t="s">
        <v>70</v>
      </c>
    </row>
    <row r="9" spans="1:3">
      <c r="A9" s="21"/>
      <c r="B9" t="s">
        <v>71</v>
      </c>
      <c r="C9" t="s">
        <v>72</v>
      </c>
    </row>
    <row r="10" spans="1:3">
      <c r="A10" s="21"/>
      <c r="B10" t="s">
        <v>73</v>
      </c>
      <c r="C10" t="s">
        <v>74</v>
      </c>
    </row>
    <row r="11" spans="1:3">
      <c r="A11" s="21"/>
      <c r="B11" t="s">
        <v>75</v>
      </c>
      <c r="C11" t="s">
        <v>76</v>
      </c>
    </row>
    <row r="12" spans="1:3">
      <c r="A12" s="21"/>
      <c r="B12" t="s">
        <v>77</v>
      </c>
      <c r="C12" t="s">
        <v>78</v>
      </c>
    </row>
    <row r="13" spans="1:3">
      <c r="A13" s="21"/>
      <c r="B13" t="s">
        <v>79</v>
      </c>
      <c r="C13" t="s">
        <v>80</v>
      </c>
    </row>
    <row r="14" spans="1:3">
      <c r="A14" s="21"/>
      <c r="B14" t="s">
        <v>81</v>
      </c>
      <c r="C14" t="s">
        <v>82</v>
      </c>
    </row>
    <row r="15" spans="1:3">
      <c r="A15" s="21"/>
      <c r="B15" t="s">
        <v>83</v>
      </c>
      <c r="C15" t="s">
        <v>84</v>
      </c>
    </row>
    <row r="16" spans="1:3">
      <c r="A16" s="21"/>
      <c r="B16" t="s">
        <v>85</v>
      </c>
      <c r="C16" t="s">
        <v>86</v>
      </c>
    </row>
    <row r="17" spans="2:3">
      <c r="B17" t="s">
        <v>87</v>
      </c>
      <c r="C17" t="s">
        <v>88</v>
      </c>
    </row>
    <row r="18" spans="2:3">
      <c r="B18" t="s">
        <v>89</v>
      </c>
      <c r="C18" t="s">
        <v>90</v>
      </c>
    </row>
    <row r="19" spans="2:3">
      <c r="B19" t="s">
        <v>91</v>
      </c>
      <c r="C19" t="s">
        <v>92</v>
      </c>
    </row>
    <row r="20" spans="2:3">
      <c r="B20" t="s">
        <v>93</v>
      </c>
      <c r="C20" t="s">
        <v>94</v>
      </c>
    </row>
    <row r="21" spans="2:3">
      <c r="B21" t="s">
        <v>95</v>
      </c>
      <c r="C21" t="s">
        <v>96</v>
      </c>
    </row>
    <row r="22" spans="2:3">
      <c r="B22" t="s">
        <v>97</v>
      </c>
      <c r="C22" t="s">
        <v>98</v>
      </c>
    </row>
    <row r="23" spans="2:3">
      <c r="B23" t="s">
        <v>99</v>
      </c>
      <c r="C23" t="s">
        <v>100</v>
      </c>
    </row>
    <row r="24" spans="2:3">
      <c r="B24" t="s">
        <v>101</v>
      </c>
      <c r="C24" t="s">
        <v>102</v>
      </c>
    </row>
    <row r="25" spans="2:3">
      <c r="B25" t="s">
        <v>103</v>
      </c>
      <c r="C25" t="s">
        <v>104</v>
      </c>
    </row>
    <row r="26" spans="2:3">
      <c r="B26" t="s">
        <v>105</v>
      </c>
      <c r="C26" t="s">
        <v>106</v>
      </c>
    </row>
    <row r="27" spans="2:3">
      <c r="B27" t="s">
        <v>107</v>
      </c>
      <c r="C27" t="s">
        <v>108</v>
      </c>
    </row>
    <row r="28" spans="2:3">
      <c r="B28" t="s">
        <v>109</v>
      </c>
      <c r="C28" t="s">
        <v>110</v>
      </c>
    </row>
    <row r="29" spans="2:3">
      <c r="B29" t="s">
        <v>111</v>
      </c>
      <c r="C29" t="s">
        <v>112</v>
      </c>
    </row>
    <row r="30" spans="2:3">
      <c r="B30" t="s">
        <v>113</v>
      </c>
      <c r="C30" t="s">
        <v>114</v>
      </c>
    </row>
    <row r="31" spans="2:3">
      <c r="B31" t="s">
        <v>115</v>
      </c>
      <c r="C31" t="s">
        <v>116</v>
      </c>
    </row>
    <row r="32" spans="2:3">
      <c r="B32" t="s">
        <v>117</v>
      </c>
      <c r="C32" t="s">
        <v>118</v>
      </c>
    </row>
    <row r="33" spans="2:3">
      <c r="B33" t="s">
        <v>119</v>
      </c>
      <c r="C33" t="s">
        <v>120</v>
      </c>
    </row>
    <row r="34" spans="2:3">
      <c r="B34" t="s">
        <v>121</v>
      </c>
      <c r="C34" t="s">
        <v>122</v>
      </c>
    </row>
    <row r="35" spans="2:3">
      <c r="B35" t="s">
        <v>123</v>
      </c>
      <c r="C35" t="s">
        <v>124</v>
      </c>
    </row>
    <row r="36" spans="2:3">
      <c r="B36" t="s">
        <v>125</v>
      </c>
      <c r="C36" t="s">
        <v>126</v>
      </c>
    </row>
    <row r="37" spans="2:3">
      <c r="B37" t="s">
        <v>127</v>
      </c>
      <c r="C37" t="s">
        <v>128</v>
      </c>
    </row>
    <row r="38" spans="2:3">
      <c r="B38" t="s">
        <v>129</v>
      </c>
      <c r="C38" t="s">
        <v>130</v>
      </c>
    </row>
    <row r="39" spans="2:3">
      <c r="B39" t="s">
        <v>131</v>
      </c>
      <c r="C39" t="s">
        <v>132</v>
      </c>
    </row>
    <row r="40" spans="2:3">
      <c r="B40" t="s">
        <v>133</v>
      </c>
      <c r="C40" t="s">
        <v>134</v>
      </c>
    </row>
    <row r="41" spans="2:3">
      <c r="B41" t="s">
        <v>135</v>
      </c>
      <c r="C41" t="s">
        <v>136</v>
      </c>
    </row>
    <row r="42" spans="2:3">
      <c r="B42" t="s">
        <v>137</v>
      </c>
      <c r="C42" t="s">
        <v>138</v>
      </c>
    </row>
    <row r="43" spans="2:3">
      <c r="B43" t="s">
        <v>139</v>
      </c>
      <c r="C43" t="s">
        <v>140</v>
      </c>
    </row>
    <row r="44" spans="2:3">
      <c r="B44" t="s">
        <v>141</v>
      </c>
      <c r="C44" t="s">
        <v>142</v>
      </c>
    </row>
    <row r="45" spans="2:3">
      <c r="B45" t="s">
        <v>143</v>
      </c>
      <c r="C45" t="s">
        <v>144</v>
      </c>
    </row>
    <row r="46" spans="2:3">
      <c r="B46" t="s">
        <v>145</v>
      </c>
      <c r="C46" t="s">
        <v>146</v>
      </c>
    </row>
    <row r="47" spans="2:3">
      <c r="B47" t="s">
        <v>147</v>
      </c>
      <c r="C47" t="s">
        <v>148</v>
      </c>
    </row>
    <row r="48" spans="2:3">
      <c r="B48" t="s">
        <v>149</v>
      </c>
      <c r="C48" t="s">
        <v>150</v>
      </c>
    </row>
    <row r="49" spans="2:3">
      <c r="B49" t="s">
        <v>151</v>
      </c>
      <c r="C49" t="s">
        <v>152</v>
      </c>
    </row>
    <row r="50" spans="2:3">
      <c r="B50" t="s">
        <v>153</v>
      </c>
      <c r="C50" t="s">
        <v>154</v>
      </c>
    </row>
    <row r="51" spans="2:3">
      <c r="B51" t="s">
        <v>155</v>
      </c>
      <c r="C51" t="s">
        <v>156</v>
      </c>
    </row>
    <row r="52" spans="2:3">
      <c r="B52" t="s">
        <v>157</v>
      </c>
      <c r="C52" t="s">
        <v>158</v>
      </c>
    </row>
    <row r="53" spans="2:3">
      <c r="B53" t="s">
        <v>159</v>
      </c>
      <c r="C53" t="s">
        <v>160</v>
      </c>
    </row>
    <row r="54" spans="2:3">
      <c r="B54" t="s">
        <v>161</v>
      </c>
      <c r="C54" t="s">
        <v>162</v>
      </c>
    </row>
    <row r="55" spans="2:3">
      <c r="B55" t="s">
        <v>163</v>
      </c>
      <c r="C55" t="s">
        <v>164</v>
      </c>
    </row>
    <row r="56" spans="2:3">
      <c r="B56" t="s">
        <v>165</v>
      </c>
      <c r="C56" t="s">
        <v>166</v>
      </c>
    </row>
    <row r="57" spans="2:3">
      <c r="B57" t="s">
        <v>167</v>
      </c>
      <c r="C57" t="s">
        <v>168</v>
      </c>
    </row>
    <row r="58" spans="2:3">
      <c r="B58" t="s">
        <v>169</v>
      </c>
      <c r="C58" t="s">
        <v>170</v>
      </c>
    </row>
    <row r="59" spans="2:3">
      <c r="B59" t="s">
        <v>171</v>
      </c>
      <c r="C59" t="s">
        <v>172</v>
      </c>
    </row>
    <row r="60" spans="2:3">
      <c r="B60" t="s">
        <v>173</v>
      </c>
      <c r="C60" t="s">
        <v>174</v>
      </c>
    </row>
    <row r="61" spans="2:3">
      <c r="B61" t="s">
        <v>175</v>
      </c>
      <c r="C61" t="s">
        <v>176</v>
      </c>
    </row>
    <row r="62" spans="2:3">
      <c r="B62" t="s">
        <v>177</v>
      </c>
      <c r="C62" t="s">
        <v>178</v>
      </c>
    </row>
    <row r="63" spans="2:3">
      <c r="B63" t="s">
        <v>179</v>
      </c>
      <c r="C63" t="s">
        <v>180</v>
      </c>
    </row>
    <row r="64" spans="2:3">
      <c r="B64" t="s">
        <v>181</v>
      </c>
      <c r="C64" t="s">
        <v>182</v>
      </c>
    </row>
    <row r="65" spans="2:3">
      <c r="B65" t="s">
        <v>183</v>
      </c>
      <c r="C65" t="s">
        <v>184</v>
      </c>
    </row>
    <row r="66" spans="2:3">
      <c r="B66" t="s">
        <v>185</v>
      </c>
      <c r="C66" t="s">
        <v>186</v>
      </c>
    </row>
    <row r="67" spans="2:3">
      <c r="B67" t="s">
        <v>187</v>
      </c>
      <c r="C67" t="s">
        <v>188</v>
      </c>
    </row>
    <row r="68" spans="2:3">
      <c r="B68" t="s">
        <v>189</v>
      </c>
      <c r="C68" t="s">
        <v>190</v>
      </c>
    </row>
    <row r="69" spans="2:3">
      <c r="B69" t="s">
        <v>191</v>
      </c>
      <c r="C69" t="s">
        <v>192</v>
      </c>
    </row>
    <row r="70" spans="2:3">
      <c r="B70" t="s">
        <v>193</v>
      </c>
      <c r="C70" t="s">
        <v>194</v>
      </c>
    </row>
    <row r="71" spans="2:3">
      <c r="B71" t="s">
        <v>195</v>
      </c>
      <c r="C71" t="s">
        <v>196</v>
      </c>
    </row>
    <row r="72" spans="2:3">
      <c r="B72" t="s">
        <v>197</v>
      </c>
      <c r="C72" t="s">
        <v>198</v>
      </c>
    </row>
    <row r="73" spans="2:3">
      <c r="B73" t="s">
        <v>199</v>
      </c>
      <c r="C73" t="s">
        <v>200</v>
      </c>
    </row>
    <row r="74" spans="2:3">
      <c r="B74" t="s">
        <v>201</v>
      </c>
      <c r="C74" t="s">
        <v>202</v>
      </c>
    </row>
    <row r="75" spans="2:3">
      <c r="B75" t="s">
        <v>203</v>
      </c>
      <c r="C75" t="s">
        <v>204</v>
      </c>
    </row>
    <row r="76" spans="2:3">
      <c r="B76" t="s">
        <v>205</v>
      </c>
      <c r="C76" t="s">
        <v>206</v>
      </c>
    </row>
    <row r="77" spans="2:3">
      <c r="B77" t="s">
        <v>207</v>
      </c>
      <c r="C77" t="s">
        <v>208</v>
      </c>
    </row>
    <row r="78" spans="2:3">
      <c r="B78" t="s">
        <v>209</v>
      </c>
      <c r="C78" t="s">
        <v>210</v>
      </c>
    </row>
    <row r="79" spans="2:3">
      <c r="B79" t="s">
        <v>211</v>
      </c>
      <c r="C79" t="s">
        <v>212</v>
      </c>
    </row>
    <row r="80" spans="2:3">
      <c r="B80" t="s">
        <v>213</v>
      </c>
      <c r="C80" t="s">
        <v>214</v>
      </c>
    </row>
    <row r="81" spans="2:3">
      <c r="B81" t="s">
        <v>215</v>
      </c>
      <c r="C81" t="s">
        <v>216</v>
      </c>
    </row>
    <row r="82" spans="2:3">
      <c r="B82" t="s">
        <v>217</v>
      </c>
      <c r="C82" t="s">
        <v>218</v>
      </c>
    </row>
    <row r="83" spans="2:3">
      <c r="B83" t="s">
        <v>219</v>
      </c>
      <c r="C83" t="s">
        <v>220</v>
      </c>
    </row>
    <row r="84" spans="2:3">
      <c r="B84" t="s">
        <v>221</v>
      </c>
      <c r="C84" t="s">
        <v>222</v>
      </c>
    </row>
    <row r="85" spans="2:3">
      <c r="B85" t="s">
        <v>223</v>
      </c>
      <c r="C85" t="s">
        <v>224</v>
      </c>
    </row>
    <row r="86" spans="2:3">
      <c r="B86" t="s">
        <v>225</v>
      </c>
      <c r="C86" t="s">
        <v>226</v>
      </c>
    </row>
    <row r="87" spans="2:3">
      <c r="B87" t="s">
        <v>227</v>
      </c>
      <c r="C87" t="s">
        <v>228</v>
      </c>
    </row>
    <row r="88" spans="2:3">
      <c r="B88" t="s">
        <v>229</v>
      </c>
      <c r="C88" t="s">
        <v>230</v>
      </c>
    </row>
    <row r="89" spans="2:3">
      <c r="B89" t="s">
        <v>231</v>
      </c>
      <c r="C89" t="s">
        <v>232</v>
      </c>
    </row>
    <row r="90" spans="2:3">
      <c r="B90" t="s">
        <v>233</v>
      </c>
      <c r="C90" t="s">
        <v>234</v>
      </c>
    </row>
    <row r="91" spans="2:3">
      <c r="B91" t="s">
        <v>235</v>
      </c>
      <c r="C91" t="s">
        <v>236</v>
      </c>
    </row>
    <row r="92" spans="2:3">
      <c r="B92" t="s">
        <v>237</v>
      </c>
      <c r="C92" t="s">
        <v>238</v>
      </c>
    </row>
    <row r="93" spans="2:3">
      <c r="B93" t="s">
        <v>239</v>
      </c>
      <c r="C93" t="s">
        <v>240</v>
      </c>
    </row>
    <row r="94" spans="2:3">
      <c r="B94" t="s">
        <v>241</v>
      </c>
      <c r="C94" t="s">
        <v>242</v>
      </c>
    </row>
    <row r="95" spans="2:3">
      <c r="B95" t="s">
        <v>243</v>
      </c>
      <c r="C95" t="s">
        <v>244</v>
      </c>
    </row>
    <row r="96" spans="2:3">
      <c r="B96" t="s">
        <v>245</v>
      </c>
      <c r="C96" t="s">
        <v>246</v>
      </c>
    </row>
    <row r="97" spans="2:3">
      <c r="B97" t="s">
        <v>247</v>
      </c>
      <c r="C97" t="s">
        <v>248</v>
      </c>
    </row>
    <row r="98" spans="2:3">
      <c r="B98" t="s">
        <v>249</v>
      </c>
      <c r="C98" t="s">
        <v>250</v>
      </c>
    </row>
    <row r="99" spans="2:3">
      <c r="B99" t="s">
        <v>251</v>
      </c>
      <c r="C99" t="s">
        <v>252</v>
      </c>
    </row>
    <row r="100" spans="2:3">
      <c r="B100" t="s">
        <v>253</v>
      </c>
      <c r="C100" t="s">
        <v>254</v>
      </c>
    </row>
    <row r="101" spans="2:3">
      <c r="B101" t="s">
        <v>255</v>
      </c>
      <c r="C101" t="s">
        <v>256</v>
      </c>
    </row>
    <row r="102" spans="2:3">
      <c r="B102" t="s">
        <v>257</v>
      </c>
      <c r="C102" t="s">
        <v>258</v>
      </c>
    </row>
    <row r="103" spans="2:3">
      <c r="B103" t="s">
        <v>259</v>
      </c>
      <c r="C103" t="s">
        <v>260</v>
      </c>
    </row>
    <row r="104" spans="2:3">
      <c r="B104" t="s">
        <v>261</v>
      </c>
      <c r="C104" t="s">
        <v>262</v>
      </c>
    </row>
    <row r="105" spans="2:3">
      <c r="B105" t="s">
        <v>263</v>
      </c>
      <c r="C105" t="s">
        <v>264</v>
      </c>
    </row>
    <row r="106" spans="2:3">
      <c r="B106" t="s">
        <v>265</v>
      </c>
      <c r="C106" t="s">
        <v>266</v>
      </c>
    </row>
    <row r="107" spans="2:3">
      <c r="B107" t="s">
        <v>267</v>
      </c>
      <c r="C107" t="s">
        <v>268</v>
      </c>
    </row>
    <row r="108" spans="2:3">
      <c r="B108" t="s">
        <v>269</v>
      </c>
      <c r="C108" t="s">
        <v>270</v>
      </c>
    </row>
    <row r="109" spans="2:3">
      <c r="B109" t="s">
        <v>271</v>
      </c>
      <c r="C109" t="s">
        <v>272</v>
      </c>
    </row>
    <row r="110" spans="2:3">
      <c r="B110" t="s">
        <v>273</v>
      </c>
      <c r="C110" t="s">
        <v>274</v>
      </c>
    </row>
    <row r="111" spans="2:3">
      <c r="B111" t="s">
        <v>275</v>
      </c>
      <c r="C111" t="s">
        <v>276</v>
      </c>
    </row>
    <row r="112" spans="2:3">
      <c r="B112" t="s">
        <v>277</v>
      </c>
      <c r="C112" t="s">
        <v>278</v>
      </c>
    </row>
    <row r="113" spans="2:3">
      <c r="B113" t="s">
        <v>279</v>
      </c>
      <c r="C113" t="s">
        <v>280</v>
      </c>
    </row>
    <row r="114" spans="2:3">
      <c r="B114" t="s">
        <v>281</v>
      </c>
      <c r="C114" t="s">
        <v>282</v>
      </c>
    </row>
    <row r="115" spans="2:3">
      <c r="B115" t="s">
        <v>283</v>
      </c>
      <c r="C115" t="s">
        <v>284</v>
      </c>
    </row>
    <row r="116" spans="2:3">
      <c r="B116" t="s">
        <v>285</v>
      </c>
      <c r="C116" t="s">
        <v>286</v>
      </c>
    </row>
    <row r="117" spans="2:3">
      <c r="B117" t="s">
        <v>287</v>
      </c>
      <c r="C117" t="s">
        <v>288</v>
      </c>
    </row>
    <row r="118" spans="2:3">
      <c r="B118" t="s">
        <v>289</v>
      </c>
      <c r="C118" t="s">
        <v>290</v>
      </c>
    </row>
    <row r="119" spans="2:3">
      <c r="B119" t="s">
        <v>291</v>
      </c>
      <c r="C119" t="s">
        <v>292</v>
      </c>
    </row>
    <row r="120" spans="2:3">
      <c r="B120" t="s">
        <v>293</v>
      </c>
      <c r="C120" t="s">
        <v>294</v>
      </c>
    </row>
    <row r="121" spans="2:3">
      <c r="B121" t="s">
        <v>295</v>
      </c>
      <c r="C121" t="s">
        <v>296</v>
      </c>
    </row>
    <row r="122" spans="2:3">
      <c r="B122" t="s">
        <v>297</v>
      </c>
      <c r="C122" t="s">
        <v>298</v>
      </c>
    </row>
    <row r="123" spans="2:3">
      <c r="B123" t="s">
        <v>299</v>
      </c>
      <c r="C123" t="s">
        <v>300</v>
      </c>
    </row>
    <row r="124" spans="2:3">
      <c r="B124" t="s">
        <v>301</v>
      </c>
      <c r="C124" t="s">
        <v>302</v>
      </c>
    </row>
    <row r="125" spans="2:3">
      <c r="B125" t="s">
        <v>303</v>
      </c>
      <c r="C125" t="s">
        <v>304</v>
      </c>
    </row>
    <row r="126" spans="2:3">
      <c r="B126" t="s">
        <v>305</v>
      </c>
      <c r="C126" t="s">
        <v>306</v>
      </c>
    </row>
    <row r="127" spans="2:3">
      <c r="B127" t="s">
        <v>307</v>
      </c>
      <c r="C127" t="s">
        <v>308</v>
      </c>
    </row>
    <row r="128" spans="2:3">
      <c r="B128" t="s">
        <v>309</v>
      </c>
      <c r="C128" t="s">
        <v>310</v>
      </c>
    </row>
    <row r="129" spans="2:3">
      <c r="B129" t="s">
        <v>311</v>
      </c>
      <c r="C129" t="s">
        <v>312</v>
      </c>
    </row>
    <row r="130" spans="2:3">
      <c r="B130" t="s">
        <v>313</v>
      </c>
      <c r="C130" t="s">
        <v>314</v>
      </c>
    </row>
    <row r="131" spans="2:3">
      <c r="B131" t="s">
        <v>315</v>
      </c>
      <c r="C131" t="s">
        <v>316</v>
      </c>
    </row>
    <row r="132" spans="2:3">
      <c r="B132" t="s">
        <v>317</v>
      </c>
      <c r="C132" t="s">
        <v>318</v>
      </c>
    </row>
    <row r="133" spans="2:3">
      <c r="B133" t="s">
        <v>319</v>
      </c>
      <c r="C133" t="s">
        <v>320</v>
      </c>
    </row>
    <row r="134" spans="2:3">
      <c r="B134" t="s">
        <v>321</v>
      </c>
      <c r="C134" t="s">
        <v>322</v>
      </c>
    </row>
    <row r="135" spans="2:3">
      <c r="B135" t="s">
        <v>323</v>
      </c>
      <c r="C135" t="s">
        <v>324</v>
      </c>
    </row>
    <row r="136" spans="2:3">
      <c r="B136" t="s">
        <v>325</v>
      </c>
      <c r="C136" t="s">
        <v>326</v>
      </c>
    </row>
    <row r="137" spans="2:3">
      <c r="B137" t="s">
        <v>327</v>
      </c>
      <c r="C137" t="s">
        <v>328</v>
      </c>
    </row>
    <row r="138" spans="2:3">
      <c r="B138" t="s">
        <v>329</v>
      </c>
      <c r="C138" t="s">
        <v>330</v>
      </c>
    </row>
    <row r="139" spans="2:3">
      <c r="B139" t="s">
        <v>331</v>
      </c>
      <c r="C139" t="s">
        <v>332</v>
      </c>
    </row>
    <row r="140" spans="2:3">
      <c r="B140" t="s">
        <v>333</v>
      </c>
      <c r="C140" t="s">
        <v>334</v>
      </c>
    </row>
    <row r="141" spans="2:3">
      <c r="B141" t="s">
        <v>335</v>
      </c>
      <c r="C141" t="s">
        <v>336</v>
      </c>
    </row>
    <row r="142" spans="2:3">
      <c r="B142" t="s">
        <v>337</v>
      </c>
      <c r="C142" t="s">
        <v>338</v>
      </c>
    </row>
    <row r="143" spans="2:3">
      <c r="B143" t="s">
        <v>339</v>
      </c>
      <c r="C143" t="s">
        <v>340</v>
      </c>
    </row>
    <row r="144" spans="2:3">
      <c r="B144" t="s">
        <v>341</v>
      </c>
      <c r="C144" t="s">
        <v>342</v>
      </c>
    </row>
    <row r="145" spans="2:3">
      <c r="B145" t="s">
        <v>343</v>
      </c>
      <c r="C145" t="s">
        <v>344</v>
      </c>
    </row>
    <row r="146" spans="2:3">
      <c r="B146" t="s">
        <v>345</v>
      </c>
      <c r="C146" t="s">
        <v>346</v>
      </c>
    </row>
    <row r="147" spans="2:3">
      <c r="B147" t="s">
        <v>347</v>
      </c>
      <c r="C147" t="s">
        <v>348</v>
      </c>
    </row>
    <row r="148" spans="2:3">
      <c r="B148" t="s">
        <v>349</v>
      </c>
      <c r="C148" t="s">
        <v>350</v>
      </c>
    </row>
    <row r="149" spans="2:3">
      <c r="B149" t="s">
        <v>351</v>
      </c>
      <c r="C149" t="s">
        <v>352</v>
      </c>
    </row>
    <row r="150" spans="2:3">
      <c r="B150" t="s">
        <v>353</v>
      </c>
      <c r="C150" t="s">
        <v>354</v>
      </c>
    </row>
    <row r="151" spans="2:3">
      <c r="B151" t="s">
        <v>355</v>
      </c>
      <c r="C151" t="s">
        <v>356</v>
      </c>
    </row>
    <row r="152" spans="2:3">
      <c r="B152" t="s">
        <v>357</v>
      </c>
      <c r="C152" t="s">
        <v>358</v>
      </c>
    </row>
    <row r="153" spans="2:3">
      <c r="B153" t="s">
        <v>359</v>
      </c>
      <c r="C153" t="s">
        <v>360</v>
      </c>
    </row>
    <row r="154" spans="2:3">
      <c r="B154" t="s">
        <v>361</v>
      </c>
      <c r="C154" t="s">
        <v>362</v>
      </c>
    </row>
    <row r="155" spans="2:3">
      <c r="B155" t="s">
        <v>363</v>
      </c>
      <c r="C155" t="s">
        <v>364</v>
      </c>
    </row>
    <row r="156" spans="2:3">
      <c r="B156" t="s">
        <v>365</v>
      </c>
      <c r="C156" t="s">
        <v>366</v>
      </c>
    </row>
    <row r="157" spans="2:3">
      <c r="B157" t="s">
        <v>367</v>
      </c>
      <c r="C157" t="s">
        <v>368</v>
      </c>
    </row>
    <row r="158" spans="2:3">
      <c r="B158" t="s">
        <v>369</v>
      </c>
      <c r="C158" t="s">
        <v>370</v>
      </c>
    </row>
    <row r="159" spans="2:3">
      <c r="B159" t="s">
        <v>371</v>
      </c>
      <c r="C159" t="s">
        <v>372</v>
      </c>
    </row>
    <row r="160" spans="2:3">
      <c r="B160" t="s">
        <v>373</v>
      </c>
      <c r="C160" t="s">
        <v>374</v>
      </c>
    </row>
    <row r="161" spans="2:3">
      <c r="B161" t="s">
        <v>375</v>
      </c>
      <c r="C161" t="s">
        <v>376</v>
      </c>
    </row>
    <row r="162" spans="2:3">
      <c r="B162" t="s">
        <v>377</v>
      </c>
      <c r="C162" t="s">
        <v>378</v>
      </c>
    </row>
    <row r="163" spans="2:3">
      <c r="B163" t="s">
        <v>379</v>
      </c>
      <c r="C163" t="s">
        <v>380</v>
      </c>
    </row>
    <row r="164" spans="2:3">
      <c r="B164" t="s">
        <v>381</v>
      </c>
      <c r="C164" t="s">
        <v>382</v>
      </c>
    </row>
    <row r="165" spans="2:3">
      <c r="B165" t="s">
        <v>383</v>
      </c>
      <c r="C165" t="s">
        <v>384</v>
      </c>
    </row>
    <row r="166" spans="2:3">
      <c r="B166" t="s">
        <v>385</v>
      </c>
      <c r="C166" t="s">
        <v>386</v>
      </c>
    </row>
    <row r="167" spans="2:3">
      <c r="B167" t="s">
        <v>387</v>
      </c>
      <c r="C167" t="s">
        <v>388</v>
      </c>
    </row>
    <row r="168" spans="2:3">
      <c r="B168" t="s">
        <v>389</v>
      </c>
      <c r="C168" t="s">
        <v>390</v>
      </c>
    </row>
    <row r="169" spans="2:3">
      <c r="B169" t="s">
        <v>391</v>
      </c>
      <c r="C169" t="s">
        <v>392</v>
      </c>
    </row>
    <row r="170" spans="2:3">
      <c r="B170" t="s">
        <v>393</v>
      </c>
      <c r="C170" t="s">
        <v>394</v>
      </c>
    </row>
    <row r="171" spans="2:3">
      <c r="B171" t="s">
        <v>395</v>
      </c>
      <c r="C171" t="s">
        <v>396</v>
      </c>
    </row>
    <row r="172" spans="2:3">
      <c r="B172" t="s">
        <v>397</v>
      </c>
      <c r="C172" t="s">
        <v>398</v>
      </c>
    </row>
    <row r="173" spans="2:3">
      <c r="B173" t="s">
        <v>399</v>
      </c>
      <c r="C173" t="s">
        <v>400</v>
      </c>
    </row>
    <row r="174" spans="2:3">
      <c r="B174" t="s">
        <v>401</v>
      </c>
      <c r="C174" t="s">
        <v>402</v>
      </c>
    </row>
    <row r="175" spans="2:3">
      <c r="B175" t="s">
        <v>403</v>
      </c>
      <c r="C175" t="s">
        <v>404</v>
      </c>
    </row>
    <row r="176" spans="2:3">
      <c r="B176" t="s">
        <v>405</v>
      </c>
      <c r="C176" t="s">
        <v>406</v>
      </c>
    </row>
    <row r="177" spans="2:3">
      <c r="B177" t="s">
        <v>407</v>
      </c>
      <c r="C177" t="s">
        <v>408</v>
      </c>
    </row>
    <row r="178" spans="2:3">
      <c r="B178" t="s">
        <v>409</v>
      </c>
      <c r="C178" t="s">
        <v>410</v>
      </c>
    </row>
    <row r="179" spans="2:3">
      <c r="B179" t="s">
        <v>411</v>
      </c>
      <c r="C179" t="s">
        <v>412</v>
      </c>
    </row>
    <row r="180" spans="2:3">
      <c r="B180" t="s">
        <v>413</v>
      </c>
      <c r="C180" t="s">
        <v>414</v>
      </c>
    </row>
    <row r="181" spans="2:3">
      <c r="B181" t="s">
        <v>415</v>
      </c>
      <c r="C181" t="s">
        <v>416</v>
      </c>
    </row>
    <row r="182" spans="2:3">
      <c r="B182" t="s">
        <v>417</v>
      </c>
      <c r="C182" t="s">
        <v>418</v>
      </c>
    </row>
    <row r="183" spans="2:3">
      <c r="B183" t="s">
        <v>419</v>
      </c>
      <c r="C183" t="s">
        <v>420</v>
      </c>
    </row>
    <row r="184" spans="2:3">
      <c r="B184" t="s">
        <v>421</v>
      </c>
      <c r="C184" t="s">
        <v>422</v>
      </c>
    </row>
    <row r="185" spans="2:3">
      <c r="B185" t="s">
        <v>423</v>
      </c>
      <c r="C185" t="s">
        <v>424</v>
      </c>
    </row>
    <row r="186" spans="2:3">
      <c r="B186" t="s">
        <v>425</v>
      </c>
      <c r="C186" t="s">
        <v>426</v>
      </c>
    </row>
    <row r="187" spans="2:3">
      <c r="B187" t="s">
        <v>427</v>
      </c>
      <c r="C187" t="s">
        <v>428</v>
      </c>
    </row>
    <row r="188" spans="2:3">
      <c r="B188" t="s">
        <v>429</v>
      </c>
      <c r="C188" t="s">
        <v>430</v>
      </c>
    </row>
    <row r="189" spans="2:3">
      <c r="B189" t="s">
        <v>431</v>
      </c>
      <c r="C189" t="s">
        <v>432</v>
      </c>
    </row>
    <row r="190" spans="2:3">
      <c r="B190" t="s">
        <v>433</v>
      </c>
      <c r="C190" t="s">
        <v>434</v>
      </c>
    </row>
    <row r="191" spans="2:3">
      <c r="B191" t="s">
        <v>435</v>
      </c>
      <c r="C191" t="s">
        <v>436</v>
      </c>
    </row>
    <row r="192" spans="2:3">
      <c r="B192" t="s">
        <v>437</v>
      </c>
      <c r="C192" t="s">
        <v>438</v>
      </c>
    </row>
    <row r="193" spans="2:3">
      <c r="B193" t="s">
        <v>439</v>
      </c>
      <c r="C193" t="s">
        <v>440</v>
      </c>
    </row>
    <row r="194" spans="2:3">
      <c r="B194" t="s">
        <v>441</v>
      </c>
      <c r="C194" t="s">
        <v>442</v>
      </c>
    </row>
    <row r="195" spans="2:3">
      <c r="B195" t="s">
        <v>443</v>
      </c>
      <c r="C195" t="s">
        <v>444</v>
      </c>
    </row>
    <row r="196" spans="2:3">
      <c r="B196" t="s">
        <v>445</v>
      </c>
      <c r="C196" t="s">
        <v>446</v>
      </c>
    </row>
    <row r="197" spans="2:3">
      <c r="B197" t="s">
        <v>447</v>
      </c>
      <c r="C197" t="s">
        <v>448</v>
      </c>
    </row>
    <row r="198" spans="2:3">
      <c r="B198" t="s">
        <v>449</v>
      </c>
      <c r="C198" t="s">
        <v>450</v>
      </c>
    </row>
    <row r="199" spans="2:3">
      <c r="B199" t="s">
        <v>451</v>
      </c>
      <c r="C199" t="s">
        <v>452</v>
      </c>
    </row>
    <row r="200" spans="2:3">
      <c r="B200" t="s">
        <v>453</v>
      </c>
      <c r="C200" t="s">
        <v>454</v>
      </c>
    </row>
    <row r="201" spans="2:3">
      <c r="B201" t="s">
        <v>455</v>
      </c>
      <c r="C201" t="s">
        <v>456</v>
      </c>
    </row>
    <row r="202" spans="2:3">
      <c r="B202" t="s">
        <v>457</v>
      </c>
      <c r="C202" t="s">
        <v>458</v>
      </c>
    </row>
    <row r="203" spans="2:3">
      <c r="B203" t="s">
        <v>459</v>
      </c>
      <c r="C203" t="s">
        <v>460</v>
      </c>
    </row>
    <row r="204" spans="2:3">
      <c r="B204" t="s">
        <v>461</v>
      </c>
      <c r="C204" t="s">
        <v>462</v>
      </c>
    </row>
    <row r="205" spans="2:3">
      <c r="B205" t="s">
        <v>463</v>
      </c>
      <c r="C205" t="s">
        <v>464</v>
      </c>
    </row>
    <row r="206" spans="2:3">
      <c r="B206" t="s">
        <v>465</v>
      </c>
      <c r="C206" t="s">
        <v>466</v>
      </c>
    </row>
    <row r="207" spans="2:3">
      <c r="B207" t="s">
        <v>467</v>
      </c>
      <c r="C207" t="s">
        <v>468</v>
      </c>
    </row>
    <row r="208" spans="2:3">
      <c r="B208" t="s">
        <v>469</v>
      </c>
      <c r="C208" t="s">
        <v>470</v>
      </c>
    </row>
    <row r="209" spans="2:3">
      <c r="B209" t="s">
        <v>471</v>
      </c>
      <c r="C209" t="s">
        <v>30</v>
      </c>
    </row>
    <row r="210" spans="2:3">
      <c r="B210" t="s">
        <v>472</v>
      </c>
      <c r="C210" t="s">
        <v>473</v>
      </c>
    </row>
    <row r="211" spans="2:3">
      <c r="B211" t="s">
        <v>474</v>
      </c>
      <c r="C211" t="s">
        <v>475</v>
      </c>
    </row>
    <row r="212" spans="2:3">
      <c r="B212" t="s">
        <v>476</v>
      </c>
      <c r="C212" t="s">
        <v>477</v>
      </c>
    </row>
    <row r="213" spans="2:3">
      <c r="B213" t="s">
        <v>478</v>
      </c>
      <c r="C213" t="s">
        <v>479</v>
      </c>
    </row>
    <row r="214" spans="2:3">
      <c r="B214" t="s">
        <v>480</v>
      </c>
      <c r="C214" t="s">
        <v>481</v>
      </c>
    </row>
    <row r="215" spans="2:3">
      <c r="B215" t="s">
        <v>482</v>
      </c>
      <c r="C215" t="s">
        <v>483</v>
      </c>
    </row>
    <row r="216" spans="2:3">
      <c r="B216" t="s">
        <v>484</v>
      </c>
      <c r="C216" t="s">
        <v>485</v>
      </c>
    </row>
    <row r="217" spans="2:3">
      <c r="B217" t="s">
        <v>486</v>
      </c>
      <c r="C217" t="s">
        <v>487</v>
      </c>
    </row>
    <row r="218" spans="2:3">
      <c r="B218" t="s">
        <v>488</v>
      </c>
      <c r="C218" t="s">
        <v>489</v>
      </c>
    </row>
    <row r="219" spans="2:3">
      <c r="B219" t="s">
        <v>490</v>
      </c>
      <c r="C219" t="s">
        <v>491</v>
      </c>
    </row>
    <row r="220" spans="2:3">
      <c r="B220" t="s">
        <v>492</v>
      </c>
      <c r="C220" t="s">
        <v>493</v>
      </c>
    </row>
    <row r="221" spans="2:3">
      <c r="B221" t="s">
        <v>494</v>
      </c>
      <c r="C221" t="s">
        <v>495</v>
      </c>
    </row>
    <row r="222" spans="2:3">
      <c r="B222" t="s">
        <v>496</v>
      </c>
      <c r="C222" t="s">
        <v>497</v>
      </c>
    </row>
    <row r="223" spans="2:3">
      <c r="B223" t="s">
        <v>498</v>
      </c>
      <c r="C223" t="s">
        <v>499</v>
      </c>
    </row>
    <row r="224" spans="2:3">
      <c r="B224" t="s">
        <v>500</v>
      </c>
      <c r="C224" t="s">
        <v>501</v>
      </c>
    </row>
    <row r="225" spans="2:3">
      <c r="B225" t="s">
        <v>502</v>
      </c>
      <c r="C225" t="s">
        <v>503</v>
      </c>
    </row>
    <row r="226" spans="2:3">
      <c r="B226" t="s">
        <v>504</v>
      </c>
      <c r="C226" t="s">
        <v>505</v>
      </c>
    </row>
    <row r="227" spans="2:3">
      <c r="B227" t="s">
        <v>506</v>
      </c>
      <c r="C227" t="s">
        <v>507</v>
      </c>
    </row>
    <row r="228" spans="2:3">
      <c r="B228" t="s">
        <v>508</v>
      </c>
      <c r="C228" t="s">
        <v>509</v>
      </c>
    </row>
    <row r="229" spans="2:3">
      <c r="B229" t="s">
        <v>510</v>
      </c>
      <c r="C229" t="s">
        <v>511</v>
      </c>
    </row>
    <row r="230" spans="2:3">
      <c r="B230" t="s">
        <v>512</v>
      </c>
      <c r="C230" t="s">
        <v>513</v>
      </c>
    </row>
    <row r="231" spans="2:3">
      <c r="B231" t="s">
        <v>514</v>
      </c>
      <c r="C231" t="s">
        <v>515</v>
      </c>
    </row>
    <row r="232" spans="2:3">
      <c r="B232" t="s">
        <v>516</v>
      </c>
      <c r="C232" t="s">
        <v>517</v>
      </c>
    </row>
    <row r="233" spans="2:3">
      <c r="B233" t="s">
        <v>518</v>
      </c>
      <c r="C233" t="s">
        <v>519</v>
      </c>
    </row>
    <row r="234" spans="2:3">
      <c r="B234" t="s">
        <v>520</v>
      </c>
      <c r="C234" t="s">
        <v>521</v>
      </c>
    </row>
    <row r="235" spans="2:3">
      <c r="B235" t="s">
        <v>522</v>
      </c>
      <c r="C235" t="s">
        <v>523</v>
      </c>
    </row>
    <row r="236" spans="2:3">
      <c r="B236" t="s">
        <v>524</v>
      </c>
      <c r="C236" t="s">
        <v>525</v>
      </c>
    </row>
    <row r="237" spans="2:3">
      <c r="B237" t="s">
        <v>526</v>
      </c>
      <c r="C237" t="s">
        <v>527</v>
      </c>
    </row>
    <row r="238" spans="2:3">
      <c r="B238" t="s">
        <v>528</v>
      </c>
      <c r="C238" t="s">
        <v>529</v>
      </c>
    </row>
    <row r="239" spans="2:3">
      <c r="B239" t="s">
        <v>530</v>
      </c>
      <c r="C239" t="s">
        <v>531</v>
      </c>
    </row>
    <row r="240" spans="2:3">
      <c r="B240" t="s">
        <v>532</v>
      </c>
      <c r="C240" t="s">
        <v>533</v>
      </c>
    </row>
    <row r="241" spans="2:3">
      <c r="B241" t="s">
        <v>534</v>
      </c>
      <c r="C241" t="s">
        <v>535</v>
      </c>
    </row>
    <row r="242" spans="2:3">
      <c r="B242" t="s">
        <v>536</v>
      </c>
      <c r="C242" t="s">
        <v>537</v>
      </c>
    </row>
    <row r="243" spans="2:3">
      <c r="B243" t="s">
        <v>538</v>
      </c>
      <c r="C243" t="s">
        <v>539</v>
      </c>
    </row>
    <row r="244" spans="2:3">
      <c r="B244" t="s">
        <v>540</v>
      </c>
      <c r="C244" t="s">
        <v>541</v>
      </c>
    </row>
    <row r="245" spans="2:3">
      <c r="B245" t="s">
        <v>542</v>
      </c>
      <c r="C245" t="s">
        <v>543</v>
      </c>
    </row>
    <row r="246" spans="2:3">
      <c r="B246" t="s">
        <v>544</v>
      </c>
      <c r="C246" t="s">
        <v>545</v>
      </c>
    </row>
    <row r="247" spans="2:3">
      <c r="B247" t="s">
        <v>546</v>
      </c>
      <c r="C247" t="s">
        <v>547</v>
      </c>
    </row>
    <row r="248" spans="2:3">
      <c r="B248" t="s">
        <v>548</v>
      </c>
      <c r="C248" t="s">
        <v>549</v>
      </c>
    </row>
    <row r="249" spans="2:3">
      <c r="B249" t="s">
        <v>550</v>
      </c>
      <c r="C249" t="s">
        <v>551</v>
      </c>
    </row>
    <row r="250" spans="2:3">
      <c r="B250" t="s">
        <v>552</v>
      </c>
      <c r="C250" t="s">
        <v>553</v>
      </c>
    </row>
    <row r="251" spans="2:3">
      <c r="B251" t="s">
        <v>554</v>
      </c>
      <c r="C251" t="s">
        <v>555</v>
      </c>
    </row>
    <row r="252" spans="2:3">
      <c r="B252" t="s">
        <v>556</v>
      </c>
      <c r="C252" t="s">
        <v>557</v>
      </c>
    </row>
    <row r="253" spans="2:3">
      <c r="B253" t="s">
        <v>558</v>
      </c>
      <c r="C253" t="s">
        <v>559</v>
      </c>
    </row>
    <row r="254" spans="2:3">
      <c r="B254" t="s">
        <v>560</v>
      </c>
      <c r="C254" t="s">
        <v>561</v>
      </c>
    </row>
    <row r="255" spans="2:3">
      <c r="B255" t="s">
        <v>562</v>
      </c>
      <c r="C255" t="s">
        <v>563</v>
      </c>
    </row>
    <row r="256" spans="2:3">
      <c r="B256" t="s">
        <v>564</v>
      </c>
      <c r="C256" t="s">
        <v>565</v>
      </c>
    </row>
    <row r="257" spans="2:3">
      <c r="B257" t="s">
        <v>566</v>
      </c>
      <c r="C257" t="s">
        <v>567</v>
      </c>
    </row>
    <row r="258" spans="2:3">
      <c r="B258" t="s">
        <v>568</v>
      </c>
      <c r="C258" t="s">
        <v>569</v>
      </c>
    </row>
    <row r="259" spans="2:3">
      <c r="B259" t="s">
        <v>570</v>
      </c>
      <c r="C259" t="s">
        <v>571</v>
      </c>
    </row>
    <row r="260" spans="2:3">
      <c r="B260" t="s">
        <v>572</v>
      </c>
      <c r="C260" t="s">
        <v>573</v>
      </c>
    </row>
    <row r="261" spans="2:3">
      <c r="B261" t="s">
        <v>574</v>
      </c>
      <c r="C261" t="s">
        <v>575</v>
      </c>
    </row>
    <row r="262" spans="2:3">
      <c r="B262" t="s">
        <v>576</v>
      </c>
      <c r="C262" t="s">
        <v>577</v>
      </c>
    </row>
    <row r="263" spans="2:3">
      <c r="B263" t="s">
        <v>578</v>
      </c>
      <c r="C263" t="s">
        <v>579</v>
      </c>
    </row>
    <row r="264" spans="2:3">
      <c r="B264" t="s">
        <v>580</v>
      </c>
      <c r="C264" t="s">
        <v>581</v>
      </c>
    </row>
    <row r="265" spans="2:3">
      <c r="B265" t="s">
        <v>582</v>
      </c>
      <c r="C265" t="s">
        <v>583</v>
      </c>
    </row>
    <row r="266" spans="2:3">
      <c r="B266" t="s">
        <v>584</v>
      </c>
      <c r="C266" t="s">
        <v>585</v>
      </c>
    </row>
    <row r="267" spans="2:3">
      <c r="B267" t="s">
        <v>586</v>
      </c>
      <c r="C267" t="s">
        <v>587</v>
      </c>
    </row>
    <row r="268" spans="2:3">
      <c r="B268" t="s">
        <v>588</v>
      </c>
      <c r="C268" t="s">
        <v>589</v>
      </c>
    </row>
    <row r="269" spans="2:3">
      <c r="B269" t="s">
        <v>590</v>
      </c>
      <c r="C269" t="s">
        <v>591</v>
      </c>
    </row>
    <row r="270" spans="2:3">
      <c r="B270" t="s">
        <v>592</v>
      </c>
      <c r="C270" t="s">
        <v>593</v>
      </c>
    </row>
    <row r="271" spans="2:3">
      <c r="B271" t="s">
        <v>594</v>
      </c>
      <c r="C271" t="s">
        <v>595</v>
      </c>
    </row>
    <row r="272" spans="2:3">
      <c r="B272" t="s">
        <v>596</v>
      </c>
      <c r="C272" t="s">
        <v>597</v>
      </c>
    </row>
    <row r="273" spans="2:3">
      <c r="B273" t="s">
        <v>598</v>
      </c>
      <c r="C273" t="s">
        <v>599</v>
      </c>
    </row>
    <row r="274" spans="2:3">
      <c r="B274" t="s">
        <v>600</v>
      </c>
      <c r="C274" t="s">
        <v>601</v>
      </c>
    </row>
    <row r="275" spans="2:3">
      <c r="B275" t="s">
        <v>602</v>
      </c>
      <c r="C275" t="s">
        <v>603</v>
      </c>
    </row>
    <row r="276" spans="2:3">
      <c r="B276" t="s">
        <v>604</v>
      </c>
      <c r="C276" t="s">
        <v>605</v>
      </c>
    </row>
    <row r="277" spans="2:3">
      <c r="B277" t="s">
        <v>606</v>
      </c>
      <c r="C277" t="s">
        <v>607</v>
      </c>
    </row>
    <row r="278" spans="2:3">
      <c r="B278" t="s">
        <v>608</v>
      </c>
      <c r="C278" t="s">
        <v>609</v>
      </c>
    </row>
    <row r="279" spans="2:3">
      <c r="B279" t="s">
        <v>610</v>
      </c>
      <c r="C279" t="s">
        <v>611</v>
      </c>
    </row>
    <row r="280" spans="2:3">
      <c r="B280" t="s">
        <v>612</v>
      </c>
      <c r="C280" t="s">
        <v>613</v>
      </c>
    </row>
    <row r="281" spans="2:3">
      <c r="B281" t="s">
        <v>614</v>
      </c>
      <c r="C281" t="s">
        <v>615</v>
      </c>
    </row>
    <row r="282" spans="2:3">
      <c r="B282" t="s">
        <v>616</v>
      </c>
      <c r="C282" t="s">
        <v>617</v>
      </c>
    </row>
    <row r="283" spans="2:3">
      <c r="B283" t="s">
        <v>618</v>
      </c>
      <c r="C283" t="s">
        <v>619</v>
      </c>
    </row>
    <row r="284" spans="2:3">
      <c r="B284" t="s">
        <v>620</v>
      </c>
      <c r="C284" t="s">
        <v>621</v>
      </c>
    </row>
    <row r="285" spans="2:3">
      <c r="B285" t="s">
        <v>622</v>
      </c>
      <c r="C285" t="s">
        <v>623</v>
      </c>
    </row>
    <row r="286" spans="2:3">
      <c r="B286" t="s">
        <v>624</v>
      </c>
      <c r="C286" t="s">
        <v>625</v>
      </c>
    </row>
    <row r="287" spans="2:3">
      <c r="B287" t="s">
        <v>626</v>
      </c>
      <c r="C287" t="s">
        <v>627</v>
      </c>
    </row>
    <row r="288" spans="2:3">
      <c r="B288" t="s">
        <v>628</v>
      </c>
      <c r="C288" t="s">
        <v>629</v>
      </c>
    </row>
    <row r="289" spans="2:3">
      <c r="B289" t="s">
        <v>630</v>
      </c>
      <c r="C289" t="s">
        <v>631</v>
      </c>
    </row>
    <row r="290" spans="2:3">
      <c r="B290" t="s">
        <v>632</v>
      </c>
      <c r="C290" t="s">
        <v>633</v>
      </c>
    </row>
    <row r="291" spans="2:3">
      <c r="B291" t="s">
        <v>634</v>
      </c>
      <c r="C291" t="s">
        <v>635</v>
      </c>
    </row>
    <row r="292" spans="2:3">
      <c r="B292" t="s">
        <v>636</v>
      </c>
      <c r="C292" t="s">
        <v>637</v>
      </c>
    </row>
    <row r="293" spans="2:3">
      <c r="B293" t="s">
        <v>638</v>
      </c>
      <c r="C293" t="s">
        <v>639</v>
      </c>
    </row>
    <row r="294" spans="2:3">
      <c r="B294" t="s">
        <v>640</v>
      </c>
      <c r="C294" t="s">
        <v>641</v>
      </c>
    </row>
    <row r="295" spans="2:3">
      <c r="B295" t="s">
        <v>642</v>
      </c>
      <c r="C295" t="s">
        <v>643</v>
      </c>
    </row>
    <row r="296" spans="2:3">
      <c r="B296" t="s">
        <v>644</v>
      </c>
      <c r="C296" t="s">
        <v>645</v>
      </c>
    </row>
    <row r="297" spans="2:3">
      <c r="B297" t="s">
        <v>646</v>
      </c>
      <c r="C297" t="s">
        <v>647</v>
      </c>
    </row>
    <row r="298" spans="2:3">
      <c r="B298" t="s">
        <v>648</v>
      </c>
      <c r="C298" t="s">
        <v>649</v>
      </c>
    </row>
    <row r="299" spans="2:3">
      <c r="B299" t="s">
        <v>650</v>
      </c>
      <c r="C299" t="s">
        <v>651</v>
      </c>
    </row>
    <row r="300" spans="2:3">
      <c r="B300" t="s">
        <v>652</v>
      </c>
      <c r="C300" t="s">
        <v>653</v>
      </c>
    </row>
    <row r="301" spans="2:3">
      <c r="B301" t="s">
        <v>654</v>
      </c>
      <c r="C301" t="s">
        <v>655</v>
      </c>
    </row>
    <row r="302" spans="2:3">
      <c r="B302" t="s">
        <v>656</v>
      </c>
      <c r="C302" t="s">
        <v>657</v>
      </c>
    </row>
    <row r="303" spans="2:3">
      <c r="B303" t="s">
        <v>658</v>
      </c>
      <c r="C303" t="s">
        <v>659</v>
      </c>
    </row>
    <row r="304" spans="2:3">
      <c r="B304" t="s">
        <v>660</v>
      </c>
      <c r="C304" t="s">
        <v>661</v>
      </c>
    </row>
    <row r="305" spans="2:3">
      <c r="B305" t="s">
        <v>662</v>
      </c>
      <c r="C305" t="s">
        <v>663</v>
      </c>
    </row>
    <row r="306" spans="2:3">
      <c r="B306" t="s">
        <v>664</v>
      </c>
      <c r="C306" t="s">
        <v>665</v>
      </c>
    </row>
    <row r="307" spans="2:3">
      <c r="B307" t="s">
        <v>666</v>
      </c>
      <c r="C307" t="s">
        <v>667</v>
      </c>
    </row>
    <row r="308" spans="2:3">
      <c r="B308" t="s">
        <v>668</v>
      </c>
      <c r="C308" t="s">
        <v>669</v>
      </c>
    </row>
    <row r="309" spans="2:3">
      <c r="B309" t="s">
        <v>670</v>
      </c>
      <c r="C309" t="s">
        <v>671</v>
      </c>
    </row>
    <row r="310" spans="2:3">
      <c r="B310" t="s">
        <v>672</v>
      </c>
      <c r="C310" t="s">
        <v>673</v>
      </c>
    </row>
    <row r="311" spans="2:3">
      <c r="B311" t="s">
        <v>674</v>
      </c>
      <c r="C311" t="s">
        <v>675</v>
      </c>
    </row>
    <row r="312" spans="2:3">
      <c r="B312" t="s">
        <v>676</v>
      </c>
      <c r="C312" t="s">
        <v>677</v>
      </c>
    </row>
    <row r="313" spans="2:3">
      <c r="B313" t="s">
        <v>678</v>
      </c>
      <c r="C313" t="s">
        <v>679</v>
      </c>
    </row>
    <row r="314" spans="2:3">
      <c r="B314" t="s">
        <v>680</v>
      </c>
      <c r="C314" t="s">
        <v>681</v>
      </c>
    </row>
    <row r="315" spans="2:3">
      <c r="B315" t="s">
        <v>682</v>
      </c>
      <c r="C315" t="s">
        <v>683</v>
      </c>
    </row>
    <row r="316" spans="2:3">
      <c r="B316" t="s">
        <v>684</v>
      </c>
      <c r="C316" t="s">
        <v>685</v>
      </c>
    </row>
    <row r="317" spans="2:3">
      <c r="B317" t="s">
        <v>686</v>
      </c>
      <c r="C317" t="s">
        <v>687</v>
      </c>
    </row>
    <row r="318" spans="2:3">
      <c r="B318" t="s">
        <v>688</v>
      </c>
      <c r="C318" t="s">
        <v>689</v>
      </c>
    </row>
    <row r="319" spans="2:3">
      <c r="B319" t="s">
        <v>690</v>
      </c>
      <c r="C319" t="s">
        <v>691</v>
      </c>
    </row>
    <row r="320" spans="2:3">
      <c r="B320" t="s">
        <v>692</v>
      </c>
      <c r="C320" t="s">
        <v>693</v>
      </c>
    </row>
    <row r="321" spans="2:3">
      <c r="B321" t="s">
        <v>694</v>
      </c>
      <c r="C321" t="s">
        <v>695</v>
      </c>
    </row>
    <row r="322" spans="2:3">
      <c r="B322" t="s">
        <v>696</v>
      </c>
      <c r="C322" t="s">
        <v>697</v>
      </c>
    </row>
    <row r="323" spans="2:3">
      <c r="B323" t="s">
        <v>698</v>
      </c>
      <c r="C323" t="s">
        <v>699</v>
      </c>
    </row>
    <row r="324" spans="2:3">
      <c r="B324" t="s">
        <v>700</v>
      </c>
      <c r="C324" t="s">
        <v>701</v>
      </c>
    </row>
    <row r="325" spans="2:3">
      <c r="B325" t="s">
        <v>702</v>
      </c>
      <c r="C325" t="s">
        <v>703</v>
      </c>
    </row>
    <row r="326" spans="2:3">
      <c r="B326" t="s">
        <v>704</v>
      </c>
      <c r="C326" t="s">
        <v>705</v>
      </c>
    </row>
    <row r="327" spans="2:3">
      <c r="B327" t="s">
        <v>706</v>
      </c>
      <c r="C327" t="s">
        <v>707</v>
      </c>
    </row>
    <row r="328" spans="2:3">
      <c r="B328" t="s">
        <v>708</v>
      </c>
      <c r="C328" t="s">
        <v>709</v>
      </c>
    </row>
    <row r="329" spans="2:3">
      <c r="B329" t="s">
        <v>710</v>
      </c>
      <c r="C329" t="s">
        <v>711</v>
      </c>
    </row>
    <row r="330" spans="2:3">
      <c r="B330" t="s">
        <v>712</v>
      </c>
      <c r="C330" t="s">
        <v>713</v>
      </c>
    </row>
    <row r="331" spans="2:3">
      <c r="B331" t="s">
        <v>714</v>
      </c>
      <c r="C331" t="s">
        <v>715</v>
      </c>
    </row>
    <row r="332" spans="2:3">
      <c r="B332" t="s">
        <v>716</v>
      </c>
      <c r="C332" t="s">
        <v>717</v>
      </c>
    </row>
    <row r="333" spans="2:3">
      <c r="B333" t="s">
        <v>718</v>
      </c>
      <c r="C333" t="s">
        <v>719</v>
      </c>
    </row>
    <row r="334" spans="2:3">
      <c r="B334" t="s">
        <v>720</v>
      </c>
      <c r="C334" t="s">
        <v>721</v>
      </c>
    </row>
    <row r="335" spans="2:3">
      <c r="B335" t="s">
        <v>722</v>
      </c>
      <c r="C335" t="s">
        <v>723</v>
      </c>
    </row>
    <row r="336" spans="2:3">
      <c r="B336" t="s">
        <v>724</v>
      </c>
      <c r="C336" t="s">
        <v>725</v>
      </c>
    </row>
    <row r="337" spans="2:3">
      <c r="B337" t="s">
        <v>726</v>
      </c>
      <c r="C337" t="s">
        <v>727</v>
      </c>
    </row>
    <row r="338" spans="2:3">
      <c r="B338" t="s">
        <v>728</v>
      </c>
      <c r="C338" t="s">
        <v>729</v>
      </c>
    </row>
    <row r="339" spans="2:3">
      <c r="B339" t="s">
        <v>730</v>
      </c>
      <c r="C339" t="s">
        <v>731</v>
      </c>
    </row>
    <row r="340" spans="2:3">
      <c r="B340" t="s">
        <v>732</v>
      </c>
      <c r="C340" t="s">
        <v>733</v>
      </c>
    </row>
    <row r="341" spans="2:3">
      <c r="B341" t="s">
        <v>734</v>
      </c>
      <c r="C341" t="s">
        <v>735</v>
      </c>
    </row>
    <row r="342" spans="2:3">
      <c r="B342" t="s">
        <v>736</v>
      </c>
      <c r="C342" t="s">
        <v>38</v>
      </c>
    </row>
    <row r="343" spans="2:3">
      <c r="B343" t="s">
        <v>737</v>
      </c>
      <c r="C343" t="s">
        <v>738</v>
      </c>
    </row>
    <row r="344" spans="2:3">
      <c r="B344" t="s">
        <v>739</v>
      </c>
      <c r="C344" t="s">
        <v>740</v>
      </c>
    </row>
    <row r="345" spans="2:3">
      <c r="B345" t="s">
        <v>741</v>
      </c>
      <c r="C345" t="s">
        <v>742</v>
      </c>
    </row>
    <row r="346" spans="2:3">
      <c r="B346" t="s">
        <v>743</v>
      </c>
      <c r="C346" t="s">
        <v>744</v>
      </c>
    </row>
    <row r="347" spans="2:3">
      <c r="B347" t="s">
        <v>745</v>
      </c>
      <c r="C347" t="s">
        <v>746</v>
      </c>
    </row>
    <row r="348" spans="2:3">
      <c r="B348" t="s">
        <v>747</v>
      </c>
      <c r="C348" t="s">
        <v>748</v>
      </c>
    </row>
    <row r="349" spans="2:3">
      <c r="B349" t="s">
        <v>749</v>
      </c>
      <c r="C349" t="s">
        <v>750</v>
      </c>
    </row>
    <row r="350" spans="2:3">
      <c r="B350" t="s">
        <v>751</v>
      </c>
      <c r="C350" t="s">
        <v>752</v>
      </c>
    </row>
    <row r="351" spans="2:3">
      <c r="B351" t="s">
        <v>753</v>
      </c>
      <c r="C351" t="s">
        <v>754</v>
      </c>
    </row>
    <row r="352" spans="2:3">
      <c r="B352" t="s">
        <v>755</v>
      </c>
      <c r="C352" t="s">
        <v>756</v>
      </c>
    </row>
    <row r="353" spans="2:3">
      <c r="B353" t="s">
        <v>757</v>
      </c>
      <c r="C353" t="s">
        <v>758</v>
      </c>
    </row>
    <row r="354" spans="2:3">
      <c r="B354" t="s">
        <v>759</v>
      </c>
      <c r="C354" t="s">
        <v>760</v>
      </c>
    </row>
    <row r="355" spans="2:3">
      <c r="B355" t="s">
        <v>761</v>
      </c>
      <c r="C355" t="s">
        <v>762</v>
      </c>
    </row>
    <row r="356" spans="2:3">
      <c r="B356" t="s">
        <v>763</v>
      </c>
      <c r="C356" t="s">
        <v>764</v>
      </c>
    </row>
    <row r="357" spans="2:3">
      <c r="B357" t="s">
        <v>765</v>
      </c>
      <c r="C357" t="s">
        <v>766</v>
      </c>
    </row>
    <row r="358" spans="2:3">
      <c r="B358" t="s">
        <v>767</v>
      </c>
      <c r="C358" t="s">
        <v>768</v>
      </c>
    </row>
    <row r="359" spans="2:3">
      <c r="B359" t="s">
        <v>769</v>
      </c>
      <c r="C359" t="s">
        <v>770</v>
      </c>
    </row>
    <row r="360" spans="2:3">
      <c r="B360" t="s">
        <v>771</v>
      </c>
      <c r="C360" t="s">
        <v>772</v>
      </c>
    </row>
    <row r="361" spans="2:3">
      <c r="B361" t="s">
        <v>773</v>
      </c>
      <c r="C361" t="s">
        <v>774</v>
      </c>
    </row>
    <row r="362" spans="2:3">
      <c r="B362" t="s">
        <v>775</v>
      </c>
      <c r="C362" t="s">
        <v>776</v>
      </c>
    </row>
    <row r="363" spans="2:3">
      <c r="B363" t="s">
        <v>777</v>
      </c>
      <c r="C363" t="s">
        <v>778</v>
      </c>
    </row>
    <row r="364" spans="2:3">
      <c r="B364" t="s">
        <v>779</v>
      </c>
      <c r="C364" t="s">
        <v>780</v>
      </c>
    </row>
    <row r="365" spans="2:3">
      <c r="B365" t="s">
        <v>781</v>
      </c>
      <c r="C365" t="s">
        <v>782</v>
      </c>
    </row>
    <row r="366" spans="2:3">
      <c r="B366" t="s">
        <v>783</v>
      </c>
      <c r="C366" t="s">
        <v>784</v>
      </c>
    </row>
    <row r="367" spans="2:3">
      <c r="B367" t="s">
        <v>785</v>
      </c>
      <c r="C367" t="s">
        <v>786</v>
      </c>
    </row>
    <row r="368" spans="2:3">
      <c r="B368" t="s">
        <v>787</v>
      </c>
      <c r="C368" t="s">
        <v>788</v>
      </c>
    </row>
    <row r="369" spans="2:3">
      <c r="B369" t="s">
        <v>789</v>
      </c>
      <c r="C369" t="s">
        <v>790</v>
      </c>
    </row>
    <row r="370" spans="2:3">
      <c r="B370" t="s">
        <v>791</v>
      </c>
      <c r="C370" t="s">
        <v>792</v>
      </c>
    </row>
    <row r="371" spans="2:3">
      <c r="B371" t="s">
        <v>793</v>
      </c>
      <c r="C371" t="s">
        <v>794</v>
      </c>
    </row>
    <row r="372" spans="2:3">
      <c r="B372" t="s">
        <v>795</v>
      </c>
      <c r="C372" t="s">
        <v>796</v>
      </c>
    </row>
    <row r="373" spans="2:3">
      <c r="B373" t="s">
        <v>797</v>
      </c>
      <c r="C373" t="s">
        <v>798</v>
      </c>
    </row>
    <row r="374" spans="2:3">
      <c r="B374" t="s">
        <v>799</v>
      </c>
      <c r="C374" t="s">
        <v>800</v>
      </c>
    </row>
    <row r="375" spans="2:3">
      <c r="B375" t="s">
        <v>801</v>
      </c>
      <c r="C375" t="s">
        <v>802</v>
      </c>
    </row>
    <row r="376" spans="2:3">
      <c r="B376" t="s">
        <v>803</v>
      </c>
      <c r="C376" t="s">
        <v>804</v>
      </c>
    </row>
    <row r="377" spans="2:3">
      <c r="B377" t="s">
        <v>805</v>
      </c>
      <c r="C377" t="s">
        <v>806</v>
      </c>
    </row>
    <row r="378" spans="2:3">
      <c r="B378" t="s">
        <v>807</v>
      </c>
      <c r="C378" t="s">
        <v>808</v>
      </c>
    </row>
    <row r="379" spans="2:3">
      <c r="B379" t="s">
        <v>809</v>
      </c>
      <c r="C379" t="s">
        <v>810</v>
      </c>
    </row>
    <row r="380" spans="2:3">
      <c r="B380" t="s">
        <v>811</v>
      </c>
      <c r="C380" t="s">
        <v>812</v>
      </c>
    </row>
    <row r="381" spans="2:3">
      <c r="B381" t="s">
        <v>813</v>
      </c>
      <c r="C381" t="s">
        <v>814</v>
      </c>
    </row>
    <row r="382" spans="2:3">
      <c r="B382" t="s">
        <v>815</v>
      </c>
      <c r="C382" t="s">
        <v>816</v>
      </c>
    </row>
    <row r="383" spans="2:3">
      <c r="B383" t="s">
        <v>817</v>
      </c>
      <c r="C383" t="s">
        <v>818</v>
      </c>
    </row>
    <row r="384" spans="2:3">
      <c r="B384" t="s">
        <v>819</v>
      </c>
      <c r="C384" t="s">
        <v>820</v>
      </c>
    </row>
    <row r="385" spans="2:3">
      <c r="B385" t="s">
        <v>821</v>
      </c>
      <c r="C385" t="s">
        <v>822</v>
      </c>
    </row>
    <row r="386" spans="2:3">
      <c r="B386" t="s">
        <v>823</v>
      </c>
      <c r="C386" t="s">
        <v>824</v>
      </c>
    </row>
    <row r="387" spans="2:3">
      <c r="B387" t="s">
        <v>825</v>
      </c>
      <c r="C387" t="s">
        <v>826</v>
      </c>
    </row>
    <row r="388" spans="2:3">
      <c r="B388" t="s">
        <v>827</v>
      </c>
      <c r="C388" t="s">
        <v>828</v>
      </c>
    </row>
    <row r="389" spans="2:3">
      <c r="B389" t="s">
        <v>829</v>
      </c>
      <c r="C389" t="s">
        <v>830</v>
      </c>
    </row>
    <row r="390" spans="2:3">
      <c r="B390" t="s">
        <v>831</v>
      </c>
      <c r="C390" t="s">
        <v>832</v>
      </c>
    </row>
    <row r="391" spans="2:3">
      <c r="B391" t="s">
        <v>833</v>
      </c>
      <c r="C391" t="s">
        <v>834</v>
      </c>
    </row>
    <row r="392" spans="2:3">
      <c r="B392" t="s">
        <v>835</v>
      </c>
      <c r="C392" t="s">
        <v>836</v>
      </c>
    </row>
    <row r="393" spans="2:3">
      <c r="B393" t="s">
        <v>837</v>
      </c>
      <c r="C393" t="s">
        <v>838</v>
      </c>
    </row>
    <row r="394" spans="2:3">
      <c r="B394" t="s">
        <v>839</v>
      </c>
      <c r="C394" t="s">
        <v>840</v>
      </c>
    </row>
    <row r="395" spans="2:3">
      <c r="B395" t="s">
        <v>841</v>
      </c>
      <c r="C395" t="s">
        <v>842</v>
      </c>
    </row>
    <row r="396" spans="2:3">
      <c r="B396" t="s">
        <v>843</v>
      </c>
      <c r="C396" t="s">
        <v>844</v>
      </c>
    </row>
    <row r="397" spans="2:3">
      <c r="B397" t="s">
        <v>845</v>
      </c>
      <c r="C397" t="s">
        <v>846</v>
      </c>
    </row>
    <row r="398" spans="2:3">
      <c r="B398" t="s">
        <v>847</v>
      </c>
      <c r="C398" t="s">
        <v>848</v>
      </c>
    </row>
    <row r="399" spans="2:3">
      <c r="B399" t="s">
        <v>849</v>
      </c>
      <c r="C399" t="s">
        <v>850</v>
      </c>
    </row>
    <row r="400" spans="2:3">
      <c r="B400" t="s">
        <v>851</v>
      </c>
      <c r="C400" t="s">
        <v>852</v>
      </c>
    </row>
    <row r="401" spans="2:3">
      <c r="B401" t="s">
        <v>853</v>
      </c>
      <c r="C401" t="s">
        <v>854</v>
      </c>
    </row>
    <row r="402" spans="2:3">
      <c r="B402" t="s">
        <v>855</v>
      </c>
      <c r="C402" t="s">
        <v>856</v>
      </c>
    </row>
    <row r="403" spans="2:3">
      <c r="B403" t="s">
        <v>857</v>
      </c>
      <c r="C403" t="s">
        <v>858</v>
      </c>
    </row>
    <row r="404" spans="2:3">
      <c r="B404" t="s">
        <v>859</v>
      </c>
      <c r="C404" t="s">
        <v>860</v>
      </c>
    </row>
    <row r="405" spans="2:3">
      <c r="B405" t="s">
        <v>861</v>
      </c>
      <c r="C405" t="s">
        <v>862</v>
      </c>
    </row>
    <row r="406" spans="2:3">
      <c r="B406" t="s">
        <v>863</v>
      </c>
      <c r="C406" t="s">
        <v>864</v>
      </c>
    </row>
    <row r="407" spans="2:3">
      <c r="B407" t="s">
        <v>865</v>
      </c>
      <c r="C407" t="s">
        <v>866</v>
      </c>
    </row>
    <row r="408" spans="2:3">
      <c r="B408" t="s">
        <v>867</v>
      </c>
      <c r="C408" t="s">
        <v>868</v>
      </c>
    </row>
    <row r="409" spans="2:3">
      <c r="B409" t="s">
        <v>869</v>
      </c>
      <c r="C409" t="s">
        <v>870</v>
      </c>
    </row>
    <row r="410" spans="2:3">
      <c r="B410" t="s">
        <v>871</v>
      </c>
      <c r="C410" t="s">
        <v>872</v>
      </c>
    </row>
    <row r="411" spans="2:3">
      <c r="B411" t="s">
        <v>873</v>
      </c>
      <c r="C411" t="s">
        <v>874</v>
      </c>
    </row>
    <row r="412" spans="2:3">
      <c r="B412" t="s">
        <v>875</v>
      </c>
      <c r="C412" t="s">
        <v>876</v>
      </c>
    </row>
    <row r="413" spans="2:3">
      <c r="B413" t="s">
        <v>877</v>
      </c>
      <c r="C413" t="s">
        <v>878</v>
      </c>
    </row>
    <row r="414" spans="2:3">
      <c r="B414" t="s">
        <v>879</v>
      </c>
      <c r="C414" t="s">
        <v>880</v>
      </c>
    </row>
    <row r="415" spans="2:3">
      <c r="B415" t="s">
        <v>881</v>
      </c>
      <c r="C415" t="s">
        <v>882</v>
      </c>
    </row>
    <row r="416" spans="2:3">
      <c r="B416" t="s">
        <v>883</v>
      </c>
      <c r="C416" t="s">
        <v>884</v>
      </c>
    </row>
    <row r="417" spans="2:3">
      <c r="B417" t="s">
        <v>885</v>
      </c>
      <c r="C417" t="s">
        <v>886</v>
      </c>
    </row>
    <row r="418" spans="2:3">
      <c r="B418" t="s">
        <v>887</v>
      </c>
      <c r="C418" t="s">
        <v>888</v>
      </c>
    </row>
    <row r="419" spans="2:3">
      <c r="B419" t="s">
        <v>889</v>
      </c>
      <c r="C419" t="s">
        <v>890</v>
      </c>
    </row>
    <row r="420" spans="2:3">
      <c r="B420" t="s">
        <v>891</v>
      </c>
      <c r="C420" t="s">
        <v>892</v>
      </c>
    </row>
    <row r="421" spans="2:3">
      <c r="B421" t="s">
        <v>893</v>
      </c>
      <c r="C421" t="s">
        <v>894</v>
      </c>
    </row>
    <row r="422" spans="2:3">
      <c r="B422" t="s">
        <v>895</v>
      </c>
      <c r="C422" t="s">
        <v>896</v>
      </c>
    </row>
    <row r="423" spans="2:3">
      <c r="B423" t="s">
        <v>897</v>
      </c>
      <c r="C423" t="s">
        <v>898</v>
      </c>
    </row>
    <row r="424" spans="2:3">
      <c r="B424" t="s">
        <v>899</v>
      </c>
      <c r="C424" t="s">
        <v>900</v>
      </c>
    </row>
    <row r="425" spans="2:3">
      <c r="B425" t="s">
        <v>901</v>
      </c>
      <c r="C425" t="s">
        <v>902</v>
      </c>
    </row>
    <row r="426" spans="2:3">
      <c r="B426" t="s">
        <v>903</v>
      </c>
      <c r="C426" t="s">
        <v>904</v>
      </c>
    </row>
    <row r="427" spans="2:3">
      <c r="B427" t="s">
        <v>905</v>
      </c>
      <c r="C427" t="s">
        <v>906</v>
      </c>
    </row>
    <row r="428" spans="2:3">
      <c r="B428" t="s">
        <v>907</v>
      </c>
      <c r="C428" t="s">
        <v>908</v>
      </c>
    </row>
    <row r="429" spans="2:3">
      <c r="B429" t="s">
        <v>909</v>
      </c>
      <c r="C429" t="s">
        <v>910</v>
      </c>
    </row>
    <row r="430" spans="2:3">
      <c r="B430" t="s">
        <v>911</v>
      </c>
      <c r="C430" t="s">
        <v>912</v>
      </c>
    </row>
    <row r="431" spans="2:3">
      <c r="B431" t="s">
        <v>913</v>
      </c>
      <c r="C431" t="s">
        <v>914</v>
      </c>
    </row>
    <row r="432" spans="2:3">
      <c r="B432" t="s">
        <v>915</v>
      </c>
      <c r="C432" t="s">
        <v>916</v>
      </c>
    </row>
    <row r="433" spans="2:3">
      <c r="B433" t="s">
        <v>917</v>
      </c>
      <c r="C433" t="s">
        <v>918</v>
      </c>
    </row>
    <row r="434" spans="2:3">
      <c r="B434" t="s">
        <v>919</v>
      </c>
      <c r="C434" t="s">
        <v>920</v>
      </c>
    </row>
    <row r="435" spans="2:3">
      <c r="B435" t="s">
        <v>921</v>
      </c>
      <c r="C435" t="s">
        <v>922</v>
      </c>
    </row>
    <row r="436" spans="2:3">
      <c r="B436" t="s">
        <v>923</v>
      </c>
      <c r="C436" t="s">
        <v>924</v>
      </c>
    </row>
    <row r="437" spans="2:3">
      <c r="B437" t="s">
        <v>925</v>
      </c>
      <c r="C437" t="s">
        <v>926</v>
      </c>
    </row>
    <row r="438" spans="2:3">
      <c r="B438" t="s">
        <v>927</v>
      </c>
      <c r="C438" t="s">
        <v>928</v>
      </c>
    </row>
    <row r="439" spans="2:3">
      <c r="B439" t="s">
        <v>929</v>
      </c>
      <c r="C439" t="s">
        <v>930</v>
      </c>
    </row>
    <row r="440" spans="2:3">
      <c r="B440" t="s">
        <v>931</v>
      </c>
      <c r="C440" t="s">
        <v>932</v>
      </c>
    </row>
    <row r="441" spans="2:3">
      <c r="B441" t="s">
        <v>933</v>
      </c>
      <c r="C441" t="s">
        <v>934</v>
      </c>
    </row>
    <row r="442" spans="2:3">
      <c r="B442" t="s">
        <v>935</v>
      </c>
      <c r="C442" t="s">
        <v>936</v>
      </c>
    </row>
    <row r="443" spans="2:3">
      <c r="B443" t="s">
        <v>937</v>
      </c>
      <c r="C443" t="s">
        <v>938</v>
      </c>
    </row>
    <row r="444" spans="2:3">
      <c r="B444" t="s">
        <v>939</v>
      </c>
      <c r="C444" t="s">
        <v>940</v>
      </c>
    </row>
    <row r="445" spans="2:3">
      <c r="B445" t="s">
        <v>941</v>
      </c>
      <c r="C445" t="s">
        <v>942</v>
      </c>
    </row>
    <row r="446" spans="2:3">
      <c r="B446" t="s">
        <v>943</v>
      </c>
      <c r="C446" t="s">
        <v>944</v>
      </c>
    </row>
    <row r="447" spans="2:3">
      <c r="B447" t="s">
        <v>945</v>
      </c>
      <c r="C447" t="s">
        <v>946</v>
      </c>
    </row>
    <row r="448" spans="2:3">
      <c r="B448" t="s">
        <v>947</v>
      </c>
      <c r="C448" t="s">
        <v>948</v>
      </c>
    </row>
    <row r="449" spans="2:3">
      <c r="B449" t="s">
        <v>949</v>
      </c>
      <c r="C449" t="s">
        <v>950</v>
      </c>
    </row>
    <row r="450" spans="2:3">
      <c r="B450" t="s">
        <v>951</v>
      </c>
      <c r="C450" t="s">
        <v>952</v>
      </c>
    </row>
    <row r="451" spans="2:3">
      <c r="C451" t="s">
        <v>953</v>
      </c>
    </row>
    <row r="452" spans="2:3">
      <c r="C452" t="s">
        <v>954</v>
      </c>
    </row>
    <row r="453" spans="2:3">
      <c r="C453" t="s">
        <v>955</v>
      </c>
    </row>
    <row r="454" spans="2:3">
      <c r="C454" t="s">
        <v>956</v>
      </c>
    </row>
    <row r="455" spans="2:3">
      <c r="C455" t="s">
        <v>957</v>
      </c>
    </row>
    <row r="456" spans="2:3">
      <c r="C456" t="s">
        <v>958</v>
      </c>
    </row>
    <row r="457" spans="2:3">
      <c r="C457" t="s">
        <v>959</v>
      </c>
    </row>
    <row r="458" spans="2:3">
      <c r="C458" t="s">
        <v>960</v>
      </c>
    </row>
    <row r="459" spans="2:3">
      <c r="C459" t="s">
        <v>961</v>
      </c>
    </row>
    <row r="460" spans="2:3">
      <c r="C460" t="s">
        <v>962</v>
      </c>
    </row>
    <row r="461" spans="2:3">
      <c r="C461" t="s">
        <v>963</v>
      </c>
    </row>
    <row r="462" spans="2:3">
      <c r="C462" t="s">
        <v>964</v>
      </c>
    </row>
    <row r="463" spans="2:3">
      <c r="C463" t="s">
        <v>965</v>
      </c>
    </row>
    <row r="464" spans="2:3">
      <c r="C464" t="s">
        <v>966</v>
      </c>
    </row>
    <row r="465" spans="3:3">
      <c r="C465" t="s">
        <v>967</v>
      </c>
    </row>
    <row r="466" spans="3:3">
      <c r="C466" t="s">
        <v>968</v>
      </c>
    </row>
    <row r="467" spans="3:3">
      <c r="C467" t="s">
        <v>969</v>
      </c>
    </row>
    <row r="468" spans="3:3">
      <c r="C468" t="s">
        <v>970</v>
      </c>
    </row>
    <row r="469" spans="3:3">
      <c r="C469" t="s">
        <v>971</v>
      </c>
    </row>
    <row r="470" spans="3:3">
      <c r="C470" t="s">
        <v>972</v>
      </c>
    </row>
    <row r="471" spans="3:3">
      <c r="C471" t="s">
        <v>973</v>
      </c>
    </row>
    <row r="472" spans="3:3">
      <c r="C472" t="s">
        <v>974</v>
      </c>
    </row>
    <row r="473" spans="3:3">
      <c r="C473" t="s">
        <v>975</v>
      </c>
    </row>
    <row r="474" spans="3:3">
      <c r="C474" t="s">
        <v>976</v>
      </c>
    </row>
    <row r="475" spans="3:3">
      <c r="C475" t="s">
        <v>977</v>
      </c>
    </row>
    <row r="476" spans="3:3">
      <c r="C476" t="s">
        <v>978</v>
      </c>
    </row>
    <row r="477" spans="3:3">
      <c r="C477" t="s">
        <v>979</v>
      </c>
    </row>
    <row r="478" spans="3:3">
      <c r="C478" t="s">
        <v>980</v>
      </c>
    </row>
    <row r="479" spans="3:3">
      <c r="C479" t="s">
        <v>981</v>
      </c>
    </row>
    <row r="480" spans="3:3">
      <c r="C480" t="s">
        <v>982</v>
      </c>
    </row>
    <row r="481" spans="3:3">
      <c r="C481" t="s">
        <v>983</v>
      </c>
    </row>
    <row r="482" spans="3:3">
      <c r="C482" t="s">
        <v>984</v>
      </c>
    </row>
    <row r="483" spans="3:3">
      <c r="C483" t="s">
        <v>985</v>
      </c>
    </row>
    <row r="484" spans="3:3">
      <c r="C484" t="s">
        <v>986</v>
      </c>
    </row>
    <row r="485" spans="3:3">
      <c r="C485" t="s">
        <v>987</v>
      </c>
    </row>
    <row r="486" spans="3:3">
      <c r="C486" t="s">
        <v>988</v>
      </c>
    </row>
    <row r="487" spans="3:3">
      <c r="C487" t="s">
        <v>989</v>
      </c>
    </row>
    <row r="488" spans="3:3">
      <c r="C488" t="s">
        <v>990</v>
      </c>
    </row>
    <row r="489" spans="3:3">
      <c r="C489" t="s">
        <v>991</v>
      </c>
    </row>
    <row r="490" spans="3:3">
      <c r="C490" t="s">
        <v>992</v>
      </c>
    </row>
    <row r="491" spans="3:3">
      <c r="C491" t="s">
        <v>993</v>
      </c>
    </row>
    <row r="492" spans="3:3">
      <c r="C492" t="s">
        <v>994</v>
      </c>
    </row>
    <row r="493" spans="3:3">
      <c r="C493" t="s">
        <v>995</v>
      </c>
    </row>
    <row r="494" spans="3:3">
      <c r="C494" t="s">
        <v>996</v>
      </c>
    </row>
    <row r="495" spans="3:3">
      <c r="C495" t="s">
        <v>997</v>
      </c>
    </row>
    <row r="496" spans="3:3">
      <c r="C496" t="s">
        <v>998</v>
      </c>
    </row>
    <row r="497" spans="1:3">
      <c r="C497" t="s">
        <v>999</v>
      </c>
    </row>
    <row r="498" spans="1:3">
      <c r="C498" t="s">
        <v>1000</v>
      </c>
    </row>
    <row r="499" spans="1:3">
      <c r="C499" t="s">
        <v>1001</v>
      </c>
    </row>
    <row r="500" spans="1:3">
      <c r="C500" t="s">
        <v>1002</v>
      </c>
    </row>
    <row r="501" spans="1:3">
      <c r="C501" t="s">
        <v>1003</v>
      </c>
    </row>
    <row r="502" spans="1:3">
      <c r="C502" t="s">
        <v>1004</v>
      </c>
    </row>
    <row r="503" spans="1:3">
      <c r="C503" t="s">
        <v>1005</v>
      </c>
    </row>
    <row r="504" spans="1:3">
      <c r="C504" t="s">
        <v>1006</v>
      </c>
    </row>
    <row r="505" spans="1:3">
      <c r="A505" s="21" t="s">
        <v>1007</v>
      </c>
      <c r="C505" t="s">
        <v>1008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1">
              <controlPr defaultSize="0" print="0" autoPict="0" macro="[0]!export">
                <anchor moveWithCells="1" sizeWithCells="1">
                  <from>
                    <xdr:col>3</xdr:col>
                    <xdr:colOff>400050</xdr:colOff>
                    <xdr:row>0</xdr:row>
                    <xdr:rowOff>0</xdr:rowOff>
                  </from>
                  <to>
                    <xdr:col>5</xdr:col>
                    <xdr:colOff>219075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06"/>
  <sheetViews>
    <sheetView tabSelected="1" workbookViewId="0">
      <pane ySplit="6" topLeftCell="A7" activePane="bottomLeft" state="frozen"/>
      <selection pane="bottomLeft" activeCell="D13" sqref="D13"/>
    </sheetView>
  </sheetViews>
  <sheetFormatPr defaultRowHeight="13.5"/>
  <cols>
    <col min="1" max="1" width="2.5" bestFit="1" customWidth="1"/>
    <col min="2" max="2" width="11.75" customWidth="1"/>
    <col min="3" max="3" width="14.5" customWidth="1"/>
    <col min="4" max="4" width="8.25" customWidth="1"/>
    <col min="5" max="6" width="14.5" customWidth="1"/>
    <col min="7" max="7" width="7.75" customWidth="1"/>
    <col min="8" max="8" width="13.375" customWidth="1"/>
    <col min="9" max="9" width="28.5" customWidth="1"/>
    <col min="10" max="10" width="19.625" customWidth="1"/>
    <col min="11" max="12" width="14.625" customWidth="1"/>
    <col min="13" max="13" width="16.75" customWidth="1"/>
  </cols>
  <sheetData>
    <row r="1" spans="1:13">
      <c r="A1" s="6"/>
      <c r="B1" s="6" t="s">
        <v>0</v>
      </c>
      <c r="C1" s="6"/>
      <c r="D1" s="6"/>
      <c r="E1" s="6"/>
      <c r="F1" s="6"/>
      <c r="G1" s="6"/>
      <c r="H1" s="6"/>
      <c r="I1" s="6"/>
      <c r="K1" s="8"/>
      <c r="L1" s="8" t="s">
        <v>42</v>
      </c>
    </row>
    <row r="2" spans="1:13">
      <c r="A2" s="13"/>
      <c r="B2" s="8" t="s">
        <v>59</v>
      </c>
      <c r="C2" s="8" t="s">
        <v>41</v>
      </c>
      <c r="D2" s="8"/>
      <c r="E2" s="8" t="s">
        <v>57</v>
      </c>
      <c r="F2" s="8" t="s">
        <v>4811</v>
      </c>
      <c r="G2" s="8"/>
      <c r="H2" s="8" t="s">
        <v>25</v>
      </c>
      <c r="I2" s="8" t="s">
        <v>58</v>
      </c>
      <c r="J2" s="8" t="s">
        <v>55</v>
      </c>
      <c r="K2" s="8" t="s">
        <v>4797</v>
      </c>
      <c r="L2" s="8" t="s">
        <v>4824</v>
      </c>
    </row>
    <row r="3" spans="1:13">
      <c r="A3" s="13"/>
      <c r="B3" s="6" t="s">
        <v>1</v>
      </c>
      <c r="C3" s="6" t="s">
        <v>1</v>
      </c>
      <c r="D3" s="6"/>
      <c r="E3" s="6" t="s">
        <v>1</v>
      </c>
      <c r="F3" s="8" t="s">
        <v>60</v>
      </c>
      <c r="G3" s="6"/>
      <c r="H3" s="6" t="s">
        <v>2</v>
      </c>
      <c r="I3" s="8" t="s">
        <v>56</v>
      </c>
      <c r="J3" s="8" t="s">
        <v>60</v>
      </c>
      <c r="K3" s="8" t="s">
        <v>4773</v>
      </c>
      <c r="L3" s="8" t="s">
        <v>4774</v>
      </c>
    </row>
    <row r="4" spans="1:13" ht="14.25">
      <c r="A4" s="7"/>
      <c r="B4" s="7" t="s">
        <v>3</v>
      </c>
      <c r="C4" s="7" t="s">
        <v>3</v>
      </c>
      <c r="D4" s="7"/>
      <c r="E4" s="7" t="s">
        <v>3</v>
      </c>
      <c r="F4" s="7" t="s">
        <v>3</v>
      </c>
      <c r="G4" s="7"/>
      <c r="H4" s="7" t="s">
        <v>3</v>
      </c>
      <c r="I4" s="7" t="s">
        <v>3</v>
      </c>
      <c r="J4" s="9" t="s">
        <v>3</v>
      </c>
      <c r="K4" s="7" t="s">
        <v>3</v>
      </c>
      <c r="L4" s="7" t="s">
        <v>3</v>
      </c>
    </row>
    <row r="5" spans="1:13" ht="14.25">
      <c r="A5" s="7"/>
      <c r="B5" s="9" t="s">
        <v>29</v>
      </c>
      <c r="C5" s="9" t="s">
        <v>29</v>
      </c>
      <c r="D5" s="9"/>
      <c r="E5" s="9" t="s">
        <v>29</v>
      </c>
      <c r="F5" s="9" t="s">
        <v>29</v>
      </c>
      <c r="G5" s="9"/>
      <c r="H5" s="9" t="s">
        <v>29</v>
      </c>
      <c r="I5" s="7"/>
      <c r="J5" s="9"/>
      <c r="K5" s="9"/>
      <c r="L5" s="9"/>
    </row>
    <row r="6" spans="1:13">
      <c r="A6" s="13"/>
      <c r="B6" s="13" t="s">
        <v>28</v>
      </c>
      <c r="C6" s="13" t="s">
        <v>40</v>
      </c>
      <c r="D6" s="13"/>
      <c r="E6" s="13" t="s">
        <v>39</v>
      </c>
      <c r="F6" s="13" t="s">
        <v>4812</v>
      </c>
      <c r="G6" s="13" t="s">
        <v>1064</v>
      </c>
      <c r="H6" s="13" t="s">
        <v>1010</v>
      </c>
      <c r="I6" s="14" t="s">
        <v>23</v>
      </c>
      <c r="J6" s="13" t="s">
        <v>24</v>
      </c>
      <c r="K6" s="13" t="s">
        <v>4775</v>
      </c>
      <c r="L6" s="13" t="s">
        <v>4776</v>
      </c>
      <c r="M6" s="17" t="s">
        <v>1059</v>
      </c>
    </row>
    <row r="7" spans="1:13">
      <c r="A7" s="21" t="s">
        <v>27</v>
      </c>
      <c r="B7" s="17">
        <v>1</v>
      </c>
      <c r="C7" s="17">
        <v>1</v>
      </c>
      <c r="D7" s="17"/>
      <c r="E7" s="21">
        <v>1</v>
      </c>
      <c r="F7" s="17">
        <v>101</v>
      </c>
      <c r="G7" s="17">
        <f>MATCH(E7,Arenas!$F$8:$F$15)</f>
        <v>1</v>
      </c>
      <c r="H7" s="29" t="s">
        <v>1072</v>
      </c>
      <c r="I7" s="33" t="s">
        <v>5941</v>
      </c>
      <c r="J7" s="47" t="s">
        <v>1065</v>
      </c>
      <c r="K7" s="61" t="s">
        <v>4779</v>
      </c>
      <c r="L7" s="12" t="str">
        <f t="shared" ref="L7:L32" si="0">C7&amp;","&amp;C7&amp;","&amp;C7</f>
        <v>1,1,1</v>
      </c>
      <c r="M7" t="str">
        <f>"""name"":"""&amp;H7&amp;""", ""playerLevel"":"&amp;C7&amp;", ""trophy"":"&amp;E7&amp;",""cardPlanIdList"":["&amp;I7&amp;"], ""cardLevelList"":["&amp;J7&amp;"]"&amp;",""towerLevelList"":["&amp;L7&amp;"] ,""towerPlanIdList"":["&amp;K7&amp;"]"</f>
        <v>"name":"fishluv_1", "playerLevel":1, "trophy":1,"cardPlanIdList":[14,101,7,4,2,1,5,8], "cardLevelList":[1,1,1,1,1,1,1,1],"towerLevelList":[1,1,1] ,"towerPlanIdList":[301,302,302]</v>
      </c>
    </row>
    <row r="8" spans="1:13">
      <c r="A8" s="21"/>
      <c r="B8" s="17">
        <v>2</v>
      </c>
      <c r="C8" s="17">
        <v>1</v>
      </c>
      <c r="D8" s="17">
        <v>0</v>
      </c>
      <c r="E8" s="21">
        <v>3</v>
      </c>
      <c r="F8" s="41" t="s">
        <v>4814</v>
      </c>
      <c r="G8" s="17">
        <f>MATCH(E8,Arenas!$F$8:$F$15)</f>
        <v>1</v>
      </c>
      <c r="H8" s="29" t="s">
        <v>1073</v>
      </c>
      <c r="I8" s="33" t="s">
        <v>5942</v>
      </c>
      <c r="J8" s="47" t="s">
        <v>1065</v>
      </c>
      <c r="K8" s="61" t="s">
        <v>4779</v>
      </c>
      <c r="L8" s="12" t="str">
        <f t="shared" si="0"/>
        <v>1,1,1</v>
      </c>
    </row>
    <row r="9" spans="1:13">
      <c r="A9" s="21"/>
      <c r="B9" s="17">
        <v>3</v>
      </c>
      <c r="C9" s="17">
        <v>1</v>
      </c>
      <c r="D9" s="17">
        <v>0</v>
      </c>
      <c r="E9" s="21">
        <v>5</v>
      </c>
      <c r="F9" s="17" t="s">
        <v>4813</v>
      </c>
      <c r="G9" s="17">
        <f>MATCH(E9,Arenas!$F$8:$F$15)</f>
        <v>1</v>
      </c>
      <c r="H9" s="29" t="s">
        <v>1074</v>
      </c>
      <c r="I9" s="33" t="s">
        <v>5943</v>
      </c>
      <c r="J9" s="47" t="s">
        <v>1065</v>
      </c>
      <c r="K9" s="61" t="s">
        <v>4779</v>
      </c>
      <c r="L9" s="12" t="str">
        <f t="shared" si="0"/>
        <v>1,1,1</v>
      </c>
    </row>
    <row r="10" spans="1:13">
      <c r="A10" s="21"/>
      <c r="B10" s="17">
        <v>4</v>
      </c>
      <c r="C10" s="17">
        <v>1</v>
      </c>
      <c r="D10" s="17">
        <v>1</v>
      </c>
      <c r="E10" s="21">
        <v>7</v>
      </c>
      <c r="F10" s="17" t="s">
        <v>4813</v>
      </c>
      <c r="G10" s="17">
        <f>MATCH(E10,Arenas!$F$8:$F$15)</f>
        <v>1</v>
      </c>
      <c r="H10" s="29" t="s">
        <v>1075</v>
      </c>
      <c r="I10" s="33" t="s">
        <v>5944</v>
      </c>
      <c r="J10" s="47" t="s">
        <v>1065</v>
      </c>
      <c r="K10" s="61" t="s">
        <v>4779</v>
      </c>
      <c r="L10" s="12" t="str">
        <f t="shared" si="0"/>
        <v>1,1,1</v>
      </c>
    </row>
    <row r="11" spans="1:13">
      <c r="A11" s="21"/>
      <c r="B11" s="17">
        <v>5</v>
      </c>
      <c r="C11" s="17">
        <v>1</v>
      </c>
      <c r="D11" s="17">
        <f t="shared" ref="D11:D32" si="1">D8</f>
        <v>0</v>
      </c>
      <c r="E11" s="21">
        <v>11</v>
      </c>
      <c r="F11" s="17" t="s">
        <v>4813</v>
      </c>
      <c r="G11" s="17">
        <f>MATCH(E11,Arenas!$F$8:$F$15)</f>
        <v>1</v>
      </c>
      <c r="H11" s="29" t="s">
        <v>1076</v>
      </c>
      <c r="I11" s="33" t="s">
        <v>5945</v>
      </c>
      <c r="J11" s="47" t="s">
        <v>1065</v>
      </c>
      <c r="K11" s="61" t="s">
        <v>4779</v>
      </c>
      <c r="L11" s="12" t="str">
        <f t="shared" si="0"/>
        <v>1,1,1</v>
      </c>
    </row>
    <row r="12" spans="1:13">
      <c r="A12" s="21"/>
      <c r="B12" s="17">
        <v>6</v>
      </c>
      <c r="C12" s="17">
        <v>1</v>
      </c>
      <c r="D12" s="17">
        <f t="shared" si="1"/>
        <v>0</v>
      </c>
      <c r="E12" s="21">
        <v>15</v>
      </c>
      <c r="F12" s="17" t="s">
        <v>4813</v>
      </c>
      <c r="G12" s="17">
        <f>MATCH(E12,Arenas!$F$8:$F$15)</f>
        <v>1</v>
      </c>
      <c r="H12" s="29" t="s">
        <v>1077</v>
      </c>
      <c r="I12" s="33" t="s">
        <v>5946</v>
      </c>
      <c r="J12" s="47" t="s">
        <v>1065</v>
      </c>
      <c r="K12" s="61" t="s">
        <v>4779</v>
      </c>
      <c r="L12" s="12" t="str">
        <f t="shared" si="0"/>
        <v>1,1,1</v>
      </c>
    </row>
    <row r="13" spans="1:13">
      <c r="A13" s="21"/>
      <c r="B13" s="17">
        <v>7</v>
      </c>
      <c r="C13" s="17">
        <v>1</v>
      </c>
      <c r="D13" s="17">
        <f t="shared" si="1"/>
        <v>1</v>
      </c>
      <c r="E13" s="21">
        <v>19</v>
      </c>
      <c r="F13" s="17" t="s">
        <v>4813</v>
      </c>
      <c r="G13" s="17">
        <f>MATCH(E13,Arenas!$F$8:$F$15)</f>
        <v>1</v>
      </c>
      <c r="H13" s="29" t="s">
        <v>1078</v>
      </c>
      <c r="I13" s="33" t="s">
        <v>5947</v>
      </c>
      <c r="J13" s="47" t="s">
        <v>1065</v>
      </c>
      <c r="K13" s="61" t="s">
        <v>4779</v>
      </c>
      <c r="L13" s="12" t="str">
        <f t="shared" si="0"/>
        <v>1,1,1</v>
      </c>
    </row>
    <row r="14" spans="1:13">
      <c r="A14" s="21"/>
      <c r="B14" s="17">
        <v>8</v>
      </c>
      <c r="C14" s="17">
        <v>1</v>
      </c>
      <c r="D14" s="17">
        <f t="shared" si="1"/>
        <v>0</v>
      </c>
      <c r="E14" s="21">
        <v>23</v>
      </c>
      <c r="F14" s="17" t="s">
        <v>4813</v>
      </c>
      <c r="G14" s="17">
        <f>MATCH(E14,Arenas!$F$8:$F$15)</f>
        <v>1</v>
      </c>
      <c r="H14" s="29" t="s">
        <v>1079</v>
      </c>
      <c r="I14" s="33" t="s">
        <v>5948</v>
      </c>
      <c r="J14" s="47" t="s">
        <v>1065</v>
      </c>
      <c r="K14" s="61" t="s">
        <v>4779</v>
      </c>
      <c r="L14" s="12" t="str">
        <f t="shared" si="0"/>
        <v>1,1,1</v>
      </c>
    </row>
    <row r="15" spans="1:13">
      <c r="A15" s="21"/>
      <c r="B15" s="17">
        <v>9</v>
      </c>
      <c r="C15" s="17">
        <v>1</v>
      </c>
      <c r="D15" s="17">
        <f t="shared" si="1"/>
        <v>0</v>
      </c>
      <c r="E15" s="21">
        <v>27</v>
      </c>
      <c r="F15" s="17" t="s">
        <v>4813</v>
      </c>
      <c r="G15" s="17">
        <f>MATCH(E15,Arenas!$F$8:$F$15)</f>
        <v>1</v>
      </c>
      <c r="H15" s="29" t="s">
        <v>1080</v>
      </c>
      <c r="I15" s="33" t="s">
        <v>5949</v>
      </c>
      <c r="J15" s="47" t="s">
        <v>1065</v>
      </c>
      <c r="K15" s="61" t="s">
        <v>4779</v>
      </c>
      <c r="L15" s="12" t="str">
        <f t="shared" si="0"/>
        <v>1,1,1</v>
      </c>
    </row>
    <row r="16" spans="1:13">
      <c r="A16" s="21"/>
      <c r="B16" s="17">
        <v>10</v>
      </c>
      <c r="C16" s="17">
        <v>1</v>
      </c>
      <c r="D16" s="17">
        <f t="shared" si="1"/>
        <v>1</v>
      </c>
      <c r="E16" s="21">
        <v>31</v>
      </c>
      <c r="F16" s="17" t="s">
        <v>4813</v>
      </c>
      <c r="G16" s="17">
        <f>MATCH(E16,Arenas!$F$8:$F$15)</f>
        <v>1</v>
      </c>
      <c r="H16" s="29" t="s">
        <v>1081</v>
      </c>
      <c r="I16" s="33" t="s">
        <v>5950</v>
      </c>
      <c r="J16" s="47" t="s">
        <v>1065</v>
      </c>
      <c r="K16" s="61" t="s">
        <v>4779</v>
      </c>
      <c r="L16" s="12" t="str">
        <f t="shared" si="0"/>
        <v>1,1,1</v>
      </c>
    </row>
    <row r="17" spans="1:12">
      <c r="A17" s="21"/>
      <c r="B17" s="17">
        <v>11</v>
      </c>
      <c r="C17" s="17">
        <v>1</v>
      </c>
      <c r="D17" s="17">
        <f t="shared" si="1"/>
        <v>0</v>
      </c>
      <c r="E17" s="21">
        <v>35</v>
      </c>
      <c r="F17" s="17" t="s">
        <v>4813</v>
      </c>
      <c r="G17" s="17">
        <f>MATCH(E17,Arenas!$F$8:$F$15)</f>
        <v>1</v>
      </c>
      <c r="H17" s="29" t="s">
        <v>1082</v>
      </c>
      <c r="I17" s="33" t="s">
        <v>5951</v>
      </c>
      <c r="J17" s="47" t="s">
        <v>1065</v>
      </c>
      <c r="K17" s="61" t="s">
        <v>4779</v>
      </c>
      <c r="L17" s="12" t="str">
        <f t="shared" si="0"/>
        <v>1,1,1</v>
      </c>
    </row>
    <row r="18" spans="1:12">
      <c r="A18" s="21"/>
      <c r="B18" s="17">
        <v>12</v>
      </c>
      <c r="C18" s="17">
        <v>1</v>
      </c>
      <c r="D18" s="17">
        <f t="shared" si="1"/>
        <v>0</v>
      </c>
      <c r="E18" s="21">
        <v>39</v>
      </c>
      <c r="F18" s="17" t="s">
        <v>4813</v>
      </c>
      <c r="G18" s="17">
        <f>MATCH(E18,Arenas!$F$8:$F$15)</f>
        <v>1</v>
      </c>
      <c r="H18" s="29" t="s">
        <v>1083</v>
      </c>
      <c r="I18" s="33" t="s">
        <v>5952</v>
      </c>
      <c r="J18" s="47" t="s">
        <v>1065</v>
      </c>
      <c r="K18" s="61" t="s">
        <v>4779</v>
      </c>
      <c r="L18" s="12" t="str">
        <f t="shared" si="0"/>
        <v>1,1,1</v>
      </c>
    </row>
    <row r="19" spans="1:12">
      <c r="A19" s="21"/>
      <c r="B19" s="17">
        <v>13</v>
      </c>
      <c r="C19" s="17">
        <v>1</v>
      </c>
      <c r="D19" s="17">
        <f t="shared" si="1"/>
        <v>1</v>
      </c>
      <c r="E19" s="21">
        <v>43</v>
      </c>
      <c r="F19" s="17" t="s">
        <v>4813</v>
      </c>
      <c r="G19" s="17">
        <f>MATCH(E19,Arenas!$F$8:$F$15)</f>
        <v>1</v>
      </c>
      <c r="H19" s="29" t="s">
        <v>1084</v>
      </c>
      <c r="I19" s="33" t="s">
        <v>5953</v>
      </c>
      <c r="J19" s="47" t="s">
        <v>1065</v>
      </c>
      <c r="K19" s="61" t="s">
        <v>4779</v>
      </c>
      <c r="L19" s="12" t="str">
        <f t="shared" si="0"/>
        <v>1,1,1</v>
      </c>
    </row>
    <row r="20" spans="1:12">
      <c r="A20" s="21"/>
      <c r="B20" s="17">
        <v>14</v>
      </c>
      <c r="C20" s="17">
        <v>1</v>
      </c>
      <c r="D20" s="17">
        <f t="shared" si="1"/>
        <v>0</v>
      </c>
      <c r="E20" s="21">
        <v>47</v>
      </c>
      <c r="F20" s="17" t="s">
        <v>4813</v>
      </c>
      <c r="G20" s="17">
        <f>MATCH(E20,Arenas!$F$8:$F$15)</f>
        <v>1</v>
      </c>
      <c r="H20" s="29" t="s">
        <v>1085</v>
      </c>
      <c r="I20" s="33" t="s">
        <v>5954</v>
      </c>
      <c r="J20" s="47" t="s">
        <v>1065</v>
      </c>
      <c r="K20" s="61" t="s">
        <v>4779</v>
      </c>
      <c r="L20" s="12" t="str">
        <f t="shared" si="0"/>
        <v>1,1,1</v>
      </c>
    </row>
    <row r="21" spans="1:12">
      <c r="A21" s="21"/>
      <c r="B21" s="17">
        <v>15</v>
      </c>
      <c r="C21" s="17">
        <v>1</v>
      </c>
      <c r="D21" s="17">
        <f t="shared" si="1"/>
        <v>0</v>
      </c>
      <c r="E21" s="21">
        <v>51</v>
      </c>
      <c r="F21" s="17" t="s">
        <v>4813</v>
      </c>
      <c r="G21" s="17">
        <f>MATCH(E21,Arenas!$F$8:$F$15)</f>
        <v>1</v>
      </c>
      <c r="H21" s="29" t="s">
        <v>1086</v>
      </c>
      <c r="I21" s="33" t="s">
        <v>5955</v>
      </c>
      <c r="J21" s="47" t="s">
        <v>1065</v>
      </c>
      <c r="K21" s="61" t="s">
        <v>4779</v>
      </c>
      <c r="L21" s="12" t="str">
        <f t="shared" si="0"/>
        <v>1,1,1</v>
      </c>
    </row>
    <row r="22" spans="1:12">
      <c r="A22" s="21"/>
      <c r="B22" s="17">
        <v>16</v>
      </c>
      <c r="C22" s="17">
        <v>1</v>
      </c>
      <c r="D22" s="17">
        <f t="shared" si="1"/>
        <v>1</v>
      </c>
      <c r="E22" s="21">
        <v>55</v>
      </c>
      <c r="F22" s="17" t="s">
        <v>4813</v>
      </c>
      <c r="G22" s="17">
        <f>MATCH(E22,Arenas!$F$8:$F$15)</f>
        <v>1</v>
      </c>
      <c r="H22" s="29" t="s">
        <v>1087</v>
      </c>
      <c r="I22" s="33" t="s">
        <v>5956</v>
      </c>
      <c r="J22" s="47" t="s">
        <v>1065</v>
      </c>
      <c r="K22" s="61" t="s">
        <v>4779</v>
      </c>
      <c r="L22" s="12" t="str">
        <f t="shared" si="0"/>
        <v>1,1,1</v>
      </c>
    </row>
    <row r="23" spans="1:12">
      <c r="A23" s="21"/>
      <c r="B23" s="17">
        <v>17</v>
      </c>
      <c r="C23" s="17">
        <v>1</v>
      </c>
      <c r="D23" s="17">
        <f t="shared" si="1"/>
        <v>0</v>
      </c>
      <c r="E23" s="21">
        <v>59</v>
      </c>
      <c r="F23" s="17" t="s">
        <v>4813</v>
      </c>
      <c r="G23" s="17">
        <f>MATCH(E23,Arenas!$F$8:$F$15)</f>
        <v>1</v>
      </c>
      <c r="H23" s="29" t="s">
        <v>1088</v>
      </c>
      <c r="I23" s="33" t="s">
        <v>5957</v>
      </c>
      <c r="J23" s="47" t="s">
        <v>1065</v>
      </c>
      <c r="K23" s="61" t="s">
        <v>4779</v>
      </c>
      <c r="L23" s="12" t="str">
        <f t="shared" si="0"/>
        <v>1,1,1</v>
      </c>
    </row>
    <row r="24" spans="1:12">
      <c r="A24" s="21"/>
      <c r="B24" s="17">
        <v>18</v>
      </c>
      <c r="C24" s="17">
        <v>1</v>
      </c>
      <c r="D24" s="17">
        <f t="shared" si="1"/>
        <v>0</v>
      </c>
      <c r="E24" s="21">
        <v>63</v>
      </c>
      <c r="F24" s="17" t="s">
        <v>4813</v>
      </c>
      <c r="G24" s="17">
        <f>MATCH(E24,Arenas!$F$8:$F$15)</f>
        <v>1</v>
      </c>
      <c r="H24" s="29" t="s">
        <v>1089</v>
      </c>
      <c r="I24" s="33" t="s">
        <v>5958</v>
      </c>
      <c r="J24" s="47" t="s">
        <v>1065</v>
      </c>
      <c r="K24" s="61" t="s">
        <v>4779</v>
      </c>
      <c r="L24" s="12" t="str">
        <f t="shared" si="0"/>
        <v>1,1,1</v>
      </c>
    </row>
    <row r="25" spans="1:12">
      <c r="A25" s="21"/>
      <c r="B25" s="17">
        <v>19</v>
      </c>
      <c r="C25" s="17">
        <v>1</v>
      </c>
      <c r="D25" s="17">
        <f t="shared" si="1"/>
        <v>1</v>
      </c>
      <c r="E25" s="21">
        <v>67</v>
      </c>
      <c r="F25" s="17" t="s">
        <v>4813</v>
      </c>
      <c r="G25" s="17">
        <f>MATCH(E25,Arenas!$F$8:$F$15)</f>
        <v>1</v>
      </c>
      <c r="H25" s="29" t="s">
        <v>1090</v>
      </c>
      <c r="I25" s="33" t="s">
        <v>5959</v>
      </c>
      <c r="J25" s="47" t="s">
        <v>1065</v>
      </c>
      <c r="K25" s="61" t="s">
        <v>4779</v>
      </c>
      <c r="L25" s="12" t="str">
        <f t="shared" si="0"/>
        <v>1,1,1</v>
      </c>
    </row>
    <row r="26" spans="1:12">
      <c r="A26" s="21"/>
      <c r="B26" s="17">
        <v>20</v>
      </c>
      <c r="C26" s="17">
        <v>1</v>
      </c>
      <c r="D26" s="17">
        <f t="shared" si="1"/>
        <v>0</v>
      </c>
      <c r="E26" s="21">
        <v>71</v>
      </c>
      <c r="F26" s="17" t="s">
        <v>4813</v>
      </c>
      <c r="G26" s="17">
        <f>MATCH(E26,Arenas!$F$8:$F$15)</f>
        <v>1</v>
      </c>
      <c r="H26" s="29" t="s">
        <v>1091</v>
      </c>
      <c r="I26" s="33" t="s">
        <v>5960</v>
      </c>
      <c r="J26" s="47" t="s">
        <v>1065</v>
      </c>
      <c r="K26" s="61" t="s">
        <v>4779</v>
      </c>
      <c r="L26" s="12" t="str">
        <f t="shared" si="0"/>
        <v>1,1,1</v>
      </c>
    </row>
    <row r="27" spans="1:12">
      <c r="A27" s="21"/>
      <c r="B27" s="17">
        <v>21</v>
      </c>
      <c r="C27" s="17">
        <v>1</v>
      </c>
      <c r="D27" s="17">
        <f t="shared" si="1"/>
        <v>0</v>
      </c>
      <c r="E27" s="21">
        <v>75</v>
      </c>
      <c r="F27" s="17" t="s">
        <v>4813</v>
      </c>
      <c r="G27" s="17">
        <f>MATCH(E27,Arenas!$F$8:$F$15)</f>
        <v>1</v>
      </c>
      <c r="H27" s="29" t="s">
        <v>1092</v>
      </c>
      <c r="I27" s="33" t="s">
        <v>5961</v>
      </c>
      <c r="J27" s="47" t="s">
        <v>1065</v>
      </c>
      <c r="K27" s="61" t="s">
        <v>4779</v>
      </c>
      <c r="L27" s="12" t="str">
        <f t="shared" si="0"/>
        <v>1,1,1</v>
      </c>
    </row>
    <row r="28" spans="1:12">
      <c r="A28" s="21"/>
      <c r="B28" s="17">
        <v>22</v>
      </c>
      <c r="C28" s="17">
        <v>1</v>
      </c>
      <c r="D28" s="17">
        <f t="shared" si="1"/>
        <v>1</v>
      </c>
      <c r="E28" s="21">
        <v>79</v>
      </c>
      <c r="F28" s="17" t="s">
        <v>4813</v>
      </c>
      <c r="G28" s="17">
        <f>MATCH(E28,Arenas!$F$8:$F$15)</f>
        <v>1</v>
      </c>
      <c r="H28" s="29" t="s">
        <v>1093</v>
      </c>
      <c r="I28" s="33" t="s">
        <v>5053</v>
      </c>
      <c r="J28" s="47" t="s">
        <v>1065</v>
      </c>
      <c r="K28" s="61" t="s">
        <v>4779</v>
      </c>
      <c r="L28" s="12" t="str">
        <f t="shared" si="0"/>
        <v>1,1,1</v>
      </c>
    </row>
    <row r="29" spans="1:12">
      <c r="A29" s="21"/>
      <c r="B29" s="17">
        <v>23</v>
      </c>
      <c r="C29" s="17">
        <v>1</v>
      </c>
      <c r="D29" s="17">
        <f t="shared" si="1"/>
        <v>0</v>
      </c>
      <c r="E29" s="21">
        <v>83</v>
      </c>
      <c r="F29" s="17" t="s">
        <v>4813</v>
      </c>
      <c r="G29" s="17">
        <f>MATCH(E29,Arenas!$F$8:$F$15)</f>
        <v>1</v>
      </c>
      <c r="H29" s="29" t="s">
        <v>1094</v>
      </c>
      <c r="I29" s="33" t="s">
        <v>5962</v>
      </c>
      <c r="J29" s="47" t="s">
        <v>1065</v>
      </c>
      <c r="K29" s="61" t="s">
        <v>4779</v>
      </c>
      <c r="L29" s="12" t="str">
        <f t="shared" si="0"/>
        <v>1,1,1</v>
      </c>
    </row>
    <row r="30" spans="1:12">
      <c r="A30" s="21"/>
      <c r="B30" s="17">
        <v>24</v>
      </c>
      <c r="C30" s="17">
        <v>1</v>
      </c>
      <c r="D30" s="17">
        <f t="shared" si="1"/>
        <v>0</v>
      </c>
      <c r="E30" s="21">
        <v>87</v>
      </c>
      <c r="F30" s="17" t="s">
        <v>4813</v>
      </c>
      <c r="G30" s="17">
        <f>MATCH(E30,Arenas!$F$8:$F$15)</f>
        <v>1</v>
      </c>
      <c r="H30" s="29" t="s">
        <v>1095</v>
      </c>
      <c r="I30" s="33" t="s">
        <v>5963</v>
      </c>
      <c r="J30" s="47" t="s">
        <v>1065</v>
      </c>
      <c r="K30" s="61" t="s">
        <v>4779</v>
      </c>
      <c r="L30" s="12" t="str">
        <f t="shared" si="0"/>
        <v>1,1,1</v>
      </c>
    </row>
    <row r="31" spans="1:12">
      <c r="A31" s="21"/>
      <c r="B31" s="17">
        <v>25</v>
      </c>
      <c r="C31" s="17">
        <v>1</v>
      </c>
      <c r="D31" s="17">
        <f t="shared" si="1"/>
        <v>1</v>
      </c>
      <c r="E31" s="21">
        <v>91</v>
      </c>
      <c r="F31" s="17" t="s">
        <v>4813</v>
      </c>
      <c r="G31" s="17">
        <f>MATCH(E31,Arenas!$F$8:$F$15)</f>
        <v>1</v>
      </c>
      <c r="H31" s="29" t="s">
        <v>1096</v>
      </c>
      <c r="I31" s="33" t="s">
        <v>5964</v>
      </c>
      <c r="J31" s="47" t="s">
        <v>1065</v>
      </c>
      <c r="K31" s="61" t="s">
        <v>4779</v>
      </c>
      <c r="L31" s="12" t="str">
        <f t="shared" si="0"/>
        <v>1,1,1</v>
      </c>
    </row>
    <row r="32" spans="1:12">
      <c r="A32" s="21"/>
      <c r="B32" s="17">
        <v>26</v>
      </c>
      <c r="C32" s="17">
        <v>1</v>
      </c>
      <c r="D32" s="17">
        <f t="shared" si="1"/>
        <v>0</v>
      </c>
      <c r="E32" s="21">
        <v>95</v>
      </c>
      <c r="F32" s="17" t="s">
        <v>4813</v>
      </c>
      <c r="G32" s="17">
        <f>MATCH(E32,Arenas!$F$8:$F$15)</f>
        <v>1</v>
      </c>
      <c r="H32" s="29" t="s">
        <v>1097</v>
      </c>
      <c r="I32" s="33" t="s">
        <v>5965</v>
      </c>
      <c r="J32" s="47" t="s">
        <v>1065</v>
      </c>
      <c r="K32" s="61" t="s">
        <v>4779</v>
      </c>
      <c r="L32" s="12" t="str">
        <f t="shared" si="0"/>
        <v>1,1,1</v>
      </c>
    </row>
    <row r="33" spans="1:12">
      <c r="A33" s="21"/>
      <c r="B33" s="17">
        <v>27</v>
      </c>
      <c r="C33" s="17">
        <v>1</v>
      </c>
      <c r="D33" s="17">
        <v>1</v>
      </c>
      <c r="E33" s="17">
        <v>101</v>
      </c>
      <c r="F33" s="17" t="s">
        <v>4813</v>
      </c>
      <c r="G33" s="17">
        <v>1</v>
      </c>
      <c r="H33" s="29" t="s">
        <v>1098</v>
      </c>
      <c r="I33" s="33" t="s">
        <v>5968</v>
      </c>
      <c r="J33" s="47" t="s">
        <v>1065</v>
      </c>
      <c r="K33" s="61" t="s">
        <v>4779</v>
      </c>
      <c r="L33" s="12" t="s">
        <v>4780</v>
      </c>
    </row>
    <row r="34" spans="1:12">
      <c r="A34" s="21"/>
      <c r="B34" s="17">
        <v>28</v>
      </c>
      <c r="C34" s="17">
        <v>1</v>
      </c>
      <c r="D34" s="17">
        <v>1</v>
      </c>
      <c r="E34" s="17">
        <v>105</v>
      </c>
      <c r="F34" s="17" t="s">
        <v>4813</v>
      </c>
      <c r="G34" s="17">
        <v>1</v>
      </c>
      <c r="H34" s="29" t="s">
        <v>1099</v>
      </c>
      <c r="I34" s="33" t="s">
        <v>5980</v>
      </c>
      <c r="J34" s="47" t="s">
        <v>4890</v>
      </c>
      <c r="K34" s="61" t="s">
        <v>4779</v>
      </c>
      <c r="L34" s="12" t="s">
        <v>4780</v>
      </c>
    </row>
    <row r="35" spans="1:12">
      <c r="A35" s="21"/>
      <c r="B35" s="17">
        <v>29</v>
      </c>
      <c r="C35" s="17">
        <v>1</v>
      </c>
      <c r="D35" s="17">
        <v>0</v>
      </c>
      <c r="E35" s="17">
        <v>108</v>
      </c>
      <c r="F35" s="17" t="s">
        <v>4813</v>
      </c>
      <c r="G35" s="17">
        <v>1</v>
      </c>
      <c r="H35" s="29" t="s">
        <v>1100</v>
      </c>
      <c r="I35" s="33" t="s">
        <v>5991</v>
      </c>
      <c r="J35" s="47" t="s">
        <v>4670</v>
      </c>
      <c r="K35" s="61" t="s">
        <v>4779</v>
      </c>
      <c r="L35" s="12" t="s">
        <v>4780</v>
      </c>
    </row>
    <row r="36" spans="1:12">
      <c r="A36" s="21"/>
      <c r="B36" s="17">
        <v>30</v>
      </c>
      <c r="C36" s="17">
        <v>1</v>
      </c>
      <c r="D36" s="17">
        <v>0</v>
      </c>
      <c r="E36" s="17">
        <v>112</v>
      </c>
      <c r="F36" s="17" t="s">
        <v>4813</v>
      </c>
      <c r="G36" s="17">
        <v>1</v>
      </c>
      <c r="H36" s="29" t="s">
        <v>1101</v>
      </c>
      <c r="I36" s="33" t="s">
        <v>6003</v>
      </c>
      <c r="J36" s="47" t="s">
        <v>4868</v>
      </c>
      <c r="K36" s="61" t="s">
        <v>4779</v>
      </c>
      <c r="L36" s="12" t="s">
        <v>4780</v>
      </c>
    </row>
    <row r="37" spans="1:12">
      <c r="A37" s="21"/>
      <c r="B37" s="17">
        <v>31</v>
      </c>
      <c r="C37" s="17">
        <v>1</v>
      </c>
      <c r="D37" s="17">
        <v>0</v>
      </c>
      <c r="E37" s="17">
        <v>116</v>
      </c>
      <c r="F37" s="17" t="s">
        <v>4813</v>
      </c>
      <c r="G37" s="17">
        <v>1</v>
      </c>
      <c r="H37" s="29" t="s">
        <v>1102</v>
      </c>
      <c r="I37" s="33" t="s">
        <v>6015</v>
      </c>
      <c r="J37" s="47" t="s">
        <v>4591</v>
      </c>
      <c r="K37" s="61" t="s">
        <v>4779</v>
      </c>
      <c r="L37" s="12" t="s">
        <v>4780</v>
      </c>
    </row>
    <row r="38" spans="1:12">
      <c r="A38" s="21"/>
      <c r="B38" s="17">
        <v>32</v>
      </c>
      <c r="C38" s="17">
        <v>1</v>
      </c>
      <c r="D38" s="17">
        <v>0</v>
      </c>
      <c r="E38" s="17">
        <v>120</v>
      </c>
      <c r="F38" s="17" t="s">
        <v>4813</v>
      </c>
      <c r="G38" s="17">
        <v>1</v>
      </c>
      <c r="H38" s="29" t="s">
        <v>1103</v>
      </c>
      <c r="I38" s="33" t="s">
        <v>6027</v>
      </c>
      <c r="J38" s="47" t="s">
        <v>4864</v>
      </c>
      <c r="K38" s="61" t="s">
        <v>4779</v>
      </c>
      <c r="L38" s="12" t="s">
        <v>4780</v>
      </c>
    </row>
    <row r="39" spans="1:12">
      <c r="A39" s="21"/>
      <c r="B39" s="17">
        <v>33</v>
      </c>
      <c r="C39" s="17">
        <v>1</v>
      </c>
      <c r="D39" s="17">
        <v>1</v>
      </c>
      <c r="E39" s="17">
        <v>124</v>
      </c>
      <c r="F39" s="17" t="s">
        <v>4813</v>
      </c>
      <c r="G39" s="17">
        <v>1</v>
      </c>
      <c r="H39" s="29" t="s">
        <v>1104</v>
      </c>
      <c r="I39" s="33" t="s">
        <v>6038</v>
      </c>
      <c r="J39" s="47" t="s">
        <v>4877</v>
      </c>
      <c r="K39" s="61" t="s">
        <v>4779</v>
      </c>
      <c r="L39" s="12" t="s">
        <v>4780</v>
      </c>
    </row>
    <row r="40" spans="1:12">
      <c r="A40" s="21"/>
      <c r="B40" s="17">
        <v>34</v>
      </c>
      <c r="C40" s="17">
        <v>1</v>
      </c>
      <c r="D40" s="17">
        <v>1</v>
      </c>
      <c r="E40" s="17">
        <v>128</v>
      </c>
      <c r="F40" s="17" t="s">
        <v>4813</v>
      </c>
      <c r="G40" s="17">
        <v>1</v>
      </c>
      <c r="H40" s="29" t="s">
        <v>1105</v>
      </c>
      <c r="I40" s="33" t="s">
        <v>6050</v>
      </c>
      <c r="J40" s="47" t="s">
        <v>4899</v>
      </c>
      <c r="K40" s="61" t="s">
        <v>4779</v>
      </c>
      <c r="L40" s="12" t="s">
        <v>4780</v>
      </c>
    </row>
    <row r="41" spans="1:12">
      <c r="A41" s="21"/>
      <c r="B41" s="17">
        <v>35</v>
      </c>
      <c r="C41" s="17">
        <v>1</v>
      </c>
      <c r="D41" s="17">
        <v>0</v>
      </c>
      <c r="E41" s="17">
        <v>131</v>
      </c>
      <c r="F41" s="17" t="s">
        <v>4813</v>
      </c>
      <c r="G41" s="17">
        <v>1</v>
      </c>
      <c r="H41" s="29" t="s">
        <v>1106</v>
      </c>
      <c r="I41" s="33" t="s">
        <v>6062</v>
      </c>
      <c r="J41" s="47" t="s">
        <v>4616</v>
      </c>
      <c r="K41" s="61" t="s">
        <v>4779</v>
      </c>
      <c r="L41" s="12" t="s">
        <v>4780</v>
      </c>
    </row>
    <row r="42" spans="1:12">
      <c r="A42" s="21"/>
      <c r="B42" s="17">
        <v>36</v>
      </c>
      <c r="C42" s="17">
        <v>1</v>
      </c>
      <c r="D42" s="17">
        <v>0</v>
      </c>
      <c r="E42" s="17">
        <v>135</v>
      </c>
      <c r="F42" s="17" t="s">
        <v>4813</v>
      </c>
      <c r="G42" s="17">
        <v>1</v>
      </c>
      <c r="H42" s="29" t="s">
        <v>1107</v>
      </c>
      <c r="I42" s="33" t="s">
        <v>5183</v>
      </c>
      <c r="J42" s="47" t="s">
        <v>4900</v>
      </c>
      <c r="K42" s="61" t="s">
        <v>4779</v>
      </c>
      <c r="L42" s="12" t="s">
        <v>4780</v>
      </c>
    </row>
    <row r="43" spans="1:12">
      <c r="A43" s="21"/>
      <c r="B43" s="17">
        <v>37</v>
      </c>
      <c r="C43" s="17">
        <v>1</v>
      </c>
      <c r="D43" s="17">
        <v>0</v>
      </c>
      <c r="E43" s="17">
        <v>139</v>
      </c>
      <c r="F43" s="17" t="s">
        <v>4813</v>
      </c>
      <c r="G43" s="17">
        <v>1</v>
      </c>
      <c r="H43" s="29" t="s">
        <v>1108</v>
      </c>
      <c r="I43" s="33" t="s">
        <v>6084</v>
      </c>
      <c r="J43" s="47" t="s">
        <v>4849</v>
      </c>
      <c r="K43" s="61" t="s">
        <v>4779</v>
      </c>
      <c r="L43" s="12" t="s">
        <v>4780</v>
      </c>
    </row>
    <row r="44" spans="1:12">
      <c r="A44" s="21"/>
      <c r="B44" s="17">
        <v>38</v>
      </c>
      <c r="C44" s="17">
        <v>1</v>
      </c>
      <c r="D44" s="17">
        <v>0</v>
      </c>
      <c r="E44" s="17">
        <v>143</v>
      </c>
      <c r="F44" s="17" t="s">
        <v>4813</v>
      </c>
      <c r="G44" s="17">
        <v>1</v>
      </c>
      <c r="H44" s="29" t="s">
        <v>1109</v>
      </c>
      <c r="I44" s="33" t="s">
        <v>6096</v>
      </c>
      <c r="J44" s="47" t="s">
        <v>6097</v>
      </c>
      <c r="K44" s="61" t="s">
        <v>4779</v>
      </c>
      <c r="L44" s="12" t="s">
        <v>4780</v>
      </c>
    </row>
    <row r="45" spans="1:12">
      <c r="A45" s="21"/>
      <c r="B45" s="17">
        <v>39</v>
      </c>
      <c r="C45" s="17">
        <v>1</v>
      </c>
      <c r="D45" s="17">
        <v>1</v>
      </c>
      <c r="E45" s="17">
        <v>147</v>
      </c>
      <c r="F45" s="17" t="s">
        <v>4813</v>
      </c>
      <c r="G45" s="17">
        <v>1</v>
      </c>
      <c r="H45" s="29" t="s">
        <v>1110</v>
      </c>
      <c r="I45" s="33" t="s">
        <v>6109</v>
      </c>
      <c r="J45" s="47" t="s">
        <v>4881</v>
      </c>
      <c r="K45" s="61" t="s">
        <v>4779</v>
      </c>
      <c r="L45" s="12" t="s">
        <v>4780</v>
      </c>
    </row>
    <row r="46" spans="1:12">
      <c r="A46" s="1"/>
      <c r="B46" s="17">
        <v>40</v>
      </c>
      <c r="C46" s="17">
        <v>1</v>
      </c>
      <c r="D46" s="17">
        <v>1</v>
      </c>
      <c r="E46" s="17">
        <v>151</v>
      </c>
      <c r="F46" s="17" t="s">
        <v>4813</v>
      </c>
      <c r="G46" s="17">
        <v>1</v>
      </c>
      <c r="H46" s="29" t="s">
        <v>1111</v>
      </c>
      <c r="I46" s="33" t="s">
        <v>6120</v>
      </c>
      <c r="J46" s="47" t="s">
        <v>4578</v>
      </c>
      <c r="K46" s="61" t="s">
        <v>4779</v>
      </c>
      <c r="L46" s="12" t="s">
        <v>4780</v>
      </c>
    </row>
    <row r="47" spans="1:12">
      <c r="A47" s="1"/>
      <c r="B47" s="17">
        <v>41</v>
      </c>
      <c r="C47" s="17">
        <v>1</v>
      </c>
      <c r="D47" s="17">
        <v>0</v>
      </c>
      <c r="E47" s="17">
        <v>154</v>
      </c>
      <c r="F47" s="17" t="s">
        <v>4813</v>
      </c>
      <c r="G47" s="17">
        <v>1</v>
      </c>
      <c r="H47" s="29" t="s">
        <v>1112</v>
      </c>
      <c r="I47" s="33" t="s">
        <v>6131</v>
      </c>
      <c r="J47" s="47" t="s">
        <v>4853</v>
      </c>
      <c r="K47" s="61" t="s">
        <v>4779</v>
      </c>
      <c r="L47" s="12" t="s">
        <v>4780</v>
      </c>
    </row>
    <row r="48" spans="1:12">
      <c r="A48" s="1"/>
      <c r="B48" s="17">
        <v>42</v>
      </c>
      <c r="C48" s="17">
        <v>1</v>
      </c>
      <c r="D48" s="17">
        <v>0</v>
      </c>
      <c r="E48" s="17">
        <v>158</v>
      </c>
      <c r="F48" s="17" t="s">
        <v>4813</v>
      </c>
      <c r="G48" s="17">
        <v>1</v>
      </c>
      <c r="H48" s="29" t="s">
        <v>1113</v>
      </c>
      <c r="I48" s="33" t="s">
        <v>5641</v>
      </c>
      <c r="J48" s="47" t="s">
        <v>4566</v>
      </c>
      <c r="K48" s="61" t="s">
        <v>4779</v>
      </c>
      <c r="L48" s="12" t="s">
        <v>4780</v>
      </c>
    </row>
    <row r="49" spans="1:12">
      <c r="A49" s="1"/>
      <c r="B49" s="17">
        <v>43</v>
      </c>
      <c r="C49" s="17">
        <v>1</v>
      </c>
      <c r="D49" s="17">
        <v>0</v>
      </c>
      <c r="E49" s="17">
        <v>162</v>
      </c>
      <c r="F49" s="17" t="s">
        <v>4813</v>
      </c>
      <c r="G49" s="17">
        <v>1</v>
      </c>
      <c r="H49" s="29" t="s">
        <v>1114</v>
      </c>
      <c r="I49" s="33" t="s">
        <v>6153</v>
      </c>
      <c r="J49" s="47" t="s">
        <v>5188</v>
      </c>
      <c r="K49" s="61" t="s">
        <v>4779</v>
      </c>
      <c r="L49" s="12" t="s">
        <v>4780</v>
      </c>
    </row>
    <row r="50" spans="1:12">
      <c r="A50" s="1"/>
      <c r="B50" s="17">
        <v>44</v>
      </c>
      <c r="C50" s="17">
        <v>1</v>
      </c>
      <c r="D50" s="17">
        <v>0</v>
      </c>
      <c r="E50" s="17">
        <v>166</v>
      </c>
      <c r="F50" s="17" t="s">
        <v>4813</v>
      </c>
      <c r="G50" s="17">
        <v>1</v>
      </c>
      <c r="H50" s="29" t="s">
        <v>1115</v>
      </c>
      <c r="I50" s="33" t="s">
        <v>6165</v>
      </c>
      <c r="J50" s="47" t="s">
        <v>4627</v>
      </c>
      <c r="K50" s="61" t="s">
        <v>4779</v>
      </c>
      <c r="L50" s="12" t="s">
        <v>4780</v>
      </c>
    </row>
    <row r="51" spans="1:12">
      <c r="A51" s="1"/>
      <c r="B51" s="17">
        <v>45</v>
      </c>
      <c r="C51" s="17">
        <v>1</v>
      </c>
      <c r="D51" s="17">
        <v>1</v>
      </c>
      <c r="E51" s="17">
        <v>170</v>
      </c>
      <c r="F51" s="17" t="s">
        <v>4813</v>
      </c>
      <c r="G51" s="17">
        <v>1</v>
      </c>
      <c r="H51" s="29" t="s">
        <v>1116</v>
      </c>
      <c r="I51" s="33" t="s">
        <v>6176</v>
      </c>
      <c r="J51" s="47" t="s">
        <v>4555</v>
      </c>
      <c r="K51" s="61" t="s">
        <v>4779</v>
      </c>
      <c r="L51" s="12" t="s">
        <v>4780</v>
      </c>
    </row>
    <row r="52" spans="1:12">
      <c r="A52" s="1"/>
      <c r="B52" s="17">
        <v>46</v>
      </c>
      <c r="C52" s="17">
        <v>1</v>
      </c>
      <c r="D52" s="17">
        <v>1</v>
      </c>
      <c r="E52" s="17">
        <v>174</v>
      </c>
      <c r="F52" s="17" t="s">
        <v>4813</v>
      </c>
      <c r="G52" s="17">
        <v>1</v>
      </c>
      <c r="H52" s="29" t="s">
        <v>1117</v>
      </c>
      <c r="I52" s="33" t="s">
        <v>6188</v>
      </c>
      <c r="J52" s="47" t="s">
        <v>4882</v>
      </c>
      <c r="K52" s="61" t="s">
        <v>4779</v>
      </c>
      <c r="L52" s="12" t="s">
        <v>4780</v>
      </c>
    </row>
    <row r="53" spans="1:12">
      <c r="A53" s="1"/>
      <c r="B53" s="17">
        <v>47</v>
      </c>
      <c r="C53" s="17">
        <v>1</v>
      </c>
      <c r="D53" s="17">
        <v>0</v>
      </c>
      <c r="E53" s="17">
        <v>177</v>
      </c>
      <c r="F53" s="17" t="s">
        <v>4813</v>
      </c>
      <c r="G53" s="17">
        <v>1</v>
      </c>
      <c r="H53" s="29" t="s">
        <v>1118</v>
      </c>
      <c r="I53" s="33" t="s">
        <v>6200</v>
      </c>
      <c r="J53" s="47" t="s">
        <v>4546</v>
      </c>
      <c r="K53" s="61" t="s">
        <v>4779</v>
      </c>
      <c r="L53" s="12" t="s">
        <v>4780</v>
      </c>
    </row>
    <row r="54" spans="1:12">
      <c r="A54" s="1"/>
      <c r="B54" s="17">
        <v>48</v>
      </c>
      <c r="C54" s="17">
        <v>1</v>
      </c>
      <c r="D54" s="17">
        <v>0</v>
      </c>
      <c r="E54" s="17">
        <v>181</v>
      </c>
      <c r="F54" s="17" t="s">
        <v>4813</v>
      </c>
      <c r="G54" s="17">
        <v>1</v>
      </c>
      <c r="H54" s="29" t="s">
        <v>1119</v>
      </c>
      <c r="I54" s="33" t="s">
        <v>6212</v>
      </c>
      <c r="J54" s="47" t="s">
        <v>4875</v>
      </c>
      <c r="K54" s="61" t="s">
        <v>4807</v>
      </c>
      <c r="L54" s="12" t="s">
        <v>4780</v>
      </c>
    </row>
    <row r="55" spans="1:12">
      <c r="A55" s="1"/>
      <c r="B55" s="17">
        <v>49</v>
      </c>
      <c r="C55" s="17">
        <v>1</v>
      </c>
      <c r="D55" s="17">
        <v>0</v>
      </c>
      <c r="E55" s="17">
        <v>185</v>
      </c>
      <c r="F55" s="17" t="s">
        <v>4813</v>
      </c>
      <c r="G55" s="17">
        <v>1</v>
      </c>
      <c r="H55" s="29" t="s">
        <v>1120</v>
      </c>
      <c r="I55" s="33" t="s">
        <v>6223</v>
      </c>
      <c r="J55" s="47" t="s">
        <v>4564</v>
      </c>
      <c r="K55" s="61" t="s">
        <v>4779</v>
      </c>
      <c r="L55" s="12" t="s">
        <v>4780</v>
      </c>
    </row>
    <row r="56" spans="1:12">
      <c r="A56" s="1"/>
      <c r="B56" s="17">
        <v>50</v>
      </c>
      <c r="C56" s="17">
        <v>1</v>
      </c>
      <c r="D56" s="17">
        <v>0</v>
      </c>
      <c r="E56" s="17">
        <v>189</v>
      </c>
      <c r="F56" s="17" t="s">
        <v>4813</v>
      </c>
      <c r="G56" s="17">
        <v>1</v>
      </c>
      <c r="H56" s="29" t="s">
        <v>1121</v>
      </c>
      <c r="I56" s="33" t="s">
        <v>6236</v>
      </c>
      <c r="J56" s="47" t="s">
        <v>1071</v>
      </c>
      <c r="K56" s="61" t="s">
        <v>4779</v>
      </c>
      <c r="L56" s="12" t="s">
        <v>4780</v>
      </c>
    </row>
    <row r="57" spans="1:12">
      <c r="A57" s="1"/>
      <c r="B57" s="17">
        <v>51</v>
      </c>
      <c r="C57" s="17">
        <v>1</v>
      </c>
      <c r="D57" s="17">
        <v>1</v>
      </c>
      <c r="E57" s="17">
        <v>193</v>
      </c>
      <c r="F57" s="17" t="s">
        <v>4813</v>
      </c>
      <c r="G57" s="17">
        <v>1</v>
      </c>
      <c r="H57" s="29" t="s">
        <v>1122</v>
      </c>
      <c r="I57" s="33" t="s">
        <v>6247</v>
      </c>
      <c r="J57" s="47" t="s">
        <v>1067</v>
      </c>
      <c r="K57" s="61" t="s">
        <v>4779</v>
      </c>
      <c r="L57" s="12" t="s">
        <v>4780</v>
      </c>
    </row>
    <row r="58" spans="1:12">
      <c r="A58" s="1"/>
      <c r="B58" s="17">
        <v>52</v>
      </c>
      <c r="C58" s="17">
        <v>1</v>
      </c>
      <c r="D58" s="17">
        <v>1</v>
      </c>
      <c r="E58" s="17">
        <v>197</v>
      </c>
      <c r="F58" s="17" t="s">
        <v>4813</v>
      </c>
      <c r="G58" s="17">
        <v>1</v>
      </c>
      <c r="H58" s="29" t="s">
        <v>1123</v>
      </c>
      <c r="I58" s="33" t="s">
        <v>6259</v>
      </c>
      <c r="J58" s="47" t="s">
        <v>4672</v>
      </c>
      <c r="K58" s="61" t="s">
        <v>4779</v>
      </c>
      <c r="L58" s="12" t="s">
        <v>4780</v>
      </c>
    </row>
    <row r="59" spans="1:12">
      <c r="A59" s="1"/>
      <c r="B59" s="17">
        <v>53</v>
      </c>
      <c r="C59" s="17">
        <v>1</v>
      </c>
      <c r="D59" s="17">
        <v>0</v>
      </c>
      <c r="E59" s="17">
        <v>200</v>
      </c>
      <c r="F59" s="17" t="s">
        <v>4813</v>
      </c>
      <c r="G59" s="17">
        <v>2</v>
      </c>
      <c r="H59" s="29" t="s">
        <v>1124</v>
      </c>
      <c r="I59" s="33" t="s">
        <v>6270</v>
      </c>
      <c r="J59" s="47" t="s">
        <v>4568</v>
      </c>
      <c r="K59" s="61" t="s">
        <v>4779</v>
      </c>
      <c r="L59" s="12" t="s">
        <v>4780</v>
      </c>
    </row>
    <row r="60" spans="1:12">
      <c r="A60" s="1"/>
      <c r="B60" s="17">
        <v>54</v>
      </c>
      <c r="C60" s="17">
        <v>1</v>
      </c>
      <c r="D60" s="17">
        <v>0</v>
      </c>
      <c r="E60" s="17">
        <v>204</v>
      </c>
      <c r="F60" s="17" t="s">
        <v>4813</v>
      </c>
      <c r="G60" s="17">
        <v>2</v>
      </c>
      <c r="H60" s="29" t="s">
        <v>1125</v>
      </c>
      <c r="I60" s="33" t="s">
        <v>6282</v>
      </c>
      <c r="J60" s="47" t="s">
        <v>4890</v>
      </c>
      <c r="K60" s="61" t="s">
        <v>4779</v>
      </c>
      <c r="L60" s="12" t="s">
        <v>4780</v>
      </c>
    </row>
    <row r="61" spans="1:12">
      <c r="A61" s="1"/>
      <c r="B61" s="17">
        <v>55</v>
      </c>
      <c r="C61" s="17">
        <v>1</v>
      </c>
      <c r="D61" s="17">
        <v>0</v>
      </c>
      <c r="E61" s="17">
        <v>208</v>
      </c>
      <c r="F61" s="17" t="s">
        <v>4813</v>
      </c>
      <c r="G61" s="17">
        <v>2</v>
      </c>
      <c r="H61" s="29" t="s">
        <v>1126</v>
      </c>
      <c r="I61" s="33" t="s">
        <v>6293</v>
      </c>
      <c r="J61" s="47" t="s">
        <v>4550</v>
      </c>
      <c r="K61" s="61" t="s">
        <v>4779</v>
      </c>
      <c r="L61" s="12" t="s">
        <v>4780</v>
      </c>
    </row>
    <row r="62" spans="1:12">
      <c r="A62" s="1"/>
      <c r="B62" s="17">
        <v>56</v>
      </c>
      <c r="C62" s="17">
        <v>1</v>
      </c>
      <c r="D62" s="17">
        <v>0</v>
      </c>
      <c r="E62" s="17">
        <v>212</v>
      </c>
      <c r="F62" s="17" t="s">
        <v>4813</v>
      </c>
      <c r="G62" s="17">
        <v>2</v>
      </c>
      <c r="H62" s="29" t="s">
        <v>1127</v>
      </c>
      <c r="I62" s="33" t="s">
        <v>6305</v>
      </c>
      <c r="J62" s="47" t="s">
        <v>4550</v>
      </c>
      <c r="K62" s="61" t="s">
        <v>4779</v>
      </c>
      <c r="L62" s="12" t="s">
        <v>4780</v>
      </c>
    </row>
    <row r="63" spans="1:12">
      <c r="A63" s="1"/>
      <c r="B63" s="17">
        <v>57</v>
      </c>
      <c r="C63" s="17">
        <v>1</v>
      </c>
      <c r="D63" s="17">
        <v>1</v>
      </c>
      <c r="E63" s="17">
        <v>216</v>
      </c>
      <c r="F63" s="17" t="s">
        <v>4813</v>
      </c>
      <c r="G63" s="17">
        <v>2</v>
      </c>
      <c r="H63" s="29" t="s">
        <v>1128</v>
      </c>
      <c r="I63" s="33" t="s">
        <v>6316</v>
      </c>
      <c r="J63" s="47" t="s">
        <v>4853</v>
      </c>
      <c r="K63" s="61" t="s">
        <v>4779</v>
      </c>
      <c r="L63" s="12" t="s">
        <v>4780</v>
      </c>
    </row>
    <row r="64" spans="1:12">
      <c r="A64" s="1"/>
      <c r="B64" s="17">
        <v>58</v>
      </c>
      <c r="C64" s="17">
        <v>1</v>
      </c>
      <c r="D64" s="17">
        <v>1</v>
      </c>
      <c r="E64" s="17">
        <v>220</v>
      </c>
      <c r="F64" s="17" t="s">
        <v>4813</v>
      </c>
      <c r="G64" s="17">
        <v>2</v>
      </c>
      <c r="H64" s="29" t="s">
        <v>1129</v>
      </c>
      <c r="I64" s="33" t="s">
        <v>6328</v>
      </c>
      <c r="J64" s="47" t="s">
        <v>1068</v>
      </c>
      <c r="K64" s="61" t="s">
        <v>4779</v>
      </c>
      <c r="L64" s="12" t="s">
        <v>4780</v>
      </c>
    </row>
    <row r="65" spans="1:12">
      <c r="A65" s="1"/>
      <c r="B65" s="17">
        <v>59</v>
      </c>
      <c r="C65" s="17">
        <v>1</v>
      </c>
      <c r="D65" s="17">
        <v>0</v>
      </c>
      <c r="E65" s="17">
        <v>223</v>
      </c>
      <c r="F65" s="17" t="s">
        <v>4813</v>
      </c>
      <c r="G65" s="17">
        <v>2</v>
      </c>
      <c r="H65" s="29" t="s">
        <v>1130</v>
      </c>
      <c r="I65" s="33" t="s">
        <v>6339</v>
      </c>
      <c r="J65" s="47" t="s">
        <v>4596</v>
      </c>
      <c r="K65" s="61" t="s">
        <v>4779</v>
      </c>
      <c r="L65" s="12" t="s">
        <v>4780</v>
      </c>
    </row>
    <row r="66" spans="1:12">
      <c r="A66" s="1"/>
      <c r="B66" s="17">
        <v>60</v>
      </c>
      <c r="C66" s="17">
        <v>1</v>
      </c>
      <c r="D66" s="17">
        <v>0</v>
      </c>
      <c r="E66" s="17">
        <v>227</v>
      </c>
      <c r="F66" s="17" t="s">
        <v>4813</v>
      </c>
      <c r="G66" s="17">
        <v>2</v>
      </c>
      <c r="H66" s="29" t="s">
        <v>1131</v>
      </c>
      <c r="I66" s="33" t="s">
        <v>6351</v>
      </c>
      <c r="J66" s="47" t="s">
        <v>4890</v>
      </c>
      <c r="K66" s="61" t="s">
        <v>4779</v>
      </c>
      <c r="L66" s="12" t="s">
        <v>4780</v>
      </c>
    </row>
    <row r="67" spans="1:12">
      <c r="A67" s="1"/>
      <c r="B67" s="17">
        <v>61</v>
      </c>
      <c r="C67" s="17">
        <v>1</v>
      </c>
      <c r="D67" s="17">
        <v>0</v>
      </c>
      <c r="E67" s="17">
        <v>231</v>
      </c>
      <c r="F67" s="17" t="s">
        <v>4813</v>
      </c>
      <c r="G67" s="17">
        <v>2</v>
      </c>
      <c r="H67" s="29" t="s">
        <v>1132</v>
      </c>
      <c r="I67" s="33" t="s">
        <v>6362</v>
      </c>
      <c r="J67" s="47" t="s">
        <v>4555</v>
      </c>
      <c r="K67" s="61" t="s">
        <v>4779</v>
      </c>
      <c r="L67" s="12" t="s">
        <v>4780</v>
      </c>
    </row>
    <row r="68" spans="1:12">
      <c r="A68" s="1"/>
      <c r="B68" s="17">
        <v>62</v>
      </c>
      <c r="C68" s="17">
        <v>1</v>
      </c>
      <c r="D68" s="17">
        <v>0</v>
      </c>
      <c r="E68" s="17">
        <v>235</v>
      </c>
      <c r="F68" s="17" t="s">
        <v>4813</v>
      </c>
      <c r="G68" s="17">
        <v>2</v>
      </c>
      <c r="H68" s="29" t="s">
        <v>1133</v>
      </c>
      <c r="I68" s="33" t="s">
        <v>6374</v>
      </c>
      <c r="J68" s="47" t="s">
        <v>4860</v>
      </c>
      <c r="K68" s="61" t="s">
        <v>4779</v>
      </c>
      <c r="L68" s="12" t="s">
        <v>4780</v>
      </c>
    </row>
    <row r="69" spans="1:12">
      <c r="A69" s="1"/>
      <c r="B69" s="17">
        <v>63</v>
      </c>
      <c r="C69" s="17">
        <v>1</v>
      </c>
      <c r="D69" s="17">
        <v>1</v>
      </c>
      <c r="E69" s="17">
        <v>239</v>
      </c>
      <c r="F69" s="17" t="s">
        <v>4813</v>
      </c>
      <c r="G69" s="17">
        <v>2</v>
      </c>
      <c r="H69" s="29" t="s">
        <v>1134</v>
      </c>
      <c r="I69" s="33" t="s">
        <v>6385</v>
      </c>
      <c r="J69" s="47" t="s">
        <v>4882</v>
      </c>
      <c r="K69" s="61" t="s">
        <v>4779</v>
      </c>
      <c r="L69" s="12" t="s">
        <v>4780</v>
      </c>
    </row>
    <row r="70" spans="1:12">
      <c r="A70" s="1"/>
      <c r="B70" s="17">
        <v>64</v>
      </c>
      <c r="C70" s="17">
        <v>1</v>
      </c>
      <c r="D70" s="17">
        <v>1</v>
      </c>
      <c r="E70" s="17">
        <v>243</v>
      </c>
      <c r="F70" s="17" t="s">
        <v>4813</v>
      </c>
      <c r="G70" s="17">
        <v>2</v>
      </c>
      <c r="H70" s="29" t="s">
        <v>1135</v>
      </c>
      <c r="I70" s="33" t="s">
        <v>6397</v>
      </c>
      <c r="J70" s="47" t="s">
        <v>4575</v>
      </c>
      <c r="K70" s="61" t="s">
        <v>4779</v>
      </c>
      <c r="L70" s="12" t="s">
        <v>4780</v>
      </c>
    </row>
    <row r="71" spans="1:12">
      <c r="A71" s="1"/>
      <c r="B71" s="17">
        <v>65</v>
      </c>
      <c r="C71" s="17">
        <v>1</v>
      </c>
      <c r="D71" s="17">
        <v>0</v>
      </c>
      <c r="E71" s="17">
        <v>246</v>
      </c>
      <c r="F71" s="17" t="s">
        <v>4813</v>
      </c>
      <c r="G71" s="17">
        <v>2</v>
      </c>
      <c r="H71" s="29" t="s">
        <v>1136</v>
      </c>
      <c r="I71" s="33" t="s">
        <v>6408</v>
      </c>
      <c r="J71" s="47" t="s">
        <v>1066</v>
      </c>
      <c r="K71" s="61" t="s">
        <v>4779</v>
      </c>
      <c r="L71" s="12" t="s">
        <v>4780</v>
      </c>
    </row>
    <row r="72" spans="1:12">
      <c r="A72" s="1"/>
      <c r="B72" s="17">
        <v>66</v>
      </c>
      <c r="C72" s="17">
        <v>1</v>
      </c>
      <c r="D72" s="17">
        <v>0</v>
      </c>
      <c r="E72" s="17">
        <v>250</v>
      </c>
      <c r="F72" s="17" t="s">
        <v>4813</v>
      </c>
      <c r="G72" s="17">
        <v>2</v>
      </c>
      <c r="H72" s="29" t="s">
        <v>1137</v>
      </c>
      <c r="I72" s="33" t="s">
        <v>6420</v>
      </c>
      <c r="J72" s="47" t="s">
        <v>4596</v>
      </c>
      <c r="K72" s="61" t="s">
        <v>4779</v>
      </c>
      <c r="L72" s="12" t="s">
        <v>4780</v>
      </c>
    </row>
    <row r="73" spans="1:12">
      <c r="A73" s="1"/>
      <c r="B73" s="17">
        <v>67</v>
      </c>
      <c r="C73" s="17">
        <v>2</v>
      </c>
      <c r="D73" s="17">
        <v>0</v>
      </c>
      <c r="E73" s="17">
        <v>254</v>
      </c>
      <c r="F73" s="17" t="s">
        <v>4813</v>
      </c>
      <c r="G73" s="17">
        <v>2</v>
      </c>
      <c r="H73" s="29" t="s">
        <v>1138</v>
      </c>
      <c r="I73" s="33" t="s">
        <v>6433</v>
      </c>
      <c r="J73" s="47" t="s">
        <v>4629</v>
      </c>
      <c r="K73" s="61" t="s">
        <v>4779</v>
      </c>
      <c r="L73" s="12" t="s">
        <v>4798</v>
      </c>
    </row>
    <row r="74" spans="1:12">
      <c r="A74" s="1"/>
      <c r="B74" s="17">
        <v>68</v>
      </c>
      <c r="C74" s="17">
        <v>2</v>
      </c>
      <c r="D74" s="17">
        <v>0</v>
      </c>
      <c r="E74" s="17">
        <v>258</v>
      </c>
      <c r="F74" s="17" t="s">
        <v>4813</v>
      </c>
      <c r="G74" s="17">
        <v>2</v>
      </c>
      <c r="H74" s="29" t="s">
        <v>1139</v>
      </c>
      <c r="I74" s="33" t="s">
        <v>6449</v>
      </c>
      <c r="J74" s="47" t="s">
        <v>4913</v>
      </c>
      <c r="K74" s="61" t="s">
        <v>4779</v>
      </c>
      <c r="L74" s="12" t="s">
        <v>4798</v>
      </c>
    </row>
    <row r="75" spans="1:12">
      <c r="A75" s="1"/>
      <c r="B75" s="17">
        <v>69</v>
      </c>
      <c r="C75" s="17">
        <v>2</v>
      </c>
      <c r="D75" s="17">
        <v>1</v>
      </c>
      <c r="E75" s="17">
        <v>262</v>
      </c>
      <c r="F75" s="17" t="s">
        <v>4813</v>
      </c>
      <c r="G75" s="17">
        <v>2</v>
      </c>
      <c r="H75" s="29" t="s">
        <v>1140</v>
      </c>
      <c r="I75" s="33" t="s">
        <v>6465</v>
      </c>
      <c r="J75" s="47" t="s">
        <v>6466</v>
      </c>
      <c r="K75" s="61" t="s">
        <v>4779</v>
      </c>
      <c r="L75" s="12" t="s">
        <v>4798</v>
      </c>
    </row>
    <row r="76" spans="1:12">
      <c r="A76" s="1"/>
      <c r="B76" s="17">
        <v>70</v>
      </c>
      <c r="C76" s="17">
        <v>2</v>
      </c>
      <c r="D76" s="17">
        <v>1</v>
      </c>
      <c r="E76" s="17">
        <v>266</v>
      </c>
      <c r="F76" s="17" t="s">
        <v>4813</v>
      </c>
      <c r="G76" s="17">
        <v>2</v>
      </c>
      <c r="H76" s="29" t="s">
        <v>1141</v>
      </c>
      <c r="I76" s="33" t="s">
        <v>6481</v>
      </c>
      <c r="J76" s="47" t="s">
        <v>5664</v>
      </c>
      <c r="K76" s="61" t="s">
        <v>4779</v>
      </c>
      <c r="L76" s="12" t="s">
        <v>4798</v>
      </c>
    </row>
    <row r="77" spans="1:12">
      <c r="A77" s="1"/>
      <c r="B77" s="17">
        <v>71</v>
      </c>
      <c r="C77" s="17">
        <v>2</v>
      </c>
      <c r="D77" s="17">
        <v>0</v>
      </c>
      <c r="E77" s="17">
        <v>269</v>
      </c>
      <c r="F77" s="17" t="s">
        <v>4813</v>
      </c>
      <c r="G77" s="17">
        <v>2</v>
      </c>
      <c r="H77" s="29" t="s">
        <v>1142</v>
      </c>
      <c r="I77" s="33" t="s">
        <v>6495</v>
      </c>
      <c r="J77" s="47" t="s">
        <v>6496</v>
      </c>
      <c r="K77" s="61" t="s">
        <v>4779</v>
      </c>
      <c r="L77" s="12" t="s">
        <v>4798</v>
      </c>
    </row>
    <row r="78" spans="1:12">
      <c r="A78" s="1"/>
      <c r="B78" s="17">
        <v>72</v>
      </c>
      <c r="C78" s="17">
        <v>2</v>
      </c>
      <c r="D78" s="17">
        <v>0</v>
      </c>
      <c r="E78" s="17">
        <v>273</v>
      </c>
      <c r="F78" s="17" t="s">
        <v>4813</v>
      </c>
      <c r="G78" s="17">
        <v>2</v>
      </c>
      <c r="H78" s="29" t="s">
        <v>1143</v>
      </c>
      <c r="I78" s="33" t="s">
        <v>6513</v>
      </c>
      <c r="J78" s="47" t="s">
        <v>6514</v>
      </c>
      <c r="K78" s="61" t="s">
        <v>4779</v>
      </c>
      <c r="L78" s="12" t="s">
        <v>4798</v>
      </c>
    </row>
    <row r="79" spans="1:12">
      <c r="A79" s="1"/>
      <c r="B79" s="17">
        <v>73</v>
      </c>
      <c r="C79" s="17">
        <v>2</v>
      </c>
      <c r="D79" s="17">
        <v>0</v>
      </c>
      <c r="E79" s="17">
        <v>277</v>
      </c>
      <c r="F79" s="17" t="s">
        <v>4813</v>
      </c>
      <c r="G79" s="17">
        <v>2</v>
      </c>
      <c r="H79" s="29" t="s">
        <v>1144</v>
      </c>
      <c r="I79" s="33" t="s">
        <v>6526</v>
      </c>
      <c r="J79" s="47" t="s">
        <v>4683</v>
      </c>
      <c r="K79" s="61" t="s">
        <v>4779</v>
      </c>
      <c r="L79" s="12" t="s">
        <v>4798</v>
      </c>
    </row>
    <row r="80" spans="1:12">
      <c r="A80" s="1"/>
      <c r="B80" s="17">
        <v>74</v>
      </c>
      <c r="C80" s="17">
        <v>2</v>
      </c>
      <c r="D80" s="17">
        <v>0</v>
      </c>
      <c r="E80" s="17">
        <v>281</v>
      </c>
      <c r="F80" s="17" t="s">
        <v>4813</v>
      </c>
      <c r="G80" s="17">
        <v>2</v>
      </c>
      <c r="H80" s="29" t="s">
        <v>1145</v>
      </c>
      <c r="I80" s="33" t="s">
        <v>6539</v>
      </c>
      <c r="J80" s="47" t="s">
        <v>6540</v>
      </c>
      <c r="K80" s="61" t="s">
        <v>4779</v>
      </c>
      <c r="L80" s="12" t="s">
        <v>4798</v>
      </c>
    </row>
    <row r="81" spans="1:12">
      <c r="A81" s="1"/>
      <c r="B81" s="17">
        <v>75</v>
      </c>
      <c r="C81" s="17">
        <v>2</v>
      </c>
      <c r="D81" s="17">
        <v>1</v>
      </c>
      <c r="E81" s="17">
        <v>285</v>
      </c>
      <c r="F81" s="17" t="s">
        <v>4813</v>
      </c>
      <c r="G81" s="17">
        <v>2</v>
      </c>
      <c r="H81" s="29" t="s">
        <v>1146</v>
      </c>
      <c r="I81" s="33" t="s">
        <v>6553</v>
      </c>
      <c r="J81" s="47" t="s">
        <v>6554</v>
      </c>
      <c r="K81" s="61" t="s">
        <v>4779</v>
      </c>
      <c r="L81" s="12" t="s">
        <v>4798</v>
      </c>
    </row>
    <row r="82" spans="1:12">
      <c r="A82" s="1"/>
      <c r="B82" s="17">
        <v>76</v>
      </c>
      <c r="C82" s="17">
        <v>2</v>
      </c>
      <c r="D82" s="17">
        <v>1</v>
      </c>
      <c r="E82" s="17">
        <v>289</v>
      </c>
      <c r="F82" s="17" t="s">
        <v>4813</v>
      </c>
      <c r="G82" s="17">
        <v>2</v>
      </c>
      <c r="H82" s="29" t="s">
        <v>1147</v>
      </c>
      <c r="I82" s="33" t="s">
        <v>6567</v>
      </c>
      <c r="J82" s="47" t="s">
        <v>4635</v>
      </c>
      <c r="K82" s="61" t="s">
        <v>4779</v>
      </c>
      <c r="L82" s="12" t="s">
        <v>4798</v>
      </c>
    </row>
    <row r="83" spans="1:12">
      <c r="A83" s="1"/>
      <c r="B83" s="17">
        <v>77</v>
      </c>
      <c r="C83" s="17">
        <v>2</v>
      </c>
      <c r="D83" s="17">
        <v>0</v>
      </c>
      <c r="E83" s="17">
        <v>292</v>
      </c>
      <c r="F83" s="17" t="s">
        <v>4813</v>
      </c>
      <c r="G83" s="17">
        <v>2</v>
      </c>
      <c r="H83" s="29" t="s">
        <v>1148</v>
      </c>
      <c r="I83" s="33" t="s">
        <v>6583</v>
      </c>
      <c r="J83" s="47" t="s">
        <v>6584</v>
      </c>
      <c r="K83" s="61" t="s">
        <v>4779</v>
      </c>
      <c r="L83" s="12" t="s">
        <v>4798</v>
      </c>
    </row>
    <row r="84" spans="1:12">
      <c r="A84" s="1"/>
      <c r="B84" s="17">
        <v>78</v>
      </c>
      <c r="C84" s="17">
        <v>2</v>
      </c>
      <c r="D84" s="17">
        <v>0</v>
      </c>
      <c r="E84" s="17">
        <v>296</v>
      </c>
      <c r="F84" s="17" t="s">
        <v>4813</v>
      </c>
      <c r="G84" s="17">
        <v>2</v>
      </c>
      <c r="H84" s="29" t="s">
        <v>1149</v>
      </c>
      <c r="I84" s="33" t="s">
        <v>6598</v>
      </c>
      <c r="J84" s="47" t="s">
        <v>4993</v>
      </c>
      <c r="K84" s="61" t="s">
        <v>4810</v>
      </c>
      <c r="L84" s="12" t="s">
        <v>4798</v>
      </c>
    </row>
    <row r="85" spans="1:12">
      <c r="A85" s="1"/>
      <c r="B85" s="17">
        <v>79</v>
      </c>
      <c r="C85" s="17">
        <v>2</v>
      </c>
      <c r="D85" s="17">
        <v>0</v>
      </c>
      <c r="E85" s="17">
        <v>300</v>
      </c>
      <c r="F85" s="17" t="s">
        <v>4813</v>
      </c>
      <c r="G85" s="17">
        <v>2</v>
      </c>
      <c r="H85" s="29" t="s">
        <v>1150</v>
      </c>
      <c r="I85" s="33" t="s">
        <v>6613</v>
      </c>
      <c r="J85" s="47" t="s">
        <v>4896</v>
      </c>
      <c r="K85" s="61" t="s">
        <v>4779</v>
      </c>
      <c r="L85" s="12" t="s">
        <v>4798</v>
      </c>
    </row>
    <row r="86" spans="1:12">
      <c r="A86" s="1"/>
      <c r="B86" s="17">
        <v>80</v>
      </c>
      <c r="C86" s="17">
        <v>2</v>
      </c>
      <c r="D86" s="17">
        <v>0</v>
      </c>
      <c r="E86" s="17">
        <v>304</v>
      </c>
      <c r="F86" s="17" t="s">
        <v>4813</v>
      </c>
      <c r="G86" s="17">
        <v>2</v>
      </c>
      <c r="H86" s="29" t="s">
        <v>1151</v>
      </c>
      <c r="I86" s="33" t="s">
        <v>6625</v>
      </c>
      <c r="J86" s="47" t="s">
        <v>4680</v>
      </c>
      <c r="K86" s="61" t="s">
        <v>4779</v>
      </c>
      <c r="L86" s="12" t="s">
        <v>4798</v>
      </c>
    </row>
    <row r="87" spans="1:12">
      <c r="A87" s="1"/>
      <c r="B87" s="17">
        <v>81</v>
      </c>
      <c r="C87" s="17">
        <v>2</v>
      </c>
      <c r="D87" s="17">
        <v>1</v>
      </c>
      <c r="E87" s="17">
        <v>308</v>
      </c>
      <c r="F87" s="17" t="s">
        <v>4813</v>
      </c>
      <c r="G87" s="17">
        <v>2</v>
      </c>
      <c r="H87" s="29" t="s">
        <v>1152</v>
      </c>
      <c r="I87" s="33" t="s">
        <v>6637</v>
      </c>
      <c r="J87" s="47" t="s">
        <v>5266</v>
      </c>
      <c r="K87" s="61" t="s">
        <v>4779</v>
      </c>
      <c r="L87" s="12" t="s">
        <v>4798</v>
      </c>
    </row>
    <row r="88" spans="1:12">
      <c r="A88" s="1"/>
      <c r="B88" s="17">
        <v>82</v>
      </c>
      <c r="C88" s="17">
        <v>2</v>
      </c>
      <c r="D88" s="17">
        <v>1</v>
      </c>
      <c r="E88" s="17">
        <v>312</v>
      </c>
      <c r="F88" s="17" t="s">
        <v>4813</v>
      </c>
      <c r="G88" s="17">
        <v>2</v>
      </c>
      <c r="H88" s="29" t="s">
        <v>1153</v>
      </c>
      <c r="I88" s="33" t="s">
        <v>6651</v>
      </c>
      <c r="J88" s="47" t="s">
        <v>5438</v>
      </c>
      <c r="K88" s="61" t="s">
        <v>4779</v>
      </c>
      <c r="L88" s="12" t="s">
        <v>4798</v>
      </c>
    </row>
    <row r="89" spans="1:12">
      <c r="A89" s="1"/>
      <c r="B89" s="17">
        <v>83</v>
      </c>
      <c r="C89" s="17">
        <v>2</v>
      </c>
      <c r="D89" s="17">
        <v>0</v>
      </c>
      <c r="E89" s="17">
        <v>315</v>
      </c>
      <c r="F89" s="17" t="s">
        <v>4813</v>
      </c>
      <c r="G89" s="17">
        <v>2</v>
      </c>
      <c r="H89" s="29" t="s">
        <v>1154</v>
      </c>
      <c r="I89" s="33" t="s">
        <v>6664</v>
      </c>
      <c r="J89" s="47" t="s">
        <v>6665</v>
      </c>
      <c r="K89" s="61" t="s">
        <v>4779</v>
      </c>
      <c r="L89" s="12" t="s">
        <v>4798</v>
      </c>
    </row>
    <row r="90" spans="1:12">
      <c r="A90" s="1"/>
      <c r="B90" s="17">
        <v>84</v>
      </c>
      <c r="C90" s="17">
        <v>2</v>
      </c>
      <c r="D90" s="17">
        <v>0</v>
      </c>
      <c r="E90" s="17">
        <v>319</v>
      </c>
      <c r="F90" s="17" t="s">
        <v>4813</v>
      </c>
      <c r="G90" s="17">
        <v>2</v>
      </c>
      <c r="H90" s="29" t="s">
        <v>1155</v>
      </c>
      <c r="I90" s="33" t="s">
        <v>6681</v>
      </c>
      <c r="J90" s="47" t="s">
        <v>4607</v>
      </c>
      <c r="K90" s="61" t="s">
        <v>4779</v>
      </c>
      <c r="L90" s="12" t="s">
        <v>4798</v>
      </c>
    </row>
    <row r="91" spans="1:12">
      <c r="A91" s="1"/>
      <c r="B91" s="17">
        <v>85</v>
      </c>
      <c r="C91" s="17">
        <v>2</v>
      </c>
      <c r="D91" s="17">
        <v>0</v>
      </c>
      <c r="E91" s="17">
        <v>323</v>
      </c>
      <c r="F91" s="17" t="s">
        <v>4813</v>
      </c>
      <c r="G91" s="17">
        <v>2</v>
      </c>
      <c r="H91" s="29" t="s">
        <v>1156</v>
      </c>
      <c r="I91" s="33" t="s">
        <v>6696</v>
      </c>
      <c r="J91" s="47" t="s">
        <v>5061</v>
      </c>
      <c r="K91" s="61" t="s">
        <v>4779</v>
      </c>
      <c r="L91" s="12" t="s">
        <v>4798</v>
      </c>
    </row>
    <row r="92" spans="1:12">
      <c r="A92" s="1"/>
      <c r="B92" s="17">
        <v>86</v>
      </c>
      <c r="C92" s="17">
        <v>2</v>
      </c>
      <c r="D92" s="17">
        <v>0</v>
      </c>
      <c r="E92" s="17">
        <v>327</v>
      </c>
      <c r="F92" s="17" t="s">
        <v>4813</v>
      </c>
      <c r="G92" s="17">
        <v>2</v>
      </c>
      <c r="H92" s="29" t="s">
        <v>1157</v>
      </c>
      <c r="I92" s="33" t="s">
        <v>6711</v>
      </c>
      <c r="J92" s="47" t="s">
        <v>6712</v>
      </c>
      <c r="K92" s="61" t="s">
        <v>4779</v>
      </c>
      <c r="L92" s="12" t="s">
        <v>4798</v>
      </c>
    </row>
    <row r="93" spans="1:12">
      <c r="A93" s="1"/>
      <c r="B93" s="17">
        <v>87</v>
      </c>
      <c r="C93" s="17">
        <v>2</v>
      </c>
      <c r="D93" s="17">
        <v>1</v>
      </c>
      <c r="E93" s="17">
        <v>331</v>
      </c>
      <c r="F93" s="17" t="s">
        <v>4813</v>
      </c>
      <c r="G93" s="17">
        <v>2</v>
      </c>
      <c r="H93" s="29" t="s">
        <v>1158</v>
      </c>
      <c r="I93" s="33" t="s">
        <v>6725</v>
      </c>
      <c r="J93" s="47" t="s">
        <v>5228</v>
      </c>
      <c r="K93" s="61" t="s">
        <v>4779</v>
      </c>
      <c r="L93" s="12" t="s">
        <v>4798</v>
      </c>
    </row>
    <row r="94" spans="1:12">
      <c r="A94" s="1"/>
      <c r="B94" s="17">
        <v>88</v>
      </c>
      <c r="C94" s="17">
        <v>2</v>
      </c>
      <c r="D94" s="17">
        <v>1</v>
      </c>
      <c r="E94" s="17">
        <v>335</v>
      </c>
      <c r="F94" s="17" t="s">
        <v>4813</v>
      </c>
      <c r="G94" s="17">
        <v>2</v>
      </c>
      <c r="H94" s="29" t="s">
        <v>1159</v>
      </c>
      <c r="I94" s="33" t="s">
        <v>6739</v>
      </c>
      <c r="J94" s="47" t="s">
        <v>5060</v>
      </c>
      <c r="K94" s="61" t="s">
        <v>4779</v>
      </c>
      <c r="L94" s="12" t="s">
        <v>4798</v>
      </c>
    </row>
    <row r="95" spans="1:12">
      <c r="A95" s="1"/>
      <c r="B95" s="17">
        <v>89</v>
      </c>
      <c r="C95" s="17">
        <v>2</v>
      </c>
      <c r="D95" s="17">
        <v>0</v>
      </c>
      <c r="E95" s="17">
        <v>338</v>
      </c>
      <c r="F95" s="17" t="s">
        <v>4813</v>
      </c>
      <c r="G95" s="17">
        <v>2</v>
      </c>
      <c r="H95" s="29" t="s">
        <v>1160</v>
      </c>
      <c r="I95" s="33" t="s">
        <v>6752</v>
      </c>
      <c r="J95" s="47" t="s">
        <v>6753</v>
      </c>
      <c r="K95" s="61" t="s">
        <v>4779</v>
      </c>
      <c r="L95" s="12" t="s">
        <v>4798</v>
      </c>
    </row>
    <row r="96" spans="1:12">
      <c r="A96" s="1"/>
      <c r="B96" s="17">
        <v>90</v>
      </c>
      <c r="C96" s="17">
        <v>2</v>
      </c>
      <c r="D96" s="17">
        <v>0</v>
      </c>
      <c r="E96" s="17">
        <v>342</v>
      </c>
      <c r="F96" s="17" t="s">
        <v>4813</v>
      </c>
      <c r="G96" s="17">
        <v>2</v>
      </c>
      <c r="H96" s="29" t="s">
        <v>1161</v>
      </c>
      <c r="I96" s="33" t="s">
        <v>6768</v>
      </c>
      <c r="J96" s="47" t="s">
        <v>5423</v>
      </c>
      <c r="K96" s="61" t="s">
        <v>4779</v>
      </c>
      <c r="L96" s="12" t="s">
        <v>4798</v>
      </c>
    </row>
    <row r="97" spans="1:12">
      <c r="A97" s="1"/>
      <c r="B97" s="17">
        <v>91</v>
      </c>
      <c r="C97" s="17">
        <v>2</v>
      </c>
      <c r="D97" s="17">
        <v>0</v>
      </c>
      <c r="E97" s="17">
        <v>346</v>
      </c>
      <c r="F97" s="17" t="s">
        <v>4813</v>
      </c>
      <c r="G97" s="17">
        <v>2</v>
      </c>
      <c r="H97" s="29" t="s">
        <v>1162</v>
      </c>
      <c r="I97" s="33" t="s">
        <v>6779</v>
      </c>
      <c r="J97" s="47" t="s">
        <v>4923</v>
      </c>
      <c r="K97" s="61" t="s">
        <v>4779</v>
      </c>
      <c r="L97" s="12" t="s">
        <v>4798</v>
      </c>
    </row>
    <row r="98" spans="1:12">
      <c r="A98" s="1"/>
      <c r="B98" s="17">
        <v>92</v>
      </c>
      <c r="C98" s="17">
        <v>2</v>
      </c>
      <c r="D98" s="17">
        <v>0</v>
      </c>
      <c r="E98" s="17">
        <v>350</v>
      </c>
      <c r="F98" s="17" t="s">
        <v>4813</v>
      </c>
      <c r="G98" s="17">
        <v>2</v>
      </c>
      <c r="H98" s="29" t="s">
        <v>1163</v>
      </c>
      <c r="I98" s="33" t="s">
        <v>6798</v>
      </c>
      <c r="J98" s="47" t="s">
        <v>4943</v>
      </c>
      <c r="K98" s="61" t="s">
        <v>4779</v>
      </c>
      <c r="L98" s="12" t="s">
        <v>4798</v>
      </c>
    </row>
    <row r="99" spans="1:12">
      <c r="A99" s="1"/>
      <c r="B99" s="17">
        <v>93</v>
      </c>
      <c r="C99" s="17">
        <v>2</v>
      </c>
      <c r="D99" s="17">
        <v>1</v>
      </c>
      <c r="E99" s="17">
        <v>354</v>
      </c>
      <c r="F99" s="17" t="s">
        <v>4813</v>
      </c>
      <c r="G99" s="17">
        <v>2</v>
      </c>
      <c r="H99" s="29" t="s">
        <v>1164</v>
      </c>
      <c r="I99" s="33" t="s">
        <v>6811</v>
      </c>
      <c r="J99" s="47" t="s">
        <v>6812</v>
      </c>
      <c r="K99" s="61" t="s">
        <v>4779</v>
      </c>
      <c r="L99" s="12" t="s">
        <v>4798</v>
      </c>
    </row>
    <row r="100" spans="1:12">
      <c r="A100" s="1"/>
      <c r="B100" s="17">
        <v>94</v>
      </c>
      <c r="C100" s="17">
        <v>2</v>
      </c>
      <c r="D100" s="17">
        <v>1</v>
      </c>
      <c r="E100" s="17">
        <v>358</v>
      </c>
      <c r="F100" s="17" t="s">
        <v>4813</v>
      </c>
      <c r="G100" s="17">
        <v>2</v>
      </c>
      <c r="H100" s="29" t="s">
        <v>1165</v>
      </c>
      <c r="I100" s="33" t="s">
        <v>6831</v>
      </c>
      <c r="J100" s="47" t="s">
        <v>6832</v>
      </c>
      <c r="K100" s="61" t="s">
        <v>4779</v>
      </c>
      <c r="L100" s="12" t="s">
        <v>4798</v>
      </c>
    </row>
    <row r="101" spans="1:12">
      <c r="A101" s="1"/>
      <c r="B101" s="17">
        <v>95</v>
      </c>
      <c r="C101" s="17">
        <v>2</v>
      </c>
      <c r="D101" s="17">
        <v>0</v>
      </c>
      <c r="E101" s="17">
        <v>361</v>
      </c>
      <c r="F101" s="17" t="s">
        <v>4813</v>
      </c>
      <c r="G101" s="17">
        <v>2</v>
      </c>
      <c r="H101" s="29" t="s">
        <v>1166</v>
      </c>
      <c r="I101" s="33" t="s">
        <v>6851</v>
      </c>
      <c r="J101" s="47" t="s">
        <v>5192</v>
      </c>
      <c r="K101" s="61" t="s">
        <v>4779</v>
      </c>
      <c r="L101" s="12" t="s">
        <v>4798</v>
      </c>
    </row>
    <row r="102" spans="1:12">
      <c r="A102" s="1"/>
      <c r="B102" s="17">
        <v>96</v>
      </c>
      <c r="C102" s="17">
        <v>2</v>
      </c>
      <c r="D102" s="17">
        <v>0</v>
      </c>
      <c r="E102" s="17">
        <v>365</v>
      </c>
      <c r="F102" s="17" t="s">
        <v>4813</v>
      </c>
      <c r="G102" s="17">
        <v>2</v>
      </c>
      <c r="H102" s="29" t="s">
        <v>1167</v>
      </c>
      <c r="I102" s="33" t="s">
        <v>6871</v>
      </c>
      <c r="J102" s="47" t="s">
        <v>6872</v>
      </c>
      <c r="K102" s="61" t="s">
        <v>4779</v>
      </c>
      <c r="L102" s="12" t="s">
        <v>4798</v>
      </c>
    </row>
    <row r="103" spans="1:12">
      <c r="A103" s="1"/>
      <c r="B103" s="17">
        <v>97</v>
      </c>
      <c r="C103" s="17">
        <v>2</v>
      </c>
      <c r="D103" s="17">
        <v>0</v>
      </c>
      <c r="E103" s="17">
        <v>369</v>
      </c>
      <c r="F103" s="17" t="s">
        <v>4813</v>
      </c>
      <c r="G103" s="17">
        <v>2</v>
      </c>
      <c r="H103" s="29" t="s">
        <v>1168</v>
      </c>
      <c r="I103" s="33" t="s">
        <v>6891</v>
      </c>
      <c r="J103" s="47" t="s">
        <v>6892</v>
      </c>
      <c r="K103" s="61" t="s">
        <v>4779</v>
      </c>
      <c r="L103" s="12" t="s">
        <v>4798</v>
      </c>
    </row>
    <row r="104" spans="1:12">
      <c r="A104" s="1"/>
      <c r="B104" s="17">
        <v>98</v>
      </c>
      <c r="C104" s="17">
        <v>2</v>
      </c>
      <c r="D104" s="17">
        <v>0</v>
      </c>
      <c r="E104" s="17">
        <v>373</v>
      </c>
      <c r="F104" s="17" t="s">
        <v>4813</v>
      </c>
      <c r="G104" s="17">
        <v>2</v>
      </c>
      <c r="H104" s="29" t="s">
        <v>1169</v>
      </c>
      <c r="I104" s="33" t="s">
        <v>6913</v>
      </c>
      <c r="J104" s="47" t="s">
        <v>6914</v>
      </c>
      <c r="K104" s="61" t="s">
        <v>4779</v>
      </c>
      <c r="L104" s="12" t="s">
        <v>4798</v>
      </c>
    </row>
    <row r="105" spans="1:12">
      <c r="A105" s="1"/>
      <c r="B105" s="17">
        <v>99</v>
      </c>
      <c r="C105" s="17">
        <v>2</v>
      </c>
      <c r="D105" s="17">
        <v>1</v>
      </c>
      <c r="E105" s="17">
        <v>377</v>
      </c>
      <c r="F105" s="17" t="s">
        <v>4813</v>
      </c>
      <c r="G105" s="17">
        <v>2</v>
      </c>
      <c r="H105" s="29" t="s">
        <v>1170</v>
      </c>
      <c r="I105" s="33" t="s">
        <v>6932</v>
      </c>
      <c r="J105" s="47" t="s">
        <v>6933</v>
      </c>
      <c r="K105" s="61" t="s">
        <v>4779</v>
      </c>
      <c r="L105" s="12" t="s">
        <v>4798</v>
      </c>
    </row>
    <row r="106" spans="1:12">
      <c r="A106" s="1"/>
      <c r="B106" s="17">
        <v>100</v>
      </c>
      <c r="C106" s="17">
        <v>2</v>
      </c>
      <c r="D106" s="17">
        <v>1</v>
      </c>
      <c r="E106" s="17">
        <v>381</v>
      </c>
      <c r="F106" s="17" t="s">
        <v>4813</v>
      </c>
      <c r="G106" s="17">
        <v>2</v>
      </c>
      <c r="H106" s="29" t="s">
        <v>1171</v>
      </c>
      <c r="I106" s="33" t="s">
        <v>6953</v>
      </c>
      <c r="J106" s="47" t="s">
        <v>6954</v>
      </c>
      <c r="K106" s="61" t="s">
        <v>4779</v>
      </c>
      <c r="L106" s="12" t="s">
        <v>4798</v>
      </c>
    </row>
    <row r="107" spans="1:12">
      <c r="A107" s="1"/>
      <c r="B107" s="17">
        <v>101</v>
      </c>
      <c r="C107" s="17">
        <v>2</v>
      </c>
      <c r="D107" s="17">
        <v>0</v>
      </c>
      <c r="E107" s="17">
        <v>384</v>
      </c>
      <c r="F107" s="17" t="s">
        <v>4813</v>
      </c>
      <c r="G107" s="17">
        <v>2</v>
      </c>
      <c r="H107" s="29" t="s">
        <v>1172</v>
      </c>
      <c r="I107" s="33" t="s">
        <v>6971</v>
      </c>
      <c r="J107" s="47" t="s">
        <v>6972</v>
      </c>
      <c r="K107" s="61" t="s">
        <v>4779</v>
      </c>
      <c r="L107" s="12" t="s">
        <v>4798</v>
      </c>
    </row>
    <row r="108" spans="1:12">
      <c r="A108" s="1"/>
      <c r="B108" s="17">
        <v>102</v>
      </c>
      <c r="C108" s="17">
        <v>2</v>
      </c>
      <c r="D108" s="17">
        <v>0</v>
      </c>
      <c r="E108" s="17">
        <v>388</v>
      </c>
      <c r="F108" s="17" t="s">
        <v>4813</v>
      </c>
      <c r="G108" s="17">
        <v>2</v>
      </c>
      <c r="H108" s="29" t="s">
        <v>1173</v>
      </c>
      <c r="I108" s="33" t="s">
        <v>6993</v>
      </c>
      <c r="J108" s="47" t="s">
        <v>6994</v>
      </c>
      <c r="K108" s="61" t="s">
        <v>4779</v>
      </c>
      <c r="L108" s="12" t="s">
        <v>4798</v>
      </c>
    </row>
    <row r="109" spans="1:12">
      <c r="A109" s="1"/>
      <c r="B109" s="17">
        <v>103</v>
      </c>
      <c r="C109" s="17">
        <v>2</v>
      </c>
      <c r="D109" s="17">
        <v>0</v>
      </c>
      <c r="E109" s="17">
        <v>392</v>
      </c>
      <c r="F109" s="17" t="s">
        <v>4813</v>
      </c>
      <c r="G109" s="17">
        <v>2</v>
      </c>
      <c r="H109" s="29" t="s">
        <v>1174</v>
      </c>
      <c r="I109" s="33" t="s">
        <v>7013</v>
      </c>
      <c r="J109" s="47" t="s">
        <v>7014</v>
      </c>
      <c r="K109" s="61" t="s">
        <v>4779</v>
      </c>
      <c r="L109" s="12" t="s">
        <v>4798</v>
      </c>
    </row>
    <row r="110" spans="1:12">
      <c r="A110" s="1"/>
      <c r="B110" s="17">
        <v>104</v>
      </c>
      <c r="C110" s="17">
        <v>2</v>
      </c>
      <c r="D110" s="17">
        <v>0</v>
      </c>
      <c r="E110" s="17">
        <v>396</v>
      </c>
      <c r="F110" s="17" t="s">
        <v>4813</v>
      </c>
      <c r="G110" s="17">
        <v>2</v>
      </c>
      <c r="H110" s="29" t="s">
        <v>1175</v>
      </c>
      <c r="I110" s="33" t="s">
        <v>7037</v>
      </c>
      <c r="J110" s="47" t="s">
        <v>7038</v>
      </c>
      <c r="K110" s="61" t="s">
        <v>4779</v>
      </c>
      <c r="L110" s="12" t="s">
        <v>4798</v>
      </c>
    </row>
    <row r="111" spans="1:12">
      <c r="A111" s="1"/>
      <c r="B111" s="17">
        <v>105</v>
      </c>
      <c r="C111" s="17">
        <v>2</v>
      </c>
      <c r="D111" s="17">
        <v>1</v>
      </c>
      <c r="E111" s="17">
        <v>400</v>
      </c>
      <c r="F111" s="17" t="s">
        <v>4813</v>
      </c>
      <c r="G111" s="17">
        <v>2</v>
      </c>
      <c r="H111" s="29" t="s">
        <v>1176</v>
      </c>
      <c r="I111" s="33" t="s">
        <v>7057</v>
      </c>
      <c r="J111" s="47" t="s">
        <v>7058</v>
      </c>
      <c r="K111" s="61" t="s">
        <v>4779</v>
      </c>
      <c r="L111" s="12" t="s">
        <v>4798</v>
      </c>
    </row>
    <row r="112" spans="1:12">
      <c r="A112" s="1"/>
      <c r="B112" s="17">
        <v>106</v>
      </c>
      <c r="C112" s="17">
        <v>2</v>
      </c>
      <c r="D112" s="17">
        <v>1</v>
      </c>
      <c r="E112" s="17">
        <v>404</v>
      </c>
      <c r="F112" s="17" t="s">
        <v>4813</v>
      </c>
      <c r="G112" s="17">
        <v>2</v>
      </c>
      <c r="H112" s="29" t="s">
        <v>1177</v>
      </c>
      <c r="I112" s="33" t="s">
        <v>7077</v>
      </c>
      <c r="J112" s="47" t="s">
        <v>7078</v>
      </c>
      <c r="K112" s="61" t="s">
        <v>4779</v>
      </c>
      <c r="L112" s="12" t="s">
        <v>4798</v>
      </c>
    </row>
    <row r="113" spans="1:12">
      <c r="A113" s="1"/>
      <c r="B113" s="17">
        <v>107</v>
      </c>
      <c r="C113" s="17">
        <v>2</v>
      </c>
      <c r="D113" s="17">
        <v>0</v>
      </c>
      <c r="E113" s="17">
        <v>407</v>
      </c>
      <c r="F113" s="17" t="s">
        <v>4813</v>
      </c>
      <c r="G113" s="17">
        <v>2</v>
      </c>
      <c r="H113" s="29" t="s">
        <v>1178</v>
      </c>
      <c r="I113" s="33" t="s">
        <v>7096</v>
      </c>
      <c r="J113" s="47" t="s">
        <v>7097</v>
      </c>
      <c r="K113" s="61" t="s">
        <v>4779</v>
      </c>
      <c r="L113" s="12" t="s">
        <v>4798</v>
      </c>
    </row>
    <row r="114" spans="1:12">
      <c r="A114" s="1"/>
      <c r="B114" s="17">
        <v>108</v>
      </c>
      <c r="C114" s="17">
        <v>2</v>
      </c>
      <c r="D114" s="17">
        <v>0</v>
      </c>
      <c r="E114" s="17">
        <v>411</v>
      </c>
      <c r="F114" s="17" t="s">
        <v>4813</v>
      </c>
      <c r="G114" s="17">
        <v>2</v>
      </c>
      <c r="H114" s="29" t="s">
        <v>1179</v>
      </c>
      <c r="I114" s="33" t="s">
        <v>7116</v>
      </c>
      <c r="J114" s="47" t="s">
        <v>5554</v>
      </c>
      <c r="K114" s="61" t="s">
        <v>4779</v>
      </c>
      <c r="L114" s="12" t="s">
        <v>4798</v>
      </c>
    </row>
    <row r="115" spans="1:12">
      <c r="A115" s="1"/>
      <c r="B115" s="17">
        <v>109</v>
      </c>
      <c r="C115" s="17">
        <v>2</v>
      </c>
      <c r="D115" s="17">
        <v>0</v>
      </c>
      <c r="E115" s="17">
        <v>415</v>
      </c>
      <c r="F115" s="17" t="s">
        <v>4813</v>
      </c>
      <c r="G115" s="17">
        <v>2</v>
      </c>
      <c r="H115" s="29" t="s">
        <v>1180</v>
      </c>
      <c r="I115" s="33" t="s">
        <v>7134</v>
      </c>
      <c r="J115" s="47" t="s">
        <v>7135</v>
      </c>
      <c r="K115" s="61" t="s">
        <v>4779</v>
      </c>
      <c r="L115" s="12" t="s">
        <v>4798</v>
      </c>
    </row>
    <row r="116" spans="1:12">
      <c r="A116" s="1"/>
      <c r="B116" s="17">
        <v>110</v>
      </c>
      <c r="C116" s="17">
        <v>2</v>
      </c>
      <c r="D116" s="17">
        <v>0</v>
      </c>
      <c r="E116" s="17">
        <v>419</v>
      </c>
      <c r="F116" s="17" t="s">
        <v>4813</v>
      </c>
      <c r="G116" s="17">
        <v>2</v>
      </c>
      <c r="H116" s="29" t="s">
        <v>1181</v>
      </c>
      <c r="I116" s="33" t="s">
        <v>7154</v>
      </c>
      <c r="J116" s="47" t="s">
        <v>7155</v>
      </c>
      <c r="K116" s="61" t="s">
        <v>4779</v>
      </c>
      <c r="L116" s="12" t="s">
        <v>4798</v>
      </c>
    </row>
    <row r="117" spans="1:12">
      <c r="A117" s="1"/>
      <c r="B117" s="17">
        <v>111</v>
      </c>
      <c r="C117" s="17">
        <v>2</v>
      </c>
      <c r="D117" s="17">
        <v>1</v>
      </c>
      <c r="E117" s="17">
        <v>423</v>
      </c>
      <c r="F117" s="17" t="s">
        <v>4813</v>
      </c>
      <c r="G117" s="17">
        <v>2</v>
      </c>
      <c r="H117" s="29" t="s">
        <v>1182</v>
      </c>
      <c r="I117" s="33" t="s">
        <v>7173</v>
      </c>
      <c r="J117" s="47" t="s">
        <v>7174</v>
      </c>
      <c r="K117" s="61" t="s">
        <v>4779</v>
      </c>
      <c r="L117" s="12" t="s">
        <v>4798</v>
      </c>
    </row>
    <row r="118" spans="1:12">
      <c r="A118" s="1"/>
      <c r="B118" s="17">
        <v>112</v>
      </c>
      <c r="C118" s="17">
        <v>2</v>
      </c>
      <c r="D118" s="17">
        <v>1</v>
      </c>
      <c r="E118" s="17">
        <v>427</v>
      </c>
      <c r="F118" s="17" t="s">
        <v>4813</v>
      </c>
      <c r="G118" s="17">
        <v>2</v>
      </c>
      <c r="H118" s="29" t="s">
        <v>1183</v>
      </c>
      <c r="I118" s="33" t="s">
        <v>7194</v>
      </c>
      <c r="J118" s="47" t="s">
        <v>7195</v>
      </c>
      <c r="K118" s="61" t="s">
        <v>4779</v>
      </c>
      <c r="L118" s="12" t="s">
        <v>4798</v>
      </c>
    </row>
    <row r="119" spans="1:12">
      <c r="A119" s="1"/>
      <c r="B119" s="17">
        <v>113</v>
      </c>
      <c r="C119" s="17">
        <v>2</v>
      </c>
      <c r="D119" s="17">
        <v>0</v>
      </c>
      <c r="E119" s="17">
        <v>430</v>
      </c>
      <c r="F119" s="17" t="s">
        <v>4813</v>
      </c>
      <c r="G119" s="17">
        <v>2</v>
      </c>
      <c r="H119" s="29" t="s">
        <v>1184</v>
      </c>
      <c r="I119" s="33" t="s">
        <v>7216</v>
      </c>
      <c r="J119" s="47" t="s">
        <v>7217</v>
      </c>
      <c r="K119" s="61" t="s">
        <v>4779</v>
      </c>
      <c r="L119" s="12" t="s">
        <v>4798</v>
      </c>
    </row>
    <row r="120" spans="1:12">
      <c r="A120" s="1"/>
      <c r="B120" s="17">
        <v>114</v>
      </c>
      <c r="C120" s="17">
        <v>2</v>
      </c>
      <c r="D120" s="17">
        <v>0</v>
      </c>
      <c r="E120" s="17">
        <v>434</v>
      </c>
      <c r="F120" s="17" t="s">
        <v>4813</v>
      </c>
      <c r="G120" s="17">
        <v>2</v>
      </c>
      <c r="H120" s="29" t="s">
        <v>1185</v>
      </c>
      <c r="I120" s="33" t="s">
        <v>7237</v>
      </c>
      <c r="J120" s="47" t="s">
        <v>7238</v>
      </c>
      <c r="K120" s="61" t="s">
        <v>4779</v>
      </c>
      <c r="L120" s="12" t="s">
        <v>4798</v>
      </c>
    </row>
    <row r="121" spans="1:12">
      <c r="A121" s="1"/>
      <c r="B121" s="17">
        <v>115</v>
      </c>
      <c r="C121" s="17">
        <v>2</v>
      </c>
      <c r="D121" s="17">
        <v>0</v>
      </c>
      <c r="E121" s="17">
        <v>438</v>
      </c>
      <c r="F121" s="17" t="s">
        <v>4813</v>
      </c>
      <c r="G121" s="17">
        <v>2</v>
      </c>
      <c r="H121" s="29" t="s">
        <v>1186</v>
      </c>
      <c r="I121" s="33" t="s">
        <v>7257</v>
      </c>
      <c r="J121" s="47" t="s">
        <v>7258</v>
      </c>
      <c r="K121" s="61" t="s">
        <v>4779</v>
      </c>
      <c r="L121" s="12" t="s">
        <v>4798</v>
      </c>
    </row>
    <row r="122" spans="1:12">
      <c r="A122" s="1"/>
      <c r="B122" s="17">
        <v>116</v>
      </c>
      <c r="C122" s="17">
        <v>2</v>
      </c>
      <c r="D122" s="17">
        <v>0</v>
      </c>
      <c r="E122" s="17">
        <v>442</v>
      </c>
      <c r="F122" s="17" t="s">
        <v>4813</v>
      </c>
      <c r="G122" s="17">
        <v>2</v>
      </c>
      <c r="H122" s="29" t="s">
        <v>1187</v>
      </c>
      <c r="I122" s="33" t="s">
        <v>7278</v>
      </c>
      <c r="J122" s="47" t="s">
        <v>7155</v>
      </c>
      <c r="K122" s="61" t="s">
        <v>4779</v>
      </c>
      <c r="L122" s="12" t="s">
        <v>4798</v>
      </c>
    </row>
    <row r="123" spans="1:12">
      <c r="A123" s="1"/>
      <c r="B123" s="17">
        <v>117</v>
      </c>
      <c r="C123" s="17">
        <v>2</v>
      </c>
      <c r="D123" s="17">
        <v>1</v>
      </c>
      <c r="E123" s="17">
        <v>446</v>
      </c>
      <c r="F123" s="17" t="s">
        <v>4813</v>
      </c>
      <c r="G123" s="17">
        <v>2</v>
      </c>
      <c r="H123" s="29" t="s">
        <v>1188</v>
      </c>
      <c r="I123" s="33" t="s">
        <v>7297</v>
      </c>
      <c r="J123" s="47" t="s">
        <v>7285</v>
      </c>
      <c r="K123" s="61" t="s">
        <v>4779</v>
      </c>
      <c r="L123" s="12" t="s">
        <v>4798</v>
      </c>
    </row>
    <row r="124" spans="1:12">
      <c r="A124" s="1"/>
      <c r="B124" s="17">
        <v>118</v>
      </c>
      <c r="C124" s="17">
        <v>2</v>
      </c>
      <c r="D124" s="17">
        <v>1</v>
      </c>
      <c r="E124" s="17">
        <v>450</v>
      </c>
      <c r="F124" s="17" t="s">
        <v>4813</v>
      </c>
      <c r="G124" s="17">
        <v>2</v>
      </c>
      <c r="H124" s="29" t="s">
        <v>1189</v>
      </c>
      <c r="I124" s="33" t="s">
        <v>7315</v>
      </c>
      <c r="J124" s="47" t="s">
        <v>7316</v>
      </c>
      <c r="K124" s="61" t="s">
        <v>4779</v>
      </c>
      <c r="L124" s="12" t="s">
        <v>4798</v>
      </c>
    </row>
    <row r="125" spans="1:12">
      <c r="A125" s="1"/>
      <c r="B125" s="17">
        <v>119</v>
      </c>
      <c r="C125" s="17">
        <v>2</v>
      </c>
      <c r="D125" s="17">
        <v>0</v>
      </c>
      <c r="E125" s="17">
        <v>453</v>
      </c>
      <c r="F125" s="17" t="s">
        <v>4813</v>
      </c>
      <c r="G125" s="17">
        <v>2</v>
      </c>
      <c r="H125" s="29" t="s">
        <v>1190</v>
      </c>
      <c r="I125" s="33" t="s">
        <v>7334</v>
      </c>
      <c r="J125" s="47" t="s">
        <v>7335</v>
      </c>
      <c r="K125" s="61" t="s">
        <v>4779</v>
      </c>
      <c r="L125" s="12" t="s">
        <v>4798</v>
      </c>
    </row>
    <row r="126" spans="1:12">
      <c r="A126" s="1"/>
      <c r="B126" s="17">
        <v>120</v>
      </c>
      <c r="C126" s="17">
        <v>2</v>
      </c>
      <c r="D126" s="17">
        <v>0</v>
      </c>
      <c r="E126" s="17">
        <v>457</v>
      </c>
      <c r="F126" s="17" t="s">
        <v>4813</v>
      </c>
      <c r="G126" s="17">
        <v>2</v>
      </c>
      <c r="H126" s="29" t="s">
        <v>1191</v>
      </c>
      <c r="I126" s="33" t="s">
        <v>7351</v>
      </c>
      <c r="J126" s="47" t="s">
        <v>7352</v>
      </c>
      <c r="K126" s="61" t="s">
        <v>4779</v>
      </c>
      <c r="L126" s="12" t="s">
        <v>4798</v>
      </c>
    </row>
    <row r="127" spans="1:12">
      <c r="A127" s="1"/>
      <c r="B127" s="17">
        <v>121</v>
      </c>
      <c r="C127" s="17">
        <v>2</v>
      </c>
      <c r="D127" s="17">
        <v>0</v>
      </c>
      <c r="E127" s="17">
        <v>461</v>
      </c>
      <c r="F127" s="17" t="s">
        <v>4813</v>
      </c>
      <c r="G127" s="17">
        <v>2</v>
      </c>
      <c r="H127" s="29" t="s">
        <v>1192</v>
      </c>
      <c r="I127" s="33" t="s">
        <v>7370</v>
      </c>
      <c r="J127" s="47" t="s">
        <v>7371</v>
      </c>
      <c r="K127" s="61" t="s">
        <v>4779</v>
      </c>
      <c r="L127" s="12" t="s">
        <v>4798</v>
      </c>
    </row>
    <row r="128" spans="1:12">
      <c r="A128" s="1"/>
      <c r="B128" s="17">
        <v>122</v>
      </c>
      <c r="C128" s="17">
        <v>2</v>
      </c>
      <c r="D128" s="17">
        <v>0</v>
      </c>
      <c r="E128" s="17">
        <v>465</v>
      </c>
      <c r="F128" s="17" t="s">
        <v>4813</v>
      </c>
      <c r="G128" s="17">
        <v>2</v>
      </c>
      <c r="H128" s="29" t="s">
        <v>1193</v>
      </c>
      <c r="I128" s="33" t="s">
        <v>7393</v>
      </c>
      <c r="J128" s="47" t="s">
        <v>7394</v>
      </c>
      <c r="K128" s="61" t="s">
        <v>4779</v>
      </c>
      <c r="L128" s="12" t="s">
        <v>4798</v>
      </c>
    </row>
    <row r="129" spans="1:12">
      <c r="A129" s="1"/>
      <c r="B129" s="17">
        <v>123</v>
      </c>
      <c r="C129" s="17">
        <v>2</v>
      </c>
      <c r="D129" s="17">
        <v>1</v>
      </c>
      <c r="E129" s="17">
        <v>469</v>
      </c>
      <c r="F129" s="17" t="s">
        <v>4813</v>
      </c>
      <c r="G129" s="17">
        <v>2</v>
      </c>
      <c r="H129" s="29" t="s">
        <v>1194</v>
      </c>
      <c r="I129" s="33" t="s">
        <v>7411</v>
      </c>
      <c r="J129" s="47" t="s">
        <v>7412</v>
      </c>
      <c r="K129" s="61" t="s">
        <v>4779</v>
      </c>
      <c r="L129" s="12" t="s">
        <v>4798</v>
      </c>
    </row>
    <row r="130" spans="1:12">
      <c r="A130" s="1"/>
      <c r="B130" s="17">
        <v>124</v>
      </c>
      <c r="C130" s="17">
        <v>2</v>
      </c>
      <c r="D130" s="17">
        <v>1</v>
      </c>
      <c r="E130" s="17">
        <v>473</v>
      </c>
      <c r="F130" s="17" t="s">
        <v>4813</v>
      </c>
      <c r="G130" s="17">
        <v>2</v>
      </c>
      <c r="H130" s="29" t="s">
        <v>1195</v>
      </c>
      <c r="I130" s="33" t="s">
        <v>7428</v>
      </c>
      <c r="J130" s="47" t="s">
        <v>5721</v>
      </c>
      <c r="K130" s="61" t="s">
        <v>4808</v>
      </c>
      <c r="L130" s="12" t="s">
        <v>4798</v>
      </c>
    </row>
    <row r="131" spans="1:12">
      <c r="A131" s="1"/>
      <c r="B131" s="17">
        <v>125</v>
      </c>
      <c r="C131" s="17">
        <v>2</v>
      </c>
      <c r="D131" s="17">
        <v>0</v>
      </c>
      <c r="E131" s="17">
        <v>476</v>
      </c>
      <c r="F131" s="17" t="s">
        <v>4813</v>
      </c>
      <c r="G131" s="17">
        <v>2</v>
      </c>
      <c r="H131" s="29" t="s">
        <v>1196</v>
      </c>
      <c r="I131" s="33" t="s">
        <v>7444</v>
      </c>
      <c r="J131" s="47" t="s">
        <v>7445</v>
      </c>
      <c r="K131" s="61" t="s">
        <v>4779</v>
      </c>
      <c r="L131" s="12" t="s">
        <v>4798</v>
      </c>
    </row>
    <row r="132" spans="1:12">
      <c r="A132" s="1"/>
      <c r="B132" s="17">
        <v>126</v>
      </c>
      <c r="C132" s="17">
        <v>2</v>
      </c>
      <c r="D132" s="17">
        <v>0</v>
      </c>
      <c r="E132" s="17">
        <v>480</v>
      </c>
      <c r="F132" s="17" t="s">
        <v>4813</v>
      </c>
      <c r="G132" s="17">
        <v>2</v>
      </c>
      <c r="H132" s="29" t="s">
        <v>1197</v>
      </c>
      <c r="I132" s="33" t="s">
        <v>7462</v>
      </c>
      <c r="J132" s="47" t="s">
        <v>4667</v>
      </c>
      <c r="K132" s="61" t="s">
        <v>4779</v>
      </c>
      <c r="L132" s="12" t="s">
        <v>4798</v>
      </c>
    </row>
    <row r="133" spans="1:12">
      <c r="A133" s="1"/>
      <c r="B133" s="17">
        <v>127</v>
      </c>
      <c r="C133" s="17">
        <v>2</v>
      </c>
      <c r="D133" s="17">
        <v>0</v>
      </c>
      <c r="E133" s="17">
        <v>484</v>
      </c>
      <c r="F133" s="17" t="s">
        <v>4813</v>
      </c>
      <c r="G133" s="17">
        <v>2</v>
      </c>
      <c r="H133" s="29" t="s">
        <v>1198</v>
      </c>
      <c r="I133" s="33" t="s">
        <v>7479</v>
      </c>
      <c r="J133" s="47" t="s">
        <v>7480</v>
      </c>
      <c r="K133" s="61" t="s">
        <v>4779</v>
      </c>
      <c r="L133" s="12" t="s">
        <v>4798</v>
      </c>
    </row>
    <row r="134" spans="1:12">
      <c r="A134" s="1"/>
      <c r="B134" s="17">
        <v>128</v>
      </c>
      <c r="C134" s="17">
        <v>2</v>
      </c>
      <c r="D134" s="17">
        <v>0</v>
      </c>
      <c r="E134" s="17">
        <v>488</v>
      </c>
      <c r="F134" s="17" t="s">
        <v>4813</v>
      </c>
      <c r="G134" s="17">
        <v>2</v>
      </c>
      <c r="H134" s="29" t="s">
        <v>1199</v>
      </c>
      <c r="I134" s="33" t="s">
        <v>7495</v>
      </c>
      <c r="J134" s="47" t="s">
        <v>5004</v>
      </c>
      <c r="K134" s="61" t="s">
        <v>4779</v>
      </c>
      <c r="L134" s="12" t="s">
        <v>4798</v>
      </c>
    </row>
    <row r="135" spans="1:12">
      <c r="A135" s="1"/>
      <c r="B135" s="17">
        <v>129</v>
      </c>
      <c r="C135" s="17">
        <v>2</v>
      </c>
      <c r="D135" s="17">
        <v>1</v>
      </c>
      <c r="E135" s="17">
        <v>492</v>
      </c>
      <c r="F135" s="17" t="s">
        <v>4813</v>
      </c>
      <c r="G135" s="17">
        <v>2</v>
      </c>
      <c r="H135" s="29" t="s">
        <v>1200</v>
      </c>
      <c r="I135" s="33" t="s">
        <v>7511</v>
      </c>
      <c r="J135" s="47" t="s">
        <v>5691</v>
      </c>
      <c r="K135" s="61" t="s">
        <v>4779</v>
      </c>
      <c r="L135" s="12" t="s">
        <v>4798</v>
      </c>
    </row>
    <row r="136" spans="1:12">
      <c r="A136" s="1"/>
      <c r="B136" s="17">
        <v>130</v>
      </c>
      <c r="C136" s="17">
        <v>2</v>
      </c>
      <c r="D136" s="17">
        <v>1</v>
      </c>
      <c r="E136" s="17">
        <v>496</v>
      </c>
      <c r="F136" s="17" t="s">
        <v>4813</v>
      </c>
      <c r="G136" s="17">
        <v>2</v>
      </c>
      <c r="H136" s="29" t="s">
        <v>1201</v>
      </c>
      <c r="I136" s="33" t="s">
        <v>7532</v>
      </c>
      <c r="J136" s="47" t="s">
        <v>7533</v>
      </c>
      <c r="K136" s="61" t="s">
        <v>4779</v>
      </c>
      <c r="L136" s="12" t="s">
        <v>4798</v>
      </c>
    </row>
    <row r="137" spans="1:12">
      <c r="A137" s="1"/>
      <c r="B137" s="17">
        <v>131</v>
      </c>
      <c r="C137" s="17">
        <v>2</v>
      </c>
      <c r="D137" s="17">
        <v>0</v>
      </c>
      <c r="E137" s="17">
        <v>499</v>
      </c>
      <c r="F137" s="17" t="s">
        <v>4813</v>
      </c>
      <c r="G137" s="17">
        <v>2</v>
      </c>
      <c r="H137" s="29" t="s">
        <v>1202</v>
      </c>
      <c r="I137" s="33" t="s">
        <v>7551</v>
      </c>
      <c r="J137" s="47" t="s">
        <v>7552</v>
      </c>
      <c r="K137" s="61" t="s">
        <v>4779</v>
      </c>
      <c r="L137" s="12" t="s">
        <v>4798</v>
      </c>
    </row>
    <row r="138" spans="1:12">
      <c r="A138" s="1"/>
      <c r="B138" s="17">
        <v>132</v>
      </c>
      <c r="C138" s="17">
        <v>2</v>
      </c>
      <c r="D138" s="17">
        <v>0</v>
      </c>
      <c r="E138" s="17">
        <v>503</v>
      </c>
      <c r="F138" s="17" t="s">
        <v>4813</v>
      </c>
      <c r="G138" s="17">
        <v>3</v>
      </c>
      <c r="H138" s="29" t="s">
        <v>1203</v>
      </c>
      <c r="I138" s="33" t="s">
        <v>7568</v>
      </c>
      <c r="J138" s="47" t="s">
        <v>5465</v>
      </c>
      <c r="K138" s="61" t="s">
        <v>4779</v>
      </c>
      <c r="L138" s="12" t="s">
        <v>4798</v>
      </c>
    </row>
    <row r="139" spans="1:12">
      <c r="A139" s="1"/>
      <c r="B139" s="17">
        <v>133</v>
      </c>
      <c r="C139" s="17">
        <v>2</v>
      </c>
      <c r="D139" s="17">
        <v>0</v>
      </c>
      <c r="E139" s="17">
        <v>507</v>
      </c>
      <c r="F139" s="17" t="s">
        <v>4813</v>
      </c>
      <c r="G139" s="17">
        <v>3</v>
      </c>
      <c r="H139" s="29" t="s">
        <v>1204</v>
      </c>
      <c r="I139" s="33" t="s">
        <v>7580</v>
      </c>
      <c r="J139" s="47" t="s">
        <v>5283</v>
      </c>
      <c r="K139" s="61" t="s">
        <v>4779</v>
      </c>
      <c r="L139" s="12" t="s">
        <v>4798</v>
      </c>
    </row>
    <row r="140" spans="1:12">
      <c r="A140" s="1"/>
      <c r="B140" s="17">
        <v>134</v>
      </c>
      <c r="C140" s="17">
        <v>2</v>
      </c>
      <c r="D140" s="17">
        <v>0</v>
      </c>
      <c r="E140" s="17">
        <v>511</v>
      </c>
      <c r="F140" s="17" t="s">
        <v>4813</v>
      </c>
      <c r="G140" s="17">
        <v>3</v>
      </c>
      <c r="H140" s="29" t="s">
        <v>1205</v>
      </c>
      <c r="I140" s="33" t="s">
        <v>7597</v>
      </c>
      <c r="J140" s="47" t="s">
        <v>5475</v>
      </c>
      <c r="K140" s="61" t="s">
        <v>4779</v>
      </c>
      <c r="L140" s="12" t="s">
        <v>4798</v>
      </c>
    </row>
    <row r="141" spans="1:12">
      <c r="A141" s="1"/>
      <c r="B141" s="17">
        <v>135</v>
      </c>
      <c r="C141" s="17">
        <v>2</v>
      </c>
      <c r="D141" s="17">
        <v>1</v>
      </c>
      <c r="E141" s="17">
        <v>515</v>
      </c>
      <c r="F141" s="17" t="s">
        <v>4813</v>
      </c>
      <c r="G141" s="17">
        <v>3</v>
      </c>
      <c r="H141" s="29" t="s">
        <v>1206</v>
      </c>
      <c r="I141" s="33" t="s">
        <v>7614</v>
      </c>
      <c r="J141" s="47" t="s">
        <v>5570</v>
      </c>
      <c r="K141" s="61" t="s">
        <v>4779</v>
      </c>
      <c r="L141" s="12" t="s">
        <v>4798</v>
      </c>
    </row>
    <row r="142" spans="1:12">
      <c r="A142" s="1"/>
      <c r="B142" s="17">
        <v>136</v>
      </c>
      <c r="C142" s="17">
        <v>2</v>
      </c>
      <c r="D142" s="17">
        <v>1</v>
      </c>
      <c r="E142" s="17">
        <v>519</v>
      </c>
      <c r="F142" s="17" t="s">
        <v>4813</v>
      </c>
      <c r="G142" s="17">
        <v>3</v>
      </c>
      <c r="H142" s="29" t="s">
        <v>1207</v>
      </c>
      <c r="I142" s="33" t="s">
        <v>7633</v>
      </c>
      <c r="J142" s="47" t="s">
        <v>5010</v>
      </c>
      <c r="K142" s="61" t="s">
        <v>4779</v>
      </c>
      <c r="L142" s="12" t="s">
        <v>4798</v>
      </c>
    </row>
    <row r="143" spans="1:12">
      <c r="A143" s="1"/>
      <c r="B143" s="17">
        <v>137</v>
      </c>
      <c r="C143" s="17">
        <v>2</v>
      </c>
      <c r="D143" s="17">
        <v>0</v>
      </c>
      <c r="E143" s="17">
        <v>522</v>
      </c>
      <c r="F143" s="17" t="s">
        <v>4813</v>
      </c>
      <c r="G143" s="17">
        <v>3</v>
      </c>
      <c r="H143" s="29" t="s">
        <v>1208</v>
      </c>
      <c r="I143" s="33" t="s">
        <v>7649</v>
      </c>
      <c r="J143" s="47" t="s">
        <v>5632</v>
      </c>
      <c r="K143" s="61" t="s">
        <v>4779</v>
      </c>
      <c r="L143" s="12" t="s">
        <v>4798</v>
      </c>
    </row>
    <row r="144" spans="1:12">
      <c r="A144" s="1"/>
      <c r="B144" s="17">
        <v>138</v>
      </c>
      <c r="C144" s="17">
        <v>2</v>
      </c>
      <c r="D144" s="17">
        <v>0</v>
      </c>
      <c r="E144" s="17">
        <v>526</v>
      </c>
      <c r="F144" s="17" t="s">
        <v>4813</v>
      </c>
      <c r="G144" s="17">
        <v>3</v>
      </c>
      <c r="H144" s="29" t="s">
        <v>1209</v>
      </c>
      <c r="I144" s="33" t="s">
        <v>7670</v>
      </c>
      <c r="J144" s="47" t="s">
        <v>5378</v>
      </c>
      <c r="K144" s="61" t="s">
        <v>4808</v>
      </c>
      <c r="L144" s="12" t="s">
        <v>4798</v>
      </c>
    </row>
    <row r="145" spans="1:12">
      <c r="A145" s="1"/>
      <c r="B145" s="17">
        <v>139</v>
      </c>
      <c r="C145" s="17">
        <v>2</v>
      </c>
      <c r="D145" s="17">
        <v>0</v>
      </c>
      <c r="E145" s="17">
        <v>530</v>
      </c>
      <c r="F145" s="17" t="s">
        <v>4813</v>
      </c>
      <c r="G145" s="17">
        <v>3</v>
      </c>
      <c r="H145" s="29" t="s">
        <v>1210</v>
      </c>
      <c r="I145" s="33" t="s">
        <v>7685</v>
      </c>
      <c r="J145" s="47" t="s">
        <v>7686</v>
      </c>
      <c r="K145" s="61" t="s">
        <v>4779</v>
      </c>
      <c r="L145" s="12" t="s">
        <v>4798</v>
      </c>
    </row>
    <row r="146" spans="1:12">
      <c r="A146" s="1"/>
      <c r="B146" s="17">
        <v>140</v>
      </c>
      <c r="C146" s="17">
        <v>2</v>
      </c>
      <c r="D146" s="17">
        <v>0</v>
      </c>
      <c r="E146" s="17">
        <v>534</v>
      </c>
      <c r="F146" s="17" t="s">
        <v>4813</v>
      </c>
      <c r="G146" s="17">
        <v>3</v>
      </c>
      <c r="H146" s="29" t="s">
        <v>1211</v>
      </c>
      <c r="I146" s="33" t="s">
        <v>7700</v>
      </c>
      <c r="J146" s="47" t="s">
        <v>7701</v>
      </c>
      <c r="K146" s="61" t="s">
        <v>4779</v>
      </c>
      <c r="L146" s="12" t="s">
        <v>4798</v>
      </c>
    </row>
    <row r="147" spans="1:12">
      <c r="A147" s="1"/>
      <c r="B147" s="17">
        <v>141</v>
      </c>
      <c r="C147" s="17">
        <v>2</v>
      </c>
      <c r="D147" s="17">
        <v>1</v>
      </c>
      <c r="E147" s="17">
        <v>538</v>
      </c>
      <c r="F147" s="17" t="s">
        <v>4813</v>
      </c>
      <c r="G147" s="17">
        <v>3</v>
      </c>
      <c r="H147" s="29" t="s">
        <v>1212</v>
      </c>
      <c r="I147" s="33" t="s">
        <v>7719</v>
      </c>
      <c r="J147" s="47" t="s">
        <v>7720</v>
      </c>
      <c r="K147" s="61" t="s">
        <v>4808</v>
      </c>
      <c r="L147" s="12" t="s">
        <v>4798</v>
      </c>
    </row>
    <row r="148" spans="1:12">
      <c r="A148" s="1"/>
      <c r="B148" s="17">
        <v>142</v>
      </c>
      <c r="C148" s="17">
        <v>2</v>
      </c>
      <c r="D148" s="17">
        <v>1</v>
      </c>
      <c r="E148" s="17">
        <v>542</v>
      </c>
      <c r="F148" s="17" t="s">
        <v>4813</v>
      </c>
      <c r="G148" s="17">
        <v>3</v>
      </c>
      <c r="H148" s="29" t="s">
        <v>1213</v>
      </c>
      <c r="I148" s="33" t="s">
        <v>7738</v>
      </c>
      <c r="J148" s="47" t="s">
        <v>5453</v>
      </c>
      <c r="K148" s="61" t="s">
        <v>4779</v>
      </c>
      <c r="L148" s="12" t="s">
        <v>4798</v>
      </c>
    </row>
    <row r="149" spans="1:12">
      <c r="A149" s="1"/>
      <c r="B149" s="17">
        <v>143</v>
      </c>
      <c r="C149" s="17">
        <v>2</v>
      </c>
      <c r="D149" s="17">
        <v>0</v>
      </c>
      <c r="E149" s="17">
        <v>545</v>
      </c>
      <c r="F149" s="17" t="s">
        <v>4813</v>
      </c>
      <c r="G149" s="17">
        <v>3</v>
      </c>
      <c r="H149" s="29" t="s">
        <v>1214</v>
      </c>
      <c r="I149" s="33" t="s">
        <v>7754</v>
      </c>
      <c r="J149" s="47" t="s">
        <v>7593</v>
      </c>
      <c r="K149" s="61" t="s">
        <v>4779</v>
      </c>
      <c r="L149" s="12" t="s">
        <v>4798</v>
      </c>
    </row>
    <row r="150" spans="1:12">
      <c r="A150" s="1"/>
      <c r="B150" s="17">
        <v>144</v>
      </c>
      <c r="C150" s="17">
        <v>2</v>
      </c>
      <c r="D150" s="17">
        <v>0</v>
      </c>
      <c r="E150" s="17">
        <v>549</v>
      </c>
      <c r="F150" s="17" t="s">
        <v>4813</v>
      </c>
      <c r="G150" s="17">
        <v>3</v>
      </c>
      <c r="H150" s="29" t="s">
        <v>1215</v>
      </c>
      <c r="I150" s="33" t="s">
        <v>7770</v>
      </c>
      <c r="J150" s="47" t="s">
        <v>7771</v>
      </c>
      <c r="K150" s="61" t="s">
        <v>4779</v>
      </c>
      <c r="L150" s="12" t="s">
        <v>4798</v>
      </c>
    </row>
    <row r="151" spans="1:12">
      <c r="A151" s="1"/>
      <c r="B151" s="17">
        <v>145</v>
      </c>
      <c r="C151" s="17">
        <v>2</v>
      </c>
      <c r="D151" s="17">
        <v>0</v>
      </c>
      <c r="E151" s="17">
        <v>553</v>
      </c>
      <c r="F151" s="17" t="s">
        <v>4813</v>
      </c>
      <c r="G151" s="17">
        <v>3</v>
      </c>
      <c r="H151" s="29" t="s">
        <v>1216</v>
      </c>
      <c r="I151" s="33" t="s">
        <v>7786</v>
      </c>
      <c r="J151" s="47" t="s">
        <v>7787</v>
      </c>
      <c r="K151" s="61" t="s">
        <v>4807</v>
      </c>
      <c r="L151" s="12" t="s">
        <v>4798</v>
      </c>
    </row>
    <row r="152" spans="1:12">
      <c r="A152" s="1"/>
      <c r="B152" s="17">
        <v>146</v>
      </c>
      <c r="C152" s="17">
        <v>2</v>
      </c>
      <c r="D152" s="17">
        <v>0</v>
      </c>
      <c r="E152" s="17">
        <v>557</v>
      </c>
      <c r="F152" s="17" t="s">
        <v>4813</v>
      </c>
      <c r="G152" s="17">
        <v>3</v>
      </c>
      <c r="H152" s="29" t="s">
        <v>1217</v>
      </c>
      <c r="I152" s="33" t="s">
        <v>7804</v>
      </c>
      <c r="J152" s="47" t="s">
        <v>7805</v>
      </c>
      <c r="K152" s="61" t="s">
        <v>4779</v>
      </c>
      <c r="L152" s="12" t="s">
        <v>4798</v>
      </c>
    </row>
    <row r="153" spans="1:12">
      <c r="A153" s="1"/>
      <c r="B153" s="17">
        <v>147</v>
      </c>
      <c r="C153" s="17">
        <v>2</v>
      </c>
      <c r="D153" s="17">
        <v>1</v>
      </c>
      <c r="E153" s="17">
        <v>561</v>
      </c>
      <c r="F153" s="17" t="s">
        <v>4813</v>
      </c>
      <c r="G153" s="17">
        <v>3</v>
      </c>
      <c r="H153" s="29" t="s">
        <v>1218</v>
      </c>
      <c r="I153" s="33" t="s">
        <v>7822</v>
      </c>
      <c r="J153" s="47" t="s">
        <v>7823</v>
      </c>
      <c r="K153" s="61" t="s">
        <v>4779</v>
      </c>
      <c r="L153" s="12" t="s">
        <v>4798</v>
      </c>
    </row>
    <row r="154" spans="1:12">
      <c r="A154" s="1"/>
      <c r="B154" s="17">
        <v>148</v>
      </c>
      <c r="C154" s="17">
        <v>2</v>
      </c>
      <c r="D154" s="17">
        <v>1</v>
      </c>
      <c r="E154" s="17">
        <v>565</v>
      </c>
      <c r="F154" s="17" t="s">
        <v>4813</v>
      </c>
      <c r="G154" s="17">
        <v>3</v>
      </c>
      <c r="H154" s="29" t="s">
        <v>1219</v>
      </c>
      <c r="I154" s="33" t="s">
        <v>7842</v>
      </c>
      <c r="J154" s="47" t="s">
        <v>5907</v>
      </c>
      <c r="K154" s="61" t="s">
        <v>4779</v>
      </c>
      <c r="L154" s="12" t="s">
        <v>4798</v>
      </c>
    </row>
    <row r="155" spans="1:12">
      <c r="A155" s="1"/>
      <c r="B155" s="17">
        <v>149</v>
      </c>
      <c r="C155" s="17">
        <v>2</v>
      </c>
      <c r="D155" s="17">
        <v>0</v>
      </c>
      <c r="E155" s="17">
        <v>568</v>
      </c>
      <c r="F155" s="17" t="s">
        <v>4813</v>
      </c>
      <c r="G155" s="17">
        <v>3</v>
      </c>
      <c r="H155" s="29" t="s">
        <v>1220</v>
      </c>
      <c r="I155" s="33" t="s">
        <v>7858</v>
      </c>
      <c r="J155" s="47" t="s">
        <v>7859</v>
      </c>
      <c r="K155" s="61" t="s">
        <v>4779</v>
      </c>
      <c r="L155" s="12" t="s">
        <v>4798</v>
      </c>
    </row>
    <row r="156" spans="1:12">
      <c r="A156" s="1"/>
      <c r="B156" s="17">
        <v>150</v>
      </c>
      <c r="C156" s="17">
        <v>2</v>
      </c>
      <c r="D156" s="17">
        <v>0</v>
      </c>
      <c r="E156" s="17">
        <v>572</v>
      </c>
      <c r="F156" s="17" t="s">
        <v>4813</v>
      </c>
      <c r="G156" s="17">
        <v>3</v>
      </c>
      <c r="H156" s="29" t="s">
        <v>1221</v>
      </c>
      <c r="I156" s="33" t="s">
        <v>7875</v>
      </c>
      <c r="J156" s="47" t="s">
        <v>7876</v>
      </c>
      <c r="K156" s="61" t="s">
        <v>4806</v>
      </c>
      <c r="L156" s="12" t="s">
        <v>4798</v>
      </c>
    </row>
    <row r="157" spans="1:12">
      <c r="A157" s="1"/>
      <c r="B157" s="17">
        <v>151</v>
      </c>
      <c r="C157" s="17">
        <v>2</v>
      </c>
      <c r="D157" s="17">
        <v>0</v>
      </c>
      <c r="E157" s="17">
        <v>576</v>
      </c>
      <c r="F157" s="17" t="s">
        <v>4813</v>
      </c>
      <c r="G157" s="17">
        <v>3</v>
      </c>
      <c r="H157" s="29" t="s">
        <v>1222</v>
      </c>
      <c r="I157" s="33" t="s">
        <v>7895</v>
      </c>
      <c r="J157" s="47" t="s">
        <v>5314</v>
      </c>
      <c r="K157" s="61" t="s">
        <v>4779</v>
      </c>
      <c r="L157" s="12" t="s">
        <v>4798</v>
      </c>
    </row>
    <row r="158" spans="1:12">
      <c r="A158" s="1"/>
      <c r="B158" s="17">
        <v>152</v>
      </c>
      <c r="C158" s="17">
        <v>2</v>
      </c>
      <c r="D158" s="17">
        <v>0</v>
      </c>
      <c r="E158" s="17">
        <v>580</v>
      </c>
      <c r="F158" s="17" t="s">
        <v>4813</v>
      </c>
      <c r="G158" s="17">
        <v>3</v>
      </c>
      <c r="H158" s="29" t="s">
        <v>1223</v>
      </c>
      <c r="I158" s="33" t="s">
        <v>7909</v>
      </c>
      <c r="J158" s="47" t="s">
        <v>5523</v>
      </c>
      <c r="K158" s="61" t="s">
        <v>4779</v>
      </c>
      <c r="L158" s="12" t="s">
        <v>4798</v>
      </c>
    </row>
    <row r="159" spans="1:12">
      <c r="A159" s="1"/>
      <c r="B159" s="17">
        <v>153</v>
      </c>
      <c r="C159" s="17">
        <v>2</v>
      </c>
      <c r="D159" s="17">
        <v>1</v>
      </c>
      <c r="E159" s="17">
        <v>584</v>
      </c>
      <c r="F159" s="17" t="s">
        <v>4813</v>
      </c>
      <c r="G159" s="17">
        <v>3</v>
      </c>
      <c r="H159" s="29" t="s">
        <v>1224</v>
      </c>
      <c r="I159" s="33" t="s">
        <v>7926</v>
      </c>
      <c r="J159" s="47" t="s">
        <v>5143</v>
      </c>
      <c r="K159" s="61" t="s">
        <v>4779</v>
      </c>
      <c r="L159" s="12" t="s">
        <v>4798</v>
      </c>
    </row>
    <row r="160" spans="1:12">
      <c r="A160" s="1"/>
      <c r="B160" s="17">
        <v>154</v>
      </c>
      <c r="C160" s="17">
        <v>2</v>
      </c>
      <c r="D160" s="17">
        <v>1</v>
      </c>
      <c r="E160" s="17">
        <v>588</v>
      </c>
      <c r="F160" s="17" t="s">
        <v>4813</v>
      </c>
      <c r="G160" s="17">
        <v>3</v>
      </c>
      <c r="H160" s="29" t="s">
        <v>1225</v>
      </c>
      <c r="I160" s="33" t="s">
        <v>7943</v>
      </c>
      <c r="J160" s="47" t="s">
        <v>7944</v>
      </c>
      <c r="K160" s="61" t="s">
        <v>4779</v>
      </c>
      <c r="L160" s="12" t="s">
        <v>4798</v>
      </c>
    </row>
    <row r="161" spans="1:12">
      <c r="A161" s="1"/>
      <c r="B161" s="17">
        <v>155</v>
      </c>
      <c r="C161" s="17">
        <v>2</v>
      </c>
      <c r="D161" s="17">
        <v>0</v>
      </c>
      <c r="E161" s="17">
        <v>591</v>
      </c>
      <c r="F161" s="17" t="s">
        <v>4813</v>
      </c>
      <c r="G161" s="17">
        <v>3</v>
      </c>
      <c r="H161" s="29" t="s">
        <v>1226</v>
      </c>
      <c r="I161" s="33" t="s">
        <v>7958</v>
      </c>
      <c r="J161" s="47" t="s">
        <v>5716</v>
      </c>
      <c r="K161" s="61" t="s">
        <v>4779</v>
      </c>
      <c r="L161" s="12" t="s">
        <v>4798</v>
      </c>
    </row>
    <row r="162" spans="1:12">
      <c r="A162" s="1"/>
      <c r="B162" s="17">
        <v>156</v>
      </c>
      <c r="C162" s="17">
        <v>2</v>
      </c>
      <c r="D162" s="17">
        <v>0</v>
      </c>
      <c r="E162" s="17">
        <v>595</v>
      </c>
      <c r="F162" s="17" t="s">
        <v>4813</v>
      </c>
      <c r="G162" s="17">
        <v>3</v>
      </c>
      <c r="H162" s="29" t="s">
        <v>1227</v>
      </c>
      <c r="I162" s="33" t="s">
        <v>7974</v>
      </c>
      <c r="J162" s="47" t="s">
        <v>7975</v>
      </c>
      <c r="K162" s="61" t="s">
        <v>4779</v>
      </c>
      <c r="L162" s="12" t="s">
        <v>4798</v>
      </c>
    </row>
    <row r="163" spans="1:12">
      <c r="A163" s="1"/>
      <c r="B163" s="17">
        <v>157</v>
      </c>
      <c r="C163" s="17">
        <v>2</v>
      </c>
      <c r="D163" s="17">
        <v>0</v>
      </c>
      <c r="E163" s="17">
        <v>599</v>
      </c>
      <c r="F163" s="17" t="s">
        <v>4813</v>
      </c>
      <c r="G163" s="17">
        <v>3</v>
      </c>
      <c r="H163" s="29" t="s">
        <v>1228</v>
      </c>
      <c r="I163" s="33" t="s">
        <v>7989</v>
      </c>
      <c r="J163" s="47" t="s">
        <v>5289</v>
      </c>
      <c r="K163" s="61" t="s">
        <v>4779</v>
      </c>
      <c r="L163" s="12" t="s">
        <v>4798</v>
      </c>
    </row>
    <row r="164" spans="1:12">
      <c r="A164" s="1"/>
      <c r="B164" s="17">
        <v>158</v>
      </c>
      <c r="C164" s="17">
        <v>2</v>
      </c>
      <c r="D164" s="17">
        <v>0</v>
      </c>
      <c r="E164" s="17">
        <v>603</v>
      </c>
      <c r="F164" s="17" t="s">
        <v>4813</v>
      </c>
      <c r="G164" s="17">
        <v>3</v>
      </c>
      <c r="H164" s="29" t="s">
        <v>1229</v>
      </c>
      <c r="I164" s="33" t="s">
        <v>8011</v>
      </c>
      <c r="J164" s="47" t="s">
        <v>8012</v>
      </c>
      <c r="K164" s="61" t="s">
        <v>4779</v>
      </c>
      <c r="L164" s="12" t="s">
        <v>4798</v>
      </c>
    </row>
    <row r="165" spans="1:12">
      <c r="A165" s="1"/>
      <c r="B165" s="17">
        <v>159</v>
      </c>
      <c r="C165" s="17">
        <v>2</v>
      </c>
      <c r="D165" s="17">
        <v>1</v>
      </c>
      <c r="E165" s="17">
        <v>607</v>
      </c>
      <c r="F165" s="17" t="s">
        <v>4813</v>
      </c>
      <c r="G165" s="17">
        <v>3</v>
      </c>
      <c r="H165" s="29" t="s">
        <v>1230</v>
      </c>
      <c r="I165" s="33" t="s">
        <v>8029</v>
      </c>
      <c r="J165" s="47" t="s">
        <v>8030</v>
      </c>
      <c r="K165" s="61" t="s">
        <v>4779</v>
      </c>
      <c r="L165" s="12" t="s">
        <v>4798</v>
      </c>
    </row>
    <row r="166" spans="1:12">
      <c r="A166" s="1"/>
      <c r="B166" s="17">
        <v>160</v>
      </c>
      <c r="C166" s="17">
        <v>2</v>
      </c>
      <c r="D166" s="17">
        <v>1</v>
      </c>
      <c r="E166" s="17">
        <v>611</v>
      </c>
      <c r="F166" s="17" t="s">
        <v>4813</v>
      </c>
      <c r="G166" s="17">
        <v>3</v>
      </c>
      <c r="H166" s="29" t="s">
        <v>1231</v>
      </c>
      <c r="I166" s="33" t="s">
        <v>8045</v>
      </c>
      <c r="J166" s="47" t="s">
        <v>8046</v>
      </c>
      <c r="K166" s="61" t="s">
        <v>4809</v>
      </c>
      <c r="L166" s="12" t="s">
        <v>4798</v>
      </c>
    </row>
    <row r="167" spans="1:12">
      <c r="A167" s="1"/>
      <c r="B167" s="17">
        <v>161</v>
      </c>
      <c r="C167" s="17">
        <v>2</v>
      </c>
      <c r="D167" s="17">
        <v>0</v>
      </c>
      <c r="E167" s="17">
        <v>614</v>
      </c>
      <c r="F167" s="17" t="s">
        <v>4813</v>
      </c>
      <c r="G167" s="17">
        <v>3</v>
      </c>
      <c r="H167" s="29" t="s">
        <v>1232</v>
      </c>
      <c r="I167" s="33" t="s">
        <v>8062</v>
      </c>
      <c r="J167" s="47" t="s">
        <v>8063</v>
      </c>
      <c r="K167" s="61" t="s">
        <v>4779</v>
      </c>
      <c r="L167" s="12" t="s">
        <v>4798</v>
      </c>
    </row>
    <row r="168" spans="1:12">
      <c r="A168" s="1"/>
      <c r="B168" s="17">
        <v>162</v>
      </c>
      <c r="C168" s="17">
        <v>2</v>
      </c>
      <c r="D168" s="17">
        <v>0</v>
      </c>
      <c r="E168" s="17">
        <v>618</v>
      </c>
      <c r="F168" s="17" t="s">
        <v>4813</v>
      </c>
      <c r="G168" s="17">
        <v>3</v>
      </c>
      <c r="H168" s="29" t="s">
        <v>1233</v>
      </c>
      <c r="I168" s="33" t="s">
        <v>8082</v>
      </c>
      <c r="J168" s="47" t="s">
        <v>5779</v>
      </c>
      <c r="K168" s="61" t="s">
        <v>4779</v>
      </c>
      <c r="L168" s="12" t="s">
        <v>4798</v>
      </c>
    </row>
    <row r="169" spans="1:12">
      <c r="A169" s="1"/>
      <c r="B169" s="17">
        <v>163</v>
      </c>
      <c r="C169" s="17">
        <v>2</v>
      </c>
      <c r="D169" s="17">
        <v>0</v>
      </c>
      <c r="E169" s="17">
        <v>622</v>
      </c>
      <c r="F169" s="17" t="s">
        <v>4813</v>
      </c>
      <c r="G169" s="17">
        <v>3</v>
      </c>
      <c r="H169" s="29" t="s">
        <v>1234</v>
      </c>
      <c r="I169" s="33" t="s">
        <v>8094</v>
      </c>
      <c r="J169" s="47" t="s">
        <v>8095</v>
      </c>
      <c r="K169" s="61" t="s">
        <v>4779</v>
      </c>
      <c r="L169" s="12" t="s">
        <v>4798</v>
      </c>
    </row>
    <row r="170" spans="1:12">
      <c r="A170" s="1"/>
      <c r="B170" s="17">
        <v>164</v>
      </c>
      <c r="C170" s="17">
        <v>2</v>
      </c>
      <c r="D170" s="17">
        <v>0</v>
      </c>
      <c r="E170" s="17">
        <v>626</v>
      </c>
      <c r="F170" s="17" t="s">
        <v>4813</v>
      </c>
      <c r="G170" s="17">
        <v>3</v>
      </c>
      <c r="H170" s="29" t="s">
        <v>1235</v>
      </c>
      <c r="I170" s="33" t="s">
        <v>8114</v>
      </c>
      <c r="J170" s="47" t="s">
        <v>4671</v>
      </c>
      <c r="K170" s="61" t="s">
        <v>4779</v>
      </c>
      <c r="L170" s="12" t="s">
        <v>4798</v>
      </c>
    </row>
    <row r="171" spans="1:12">
      <c r="A171" s="1"/>
      <c r="B171" s="17">
        <v>165</v>
      </c>
      <c r="C171" s="17">
        <v>2</v>
      </c>
      <c r="D171" s="17">
        <v>1</v>
      </c>
      <c r="E171" s="17">
        <v>630</v>
      </c>
      <c r="F171" s="17" t="s">
        <v>4813</v>
      </c>
      <c r="G171" s="17">
        <v>3</v>
      </c>
      <c r="H171" s="29" t="s">
        <v>1236</v>
      </c>
      <c r="I171" s="33" t="s">
        <v>8130</v>
      </c>
      <c r="J171" s="47" t="s">
        <v>7655</v>
      </c>
      <c r="K171" s="61" t="s">
        <v>4779</v>
      </c>
      <c r="L171" s="12" t="s">
        <v>4798</v>
      </c>
    </row>
    <row r="172" spans="1:12">
      <c r="A172" s="1"/>
      <c r="B172" s="17">
        <v>166</v>
      </c>
      <c r="C172" s="17">
        <v>2</v>
      </c>
      <c r="D172" s="17">
        <v>1</v>
      </c>
      <c r="E172" s="17">
        <v>634</v>
      </c>
      <c r="F172" s="17" t="s">
        <v>4813</v>
      </c>
      <c r="G172" s="17">
        <v>3</v>
      </c>
      <c r="H172" s="29" t="s">
        <v>1237</v>
      </c>
      <c r="I172" s="33" t="s">
        <v>8149</v>
      </c>
      <c r="J172" s="47" t="s">
        <v>5700</v>
      </c>
      <c r="K172" s="61" t="s">
        <v>4779</v>
      </c>
      <c r="L172" s="12" t="s">
        <v>4798</v>
      </c>
    </row>
    <row r="173" spans="1:12">
      <c r="A173" s="1"/>
      <c r="B173" s="17">
        <v>167</v>
      </c>
      <c r="C173" s="17">
        <v>2</v>
      </c>
      <c r="D173" s="17">
        <v>0</v>
      </c>
      <c r="E173" s="17">
        <v>637</v>
      </c>
      <c r="F173" s="17" t="s">
        <v>4813</v>
      </c>
      <c r="G173" s="17">
        <v>3</v>
      </c>
      <c r="H173" s="29" t="s">
        <v>1238</v>
      </c>
      <c r="I173" s="33" t="s">
        <v>8166</v>
      </c>
      <c r="J173" s="47" t="s">
        <v>5229</v>
      </c>
      <c r="K173" s="61" t="s">
        <v>4808</v>
      </c>
      <c r="L173" s="12" t="s">
        <v>4798</v>
      </c>
    </row>
    <row r="174" spans="1:12">
      <c r="A174" s="1"/>
      <c r="B174" s="17">
        <v>168</v>
      </c>
      <c r="C174" s="17">
        <v>2</v>
      </c>
      <c r="D174" s="17">
        <v>0</v>
      </c>
      <c r="E174" s="17">
        <v>641</v>
      </c>
      <c r="F174" s="17" t="s">
        <v>4813</v>
      </c>
      <c r="G174" s="17">
        <v>3</v>
      </c>
      <c r="H174" s="29" t="s">
        <v>1239</v>
      </c>
      <c r="I174" s="33" t="s">
        <v>8181</v>
      </c>
      <c r="J174" s="47" t="s">
        <v>5051</v>
      </c>
      <c r="K174" s="61" t="s">
        <v>4779</v>
      </c>
      <c r="L174" s="12" t="s">
        <v>4798</v>
      </c>
    </row>
    <row r="175" spans="1:12">
      <c r="A175" s="1"/>
      <c r="B175" s="17">
        <v>169</v>
      </c>
      <c r="C175" s="17">
        <v>2</v>
      </c>
      <c r="D175" s="17">
        <v>0</v>
      </c>
      <c r="E175" s="17">
        <v>645</v>
      </c>
      <c r="F175" s="17" t="s">
        <v>4813</v>
      </c>
      <c r="G175" s="17">
        <v>3</v>
      </c>
      <c r="H175" s="29" t="s">
        <v>1240</v>
      </c>
      <c r="I175" s="33" t="s">
        <v>8196</v>
      </c>
      <c r="J175" s="47" t="s">
        <v>5798</v>
      </c>
      <c r="K175" s="61" t="s">
        <v>4779</v>
      </c>
      <c r="L175" s="12" t="s">
        <v>4798</v>
      </c>
    </row>
    <row r="176" spans="1:12">
      <c r="A176" s="1"/>
      <c r="B176" s="17">
        <v>170</v>
      </c>
      <c r="C176" s="17">
        <v>2</v>
      </c>
      <c r="D176" s="17">
        <v>0</v>
      </c>
      <c r="E176" s="17">
        <v>649</v>
      </c>
      <c r="F176" s="17" t="s">
        <v>4813</v>
      </c>
      <c r="G176" s="17">
        <v>3</v>
      </c>
      <c r="H176" s="29" t="s">
        <v>1241</v>
      </c>
      <c r="I176" s="33" t="s">
        <v>8216</v>
      </c>
      <c r="J176" s="47" t="s">
        <v>8217</v>
      </c>
      <c r="K176" s="61" t="s">
        <v>4779</v>
      </c>
      <c r="L176" s="12" t="s">
        <v>4798</v>
      </c>
    </row>
    <row r="177" spans="1:12">
      <c r="A177" s="1"/>
      <c r="B177" s="17">
        <v>171</v>
      </c>
      <c r="C177" s="17">
        <v>2</v>
      </c>
      <c r="D177" s="17">
        <v>1</v>
      </c>
      <c r="E177" s="17">
        <v>653</v>
      </c>
      <c r="F177" s="17" t="s">
        <v>4813</v>
      </c>
      <c r="G177" s="17">
        <v>3</v>
      </c>
      <c r="H177" s="29" t="s">
        <v>1242</v>
      </c>
      <c r="I177" s="33" t="s">
        <v>8230</v>
      </c>
      <c r="J177" s="47" t="s">
        <v>5104</v>
      </c>
      <c r="K177" s="61" t="s">
        <v>4779</v>
      </c>
      <c r="L177" s="12" t="s">
        <v>4798</v>
      </c>
    </row>
    <row r="178" spans="1:12">
      <c r="A178" s="1"/>
      <c r="B178" s="17">
        <v>172</v>
      </c>
      <c r="C178" s="17">
        <v>2</v>
      </c>
      <c r="D178" s="17">
        <v>1</v>
      </c>
      <c r="E178" s="17">
        <v>657</v>
      </c>
      <c r="F178" s="17" t="s">
        <v>4813</v>
      </c>
      <c r="G178" s="17">
        <v>3</v>
      </c>
      <c r="H178" s="29" t="s">
        <v>1243</v>
      </c>
      <c r="I178" s="33" t="s">
        <v>8248</v>
      </c>
      <c r="J178" s="47" t="s">
        <v>5363</v>
      </c>
      <c r="K178" s="61" t="s">
        <v>4779</v>
      </c>
      <c r="L178" s="12" t="s">
        <v>4798</v>
      </c>
    </row>
    <row r="179" spans="1:12">
      <c r="A179" s="1"/>
      <c r="B179" s="17">
        <v>173</v>
      </c>
      <c r="C179" s="17">
        <v>2</v>
      </c>
      <c r="D179" s="17">
        <v>0</v>
      </c>
      <c r="E179" s="17">
        <v>660</v>
      </c>
      <c r="F179" s="17" t="s">
        <v>4813</v>
      </c>
      <c r="G179" s="17">
        <v>3</v>
      </c>
      <c r="H179" s="29" t="s">
        <v>1244</v>
      </c>
      <c r="I179" s="33" t="s">
        <v>8265</v>
      </c>
      <c r="J179" s="47" t="s">
        <v>5456</v>
      </c>
      <c r="K179" s="61" t="s">
        <v>4779</v>
      </c>
      <c r="L179" s="12" t="s">
        <v>4798</v>
      </c>
    </row>
    <row r="180" spans="1:12">
      <c r="A180" s="1"/>
      <c r="B180" s="17">
        <v>174</v>
      </c>
      <c r="C180" s="17">
        <v>2</v>
      </c>
      <c r="D180" s="17">
        <v>0</v>
      </c>
      <c r="E180" s="17">
        <v>664</v>
      </c>
      <c r="F180" s="17" t="s">
        <v>4813</v>
      </c>
      <c r="G180" s="17">
        <v>3</v>
      </c>
      <c r="H180" s="29" t="s">
        <v>1245</v>
      </c>
      <c r="I180" s="33" t="s">
        <v>8280</v>
      </c>
      <c r="J180" s="47" t="s">
        <v>8281</v>
      </c>
      <c r="K180" s="61" t="s">
        <v>4779</v>
      </c>
      <c r="L180" s="12" t="s">
        <v>4798</v>
      </c>
    </row>
    <row r="181" spans="1:12">
      <c r="A181" s="1"/>
      <c r="B181" s="17">
        <v>175</v>
      </c>
      <c r="C181" s="17">
        <v>2</v>
      </c>
      <c r="D181" s="17">
        <v>0</v>
      </c>
      <c r="E181" s="17">
        <v>668</v>
      </c>
      <c r="F181" s="17" t="s">
        <v>4813</v>
      </c>
      <c r="G181" s="17">
        <v>3</v>
      </c>
      <c r="H181" s="29" t="s">
        <v>1246</v>
      </c>
      <c r="I181" s="33" t="s">
        <v>8297</v>
      </c>
      <c r="J181" s="47" t="s">
        <v>8298</v>
      </c>
      <c r="K181" s="61" t="s">
        <v>4806</v>
      </c>
      <c r="L181" s="12" t="s">
        <v>4798</v>
      </c>
    </row>
    <row r="182" spans="1:12">
      <c r="A182" s="1"/>
      <c r="B182" s="17">
        <v>176</v>
      </c>
      <c r="C182" s="17">
        <v>2</v>
      </c>
      <c r="D182" s="17">
        <v>0</v>
      </c>
      <c r="E182" s="17">
        <v>672</v>
      </c>
      <c r="F182" s="17" t="s">
        <v>4813</v>
      </c>
      <c r="G182" s="17">
        <v>3</v>
      </c>
      <c r="H182" s="29" t="s">
        <v>1247</v>
      </c>
      <c r="I182" s="33" t="s">
        <v>8314</v>
      </c>
      <c r="J182" s="47" t="s">
        <v>8315</v>
      </c>
      <c r="K182" s="61" t="s">
        <v>4779</v>
      </c>
      <c r="L182" s="12" t="s">
        <v>4798</v>
      </c>
    </row>
    <row r="183" spans="1:12">
      <c r="A183" s="1"/>
      <c r="B183" s="17">
        <v>177</v>
      </c>
      <c r="C183" s="17">
        <v>2</v>
      </c>
      <c r="D183" s="17">
        <v>1</v>
      </c>
      <c r="E183" s="17">
        <v>676</v>
      </c>
      <c r="F183" s="17" t="s">
        <v>4813</v>
      </c>
      <c r="G183" s="17">
        <v>3</v>
      </c>
      <c r="H183" s="29" t="s">
        <v>1248</v>
      </c>
      <c r="I183" s="33" t="s">
        <v>8329</v>
      </c>
      <c r="J183" s="47" t="s">
        <v>5600</v>
      </c>
      <c r="K183" s="61" t="s">
        <v>4779</v>
      </c>
      <c r="L183" s="12" t="s">
        <v>4798</v>
      </c>
    </row>
    <row r="184" spans="1:12">
      <c r="A184" s="1"/>
      <c r="B184" s="17">
        <v>178</v>
      </c>
      <c r="C184" s="17">
        <v>2</v>
      </c>
      <c r="D184" s="17">
        <v>1</v>
      </c>
      <c r="E184" s="17">
        <v>680</v>
      </c>
      <c r="F184" s="17" t="s">
        <v>4813</v>
      </c>
      <c r="G184" s="17">
        <v>3</v>
      </c>
      <c r="H184" s="29" t="s">
        <v>1249</v>
      </c>
      <c r="I184" s="33" t="s">
        <v>8346</v>
      </c>
      <c r="J184" s="47" t="s">
        <v>5801</v>
      </c>
      <c r="K184" s="61" t="s">
        <v>4779</v>
      </c>
      <c r="L184" s="12" t="s">
        <v>4798</v>
      </c>
    </row>
    <row r="185" spans="1:12">
      <c r="A185" s="1"/>
      <c r="B185" s="17">
        <v>179</v>
      </c>
      <c r="C185" s="17">
        <v>2</v>
      </c>
      <c r="D185" s="17">
        <v>0</v>
      </c>
      <c r="E185" s="17">
        <v>683</v>
      </c>
      <c r="F185" s="17" t="s">
        <v>4813</v>
      </c>
      <c r="G185" s="17">
        <v>3</v>
      </c>
      <c r="H185" s="29" t="s">
        <v>1250</v>
      </c>
      <c r="I185" s="33" t="s">
        <v>8360</v>
      </c>
      <c r="J185" s="47" t="s">
        <v>5704</v>
      </c>
      <c r="K185" s="61" t="s">
        <v>4779</v>
      </c>
      <c r="L185" s="12" t="s">
        <v>4798</v>
      </c>
    </row>
    <row r="186" spans="1:12">
      <c r="A186" s="1"/>
      <c r="B186" s="17">
        <v>180</v>
      </c>
      <c r="C186" s="17">
        <v>2</v>
      </c>
      <c r="D186" s="17">
        <v>0</v>
      </c>
      <c r="E186" s="17">
        <v>687</v>
      </c>
      <c r="F186" s="17" t="s">
        <v>4813</v>
      </c>
      <c r="G186" s="17">
        <v>3</v>
      </c>
      <c r="H186" s="29" t="s">
        <v>1251</v>
      </c>
      <c r="I186" s="33" t="s">
        <v>8375</v>
      </c>
      <c r="J186" s="47" t="s">
        <v>8376</v>
      </c>
      <c r="K186" s="61" t="s">
        <v>4779</v>
      </c>
      <c r="L186" s="12" t="s">
        <v>4798</v>
      </c>
    </row>
    <row r="187" spans="1:12">
      <c r="A187" s="1"/>
      <c r="B187" s="17">
        <v>181</v>
      </c>
      <c r="C187" s="17">
        <v>2</v>
      </c>
      <c r="D187" s="17">
        <v>0</v>
      </c>
      <c r="E187" s="17">
        <v>691</v>
      </c>
      <c r="F187" s="17" t="s">
        <v>4813</v>
      </c>
      <c r="G187" s="17">
        <v>3</v>
      </c>
      <c r="H187" s="29" t="s">
        <v>1252</v>
      </c>
      <c r="I187" s="33" t="s">
        <v>8391</v>
      </c>
      <c r="J187" s="47" t="s">
        <v>5341</v>
      </c>
      <c r="K187" s="61" t="s">
        <v>4779</v>
      </c>
      <c r="L187" s="12" t="s">
        <v>4798</v>
      </c>
    </row>
    <row r="188" spans="1:12">
      <c r="A188" s="1"/>
      <c r="B188" s="17">
        <v>182</v>
      </c>
      <c r="C188" s="17">
        <v>2</v>
      </c>
      <c r="D188" s="17">
        <v>0</v>
      </c>
      <c r="E188" s="17">
        <v>695</v>
      </c>
      <c r="F188" s="17" t="s">
        <v>4813</v>
      </c>
      <c r="G188" s="17">
        <v>3</v>
      </c>
      <c r="H188" s="29" t="s">
        <v>1253</v>
      </c>
      <c r="I188" s="33" t="s">
        <v>8408</v>
      </c>
      <c r="J188" s="47" t="s">
        <v>8409</v>
      </c>
      <c r="K188" s="61" t="s">
        <v>4808</v>
      </c>
      <c r="L188" s="12" t="s">
        <v>4798</v>
      </c>
    </row>
    <row r="189" spans="1:12">
      <c r="B189" s="17">
        <v>183</v>
      </c>
      <c r="C189" s="17">
        <v>2</v>
      </c>
      <c r="D189" s="17">
        <v>1</v>
      </c>
      <c r="E189" s="17">
        <v>699</v>
      </c>
      <c r="F189" s="17" t="s">
        <v>4813</v>
      </c>
      <c r="G189" s="17">
        <v>3</v>
      </c>
      <c r="H189" s="29" t="s">
        <v>1254</v>
      </c>
      <c r="I189" s="33" t="s">
        <v>8424</v>
      </c>
      <c r="J189" s="47" t="s">
        <v>8425</v>
      </c>
      <c r="K189" s="61" t="s">
        <v>4779</v>
      </c>
      <c r="L189" s="12" t="s">
        <v>4798</v>
      </c>
    </row>
    <row r="190" spans="1:12">
      <c r="B190" s="17">
        <v>184</v>
      </c>
      <c r="C190" s="17">
        <v>2</v>
      </c>
      <c r="D190" s="17">
        <v>1</v>
      </c>
      <c r="E190" s="17">
        <v>703</v>
      </c>
      <c r="F190" s="17" t="s">
        <v>4813</v>
      </c>
      <c r="G190" s="17">
        <v>3</v>
      </c>
      <c r="H190" s="29" t="s">
        <v>1255</v>
      </c>
      <c r="I190" s="33" t="s">
        <v>8439</v>
      </c>
      <c r="J190" s="47" t="s">
        <v>8440</v>
      </c>
      <c r="K190" s="61" t="s">
        <v>4779</v>
      </c>
      <c r="L190" s="12" t="s">
        <v>4798</v>
      </c>
    </row>
    <row r="191" spans="1:12">
      <c r="B191" s="17">
        <v>185</v>
      </c>
      <c r="C191" s="17">
        <v>2</v>
      </c>
      <c r="D191" s="17">
        <v>0</v>
      </c>
      <c r="E191" s="17">
        <v>706</v>
      </c>
      <c r="F191" s="17" t="s">
        <v>4813</v>
      </c>
      <c r="G191" s="17">
        <v>3</v>
      </c>
      <c r="H191" s="29" t="s">
        <v>1256</v>
      </c>
      <c r="I191" s="33" t="s">
        <v>8455</v>
      </c>
      <c r="J191" s="47" t="s">
        <v>4946</v>
      </c>
      <c r="K191" s="61" t="s">
        <v>4779</v>
      </c>
      <c r="L191" s="12" t="s">
        <v>4798</v>
      </c>
    </row>
    <row r="192" spans="1:12">
      <c r="B192" s="17">
        <v>186</v>
      </c>
      <c r="C192" s="17">
        <v>2</v>
      </c>
      <c r="D192" s="17">
        <v>0</v>
      </c>
      <c r="E192" s="17">
        <v>710</v>
      </c>
      <c r="F192" s="17" t="s">
        <v>4813</v>
      </c>
      <c r="G192" s="17">
        <v>3</v>
      </c>
      <c r="H192" s="29" t="s">
        <v>1257</v>
      </c>
      <c r="I192" s="33" t="s">
        <v>8473</v>
      </c>
      <c r="J192" s="47" t="s">
        <v>5339</v>
      </c>
      <c r="K192" s="61" t="s">
        <v>4779</v>
      </c>
      <c r="L192" s="12" t="s">
        <v>4798</v>
      </c>
    </row>
    <row r="193" spans="2:12">
      <c r="B193" s="17">
        <v>187</v>
      </c>
      <c r="C193" s="17">
        <v>2</v>
      </c>
      <c r="D193" s="17">
        <v>0</v>
      </c>
      <c r="E193" s="17">
        <v>714</v>
      </c>
      <c r="F193" s="17" t="s">
        <v>4813</v>
      </c>
      <c r="G193" s="17">
        <v>3</v>
      </c>
      <c r="H193" s="29" t="s">
        <v>1258</v>
      </c>
      <c r="I193" s="33" t="s">
        <v>8486</v>
      </c>
      <c r="J193" s="47" t="s">
        <v>7964</v>
      </c>
      <c r="K193" s="61" t="s">
        <v>4779</v>
      </c>
      <c r="L193" s="12" t="s">
        <v>4798</v>
      </c>
    </row>
    <row r="194" spans="2:12">
      <c r="B194" s="17">
        <v>188</v>
      </c>
      <c r="C194" s="17">
        <v>2</v>
      </c>
      <c r="D194" s="17">
        <v>0</v>
      </c>
      <c r="E194" s="17">
        <v>718</v>
      </c>
      <c r="F194" s="17" t="s">
        <v>4813</v>
      </c>
      <c r="G194" s="17">
        <v>3</v>
      </c>
      <c r="H194" s="29" t="s">
        <v>1259</v>
      </c>
      <c r="I194" s="33" t="s">
        <v>8500</v>
      </c>
      <c r="J194" s="47" t="s">
        <v>5343</v>
      </c>
      <c r="K194" s="61" t="s">
        <v>4779</v>
      </c>
      <c r="L194" s="12" t="s">
        <v>4798</v>
      </c>
    </row>
    <row r="195" spans="2:12">
      <c r="B195" s="17">
        <v>189</v>
      </c>
      <c r="C195" s="17">
        <v>2</v>
      </c>
      <c r="D195" s="17">
        <v>1</v>
      </c>
      <c r="E195" s="17">
        <v>722</v>
      </c>
      <c r="F195" s="17" t="s">
        <v>4813</v>
      </c>
      <c r="G195" s="17">
        <v>3</v>
      </c>
      <c r="H195" s="29" t="s">
        <v>1260</v>
      </c>
      <c r="I195" s="33" t="s">
        <v>8516</v>
      </c>
      <c r="J195" s="47" t="s">
        <v>8517</v>
      </c>
      <c r="K195" s="61" t="s">
        <v>4807</v>
      </c>
      <c r="L195" s="12" t="s">
        <v>4798</v>
      </c>
    </row>
    <row r="196" spans="2:12">
      <c r="B196" s="17">
        <v>190</v>
      </c>
      <c r="C196" s="17">
        <v>2</v>
      </c>
      <c r="D196" s="17">
        <v>1</v>
      </c>
      <c r="E196" s="17">
        <v>726</v>
      </c>
      <c r="F196" s="17" t="s">
        <v>4813</v>
      </c>
      <c r="G196" s="17">
        <v>3</v>
      </c>
      <c r="H196" s="29" t="s">
        <v>1261</v>
      </c>
      <c r="I196" s="33" t="s">
        <v>8531</v>
      </c>
      <c r="J196" s="47" t="s">
        <v>5117</v>
      </c>
      <c r="K196" s="61" t="s">
        <v>4779</v>
      </c>
      <c r="L196" s="12" t="s">
        <v>4798</v>
      </c>
    </row>
    <row r="197" spans="2:12">
      <c r="B197" s="17">
        <v>191</v>
      </c>
      <c r="C197" s="17">
        <v>2</v>
      </c>
      <c r="D197" s="17">
        <v>0</v>
      </c>
      <c r="E197" s="17">
        <v>729</v>
      </c>
      <c r="F197" s="17" t="s">
        <v>4813</v>
      </c>
      <c r="G197" s="17">
        <v>3</v>
      </c>
      <c r="H197" s="29" t="s">
        <v>1262</v>
      </c>
      <c r="I197" s="33" t="s">
        <v>8545</v>
      </c>
      <c r="J197" s="47" t="s">
        <v>5505</v>
      </c>
      <c r="K197" s="61" t="s">
        <v>4779</v>
      </c>
      <c r="L197" s="12" t="s">
        <v>4798</v>
      </c>
    </row>
    <row r="198" spans="2:12">
      <c r="B198" s="17">
        <v>192</v>
      </c>
      <c r="C198" s="17">
        <v>2</v>
      </c>
      <c r="D198" s="17">
        <v>0</v>
      </c>
      <c r="E198" s="17">
        <v>733</v>
      </c>
      <c r="F198" s="17" t="s">
        <v>4813</v>
      </c>
      <c r="G198" s="17">
        <v>3</v>
      </c>
      <c r="H198" s="29" t="s">
        <v>1263</v>
      </c>
      <c r="I198" s="33" t="s">
        <v>8564</v>
      </c>
      <c r="J198" s="47" t="s">
        <v>8565</v>
      </c>
      <c r="K198" s="61" t="s">
        <v>4779</v>
      </c>
      <c r="L198" s="12" t="s">
        <v>4798</v>
      </c>
    </row>
    <row r="199" spans="2:12">
      <c r="B199" s="17">
        <v>193</v>
      </c>
      <c r="C199" s="17">
        <v>2</v>
      </c>
      <c r="D199" s="17">
        <v>0</v>
      </c>
      <c r="E199" s="17">
        <v>737</v>
      </c>
      <c r="F199" s="17" t="s">
        <v>4813</v>
      </c>
      <c r="G199" s="17">
        <v>3</v>
      </c>
      <c r="H199" s="29" t="s">
        <v>1264</v>
      </c>
      <c r="I199" s="33" t="s">
        <v>8584</v>
      </c>
      <c r="J199" s="47" t="s">
        <v>8585</v>
      </c>
      <c r="K199" s="61" t="s">
        <v>4779</v>
      </c>
      <c r="L199" s="12" t="s">
        <v>4798</v>
      </c>
    </row>
    <row r="200" spans="2:12">
      <c r="B200" s="17">
        <v>194</v>
      </c>
      <c r="C200" s="17">
        <v>2</v>
      </c>
      <c r="D200" s="17">
        <v>0</v>
      </c>
      <c r="E200" s="17">
        <v>741</v>
      </c>
      <c r="F200" s="17" t="s">
        <v>4813</v>
      </c>
      <c r="G200" s="17">
        <v>3</v>
      </c>
      <c r="H200" s="29" t="s">
        <v>1265</v>
      </c>
      <c r="I200" s="33" t="s">
        <v>8606</v>
      </c>
      <c r="J200" s="47" t="s">
        <v>8607</v>
      </c>
      <c r="K200" s="61" t="s">
        <v>4779</v>
      </c>
      <c r="L200" s="12" t="s">
        <v>4798</v>
      </c>
    </row>
    <row r="201" spans="2:12">
      <c r="B201" s="17">
        <v>195</v>
      </c>
      <c r="C201" s="17">
        <v>2</v>
      </c>
      <c r="D201" s="17">
        <v>1</v>
      </c>
      <c r="E201" s="17">
        <v>745</v>
      </c>
      <c r="F201" s="17" t="s">
        <v>4813</v>
      </c>
      <c r="G201" s="17">
        <v>3</v>
      </c>
      <c r="H201" s="29" t="s">
        <v>1266</v>
      </c>
      <c r="I201" s="33" t="s">
        <v>8626</v>
      </c>
      <c r="J201" s="47" t="s">
        <v>5747</v>
      </c>
      <c r="K201" s="61" t="s">
        <v>4807</v>
      </c>
      <c r="L201" s="12" t="s">
        <v>4798</v>
      </c>
    </row>
    <row r="202" spans="2:12">
      <c r="B202" s="17">
        <v>196</v>
      </c>
      <c r="C202" s="17">
        <v>2</v>
      </c>
      <c r="D202" s="17">
        <v>1</v>
      </c>
      <c r="E202" s="17">
        <v>749</v>
      </c>
      <c r="F202" s="17" t="s">
        <v>4813</v>
      </c>
      <c r="G202" s="17">
        <v>3</v>
      </c>
      <c r="H202" s="29" t="s">
        <v>1267</v>
      </c>
      <c r="I202" s="33" t="s">
        <v>8646</v>
      </c>
      <c r="J202" s="47" t="s">
        <v>5902</v>
      </c>
      <c r="K202" s="61" t="s">
        <v>4779</v>
      </c>
      <c r="L202" s="12" t="s">
        <v>4798</v>
      </c>
    </row>
    <row r="203" spans="2:12">
      <c r="B203" s="17">
        <v>197</v>
      </c>
      <c r="C203" s="17">
        <v>2</v>
      </c>
      <c r="D203" s="17">
        <v>0</v>
      </c>
      <c r="E203" s="17">
        <v>752</v>
      </c>
      <c r="F203" s="17" t="s">
        <v>4813</v>
      </c>
      <c r="G203" s="17">
        <v>3</v>
      </c>
      <c r="H203" s="29" t="s">
        <v>1268</v>
      </c>
      <c r="I203" s="33" t="s">
        <v>8664</v>
      </c>
      <c r="J203" s="47" t="s">
        <v>8665</v>
      </c>
      <c r="K203" s="61" t="s">
        <v>4808</v>
      </c>
      <c r="L203" s="12" t="s">
        <v>4798</v>
      </c>
    </row>
    <row r="204" spans="2:12">
      <c r="B204" s="17">
        <v>198</v>
      </c>
      <c r="C204" s="17">
        <v>2</v>
      </c>
      <c r="D204" s="17">
        <v>0</v>
      </c>
      <c r="E204" s="17">
        <v>756</v>
      </c>
      <c r="F204" s="17" t="s">
        <v>4813</v>
      </c>
      <c r="G204" s="17">
        <v>3</v>
      </c>
      <c r="H204" s="29" t="s">
        <v>1269</v>
      </c>
      <c r="I204" s="33" t="s">
        <v>8687</v>
      </c>
      <c r="J204" s="47" t="s">
        <v>8688</v>
      </c>
      <c r="K204" s="61" t="s">
        <v>4779</v>
      </c>
      <c r="L204" s="12" t="s">
        <v>4798</v>
      </c>
    </row>
    <row r="205" spans="2:12">
      <c r="B205" s="17">
        <v>199</v>
      </c>
      <c r="C205" s="17">
        <v>2</v>
      </c>
      <c r="D205" s="17">
        <v>0</v>
      </c>
      <c r="E205" s="17">
        <v>760</v>
      </c>
      <c r="F205" s="17" t="s">
        <v>4813</v>
      </c>
      <c r="G205" s="17">
        <v>3</v>
      </c>
      <c r="H205" s="29" t="s">
        <v>1270</v>
      </c>
      <c r="I205" s="33" t="s">
        <v>8706</v>
      </c>
      <c r="J205" s="47" t="s">
        <v>8707</v>
      </c>
      <c r="K205" s="61" t="s">
        <v>4779</v>
      </c>
      <c r="L205" s="12" t="s">
        <v>4798</v>
      </c>
    </row>
    <row r="206" spans="2:12">
      <c r="B206" s="17">
        <v>200</v>
      </c>
      <c r="C206" s="17">
        <v>2</v>
      </c>
      <c r="D206" s="17">
        <v>0</v>
      </c>
      <c r="E206" s="17">
        <v>764</v>
      </c>
      <c r="F206" s="17" t="s">
        <v>4813</v>
      </c>
      <c r="G206" s="17">
        <v>3</v>
      </c>
      <c r="H206" s="29" t="s">
        <v>1271</v>
      </c>
      <c r="I206" s="33" t="s">
        <v>8727</v>
      </c>
      <c r="J206" s="47" t="s">
        <v>8728</v>
      </c>
      <c r="K206" s="61" t="s">
        <v>4779</v>
      </c>
      <c r="L206" s="12" t="s">
        <v>4798</v>
      </c>
    </row>
    <row r="207" spans="2:12">
      <c r="B207" s="17">
        <v>201</v>
      </c>
      <c r="C207" s="17">
        <v>2</v>
      </c>
      <c r="D207" s="17">
        <v>1</v>
      </c>
      <c r="E207" s="17">
        <v>768</v>
      </c>
      <c r="F207" s="17" t="s">
        <v>4813</v>
      </c>
      <c r="G207" s="17">
        <v>3</v>
      </c>
      <c r="H207" s="29" t="s">
        <v>1272</v>
      </c>
      <c r="I207" s="33" t="s">
        <v>8748</v>
      </c>
      <c r="J207" s="47" t="s">
        <v>4724</v>
      </c>
      <c r="K207" s="61" t="s">
        <v>4779</v>
      </c>
      <c r="L207" s="12" t="s">
        <v>4798</v>
      </c>
    </row>
    <row r="208" spans="2:12">
      <c r="B208" s="17">
        <v>202</v>
      </c>
      <c r="C208" s="17">
        <v>2</v>
      </c>
      <c r="D208" s="17">
        <v>1</v>
      </c>
      <c r="E208" s="17">
        <v>772</v>
      </c>
      <c r="F208" s="17" t="s">
        <v>4813</v>
      </c>
      <c r="G208" s="17">
        <v>3</v>
      </c>
      <c r="H208" s="29" t="s">
        <v>1273</v>
      </c>
      <c r="I208" s="33" t="s">
        <v>8768</v>
      </c>
      <c r="J208" s="47" t="s">
        <v>8769</v>
      </c>
      <c r="K208" s="61" t="s">
        <v>4779</v>
      </c>
      <c r="L208" s="12" t="s">
        <v>4798</v>
      </c>
    </row>
    <row r="209" spans="2:12">
      <c r="B209" s="17">
        <v>203</v>
      </c>
      <c r="C209" s="17">
        <v>2</v>
      </c>
      <c r="D209" s="17">
        <v>0</v>
      </c>
      <c r="E209" s="17">
        <v>775</v>
      </c>
      <c r="F209" s="17" t="s">
        <v>4813</v>
      </c>
      <c r="G209" s="17">
        <v>3</v>
      </c>
      <c r="H209" s="29" t="s">
        <v>1274</v>
      </c>
      <c r="I209" s="33" t="s">
        <v>8790</v>
      </c>
      <c r="J209" s="47" t="s">
        <v>4878</v>
      </c>
      <c r="K209" s="61" t="s">
        <v>4779</v>
      </c>
      <c r="L209" s="12" t="s">
        <v>4798</v>
      </c>
    </row>
    <row r="210" spans="2:12">
      <c r="B210" s="17">
        <v>204</v>
      </c>
      <c r="C210" s="17">
        <v>2</v>
      </c>
      <c r="D210" s="17">
        <v>0</v>
      </c>
      <c r="E210" s="17">
        <v>779</v>
      </c>
      <c r="F210" s="17" t="s">
        <v>4813</v>
      </c>
      <c r="G210" s="17">
        <v>3</v>
      </c>
      <c r="H210" s="29" t="s">
        <v>1275</v>
      </c>
      <c r="I210" s="33" t="s">
        <v>8812</v>
      </c>
      <c r="J210" s="47" t="s">
        <v>5930</v>
      </c>
      <c r="K210" s="61" t="s">
        <v>4779</v>
      </c>
      <c r="L210" s="12" t="s">
        <v>4798</v>
      </c>
    </row>
    <row r="211" spans="2:12">
      <c r="B211" s="17">
        <v>205</v>
      </c>
      <c r="C211" s="17">
        <v>2</v>
      </c>
      <c r="D211" s="17">
        <v>0</v>
      </c>
      <c r="E211" s="17">
        <v>783</v>
      </c>
      <c r="F211" s="17" t="s">
        <v>4813</v>
      </c>
      <c r="G211" s="17">
        <v>3</v>
      </c>
      <c r="H211" s="29" t="s">
        <v>1276</v>
      </c>
      <c r="I211" s="33" t="s">
        <v>8831</v>
      </c>
      <c r="J211" s="47" t="s">
        <v>5871</v>
      </c>
      <c r="K211" s="61" t="s">
        <v>4779</v>
      </c>
      <c r="L211" s="12" t="s">
        <v>4798</v>
      </c>
    </row>
    <row r="212" spans="2:12">
      <c r="B212" s="17">
        <v>206</v>
      </c>
      <c r="C212" s="17">
        <v>2</v>
      </c>
      <c r="D212" s="17">
        <v>0</v>
      </c>
      <c r="E212" s="17">
        <v>787</v>
      </c>
      <c r="F212" s="17" t="s">
        <v>4813</v>
      </c>
      <c r="G212" s="17">
        <v>3</v>
      </c>
      <c r="H212" s="29" t="s">
        <v>1277</v>
      </c>
      <c r="I212" s="33" t="s">
        <v>8851</v>
      </c>
      <c r="J212" s="47" t="s">
        <v>8852</v>
      </c>
      <c r="K212" s="61" t="s">
        <v>4779</v>
      </c>
      <c r="L212" s="12" t="s">
        <v>4798</v>
      </c>
    </row>
    <row r="213" spans="2:12">
      <c r="B213" s="17">
        <v>207</v>
      </c>
      <c r="C213" s="17">
        <v>2</v>
      </c>
      <c r="D213" s="17">
        <v>1</v>
      </c>
      <c r="E213" s="17">
        <v>791</v>
      </c>
      <c r="F213" s="17" t="s">
        <v>4813</v>
      </c>
      <c r="G213" s="17">
        <v>3</v>
      </c>
      <c r="H213" s="29" t="s">
        <v>1278</v>
      </c>
      <c r="I213" s="33" t="s">
        <v>8872</v>
      </c>
      <c r="J213" s="47" t="s">
        <v>8873</v>
      </c>
      <c r="K213" s="61" t="s">
        <v>4779</v>
      </c>
      <c r="L213" s="12" t="s">
        <v>4798</v>
      </c>
    </row>
    <row r="214" spans="2:12">
      <c r="B214" s="17">
        <v>208</v>
      </c>
      <c r="C214" s="17">
        <v>2</v>
      </c>
      <c r="D214" s="17">
        <v>1</v>
      </c>
      <c r="E214" s="17">
        <v>795</v>
      </c>
      <c r="F214" s="17" t="s">
        <v>4813</v>
      </c>
      <c r="G214" s="17">
        <v>3</v>
      </c>
      <c r="H214" s="29" t="s">
        <v>1279</v>
      </c>
      <c r="I214" s="33" t="s">
        <v>8895</v>
      </c>
      <c r="J214" s="47" t="s">
        <v>8896</v>
      </c>
      <c r="K214" s="61" t="s">
        <v>4809</v>
      </c>
      <c r="L214" s="12" t="s">
        <v>4798</v>
      </c>
    </row>
    <row r="215" spans="2:12">
      <c r="B215" s="17">
        <v>209</v>
      </c>
      <c r="C215" s="17">
        <v>2</v>
      </c>
      <c r="D215" s="17">
        <v>0</v>
      </c>
      <c r="E215" s="17">
        <v>798</v>
      </c>
      <c r="F215" s="17" t="s">
        <v>4813</v>
      </c>
      <c r="G215" s="17">
        <v>3</v>
      </c>
      <c r="H215" s="29" t="s">
        <v>1280</v>
      </c>
      <c r="I215" s="33" t="s">
        <v>8917</v>
      </c>
      <c r="J215" s="47" t="s">
        <v>8918</v>
      </c>
      <c r="K215" s="61" t="s">
        <v>4779</v>
      </c>
      <c r="L215" s="12" t="s">
        <v>4798</v>
      </c>
    </row>
    <row r="216" spans="2:12">
      <c r="B216" s="17">
        <v>210</v>
      </c>
      <c r="C216" s="17">
        <v>2</v>
      </c>
      <c r="D216" s="17">
        <v>0</v>
      </c>
      <c r="E216" s="17">
        <v>802</v>
      </c>
      <c r="F216" s="17" t="s">
        <v>4813</v>
      </c>
      <c r="G216" s="17">
        <v>3</v>
      </c>
      <c r="H216" s="29" t="s">
        <v>1281</v>
      </c>
      <c r="I216" s="33" t="s">
        <v>8938</v>
      </c>
      <c r="J216" s="47" t="s">
        <v>8939</v>
      </c>
      <c r="K216" s="61" t="s">
        <v>4779</v>
      </c>
      <c r="L216" s="12" t="s">
        <v>4798</v>
      </c>
    </row>
    <row r="217" spans="2:12">
      <c r="B217" s="17">
        <v>211</v>
      </c>
      <c r="C217" s="17">
        <v>2</v>
      </c>
      <c r="D217" s="17">
        <v>0</v>
      </c>
      <c r="E217" s="17">
        <v>806</v>
      </c>
      <c r="F217" s="17" t="s">
        <v>4813</v>
      </c>
      <c r="G217" s="17">
        <v>3</v>
      </c>
      <c r="H217" s="29" t="s">
        <v>1282</v>
      </c>
      <c r="I217" s="33" t="s">
        <v>8960</v>
      </c>
      <c r="J217" s="47" t="s">
        <v>5285</v>
      </c>
      <c r="K217" s="61" t="s">
        <v>4779</v>
      </c>
      <c r="L217" s="12" t="s">
        <v>4798</v>
      </c>
    </row>
    <row r="218" spans="2:12">
      <c r="B218" s="17">
        <v>212</v>
      </c>
      <c r="C218" s="17">
        <v>2</v>
      </c>
      <c r="D218" s="17">
        <v>0</v>
      </c>
      <c r="E218" s="17">
        <v>810</v>
      </c>
      <c r="F218" s="17" t="s">
        <v>4813</v>
      </c>
      <c r="G218" s="17">
        <v>3</v>
      </c>
      <c r="H218" s="29" t="s">
        <v>1283</v>
      </c>
      <c r="I218" s="33" t="s">
        <v>8981</v>
      </c>
      <c r="J218" s="47" t="s">
        <v>8982</v>
      </c>
      <c r="K218" s="61" t="s">
        <v>4779</v>
      </c>
      <c r="L218" s="12" t="s">
        <v>4798</v>
      </c>
    </row>
    <row r="219" spans="2:12">
      <c r="B219" s="17">
        <v>213</v>
      </c>
      <c r="C219" s="17">
        <v>2</v>
      </c>
      <c r="D219" s="17">
        <v>1</v>
      </c>
      <c r="E219" s="17">
        <v>814</v>
      </c>
      <c r="F219" s="17" t="s">
        <v>4813</v>
      </c>
      <c r="G219" s="17">
        <v>3</v>
      </c>
      <c r="H219" s="29" t="s">
        <v>1284</v>
      </c>
      <c r="I219" s="33" t="s">
        <v>9001</v>
      </c>
      <c r="J219" s="47" t="s">
        <v>9002</v>
      </c>
      <c r="K219" s="61" t="s">
        <v>4779</v>
      </c>
      <c r="L219" s="12" t="s">
        <v>4798</v>
      </c>
    </row>
    <row r="220" spans="2:12">
      <c r="B220" s="17">
        <v>214</v>
      </c>
      <c r="C220" s="17">
        <v>2</v>
      </c>
      <c r="D220" s="17">
        <v>1</v>
      </c>
      <c r="E220" s="17">
        <v>818</v>
      </c>
      <c r="F220" s="17" t="s">
        <v>4813</v>
      </c>
      <c r="G220" s="17">
        <v>3</v>
      </c>
      <c r="H220" s="29" t="s">
        <v>1285</v>
      </c>
      <c r="I220" s="33" t="s">
        <v>9024</v>
      </c>
      <c r="J220" s="47" t="s">
        <v>9025</v>
      </c>
      <c r="K220" s="61" t="s">
        <v>4779</v>
      </c>
      <c r="L220" s="12" t="s">
        <v>4798</v>
      </c>
    </row>
    <row r="221" spans="2:12">
      <c r="B221" s="17">
        <v>215</v>
      </c>
      <c r="C221" s="17">
        <v>2</v>
      </c>
      <c r="D221" s="17">
        <v>0</v>
      </c>
      <c r="E221" s="17">
        <v>821</v>
      </c>
      <c r="F221" s="17" t="s">
        <v>4813</v>
      </c>
      <c r="G221" s="17">
        <v>3</v>
      </c>
      <c r="H221" s="29" t="s">
        <v>1286</v>
      </c>
      <c r="I221" s="33" t="s">
        <v>9044</v>
      </c>
      <c r="J221" s="47" t="s">
        <v>9045</v>
      </c>
      <c r="K221" s="61" t="s">
        <v>4779</v>
      </c>
      <c r="L221" s="12" t="s">
        <v>4798</v>
      </c>
    </row>
    <row r="222" spans="2:12">
      <c r="B222" s="17">
        <v>216</v>
      </c>
      <c r="C222" s="17">
        <v>2</v>
      </c>
      <c r="D222" s="17">
        <v>0</v>
      </c>
      <c r="E222" s="17">
        <v>825</v>
      </c>
      <c r="F222" s="17" t="s">
        <v>4813</v>
      </c>
      <c r="G222" s="17">
        <v>3</v>
      </c>
      <c r="H222" s="29" t="s">
        <v>1287</v>
      </c>
      <c r="I222" s="33" t="s">
        <v>9067</v>
      </c>
      <c r="J222" s="47" t="s">
        <v>9068</v>
      </c>
      <c r="K222" s="61" t="s">
        <v>4779</v>
      </c>
      <c r="L222" s="12" t="s">
        <v>4798</v>
      </c>
    </row>
    <row r="223" spans="2:12">
      <c r="B223" s="17">
        <v>217</v>
      </c>
      <c r="C223" s="17">
        <v>2</v>
      </c>
      <c r="D223" s="17">
        <v>0</v>
      </c>
      <c r="E223" s="17">
        <v>829</v>
      </c>
      <c r="F223" s="17" t="s">
        <v>4813</v>
      </c>
      <c r="G223" s="17">
        <v>3</v>
      </c>
      <c r="H223" s="29" t="s">
        <v>1288</v>
      </c>
      <c r="I223" s="33" t="s">
        <v>9086</v>
      </c>
      <c r="J223" s="47" t="s">
        <v>9087</v>
      </c>
      <c r="K223" s="61" t="s">
        <v>4779</v>
      </c>
      <c r="L223" s="12" t="s">
        <v>4798</v>
      </c>
    </row>
    <row r="224" spans="2:12">
      <c r="B224" s="17">
        <v>218</v>
      </c>
      <c r="C224" s="17">
        <v>2</v>
      </c>
      <c r="D224" s="17">
        <v>0</v>
      </c>
      <c r="E224" s="17">
        <v>833</v>
      </c>
      <c r="F224" s="17" t="s">
        <v>4813</v>
      </c>
      <c r="G224" s="17">
        <v>3</v>
      </c>
      <c r="H224" s="29" t="s">
        <v>1289</v>
      </c>
      <c r="I224" s="33" t="s">
        <v>9106</v>
      </c>
      <c r="J224" s="47" t="s">
        <v>9107</v>
      </c>
      <c r="K224" s="61" t="s">
        <v>4779</v>
      </c>
      <c r="L224" s="12" t="s">
        <v>4798</v>
      </c>
    </row>
    <row r="225" spans="2:12">
      <c r="B225" s="17">
        <v>219</v>
      </c>
      <c r="C225" s="17">
        <v>2</v>
      </c>
      <c r="D225" s="17">
        <v>1</v>
      </c>
      <c r="E225" s="17">
        <v>837</v>
      </c>
      <c r="F225" s="17" t="s">
        <v>4813</v>
      </c>
      <c r="G225" s="17">
        <v>3</v>
      </c>
      <c r="H225" s="29" t="s">
        <v>1290</v>
      </c>
      <c r="I225" s="33" t="s">
        <v>9127</v>
      </c>
      <c r="J225" s="47" t="s">
        <v>9128</v>
      </c>
      <c r="K225" s="61" t="s">
        <v>4779</v>
      </c>
      <c r="L225" s="12" t="s">
        <v>4798</v>
      </c>
    </row>
    <row r="226" spans="2:12">
      <c r="B226" s="17">
        <v>220</v>
      </c>
      <c r="C226" s="17">
        <v>2</v>
      </c>
      <c r="D226" s="17">
        <v>1</v>
      </c>
      <c r="E226" s="17">
        <v>841</v>
      </c>
      <c r="F226" s="17" t="s">
        <v>4813</v>
      </c>
      <c r="G226" s="17">
        <v>3</v>
      </c>
      <c r="H226" s="29" t="s">
        <v>1291</v>
      </c>
      <c r="I226" s="33" t="s">
        <v>9149</v>
      </c>
      <c r="J226" s="47" t="s">
        <v>9150</v>
      </c>
      <c r="K226" s="61" t="s">
        <v>4779</v>
      </c>
      <c r="L226" s="12" t="s">
        <v>4798</v>
      </c>
    </row>
    <row r="227" spans="2:12">
      <c r="B227" s="17">
        <v>221</v>
      </c>
      <c r="C227" s="17">
        <v>2</v>
      </c>
      <c r="D227" s="17">
        <v>0</v>
      </c>
      <c r="E227" s="17">
        <v>844</v>
      </c>
      <c r="F227" s="17" t="s">
        <v>4813</v>
      </c>
      <c r="G227" s="17">
        <v>3</v>
      </c>
      <c r="H227" s="29" t="s">
        <v>1292</v>
      </c>
      <c r="I227" s="33" t="s">
        <v>9167</v>
      </c>
      <c r="J227" s="47" t="s">
        <v>4920</v>
      </c>
      <c r="K227" s="61" t="s">
        <v>4779</v>
      </c>
      <c r="L227" s="12" t="s">
        <v>4798</v>
      </c>
    </row>
    <row r="228" spans="2:12">
      <c r="B228" s="17">
        <v>222</v>
      </c>
      <c r="C228" s="17">
        <v>2</v>
      </c>
      <c r="D228" s="17">
        <v>0</v>
      </c>
      <c r="E228" s="17">
        <v>848</v>
      </c>
      <c r="F228" s="17" t="s">
        <v>4813</v>
      </c>
      <c r="G228" s="17">
        <v>3</v>
      </c>
      <c r="H228" s="29" t="s">
        <v>1293</v>
      </c>
      <c r="I228" s="33" t="s">
        <v>9188</v>
      </c>
      <c r="J228" s="47" t="s">
        <v>9189</v>
      </c>
      <c r="K228" s="61" t="s">
        <v>4779</v>
      </c>
      <c r="L228" s="12" t="s">
        <v>4798</v>
      </c>
    </row>
    <row r="229" spans="2:12">
      <c r="B229" s="17">
        <v>223</v>
      </c>
      <c r="C229" s="17">
        <v>2</v>
      </c>
      <c r="D229" s="17">
        <v>0</v>
      </c>
      <c r="E229" s="17">
        <v>852</v>
      </c>
      <c r="F229" s="17" t="s">
        <v>4813</v>
      </c>
      <c r="G229" s="17">
        <v>3</v>
      </c>
      <c r="H229" s="29" t="s">
        <v>1294</v>
      </c>
      <c r="I229" s="33" t="s">
        <v>9209</v>
      </c>
      <c r="J229" s="47" t="s">
        <v>9210</v>
      </c>
      <c r="K229" s="61" t="s">
        <v>4779</v>
      </c>
      <c r="L229" s="12" t="s">
        <v>4798</v>
      </c>
    </row>
    <row r="230" spans="2:12">
      <c r="B230" s="17">
        <v>224</v>
      </c>
      <c r="C230" s="17">
        <v>2</v>
      </c>
      <c r="D230" s="17">
        <v>0</v>
      </c>
      <c r="E230" s="17">
        <v>856</v>
      </c>
      <c r="F230" s="17" t="s">
        <v>4813</v>
      </c>
      <c r="G230" s="17">
        <v>3</v>
      </c>
      <c r="H230" s="29" t="s">
        <v>1295</v>
      </c>
      <c r="I230" s="33" t="s">
        <v>9233</v>
      </c>
      <c r="J230" s="47" t="s">
        <v>9234</v>
      </c>
      <c r="K230" s="61" t="s">
        <v>4779</v>
      </c>
      <c r="L230" s="12" t="s">
        <v>4798</v>
      </c>
    </row>
    <row r="231" spans="2:12">
      <c r="B231" s="17">
        <v>225</v>
      </c>
      <c r="C231" s="17">
        <v>2</v>
      </c>
      <c r="D231" s="17">
        <v>1</v>
      </c>
      <c r="E231" s="17">
        <v>860</v>
      </c>
      <c r="F231" s="17" t="s">
        <v>4813</v>
      </c>
      <c r="G231" s="17">
        <v>3</v>
      </c>
      <c r="H231" s="29" t="s">
        <v>1296</v>
      </c>
      <c r="I231" s="33" t="s">
        <v>9253</v>
      </c>
      <c r="J231" s="47" t="s">
        <v>9254</v>
      </c>
      <c r="K231" s="61" t="s">
        <v>4806</v>
      </c>
      <c r="L231" s="12" t="s">
        <v>4798</v>
      </c>
    </row>
    <row r="232" spans="2:12">
      <c r="B232" s="17">
        <v>226</v>
      </c>
      <c r="C232" s="17">
        <v>2</v>
      </c>
      <c r="D232" s="17">
        <v>1</v>
      </c>
      <c r="E232" s="17">
        <v>864</v>
      </c>
      <c r="F232" s="17" t="s">
        <v>4813</v>
      </c>
      <c r="G232" s="17">
        <v>3</v>
      </c>
      <c r="H232" s="29" t="s">
        <v>1297</v>
      </c>
      <c r="I232" s="33" t="s">
        <v>9272</v>
      </c>
      <c r="J232" s="47" t="s">
        <v>9273</v>
      </c>
      <c r="K232" s="61" t="s">
        <v>4779</v>
      </c>
      <c r="L232" s="12" t="s">
        <v>4798</v>
      </c>
    </row>
    <row r="233" spans="2:12">
      <c r="B233" s="17">
        <v>227</v>
      </c>
      <c r="C233" s="17">
        <v>2</v>
      </c>
      <c r="D233" s="17">
        <v>0</v>
      </c>
      <c r="E233" s="17">
        <v>867</v>
      </c>
      <c r="F233" s="17" t="s">
        <v>4813</v>
      </c>
      <c r="G233" s="17">
        <v>3</v>
      </c>
      <c r="H233" s="29" t="s">
        <v>1298</v>
      </c>
      <c r="I233" s="33" t="s">
        <v>9292</v>
      </c>
      <c r="J233" s="47" t="s">
        <v>9293</v>
      </c>
      <c r="K233" s="61" t="s">
        <v>4779</v>
      </c>
      <c r="L233" s="12" t="s">
        <v>4798</v>
      </c>
    </row>
    <row r="234" spans="2:12">
      <c r="B234" s="17">
        <v>228</v>
      </c>
      <c r="C234" s="17">
        <v>2</v>
      </c>
      <c r="D234" s="17">
        <v>0</v>
      </c>
      <c r="E234" s="17">
        <v>871</v>
      </c>
      <c r="F234" s="17" t="s">
        <v>4813</v>
      </c>
      <c r="G234" s="17">
        <v>3</v>
      </c>
      <c r="H234" s="29" t="s">
        <v>1299</v>
      </c>
      <c r="I234" s="33" t="s">
        <v>9315</v>
      </c>
      <c r="J234" s="47" t="s">
        <v>9316</v>
      </c>
      <c r="K234" s="61" t="s">
        <v>4809</v>
      </c>
      <c r="L234" s="12" t="s">
        <v>4798</v>
      </c>
    </row>
    <row r="235" spans="2:12">
      <c r="B235" s="17">
        <v>229</v>
      </c>
      <c r="C235" s="17">
        <v>2</v>
      </c>
      <c r="D235" s="17">
        <v>0</v>
      </c>
      <c r="E235" s="17">
        <v>875</v>
      </c>
      <c r="F235" s="17" t="s">
        <v>4813</v>
      </c>
      <c r="G235" s="17">
        <v>3</v>
      </c>
      <c r="H235" s="29" t="s">
        <v>1300</v>
      </c>
      <c r="I235" s="33" t="s">
        <v>9336</v>
      </c>
      <c r="J235" s="47" t="s">
        <v>9337</v>
      </c>
      <c r="K235" s="61" t="s">
        <v>4779</v>
      </c>
      <c r="L235" s="12" t="s">
        <v>4798</v>
      </c>
    </row>
    <row r="236" spans="2:12">
      <c r="B236" s="17">
        <v>230</v>
      </c>
      <c r="C236" s="17">
        <v>2</v>
      </c>
      <c r="D236" s="17">
        <v>0</v>
      </c>
      <c r="E236" s="17">
        <v>879</v>
      </c>
      <c r="F236" s="17" t="s">
        <v>4813</v>
      </c>
      <c r="G236" s="17">
        <v>3</v>
      </c>
      <c r="H236" s="29" t="s">
        <v>1301</v>
      </c>
      <c r="I236" s="33" t="s">
        <v>9356</v>
      </c>
      <c r="J236" s="47" t="s">
        <v>9357</v>
      </c>
      <c r="K236" s="61" t="s">
        <v>4779</v>
      </c>
      <c r="L236" s="12" t="s">
        <v>4798</v>
      </c>
    </row>
    <row r="237" spans="2:12">
      <c r="B237" s="17">
        <v>231</v>
      </c>
      <c r="C237" s="17">
        <v>2</v>
      </c>
      <c r="D237" s="17">
        <v>1</v>
      </c>
      <c r="E237" s="17">
        <v>883</v>
      </c>
      <c r="F237" s="17" t="s">
        <v>4813</v>
      </c>
      <c r="G237" s="17">
        <v>3</v>
      </c>
      <c r="H237" s="29" t="s">
        <v>1302</v>
      </c>
      <c r="I237" s="33" t="s">
        <v>9376</v>
      </c>
      <c r="J237" s="47" t="s">
        <v>9377</v>
      </c>
      <c r="K237" s="61" t="s">
        <v>4779</v>
      </c>
      <c r="L237" s="12" t="s">
        <v>4798</v>
      </c>
    </row>
    <row r="238" spans="2:12">
      <c r="B238" s="17">
        <v>232</v>
      </c>
      <c r="C238" s="17">
        <v>2</v>
      </c>
      <c r="D238" s="17">
        <v>1</v>
      </c>
      <c r="E238" s="17">
        <v>887</v>
      </c>
      <c r="F238" s="17" t="s">
        <v>4813</v>
      </c>
      <c r="G238" s="17">
        <v>3</v>
      </c>
      <c r="H238" s="29" t="s">
        <v>1303</v>
      </c>
      <c r="I238" s="33" t="s">
        <v>9399</v>
      </c>
      <c r="J238" s="47" t="s">
        <v>9400</v>
      </c>
      <c r="K238" s="61" t="s">
        <v>4779</v>
      </c>
      <c r="L238" s="12" t="s">
        <v>4798</v>
      </c>
    </row>
    <row r="239" spans="2:12">
      <c r="B239" s="17">
        <v>233</v>
      </c>
      <c r="C239" s="17">
        <v>2</v>
      </c>
      <c r="D239" s="17">
        <v>0</v>
      </c>
      <c r="E239" s="17">
        <v>890</v>
      </c>
      <c r="F239" s="17" t="s">
        <v>4813</v>
      </c>
      <c r="G239" s="17">
        <v>3</v>
      </c>
      <c r="H239" s="29" t="s">
        <v>1304</v>
      </c>
      <c r="I239" s="33" t="s">
        <v>9420</v>
      </c>
      <c r="J239" s="47" t="s">
        <v>9421</v>
      </c>
      <c r="K239" s="61" t="s">
        <v>4779</v>
      </c>
      <c r="L239" s="12" t="s">
        <v>4798</v>
      </c>
    </row>
    <row r="240" spans="2:12">
      <c r="B240" s="17">
        <v>234</v>
      </c>
      <c r="C240" s="17">
        <v>2</v>
      </c>
      <c r="D240" s="17">
        <v>0</v>
      </c>
      <c r="E240" s="17">
        <v>894</v>
      </c>
      <c r="F240" s="17" t="s">
        <v>4813</v>
      </c>
      <c r="G240" s="17">
        <v>3</v>
      </c>
      <c r="H240" s="29" t="s">
        <v>1305</v>
      </c>
      <c r="I240" s="33" t="s">
        <v>9442</v>
      </c>
      <c r="J240" s="47" t="s">
        <v>9443</v>
      </c>
      <c r="K240" s="61" t="s">
        <v>4779</v>
      </c>
      <c r="L240" s="12" t="s">
        <v>4798</v>
      </c>
    </row>
    <row r="241" spans="2:12">
      <c r="B241" s="17">
        <v>235</v>
      </c>
      <c r="C241" s="17">
        <v>2</v>
      </c>
      <c r="D241" s="17">
        <v>0</v>
      </c>
      <c r="E241" s="17">
        <v>898</v>
      </c>
      <c r="F241" s="17" t="s">
        <v>4813</v>
      </c>
      <c r="G241" s="17">
        <v>3</v>
      </c>
      <c r="H241" s="29" t="s">
        <v>1306</v>
      </c>
      <c r="I241" s="33" t="s">
        <v>9462</v>
      </c>
      <c r="J241" s="47" t="s">
        <v>9463</v>
      </c>
      <c r="K241" s="61" t="s">
        <v>4779</v>
      </c>
      <c r="L241" s="12" t="s">
        <v>4798</v>
      </c>
    </row>
    <row r="242" spans="2:12">
      <c r="B242" s="17">
        <v>236</v>
      </c>
      <c r="C242" s="17">
        <v>3</v>
      </c>
      <c r="D242" s="17">
        <v>0</v>
      </c>
      <c r="E242" s="17">
        <v>902</v>
      </c>
      <c r="F242" s="17" t="s">
        <v>4813</v>
      </c>
      <c r="G242" s="17">
        <v>4</v>
      </c>
      <c r="H242" s="29" t="s">
        <v>1307</v>
      </c>
      <c r="I242" s="33" t="s">
        <v>9486</v>
      </c>
      <c r="J242" s="47" t="s">
        <v>9487</v>
      </c>
      <c r="K242" s="61" t="s">
        <v>4779</v>
      </c>
      <c r="L242" s="12" t="s">
        <v>4799</v>
      </c>
    </row>
    <row r="243" spans="2:12">
      <c r="B243" s="17">
        <v>237</v>
      </c>
      <c r="C243" s="17">
        <v>3</v>
      </c>
      <c r="D243" s="17">
        <v>1</v>
      </c>
      <c r="E243" s="17">
        <v>906</v>
      </c>
      <c r="F243" s="17" t="s">
        <v>4813</v>
      </c>
      <c r="G243" s="17">
        <v>4</v>
      </c>
      <c r="H243" s="29" t="s">
        <v>1308</v>
      </c>
      <c r="I243" s="33" t="s">
        <v>9503</v>
      </c>
      <c r="J243" s="47" t="s">
        <v>9504</v>
      </c>
      <c r="K243" s="61" t="s">
        <v>4808</v>
      </c>
      <c r="L243" s="12" t="s">
        <v>4799</v>
      </c>
    </row>
    <row r="244" spans="2:12">
      <c r="B244" s="17">
        <v>238</v>
      </c>
      <c r="C244" s="17">
        <v>3</v>
      </c>
      <c r="D244" s="17">
        <v>1</v>
      </c>
      <c r="E244" s="17">
        <v>910</v>
      </c>
      <c r="F244" s="17" t="s">
        <v>4813</v>
      </c>
      <c r="G244" s="17">
        <v>4</v>
      </c>
      <c r="H244" s="29" t="s">
        <v>1309</v>
      </c>
      <c r="I244" s="33" t="s">
        <v>9524</v>
      </c>
      <c r="J244" s="47" t="s">
        <v>9525</v>
      </c>
      <c r="K244" s="61" t="s">
        <v>4779</v>
      </c>
      <c r="L244" s="12" t="s">
        <v>4799</v>
      </c>
    </row>
    <row r="245" spans="2:12">
      <c r="B245" s="17">
        <v>239</v>
      </c>
      <c r="C245" s="17">
        <v>3</v>
      </c>
      <c r="D245" s="17">
        <v>0</v>
      </c>
      <c r="E245" s="17">
        <v>913</v>
      </c>
      <c r="F245" s="17" t="s">
        <v>4813</v>
      </c>
      <c r="G245" s="17">
        <v>4</v>
      </c>
      <c r="H245" s="29" t="s">
        <v>1310</v>
      </c>
      <c r="I245" s="33" t="s">
        <v>9546</v>
      </c>
      <c r="J245" s="47" t="s">
        <v>5686</v>
      </c>
      <c r="K245" s="61" t="s">
        <v>4779</v>
      </c>
      <c r="L245" s="12" t="s">
        <v>4799</v>
      </c>
    </row>
    <row r="246" spans="2:12">
      <c r="B246" s="17">
        <v>240</v>
      </c>
      <c r="C246" s="17">
        <v>3</v>
      </c>
      <c r="D246" s="17">
        <v>0</v>
      </c>
      <c r="E246" s="17">
        <v>917</v>
      </c>
      <c r="F246" s="17" t="s">
        <v>4813</v>
      </c>
      <c r="G246" s="17">
        <v>4</v>
      </c>
      <c r="H246" s="29" t="s">
        <v>1311</v>
      </c>
      <c r="I246" s="33" t="s">
        <v>9565</v>
      </c>
      <c r="J246" s="47" t="s">
        <v>9566</v>
      </c>
      <c r="K246" s="61" t="s">
        <v>4779</v>
      </c>
      <c r="L246" s="12" t="s">
        <v>4799</v>
      </c>
    </row>
    <row r="247" spans="2:12">
      <c r="B247" s="17">
        <v>241</v>
      </c>
      <c r="C247" s="17">
        <v>3</v>
      </c>
      <c r="D247" s="17">
        <v>0</v>
      </c>
      <c r="E247" s="17">
        <v>921</v>
      </c>
      <c r="F247" s="17" t="s">
        <v>4813</v>
      </c>
      <c r="G247" s="17">
        <v>4</v>
      </c>
      <c r="H247" s="29" t="s">
        <v>1312</v>
      </c>
      <c r="I247" s="33" t="s">
        <v>9586</v>
      </c>
      <c r="J247" s="47" t="s">
        <v>9587</v>
      </c>
      <c r="K247" s="61" t="s">
        <v>4779</v>
      </c>
      <c r="L247" s="12" t="s">
        <v>4799</v>
      </c>
    </row>
    <row r="248" spans="2:12">
      <c r="B248" s="17">
        <v>242</v>
      </c>
      <c r="C248" s="17">
        <v>3</v>
      </c>
      <c r="D248" s="17">
        <v>0</v>
      </c>
      <c r="E248" s="17">
        <v>925</v>
      </c>
      <c r="F248" s="17" t="s">
        <v>4813</v>
      </c>
      <c r="G248" s="17">
        <v>4</v>
      </c>
      <c r="H248" s="29" t="s">
        <v>1313</v>
      </c>
      <c r="I248" s="33" t="s">
        <v>9609</v>
      </c>
      <c r="J248" s="47" t="s">
        <v>9610</v>
      </c>
      <c r="K248" s="61" t="s">
        <v>4779</v>
      </c>
      <c r="L248" s="12" t="s">
        <v>4799</v>
      </c>
    </row>
    <row r="249" spans="2:12">
      <c r="B249" s="17">
        <v>243</v>
      </c>
      <c r="C249" s="17">
        <v>3</v>
      </c>
      <c r="D249" s="17">
        <v>1</v>
      </c>
      <c r="E249" s="17">
        <v>929</v>
      </c>
      <c r="F249" s="17" t="s">
        <v>4813</v>
      </c>
      <c r="G249" s="17">
        <v>4</v>
      </c>
      <c r="H249" s="29" t="s">
        <v>1314</v>
      </c>
      <c r="I249" s="33" t="s">
        <v>9630</v>
      </c>
      <c r="J249" s="47" t="s">
        <v>9631</v>
      </c>
      <c r="K249" s="61" t="s">
        <v>4779</v>
      </c>
      <c r="L249" s="12" t="s">
        <v>4799</v>
      </c>
    </row>
    <row r="250" spans="2:12">
      <c r="B250" s="17">
        <v>244</v>
      </c>
      <c r="C250" s="17">
        <v>3</v>
      </c>
      <c r="D250" s="17">
        <v>1</v>
      </c>
      <c r="E250" s="17">
        <v>933</v>
      </c>
      <c r="F250" s="17" t="s">
        <v>4813</v>
      </c>
      <c r="G250" s="17">
        <v>4</v>
      </c>
      <c r="H250" s="29" t="s">
        <v>1315</v>
      </c>
      <c r="I250" s="33" t="s">
        <v>9651</v>
      </c>
      <c r="J250" s="47" t="s">
        <v>9652</v>
      </c>
      <c r="K250" s="61" t="s">
        <v>4809</v>
      </c>
      <c r="L250" s="12" t="s">
        <v>4799</v>
      </c>
    </row>
    <row r="251" spans="2:12">
      <c r="B251" s="17">
        <v>245</v>
      </c>
      <c r="C251" s="17">
        <v>3</v>
      </c>
      <c r="D251" s="17">
        <v>0</v>
      </c>
      <c r="E251" s="17">
        <v>936</v>
      </c>
      <c r="F251" s="17" t="s">
        <v>4813</v>
      </c>
      <c r="G251" s="17">
        <v>4</v>
      </c>
      <c r="H251" s="29" t="s">
        <v>1316</v>
      </c>
      <c r="I251" s="33" t="s">
        <v>9671</v>
      </c>
      <c r="J251" s="47" t="s">
        <v>9672</v>
      </c>
      <c r="K251" s="61" t="s">
        <v>4779</v>
      </c>
      <c r="L251" s="12" t="s">
        <v>4799</v>
      </c>
    </row>
    <row r="252" spans="2:12">
      <c r="B252" s="17">
        <v>246</v>
      </c>
      <c r="C252" s="17">
        <v>3</v>
      </c>
      <c r="D252" s="17">
        <v>0</v>
      </c>
      <c r="E252" s="17">
        <v>940</v>
      </c>
      <c r="F252" s="17" t="s">
        <v>4813</v>
      </c>
      <c r="G252" s="17">
        <v>4</v>
      </c>
      <c r="H252" s="29" t="s">
        <v>1317</v>
      </c>
      <c r="I252" s="33" t="s">
        <v>9692</v>
      </c>
      <c r="J252" s="47" t="s">
        <v>9693</v>
      </c>
      <c r="K252" s="61" t="s">
        <v>4779</v>
      </c>
      <c r="L252" s="12" t="s">
        <v>4799</v>
      </c>
    </row>
    <row r="253" spans="2:12">
      <c r="B253" s="17">
        <v>247</v>
      </c>
      <c r="C253" s="17">
        <v>3</v>
      </c>
      <c r="D253" s="17">
        <v>0</v>
      </c>
      <c r="E253" s="17">
        <v>944</v>
      </c>
      <c r="F253" s="17" t="s">
        <v>4813</v>
      </c>
      <c r="G253" s="17">
        <v>4</v>
      </c>
      <c r="H253" s="29" t="s">
        <v>1318</v>
      </c>
      <c r="I253" s="33" t="s">
        <v>9712</v>
      </c>
      <c r="J253" s="47" t="s">
        <v>9713</v>
      </c>
      <c r="K253" s="61" t="s">
        <v>4779</v>
      </c>
      <c r="L253" s="12" t="s">
        <v>4799</v>
      </c>
    </row>
    <row r="254" spans="2:12">
      <c r="B254" s="17">
        <v>248</v>
      </c>
      <c r="C254" s="17">
        <v>3</v>
      </c>
      <c r="D254" s="17">
        <v>0</v>
      </c>
      <c r="E254" s="17">
        <v>948</v>
      </c>
      <c r="F254" s="17" t="s">
        <v>4813</v>
      </c>
      <c r="G254" s="17">
        <v>4</v>
      </c>
      <c r="H254" s="29" t="s">
        <v>1319</v>
      </c>
      <c r="I254" s="33" t="s">
        <v>9734</v>
      </c>
      <c r="J254" s="47" t="s">
        <v>9735</v>
      </c>
      <c r="K254" s="61" t="s">
        <v>4779</v>
      </c>
      <c r="L254" s="12" t="s">
        <v>4799</v>
      </c>
    </row>
    <row r="255" spans="2:12">
      <c r="B255" s="17">
        <v>249</v>
      </c>
      <c r="C255" s="17">
        <v>3</v>
      </c>
      <c r="D255" s="17">
        <v>1</v>
      </c>
      <c r="E255" s="17">
        <v>952</v>
      </c>
      <c r="F255" s="17" t="s">
        <v>4813</v>
      </c>
      <c r="G255" s="17">
        <v>4</v>
      </c>
      <c r="H255" s="29" t="s">
        <v>1320</v>
      </c>
      <c r="I255" s="33" t="s">
        <v>9755</v>
      </c>
      <c r="J255" s="47" t="s">
        <v>5121</v>
      </c>
      <c r="K255" s="61" t="s">
        <v>4779</v>
      </c>
      <c r="L255" s="12" t="s">
        <v>4799</v>
      </c>
    </row>
    <row r="256" spans="2:12">
      <c r="B256" s="17">
        <v>250</v>
      </c>
      <c r="C256" s="17">
        <v>3</v>
      </c>
      <c r="D256" s="17">
        <v>1</v>
      </c>
      <c r="E256" s="17">
        <v>956</v>
      </c>
      <c r="F256" s="17" t="s">
        <v>4813</v>
      </c>
      <c r="G256" s="17">
        <v>4</v>
      </c>
      <c r="H256" s="29" t="s">
        <v>1321</v>
      </c>
      <c r="I256" s="33" t="s">
        <v>9776</v>
      </c>
      <c r="J256" s="47" t="s">
        <v>5159</v>
      </c>
      <c r="K256" s="61" t="s">
        <v>4779</v>
      </c>
      <c r="L256" s="12" t="s">
        <v>4799</v>
      </c>
    </row>
    <row r="257" spans="2:12">
      <c r="B257" s="17">
        <v>251</v>
      </c>
      <c r="C257" s="17">
        <v>3</v>
      </c>
      <c r="D257" s="17">
        <v>0</v>
      </c>
      <c r="E257" s="17">
        <v>959</v>
      </c>
      <c r="F257" s="17" t="s">
        <v>4813</v>
      </c>
      <c r="G257" s="17">
        <v>4</v>
      </c>
      <c r="H257" s="29" t="s">
        <v>1322</v>
      </c>
      <c r="I257" s="33" t="s">
        <v>9796</v>
      </c>
      <c r="J257" s="47" t="s">
        <v>9797</v>
      </c>
      <c r="K257" s="61" t="s">
        <v>4779</v>
      </c>
      <c r="L257" s="12" t="s">
        <v>4799</v>
      </c>
    </row>
    <row r="258" spans="2:12">
      <c r="B258" s="17">
        <v>252</v>
      </c>
      <c r="C258" s="17">
        <v>3</v>
      </c>
      <c r="D258" s="17">
        <v>0</v>
      </c>
      <c r="E258" s="17">
        <v>963</v>
      </c>
      <c r="F258" s="17" t="s">
        <v>4813</v>
      </c>
      <c r="G258" s="17">
        <v>4</v>
      </c>
      <c r="H258" s="29" t="s">
        <v>1323</v>
      </c>
      <c r="I258" s="33" t="s">
        <v>9818</v>
      </c>
      <c r="J258" s="47" t="s">
        <v>5588</v>
      </c>
      <c r="K258" s="61" t="s">
        <v>4808</v>
      </c>
      <c r="L258" s="12" t="s">
        <v>4799</v>
      </c>
    </row>
    <row r="259" spans="2:12">
      <c r="B259" s="17">
        <v>253</v>
      </c>
      <c r="C259" s="17">
        <v>3</v>
      </c>
      <c r="D259" s="17">
        <v>0</v>
      </c>
      <c r="E259" s="17">
        <v>967</v>
      </c>
      <c r="F259" s="17" t="s">
        <v>4813</v>
      </c>
      <c r="G259" s="17">
        <v>4</v>
      </c>
      <c r="H259" s="29" t="s">
        <v>1324</v>
      </c>
      <c r="I259" s="33" t="s">
        <v>9839</v>
      </c>
      <c r="J259" s="47" t="s">
        <v>5756</v>
      </c>
      <c r="K259" s="61" t="s">
        <v>4779</v>
      </c>
      <c r="L259" s="12" t="s">
        <v>4799</v>
      </c>
    </row>
    <row r="260" spans="2:12">
      <c r="B260" s="17">
        <v>254</v>
      </c>
      <c r="C260" s="17">
        <v>3</v>
      </c>
      <c r="D260" s="17">
        <v>0</v>
      </c>
      <c r="E260" s="17">
        <v>971</v>
      </c>
      <c r="F260" s="17" t="s">
        <v>4813</v>
      </c>
      <c r="G260" s="17">
        <v>4</v>
      </c>
      <c r="H260" s="29" t="s">
        <v>1325</v>
      </c>
      <c r="I260" s="33" t="s">
        <v>9858</v>
      </c>
      <c r="J260" s="47" t="s">
        <v>9859</v>
      </c>
      <c r="K260" s="61" t="s">
        <v>4779</v>
      </c>
      <c r="L260" s="12" t="s">
        <v>4799</v>
      </c>
    </row>
    <row r="261" spans="2:12">
      <c r="B261" s="17">
        <v>255</v>
      </c>
      <c r="C261" s="17">
        <v>3</v>
      </c>
      <c r="D261" s="17">
        <v>1</v>
      </c>
      <c r="E261" s="17">
        <v>975</v>
      </c>
      <c r="F261" s="17" t="s">
        <v>4813</v>
      </c>
      <c r="G261" s="17">
        <v>4</v>
      </c>
      <c r="H261" s="29" t="s">
        <v>1326</v>
      </c>
      <c r="I261" s="33" t="s">
        <v>9879</v>
      </c>
      <c r="J261" s="47" t="s">
        <v>9880</v>
      </c>
      <c r="K261" s="61" t="s">
        <v>4779</v>
      </c>
      <c r="L261" s="12" t="s">
        <v>4799</v>
      </c>
    </row>
    <row r="262" spans="2:12">
      <c r="B262" s="17">
        <v>256</v>
      </c>
      <c r="C262" s="17">
        <v>3</v>
      </c>
      <c r="D262" s="17">
        <v>1</v>
      </c>
      <c r="E262" s="17">
        <v>979</v>
      </c>
      <c r="F262" s="17" t="s">
        <v>4813</v>
      </c>
      <c r="G262" s="17">
        <v>4</v>
      </c>
      <c r="H262" s="29" t="s">
        <v>1327</v>
      </c>
      <c r="I262" s="33" t="s">
        <v>9900</v>
      </c>
      <c r="J262" s="47" t="s">
        <v>9901</v>
      </c>
      <c r="K262" s="61" t="s">
        <v>4779</v>
      </c>
      <c r="L262" s="12" t="s">
        <v>4799</v>
      </c>
    </row>
    <row r="263" spans="2:12">
      <c r="B263" s="17">
        <v>257</v>
      </c>
      <c r="C263" s="17">
        <v>3</v>
      </c>
      <c r="D263" s="17">
        <v>0</v>
      </c>
      <c r="E263" s="17">
        <v>982</v>
      </c>
      <c r="F263" s="17" t="s">
        <v>4813</v>
      </c>
      <c r="G263" s="17">
        <v>4</v>
      </c>
      <c r="H263" s="29" t="s">
        <v>1328</v>
      </c>
      <c r="I263" s="33" t="s">
        <v>9921</v>
      </c>
      <c r="J263" s="47" t="s">
        <v>9922</v>
      </c>
      <c r="K263" s="61" t="s">
        <v>4779</v>
      </c>
      <c r="L263" s="12" t="s">
        <v>4799</v>
      </c>
    </row>
    <row r="264" spans="2:12">
      <c r="B264" s="17">
        <v>258</v>
      </c>
      <c r="C264" s="17">
        <v>3</v>
      </c>
      <c r="D264" s="17">
        <v>0</v>
      </c>
      <c r="E264" s="17">
        <v>986</v>
      </c>
      <c r="F264" s="17" t="s">
        <v>4813</v>
      </c>
      <c r="G264" s="17">
        <v>4</v>
      </c>
      <c r="H264" s="29" t="s">
        <v>1329</v>
      </c>
      <c r="I264" s="33" t="s">
        <v>9942</v>
      </c>
      <c r="J264" s="47" t="s">
        <v>9943</v>
      </c>
      <c r="K264" s="61" t="s">
        <v>4779</v>
      </c>
      <c r="L264" s="12" t="s">
        <v>4799</v>
      </c>
    </row>
    <row r="265" spans="2:12">
      <c r="B265" s="17">
        <v>259</v>
      </c>
      <c r="C265" s="17">
        <v>3</v>
      </c>
      <c r="D265" s="17">
        <v>0</v>
      </c>
      <c r="E265" s="17">
        <v>990</v>
      </c>
      <c r="F265" s="17" t="s">
        <v>4813</v>
      </c>
      <c r="G265" s="17">
        <v>4</v>
      </c>
      <c r="H265" s="29" t="s">
        <v>1330</v>
      </c>
      <c r="I265" s="33" t="s">
        <v>9961</v>
      </c>
      <c r="J265" s="47" t="s">
        <v>5170</v>
      </c>
      <c r="K265" s="61" t="s">
        <v>4779</v>
      </c>
      <c r="L265" s="12" t="s">
        <v>4799</v>
      </c>
    </row>
    <row r="266" spans="2:12">
      <c r="B266" s="17">
        <v>260</v>
      </c>
      <c r="C266" s="17">
        <v>3</v>
      </c>
      <c r="D266" s="17">
        <v>0</v>
      </c>
      <c r="E266" s="17">
        <v>994</v>
      </c>
      <c r="F266" s="17" t="s">
        <v>4813</v>
      </c>
      <c r="G266" s="17">
        <v>4</v>
      </c>
      <c r="H266" s="29" t="s">
        <v>1331</v>
      </c>
      <c r="I266" s="33" t="s">
        <v>9983</v>
      </c>
      <c r="J266" s="47" t="s">
        <v>9984</v>
      </c>
      <c r="K266" s="61" t="s">
        <v>4779</v>
      </c>
      <c r="L266" s="12" t="s">
        <v>4799</v>
      </c>
    </row>
    <row r="267" spans="2:12">
      <c r="B267" s="17">
        <v>261</v>
      </c>
      <c r="C267" s="17">
        <v>3</v>
      </c>
      <c r="D267" s="17">
        <v>1</v>
      </c>
      <c r="E267" s="17">
        <v>998</v>
      </c>
      <c r="F267" s="17" t="s">
        <v>4813</v>
      </c>
      <c r="G267" s="17">
        <v>4</v>
      </c>
      <c r="H267" s="29" t="s">
        <v>1332</v>
      </c>
      <c r="I267" s="33" t="s">
        <v>10004</v>
      </c>
      <c r="J267" s="47" t="s">
        <v>10005</v>
      </c>
      <c r="K267" s="61" t="s">
        <v>4779</v>
      </c>
      <c r="L267" s="12" t="s">
        <v>4799</v>
      </c>
    </row>
    <row r="268" spans="2:12">
      <c r="B268" s="17">
        <v>262</v>
      </c>
      <c r="C268" s="17">
        <v>3</v>
      </c>
      <c r="D268" s="17">
        <v>1</v>
      </c>
      <c r="E268" s="17">
        <v>1002</v>
      </c>
      <c r="F268" s="17" t="s">
        <v>4813</v>
      </c>
      <c r="G268" s="17">
        <v>4</v>
      </c>
      <c r="H268" s="29" t="s">
        <v>1333</v>
      </c>
      <c r="I268" s="33" t="s">
        <v>10027</v>
      </c>
      <c r="J268" s="47" t="s">
        <v>5621</v>
      </c>
      <c r="K268" s="61" t="s">
        <v>4779</v>
      </c>
      <c r="L268" s="12" t="s">
        <v>4799</v>
      </c>
    </row>
    <row r="269" spans="2:12">
      <c r="B269" s="17">
        <v>263</v>
      </c>
      <c r="C269" s="17">
        <v>3</v>
      </c>
      <c r="D269" s="17">
        <v>0</v>
      </c>
      <c r="E269" s="17">
        <v>1005</v>
      </c>
      <c r="F269" s="17" t="s">
        <v>4813</v>
      </c>
      <c r="G269" s="17">
        <v>4</v>
      </c>
      <c r="H269" s="29" t="s">
        <v>1334</v>
      </c>
      <c r="I269" s="33" t="s">
        <v>10045</v>
      </c>
      <c r="J269" s="47" t="s">
        <v>10046</v>
      </c>
      <c r="K269" s="61" t="s">
        <v>4807</v>
      </c>
      <c r="L269" s="12" t="s">
        <v>4799</v>
      </c>
    </row>
    <row r="270" spans="2:12">
      <c r="B270" s="17">
        <v>264</v>
      </c>
      <c r="C270" s="17">
        <v>3</v>
      </c>
      <c r="D270" s="17">
        <v>0</v>
      </c>
      <c r="E270" s="17">
        <v>1009</v>
      </c>
      <c r="F270" s="17" t="s">
        <v>4813</v>
      </c>
      <c r="G270" s="17">
        <v>4</v>
      </c>
      <c r="H270" s="29" t="s">
        <v>1335</v>
      </c>
      <c r="I270" s="33" t="s">
        <v>10067</v>
      </c>
      <c r="J270" s="47" t="s">
        <v>10068</v>
      </c>
      <c r="K270" s="61" t="s">
        <v>4779</v>
      </c>
      <c r="L270" s="12" t="s">
        <v>4799</v>
      </c>
    </row>
    <row r="271" spans="2:12">
      <c r="B271" s="17">
        <v>265</v>
      </c>
      <c r="C271" s="17">
        <v>3</v>
      </c>
      <c r="D271" s="17">
        <v>0</v>
      </c>
      <c r="E271" s="17">
        <v>1013</v>
      </c>
      <c r="F271" s="17" t="s">
        <v>4813</v>
      </c>
      <c r="G271" s="17">
        <v>4</v>
      </c>
      <c r="H271" s="29" t="s">
        <v>1336</v>
      </c>
      <c r="I271" s="33" t="s">
        <v>10087</v>
      </c>
      <c r="J271" s="47" t="s">
        <v>10088</v>
      </c>
      <c r="K271" s="61" t="s">
        <v>4779</v>
      </c>
      <c r="L271" s="12" t="s">
        <v>4799</v>
      </c>
    </row>
    <row r="272" spans="2:12">
      <c r="B272" s="17">
        <v>266</v>
      </c>
      <c r="C272" s="17">
        <v>3</v>
      </c>
      <c r="D272" s="17">
        <v>0</v>
      </c>
      <c r="E272" s="17">
        <v>1017</v>
      </c>
      <c r="F272" s="17" t="s">
        <v>4813</v>
      </c>
      <c r="G272" s="17">
        <v>4</v>
      </c>
      <c r="H272" s="29" t="s">
        <v>1337</v>
      </c>
      <c r="I272" s="33" t="s">
        <v>10109</v>
      </c>
      <c r="J272" s="47" t="s">
        <v>10110</v>
      </c>
      <c r="K272" s="61" t="s">
        <v>4779</v>
      </c>
      <c r="L272" s="12" t="s">
        <v>4799</v>
      </c>
    </row>
    <row r="273" spans="2:12">
      <c r="B273" s="17">
        <v>267</v>
      </c>
      <c r="C273" s="17">
        <v>3</v>
      </c>
      <c r="D273" s="17">
        <v>1</v>
      </c>
      <c r="E273" s="17">
        <v>1021</v>
      </c>
      <c r="F273" s="17" t="s">
        <v>4813</v>
      </c>
      <c r="G273" s="17">
        <v>4</v>
      </c>
      <c r="H273" s="29" t="s">
        <v>1338</v>
      </c>
      <c r="I273" s="33" t="s">
        <v>10130</v>
      </c>
      <c r="J273" s="47" t="s">
        <v>10131</v>
      </c>
      <c r="K273" s="61" t="s">
        <v>4779</v>
      </c>
      <c r="L273" s="12" t="s">
        <v>4799</v>
      </c>
    </row>
    <row r="274" spans="2:12">
      <c r="B274" s="17">
        <v>268</v>
      </c>
      <c r="C274" s="17">
        <v>3</v>
      </c>
      <c r="D274" s="17">
        <v>1</v>
      </c>
      <c r="E274" s="17">
        <v>1025</v>
      </c>
      <c r="F274" s="17" t="s">
        <v>4813</v>
      </c>
      <c r="G274" s="17">
        <v>4</v>
      </c>
      <c r="H274" s="29" t="s">
        <v>1339</v>
      </c>
      <c r="I274" s="33" t="s">
        <v>10152</v>
      </c>
      <c r="J274" s="47" t="s">
        <v>10153</v>
      </c>
      <c r="K274" s="61" t="s">
        <v>4779</v>
      </c>
      <c r="L274" s="12" t="s">
        <v>4799</v>
      </c>
    </row>
    <row r="275" spans="2:12">
      <c r="B275" s="17">
        <v>269</v>
      </c>
      <c r="C275" s="17">
        <v>3</v>
      </c>
      <c r="D275" s="17">
        <v>0</v>
      </c>
      <c r="E275" s="17">
        <v>1028</v>
      </c>
      <c r="F275" s="17" t="s">
        <v>4813</v>
      </c>
      <c r="G275" s="17">
        <v>4</v>
      </c>
      <c r="H275" s="29" t="s">
        <v>1340</v>
      </c>
      <c r="I275" s="33" t="s">
        <v>10171</v>
      </c>
      <c r="J275" s="47" t="s">
        <v>10172</v>
      </c>
      <c r="K275" s="61" t="s">
        <v>4779</v>
      </c>
      <c r="L275" s="12" t="s">
        <v>4799</v>
      </c>
    </row>
    <row r="276" spans="2:12">
      <c r="B276" s="17">
        <v>270</v>
      </c>
      <c r="C276" s="17">
        <v>3</v>
      </c>
      <c r="D276" s="17">
        <v>0</v>
      </c>
      <c r="E276" s="17">
        <v>1032</v>
      </c>
      <c r="F276" s="17" t="s">
        <v>4813</v>
      </c>
      <c r="G276" s="17">
        <v>4</v>
      </c>
      <c r="H276" s="29" t="s">
        <v>1341</v>
      </c>
      <c r="I276" s="33" t="s">
        <v>10194</v>
      </c>
      <c r="J276" s="47" t="s">
        <v>10195</v>
      </c>
      <c r="K276" s="61" t="s">
        <v>4779</v>
      </c>
      <c r="L276" s="12" t="s">
        <v>4799</v>
      </c>
    </row>
    <row r="277" spans="2:12">
      <c r="B277" s="17">
        <v>271</v>
      </c>
      <c r="C277" s="17">
        <v>3</v>
      </c>
      <c r="D277" s="17">
        <v>0</v>
      </c>
      <c r="E277" s="17">
        <v>1036</v>
      </c>
      <c r="F277" s="17" t="s">
        <v>4813</v>
      </c>
      <c r="G277" s="17">
        <v>4</v>
      </c>
      <c r="H277" s="29" t="s">
        <v>1342</v>
      </c>
      <c r="I277" s="33" t="s">
        <v>10211</v>
      </c>
      <c r="J277" s="47" t="s">
        <v>5928</v>
      </c>
      <c r="K277" s="61" t="s">
        <v>4779</v>
      </c>
      <c r="L277" s="12" t="s">
        <v>4799</v>
      </c>
    </row>
    <row r="278" spans="2:12">
      <c r="B278" s="17">
        <v>272</v>
      </c>
      <c r="C278" s="17">
        <v>3</v>
      </c>
      <c r="D278" s="17">
        <v>0</v>
      </c>
      <c r="E278" s="17">
        <v>1040</v>
      </c>
      <c r="F278" s="17" t="s">
        <v>4813</v>
      </c>
      <c r="G278" s="17">
        <v>4</v>
      </c>
      <c r="H278" s="29" t="s">
        <v>1343</v>
      </c>
      <c r="I278" s="33" t="s">
        <v>10232</v>
      </c>
      <c r="J278" s="47" t="s">
        <v>10233</v>
      </c>
      <c r="K278" s="61" t="s">
        <v>4779</v>
      </c>
      <c r="L278" s="12" t="s">
        <v>4799</v>
      </c>
    </row>
    <row r="279" spans="2:12">
      <c r="B279" s="17">
        <v>273</v>
      </c>
      <c r="C279" s="17">
        <v>3</v>
      </c>
      <c r="D279" s="17">
        <v>1</v>
      </c>
      <c r="E279" s="17">
        <v>1044</v>
      </c>
      <c r="F279" s="17" t="s">
        <v>4813</v>
      </c>
      <c r="G279" s="17">
        <v>4</v>
      </c>
      <c r="H279" s="29" t="s">
        <v>1344</v>
      </c>
      <c r="I279" s="33" t="s">
        <v>10252</v>
      </c>
      <c r="J279" s="47" t="s">
        <v>10253</v>
      </c>
      <c r="K279" s="61" t="s">
        <v>4779</v>
      </c>
      <c r="L279" s="12" t="s">
        <v>4799</v>
      </c>
    </row>
    <row r="280" spans="2:12">
      <c r="B280" s="17">
        <v>274</v>
      </c>
      <c r="C280" s="17">
        <v>3</v>
      </c>
      <c r="D280" s="17">
        <v>1</v>
      </c>
      <c r="E280" s="17">
        <v>1048</v>
      </c>
      <c r="F280" s="17" t="s">
        <v>4813</v>
      </c>
      <c r="G280" s="17">
        <v>4</v>
      </c>
      <c r="H280" s="29" t="s">
        <v>1345</v>
      </c>
      <c r="I280" s="33" t="s">
        <v>10275</v>
      </c>
      <c r="J280" s="47" t="s">
        <v>10276</v>
      </c>
      <c r="K280" s="61" t="s">
        <v>4779</v>
      </c>
      <c r="L280" s="12" t="s">
        <v>4799</v>
      </c>
    </row>
    <row r="281" spans="2:12">
      <c r="B281" s="17">
        <v>275</v>
      </c>
      <c r="C281" s="17">
        <v>3</v>
      </c>
      <c r="D281" s="17">
        <v>0</v>
      </c>
      <c r="E281" s="17">
        <v>1051</v>
      </c>
      <c r="F281" s="17" t="s">
        <v>4813</v>
      </c>
      <c r="G281" s="17">
        <v>4</v>
      </c>
      <c r="H281" s="29" t="s">
        <v>1346</v>
      </c>
      <c r="I281" s="33" t="s">
        <v>10297</v>
      </c>
      <c r="J281" s="47" t="s">
        <v>10298</v>
      </c>
      <c r="K281" s="61" t="s">
        <v>4810</v>
      </c>
      <c r="L281" s="12" t="s">
        <v>4799</v>
      </c>
    </row>
    <row r="282" spans="2:12">
      <c r="B282" s="17">
        <v>276</v>
      </c>
      <c r="C282" s="17">
        <v>3</v>
      </c>
      <c r="D282" s="17">
        <v>0</v>
      </c>
      <c r="E282" s="17">
        <v>1055</v>
      </c>
      <c r="F282" s="17" t="s">
        <v>4813</v>
      </c>
      <c r="G282" s="17">
        <v>4</v>
      </c>
      <c r="H282" s="29" t="s">
        <v>1347</v>
      </c>
      <c r="I282" s="33" t="s">
        <v>10321</v>
      </c>
      <c r="J282" s="47" t="s">
        <v>10322</v>
      </c>
      <c r="K282" s="61" t="s">
        <v>4779</v>
      </c>
      <c r="L282" s="12" t="s">
        <v>4799</v>
      </c>
    </row>
    <row r="283" spans="2:12">
      <c r="B283" s="17">
        <v>277</v>
      </c>
      <c r="C283" s="17">
        <v>3</v>
      </c>
      <c r="D283" s="17">
        <v>0</v>
      </c>
      <c r="E283" s="17">
        <v>1059</v>
      </c>
      <c r="F283" s="17" t="s">
        <v>4813</v>
      </c>
      <c r="G283" s="17">
        <v>4</v>
      </c>
      <c r="H283" s="29" t="s">
        <v>1348</v>
      </c>
      <c r="I283" s="33" t="s">
        <v>10342</v>
      </c>
      <c r="J283" s="47" t="s">
        <v>10343</v>
      </c>
      <c r="K283" s="61" t="s">
        <v>4779</v>
      </c>
      <c r="L283" s="12" t="s">
        <v>4799</v>
      </c>
    </row>
    <row r="284" spans="2:12">
      <c r="B284" s="17">
        <v>278</v>
      </c>
      <c r="C284" s="17">
        <v>4</v>
      </c>
      <c r="D284" s="17">
        <v>0</v>
      </c>
      <c r="E284" s="17">
        <v>1063</v>
      </c>
      <c r="F284" s="17" t="s">
        <v>4813</v>
      </c>
      <c r="G284" s="17">
        <v>4</v>
      </c>
      <c r="H284" s="29" t="s">
        <v>1349</v>
      </c>
      <c r="I284" s="33" t="s">
        <v>10365</v>
      </c>
      <c r="J284" s="47" t="s">
        <v>10366</v>
      </c>
      <c r="K284" s="61" t="s">
        <v>4779</v>
      </c>
      <c r="L284" s="12" t="s">
        <v>4800</v>
      </c>
    </row>
    <row r="285" spans="2:12">
      <c r="B285" s="17">
        <v>279</v>
      </c>
      <c r="C285" s="17">
        <v>4</v>
      </c>
      <c r="D285" s="17">
        <v>1</v>
      </c>
      <c r="E285" s="17">
        <v>1067</v>
      </c>
      <c r="F285" s="17" t="s">
        <v>4813</v>
      </c>
      <c r="G285" s="17">
        <v>4</v>
      </c>
      <c r="H285" s="29" t="s">
        <v>1350</v>
      </c>
      <c r="I285" s="33" t="s">
        <v>10387</v>
      </c>
      <c r="J285" s="47" t="s">
        <v>10388</v>
      </c>
      <c r="K285" s="61" t="s">
        <v>4779</v>
      </c>
      <c r="L285" s="12" t="s">
        <v>4800</v>
      </c>
    </row>
    <row r="286" spans="2:12">
      <c r="B286" s="17">
        <v>280</v>
      </c>
      <c r="C286" s="17">
        <v>4</v>
      </c>
      <c r="D286" s="17">
        <v>1</v>
      </c>
      <c r="E286" s="17">
        <v>1071</v>
      </c>
      <c r="F286" s="17" t="s">
        <v>4813</v>
      </c>
      <c r="G286" s="17">
        <v>4</v>
      </c>
      <c r="H286" s="29" t="s">
        <v>1351</v>
      </c>
      <c r="I286" s="33" t="s">
        <v>10411</v>
      </c>
      <c r="J286" s="47" t="s">
        <v>10412</v>
      </c>
      <c r="K286" s="61" t="s">
        <v>4779</v>
      </c>
      <c r="L286" s="12" t="s">
        <v>4800</v>
      </c>
    </row>
    <row r="287" spans="2:12">
      <c r="B287" s="17">
        <v>281</v>
      </c>
      <c r="C287" s="17">
        <v>4</v>
      </c>
      <c r="D287" s="17">
        <v>0</v>
      </c>
      <c r="E287" s="17">
        <v>1074</v>
      </c>
      <c r="F287" s="17" t="s">
        <v>4813</v>
      </c>
      <c r="G287" s="17">
        <v>4</v>
      </c>
      <c r="H287" s="29" t="s">
        <v>1352</v>
      </c>
      <c r="I287" s="33" t="s">
        <v>10432</v>
      </c>
      <c r="J287" s="47" t="s">
        <v>10433</v>
      </c>
      <c r="K287" s="61" t="s">
        <v>4779</v>
      </c>
      <c r="L287" s="12" t="s">
        <v>4800</v>
      </c>
    </row>
    <row r="288" spans="2:12">
      <c r="B288" s="17">
        <v>282</v>
      </c>
      <c r="C288" s="17">
        <v>4</v>
      </c>
      <c r="D288" s="17">
        <v>0</v>
      </c>
      <c r="E288" s="17">
        <v>1078</v>
      </c>
      <c r="F288" s="17" t="s">
        <v>4813</v>
      </c>
      <c r="G288" s="17">
        <v>4</v>
      </c>
      <c r="H288" s="29" t="s">
        <v>1353</v>
      </c>
      <c r="I288" s="33" t="s">
        <v>10454</v>
      </c>
      <c r="J288" s="47" t="s">
        <v>10455</v>
      </c>
      <c r="K288" s="61" t="s">
        <v>4779</v>
      </c>
      <c r="L288" s="12" t="s">
        <v>4800</v>
      </c>
    </row>
    <row r="289" spans="2:12">
      <c r="B289" s="17">
        <v>283</v>
      </c>
      <c r="C289" s="17">
        <v>4</v>
      </c>
      <c r="D289" s="17">
        <v>0</v>
      </c>
      <c r="E289" s="17">
        <v>1082</v>
      </c>
      <c r="F289" s="17" t="s">
        <v>4813</v>
      </c>
      <c r="G289" s="17">
        <v>4</v>
      </c>
      <c r="H289" s="29" t="s">
        <v>1354</v>
      </c>
      <c r="I289" s="33" t="s">
        <v>10475</v>
      </c>
      <c r="J289" s="47" t="s">
        <v>10476</v>
      </c>
      <c r="K289" s="61" t="s">
        <v>4779</v>
      </c>
      <c r="L289" s="12" t="s">
        <v>4800</v>
      </c>
    </row>
    <row r="290" spans="2:12">
      <c r="B290" s="17">
        <v>284</v>
      </c>
      <c r="C290" s="17">
        <v>4</v>
      </c>
      <c r="D290" s="17">
        <v>0</v>
      </c>
      <c r="E290" s="17">
        <v>1086</v>
      </c>
      <c r="F290" s="17" t="s">
        <v>4813</v>
      </c>
      <c r="G290" s="17">
        <v>4</v>
      </c>
      <c r="H290" s="29" t="s">
        <v>1355</v>
      </c>
      <c r="I290" s="33" t="s">
        <v>10499</v>
      </c>
      <c r="J290" s="47" t="s">
        <v>10500</v>
      </c>
      <c r="K290" s="61" t="s">
        <v>4779</v>
      </c>
      <c r="L290" s="12" t="s">
        <v>4800</v>
      </c>
    </row>
    <row r="291" spans="2:12">
      <c r="B291" s="17">
        <v>285</v>
      </c>
      <c r="C291" s="17">
        <v>4</v>
      </c>
      <c r="D291" s="17">
        <v>1</v>
      </c>
      <c r="E291" s="17">
        <v>1090</v>
      </c>
      <c r="F291" s="17" t="s">
        <v>4813</v>
      </c>
      <c r="G291" s="17">
        <v>4</v>
      </c>
      <c r="H291" s="29" t="s">
        <v>1356</v>
      </c>
      <c r="I291" s="33" t="s">
        <v>10519</v>
      </c>
      <c r="J291" s="47" t="s">
        <v>10520</v>
      </c>
      <c r="K291" s="61" t="s">
        <v>4779</v>
      </c>
      <c r="L291" s="12" t="s">
        <v>4800</v>
      </c>
    </row>
    <row r="292" spans="2:12">
      <c r="B292" s="17">
        <v>286</v>
      </c>
      <c r="C292" s="17">
        <v>4</v>
      </c>
      <c r="D292" s="17">
        <v>1</v>
      </c>
      <c r="E292" s="17">
        <v>1094</v>
      </c>
      <c r="F292" s="17" t="s">
        <v>4813</v>
      </c>
      <c r="G292" s="17">
        <v>4</v>
      </c>
      <c r="H292" s="29" t="s">
        <v>1357</v>
      </c>
      <c r="I292" s="33" t="s">
        <v>10543</v>
      </c>
      <c r="J292" s="47" t="s">
        <v>10544</v>
      </c>
      <c r="K292" s="61" t="s">
        <v>4809</v>
      </c>
      <c r="L292" s="12" t="s">
        <v>4800</v>
      </c>
    </row>
    <row r="293" spans="2:12">
      <c r="B293" s="17">
        <v>287</v>
      </c>
      <c r="C293" s="17">
        <v>4</v>
      </c>
      <c r="D293" s="17">
        <v>0</v>
      </c>
      <c r="E293" s="17">
        <v>1097</v>
      </c>
      <c r="F293" s="17" t="s">
        <v>4813</v>
      </c>
      <c r="G293" s="17">
        <v>4</v>
      </c>
      <c r="H293" s="29" t="s">
        <v>1358</v>
      </c>
      <c r="I293" s="33" t="s">
        <v>10565</v>
      </c>
      <c r="J293" s="47" t="s">
        <v>10566</v>
      </c>
      <c r="K293" s="61" t="s">
        <v>4779</v>
      </c>
      <c r="L293" s="12" t="s">
        <v>4800</v>
      </c>
    </row>
    <row r="294" spans="2:12">
      <c r="B294" s="17">
        <v>288</v>
      </c>
      <c r="C294" s="17">
        <v>4</v>
      </c>
      <c r="D294" s="17">
        <v>0</v>
      </c>
      <c r="E294" s="17">
        <v>1101</v>
      </c>
      <c r="F294" s="17" t="s">
        <v>4813</v>
      </c>
      <c r="G294" s="17">
        <v>4</v>
      </c>
      <c r="H294" s="29" t="s">
        <v>1359</v>
      </c>
      <c r="I294" s="33" t="s">
        <v>10589</v>
      </c>
      <c r="J294" s="47" t="s">
        <v>7735</v>
      </c>
      <c r="K294" s="61" t="s">
        <v>4779</v>
      </c>
      <c r="L294" s="12" t="s">
        <v>4800</v>
      </c>
    </row>
    <row r="295" spans="2:12">
      <c r="B295" s="17">
        <v>289</v>
      </c>
      <c r="C295" s="17">
        <v>4</v>
      </c>
      <c r="D295" s="17">
        <v>0</v>
      </c>
      <c r="E295" s="17">
        <v>1105</v>
      </c>
      <c r="F295" s="17" t="s">
        <v>4813</v>
      </c>
      <c r="G295" s="17">
        <v>4</v>
      </c>
      <c r="H295" s="29" t="s">
        <v>1360</v>
      </c>
      <c r="I295" s="33" t="s">
        <v>10609</v>
      </c>
      <c r="J295" s="47" t="s">
        <v>10610</v>
      </c>
      <c r="K295" s="61" t="s">
        <v>4779</v>
      </c>
      <c r="L295" s="12" t="s">
        <v>4800</v>
      </c>
    </row>
    <row r="296" spans="2:12">
      <c r="B296" s="17">
        <v>290</v>
      </c>
      <c r="C296" s="17">
        <v>4</v>
      </c>
      <c r="D296" s="17">
        <v>0</v>
      </c>
      <c r="E296" s="17">
        <v>1109</v>
      </c>
      <c r="F296" s="17" t="s">
        <v>4813</v>
      </c>
      <c r="G296" s="17">
        <v>4</v>
      </c>
      <c r="H296" s="29" t="s">
        <v>1361</v>
      </c>
      <c r="I296" s="33" t="s">
        <v>10632</v>
      </c>
      <c r="J296" s="47" t="s">
        <v>10633</v>
      </c>
      <c r="K296" s="61" t="s">
        <v>4810</v>
      </c>
      <c r="L296" s="12" t="s">
        <v>4800</v>
      </c>
    </row>
    <row r="297" spans="2:12">
      <c r="B297" s="17">
        <v>291</v>
      </c>
      <c r="C297" s="17">
        <v>4</v>
      </c>
      <c r="D297" s="17">
        <v>1</v>
      </c>
      <c r="E297" s="17">
        <v>1113</v>
      </c>
      <c r="F297" s="17" t="s">
        <v>4813</v>
      </c>
      <c r="G297" s="17">
        <v>4</v>
      </c>
      <c r="H297" s="29" t="s">
        <v>1362</v>
      </c>
      <c r="I297" s="33" t="s">
        <v>10654</v>
      </c>
      <c r="J297" s="47" t="s">
        <v>10655</v>
      </c>
      <c r="K297" s="61" t="s">
        <v>4779</v>
      </c>
      <c r="L297" s="12" t="s">
        <v>4800</v>
      </c>
    </row>
    <row r="298" spans="2:12">
      <c r="B298" s="17">
        <v>292</v>
      </c>
      <c r="C298" s="17">
        <v>4</v>
      </c>
      <c r="D298" s="17">
        <v>1</v>
      </c>
      <c r="E298" s="17">
        <v>1117</v>
      </c>
      <c r="F298" s="17" t="s">
        <v>4813</v>
      </c>
      <c r="G298" s="17">
        <v>4</v>
      </c>
      <c r="H298" s="29" t="s">
        <v>1363</v>
      </c>
      <c r="I298" s="33" t="s">
        <v>10676</v>
      </c>
      <c r="J298" s="47" t="s">
        <v>10677</v>
      </c>
      <c r="K298" s="61" t="s">
        <v>4779</v>
      </c>
      <c r="L298" s="12" t="s">
        <v>4800</v>
      </c>
    </row>
    <row r="299" spans="2:12">
      <c r="B299" s="17">
        <v>293</v>
      </c>
      <c r="C299" s="17">
        <v>4</v>
      </c>
      <c r="D299" s="17">
        <v>0</v>
      </c>
      <c r="E299" s="17">
        <v>1120</v>
      </c>
      <c r="F299" s="17" t="s">
        <v>4813</v>
      </c>
      <c r="G299" s="17">
        <v>4</v>
      </c>
      <c r="H299" s="29" t="s">
        <v>1364</v>
      </c>
      <c r="I299" s="33" t="s">
        <v>10697</v>
      </c>
      <c r="J299" s="47" t="s">
        <v>10698</v>
      </c>
      <c r="K299" s="61" t="s">
        <v>4779</v>
      </c>
      <c r="L299" s="12" t="s">
        <v>4800</v>
      </c>
    </row>
    <row r="300" spans="2:12">
      <c r="B300" s="17">
        <v>294</v>
      </c>
      <c r="C300" s="17">
        <v>4</v>
      </c>
      <c r="D300" s="17">
        <v>0</v>
      </c>
      <c r="E300" s="17">
        <v>1124</v>
      </c>
      <c r="F300" s="17" t="s">
        <v>4813</v>
      </c>
      <c r="G300" s="17">
        <v>4</v>
      </c>
      <c r="H300" s="29" t="s">
        <v>1365</v>
      </c>
      <c r="I300" s="33" t="s">
        <v>10721</v>
      </c>
      <c r="J300" s="47" t="s">
        <v>10722</v>
      </c>
      <c r="K300" s="61" t="s">
        <v>4779</v>
      </c>
      <c r="L300" s="12" t="s">
        <v>4800</v>
      </c>
    </row>
    <row r="301" spans="2:12">
      <c r="B301" s="17">
        <v>295</v>
      </c>
      <c r="C301" s="17">
        <v>4</v>
      </c>
      <c r="D301" s="17">
        <v>0</v>
      </c>
      <c r="E301" s="17">
        <v>1128</v>
      </c>
      <c r="F301" s="17" t="s">
        <v>4813</v>
      </c>
      <c r="G301" s="17">
        <v>4</v>
      </c>
      <c r="H301" s="29" t="s">
        <v>1366</v>
      </c>
      <c r="I301" s="33" t="s">
        <v>10743</v>
      </c>
      <c r="J301" s="47" t="s">
        <v>10744</v>
      </c>
      <c r="K301" s="61" t="s">
        <v>4779</v>
      </c>
      <c r="L301" s="12" t="s">
        <v>4800</v>
      </c>
    </row>
    <row r="302" spans="2:12">
      <c r="B302" s="17">
        <v>296</v>
      </c>
      <c r="C302" s="17">
        <v>4</v>
      </c>
      <c r="D302" s="17">
        <v>0</v>
      </c>
      <c r="E302" s="17">
        <v>1132</v>
      </c>
      <c r="F302" s="17" t="s">
        <v>4813</v>
      </c>
      <c r="G302" s="17">
        <v>4</v>
      </c>
      <c r="H302" s="29" t="s">
        <v>1367</v>
      </c>
      <c r="I302" s="33" t="s">
        <v>10767</v>
      </c>
      <c r="J302" s="47" t="s">
        <v>10768</v>
      </c>
      <c r="K302" s="61" t="s">
        <v>4779</v>
      </c>
      <c r="L302" s="12" t="s">
        <v>4800</v>
      </c>
    </row>
    <row r="303" spans="2:12">
      <c r="B303" s="17">
        <v>297</v>
      </c>
      <c r="C303" s="17">
        <v>4</v>
      </c>
      <c r="D303" s="17">
        <v>1</v>
      </c>
      <c r="E303" s="17">
        <v>1136</v>
      </c>
      <c r="F303" s="17" t="s">
        <v>4813</v>
      </c>
      <c r="G303" s="17">
        <v>4</v>
      </c>
      <c r="H303" s="29" t="s">
        <v>1368</v>
      </c>
      <c r="I303" s="33" t="s">
        <v>10789</v>
      </c>
      <c r="J303" s="47" t="s">
        <v>10790</v>
      </c>
      <c r="K303" s="61" t="s">
        <v>4779</v>
      </c>
      <c r="L303" s="12" t="s">
        <v>4800</v>
      </c>
    </row>
    <row r="304" spans="2:12">
      <c r="B304" s="17">
        <v>298</v>
      </c>
      <c r="C304" s="17">
        <v>4</v>
      </c>
      <c r="D304" s="17">
        <v>1</v>
      </c>
      <c r="E304" s="17">
        <v>1140</v>
      </c>
      <c r="F304" s="17" t="s">
        <v>4813</v>
      </c>
      <c r="G304" s="17">
        <v>4</v>
      </c>
      <c r="H304" s="29" t="s">
        <v>1369</v>
      </c>
      <c r="I304" s="33" t="s">
        <v>10813</v>
      </c>
      <c r="J304" s="47" t="s">
        <v>10814</v>
      </c>
      <c r="K304" s="61" t="s">
        <v>4779</v>
      </c>
      <c r="L304" s="12" t="s">
        <v>4800</v>
      </c>
    </row>
    <row r="305" spans="1:12">
      <c r="B305" s="17">
        <v>299</v>
      </c>
      <c r="C305" s="17">
        <v>4</v>
      </c>
      <c r="D305" s="17">
        <v>0</v>
      </c>
      <c r="E305" s="17">
        <v>1143</v>
      </c>
      <c r="F305" s="17" t="s">
        <v>4813</v>
      </c>
      <c r="G305" s="17">
        <v>4</v>
      </c>
      <c r="H305" s="29" t="s">
        <v>1370</v>
      </c>
      <c r="I305" s="33" t="s">
        <v>10833</v>
      </c>
      <c r="J305" s="47" t="s">
        <v>10834</v>
      </c>
      <c r="K305" s="61" t="s">
        <v>4779</v>
      </c>
      <c r="L305" s="12" t="s">
        <v>4800</v>
      </c>
    </row>
    <row r="306" spans="1:12">
      <c r="A306" s="21" t="s">
        <v>26</v>
      </c>
      <c r="B306" s="17">
        <v>300</v>
      </c>
      <c r="C306" s="17">
        <v>4</v>
      </c>
      <c r="D306" s="17">
        <v>0</v>
      </c>
      <c r="E306" s="17">
        <v>1147</v>
      </c>
      <c r="F306" s="17" t="s">
        <v>4813</v>
      </c>
      <c r="G306" s="17">
        <v>4</v>
      </c>
      <c r="H306" s="29" t="s">
        <v>1371</v>
      </c>
      <c r="I306" s="33" t="s">
        <v>10856</v>
      </c>
      <c r="J306" s="47" t="s">
        <v>10857</v>
      </c>
      <c r="K306" s="61" t="s">
        <v>4779</v>
      </c>
      <c r="L306" s="12" t="s">
        <v>4800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export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85725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L3164"/>
  <sheetViews>
    <sheetView workbookViewId="0">
      <pane ySplit="1" topLeftCell="A92" activePane="bottomLeft" state="frozen"/>
      <selection pane="bottomLeft" activeCell="E5" sqref="E5"/>
    </sheetView>
  </sheetViews>
  <sheetFormatPr defaultRowHeight="13.5"/>
  <sheetData>
    <row r="1" spans="2:12">
      <c r="B1" s="13" t="s">
        <v>28</v>
      </c>
      <c r="C1" s="13" t="s">
        <v>40</v>
      </c>
      <c r="D1" s="13"/>
      <c r="E1" s="13" t="s">
        <v>39</v>
      </c>
      <c r="F1" s="13" t="s">
        <v>4812</v>
      </c>
      <c r="G1" s="13" t="s">
        <v>1064</v>
      </c>
      <c r="H1" s="13" t="s">
        <v>1010</v>
      </c>
      <c r="I1" s="14" t="s">
        <v>23</v>
      </c>
      <c r="J1" s="13" t="s">
        <v>24</v>
      </c>
      <c r="K1" s="13" t="s">
        <v>4775</v>
      </c>
      <c r="L1" s="13" t="s">
        <v>4776</v>
      </c>
    </row>
    <row r="2" spans="2:12">
      <c r="B2" s="17">
        <v>301</v>
      </c>
      <c r="C2" s="17">
        <v>1</v>
      </c>
      <c r="D2" s="17">
        <f>ArenasRobot!D304</f>
        <v>1</v>
      </c>
      <c r="E2" s="17">
        <f>D2+ArenasRobot!E306</f>
        <v>1148</v>
      </c>
      <c r="F2" s="17" t="s">
        <v>4813</v>
      </c>
      <c r="G2" s="17">
        <f>MATCH(E2,Arenas!$F$8:$F$15)</f>
        <v>4</v>
      </c>
      <c r="H2" s="29" t="s">
        <v>1372</v>
      </c>
      <c r="I2" s="33" t="s">
        <v>5968</v>
      </c>
      <c r="J2" s="47" t="s">
        <v>1065</v>
      </c>
      <c r="K2" s="61" t="s">
        <v>4779</v>
      </c>
      <c r="L2" s="12" t="str">
        <f t="shared" ref="L2:L65" si="0">C2&amp;","&amp;C2&amp;","&amp;C2</f>
        <v>1,1,1</v>
      </c>
    </row>
    <row r="3" spans="2:12">
      <c r="B3" s="17">
        <v>302</v>
      </c>
      <c r="C3" s="17">
        <v>1</v>
      </c>
      <c r="D3" s="17">
        <f>ArenasRobot!D305</f>
        <v>0</v>
      </c>
      <c r="E3" s="17">
        <f t="shared" ref="E3:E66" si="1">D3+E2</f>
        <v>1148</v>
      </c>
      <c r="F3" s="17" t="s">
        <v>4813</v>
      </c>
      <c r="G3" s="17">
        <f>MATCH(E3,Arenas!$F$8:$F$15)</f>
        <v>4</v>
      </c>
      <c r="H3" s="29" t="s">
        <v>1373</v>
      </c>
      <c r="I3" s="33" t="s">
        <v>5969</v>
      </c>
      <c r="J3" s="47" t="s">
        <v>1065</v>
      </c>
      <c r="K3" s="61" t="s">
        <v>4779</v>
      </c>
      <c r="L3" s="12" t="str">
        <f t="shared" si="0"/>
        <v>1,1,1</v>
      </c>
    </row>
    <row r="4" spans="2:12">
      <c r="B4" s="17">
        <v>303</v>
      </c>
      <c r="C4" s="17">
        <v>1</v>
      </c>
      <c r="D4" s="17">
        <f>ArenasRobot!D306</f>
        <v>0</v>
      </c>
      <c r="E4" s="17">
        <f t="shared" si="1"/>
        <v>1148</v>
      </c>
      <c r="F4" s="17" t="s">
        <v>4813</v>
      </c>
      <c r="G4" s="17">
        <f>MATCH(E4,Arenas!$F$8:$F$15)</f>
        <v>4</v>
      </c>
      <c r="H4" s="29" t="s">
        <v>1374</v>
      </c>
      <c r="I4" s="33" t="s">
        <v>5970</v>
      </c>
      <c r="J4" s="47" t="s">
        <v>4546</v>
      </c>
      <c r="K4" s="61" t="s">
        <v>4779</v>
      </c>
      <c r="L4" s="12" t="str">
        <f t="shared" si="0"/>
        <v>1,1,1</v>
      </c>
    </row>
    <row r="5" spans="2:12">
      <c r="B5" s="17">
        <v>304</v>
      </c>
      <c r="C5" s="17">
        <v>1</v>
      </c>
      <c r="D5" s="17">
        <f t="shared" ref="D5:D68" si="2">D2</f>
        <v>1</v>
      </c>
      <c r="E5" s="17">
        <f t="shared" si="1"/>
        <v>1149</v>
      </c>
      <c r="F5" s="17" t="s">
        <v>4813</v>
      </c>
      <c r="G5" s="17">
        <f>MATCH(E5,Arenas!$F$8:$F$15)</f>
        <v>4</v>
      </c>
      <c r="H5" s="29" t="s">
        <v>1375</v>
      </c>
      <c r="I5" s="33" t="s">
        <v>5971</v>
      </c>
      <c r="J5" s="47" t="s">
        <v>4856</v>
      </c>
      <c r="K5" s="61" t="s">
        <v>4779</v>
      </c>
      <c r="L5" s="12" t="str">
        <f t="shared" si="0"/>
        <v>1,1,1</v>
      </c>
    </row>
    <row r="6" spans="2:12">
      <c r="B6" s="17">
        <v>305</v>
      </c>
      <c r="C6" s="17">
        <v>1</v>
      </c>
      <c r="D6" s="17">
        <f t="shared" si="2"/>
        <v>0</v>
      </c>
      <c r="E6" s="17">
        <f t="shared" si="1"/>
        <v>1149</v>
      </c>
      <c r="F6" s="17" t="s">
        <v>4813</v>
      </c>
      <c r="G6" s="17">
        <f>MATCH(E6,Arenas!$F$8:$F$15)</f>
        <v>4</v>
      </c>
      <c r="H6" s="29" t="s">
        <v>1376</v>
      </c>
      <c r="I6" s="33" t="s">
        <v>5972</v>
      </c>
      <c r="J6" s="47" t="s">
        <v>4863</v>
      </c>
      <c r="K6" s="61" t="s">
        <v>4779</v>
      </c>
      <c r="L6" s="12" t="str">
        <f t="shared" si="0"/>
        <v>1,1,1</v>
      </c>
    </row>
    <row r="7" spans="2:12">
      <c r="B7" s="17">
        <v>306</v>
      </c>
      <c r="C7" s="17">
        <v>1</v>
      </c>
      <c r="D7" s="17">
        <f t="shared" si="2"/>
        <v>0</v>
      </c>
      <c r="E7" s="17">
        <f t="shared" si="1"/>
        <v>1149</v>
      </c>
      <c r="F7" s="17" t="s">
        <v>4813</v>
      </c>
      <c r="G7" s="17">
        <f>MATCH(E7,Arenas!$F$8:$F$15)</f>
        <v>4</v>
      </c>
      <c r="H7" s="29" t="s">
        <v>1377</v>
      </c>
      <c r="I7" s="33" t="s">
        <v>5973</v>
      </c>
      <c r="J7" s="47" t="s">
        <v>4601</v>
      </c>
      <c r="K7" s="61" t="s">
        <v>4779</v>
      </c>
      <c r="L7" s="12" t="str">
        <f t="shared" si="0"/>
        <v>1,1,1</v>
      </c>
    </row>
    <row r="8" spans="2:12">
      <c r="B8" s="17">
        <v>307</v>
      </c>
      <c r="C8" s="17">
        <v>1</v>
      </c>
      <c r="D8" s="17">
        <f t="shared" si="2"/>
        <v>1</v>
      </c>
      <c r="E8" s="17">
        <f t="shared" si="1"/>
        <v>1150</v>
      </c>
      <c r="F8" s="17" t="s">
        <v>4813</v>
      </c>
      <c r="G8" s="17">
        <f>MATCH(E8,Arenas!$F$8:$F$15)</f>
        <v>4</v>
      </c>
      <c r="H8" s="29" t="s">
        <v>1378</v>
      </c>
      <c r="I8" s="33" t="s">
        <v>5239</v>
      </c>
      <c r="J8" s="47" t="s">
        <v>4905</v>
      </c>
      <c r="K8" s="61" t="s">
        <v>4779</v>
      </c>
      <c r="L8" s="12" t="str">
        <f t="shared" si="0"/>
        <v>1,1,1</v>
      </c>
    </row>
    <row r="9" spans="2:12">
      <c r="B9" s="17">
        <v>308</v>
      </c>
      <c r="C9" s="17">
        <v>1</v>
      </c>
      <c r="D9" s="17">
        <f t="shared" si="2"/>
        <v>0</v>
      </c>
      <c r="E9" s="17">
        <f t="shared" si="1"/>
        <v>1150</v>
      </c>
      <c r="F9" s="17" t="s">
        <v>4813</v>
      </c>
      <c r="G9" s="17">
        <f>MATCH(E9,Arenas!$F$8:$F$15)</f>
        <v>4</v>
      </c>
      <c r="H9" s="29" t="s">
        <v>1379</v>
      </c>
      <c r="I9" s="33" t="s">
        <v>5974</v>
      </c>
      <c r="J9" s="47" t="s">
        <v>4856</v>
      </c>
      <c r="K9" s="61" t="s">
        <v>4779</v>
      </c>
      <c r="L9" s="12" t="str">
        <f t="shared" si="0"/>
        <v>1,1,1</v>
      </c>
    </row>
    <row r="10" spans="2:12">
      <c r="B10" s="17">
        <v>309</v>
      </c>
      <c r="C10" s="17">
        <v>1</v>
      </c>
      <c r="D10" s="17">
        <f t="shared" si="2"/>
        <v>0</v>
      </c>
      <c r="E10" s="17">
        <f t="shared" si="1"/>
        <v>1150</v>
      </c>
      <c r="F10" s="17" t="s">
        <v>4813</v>
      </c>
      <c r="G10" s="17">
        <f>MATCH(E10,Arenas!$F$8:$F$15)</f>
        <v>4</v>
      </c>
      <c r="H10" s="29" t="s">
        <v>1380</v>
      </c>
      <c r="I10" s="33" t="s">
        <v>5975</v>
      </c>
      <c r="J10" s="47" t="s">
        <v>4860</v>
      </c>
      <c r="K10" s="61" t="s">
        <v>4779</v>
      </c>
      <c r="L10" s="12" t="str">
        <f t="shared" si="0"/>
        <v>1,1,1</v>
      </c>
    </row>
    <row r="11" spans="2:12">
      <c r="B11" s="17">
        <v>310</v>
      </c>
      <c r="C11" s="17">
        <v>1</v>
      </c>
      <c r="D11" s="17">
        <f t="shared" si="2"/>
        <v>1</v>
      </c>
      <c r="E11" s="17">
        <f t="shared" si="1"/>
        <v>1151</v>
      </c>
      <c r="F11" s="17" t="s">
        <v>4813</v>
      </c>
      <c r="G11" s="17">
        <f>MATCH(E11,Arenas!$F$8:$F$15)</f>
        <v>4</v>
      </c>
      <c r="H11" s="29" t="s">
        <v>1381</v>
      </c>
      <c r="I11" s="33" t="s">
        <v>5976</v>
      </c>
      <c r="J11" s="47" t="s">
        <v>1069</v>
      </c>
      <c r="K11" s="61" t="s">
        <v>4779</v>
      </c>
      <c r="L11" s="12" t="str">
        <f t="shared" si="0"/>
        <v>1,1,1</v>
      </c>
    </row>
    <row r="12" spans="2:12">
      <c r="B12" s="17">
        <v>311</v>
      </c>
      <c r="C12" s="17">
        <v>1</v>
      </c>
      <c r="D12" s="17">
        <f t="shared" si="2"/>
        <v>0</v>
      </c>
      <c r="E12" s="17">
        <f t="shared" si="1"/>
        <v>1151</v>
      </c>
      <c r="F12" s="17" t="s">
        <v>4813</v>
      </c>
      <c r="G12" s="17">
        <f>MATCH(E12,Arenas!$F$8:$F$15)</f>
        <v>4</v>
      </c>
      <c r="H12" s="29" t="s">
        <v>1382</v>
      </c>
      <c r="I12" s="33" t="s">
        <v>5977</v>
      </c>
      <c r="J12" s="47" t="s">
        <v>4568</v>
      </c>
      <c r="K12" s="61" t="s">
        <v>4779</v>
      </c>
      <c r="L12" s="12" t="str">
        <f t="shared" si="0"/>
        <v>1,1,1</v>
      </c>
    </row>
    <row r="13" spans="2:12">
      <c r="B13" s="17">
        <v>312</v>
      </c>
      <c r="C13" s="17">
        <v>1</v>
      </c>
      <c r="D13" s="17">
        <f t="shared" si="2"/>
        <v>0</v>
      </c>
      <c r="E13" s="17">
        <f t="shared" si="1"/>
        <v>1151</v>
      </c>
      <c r="F13" s="17" t="s">
        <v>4813</v>
      </c>
      <c r="G13" s="17">
        <f>MATCH(E13,Arenas!$F$8:$F$15)</f>
        <v>4</v>
      </c>
      <c r="H13" s="29" t="s">
        <v>1383</v>
      </c>
      <c r="I13" s="33" t="s">
        <v>5978</v>
      </c>
      <c r="J13" s="47" t="s">
        <v>5979</v>
      </c>
      <c r="K13" s="61" t="s">
        <v>4779</v>
      </c>
      <c r="L13" s="12" t="str">
        <f t="shared" si="0"/>
        <v>1,1,1</v>
      </c>
    </row>
    <row r="14" spans="2:12">
      <c r="B14" s="17">
        <v>313</v>
      </c>
      <c r="C14" s="17">
        <v>1</v>
      </c>
      <c r="D14" s="17">
        <f t="shared" si="2"/>
        <v>1</v>
      </c>
      <c r="E14" s="17">
        <f t="shared" si="1"/>
        <v>1152</v>
      </c>
      <c r="F14" s="17" t="s">
        <v>4813</v>
      </c>
      <c r="G14" s="17">
        <f>MATCH(E14,Arenas!$F$8:$F$15)</f>
        <v>4</v>
      </c>
      <c r="H14" s="29" t="s">
        <v>1384</v>
      </c>
      <c r="I14" s="33" t="s">
        <v>5980</v>
      </c>
      <c r="J14" s="47" t="s">
        <v>4890</v>
      </c>
      <c r="K14" s="61" t="s">
        <v>4779</v>
      </c>
      <c r="L14" s="12" t="str">
        <f t="shared" si="0"/>
        <v>1,1,1</v>
      </c>
    </row>
    <row r="15" spans="2:12">
      <c r="B15" s="17">
        <v>314</v>
      </c>
      <c r="C15" s="17">
        <v>1</v>
      </c>
      <c r="D15" s="17">
        <f t="shared" si="2"/>
        <v>0</v>
      </c>
      <c r="E15" s="17">
        <f t="shared" si="1"/>
        <v>1152</v>
      </c>
      <c r="F15" s="17" t="s">
        <v>4813</v>
      </c>
      <c r="G15" s="17">
        <f>MATCH(E15,Arenas!$F$8:$F$15)</f>
        <v>4</v>
      </c>
      <c r="H15" s="29" t="s">
        <v>1385</v>
      </c>
      <c r="I15" s="33" t="s">
        <v>5981</v>
      </c>
      <c r="J15" s="47" t="s">
        <v>5188</v>
      </c>
      <c r="K15" s="61" t="s">
        <v>4779</v>
      </c>
      <c r="L15" s="12" t="str">
        <f t="shared" si="0"/>
        <v>1,1,1</v>
      </c>
    </row>
    <row r="16" spans="2:12">
      <c r="B16" s="17">
        <v>315</v>
      </c>
      <c r="C16" s="17">
        <v>1</v>
      </c>
      <c r="D16" s="17">
        <f t="shared" si="2"/>
        <v>0</v>
      </c>
      <c r="E16" s="17">
        <f t="shared" si="1"/>
        <v>1152</v>
      </c>
      <c r="F16" s="17" t="s">
        <v>4813</v>
      </c>
      <c r="G16" s="17">
        <f>MATCH(E16,Arenas!$F$8:$F$15)</f>
        <v>4</v>
      </c>
      <c r="H16" s="29" t="s">
        <v>1386</v>
      </c>
      <c r="I16" s="33" t="s">
        <v>5982</v>
      </c>
      <c r="J16" s="47" t="s">
        <v>4874</v>
      </c>
      <c r="K16" s="61" t="s">
        <v>4779</v>
      </c>
      <c r="L16" s="12" t="str">
        <f t="shared" si="0"/>
        <v>1,1,1</v>
      </c>
    </row>
    <row r="17" spans="2:12">
      <c r="B17" s="17">
        <v>316</v>
      </c>
      <c r="C17" s="17">
        <v>1</v>
      </c>
      <c r="D17" s="17">
        <f t="shared" si="2"/>
        <v>1</v>
      </c>
      <c r="E17" s="17">
        <f t="shared" si="1"/>
        <v>1153</v>
      </c>
      <c r="F17" s="17" t="s">
        <v>4813</v>
      </c>
      <c r="G17" s="17">
        <f>MATCH(E17,Arenas!$F$8:$F$15)</f>
        <v>4</v>
      </c>
      <c r="H17" s="29" t="s">
        <v>1387</v>
      </c>
      <c r="I17" s="33" t="s">
        <v>5983</v>
      </c>
      <c r="J17" s="47" t="s">
        <v>4548</v>
      </c>
      <c r="K17" s="61" t="s">
        <v>4779</v>
      </c>
      <c r="L17" s="12" t="str">
        <f t="shared" si="0"/>
        <v>1,1,1</v>
      </c>
    </row>
    <row r="18" spans="2:12">
      <c r="B18" s="17">
        <v>317</v>
      </c>
      <c r="C18" s="17">
        <v>1</v>
      </c>
      <c r="D18" s="17">
        <f t="shared" si="2"/>
        <v>0</v>
      </c>
      <c r="E18" s="17">
        <f t="shared" si="1"/>
        <v>1153</v>
      </c>
      <c r="F18" s="17" t="s">
        <v>4813</v>
      </c>
      <c r="G18" s="17">
        <f>MATCH(E18,Arenas!$F$8:$F$15)</f>
        <v>4</v>
      </c>
      <c r="H18" s="29" t="s">
        <v>1388</v>
      </c>
      <c r="I18" s="33" t="s">
        <v>5984</v>
      </c>
      <c r="J18" s="47" t="s">
        <v>4578</v>
      </c>
      <c r="K18" s="61" t="s">
        <v>4779</v>
      </c>
      <c r="L18" s="12" t="str">
        <f t="shared" si="0"/>
        <v>1,1,1</v>
      </c>
    </row>
    <row r="19" spans="2:12">
      <c r="B19" s="17">
        <v>318</v>
      </c>
      <c r="C19" s="17">
        <v>1</v>
      </c>
      <c r="D19" s="17">
        <f t="shared" si="2"/>
        <v>0</v>
      </c>
      <c r="E19" s="17">
        <f t="shared" si="1"/>
        <v>1153</v>
      </c>
      <c r="F19" s="17" t="s">
        <v>4813</v>
      </c>
      <c r="G19" s="17">
        <f>MATCH(E19,Arenas!$F$8:$F$15)</f>
        <v>4</v>
      </c>
      <c r="H19" s="29" t="s">
        <v>1389</v>
      </c>
      <c r="I19" s="33" t="s">
        <v>5985</v>
      </c>
      <c r="J19" s="47" t="s">
        <v>5191</v>
      </c>
      <c r="K19" s="61" t="s">
        <v>4779</v>
      </c>
      <c r="L19" s="12" t="str">
        <f t="shared" si="0"/>
        <v>1,1,1</v>
      </c>
    </row>
    <row r="20" spans="2:12">
      <c r="B20" s="17">
        <v>319</v>
      </c>
      <c r="C20" s="17">
        <v>1</v>
      </c>
      <c r="D20" s="17">
        <f t="shared" si="2"/>
        <v>1</v>
      </c>
      <c r="E20" s="17">
        <f t="shared" si="1"/>
        <v>1154</v>
      </c>
      <c r="F20" s="17" t="s">
        <v>4813</v>
      </c>
      <c r="G20" s="17">
        <f>MATCH(E20,Arenas!$F$8:$F$15)</f>
        <v>4</v>
      </c>
      <c r="H20" s="29" t="s">
        <v>1390</v>
      </c>
      <c r="I20" s="33" t="s">
        <v>5986</v>
      </c>
      <c r="J20" s="47" t="s">
        <v>4549</v>
      </c>
      <c r="K20" s="61" t="s">
        <v>4779</v>
      </c>
      <c r="L20" s="12" t="str">
        <f t="shared" si="0"/>
        <v>1,1,1</v>
      </c>
    </row>
    <row r="21" spans="2:12">
      <c r="B21" s="17">
        <v>320</v>
      </c>
      <c r="C21" s="17">
        <v>1</v>
      </c>
      <c r="D21" s="17">
        <f t="shared" si="2"/>
        <v>0</v>
      </c>
      <c r="E21" s="17">
        <f t="shared" si="1"/>
        <v>1154</v>
      </c>
      <c r="F21" s="17" t="s">
        <v>4813</v>
      </c>
      <c r="G21" s="17">
        <f>MATCH(E21,Arenas!$F$8:$F$15)</f>
        <v>4</v>
      </c>
      <c r="H21" s="29" t="s">
        <v>1391</v>
      </c>
      <c r="I21" s="33" t="s">
        <v>5987</v>
      </c>
      <c r="J21" s="47" t="s">
        <v>4868</v>
      </c>
      <c r="K21" s="61" t="s">
        <v>4779</v>
      </c>
      <c r="L21" s="12" t="str">
        <f t="shared" si="0"/>
        <v>1,1,1</v>
      </c>
    </row>
    <row r="22" spans="2:12">
      <c r="B22" s="17">
        <v>321</v>
      </c>
      <c r="C22" s="17">
        <v>1</v>
      </c>
      <c r="D22" s="17">
        <f t="shared" si="2"/>
        <v>0</v>
      </c>
      <c r="E22" s="17">
        <f t="shared" si="1"/>
        <v>1154</v>
      </c>
      <c r="F22" s="17" t="s">
        <v>4813</v>
      </c>
      <c r="G22" s="17">
        <f>MATCH(E22,Arenas!$F$8:$F$15)</f>
        <v>4</v>
      </c>
      <c r="H22" s="29" t="s">
        <v>1392</v>
      </c>
      <c r="I22" s="33" t="s">
        <v>5988</v>
      </c>
      <c r="J22" s="47" t="s">
        <v>4568</v>
      </c>
      <c r="K22" s="61" t="s">
        <v>4779</v>
      </c>
      <c r="L22" s="12" t="str">
        <f t="shared" si="0"/>
        <v>1,1,1</v>
      </c>
    </row>
    <row r="23" spans="2:12">
      <c r="B23" s="17">
        <v>322</v>
      </c>
      <c r="C23" s="17">
        <v>1</v>
      </c>
      <c r="D23" s="17">
        <f t="shared" si="2"/>
        <v>1</v>
      </c>
      <c r="E23" s="17">
        <f t="shared" si="1"/>
        <v>1155</v>
      </c>
      <c r="F23" s="17" t="s">
        <v>4813</v>
      </c>
      <c r="G23" s="17">
        <f>MATCH(E23,Arenas!$F$8:$F$15)</f>
        <v>4</v>
      </c>
      <c r="H23" s="29" t="s">
        <v>1393</v>
      </c>
      <c r="I23" s="33" t="s">
        <v>5989</v>
      </c>
      <c r="J23" s="47" t="s">
        <v>4550</v>
      </c>
      <c r="K23" s="61" t="s">
        <v>4779</v>
      </c>
      <c r="L23" s="12" t="str">
        <f t="shared" si="0"/>
        <v>1,1,1</v>
      </c>
    </row>
    <row r="24" spans="2:12">
      <c r="B24" s="17">
        <v>323</v>
      </c>
      <c r="C24" s="17">
        <v>1</v>
      </c>
      <c r="D24" s="17">
        <f t="shared" si="2"/>
        <v>0</v>
      </c>
      <c r="E24" s="17">
        <f t="shared" si="1"/>
        <v>1155</v>
      </c>
      <c r="F24" s="17" t="s">
        <v>4813</v>
      </c>
      <c r="G24" s="17">
        <f>MATCH(E24,Arenas!$F$8:$F$15)</f>
        <v>4</v>
      </c>
      <c r="H24" s="29" t="s">
        <v>1394</v>
      </c>
      <c r="I24" s="33" t="s">
        <v>5990</v>
      </c>
      <c r="J24" s="47" t="s">
        <v>4912</v>
      </c>
      <c r="K24" s="61" t="s">
        <v>4779</v>
      </c>
      <c r="L24" s="12" t="str">
        <f t="shared" si="0"/>
        <v>1,1,1</v>
      </c>
    </row>
    <row r="25" spans="2:12">
      <c r="B25" s="17">
        <v>324</v>
      </c>
      <c r="C25" s="17">
        <v>1</v>
      </c>
      <c r="D25" s="17">
        <f t="shared" si="2"/>
        <v>0</v>
      </c>
      <c r="E25" s="17">
        <f t="shared" si="1"/>
        <v>1155</v>
      </c>
      <c r="F25" s="17" t="s">
        <v>4813</v>
      </c>
      <c r="G25" s="17">
        <f>MATCH(E25,Arenas!$F$8:$F$15)</f>
        <v>4</v>
      </c>
      <c r="H25" s="29" t="s">
        <v>1395</v>
      </c>
      <c r="I25" s="33" t="s">
        <v>5991</v>
      </c>
      <c r="J25" s="47" t="s">
        <v>4670</v>
      </c>
      <c r="K25" s="61" t="s">
        <v>4779</v>
      </c>
      <c r="L25" s="12" t="str">
        <f t="shared" si="0"/>
        <v>1,1,1</v>
      </c>
    </row>
    <row r="26" spans="2:12">
      <c r="B26" s="17">
        <v>325</v>
      </c>
      <c r="C26" s="17">
        <v>1</v>
      </c>
      <c r="D26" s="17">
        <f t="shared" si="2"/>
        <v>1</v>
      </c>
      <c r="E26" s="17">
        <f t="shared" si="1"/>
        <v>1156</v>
      </c>
      <c r="F26" s="17" t="s">
        <v>4813</v>
      </c>
      <c r="G26" s="17">
        <f>MATCH(E26,Arenas!$F$8:$F$15)</f>
        <v>4</v>
      </c>
      <c r="H26" s="29" t="s">
        <v>1396</v>
      </c>
      <c r="I26" s="33" t="s">
        <v>5992</v>
      </c>
      <c r="J26" s="47" t="s">
        <v>4871</v>
      </c>
      <c r="K26" s="61" t="s">
        <v>4779</v>
      </c>
      <c r="L26" s="12" t="str">
        <f t="shared" si="0"/>
        <v>1,1,1</v>
      </c>
    </row>
    <row r="27" spans="2:12">
      <c r="B27" s="17">
        <v>326</v>
      </c>
      <c r="C27" s="17">
        <v>1</v>
      </c>
      <c r="D27" s="17">
        <f t="shared" si="2"/>
        <v>0</v>
      </c>
      <c r="E27" s="17">
        <f t="shared" si="1"/>
        <v>1156</v>
      </c>
      <c r="F27" s="17" t="s">
        <v>4813</v>
      </c>
      <c r="G27" s="17">
        <f>MATCH(E27,Arenas!$F$8:$F$15)</f>
        <v>4</v>
      </c>
      <c r="H27" s="29" t="s">
        <v>1397</v>
      </c>
      <c r="I27" s="33" t="s">
        <v>5993</v>
      </c>
      <c r="J27" s="47" t="s">
        <v>4881</v>
      </c>
      <c r="K27" s="61" t="s">
        <v>4779</v>
      </c>
      <c r="L27" s="12" t="str">
        <f t="shared" si="0"/>
        <v>1,1,1</v>
      </c>
    </row>
    <row r="28" spans="2:12">
      <c r="B28" s="17">
        <v>327</v>
      </c>
      <c r="C28" s="17">
        <v>1</v>
      </c>
      <c r="D28" s="17">
        <f t="shared" si="2"/>
        <v>0</v>
      </c>
      <c r="E28" s="17">
        <f t="shared" si="1"/>
        <v>1156</v>
      </c>
      <c r="F28" s="17" t="s">
        <v>4813</v>
      </c>
      <c r="G28" s="17">
        <f>MATCH(E28,Arenas!$F$8:$F$15)</f>
        <v>4</v>
      </c>
      <c r="H28" s="29" t="s">
        <v>1398</v>
      </c>
      <c r="I28" s="33" t="s">
        <v>5994</v>
      </c>
      <c r="J28" s="47" t="s">
        <v>4547</v>
      </c>
      <c r="K28" s="61" t="s">
        <v>4779</v>
      </c>
      <c r="L28" s="12" t="str">
        <f t="shared" si="0"/>
        <v>1,1,1</v>
      </c>
    </row>
    <row r="29" spans="2:12">
      <c r="B29" s="17">
        <v>328</v>
      </c>
      <c r="C29" s="17">
        <v>1</v>
      </c>
      <c r="D29" s="17">
        <f t="shared" si="2"/>
        <v>1</v>
      </c>
      <c r="E29" s="17">
        <f t="shared" si="1"/>
        <v>1157</v>
      </c>
      <c r="F29" s="17" t="s">
        <v>4813</v>
      </c>
      <c r="G29" s="17">
        <f>MATCH(E29,Arenas!$F$8:$F$15)</f>
        <v>4</v>
      </c>
      <c r="H29" s="29" t="s">
        <v>1399</v>
      </c>
      <c r="I29" s="33" t="s">
        <v>5995</v>
      </c>
      <c r="J29" s="47" t="s">
        <v>4555</v>
      </c>
      <c r="K29" s="61" t="s">
        <v>4779</v>
      </c>
      <c r="L29" s="12" t="str">
        <f t="shared" si="0"/>
        <v>1,1,1</v>
      </c>
    </row>
    <row r="30" spans="2:12">
      <c r="B30" s="17">
        <v>329</v>
      </c>
      <c r="C30" s="17">
        <v>1</v>
      </c>
      <c r="D30" s="17">
        <f t="shared" si="2"/>
        <v>0</v>
      </c>
      <c r="E30" s="17">
        <f t="shared" si="1"/>
        <v>1157</v>
      </c>
      <c r="F30" s="17" t="s">
        <v>4813</v>
      </c>
      <c r="G30" s="17">
        <f>MATCH(E30,Arenas!$F$8:$F$15)</f>
        <v>4</v>
      </c>
      <c r="H30" s="29" t="s">
        <v>1400</v>
      </c>
      <c r="I30" s="33" t="s">
        <v>5996</v>
      </c>
      <c r="J30" s="47" t="s">
        <v>4864</v>
      </c>
      <c r="K30" s="61" t="s">
        <v>4779</v>
      </c>
      <c r="L30" s="12" t="str">
        <f t="shared" si="0"/>
        <v>1,1,1</v>
      </c>
    </row>
    <row r="31" spans="2:12">
      <c r="B31" s="17">
        <v>330</v>
      </c>
      <c r="C31" s="17">
        <v>1</v>
      </c>
      <c r="D31" s="17">
        <f t="shared" si="2"/>
        <v>0</v>
      </c>
      <c r="E31" s="17">
        <f t="shared" si="1"/>
        <v>1157</v>
      </c>
      <c r="F31" s="17" t="s">
        <v>4813</v>
      </c>
      <c r="G31" s="17">
        <f>MATCH(E31,Arenas!$F$8:$F$15)</f>
        <v>4</v>
      </c>
      <c r="H31" s="29" t="s">
        <v>1401</v>
      </c>
      <c r="I31" s="33" t="s">
        <v>5997</v>
      </c>
      <c r="J31" s="47" t="s">
        <v>4646</v>
      </c>
      <c r="K31" s="61" t="s">
        <v>4779</v>
      </c>
      <c r="L31" s="12" t="str">
        <f t="shared" si="0"/>
        <v>1,1,1</v>
      </c>
    </row>
    <row r="32" spans="2:12">
      <c r="B32" s="17">
        <v>331</v>
      </c>
      <c r="C32" s="17">
        <v>1</v>
      </c>
      <c r="D32" s="17">
        <f t="shared" si="2"/>
        <v>1</v>
      </c>
      <c r="E32" s="17">
        <f t="shared" si="1"/>
        <v>1158</v>
      </c>
      <c r="F32" s="17" t="s">
        <v>4813</v>
      </c>
      <c r="G32" s="17">
        <f>MATCH(E32,Arenas!$F$8:$F$15)</f>
        <v>4</v>
      </c>
      <c r="H32" s="29" t="s">
        <v>1402</v>
      </c>
      <c r="I32" s="33" t="s">
        <v>5998</v>
      </c>
      <c r="J32" s="47" t="s">
        <v>4563</v>
      </c>
      <c r="K32" s="61" t="s">
        <v>4779</v>
      </c>
      <c r="L32" s="12" t="str">
        <f t="shared" si="0"/>
        <v>1,1,1</v>
      </c>
    </row>
    <row r="33" spans="2:12">
      <c r="B33" s="17">
        <v>332</v>
      </c>
      <c r="C33" s="17">
        <v>1</v>
      </c>
      <c r="D33" s="17">
        <f t="shared" si="2"/>
        <v>0</v>
      </c>
      <c r="E33" s="17">
        <f t="shared" si="1"/>
        <v>1158</v>
      </c>
      <c r="F33" s="17" t="s">
        <v>4813</v>
      </c>
      <c r="G33" s="17">
        <f>MATCH(E33,Arenas!$F$8:$F$15)</f>
        <v>4</v>
      </c>
      <c r="H33" s="29" t="s">
        <v>1403</v>
      </c>
      <c r="I33" s="33" t="s">
        <v>5999</v>
      </c>
      <c r="J33" s="47" t="s">
        <v>4632</v>
      </c>
      <c r="K33" s="61" t="s">
        <v>4779</v>
      </c>
      <c r="L33" s="12" t="str">
        <f t="shared" si="0"/>
        <v>1,1,1</v>
      </c>
    </row>
    <row r="34" spans="2:12">
      <c r="B34" s="17">
        <v>333</v>
      </c>
      <c r="C34" s="17">
        <v>1</v>
      </c>
      <c r="D34" s="17">
        <f t="shared" si="2"/>
        <v>0</v>
      </c>
      <c r="E34" s="17">
        <f t="shared" si="1"/>
        <v>1158</v>
      </c>
      <c r="F34" s="17" t="s">
        <v>4813</v>
      </c>
      <c r="G34" s="17">
        <f>MATCH(E34,Arenas!$F$8:$F$15)</f>
        <v>4</v>
      </c>
      <c r="H34" s="29" t="s">
        <v>1404</v>
      </c>
      <c r="I34" s="33" t="s">
        <v>6000</v>
      </c>
      <c r="J34" s="47" t="s">
        <v>4616</v>
      </c>
      <c r="K34" s="61" t="s">
        <v>4779</v>
      </c>
      <c r="L34" s="12" t="str">
        <f t="shared" si="0"/>
        <v>1,1,1</v>
      </c>
    </row>
    <row r="35" spans="2:12">
      <c r="B35" s="17">
        <v>334</v>
      </c>
      <c r="C35" s="17">
        <v>1</v>
      </c>
      <c r="D35" s="17">
        <f t="shared" si="2"/>
        <v>1</v>
      </c>
      <c r="E35" s="17">
        <f t="shared" si="1"/>
        <v>1159</v>
      </c>
      <c r="F35" s="17" t="s">
        <v>4813</v>
      </c>
      <c r="G35" s="17">
        <f>MATCH(E35,Arenas!$F$8:$F$15)</f>
        <v>4</v>
      </c>
      <c r="H35" s="29" t="s">
        <v>1405</v>
      </c>
      <c r="I35" s="33" t="s">
        <v>6001</v>
      </c>
      <c r="J35" s="47" t="s">
        <v>4856</v>
      </c>
      <c r="K35" s="61" t="s">
        <v>4779</v>
      </c>
      <c r="L35" s="12" t="str">
        <f t="shared" si="0"/>
        <v>1,1,1</v>
      </c>
    </row>
    <row r="36" spans="2:12">
      <c r="B36" s="17">
        <v>335</v>
      </c>
      <c r="C36" s="17">
        <v>1</v>
      </c>
      <c r="D36" s="17">
        <f t="shared" si="2"/>
        <v>0</v>
      </c>
      <c r="E36" s="17">
        <f t="shared" si="1"/>
        <v>1159</v>
      </c>
      <c r="F36" s="17" t="s">
        <v>4813</v>
      </c>
      <c r="G36" s="17">
        <f>MATCH(E36,Arenas!$F$8:$F$15)</f>
        <v>4</v>
      </c>
      <c r="H36" s="29" t="s">
        <v>1406</v>
      </c>
      <c r="I36" s="33" t="s">
        <v>6002</v>
      </c>
      <c r="J36" s="47" t="s">
        <v>4892</v>
      </c>
      <c r="K36" s="61" t="s">
        <v>4779</v>
      </c>
      <c r="L36" s="12" t="str">
        <f t="shared" si="0"/>
        <v>1,1,1</v>
      </c>
    </row>
    <row r="37" spans="2:12">
      <c r="B37" s="17">
        <v>336</v>
      </c>
      <c r="C37" s="17">
        <v>1</v>
      </c>
      <c r="D37" s="17">
        <f t="shared" si="2"/>
        <v>0</v>
      </c>
      <c r="E37" s="17">
        <f t="shared" si="1"/>
        <v>1159</v>
      </c>
      <c r="F37" s="17" t="s">
        <v>4813</v>
      </c>
      <c r="G37" s="17">
        <f>MATCH(E37,Arenas!$F$8:$F$15)</f>
        <v>4</v>
      </c>
      <c r="H37" s="29" t="s">
        <v>1407</v>
      </c>
      <c r="I37" s="33" t="s">
        <v>6003</v>
      </c>
      <c r="J37" s="47" t="s">
        <v>4868</v>
      </c>
      <c r="K37" s="61" t="s">
        <v>4779</v>
      </c>
      <c r="L37" s="12" t="str">
        <f t="shared" si="0"/>
        <v>1,1,1</v>
      </c>
    </row>
    <row r="38" spans="2:12">
      <c r="B38" s="17">
        <v>337</v>
      </c>
      <c r="C38" s="17">
        <v>1</v>
      </c>
      <c r="D38" s="17">
        <f t="shared" si="2"/>
        <v>1</v>
      </c>
      <c r="E38" s="17">
        <f t="shared" si="1"/>
        <v>1160</v>
      </c>
      <c r="F38" s="17" t="s">
        <v>4813</v>
      </c>
      <c r="G38" s="17">
        <f>MATCH(E38,Arenas!$F$8:$F$15)</f>
        <v>4</v>
      </c>
      <c r="H38" s="29" t="s">
        <v>1408</v>
      </c>
      <c r="I38" s="33" t="s">
        <v>6004</v>
      </c>
      <c r="J38" s="47" t="s">
        <v>4869</v>
      </c>
      <c r="K38" s="61" t="s">
        <v>4779</v>
      </c>
      <c r="L38" s="12" t="str">
        <f t="shared" si="0"/>
        <v>1,1,1</v>
      </c>
    </row>
    <row r="39" spans="2:12">
      <c r="B39" s="17">
        <v>338</v>
      </c>
      <c r="C39" s="17">
        <v>1</v>
      </c>
      <c r="D39" s="17">
        <f t="shared" si="2"/>
        <v>0</v>
      </c>
      <c r="E39" s="17">
        <f t="shared" si="1"/>
        <v>1160</v>
      </c>
      <c r="F39" s="17" t="s">
        <v>4813</v>
      </c>
      <c r="G39" s="17">
        <f>MATCH(E39,Arenas!$F$8:$F$15)</f>
        <v>4</v>
      </c>
      <c r="H39" s="29" t="s">
        <v>1409</v>
      </c>
      <c r="I39" s="33" t="s">
        <v>6005</v>
      </c>
      <c r="J39" s="47" t="s">
        <v>4567</v>
      </c>
      <c r="K39" s="61" t="s">
        <v>4779</v>
      </c>
      <c r="L39" s="12" t="str">
        <f t="shared" si="0"/>
        <v>1,1,1</v>
      </c>
    </row>
    <row r="40" spans="2:12">
      <c r="B40" s="17">
        <v>339</v>
      </c>
      <c r="C40" s="17">
        <v>1</v>
      </c>
      <c r="D40" s="17">
        <f t="shared" si="2"/>
        <v>0</v>
      </c>
      <c r="E40" s="17">
        <f t="shared" si="1"/>
        <v>1160</v>
      </c>
      <c r="F40" s="17" t="s">
        <v>4813</v>
      </c>
      <c r="G40" s="17">
        <f>MATCH(E40,Arenas!$F$8:$F$15)</f>
        <v>4</v>
      </c>
      <c r="H40" s="29" t="s">
        <v>1410</v>
      </c>
      <c r="I40" s="33" t="s">
        <v>6006</v>
      </c>
      <c r="J40" s="47" t="s">
        <v>4694</v>
      </c>
      <c r="K40" s="61" t="s">
        <v>4779</v>
      </c>
      <c r="L40" s="12" t="str">
        <f t="shared" si="0"/>
        <v>1,1,1</v>
      </c>
    </row>
    <row r="41" spans="2:12">
      <c r="B41" s="17">
        <v>340</v>
      </c>
      <c r="C41" s="17">
        <v>1</v>
      </c>
      <c r="D41" s="17">
        <f t="shared" si="2"/>
        <v>1</v>
      </c>
      <c r="E41" s="17">
        <f t="shared" si="1"/>
        <v>1161</v>
      </c>
      <c r="F41" s="17" t="s">
        <v>4813</v>
      </c>
      <c r="G41" s="17">
        <f>MATCH(E41,Arenas!$F$8:$F$15)</f>
        <v>4</v>
      </c>
      <c r="H41" s="29" t="s">
        <v>1411</v>
      </c>
      <c r="I41" s="33" t="s">
        <v>6007</v>
      </c>
      <c r="J41" s="47" t="s">
        <v>4893</v>
      </c>
      <c r="K41" s="61" t="s">
        <v>4779</v>
      </c>
      <c r="L41" s="12" t="str">
        <f t="shared" si="0"/>
        <v>1,1,1</v>
      </c>
    </row>
    <row r="42" spans="2:12">
      <c r="B42" s="17">
        <v>341</v>
      </c>
      <c r="C42" s="17">
        <v>1</v>
      </c>
      <c r="D42" s="17">
        <f t="shared" si="2"/>
        <v>0</v>
      </c>
      <c r="E42" s="17">
        <f t="shared" si="1"/>
        <v>1161</v>
      </c>
      <c r="F42" s="17" t="s">
        <v>4813</v>
      </c>
      <c r="G42" s="17">
        <f>MATCH(E42,Arenas!$F$8:$F$15)</f>
        <v>4</v>
      </c>
      <c r="H42" s="29" t="s">
        <v>1412</v>
      </c>
      <c r="I42" s="33" t="s">
        <v>6008</v>
      </c>
      <c r="J42" s="47" t="s">
        <v>4853</v>
      </c>
      <c r="K42" s="61" t="s">
        <v>4779</v>
      </c>
      <c r="L42" s="12" t="str">
        <f t="shared" si="0"/>
        <v>1,1,1</v>
      </c>
    </row>
    <row r="43" spans="2:12">
      <c r="B43" s="17">
        <v>342</v>
      </c>
      <c r="C43" s="17">
        <v>1</v>
      </c>
      <c r="D43" s="17">
        <f t="shared" si="2"/>
        <v>0</v>
      </c>
      <c r="E43" s="17">
        <f t="shared" si="1"/>
        <v>1161</v>
      </c>
      <c r="F43" s="17" t="s">
        <v>4813</v>
      </c>
      <c r="G43" s="17">
        <f>MATCH(E43,Arenas!$F$8:$F$15)</f>
        <v>4</v>
      </c>
      <c r="H43" s="29" t="s">
        <v>1413</v>
      </c>
      <c r="I43" s="33" t="s">
        <v>6009</v>
      </c>
      <c r="J43" s="47" t="s">
        <v>6010</v>
      </c>
      <c r="K43" s="61" t="s">
        <v>4779</v>
      </c>
      <c r="L43" s="12" t="str">
        <f t="shared" si="0"/>
        <v>1,1,1</v>
      </c>
    </row>
    <row r="44" spans="2:12">
      <c r="B44" s="17">
        <v>343</v>
      </c>
      <c r="C44" s="17">
        <v>1</v>
      </c>
      <c r="D44" s="17">
        <f t="shared" si="2"/>
        <v>1</v>
      </c>
      <c r="E44" s="17">
        <f t="shared" si="1"/>
        <v>1162</v>
      </c>
      <c r="F44" s="17" t="s">
        <v>4813</v>
      </c>
      <c r="G44" s="17">
        <f>MATCH(E44,Arenas!$F$8:$F$15)</f>
        <v>4</v>
      </c>
      <c r="H44" s="29" t="s">
        <v>1414</v>
      </c>
      <c r="I44" s="33" t="s">
        <v>6011</v>
      </c>
      <c r="J44" s="47" t="s">
        <v>1068</v>
      </c>
      <c r="K44" s="61" t="s">
        <v>4779</v>
      </c>
      <c r="L44" s="12" t="str">
        <f t="shared" si="0"/>
        <v>1,1,1</v>
      </c>
    </row>
    <row r="45" spans="2:12">
      <c r="B45" s="17">
        <v>344</v>
      </c>
      <c r="C45" s="17">
        <v>1</v>
      </c>
      <c r="D45" s="17">
        <f t="shared" si="2"/>
        <v>0</v>
      </c>
      <c r="E45" s="17">
        <f t="shared" si="1"/>
        <v>1162</v>
      </c>
      <c r="F45" s="17" t="s">
        <v>4813</v>
      </c>
      <c r="G45" s="17">
        <f>MATCH(E45,Arenas!$F$8:$F$15)</f>
        <v>4</v>
      </c>
      <c r="H45" s="29" t="s">
        <v>1415</v>
      </c>
      <c r="I45" s="33" t="s">
        <v>6012</v>
      </c>
      <c r="J45" s="47" t="s">
        <v>4564</v>
      </c>
      <c r="K45" s="61" t="s">
        <v>4779</v>
      </c>
      <c r="L45" s="12" t="str">
        <f t="shared" si="0"/>
        <v>1,1,1</v>
      </c>
    </row>
    <row r="46" spans="2:12">
      <c r="B46" s="17">
        <v>345</v>
      </c>
      <c r="C46" s="17">
        <v>1</v>
      </c>
      <c r="D46" s="17">
        <f t="shared" si="2"/>
        <v>0</v>
      </c>
      <c r="E46" s="17">
        <f t="shared" si="1"/>
        <v>1162</v>
      </c>
      <c r="F46" s="17" t="s">
        <v>4813</v>
      </c>
      <c r="G46" s="17">
        <f>MATCH(E46,Arenas!$F$8:$F$15)</f>
        <v>4</v>
      </c>
      <c r="H46" s="29" t="s">
        <v>1416</v>
      </c>
      <c r="I46" s="33" t="s">
        <v>6013</v>
      </c>
      <c r="J46" s="47" t="s">
        <v>4576</v>
      </c>
      <c r="K46" s="61" t="s">
        <v>4779</v>
      </c>
      <c r="L46" s="12" t="str">
        <f t="shared" si="0"/>
        <v>1,1,1</v>
      </c>
    </row>
    <row r="47" spans="2:12">
      <c r="B47" s="17">
        <v>346</v>
      </c>
      <c r="C47" s="17">
        <v>1</v>
      </c>
      <c r="D47" s="17">
        <f t="shared" si="2"/>
        <v>1</v>
      </c>
      <c r="E47" s="17">
        <f t="shared" si="1"/>
        <v>1163</v>
      </c>
      <c r="F47" s="17" t="s">
        <v>4813</v>
      </c>
      <c r="G47" s="17">
        <f>MATCH(E47,Arenas!$F$8:$F$15)</f>
        <v>4</v>
      </c>
      <c r="H47" s="29" t="s">
        <v>1417</v>
      </c>
      <c r="I47" s="33" t="s">
        <v>6014</v>
      </c>
      <c r="J47" s="47" t="s">
        <v>4565</v>
      </c>
      <c r="K47" s="61" t="s">
        <v>4779</v>
      </c>
      <c r="L47" s="12" t="str">
        <f t="shared" si="0"/>
        <v>1,1,1</v>
      </c>
    </row>
    <row r="48" spans="2:12">
      <c r="B48" s="17">
        <v>347</v>
      </c>
      <c r="C48" s="17">
        <v>1</v>
      </c>
      <c r="D48" s="17">
        <f t="shared" si="2"/>
        <v>0</v>
      </c>
      <c r="E48" s="17">
        <f t="shared" si="1"/>
        <v>1163</v>
      </c>
      <c r="F48" s="17" t="s">
        <v>4813</v>
      </c>
      <c r="G48" s="17">
        <f>MATCH(E48,Arenas!$F$8:$F$15)</f>
        <v>4</v>
      </c>
      <c r="H48" s="29" t="s">
        <v>1418</v>
      </c>
      <c r="I48" s="33" t="s">
        <v>6015</v>
      </c>
      <c r="J48" s="47" t="s">
        <v>4591</v>
      </c>
      <c r="K48" s="61" t="s">
        <v>4779</v>
      </c>
      <c r="L48" s="12" t="str">
        <f t="shared" si="0"/>
        <v>1,1,1</v>
      </c>
    </row>
    <row r="49" spans="2:12">
      <c r="B49" s="17">
        <v>348</v>
      </c>
      <c r="C49" s="17">
        <v>1</v>
      </c>
      <c r="D49" s="17">
        <f t="shared" si="2"/>
        <v>0</v>
      </c>
      <c r="E49" s="17">
        <f t="shared" si="1"/>
        <v>1163</v>
      </c>
      <c r="F49" s="17" t="s">
        <v>4813</v>
      </c>
      <c r="G49" s="17">
        <f>MATCH(E49,Arenas!$F$8:$F$15)</f>
        <v>4</v>
      </c>
      <c r="H49" s="29" t="s">
        <v>1419</v>
      </c>
      <c r="I49" s="33" t="s">
        <v>6016</v>
      </c>
      <c r="J49" s="47" t="s">
        <v>1071</v>
      </c>
      <c r="K49" s="61" t="s">
        <v>4779</v>
      </c>
      <c r="L49" s="12" t="str">
        <f t="shared" si="0"/>
        <v>1,1,1</v>
      </c>
    </row>
    <row r="50" spans="2:12">
      <c r="B50" s="17">
        <v>349</v>
      </c>
      <c r="C50" s="17">
        <v>1</v>
      </c>
      <c r="D50" s="17">
        <f t="shared" si="2"/>
        <v>1</v>
      </c>
      <c r="E50" s="17">
        <f t="shared" si="1"/>
        <v>1164</v>
      </c>
      <c r="F50" s="17" t="s">
        <v>4813</v>
      </c>
      <c r="G50" s="17">
        <f>MATCH(E50,Arenas!$F$8:$F$15)</f>
        <v>4</v>
      </c>
      <c r="H50" s="29" t="s">
        <v>1420</v>
      </c>
      <c r="I50" s="33" t="s">
        <v>6017</v>
      </c>
      <c r="J50" s="47" t="s">
        <v>1068</v>
      </c>
      <c r="K50" s="61" t="s">
        <v>4779</v>
      </c>
      <c r="L50" s="12" t="str">
        <f t="shared" si="0"/>
        <v>1,1,1</v>
      </c>
    </row>
    <row r="51" spans="2:12">
      <c r="B51" s="17">
        <v>350</v>
      </c>
      <c r="C51" s="17">
        <v>1</v>
      </c>
      <c r="D51" s="17">
        <f t="shared" si="2"/>
        <v>0</v>
      </c>
      <c r="E51" s="17">
        <f t="shared" si="1"/>
        <v>1164</v>
      </c>
      <c r="F51" s="17" t="s">
        <v>4813</v>
      </c>
      <c r="G51" s="17">
        <f>MATCH(E51,Arenas!$F$8:$F$15)</f>
        <v>4</v>
      </c>
      <c r="H51" s="29" t="s">
        <v>1421</v>
      </c>
      <c r="I51" s="33" t="s">
        <v>6018</v>
      </c>
      <c r="J51" s="47" t="s">
        <v>1066</v>
      </c>
      <c r="K51" s="61" t="s">
        <v>4779</v>
      </c>
      <c r="L51" s="12" t="str">
        <f t="shared" si="0"/>
        <v>1,1,1</v>
      </c>
    </row>
    <row r="52" spans="2:12">
      <c r="B52" s="17">
        <v>351</v>
      </c>
      <c r="C52" s="17">
        <v>1</v>
      </c>
      <c r="D52" s="17">
        <f t="shared" si="2"/>
        <v>0</v>
      </c>
      <c r="E52" s="17">
        <f t="shared" si="1"/>
        <v>1164</v>
      </c>
      <c r="F52" s="17" t="s">
        <v>4813</v>
      </c>
      <c r="G52" s="17">
        <f>MATCH(E52,Arenas!$F$8:$F$15)</f>
        <v>4</v>
      </c>
      <c r="H52" s="29" t="s">
        <v>1422</v>
      </c>
      <c r="I52" s="33" t="s">
        <v>6019</v>
      </c>
      <c r="J52" s="47" t="s">
        <v>4614</v>
      </c>
      <c r="K52" s="61" t="s">
        <v>4779</v>
      </c>
      <c r="L52" s="12" t="str">
        <f t="shared" si="0"/>
        <v>1,1,1</v>
      </c>
    </row>
    <row r="53" spans="2:12">
      <c r="B53" s="17">
        <v>352</v>
      </c>
      <c r="C53" s="17">
        <v>1</v>
      </c>
      <c r="D53" s="17">
        <f t="shared" si="2"/>
        <v>1</v>
      </c>
      <c r="E53" s="17">
        <f t="shared" si="1"/>
        <v>1165</v>
      </c>
      <c r="F53" s="17" t="s">
        <v>4813</v>
      </c>
      <c r="G53" s="17">
        <f>MATCH(E53,Arenas!$F$8:$F$15)</f>
        <v>4</v>
      </c>
      <c r="H53" s="29" t="s">
        <v>1423</v>
      </c>
      <c r="I53" s="33" t="s">
        <v>6020</v>
      </c>
      <c r="J53" s="47" t="s">
        <v>4868</v>
      </c>
      <c r="K53" s="61" t="s">
        <v>4779</v>
      </c>
      <c r="L53" s="12" t="str">
        <f t="shared" si="0"/>
        <v>1,1,1</v>
      </c>
    </row>
    <row r="54" spans="2:12">
      <c r="B54" s="17">
        <v>353</v>
      </c>
      <c r="C54" s="17">
        <v>1</v>
      </c>
      <c r="D54" s="17">
        <f t="shared" si="2"/>
        <v>0</v>
      </c>
      <c r="E54" s="17">
        <f t="shared" si="1"/>
        <v>1165</v>
      </c>
      <c r="F54" s="17" t="s">
        <v>4813</v>
      </c>
      <c r="G54" s="17">
        <f>MATCH(E54,Arenas!$F$8:$F$15)</f>
        <v>4</v>
      </c>
      <c r="H54" s="29" t="s">
        <v>1424</v>
      </c>
      <c r="I54" s="33" t="s">
        <v>6021</v>
      </c>
      <c r="J54" s="47" t="s">
        <v>4648</v>
      </c>
      <c r="K54" s="61" t="s">
        <v>4779</v>
      </c>
      <c r="L54" s="12" t="str">
        <f t="shared" si="0"/>
        <v>1,1,1</v>
      </c>
    </row>
    <row r="55" spans="2:12">
      <c r="B55" s="17">
        <v>354</v>
      </c>
      <c r="C55" s="17">
        <v>1</v>
      </c>
      <c r="D55" s="17">
        <f t="shared" si="2"/>
        <v>0</v>
      </c>
      <c r="E55" s="17">
        <f t="shared" si="1"/>
        <v>1165</v>
      </c>
      <c r="F55" s="17" t="s">
        <v>4813</v>
      </c>
      <c r="G55" s="17">
        <f>MATCH(E55,Arenas!$F$8:$F$15)</f>
        <v>4</v>
      </c>
      <c r="H55" s="29" t="s">
        <v>1425</v>
      </c>
      <c r="I55" s="33" t="s">
        <v>6022</v>
      </c>
      <c r="J55" s="47" t="s">
        <v>4881</v>
      </c>
      <c r="K55" s="61" t="s">
        <v>4779</v>
      </c>
      <c r="L55" s="12" t="str">
        <f t="shared" si="0"/>
        <v>1,1,1</v>
      </c>
    </row>
    <row r="56" spans="2:12">
      <c r="B56" s="17">
        <v>355</v>
      </c>
      <c r="C56" s="17">
        <v>1</v>
      </c>
      <c r="D56" s="17">
        <f t="shared" si="2"/>
        <v>1</v>
      </c>
      <c r="E56" s="17">
        <f t="shared" si="1"/>
        <v>1166</v>
      </c>
      <c r="F56" s="17" t="s">
        <v>4813</v>
      </c>
      <c r="G56" s="17">
        <f>MATCH(E56,Arenas!$F$8:$F$15)</f>
        <v>4</v>
      </c>
      <c r="H56" s="29" t="s">
        <v>1426</v>
      </c>
      <c r="I56" s="33" t="s">
        <v>6023</v>
      </c>
      <c r="J56" s="47" t="s">
        <v>4851</v>
      </c>
      <c r="K56" s="61" t="s">
        <v>4779</v>
      </c>
      <c r="L56" s="12" t="str">
        <f t="shared" si="0"/>
        <v>1,1,1</v>
      </c>
    </row>
    <row r="57" spans="2:12">
      <c r="B57" s="17">
        <v>356</v>
      </c>
      <c r="C57" s="17">
        <v>1</v>
      </c>
      <c r="D57" s="17">
        <f t="shared" si="2"/>
        <v>0</v>
      </c>
      <c r="E57" s="17">
        <f t="shared" si="1"/>
        <v>1166</v>
      </c>
      <c r="F57" s="17" t="s">
        <v>4813</v>
      </c>
      <c r="G57" s="17">
        <f>MATCH(E57,Arenas!$F$8:$F$15)</f>
        <v>4</v>
      </c>
      <c r="H57" s="29" t="s">
        <v>1427</v>
      </c>
      <c r="I57" s="33" t="s">
        <v>6024</v>
      </c>
      <c r="J57" s="47" t="s">
        <v>4614</v>
      </c>
      <c r="K57" s="61" t="s">
        <v>4779</v>
      </c>
      <c r="L57" s="12" t="str">
        <f t="shared" si="0"/>
        <v>1,1,1</v>
      </c>
    </row>
    <row r="58" spans="2:12">
      <c r="B58" s="17">
        <v>357</v>
      </c>
      <c r="C58" s="17">
        <v>1</v>
      </c>
      <c r="D58" s="17">
        <f t="shared" si="2"/>
        <v>0</v>
      </c>
      <c r="E58" s="17">
        <f t="shared" si="1"/>
        <v>1166</v>
      </c>
      <c r="F58" s="17" t="s">
        <v>4813</v>
      </c>
      <c r="G58" s="17">
        <f>MATCH(E58,Arenas!$F$8:$F$15)</f>
        <v>4</v>
      </c>
      <c r="H58" s="29" t="s">
        <v>1428</v>
      </c>
      <c r="I58" s="33" t="s">
        <v>6025</v>
      </c>
      <c r="J58" s="47" t="s">
        <v>1069</v>
      </c>
      <c r="K58" s="61" t="s">
        <v>4779</v>
      </c>
      <c r="L58" s="12" t="str">
        <f t="shared" si="0"/>
        <v>1,1,1</v>
      </c>
    </row>
    <row r="59" spans="2:12">
      <c r="B59" s="17">
        <v>358</v>
      </c>
      <c r="C59" s="17">
        <v>1</v>
      </c>
      <c r="D59" s="17">
        <f t="shared" si="2"/>
        <v>1</v>
      </c>
      <c r="E59" s="17">
        <f t="shared" si="1"/>
        <v>1167</v>
      </c>
      <c r="F59" s="17" t="s">
        <v>4813</v>
      </c>
      <c r="G59" s="17">
        <f>MATCH(E59,Arenas!$F$8:$F$15)</f>
        <v>4</v>
      </c>
      <c r="H59" s="29" t="s">
        <v>1429</v>
      </c>
      <c r="I59" s="33" t="s">
        <v>6026</v>
      </c>
      <c r="J59" s="47" t="s">
        <v>1066</v>
      </c>
      <c r="K59" s="61" t="s">
        <v>4779</v>
      </c>
      <c r="L59" s="12" t="str">
        <f t="shared" si="0"/>
        <v>1,1,1</v>
      </c>
    </row>
    <row r="60" spans="2:12">
      <c r="B60" s="17">
        <v>359</v>
      </c>
      <c r="C60" s="17">
        <v>1</v>
      </c>
      <c r="D60" s="17">
        <f t="shared" si="2"/>
        <v>0</v>
      </c>
      <c r="E60" s="17">
        <f t="shared" si="1"/>
        <v>1167</v>
      </c>
      <c r="F60" s="17" t="s">
        <v>4813</v>
      </c>
      <c r="G60" s="17">
        <f>MATCH(E60,Arenas!$F$8:$F$15)</f>
        <v>4</v>
      </c>
      <c r="H60" s="29" t="s">
        <v>1430</v>
      </c>
      <c r="I60" s="33" t="s">
        <v>6027</v>
      </c>
      <c r="J60" s="47" t="s">
        <v>4864</v>
      </c>
      <c r="K60" s="61" t="s">
        <v>4779</v>
      </c>
      <c r="L60" s="12" t="str">
        <f t="shared" si="0"/>
        <v>1,1,1</v>
      </c>
    </row>
    <row r="61" spans="2:12">
      <c r="B61" s="17">
        <v>360</v>
      </c>
      <c r="C61" s="17">
        <v>1</v>
      </c>
      <c r="D61" s="17">
        <f t="shared" si="2"/>
        <v>0</v>
      </c>
      <c r="E61" s="17">
        <f t="shared" si="1"/>
        <v>1167</v>
      </c>
      <c r="F61" s="17" t="s">
        <v>4813</v>
      </c>
      <c r="G61" s="17">
        <f>MATCH(E61,Arenas!$F$8:$F$15)</f>
        <v>4</v>
      </c>
      <c r="H61" s="29" t="s">
        <v>1431</v>
      </c>
      <c r="I61" s="33" t="s">
        <v>6028</v>
      </c>
      <c r="J61" s="47" t="s">
        <v>4564</v>
      </c>
      <c r="K61" s="61" t="s">
        <v>4779</v>
      </c>
      <c r="L61" s="12" t="str">
        <f t="shared" si="0"/>
        <v>1,1,1</v>
      </c>
    </row>
    <row r="62" spans="2:12">
      <c r="B62" s="17">
        <v>361</v>
      </c>
      <c r="C62" s="17">
        <v>1</v>
      </c>
      <c r="D62" s="17">
        <f t="shared" si="2"/>
        <v>1</v>
      </c>
      <c r="E62" s="17">
        <f t="shared" si="1"/>
        <v>1168</v>
      </c>
      <c r="F62" s="17" t="s">
        <v>4813</v>
      </c>
      <c r="G62" s="17">
        <f>MATCH(E62,Arenas!$F$8:$F$15)</f>
        <v>4</v>
      </c>
      <c r="H62" s="29" t="s">
        <v>1432</v>
      </c>
      <c r="I62" s="33" t="s">
        <v>6029</v>
      </c>
      <c r="J62" s="47" t="s">
        <v>5188</v>
      </c>
      <c r="K62" s="61" t="s">
        <v>4779</v>
      </c>
      <c r="L62" s="12" t="str">
        <f t="shared" si="0"/>
        <v>1,1,1</v>
      </c>
    </row>
    <row r="63" spans="2:12">
      <c r="B63" s="17">
        <v>362</v>
      </c>
      <c r="C63" s="17">
        <v>1</v>
      </c>
      <c r="D63" s="17">
        <f t="shared" si="2"/>
        <v>0</v>
      </c>
      <c r="E63" s="17">
        <f t="shared" si="1"/>
        <v>1168</v>
      </c>
      <c r="F63" s="17" t="s">
        <v>4813</v>
      </c>
      <c r="G63" s="17">
        <f>MATCH(E63,Arenas!$F$8:$F$15)</f>
        <v>4</v>
      </c>
      <c r="H63" s="29" t="s">
        <v>1433</v>
      </c>
      <c r="I63" s="33" t="s">
        <v>6030</v>
      </c>
      <c r="J63" s="47" t="s">
        <v>4860</v>
      </c>
      <c r="K63" s="61" t="s">
        <v>4779</v>
      </c>
      <c r="L63" s="12" t="str">
        <f t="shared" si="0"/>
        <v>1,1,1</v>
      </c>
    </row>
    <row r="64" spans="2:12">
      <c r="B64" s="17">
        <v>363</v>
      </c>
      <c r="C64" s="17">
        <v>1</v>
      </c>
      <c r="D64" s="17">
        <f t="shared" si="2"/>
        <v>0</v>
      </c>
      <c r="E64" s="17">
        <f t="shared" si="1"/>
        <v>1168</v>
      </c>
      <c r="F64" s="17" t="s">
        <v>4813</v>
      </c>
      <c r="G64" s="17">
        <f>MATCH(E64,Arenas!$F$8:$F$15)</f>
        <v>4</v>
      </c>
      <c r="H64" s="29" t="s">
        <v>1434</v>
      </c>
      <c r="I64" s="33" t="s">
        <v>6031</v>
      </c>
      <c r="J64" s="47" t="s">
        <v>4879</v>
      </c>
      <c r="K64" s="61" t="s">
        <v>4779</v>
      </c>
      <c r="L64" s="12" t="str">
        <f t="shared" si="0"/>
        <v>1,1,1</v>
      </c>
    </row>
    <row r="65" spans="2:12">
      <c r="B65" s="17">
        <v>364</v>
      </c>
      <c r="C65" s="17">
        <v>1</v>
      </c>
      <c r="D65" s="17">
        <f t="shared" si="2"/>
        <v>1</v>
      </c>
      <c r="E65" s="17">
        <f t="shared" si="1"/>
        <v>1169</v>
      </c>
      <c r="F65" s="17" t="s">
        <v>4813</v>
      </c>
      <c r="G65" s="17">
        <f>MATCH(E65,Arenas!$F$8:$F$15)</f>
        <v>4</v>
      </c>
      <c r="H65" s="29" t="s">
        <v>1435</v>
      </c>
      <c r="I65" s="33" t="s">
        <v>6032</v>
      </c>
      <c r="J65" s="47" t="s">
        <v>4648</v>
      </c>
      <c r="K65" s="61" t="s">
        <v>4779</v>
      </c>
      <c r="L65" s="12" t="str">
        <f t="shared" si="0"/>
        <v>1,1,1</v>
      </c>
    </row>
    <row r="66" spans="2:12">
      <c r="B66" s="17">
        <v>365</v>
      </c>
      <c r="C66" s="17">
        <v>1</v>
      </c>
      <c r="D66" s="17">
        <f t="shared" si="2"/>
        <v>0</v>
      </c>
      <c r="E66" s="17">
        <f t="shared" si="1"/>
        <v>1169</v>
      </c>
      <c r="F66" s="17" t="s">
        <v>4813</v>
      </c>
      <c r="G66" s="17">
        <f>MATCH(E66,Arenas!$F$8:$F$15)</f>
        <v>4</v>
      </c>
      <c r="H66" s="29" t="s">
        <v>1436</v>
      </c>
      <c r="I66" s="33" t="s">
        <v>6033</v>
      </c>
      <c r="J66" s="47" t="s">
        <v>4621</v>
      </c>
      <c r="K66" s="61" t="s">
        <v>4779</v>
      </c>
      <c r="L66" s="12" t="str">
        <f t="shared" ref="L66:L129" si="3">C66&amp;","&amp;C66&amp;","&amp;C66</f>
        <v>1,1,1</v>
      </c>
    </row>
    <row r="67" spans="2:12">
      <c r="B67" s="17">
        <v>366</v>
      </c>
      <c r="C67" s="17">
        <v>1</v>
      </c>
      <c r="D67" s="17">
        <f t="shared" si="2"/>
        <v>0</v>
      </c>
      <c r="E67" s="17">
        <f t="shared" ref="E67:E130" si="4">D67+E66</f>
        <v>1169</v>
      </c>
      <c r="F67" s="17" t="s">
        <v>4813</v>
      </c>
      <c r="G67" s="17">
        <f>MATCH(E67,Arenas!$F$8:$F$15)</f>
        <v>4</v>
      </c>
      <c r="H67" s="29" t="s">
        <v>1437</v>
      </c>
      <c r="I67" s="33" t="s">
        <v>6034</v>
      </c>
      <c r="J67" s="47" t="s">
        <v>1066</v>
      </c>
      <c r="K67" s="61" t="s">
        <v>4779</v>
      </c>
      <c r="L67" s="12" t="str">
        <f t="shared" si="3"/>
        <v>1,1,1</v>
      </c>
    </row>
    <row r="68" spans="2:12">
      <c r="B68" s="17">
        <v>367</v>
      </c>
      <c r="C68" s="17">
        <v>1</v>
      </c>
      <c r="D68" s="17">
        <f t="shared" si="2"/>
        <v>1</v>
      </c>
      <c r="E68" s="17">
        <f t="shared" si="4"/>
        <v>1170</v>
      </c>
      <c r="F68" s="17" t="s">
        <v>4813</v>
      </c>
      <c r="G68" s="17">
        <f>MATCH(E68,Arenas!$F$8:$F$15)</f>
        <v>4</v>
      </c>
      <c r="H68" s="29" t="s">
        <v>1438</v>
      </c>
      <c r="I68" s="33" t="s">
        <v>6035</v>
      </c>
      <c r="J68" s="47" t="s">
        <v>4616</v>
      </c>
      <c r="K68" s="61" t="s">
        <v>4779</v>
      </c>
      <c r="L68" s="12" t="str">
        <f t="shared" si="3"/>
        <v>1,1,1</v>
      </c>
    </row>
    <row r="69" spans="2:12">
      <c r="B69" s="17">
        <v>368</v>
      </c>
      <c r="C69" s="17">
        <v>1</v>
      </c>
      <c r="D69" s="17">
        <f t="shared" ref="D69:D132" si="5">D66</f>
        <v>0</v>
      </c>
      <c r="E69" s="17">
        <f t="shared" si="4"/>
        <v>1170</v>
      </c>
      <c r="F69" s="17" t="s">
        <v>4813</v>
      </c>
      <c r="G69" s="17">
        <f>MATCH(E69,Arenas!$F$8:$F$15)</f>
        <v>4</v>
      </c>
      <c r="H69" s="29" t="s">
        <v>1439</v>
      </c>
      <c r="I69" s="33" t="s">
        <v>6036</v>
      </c>
      <c r="J69" s="47" t="s">
        <v>4853</v>
      </c>
      <c r="K69" s="61" t="s">
        <v>4779</v>
      </c>
      <c r="L69" s="12" t="str">
        <f t="shared" si="3"/>
        <v>1,1,1</v>
      </c>
    </row>
    <row r="70" spans="2:12">
      <c r="B70" s="17">
        <v>369</v>
      </c>
      <c r="C70" s="17">
        <v>1</v>
      </c>
      <c r="D70" s="17">
        <f t="shared" si="5"/>
        <v>0</v>
      </c>
      <c r="E70" s="17">
        <f t="shared" si="4"/>
        <v>1170</v>
      </c>
      <c r="F70" s="17" t="s">
        <v>4813</v>
      </c>
      <c r="G70" s="17">
        <f>MATCH(E70,Arenas!$F$8:$F$15)</f>
        <v>4</v>
      </c>
      <c r="H70" s="29" t="s">
        <v>1440</v>
      </c>
      <c r="I70" s="33" t="s">
        <v>6037</v>
      </c>
      <c r="J70" s="47" t="s">
        <v>4548</v>
      </c>
      <c r="K70" s="61" t="s">
        <v>4779</v>
      </c>
      <c r="L70" s="12" t="str">
        <f t="shared" si="3"/>
        <v>1,1,1</v>
      </c>
    </row>
    <row r="71" spans="2:12">
      <c r="B71" s="17">
        <v>370</v>
      </c>
      <c r="C71" s="17">
        <v>1</v>
      </c>
      <c r="D71" s="17">
        <f t="shared" si="5"/>
        <v>1</v>
      </c>
      <c r="E71" s="17">
        <f t="shared" si="4"/>
        <v>1171</v>
      </c>
      <c r="F71" s="17" t="s">
        <v>4813</v>
      </c>
      <c r="G71" s="17">
        <f>MATCH(E71,Arenas!$F$8:$F$15)</f>
        <v>4</v>
      </c>
      <c r="H71" s="29" t="s">
        <v>1441</v>
      </c>
      <c r="I71" s="33" t="s">
        <v>6038</v>
      </c>
      <c r="J71" s="47" t="s">
        <v>4877</v>
      </c>
      <c r="K71" s="61" t="s">
        <v>4779</v>
      </c>
      <c r="L71" s="12" t="str">
        <f t="shared" si="3"/>
        <v>1,1,1</v>
      </c>
    </row>
    <row r="72" spans="2:12">
      <c r="B72" s="17">
        <v>371</v>
      </c>
      <c r="C72" s="17">
        <v>1</v>
      </c>
      <c r="D72" s="17">
        <f t="shared" si="5"/>
        <v>0</v>
      </c>
      <c r="E72" s="17">
        <f t="shared" si="4"/>
        <v>1171</v>
      </c>
      <c r="F72" s="17" t="s">
        <v>4813</v>
      </c>
      <c r="G72" s="17">
        <f>MATCH(E72,Arenas!$F$8:$F$15)</f>
        <v>4</v>
      </c>
      <c r="H72" s="29" t="s">
        <v>1442</v>
      </c>
      <c r="I72" s="33" t="s">
        <v>6039</v>
      </c>
      <c r="J72" s="47" t="s">
        <v>5197</v>
      </c>
      <c r="K72" s="61" t="s">
        <v>4779</v>
      </c>
      <c r="L72" s="12" t="str">
        <f t="shared" si="3"/>
        <v>1,1,1</v>
      </c>
    </row>
    <row r="73" spans="2:12">
      <c r="B73" s="17">
        <v>372</v>
      </c>
      <c r="C73" s="17">
        <v>1</v>
      </c>
      <c r="D73" s="17">
        <f t="shared" si="5"/>
        <v>0</v>
      </c>
      <c r="E73" s="17">
        <f t="shared" si="4"/>
        <v>1171</v>
      </c>
      <c r="F73" s="17" t="s">
        <v>4813</v>
      </c>
      <c r="G73" s="17">
        <f>MATCH(E73,Arenas!$F$8:$F$15)</f>
        <v>4</v>
      </c>
      <c r="H73" s="29" t="s">
        <v>1443</v>
      </c>
      <c r="I73" s="33" t="s">
        <v>6040</v>
      </c>
      <c r="J73" s="47" t="s">
        <v>4555</v>
      </c>
      <c r="K73" s="61" t="s">
        <v>4779</v>
      </c>
      <c r="L73" s="12" t="str">
        <f t="shared" si="3"/>
        <v>1,1,1</v>
      </c>
    </row>
    <row r="74" spans="2:12">
      <c r="B74" s="17">
        <v>373</v>
      </c>
      <c r="C74" s="17">
        <v>1</v>
      </c>
      <c r="D74" s="17">
        <f t="shared" si="5"/>
        <v>1</v>
      </c>
      <c r="E74" s="17">
        <f t="shared" si="4"/>
        <v>1172</v>
      </c>
      <c r="F74" s="17" t="s">
        <v>4813</v>
      </c>
      <c r="G74" s="17">
        <f>MATCH(E74,Arenas!$F$8:$F$15)</f>
        <v>4</v>
      </c>
      <c r="H74" s="29" t="s">
        <v>1444</v>
      </c>
      <c r="I74" s="33" t="s">
        <v>6041</v>
      </c>
      <c r="J74" s="47" t="s">
        <v>4550</v>
      </c>
      <c r="K74" s="61" t="s">
        <v>4779</v>
      </c>
      <c r="L74" s="12" t="str">
        <f t="shared" si="3"/>
        <v>1,1,1</v>
      </c>
    </row>
    <row r="75" spans="2:12">
      <c r="B75" s="17">
        <v>374</v>
      </c>
      <c r="C75" s="17">
        <v>1</v>
      </c>
      <c r="D75" s="17">
        <f t="shared" si="5"/>
        <v>0</v>
      </c>
      <c r="E75" s="17">
        <f t="shared" si="4"/>
        <v>1172</v>
      </c>
      <c r="F75" s="17" t="s">
        <v>4813</v>
      </c>
      <c r="G75" s="17">
        <f>MATCH(E75,Arenas!$F$8:$F$15)</f>
        <v>4</v>
      </c>
      <c r="H75" s="29" t="s">
        <v>1445</v>
      </c>
      <c r="I75" s="33" t="s">
        <v>6042</v>
      </c>
      <c r="J75" s="47" t="s">
        <v>4669</v>
      </c>
      <c r="K75" s="61" t="s">
        <v>4779</v>
      </c>
      <c r="L75" s="12" t="str">
        <f t="shared" si="3"/>
        <v>1,1,1</v>
      </c>
    </row>
    <row r="76" spans="2:12">
      <c r="B76" s="17">
        <v>375</v>
      </c>
      <c r="C76" s="17">
        <v>1</v>
      </c>
      <c r="D76" s="17">
        <f t="shared" si="5"/>
        <v>0</v>
      </c>
      <c r="E76" s="17">
        <f t="shared" si="4"/>
        <v>1172</v>
      </c>
      <c r="F76" s="17" t="s">
        <v>4813</v>
      </c>
      <c r="G76" s="17">
        <f>MATCH(E76,Arenas!$F$8:$F$15)</f>
        <v>4</v>
      </c>
      <c r="H76" s="29" t="s">
        <v>1446</v>
      </c>
      <c r="I76" s="33" t="s">
        <v>6043</v>
      </c>
      <c r="J76" s="47" t="s">
        <v>4672</v>
      </c>
      <c r="K76" s="61" t="s">
        <v>4779</v>
      </c>
      <c r="L76" s="12" t="str">
        <f t="shared" si="3"/>
        <v>1,1,1</v>
      </c>
    </row>
    <row r="77" spans="2:12">
      <c r="B77" s="17">
        <v>376</v>
      </c>
      <c r="C77" s="17">
        <v>1</v>
      </c>
      <c r="D77" s="17">
        <f t="shared" si="5"/>
        <v>1</v>
      </c>
      <c r="E77" s="17">
        <f t="shared" si="4"/>
        <v>1173</v>
      </c>
      <c r="F77" s="17" t="s">
        <v>4813</v>
      </c>
      <c r="G77" s="17">
        <f>MATCH(E77,Arenas!$F$8:$F$15)</f>
        <v>4</v>
      </c>
      <c r="H77" s="29" t="s">
        <v>1447</v>
      </c>
      <c r="I77" s="33" t="s">
        <v>6044</v>
      </c>
      <c r="J77" s="47" t="s">
        <v>4883</v>
      </c>
      <c r="K77" s="61" t="s">
        <v>4779</v>
      </c>
      <c r="L77" s="12" t="str">
        <f t="shared" si="3"/>
        <v>1,1,1</v>
      </c>
    </row>
    <row r="78" spans="2:12">
      <c r="B78" s="17">
        <v>377</v>
      </c>
      <c r="C78" s="17">
        <v>1</v>
      </c>
      <c r="D78" s="17">
        <f t="shared" si="5"/>
        <v>0</v>
      </c>
      <c r="E78" s="17">
        <f t="shared" si="4"/>
        <v>1173</v>
      </c>
      <c r="F78" s="17" t="s">
        <v>4813</v>
      </c>
      <c r="G78" s="17">
        <f>MATCH(E78,Arenas!$F$8:$F$15)</f>
        <v>4</v>
      </c>
      <c r="H78" s="29" t="s">
        <v>1448</v>
      </c>
      <c r="I78" s="33" t="s">
        <v>6045</v>
      </c>
      <c r="J78" s="47" t="s">
        <v>4556</v>
      </c>
      <c r="K78" s="61" t="s">
        <v>4779</v>
      </c>
      <c r="L78" s="12" t="str">
        <f t="shared" si="3"/>
        <v>1,1,1</v>
      </c>
    </row>
    <row r="79" spans="2:12">
      <c r="B79" s="17">
        <v>378</v>
      </c>
      <c r="C79" s="17">
        <v>1</v>
      </c>
      <c r="D79" s="17">
        <f t="shared" si="5"/>
        <v>0</v>
      </c>
      <c r="E79" s="17">
        <f t="shared" si="4"/>
        <v>1173</v>
      </c>
      <c r="F79" s="17" t="s">
        <v>4813</v>
      </c>
      <c r="G79" s="17">
        <f>MATCH(E79,Arenas!$F$8:$F$15)</f>
        <v>4</v>
      </c>
      <c r="H79" s="29" t="s">
        <v>1449</v>
      </c>
      <c r="I79" s="33" t="s">
        <v>6046</v>
      </c>
      <c r="J79" s="47" t="s">
        <v>4646</v>
      </c>
      <c r="K79" s="61" t="s">
        <v>4779</v>
      </c>
      <c r="L79" s="12" t="str">
        <f t="shared" si="3"/>
        <v>1,1,1</v>
      </c>
    </row>
    <row r="80" spans="2:12">
      <c r="B80" s="17">
        <v>379</v>
      </c>
      <c r="C80" s="17">
        <v>1</v>
      </c>
      <c r="D80" s="17">
        <f t="shared" si="5"/>
        <v>1</v>
      </c>
      <c r="E80" s="17">
        <f t="shared" si="4"/>
        <v>1174</v>
      </c>
      <c r="F80" s="17" t="s">
        <v>4813</v>
      </c>
      <c r="G80" s="17">
        <f>MATCH(E80,Arenas!$F$8:$F$15)</f>
        <v>4</v>
      </c>
      <c r="H80" s="29" t="s">
        <v>1450</v>
      </c>
      <c r="I80" s="33" t="s">
        <v>6047</v>
      </c>
      <c r="J80" s="47" t="s">
        <v>4901</v>
      </c>
      <c r="K80" s="61" t="s">
        <v>4779</v>
      </c>
      <c r="L80" s="12" t="str">
        <f t="shared" si="3"/>
        <v>1,1,1</v>
      </c>
    </row>
    <row r="81" spans="2:12">
      <c r="B81" s="17">
        <v>380</v>
      </c>
      <c r="C81" s="17">
        <v>1</v>
      </c>
      <c r="D81" s="17">
        <f t="shared" si="5"/>
        <v>0</v>
      </c>
      <c r="E81" s="17">
        <f t="shared" si="4"/>
        <v>1174</v>
      </c>
      <c r="F81" s="17" t="s">
        <v>4813</v>
      </c>
      <c r="G81" s="17">
        <f>MATCH(E81,Arenas!$F$8:$F$15)</f>
        <v>4</v>
      </c>
      <c r="H81" s="29" t="s">
        <v>1451</v>
      </c>
      <c r="I81" s="33" t="s">
        <v>6048</v>
      </c>
      <c r="J81" s="47" t="s">
        <v>4901</v>
      </c>
      <c r="K81" s="61" t="s">
        <v>4779</v>
      </c>
      <c r="L81" s="12" t="str">
        <f t="shared" si="3"/>
        <v>1,1,1</v>
      </c>
    </row>
    <row r="82" spans="2:12">
      <c r="B82" s="17">
        <v>381</v>
      </c>
      <c r="C82" s="17">
        <v>1</v>
      </c>
      <c r="D82" s="17">
        <f t="shared" si="5"/>
        <v>0</v>
      </c>
      <c r="E82" s="17">
        <f t="shared" si="4"/>
        <v>1174</v>
      </c>
      <c r="F82" s="17" t="s">
        <v>4813</v>
      </c>
      <c r="G82" s="17">
        <f>MATCH(E82,Arenas!$F$8:$F$15)</f>
        <v>4</v>
      </c>
      <c r="H82" s="29" t="s">
        <v>1452</v>
      </c>
      <c r="I82" s="33" t="s">
        <v>6049</v>
      </c>
      <c r="J82" s="47" t="s">
        <v>4574</v>
      </c>
      <c r="K82" s="61" t="s">
        <v>4779</v>
      </c>
      <c r="L82" s="12" t="str">
        <f t="shared" si="3"/>
        <v>1,1,1</v>
      </c>
    </row>
    <row r="83" spans="2:12">
      <c r="B83" s="17">
        <v>382</v>
      </c>
      <c r="C83" s="17">
        <v>1</v>
      </c>
      <c r="D83" s="17">
        <f t="shared" si="5"/>
        <v>1</v>
      </c>
      <c r="E83" s="17">
        <f t="shared" si="4"/>
        <v>1175</v>
      </c>
      <c r="F83" s="17" t="s">
        <v>4813</v>
      </c>
      <c r="G83" s="17">
        <f>MATCH(E83,Arenas!$F$8:$F$15)</f>
        <v>4</v>
      </c>
      <c r="H83" s="29" t="s">
        <v>1453</v>
      </c>
      <c r="I83" s="33" t="s">
        <v>6050</v>
      </c>
      <c r="J83" s="47" t="s">
        <v>4899</v>
      </c>
      <c r="K83" s="61" t="s">
        <v>4779</v>
      </c>
      <c r="L83" s="12" t="str">
        <f t="shared" si="3"/>
        <v>1,1,1</v>
      </c>
    </row>
    <row r="84" spans="2:12">
      <c r="B84" s="17">
        <v>383</v>
      </c>
      <c r="C84" s="17">
        <v>1</v>
      </c>
      <c r="D84" s="17">
        <f t="shared" si="5"/>
        <v>0</v>
      </c>
      <c r="E84" s="17">
        <f t="shared" si="4"/>
        <v>1175</v>
      </c>
      <c r="F84" s="17" t="s">
        <v>4813</v>
      </c>
      <c r="G84" s="17">
        <f>MATCH(E84,Arenas!$F$8:$F$15)</f>
        <v>4</v>
      </c>
      <c r="H84" s="29" t="s">
        <v>1454</v>
      </c>
      <c r="I84" s="33" t="s">
        <v>6051</v>
      </c>
      <c r="J84" s="47" t="s">
        <v>1066</v>
      </c>
      <c r="K84" s="61" t="s">
        <v>4779</v>
      </c>
      <c r="L84" s="12" t="str">
        <f t="shared" si="3"/>
        <v>1,1,1</v>
      </c>
    </row>
    <row r="85" spans="2:12">
      <c r="B85" s="17">
        <v>384</v>
      </c>
      <c r="C85" s="17">
        <v>1</v>
      </c>
      <c r="D85" s="17">
        <f t="shared" si="5"/>
        <v>0</v>
      </c>
      <c r="E85" s="17">
        <f t="shared" si="4"/>
        <v>1175</v>
      </c>
      <c r="F85" s="17" t="s">
        <v>4813</v>
      </c>
      <c r="G85" s="17">
        <f>MATCH(E85,Arenas!$F$8:$F$15)</f>
        <v>4</v>
      </c>
      <c r="H85" s="29" t="s">
        <v>1455</v>
      </c>
      <c r="I85" s="33" t="s">
        <v>6052</v>
      </c>
      <c r="J85" s="47" t="s">
        <v>4859</v>
      </c>
      <c r="K85" s="61" t="s">
        <v>4779</v>
      </c>
      <c r="L85" s="12" t="str">
        <f t="shared" si="3"/>
        <v>1,1,1</v>
      </c>
    </row>
    <row r="86" spans="2:12">
      <c r="B86" s="17">
        <v>385</v>
      </c>
      <c r="C86" s="17">
        <v>1</v>
      </c>
      <c r="D86" s="17">
        <f t="shared" si="5"/>
        <v>1</v>
      </c>
      <c r="E86" s="17">
        <f t="shared" si="4"/>
        <v>1176</v>
      </c>
      <c r="F86" s="17" t="s">
        <v>4813</v>
      </c>
      <c r="G86" s="17">
        <f>MATCH(E86,Arenas!$F$8:$F$15)</f>
        <v>4</v>
      </c>
      <c r="H86" s="29" t="s">
        <v>1456</v>
      </c>
      <c r="I86" s="33" t="s">
        <v>6053</v>
      </c>
      <c r="J86" s="47" t="s">
        <v>4860</v>
      </c>
      <c r="K86" s="61" t="s">
        <v>4779</v>
      </c>
      <c r="L86" s="12" t="str">
        <f t="shared" si="3"/>
        <v>1,1,1</v>
      </c>
    </row>
    <row r="87" spans="2:12">
      <c r="B87" s="17">
        <v>386</v>
      </c>
      <c r="C87" s="17">
        <v>1</v>
      </c>
      <c r="D87" s="17">
        <f t="shared" si="5"/>
        <v>0</v>
      </c>
      <c r="E87" s="17">
        <f t="shared" si="4"/>
        <v>1176</v>
      </c>
      <c r="F87" s="17" t="s">
        <v>4813</v>
      </c>
      <c r="G87" s="17">
        <f>MATCH(E87,Arenas!$F$8:$F$15)</f>
        <v>4</v>
      </c>
      <c r="H87" s="29" t="s">
        <v>1457</v>
      </c>
      <c r="I87" s="33" t="s">
        <v>6054</v>
      </c>
      <c r="J87" s="47" t="s">
        <v>4653</v>
      </c>
      <c r="K87" s="61" t="s">
        <v>4779</v>
      </c>
      <c r="L87" s="12" t="str">
        <f t="shared" si="3"/>
        <v>1,1,1</v>
      </c>
    </row>
    <row r="88" spans="2:12">
      <c r="B88" s="17">
        <v>387</v>
      </c>
      <c r="C88" s="17">
        <v>1</v>
      </c>
      <c r="D88" s="17">
        <f t="shared" si="5"/>
        <v>0</v>
      </c>
      <c r="E88" s="17">
        <f t="shared" si="4"/>
        <v>1176</v>
      </c>
      <c r="F88" s="17" t="s">
        <v>4813</v>
      </c>
      <c r="G88" s="17">
        <f>MATCH(E88,Arenas!$F$8:$F$15)</f>
        <v>4</v>
      </c>
      <c r="H88" s="29" t="s">
        <v>1458</v>
      </c>
      <c r="I88" s="33" t="s">
        <v>6055</v>
      </c>
      <c r="J88" s="47" t="s">
        <v>4578</v>
      </c>
      <c r="K88" s="61" t="s">
        <v>4779</v>
      </c>
      <c r="L88" s="12" t="str">
        <f t="shared" si="3"/>
        <v>1,1,1</v>
      </c>
    </row>
    <row r="89" spans="2:12">
      <c r="B89" s="17">
        <v>388</v>
      </c>
      <c r="C89" s="17">
        <v>1</v>
      </c>
      <c r="D89" s="17">
        <f t="shared" si="5"/>
        <v>1</v>
      </c>
      <c r="E89" s="17">
        <f t="shared" si="4"/>
        <v>1177</v>
      </c>
      <c r="F89" s="17" t="s">
        <v>4813</v>
      </c>
      <c r="G89" s="17">
        <f>MATCH(E89,Arenas!$F$8:$F$15)</f>
        <v>4</v>
      </c>
      <c r="H89" s="29" t="s">
        <v>1459</v>
      </c>
      <c r="I89" s="33" t="s">
        <v>6056</v>
      </c>
      <c r="J89" s="47" t="s">
        <v>6057</v>
      </c>
      <c r="K89" s="61" t="s">
        <v>4779</v>
      </c>
      <c r="L89" s="12" t="str">
        <f t="shared" si="3"/>
        <v>1,1,1</v>
      </c>
    </row>
    <row r="90" spans="2:12">
      <c r="B90" s="17">
        <v>389</v>
      </c>
      <c r="C90" s="17">
        <v>1</v>
      </c>
      <c r="D90" s="17">
        <f t="shared" si="5"/>
        <v>0</v>
      </c>
      <c r="E90" s="17">
        <f t="shared" si="4"/>
        <v>1177</v>
      </c>
      <c r="F90" s="17" t="s">
        <v>4813</v>
      </c>
      <c r="G90" s="17">
        <f>MATCH(E90,Arenas!$F$8:$F$15)</f>
        <v>4</v>
      </c>
      <c r="H90" s="29" t="s">
        <v>1460</v>
      </c>
      <c r="I90" s="33" t="s">
        <v>6058</v>
      </c>
      <c r="J90" s="47" t="s">
        <v>4868</v>
      </c>
      <c r="K90" s="61" t="s">
        <v>4779</v>
      </c>
      <c r="L90" s="12" t="str">
        <f t="shared" si="3"/>
        <v>1,1,1</v>
      </c>
    </row>
    <row r="91" spans="2:12">
      <c r="B91" s="17">
        <v>390</v>
      </c>
      <c r="C91" s="17">
        <v>1</v>
      </c>
      <c r="D91" s="17">
        <f t="shared" si="5"/>
        <v>0</v>
      </c>
      <c r="E91" s="17">
        <f t="shared" si="4"/>
        <v>1177</v>
      </c>
      <c r="F91" s="17" t="s">
        <v>4813</v>
      </c>
      <c r="G91" s="17">
        <f>MATCH(E91,Arenas!$F$8:$F$15)</f>
        <v>4</v>
      </c>
      <c r="H91" s="29" t="s">
        <v>1461</v>
      </c>
      <c r="I91" s="33" t="s">
        <v>6059</v>
      </c>
      <c r="J91" s="47" t="s">
        <v>4878</v>
      </c>
      <c r="K91" s="61" t="s">
        <v>4779</v>
      </c>
      <c r="L91" s="12" t="str">
        <f t="shared" si="3"/>
        <v>1,1,1</v>
      </c>
    </row>
    <row r="92" spans="2:12">
      <c r="B92" s="17">
        <v>391</v>
      </c>
      <c r="C92" s="17">
        <v>1</v>
      </c>
      <c r="D92" s="17">
        <f t="shared" si="5"/>
        <v>1</v>
      </c>
      <c r="E92" s="17">
        <f t="shared" si="4"/>
        <v>1178</v>
      </c>
      <c r="F92" s="17" t="s">
        <v>4813</v>
      </c>
      <c r="G92" s="17">
        <f>MATCH(E92,Arenas!$F$8:$F$15)</f>
        <v>4</v>
      </c>
      <c r="H92" s="29" t="s">
        <v>1462</v>
      </c>
      <c r="I92" s="33" t="s">
        <v>6060</v>
      </c>
      <c r="J92" s="47" t="s">
        <v>4880</v>
      </c>
      <c r="K92" s="61" t="s">
        <v>4779</v>
      </c>
      <c r="L92" s="12" t="str">
        <f t="shared" si="3"/>
        <v>1,1,1</v>
      </c>
    </row>
    <row r="93" spans="2:12">
      <c r="B93" s="17">
        <v>392</v>
      </c>
      <c r="C93" s="17">
        <v>1</v>
      </c>
      <c r="D93" s="17">
        <f t="shared" si="5"/>
        <v>0</v>
      </c>
      <c r="E93" s="17">
        <f t="shared" si="4"/>
        <v>1178</v>
      </c>
      <c r="F93" s="17" t="s">
        <v>4813</v>
      </c>
      <c r="G93" s="17">
        <f>MATCH(E93,Arenas!$F$8:$F$15)</f>
        <v>4</v>
      </c>
      <c r="H93" s="29" t="s">
        <v>1463</v>
      </c>
      <c r="I93" s="33" t="s">
        <v>6061</v>
      </c>
      <c r="J93" s="47" t="s">
        <v>4553</v>
      </c>
      <c r="K93" s="61" t="s">
        <v>4779</v>
      </c>
      <c r="L93" s="12" t="str">
        <f t="shared" si="3"/>
        <v>1,1,1</v>
      </c>
    </row>
    <row r="94" spans="2:12">
      <c r="B94" s="17">
        <v>393</v>
      </c>
      <c r="C94" s="17">
        <v>1</v>
      </c>
      <c r="D94" s="17">
        <f t="shared" si="5"/>
        <v>0</v>
      </c>
      <c r="E94" s="17">
        <f t="shared" si="4"/>
        <v>1178</v>
      </c>
      <c r="F94" s="17" t="s">
        <v>4813</v>
      </c>
      <c r="G94" s="17">
        <f>MATCH(E94,Arenas!$F$8:$F$15)</f>
        <v>4</v>
      </c>
      <c r="H94" s="29" t="s">
        <v>1464</v>
      </c>
      <c r="I94" s="33" t="s">
        <v>6062</v>
      </c>
      <c r="J94" s="47" t="s">
        <v>4616</v>
      </c>
      <c r="K94" s="61" t="s">
        <v>4779</v>
      </c>
      <c r="L94" s="12" t="str">
        <f t="shared" si="3"/>
        <v>1,1,1</v>
      </c>
    </row>
    <row r="95" spans="2:12">
      <c r="B95" s="17">
        <v>394</v>
      </c>
      <c r="C95" s="17">
        <v>1</v>
      </c>
      <c r="D95" s="17">
        <f t="shared" si="5"/>
        <v>1</v>
      </c>
      <c r="E95" s="17">
        <f t="shared" si="4"/>
        <v>1179</v>
      </c>
      <c r="F95" s="17" t="s">
        <v>4813</v>
      </c>
      <c r="G95" s="17">
        <f>MATCH(E95,Arenas!$F$8:$F$15)</f>
        <v>4</v>
      </c>
      <c r="H95" s="29" t="s">
        <v>1465</v>
      </c>
      <c r="I95" s="33" t="s">
        <v>6063</v>
      </c>
      <c r="J95" s="47" t="s">
        <v>4596</v>
      </c>
      <c r="K95" s="61" t="s">
        <v>4779</v>
      </c>
      <c r="L95" s="12" t="str">
        <f t="shared" si="3"/>
        <v>1,1,1</v>
      </c>
    </row>
    <row r="96" spans="2:12">
      <c r="B96" s="17">
        <v>395</v>
      </c>
      <c r="C96" s="17">
        <v>1</v>
      </c>
      <c r="D96" s="17">
        <f t="shared" si="5"/>
        <v>0</v>
      </c>
      <c r="E96" s="17">
        <f t="shared" si="4"/>
        <v>1179</v>
      </c>
      <c r="F96" s="17" t="s">
        <v>4813</v>
      </c>
      <c r="G96" s="17">
        <f>MATCH(E96,Arenas!$F$8:$F$15)</f>
        <v>4</v>
      </c>
      <c r="H96" s="29" t="s">
        <v>1466</v>
      </c>
      <c r="I96" s="33" t="s">
        <v>6064</v>
      </c>
      <c r="J96" s="47" t="s">
        <v>4568</v>
      </c>
      <c r="K96" s="61" t="s">
        <v>4779</v>
      </c>
      <c r="L96" s="12" t="str">
        <f t="shared" si="3"/>
        <v>1,1,1</v>
      </c>
    </row>
    <row r="97" spans="2:12">
      <c r="B97" s="17">
        <v>396</v>
      </c>
      <c r="C97" s="17">
        <v>1</v>
      </c>
      <c r="D97" s="17">
        <f t="shared" si="5"/>
        <v>0</v>
      </c>
      <c r="E97" s="17">
        <f t="shared" si="4"/>
        <v>1179</v>
      </c>
      <c r="F97" s="17" t="s">
        <v>4813</v>
      </c>
      <c r="G97" s="17">
        <f>MATCH(E97,Arenas!$F$8:$F$15)</f>
        <v>4</v>
      </c>
      <c r="H97" s="29" t="s">
        <v>1467</v>
      </c>
      <c r="I97" s="33" t="s">
        <v>6065</v>
      </c>
      <c r="J97" s="47" t="s">
        <v>4891</v>
      </c>
      <c r="K97" s="61" t="s">
        <v>4779</v>
      </c>
      <c r="L97" s="12" t="str">
        <f t="shared" si="3"/>
        <v>1,1,1</v>
      </c>
    </row>
    <row r="98" spans="2:12">
      <c r="B98" s="17">
        <v>397</v>
      </c>
      <c r="C98" s="17">
        <v>1</v>
      </c>
      <c r="D98" s="17">
        <f t="shared" si="5"/>
        <v>1</v>
      </c>
      <c r="E98" s="17">
        <f t="shared" si="4"/>
        <v>1180</v>
      </c>
      <c r="F98" s="17" t="s">
        <v>4813</v>
      </c>
      <c r="G98" s="17">
        <f>MATCH(E98,Arenas!$F$8:$F$15)</f>
        <v>4</v>
      </c>
      <c r="H98" s="29" t="s">
        <v>1468</v>
      </c>
      <c r="I98" s="33" t="s">
        <v>6066</v>
      </c>
      <c r="J98" s="47" t="s">
        <v>1071</v>
      </c>
      <c r="K98" s="61" t="s">
        <v>4779</v>
      </c>
      <c r="L98" s="12" t="str">
        <f t="shared" si="3"/>
        <v>1,1,1</v>
      </c>
    </row>
    <row r="99" spans="2:12">
      <c r="B99" s="17">
        <v>398</v>
      </c>
      <c r="C99" s="17">
        <v>1</v>
      </c>
      <c r="D99" s="17">
        <f t="shared" si="5"/>
        <v>0</v>
      </c>
      <c r="E99" s="17">
        <f t="shared" si="4"/>
        <v>1180</v>
      </c>
      <c r="F99" s="17" t="s">
        <v>4813</v>
      </c>
      <c r="G99" s="17">
        <f>MATCH(E99,Arenas!$F$8:$F$15)</f>
        <v>4</v>
      </c>
      <c r="H99" s="29" t="s">
        <v>1469</v>
      </c>
      <c r="I99" s="33" t="s">
        <v>6067</v>
      </c>
      <c r="J99" s="47" t="s">
        <v>4556</v>
      </c>
      <c r="K99" s="61" t="s">
        <v>4779</v>
      </c>
      <c r="L99" s="12" t="str">
        <f t="shared" si="3"/>
        <v>1,1,1</v>
      </c>
    </row>
    <row r="100" spans="2:12">
      <c r="B100" s="17">
        <v>399</v>
      </c>
      <c r="C100" s="17">
        <v>1</v>
      </c>
      <c r="D100" s="17">
        <f t="shared" si="5"/>
        <v>0</v>
      </c>
      <c r="E100" s="17">
        <f t="shared" si="4"/>
        <v>1180</v>
      </c>
      <c r="F100" s="17" t="s">
        <v>4813</v>
      </c>
      <c r="G100" s="17">
        <f>MATCH(E100,Arenas!$F$8:$F$15)</f>
        <v>4</v>
      </c>
      <c r="H100" s="29" t="s">
        <v>1470</v>
      </c>
      <c r="I100" s="33" t="s">
        <v>6068</v>
      </c>
      <c r="J100" s="47" t="s">
        <v>4556</v>
      </c>
      <c r="K100" s="61" t="s">
        <v>4779</v>
      </c>
      <c r="L100" s="12" t="str">
        <f t="shared" si="3"/>
        <v>1,1,1</v>
      </c>
    </row>
    <row r="101" spans="2:12">
      <c r="B101" s="17">
        <v>400</v>
      </c>
      <c r="C101" s="17">
        <v>1</v>
      </c>
      <c r="D101" s="17">
        <f t="shared" si="5"/>
        <v>1</v>
      </c>
      <c r="E101" s="17">
        <f t="shared" si="4"/>
        <v>1181</v>
      </c>
      <c r="F101" s="17" t="s">
        <v>4813</v>
      </c>
      <c r="G101" s="17">
        <f>MATCH(E101,Arenas!$F$8:$F$15)</f>
        <v>4</v>
      </c>
      <c r="H101" s="29" t="s">
        <v>1471</v>
      </c>
      <c r="I101" s="33" t="s">
        <v>6069</v>
      </c>
      <c r="J101" s="47" t="s">
        <v>4566</v>
      </c>
      <c r="K101" s="61" t="s">
        <v>4779</v>
      </c>
      <c r="L101" s="12" t="str">
        <f t="shared" si="3"/>
        <v>1,1,1</v>
      </c>
    </row>
    <row r="102" spans="2:12">
      <c r="B102" s="17">
        <v>401</v>
      </c>
      <c r="C102" s="17">
        <v>1</v>
      </c>
      <c r="D102" s="17">
        <f t="shared" si="5"/>
        <v>0</v>
      </c>
      <c r="E102" s="17">
        <f t="shared" si="4"/>
        <v>1181</v>
      </c>
      <c r="F102" s="17" t="s">
        <v>4813</v>
      </c>
      <c r="G102" s="17">
        <f>MATCH(E102,Arenas!$F$8:$F$15)</f>
        <v>4</v>
      </c>
      <c r="H102" s="29" t="s">
        <v>1472</v>
      </c>
      <c r="I102" s="33" t="s">
        <v>6070</v>
      </c>
      <c r="J102" s="47" t="s">
        <v>4672</v>
      </c>
      <c r="K102" s="61" t="s">
        <v>4779</v>
      </c>
      <c r="L102" s="12" t="str">
        <f t="shared" si="3"/>
        <v>1,1,1</v>
      </c>
    </row>
    <row r="103" spans="2:12">
      <c r="B103" s="17">
        <v>402</v>
      </c>
      <c r="C103" s="17">
        <v>1</v>
      </c>
      <c r="D103" s="17">
        <f t="shared" si="5"/>
        <v>0</v>
      </c>
      <c r="E103" s="17">
        <f t="shared" si="4"/>
        <v>1181</v>
      </c>
      <c r="F103" s="17" t="s">
        <v>4813</v>
      </c>
      <c r="G103" s="17">
        <f>MATCH(E103,Arenas!$F$8:$F$15)</f>
        <v>4</v>
      </c>
      <c r="H103" s="29" t="s">
        <v>1473</v>
      </c>
      <c r="I103" s="33" t="s">
        <v>6071</v>
      </c>
      <c r="J103" s="47" t="s">
        <v>4676</v>
      </c>
      <c r="K103" s="61" t="s">
        <v>4779</v>
      </c>
      <c r="L103" s="12" t="str">
        <f t="shared" si="3"/>
        <v>1,1,1</v>
      </c>
    </row>
    <row r="104" spans="2:12">
      <c r="B104" s="17">
        <v>403</v>
      </c>
      <c r="C104" s="17">
        <v>1</v>
      </c>
      <c r="D104" s="17">
        <f t="shared" si="5"/>
        <v>1</v>
      </c>
      <c r="E104" s="17">
        <f t="shared" si="4"/>
        <v>1182</v>
      </c>
      <c r="F104" s="17" t="s">
        <v>4813</v>
      </c>
      <c r="G104" s="17">
        <f>MATCH(E104,Arenas!$F$8:$F$15)</f>
        <v>4</v>
      </c>
      <c r="H104" s="29" t="s">
        <v>1474</v>
      </c>
      <c r="I104" s="33" t="s">
        <v>6072</v>
      </c>
      <c r="J104" s="47" t="s">
        <v>1070</v>
      </c>
      <c r="K104" s="61" t="s">
        <v>4779</v>
      </c>
      <c r="L104" s="12" t="str">
        <f t="shared" si="3"/>
        <v>1,1,1</v>
      </c>
    </row>
    <row r="105" spans="2:12">
      <c r="B105" s="17">
        <v>404</v>
      </c>
      <c r="C105" s="17">
        <v>1</v>
      </c>
      <c r="D105" s="17">
        <f t="shared" si="5"/>
        <v>0</v>
      </c>
      <c r="E105" s="17">
        <f t="shared" si="4"/>
        <v>1182</v>
      </c>
      <c r="F105" s="17" t="s">
        <v>4813</v>
      </c>
      <c r="G105" s="17">
        <f>MATCH(E105,Arenas!$F$8:$F$15)</f>
        <v>4</v>
      </c>
      <c r="H105" s="29" t="s">
        <v>1475</v>
      </c>
      <c r="I105" s="33" t="s">
        <v>6073</v>
      </c>
      <c r="J105" s="47" t="s">
        <v>4566</v>
      </c>
      <c r="K105" s="61" t="s">
        <v>4779</v>
      </c>
      <c r="L105" s="12" t="str">
        <f t="shared" si="3"/>
        <v>1,1,1</v>
      </c>
    </row>
    <row r="106" spans="2:12">
      <c r="B106" s="17">
        <v>405</v>
      </c>
      <c r="C106" s="17">
        <v>1</v>
      </c>
      <c r="D106" s="17">
        <f t="shared" si="5"/>
        <v>0</v>
      </c>
      <c r="E106" s="17">
        <f t="shared" si="4"/>
        <v>1182</v>
      </c>
      <c r="F106" s="17" t="s">
        <v>4813</v>
      </c>
      <c r="G106" s="17">
        <f>MATCH(E106,Arenas!$F$8:$F$15)</f>
        <v>4</v>
      </c>
      <c r="H106" s="29" t="s">
        <v>1476</v>
      </c>
      <c r="I106" s="33" t="s">
        <v>5183</v>
      </c>
      <c r="J106" s="47" t="s">
        <v>4900</v>
      </c>
      <c r="K106" s="61" t="s">
        <v>4779</v>
      </c>
      <c r="L106" s="12" t="str">
        <f t="shared" si="3"/>
        <v>1,1,1</v>
      </c>
    </row>
    <row r="107" spans="2:12">
      <c r="B107" s="17">
        <v>406</v>
      </c>
      <c r="C107" s="17">
        <v>1</v>
      </c>
      <c r="D107" s="17">
        <f t="shared" si="5"/>
        <v>1</v>
      </c>
      <c r="E107" s="17">
        <f t="shared" si="4"/>
        <v>1183</v>
      </c>
      <c r="F107" s="17" t="s">
        <v>4813</v>
      </c>
      <c r="G107" s="17">
        <f>MATCH(E107,Arenas!$F$8:$F$15)</f>
        <v>4</v>
      </c>
      <c r="H107" s="29" t="s">
        <v>1477</v>
      </c>
      <c r="I107" s="33" t="s">
        <v>6074</v>
      </c>
      <c r="J107" s="47" t="s">
        <v>4849</v>
      </c>
      <c r="K107" s="61" t="s">
        <v>4779</v>
      </c>
      <c r="L107" s="12" t="str">
        <f t="shared" si="3"/>
        <v>1,1,1</v>
      </c>
    </row>
    <row r="108" spans="2:12">
      <c r="B108" s="17">
        <v>407</v>
      </c>
      <c r="C108" s="17">
        <v>1</v>
      </c>
      <c r="D108" s="17">
        <f t="shared" si="5"/>
        <v>0</v>
      </c>
      <c r="E108" s="17">
        <f t="shared" si="4"/>
        <v>1183</v>
      </c>
      <c r="F108" s="17" t="s">
        <v>4813</v>
      </c>
      <c r="G108" s="17">
        <f>MATCH(E108,Arenas!$F$8:$F$15)</f>
        <v>4</v>
      </c>
      <c r="H108" s="29" t="s">
        <v>1478</v>
      </c>
      <c r="I108" s="33" t="s">
        <v>6075</v>
      </c>
      <c r="J108" s="47" t="s">
        <v>4554</v>
      </c>
      <c r="K108" s="61" t="s">
        <v>4779</v>
      </c>
      <c r="L108" s="12" t="str">
        <f t="shared" si="3"/>
        <v>1,1,1</v>
      </c>
    </row>
    <row r="109" spans="2:12">
      <c r="B109" s="17">
        <v>408</v>
      </c>
      <c r="C109" s="17">
        <v>1</v>
      </c>
      <c r="D109" s="17">
        <f t="shared" si="5"/>
        <v>0</v>
      </c>
      <c r="E109" s="17">
        <f t="shared" si="4"/>
        <v>1183</v>
      </c>
      <c r="F109" s="17" t="s">
        <v>4813</v>
      </c>
      <c r="G109" s="17">
        <f>MATCH(E109,Arenas!$F$8:$F$15)</f>
        <v>4</v>
      </c>
      <c r="H109" s="29" t="s">
        <v>1479</v>
      </c>
      <c r="I109" s="33" t="s">
        <v>6076</v>
      </c>
      <c r="J109" s="47" t="s">
        <v>4549</v>
      </c>
      <c r="K109" s="61" t="s">
        <v>4779</v>
      </c>
      <c r="L109" s="12" t="str">
        <f t="shared" si="3"/>
        <v>1,1,1</v>
      </c>
    </row>
    <row r="110" spans="2:12">
      <c r="B110" s="17">
        <v>409</v>
      </c>
      <c r="C110" s="17">
        <v>1</v>
      </c>
      <c r="D110" s="17">
        <f t="shared" si="5"/>
        <v>1</v>
      </c>
      <c r="E110" s="17">
        <f t="shared" si="4"/>
        <v>1184</v>
      </c>
      <c r="F110" s="17" t="s">
        <v>4813</v>
      </c>
      <c r="G110" s="17">
        <f>MATCH(E110,Arenas!$F$8:$F$15)</f>
        <v>4</v>
      </c>
      <c r="H110" s="29" t="s">
        <v>1480</v>
      </c>
      <c r="I110" s="33" t="s">
        <v>6077</v>
      </c>
      <c r="J110" s="47" t="s">
        <v>4575</v>
      </c>
      <c r="K110" s="61" t="s">
        <v>4779</v>
      </c>
      <c r="L110" s="12" t="str">
        <f t="shared" si="3"/>
        <v>1,1,1</v>
      </c>
    </row>
    <row r="111" spans="2:12">
      <c r="B111" s="17">
        <v>410</v>
      </c>
      <c r="C111" s="17">
        <v>1</v>
      </c>
      <c r="D111" s="17">
        <f t="shared" si="5"/>
        <v>0</v>
      </c>
      <c r="E111" s="17">
        <f t="shared" si="4"/>
        <v>1184</v>
      </c>
      <c r="F111" s="17" t="s">
        <v>4813</v>
      </c>
      <c r="G111" s="17">
        <f>MATCH(E111,Arenas!$F$8:$F$15)</f>
        <v>4</v>
      </c>
      <c r="H111" s="29" t="s">
        <v>1481</v>
      </c>
      <c r="I111" s="33" t="s">
        <v>6078</v>
      </c>
      <c r="J111" s="47" t="s">
        <v>4627</v>
      </c>
      <c r="K111" s="61" t="s">
        <v>4779</v>
      </c>
      <c r="L111" s="12" t="str">
        <f t="shared" si="3"/>
        <v>1,1,1</v>
      </c>
    </row>
    <row r="112" spans="2:12">
      <c r="B112" s="17">
        <v>411</v>
      </c>
      <c r="C112" s="17">
        <v>1</v>
      </c>
      <c r="D112" s="17">
        <f t="shared" si="5"/>
        <v>0</v>
      </c>
      <c r="E112" s="17">
        <f t="shared" si="4"/>
        <v>1184</v>
      </c>
      <c r="F112" s="17" t="s">
        <v>4813</v>
      </c>
      <c r="G112" s="17">
        <f>MATCH(E112,Arenas!$F$8:$F$15)</f>
        <v>4</v>
      </c>
      <c r="H112" s="29" t="s">
        <v>1482</v>
      </c>
      <c r="I112" s="33" t="s">
        <v>6079</v>
      </c>
      <c r="J112" s="47" t="s">
        <v>4860</v>
      </c>
      <c r="K112" s="61" t="s">
        <v>4779</v>
      </c>
      <c r="L112" s="12" t="str">
        <f t="shared" si="3"/>
        <v>1,1,1</v>
      </c>
    </row>
    <row r="113" spans="2:12">
      <c r="B113" s="17">
        <v>412</v>
      </c>
      <c r="C113" s="17">
        <v>1</v>
      </c>
      <c r="D113" s="17">
        <f t="shared" si="5"/>
        <v>1</v>
      </c>
      <c r="E113" s="17">
        <f t="shared" si="4"/>
        <v>1185</v>
      </c>
      <c r="F113" s="17" t="s">
        <v>4813</v>
      </c>
      <c r="G113" s="17">
        <f>MATCH(E113,Arenas!$F$8:$F$15)</f>
        <v>4</v>
      </c>
      <c r="H113" s="29" t="s">
        <v>1483</v>
      </c>
      <c r="I113" s="33" t="s">
        <v>6080</v>
      </c>
      <c r="J113" s="47" t="s">
        <v>4882</v>
      </c>
      <c r="K113" s="61" t="s">
        <v>4779</v>
      </c>
      <c r="L113" s="12" t="str">
        <f t="shared" si="3"/>
        <v>1,1,1</v>
      </c>
    </row>
    <row r="114" spans="2:12">
      <c r="B114" s="17">
        <v>413</v>
      </c>
      <c r="C114" s="17">
        <v>1</v>
      </c>
      <c r="D114" s="17">
        <f t="shared" si="5"/>
        <v>0</v>
      </c>
      <c r="E114" s="17">
        <f t="shared" si="4"/>
        <v>1185</v>
      </c>
      <c r="F114" s="17" t="s">
        <v>4813</v>
      </c>
      <c r="G114" s="17">
        <f>MATCH(E114,Arenas!$F$8:$F$15)</f>
        <v>4</v>
      </c>
      <c r="H114" s="29" t="s">
        <v>1484</v>
      </c>
      <c r="I114" s="33" t="s">
        <v>6081</v>
      </c>
      <c r="J114" s="47" t="s">
        <v>4874</v>
      </c>
      <c r="K114" s="61" t="s">
        <v>4779</v>
      </c>
      <c r="L114" s="12" t="str">
        <f t="shared" si="3"/>
        <v>1,1,1</v>
      </c>
    </row>
    <row r="115" spans="2:12">
      <c r="B115" s="17">
        <v>414</v>
      </c>
      <c r="C115" s="17">
        <v>1</v>
      </c>
      <c r="D115" s="17">
        <f t="shared" si="5"/>
        <v>0</v>
      </c>
      <c r="E115" s="17">
        <f t="shared" si="4"/>
        <v>1185</v>
      </c>
      <c r="F115" s="17" t="s">
        <v>4813</v>
      </c>
      <c r="G115" s="17">
        <f>MATCH(E115,Arenas!$F$8:$F$15)</f>
        <v>4</v>
      </c>
      <c r="H115" s="29" t="s">
        <v>1485</v>
      </c>
      <c r="I115" s="33" t="s">
        <v>6082</v>
      </c>
      <c r="J115" s="47" t="s">
        <v>4851</v>
      </c>
      <c r="K115" s="61" t="s">
        <v>4779</v>
      </c>
      <c r="L115" s="12" t="str">
        <f t="shared" si="3"/>
        <v>1,1,1</v>
      </c>
    </row>
    <row r="116" spans="2:12">
      <c r="B116" s="17">
        <v>415</v>
      </c>
      <c r="C116" s="17">
        <v>1</v>
      </c>
      <c r="D116" s="17">
        <f t="shared" si="5"/>
        <v>1</v>
      </c>
      <c r="E116" s="17">
        <f t="shared" si="4"/>
        <v>1186</v>
      </c>
      <c r="F116" s="17" t="s">
        <v>4813</v>
      </c>
      <c r="G116" s="17">
        <f>MATCH(E116,Arenas!$F$8:$F$15)</f>
        <v>4</v>
      </c>
      <c r="H116" s="29" t="s">
        <v>1486</v>
      </c>
      <c r="I116" s="33" t="s">
        <v>6083</v>
      </c>
      <c r="J116" s="47" t="s">
        <v>4860</v>
      </c>
      <c r="K116" s="61" t="s">
        <v>4779</v>
      </c>
      <c r="L116" s="12" t="str">
        <f t="shared" si="3"/>
        <v>1,1,1</v>
      </c>
    </row>
    <row r="117" spans="2:12">
      <c r="B117" s="17">
        <v>416</v>
      </c>
      <c r="C117" s="17">
        <v>1</v>
      </c>
      <c r="D117" s="17">
        <f t="shared" si="5"/>
        <v>0</v>
      </c>
      <c r="E117" s="17">
        <f t="shared" si="4"/>
        <v>1186</v>
      </c>
      <c r="F117" s="17" t="s">
        <v>4813</v>
      </c>
      <c r="G117" s="17">
        <f>MATCH(E117,Arenas!$F$8:$F$15)</f>
        <v>4</v>
      </c>
      <c r="H117" s="29" t="s">
        <v>1487</v>
      </c>
      <c r="I117" s="33" t="s">
        <v>6084</v>
      </c>
      <c r="J117" s="47" t="s">
        <v>4849</v>
      </c>
      <c r="K117" s="61" t="s">
        <v>4779</v>
      </c>
      <c r="L117" s="12" t="str">
        <f t="shared" si="3"/>
        <v>1,1,1</v>
      </c>
    </row>
    <row r="118" spans="2:12">
      <c r="B118" s="17">
        <v>417</v>
      </c>
      <c r="C118" s="17">
        <v>1</v>
      </c>
      <c r="D118" s="17">
        <f t="shared" si="5"/>
        <v>0</v>
      </c>
      <c r="E118" s="17">
        <f t="shared" si="4"/>
        <v>1186</v>
      </c>
      <c r="F118" s="17" t="s">
        <v>4813</v>
      </c>
      <c r="G118" s="17">
        <f>MATCH(E118,Arenas!$F$8:$F$15)</f>
        <v>4</v>
      </c>
      <c r="H118" s="29" t="s">
        <v>1488</v>
      </c>
      <c r="I118" s="33" t="s">
        <v>6085</v>
      </c>
      <c r="J118" s="47" t="s">
        <v>4627</v>
      </c>
      <c r="K118" s="61" t="s">
        <v>4779</v>
      </c>
      <c r="L118" s="12" t="str">
        <f t="shared" si="3"/>
        <v>1,1,1</v>
      </c>
    </row>
    <row r="119" spans="2:12">
      <c r="B119" s="17">
        <v>418</v>
      </c>
      <c r="C119" s="17">
        <v>1</v>
      </c>
      <c r="D119" s="17">
        <f t="shared" si="5"/>
        <v>1</v>
      </c>
      <c r="E119" s="17">
        <f t="shared" si="4"/>
        <v>1187</v>
      </c>
      <c r="F119" s="17" t="s">
        <v>4813</v>
      </c>
      <c r="G119" s="17">
        <f>MATCH(E119,Arenas!$F$8:$F$15)</f>
        <v>4</v>
      </c>
      <c r="H119" s="29" t="s">
        <v>1489</v>
      </c>
      <c r="I119" s="33" t="s">
        <v>6086</v>
      </c>
      <c r="J119" s="47" t="s">
        <v>4627</v>
      </c>
      <c r="K119" s="61" t="s">
        <v>4779</v>
      </c>
      <c r="L119" s="12" t="str">
        <f t="shared" si="3"/>
        <v>1,1,1</v>
      </c>
    </row>
    <row r="120" spans="2:12">
      <c r="B120" s="17">
        <v>419</v>
      </c>
      <c r="C120" s="17">
        <v>1</v>
      </c>
      <c r="D120" s="17">
        <f t="shared" si="5"/>
        <v>0</v>
      </c>
      <c r="E120" s="17">
        <f t="shared" si="4"/>
        <v>1187</v>
      </c>
      <c r="F120" s="17" t="s">
        <v>4813</v>
      </c>
      <c r="G120" s="17">
        <f>MATCH(E120,Arenas!$F$8:$F$15)</f>
        <v>4</v>
      </c>
      <c r="H120" s="29" t="s">
        <v>1490</v>
      </c>
      <c r="I120" s="33" t="s">
        <v>6087</v>
      </c>
      <c r="J120" s="47" t="s">
        <v>1066</v>
      </c>
      <c r="K120" s="61" t="s">
        <v>4779</v>
      </c>
      <c r="L120" s="12" t="str">
        <f t="shared" si="3"/>
        <v>1,1,1</v>
      </c>
    </row>
    <row r="121" spans="2:12">
      <c r="B121" s="17">
        <v>420</v>
      </c>
      <c r="C121" s="17">
        <v>1</v>
      </c>
      <c r="D121" s="17">
        <f t="shared" si="5"/>
        <v>0</v>
      </c>
      <c r="E121" s="17">
        <f t="shared" si="4"/>
        <v>1187</v>
      </c>
      <c r="F121" s="17" t="s">
        <v>4813</v>
      </c>
      <c r="G121" s="17">
        <f>MATCH(E121,Arenas!$F$8:$F$15)</f>
        <v>4</v>
      </c>
      <c r="H121" s="29" t="s">
        <v>1491</v>
      </c>
      <c r="I121" s="33" t="s">
        <v>6088</v>
      </c>
      <c r="J121" s="47" t="s">
        <v>4578</v>
      </c>
      <c r="K121" s="61" t="s">
        <v>4779</v>
      </c>
      <c r="L121" s="12" t="str">
        <f t="shared" si="3"/>
        <v>1,1,1</v>
      </c>
    </row>
    <row r="122" spans="2:12">
      <c r="B122" s="17">
        <v>421</v>
      </c>
      <c r="C122" s="17">
        <v>1</v>
      </c>
      <c r="D122" s="17">
        <f t="shared" si="5"/>
        <v>1</v>
      </c>
      <c r="E122" s="17">
        <f t="shared" si="4"/>
        <v>1188</v>
      </c>
      <c r="F122" s="17" t="s">
        <v>4813</v>
      </c>
      <c r="G122" s="17">
        <f>MATCH(E122,Arenas!$F$8:$F$15)</f>
        <v>4</v>
      </c>
      <c r="H122" s="29" t="s">
        <v>1492</v>
      </c>
      <c r="I122" s="33" t="s">
        <v>6089</v>
      </c>
      <c r="J122" s="47" t="s">
        <v>4571</v>
      </c>
      <c r="K122" s="61" t="s">
        <v>4779</v>
      </c>
      <c r="L122" s="12" t="str">
        <f t="shared" si="3"/>
        <v>1,1,1</v>
      </c>
    </row>
    <row r="123" spans="2:12">
      <c r="B123" s="17">
        <v>422</v>
      </c>
      <c r="C123" s="17">
        <v>1</v>
      </c>
      <c r="D123" s="17">
        <f t="shared" si="5"/>
        <v>0</v>
      </c>
      <c r="E123" s="17">
        <f t="shared" si="4"/>
        <v>1188</v>
      </c>
      <c r="F123" s="17" t="s">
        <v>4813</v>
      </c>
      <c r="G123" s="17">
        <f>MATCH(E123,Arenas!$F$8:$F$15)</f>
        <v>4</v>
      </c>
      <c r="H123" s="29" t="s">
        <v>1493</v>
      </c>
      <c r="I123" s="33" t="s">
        <v>6090</v>
      </c>
      <c r="J123" s="47" t="s">
        <v>4672</v>
      </c>
      <c r="K123" s="61" t="s">
        <v>4779</v>
      </c>
      <c r="L123" s="12" t="str">
        <f t="shared" si="3"/>
        <v>1,1,1</v>
      </c>
    </row>
    <row r="124" spans="2:12">
      <c r="B124" s="17">
        <v>423</v>
      </c>
      <c r="C124" s="17">
        <v>1</v>
      </c>
      <c r="D124" s="17">
        <f t="shared" si="5"/>
        <v>0</v>
      </c>
      <c r="E124" s="17">
        <f t="shared" si="4"/>
        <v>1188</v>
      </c>
      <c r="F124" s="17" t="s">
        <v>4813</v>
      </c>
      <c r="G124" s="17">
        <f>MATCH(E124,Arenas!$F$8:$F$15)</f>
        <v>4</v>
      </c>
      <c r="H124" s="29" t="s">
        <v>1494</v>
      </c>
      <c r="I124" s="33" t="s">
        <v>6091</v>
      </c>
      <c r="J124" s="47" t="s">
        <v>4864</v>
      </c>
      <c r="K124" s="61" t="s">
        <v>4779</v>
      </c>
      <c r="L124" s="12" t="str">
        <f t="shared" si="3"/>
        <v>1,1,1</v>
      </c>
    </row>
    <row r="125" spans="2:12">
      <c r="B125" s="17">
        <v>424</v>
      </c>
      <c r="C125" s="17">
        <v>1</v>
      </c>
      <c r="D125" s="17">
        <f t="shared" si="5"/>
        <v>1</v>
      </c>
      <c r="E125" s="17">
        <f t="shared" si="4"/>
        <v>1189</v>
      </c>
      <c r="F125" s="17" t="s">
        <v>4813</v>
      </c>
      <c r="G125" s="17">
        <f>MATCH(E125,Arenas!$F$8:$F$15)</f>
        <v>4</v>
      </c>
      <c r="H125" s="29" t="s">
        <v>1495</v>
      </c>
      <c r="I125" s="33" t="s">
        <v>6092</v>
      </c>
      <c r="J125" s="47" t="s">
        <v>1069</v>
      </c>
      <c r="K125" s="61" t="s">
        <v>4779</v>
      </c>
      <c r="L125" s="12" t="str">
        <f t="shared" si="3"/>
        <v>1,1,1</v>
      </c>
    </row>
    <row r="126" spans="2:12">
      <c r="B126" s="17">
        <v>425</v>
      </c>
      <c r="C126" s="17">
        <v>1</v>
      </c>
      <c r="D126" s="17">
        <f t="shared" si="5"/>
        <v>0</v>
      </c>
      <c r="E126" s="17">
        <f t="shared" si="4"/>
        <v>1189</v>
      </c>
      <c r="F126" s="17" t="s">
        <v>4813</v>
      </c>
      <c r="G126" s="17">
        <f>MATCH(E126,Arenas!$F$8:$F$15)</f>
        <v>4</v>
      </c>
      <c r="H126" s="29" t="s">
        <v>1496</v>
      </c>
      <c r="I126" s="33" t="s">
        <v>6093</v>
      </c>
      <c r="J126" s="47" t="s">
        <v>5400</v>
      </c>
      <c r="K126" s="61" t="s">
        <v>4779</v>
      </c>
      <c r="L126" s="12" t="str">
        <f t="shared" si="3"/>
        <v>1,1,1</v>
      </c>
    </row>
    <row r="127" spans="2:12">
      <c r="B127" s="17">
        <v>426</v>
      </c>
      <c r="C127" s="17">
        <v>1</v>
      </c>
      <c r="D127" s="17">
        <f t="shared" si="5"/>
        <v>0</v>
      </c>
      <c r="E127" s="17">
        <f t="shared" si="4"/>
        <v>1189</v>
      </c>
      <c r="F127" s="17" t="s">
        <v>4813</v>
      </c>
      <c r="G127" s="17">
        <f>MATCH(E127,Arenas!$F$8:$F$15)</f>
        <v>4</v>
      </c>
      <c r="H127" s="29" t="s">
        <v>1497</v>
      </c>
      <c r="I127" s="33" t="s">
        <v>6094</v>
      </c>
      <c r="J127" s="47" t="s">
        <v>1067</v>
      </c>
      <c r="K127" s="61" t="s">
        <v>4779</v>
      </c>
      <c r="L127" s="12" t="str">
        <f t="shared" si="3"/>
        <v>1,1,1</v>
      </c>
    </row>
    <row r="128" spans="2:12">
      <c r="B128" s="17">
        <v>427</v>
      </c>
      <c r="C128" s="17">
        <v>1</v>
      </c>
      <c r="D128" s="17">
        <f t="shared" si="5"/>
        <v>1</v>
      </c>
      <c r="E128" s="17">
        <f t="shared" si="4"/>
        <v>1190</v>
      </c>
      <c r="F128" s="17" t="s">
        <v>4813</v>
      </c>
      <c r="G128" s="17">
        <f>MATCH(E128,Arenas!$F$8:$F$15)</f>
        <v>4</v>
      </c>
      <c r="H128" s="29" t="s">
        <v>1498</v>
      </c>
      <c r="I128" s="33" t="s">
        <v>6095</v>
      </c>
      <c r="J128" s="47" t="s">
        <v>5188</v>
      </c>
      <c r="K128" s="61" t="s">
        <v>4779</v>
      </c>
      <c r="L128" s="12" t="str">
        <f t="shared" si="3"/>
        <v>1,1,1</v>
      </c>
    </row>
    <row r="129" spans="2:12">
      <c r="B129" s="17">
        <v>428</v>
      </c>
      <c r="C129" s="17">
        <v>1</v>
      </c>
      <c r="D129" s="17">
        <f t="shared" si="5"/>
        <v>0</v>
      </c>
      <c r="E129" s="17">
        <f t="shared" si="4"/>
        <v>1190</v>
      </c>
      <c r="F129" s="17" t="s">
        <v>4813</v>
      </c>
      <c r="G129" s="17">
        <f>MATCH(E129,Arenas!$F$8:$F$15)</f>
        <v>4</v>
      </c>
      <c r="H129" s="29" t="s">
        <v>1499</v>
      </c>
      <c r="I129" s="33" t="s">
        <v>6096</v>
      </c>
      <c r="J129" s="47" t="s">
        <v>6097</v>
      </c>
      <c r="K129" s="61" t="s">
        <v>4779</v>
      </c>
      <c r="L129" s="12" t="str">
        <f t="shared" si="3"/>
        <v>1,1,1</v>
      </c>
    </row>
    <row r="130" spans="2:12">
      <c r="B130" s="17">
        <v>429</v>
      </c>
      <c r="C130" s="17">
        <v>1</v>
      </c>
      <c r="D130" s="17">
        <f t="shared" si="5"/>
        <v>0</v>
      </c>
      <c r="E130" s="17">
        <f t="shared" si="4"/>
        <v>1190</v>
      </c>
      <c r="F130" s="17" t="s">
        <v>4813</v>
      </c>
      <c r="G130" s="17">
        <f>MATCH(E130,Arenas!$F$8:$F$15)</f>
        <v>4</v>
      </c>
      <c r="H130" s="29" t="s">
        <v>1500</v>
      </c>
      <c r="I130" s="33" t="s">
        <v>6098</v>
      </c>
      <c r="J130" s="47" t="s">
        <v>4850</v>
      </c>
      <c r="K130" s="61" t="s">
        <v>4779</v>
      </c>
      <c r="L130" s="12" t="str">
        <f t="shared" ref="L130:L193" si="6">C130&amp;","&amp;C130&amp;","&amp;C130</f>
        <v>1,1,1</v>
      </c>
    </row>
    <row r="131" spans="2:12">
      <c r="B131" s="17">
        <v>430</v>
      </c>
      <c r="C131" s="17">
        <v>1</v>
      </c>
      <c r="D131" s="17">
        <f t="shared" si="5"/>
        <v>1</v>
      </c>
      <c r="E131" s="17">
        <f t="shared" ref="E131:E194" si="7">D131+E130</f>
        <v>1191</v>
      </c>
      <c r="F131" s="17" t="s">
        <v>4813</v>
      </c>
      <c r="G131" s="17">
        <f>MATCH(E131,Arenas!$F$8:$F$15)</f>
        <v>4</v>
      </c>
      <c r="H131" s="29" t="s">
        <v>1501</v>
      </c>
      <c r="I131" s="33" t="s">
        <v>6099</v>
      </c>
      <c r="J131" s="47" t="s">
        <v>6100</v>
      </c>
      <c r="K131" s="61" t="s">
        <v>4779</v>
      </c>
      <c r="L131" s="12" t="str">
        <f t="shared" si="6"/>
        <v>1,1,1</v>
      </c>
    </row>
    <row r="132" spans="2:12">
      <c r="B132" s="17">
        <v>431</v>
      </c>
      <c r="C132" s="17">
        <v>1</v>
      </c>
      <c r="D132" s="17">
        <f t="shared" si="5"/>
        <v>0</v>
      </c>
      <c r="E132" s="17">
        <f t="shared" si="7"/>
        <v>1191</v>
      </c>
      <c r="F132" s="17" t="s">
        <v>4813</v>
      </c>
      <c r="G132" s="17">
        <f>MATCH(E132,Arenas!$F$8:$F$15)</f>
        <v>4</v>
      </c>
      <c r="H132" s="29" t="s">
        <v>1502</v>
      </c>
      <c r="I132" s="33" t="s">
        <v>6101</v>
      </c>
      <c r="J132" s="47" t="s">
        <v>5185</v>
      </c>
      <c r="K132" s="61" t="s">
        <v>4779</v>
      </c>
      <c r="L132" s="12" t="str">
        <f t="shared" si="6"/>
        <v>1,1,1</v>
      </c>
    </row>
    <row r="133" spans="2:12">
      <c r="B133" s="17">
        <v>432</v>
      </c>
      <c r="C133" s="17">
        <v>1</v>
      </c>
      <c r="D133" s="17">
        <f t="shared" ref="D133:D196" si="8">D130</f>
        <v>0</v>
      </c>
      <c r="E133" s="17">
        <f t="shared" si="7"/>
        <v>1191</v>
      </c>
      <c r="F133" s="17" t="s">
        <v>4813</v>
      </c>
      <c r="G133" s="17">
        <f>MATCH(E133,Arenas!$F$8:$F$15)</f>
        <v>4</v>
      </c>
      <c r="H133" s="29" t="s">
        <v>1503</v>
      </c>
      <c r="I133" s="33" t="s">
        <v>6102</v>
      </c>
      <c r="J133" s="47" t="s">
        <v>4558</v>
      </c>
      <c r="K133" s="61" t="s">
        <v>4779</v>
      </c>
      <c r="L133" s="12" t="str">
        <f t="shared" si="6"/>
        <v>1,1,1</v>
      </c>
    </row>
    <row r="134" spans="2:12">
      <c r="B134" s="17">
        <v>433</v>
      </c>
      <c r="C134" s="17">
        <v>1</v>
      </c>
      <c r="D134" s="17">
        <f t="shared" si="8"/>
        <v>1</v>
      </c>
      <c r="E134" s="17">
        <f t="shared" si="7"/>
        <v>1192</v>
      </c>
      <c r="F134" s="17" t="s">
        <v>4813</v>
      </c>
      <c r="G134" s="17">
        <f>MATCH(E134,Arenas!$F$8:$F$15)</f>
        <v>4</v>
      </c>
      <c r="H134" s="29" t="s">
        <v>1504</v>
      </c>
      <c r="I134" s="33" t="s">
        <v>6103</v>
      </c>
      <c r="J134" s="47" t="s">
        <v>4894</v>
      </c>
      <c r="K134" s="61" t="s">
        <v>4779</v>
      </c>
      <c r="L134" s="12" t="str">
        <f t="shared" si="6"/>
        <v>1,1,1</v>
      </c>
    </row>
    <row r="135" spans="2:12">
      <c r="B135" s="17">
        <v>434</v>
      </c>
      <c r="C135" s="17">
        <v>1</v>
      </c>
      <c r="D135" s="17">
        <f t="shared" si="8"/>
        <v>0</v>
      </c>
      <c r="E135" s="17">
        <f t="shared" si="7"/>
        <v>1192</v>
      </c>
      <c r="F135" s="17" t="s">
        <v>4813</v>
      </c>
      <c r="G135" s="17">
        <f>MATCH(E135,Arenas!$F$8:$F$15)</f>
        <v>4</v>
      </c>
      <c r="H135" s="29" t="s">
        <v>1505</v>
      </c>
      <c r="I135" s="33" t="s">
        <v>6104</v>
      </c>
      <c r="J135" s="47" t="s">
        <v>5189</v>
      </c>
      <c r="K135" s="61" t="s">
        <v>4779</v>
      </c>
      <c r="L135" s="12" t="str">
        <f t="shared" si="6"/>
        <v>1,1,1</v>
      </c>
    </row>
    <row r="136" spans="2:12">
      <c r="B136" s="17">
        <v>435</v>
      </c>
      <c r="C136" s="17">
        <v>1</v>
      </c>
      <c r="D136" s="17">
        <f t="shared" si="8"/>
        <v>0</v>
      </c>
      <c r="E136" s="17">
        <f t="shared" si="7"/>
        <v>1192</v>
      </c>
      <c r="F136" s="17" t="s">
        <v>4813</v>
      </c>
      <c r="G136" s="17">
        <f>MATCH(E136,Arenas!$F$8:$F$15)</f>
        <v>4</v>
      </c>
      <c r="H136" s="29" t="s">
        <v>1506</v>
      </c>
      <c r="I136" s="33" t="s">
        <v>6105</v>
      </c>
      <c r="J136" s="47" t="s">
        <v>4676</v>
      </c>
      <c r="K136" s="61" t="s">
        <v>4779</v>
      </c>
      <c r="L136" s="12" t="str">
        <f t="shared" si="6"/>
        <v>1,1,1</v>
      </c>
    </row>
    <row r="137" spans="2:12">
      <c r="B137" s="17">
        <v>436</v>
      </c>
      <c r="C137" s="17">
        <v>1</v>
      </c>
      <c r="D137" s="17">
        <f t="shared" si="8"/>
        <v>1</v>
      </c>
      <c r="E137" s="17">
        <f t="shared" si="7"/>
        <v>1193</v>
      </c>
      <c r="F137" s="17" t="s">
        <v>4813</v>
      </c>
      <c r="G137" s="17">
        <f>MATCH(E137,Arenas!$F$8:$F$15)</f>
        <v>4</v>
      </c>
      <c r="H137" s="29" t="s">
        <v>1507</v>
      </c>
      <c r="I137" s="33" t="s">
        <v>6106</v>
      </c>
      <c r="J137" s="47" t="s">
        <v>4555</v>
      </c>
      <c r="K137" s="61" t="s">
        <v>4779</v>
      </c>
      <c r="L137" s="12" t="str">
        <f t="shared" si="6"/>
        <v>1,1,1</v>
      </c>
    </row>
    <row r="138" spans="2:12">
      <c r="B138" s="17">
        <v>437</v>
      </c>
      <c r="C138" s="17">
        <v>1</v>
      </c>
      <c r="D138" s="17">
        <f t="shared" si="8"/>
        <v>0</v>
      </c>
      <c r="E138" s="17">
        <f t="shared" si="7"/>
        <v>1193</v>
      </c>
      <c r="F138" s="17" t="s">
        <v>4813</v>
      </c>
      <c r="G138" s="17">
        <f>MATCH(E138,Arenas!$F$8:$F$15)</f>
        <v>4</v>
      </c>
      <c r="H138" s="29" t="s">
        <v>1508</v>
      </c>
      <c r="I138" s="33" t="s">
        <v>6107</v>
      </c>
      <c r="J138" s="47" t="s">
        <v>4898</v>
      </c>
      <c r="K138" s="61" t="s">
        <v>4779</v>
      </c>
      <c r="L138" s="12" t="str">
        <f t="shared" si="6"/>
        <v>1,1,1</v>
      </c>
    </row>
    <row r="139" spans="2:12">
      <c r="B139" s="17">
        <v>438</v>
      </c>
      <c r="C139" s="17">
        <v>1</v>
      </c>
      <c r="D139" s="17">
        <f t="shared" si="8"/>
        <v>0</v>
      </c>
      <c r="E139" s="17">
        <f t="shared" si="7"/>
        <v>1193</v>
      </c>
      <c r="F139" s="17" t="s">
        <v>4813</v>
      </c>
      <c r="G139" s="17">
        <f>MATCH(E139,Arenas!$F$8:$F$15)</f>
        <v>4</v>
      </c>
      <c r="H139" s="29" t="s">
        <v>1509</v>
      </c>
      <c r="I139" s="33" t="s">
        <v>6108</v>
      </c>
      <c r="J139" s="47" t="s">
        <v>4900</v>
      </c>
      <c r="K139" s="61" t="s">
        <v>4779</v>
      </c>
      <c r="L139" s="12" t="str">
        <f t="shared" si="6"/>
        <v>1,1,1</v>
      </c>
    </row>
    <row r="140" spans="2:12">
      <c r="B140" s="17">
        <v>439</v>
      </c>
      <c r="C140" s="17">
        <v>1</v>
      </c>
      <c r="D140" s="17">
        <f t="shared" si="8"/>
        <v>1</v>
      </c>
      <c r="E140" s="17">
        <f t="shared" si="7"/>
        <v>1194</v>
      </c>
      <c r="F140" s="17" t="s">
        <v>4813</v>
      </c>
      <c r="G140" s="17">
        <f>MATCH(E140,Arenas!$F$8:$F$15)</f>
        <v>4</v>
      </c>
      <c r="H140" s="29" t="s">
        <v>1510</v>
      </c>
      <c r="I140" s="33" t="s">
        <v>6109</v>
      </c>
      <c r="J140" s="47" t="s">
        <v>4881</v>
      </c>
      <c r="K140" s="61" t="s">
        <v>4779</v>
      </c>
      <c r="L140" s="12" t="str">
        <f t="shared" si="6"/>
        <v>1,1,1</v>
      </c>
    </row>
    <row r="141" spans="2:12">
      <c r="B141" s="17">
        <v>440</v>
      </c>
      <c r="C141" s="17">
        <v>1</v>
      </c>
      <c r="D141" s="17">
        <f t="shared" si="8"/>
        <v>0</v>
      </c>
      <c r="E141" s="17">
        <f t="shared" si="7"/>
        <v>1194</v>
      </c>
      <c r="F141" s="17" t="s">
        <v>4813</v>
      </c>
      <c r="G141" s="17">
        <f>MATCH(E141,Arenas!$F$8:$F$15)</f>
        <v>4</v>
      </c>
      <c r="H141" s="29" t="s">
        <v>1511</v>
      </c>
      <c r="I141" s="33" t="s">
        <v>6110</v>
      </c>
      <c r="J141" s="47" t="s">
        <v>4583</v>
      </c>
      <c r="K141" s="61" t="s">
        <v>4779</v>
      </c>
      <c r="L141" s="12" t="str">
        <f t="shared" si="6"/>
        <v>1,1,1</v>
      </c>
    </row>
    <row r="142" spans="2:12">
      <c r="B142" s="17">
        <v>441</v>
      </c>
      <c r="C142" s="17">
        <v>1</v>
      </c>
      <c r="D142" s="17">
        <f t="shared" si="8"/>
        <v>0</v>
      </c>
      <c r="E142" s="17">
        <f t="shared" si="7"/>
        <v>1194</v>
      </c>
      <c r="F142" s="17" t="s">
        <v>4813</v>
      </c>
      <c r="G142" s="17">
        <f>MATCH(E142,Arenas!$F$8:$F$15)</f>
        <v>4</v>
      </c>
      <c r="H142" s="29" t="s">
        <v>1512</v>
      </c>
      <c r="I142" s="33" t="s">
        <v>6111</v>
      </c>
      <c r="J142" s="47" t="s">
        <v>4672</v>
      </c>
      <c r="K142" s="61" t="s">
        <v>4779</v>
      </c>
      <c r="L142" s="12" t="str">
        <f t="shared" si="6"/>
        <v>1,1,1</v>
      </c>
    </row>
    <row r="143" spans="2:12">
      <c r="B143" s="17">
        <v>442</v>
      </c>
      <c r="C143" s="17">
        <v>1</v>
      </c>
      <c r="D143" s="17">
        <f t="shared" si="8"/>
        <v>1</v>
      </c>
      <c r="E143" s="17">
        <f t="shared" si="7"/>
        <v>1195</v>
      </c>
      <c r="F143" s="17" t="s">
        <v>4813</v>
      </c>
      <c r="G143" s="17">
        <f>MATCH(E143,Arenas!$F$8:$F$15)</f>
        <v>4</v>
      </c>
      <c r="H143" s="29" t="s">
        <v>1513</v>
      </c>
      <c r="I143" s="33" t="s">
        <v>6112</v>
      </c>
      <c r="J143" s="47" t="s">
        <v>4871</v>
      </c>
      <c r="K143" s="61" t="s">
        <v>4779</v>
      </c>
      <c r="L143" s="12" t="str">
        <f t="shared" si="6"/>
        <v>1,1,1</v>
      </c>
    </row>
    <row r="144" spans="2:12">
      <c r="B144" s="17">
        <v>443</v>
      </c>
      <c r="C144" s="17">
        <v>1</v>
      </c>
      <c r="D144" s="17">
        <f t="shared" si="8"/>
        <v>0</v>
      </c>
      <c r="E144" s="17">
        <f t="shared" si="7"/>
        <v>1195</v>
      </c>
      <c r="F144" s="17" t="s">
        <v>4813</v>
      </c>
      <c r="G144" s="17">
        <f>MATCH(E144,Arenas!$F$8:$F$15)</f>
        <v>4</v>
      </c>
      <c r="H144" s="29" t="s">
        <v>1514</v>
      </c>
      <c r="I144" s="33" t="s">
        <v>6113</v>
      </c>
      <c r="J144" s="47" t="s">
        <v>1068</v>
      </c>
      <c r="K144" s="61" t="s">
        <v>4779</v>
      </c>
      <c r="L144" s="12" t="str">
        <f t="shared" si="6"/>
        <v>1,1,1</v>
      </c>
    </row>
    <row r="145" spans="2:12">
      <c r="B145" s="17">
        <v>444</v>
      </c>
      <c r="C145" s="17">
        <v>1</v>
      </c>
      <c r="D145" s="17">
        <f t="shared" si="8"/>
        <v>0</v>
      </c>
      <c r="E145" s="17">
        <f t="shared" si="7"/>
        <v>1195</v>
      </c>
      <c r="F145" s="17" t="s">
        <v>4813</v>
      </c>
      <c r="G145" s="17">
        <f>MATCH(E145,Arenas!$F$8:$F$15)</f>
        <v>4</v>
      </c>
      <c r="H145" s="29" t="s">
        <v>1515</v>
      </c>
      <c r="I145" s="33" t="s">
        <v>6114</v>
      </c>
      <c r="J145" s="47" t="s">
        <v>4556</v>
      </c>
      <c r="K145" s="61" t="s">
        <v>4779</v>
      </c>
      <c r="L145" s="12" t="str">
        <f t="shared" si="6"/>
        <v>1,1,1</v>
      </c>
    </row>
    <row r="146" spans="2:12">
      <c r="B146" s="17">
        <v>445</v>
      </c>
      <c r="C146" s="17">
        <v>1</v>
      </c>
      <c r="D146" s="17">
        <f t="shared" si="8"/>
        <v>1</v>
      </c>
      <c r="E146" s="17">
        <f t="shared" si="7"/>
        <v>1196</v>
      </c>
      <c r="F146" s="17" t="s">
        <v>4813</v>
      </c>
      <c r="G146" s="17">
        <f>MATCH(E146,Arenas!$F$8:$F$15)</f>
        <v>4</v>
      </c>
      <c r="H146" s="29" t="s">
        <v>1516</v>
      </c>
      <c r="I146" s="33" t="s">
        <v>6115</v>
      </c>
      <c r="J146" s="47" t="s">
        <v>4892</v>
      </c>
      <c r="K146" s="61" t="s">
        <v>4779</v>
      </c>
      <c r="L146" s="12" t="str">
        <f t="shared" si="6"/>
        <v>1,1,1</v>
      </c>
    </row>
    <row r="147" spans="2:12">
      <c r="B147" s="17">
        <v>446</v>
      </c>
      <c r="C147" s="17">
        <v>1</v>
      </c>
      <c r="D147" s="17">
        <f t="shared" si="8"/>
        <v>0</v>
      </c>
      <c r="E147" s="17">
        <f t="shared" si="7"/>
        <v>1196</v>
      </c>
      <c r="F147" s="17" t="s">
        <v>4813</v>
      </c>
      <c r="G147" s="17">
        <f>MATCH(E147,Arenas!$F$8:$F$15)</f>
        <v>4</v>
      </c>
      <c r="H147" s="29" t="s">
        <v>1517</v>
      </c>
      <c r="I147" s="33" t="s">
        <v>6116</v>
      </c>
      <c r="J147" s="47" t="s">
        <v>4896</v>
      </c>
      <c r="K147" s="61" t="s">
        <v>4779</v>
      </c>
      <c r="L147" s="12" t="str">
        <f t="shared" si="6"/>
        <v>1,1,1</v>
      </c>
    </row>
    <row r="148" spans="2:12">
      <c r="B148" s="17">
        <v>447</v>
      </c>
      <c r="C148" s="17">
        <v>1</v>
      </c>
      <c r="D148" s="17">
        <f t="shared" si="8"/>
        <v>0</v>
      </c>
      <c r="E148" s="17">
        <f t="shared" si="7"/>
        <v>1196</v>
      </c>
      <c r="F148" s="17" t="s">
        <v>4813</v>
      </c>
      <c r="G148" s="17">
        <f>MATCH(E148,Arenas!$F$8:$F$15)</f>
        <v>4</v>
      </c>
      <c r="H148" s="29" t="s">
        <v>1518</v>
      </c>
      <c r="I148" s="33" t="s">
        <v>6117</v>
      </c>
      <c r="J148" s="47" t="s">
        <v>1068</v>
      </c>
      <c r="K148" s="61" t="s">
        <v>4779</v>
      </c>
      <c r="L148" s="12" t="str">
        <f t="shared" si="6"/>
        <v>1,1,1</v>
      </c>
    </row>
    <row r="149" spans="2:12">
      <c r="B149" s="17">
        <v>448</v>
      </c>
      <c r="C149" s="17">
        <v>1</v>
      </c>
      <c r="D149" s="17">
        <f t="shared" si="8"/>
        <v>1</v>
      </c>
      <c r="E149" s="17">
        <f t="shared" si="7"/>
        <v>1197</v>
      </c>
      <c r="F149" s="17" t="s">
        <v>4813</v>
      </c>
      <c r="G149" s="17">
        <f>MATCH(E149,Arenas!$F$8:$F$15)</f>
        <v>4</v>
      </c>
      <c r="H149" s="29" t="s">
        <v>1519</v>
      </c>
      <c r="I149" s="33" t="s">
        <v>4887</v>
      </c>
      <c r="J149" s="47" t="s">
        <v>4600</v>
      </c>
      <c r="K149" s="61" t="s">
        <v>4779</v>
      </c>
      <c r="L149" s="12" t="str">
        <f t="shared" si="6"/>
        <v>1,1,1</v>
      </c>
    </row>
    <row r="150" spans="2:12">
      <c r="B150" s="17">
        <v>449</v>
      </c>
      <c r="C150" s="17">
        <v>1</v>
      </c>
      <c r="D150" s="17">
        <f t="shared" si="8"/>
        <v>0</v>
      </c>
      <c r="E150" s="17">
        <f t="shared" si="7"/>
        <v>1197</v>
      </c>
      <c r="F150" s="17" t="s">
        <v>4813</v>
      </c>
      <c r="G150" s="17">
        <f>MATCH(E150,Arenas!$F$8:$F$15)</f>
        <v>4</v>
      </c>
      <c r="H150" s="29" t="s">
        <v>1520</v>
      </c>
      <c r="I150" s="33" t="s">
        <v>6118</v>
      </c>
      <c r="J150" s="47" t="s">
        <v>4670</v>
      </c>
      <c r="K150" s="61" t="s">
        <v>4779</v>
      </c>
      <c r="L150" s="12" t="str">
        <f t="shared" si="6"/>
        <v>1,1,1</v>
      </c>
    </row>
    <row r="151" spans="2:12">
      <c r="B151" s="17">
        <v>450</v>
      </c>
      <c r="C151" s="17">
        <v>1</v>
      </c>
      <c r="D151" s="17">
        <f t="shared" si="8"/>
        <v>0</v>
      </c>
      <c r="E151" s="17">
        <f t="shared" si="7"/>
        <v>1197</v>
      </c>
      <c r="F151" s="17" t="s">
        <v>4813</v>
      </c>
      <c r="G151" s="17">
        <f>MATCH(E151,Arenas!$F$8:$F$15)</f>
        <v>4</v>
      </c>
      <c r="H151" s="29" t="s">
        <v>1521</v>
      </c>
      <c r="I151" s="33" t="s">
        <v>6119</v>
      </c>
      <c r="J151" s="47" t="s">
        <v>4860</v>
      </c>
      <c r="K151" s="61" t="s">
        <v>4779</v>
      </c>
      <c r="L151" s="12" t="str">
        <f t="shared" si="6"/>
        <v>1,1,1</v>
      </c>
    </row>
    <row r="152" spans="2:12">
      <c r="B152" s="17">
        <v>451</v>
      </c>
      <c r="C152" s="17">
        <v>1</v>
      </c>
      <c r="D152" s="17">
        <f t="shared" si="8"/>
        <v>1</v>
      </c>
      <c r="E152" s="17">
        <f t="shared" si="7"/>
        <v>1198</v>
      </c>
      <c r="F152" s="17" t="s">
        <v>4813</v>
      </c>
      <c r="G152" s="17">
        <f>MATCH(E152,Arenas!$F$8:$F$15)</f>
        <v>4</v>
      </c>
      <c r="H152" s="29" t="s">
        <v>1522</v>
      </c>
      <c r="I152" s="33" t="s">
        <v>6120</v>
      </c>
      <c r="J152" s="47" t="s">
        <v>4578</v>
      </c>
      <c r="K152" s="61" t="s">
        <v>4779</v>
      </c>
      <c r="L152" s="12" t="str">
        <f t="shared" si="6"/>
        <v>1,1,1</v>
      </c>
    </row>
    <row r="153" spans="2:12">
      <c r="B153" s="17">
        <v>452</v>
      </c>
      <c r="C153" s="17">
        <v>1</v>
      </c>
      <c r="D153" s="17">
        <f t="shared" si="8"/>
        <v>0</v>
      </c>
      <c r="E153" s="17">
        <f t="shared" si="7"/>
        <v>1198</v>
      </c>
      <c r="F153" s="17" t="s">
        <v>4813</v>
      </c>
      <c r="G153" s="17">
        <f>MATCH(E153,Arenas!$F$8:$F$15)</f>
        <v>4</v>
      </c>
      <c r="H153" s="29" t="s">
        <v>1523</v>
      </c>
      <c r="I153" s="33" t="s">
        <v>6121</v>
      </c>
      <c r="J153" s="47" t="s">
        <v>4854</v>
      </c>
      <c r="K153" s="61" t="s">
        <v>4779</v>
      </c>
      <c r="L153" s="12" t="str">
        <f t="shared" si="6"/>
        <v>1,1,1</v>
      </c>
    </row>
    <row r="154" spans="2:12">
      <c r="B154" s="17">
        <v>453</v>
      </c>
      <c r="C154" s="17">
        <v>1</v>
      </c>
      <c r="D154" s="17">
        <f t="shared" si="8"/>
        <v>0</v>
      </c>
      <c r="E154" s="17">
        <f t="shared" si="7"/>
        <v>1198</v>
      </c>
      <c r="F154" s="17" t="s">
        <v>4813</v>
      </c>
      <c r="G154" s="17">
        <f>MATCH(E154,Arenas!$F$8:$F$15)</f>
        <v>4</v>
      </c>
      <c r="H154" s="29" t="s">
        <v>1524</v>
      </c>
      <c r="I154" s="33" t="s">
        <v>6122</v>
      </c>
      <c r="J154" s="47" t="s">
        <v>4632</v>
      </c>
      <c r="K154" s="61" t="s">
        <v>4779</v>
      </c>
      <c r="L154" s="12" t="str">
        <f t="shared" si="6"/>
        <v>1,1,1</v>
      </c>
    </row>
    <row r="155" spans="2:12">
      <c r="B155" s="17">
        <v>454</v>
      </c>
      <c r="C155" s="17">
        <v>1</v>
      </c>
      <c r="D155" s="17">
        <f t="shared" si="8"/>
        <v>1</v>
      </c>
      <c r="E155" s="17">
        <f t="shared" si="7"/>
        <v>1199</v>
      </c>
      <c r="F155" s="17" t="s">
        <v>4813</v>
      </c>
      <c r="G155" s="17">
        <f>MATCH(E155,Arenas!$F$8:$F$15)</f>
        <v>4</v>
      </c>
      <c r="H155" s="29" t="s">
        <v>1525</v>
      </c>
      <c r="I155" s="33" t="s">
        <v>6123</v>
      </c>
      <c r="J155" s="47" t="s">
        <v>1071</v>
      </c>
      <c r="K155" s="61" t="s">
        <v>4779</v>
      </c>
      <c r="L155" s="12" t="str">
        <f t="shared" si="6"/>
        <v>1,1,1</v>
      </c>
    </row>
    <row r="156" spans="2:12">
      <c r="B156" s="17">
        <v>455</v>
      </c>
      <c r="C156" s="17">
        <v>1</v>
      </c>
      <c r="D156" s="17">
        <f t="shared" si="8"/>
        <v>0</v>
      </c>
      <c r="E156" s="17">
        <f t="shared" si="7"/>
        <v>1199</v>
      </c>
      <c r="F156" s="17" t="s">
        <v>4813</v>
      </c>
      <c r="G156" s="17">
        <f>MATCH(E156,Arenas!$F$8:$F$15)</f>
        <v>4</v>
      </c>
      <c r="H156" s="29" t="s">
        <v>1526</v>
      </c>
      <c r="I156" s="33" t="s">
        <v>6124</v>
      </c>
      <c r="J156" s="47" t="s">
        <v>4601</v>
      </c>
      <c r="K156" s="61" t="s">
        <v>4779</v>
      </c>
      <c r="L156" s="12" t="str">
        <f t="shared" si="6"/>
        <v>1,1,1</v>
      </c>
    </row>
    <row r="157" spans="2:12">
      <c r="B157" s="17">
        <v>456</v>
      </c>
      <c r="C157" s="17">
        <v>1</v>
      </c>
      <c r="D157" s="17">
        <f t="shared" si="8"/>
        <v>0</v>
      </c>
      <c r="E157" s="17">
        <f t="shared" si="7"/>
        <v>1199</v>
      </c>
      <c r="F157" s="17" t="s">
        <v>4813</v>
      </c>
      <c r="G157" s="17">
        <f>MATCH(E157,Arenas!$F$8:$F$15)</f>
        <v>4</v>
      </c>
      <c r="H157" s="29" t="s">
        <v>1527</v>
      </c>
      <c r="I157" s="33" t="s">
        <v>6125</v>
      </c>
      <c r="J157" s="47" t="s">
        <v>1065</v>
      </c>
      <c r="K157" s="61" t="s">
        <v>4779</v>
      </c>
      <c r="L157" s="12" t="str">
        <f t="shared" si="6"/>
        <v>1,1,1</v>
      </c>
    </row>
    <row r="158" spans="2:12">
      <c r="B158" s="17">
        <v>457</v>
      </c>
      <c r="C158" s="17">
        <v>1</v>
      </c>
      <c r="D158" s="17">
        <f t="shared" si="8"/>
        <v>1</v>
      </c>
      <c r="E158" s="17">
        <f t="shared" si="7"/>
        <v>1200</v>
      </c>
      <c r="F158" s="17" t="s">
        <v>4813</v>
      </c>
      <c r="G158" s="17">
        <f>MATCH(E158,Arenas!$F$8:$F$15)</f>
        <v>4</v>
      </c>
      <c r="H158" s="29" t="s">
        <v>1528</v>
      </c>
      <c r="I158" s="33" t="s">
        <v>6126</v>
      </c>
      <c r="J158" s="47" t="s">
        <v>4861</v>
      </c>
      <c r="K158" s="61" t="s">
        <v>4779</v>
      </c>
      <c r="L158" s="12" t="str">
        <f t="shared" si="6"/>
        <v>1,1,1</v>
      </c>
    </row>
    <row r="159" spans="2:12">
      <c r="B159" s="17">
        <v>458</v>
      </c>
      <c r="C159" s="17">
        <v>1</v>
      </c>
      <c r="D159" s="17">
        <f t="shared" si="8"/>
        <v>0</v>
      </c>
      <c r="E159" s="17">
        <f t="shared" si="7"/>
        <v>1200</v>
      </c>
      <c r="F159" s="17" t="s">
        <v>4813</v>
      </c>
      <c r="G159" s="17">
        <f>MATCH(E159,Arenas!$F$8:$F$15)</f>
        <v>4</v>
      </c>
      <c r="H159" s="29" t="s">
        <v>1529</v>
      </c>
      <c r="I159" s="33" t="s">
        <v>6127</v>
      </c>
      <c r="J159" s="47" t="s">
        <v>1065</v>
      </c>
      <c r="K159" s="61" t="s">
        <v>4779</v>
      </c>
      <c r="L159" s="12" t="str">
        <f t="shared" si="6"/>
        <v>1,1,1</v>
      </c>
    </row>
    <row r="160" spans="2:12">
      <c r="B160" s="17">
        <v>459</v>
      </c>
      <c r="C160" s="17">
        <v>1</v>
      </c>
      <c r="D160" s="17">
        <f t="shared" si="8"/>
        <v>0</v>
      </c>
      <c r="E160" s="17">
        <f t="shared" si="7"/>
        <v>1200</v>
      </c>
      <c r="F160" s="17" t="s">
        <v>4813</v>
      </c>
      <c r="G160" s="17">
        <f>MATCH(E160,Arenas!$F$8:$F$15)</f>
        <v>4</v>
      </c>
      <c r="H160" s="29" t="s">
        <v>1530</v>
      </c>
      <c r="I160" s="33" t="s">
        <v>6128</v>
      </c>
      <c r="J160" s="47" t="s">
        <v>4852</v>
      </c>
      <c r="K160" s="61" t="s">
        <v>4779</v>
      </c>
      <c r="L160" s="12" t="str">
        <f t="shared" si="6"/>
        <v>1,1,1</v>
      </c>
    </row>
    <row r="161" spans="2:12">
      <c r="B161" s="17">
        <v>460</v>
      </c>
      <c r="C161" s="17">
        <v>1</v>
      </c>
      <c r="D161" s="17">
        <f t="shared" si="8"/>
        <v>1</v>
      </c>
      <c r="E161" s="17">
        <f t="shared" si="7"/>
        <v>1201</v>
      </c>
      <c r="F161" s="17" t="s">
        <v>4813</v>
      </c>
      <c r="G161" s="17">
        <f>MATCH(E161,Arenas!$F$8:$F$15)</f>
        <v>4</v>
      </c>
      <c r="H161" s="29" t="s">
        <v>1531</v>
      </c>
      <c r="I161" s="33" t="s">
        <v>6129</v>
      </c>
      <c r="J161" s="47" t="s">
        <v>4881</v>
      </c>
      <c r="K161" s="61" t="s">
        <v>4779</v>
      </c>
      <c r="L161" s="12" t="str">
        <f t="shared" si="6"/>
        <v>1,1,1</v>
      </c>
    </row>
    <row r="162" spans="2:12">
      <c r="B162" s="17">
        <v>461</v>
      </c>
      <c r="C162" s="17">
        <v>1</v>
      </c>
      <c r="D162" s="17">
        <f t="shared" si="8"/>
        <v>0</v>
      </c>
      <c r="E162" s="17">
        <f t="shared" si="7"/>
        <v>1201</v>
      </c>
      <c r="F162" s="17" t="s">
        <v>4813</v>
      </c>
      <c r="G162" s="17">
        <f>MATCH(E162,Arenas!$F$8:$F$15)</f>
        <v>4</v>
      </c>
      <c r="H162" s="29" t="s">
        <v>1532</v>
      </c>
      <c r="I162" s="33" t="s">
        <v>6130</v>
      </c>
      <c r="J162" s="47" t="s">
        <v>4653</v>
      </c>
      <c r="K162" s="61" t="s">
        <v>4779</v>
      </c>
      <c r="L162" s="12" t="str">
        <f t="shared" si="6"/>
        <v>1,1,1</v>
      </c>
    </row>
    <row r="163" spans="2:12">
      <c r="B163" s="17">
        <v>462</v>
      </c>
      <c r="C163" s="17">
        <v>1</v>
      </c>
      <c r="D163" s="17">
        <f t="shared" si="8"/>
        <v>0</v>
      </c>
      <c r="E163" s="17">
        <f t="shared" si="7"/>
        <v>1201</v>
      </c>
      <c r="F163" s="17" t="s">
        <v>4813</v>
      </c>
      <c r="G163" s="17">
        <f>MATCH(E163,Arenas!$F$8:$F$15)</f>
        <v>4</v>
      </c>
      <c r="H163" s="29" t="s">
        <v>1533</v>
      </c>
      <c r="I163" s="33" t="s">
        <v>6131</v>
      </c>
      <c r="J163" s="47" t="s">
        <v>4853</v>
      </c>
      <c r="K163" s="61" t="s">
        <v>4779</v>
      </c>
      <c r="L163" s="12" t="str">
        <f t="shared" si="6"/>
        <v>1,1,1</v>
      </c>
    </row>
    <row r="164" spans="2:12">
      <c r="B164" s="17">
        <v>463</v>
      </c>
      <c r="C164" s="17">
        <v>1</v>
      </c>
      <c r="D164" s="17">
        <f t="shared" si="8"/>
        <v>1</v>
      </c>
      <c r="E164" s="17">
        <f t="shared" si="7"/>
        <v>1202</v>
      </c>
      <c r="F164" s="17" t="s">
        <v>4813</v>
      </c>
      <c r="G164" s="17">
        <f>MATCH(E164,Arenas!$F$8:$F$15)</f>
        <v>4</v>
      </c>
      <c r="H164" s="29" t="s">
        <v>1534</v>
      </c>
      <c r="I164" s="33" t="s">
        <v>6132</v>
      </c>
      <c r="J164" s="47" t="s">
        <v>4864</v>
      </c>
      <c r="K164" s="61" t="s">
        <v>4779</v>
      </c>
      <c r="L164" s="12" t="str">
        <f t="shared" si="6"/>
        <v>1,1,1</v>
      </c>
    </row>
    <row r="165" spans="2:12">
      <c r="B165" s="17">
        <v>464</v>
      </c>
      <c r="C165" s="17">
        <v>1</v>
      </c>
      <c r="D165" s="17">
        <f t="shared" si="8"/>
        <v>0</v>
      </c>
      <c r="E165" s="17">
        <f t="shared" si="7"/>
        <v>1202</v>
      </c>
      <c r="F165" s="17" t="s">
        <v>4813</v>
      </c>
      <c r="G165" s="17">
        <f>MATCH(E165,Arenas!$F$8:$F$15)</f>
        <v>4</v>
      </c>
      <c r="H165" s="29" t="s">
        <v>1535</v>
      </c>
      <c r="I165" s="33" t="s">
        <v>6133</v>
      </c>
      <c r="J165" s="47" t="s">
        <v>4669</v>
      </c>
      <c r="K165" s="61" t="s">
        <v>4779</v>
      </c>
      <c r="L165" s="12" t="str">
        <f t="shared" si="6"/>
        <v>1,1,1</v>
      </c>
    </row>
    <row r="166" spans="2:12">
      <c r="B166" s="17">
        <v>465</v>
      </c>
      <c r="C166" s="17">
        <v>1</v>
      </c>
      <c r="D166" s="17">
        <f t="shared" si="8"/>
        <v>0</v>
      </c>
      <c r="E166" s="17">
        <f t="shared" si="7"/>
        <v>1202</v>
      </c>
      <c r="F166" s="17" t="s">
        <v>4813</v>
      </c>
      <c r="G166" s="17">
        <f>MATCH(E166,Arenas!$F$8:$F$15)</f>
        <v>4</v>
      </c>
      <c r="H166" s="29" t="s">
        <v>1536</v>
      </c>
      <c r="I166" s="33" t="s">
        <v>6134</v>
      </c>
      <c r="J166" s="47" t="s">
        <v>4596</v>
      </c>
      <c r="K166" s="61" t="s">
        <v>4779</v>
      </c>
      <c r="L166" s="12" t="str">
        <f t="shared" si="6"/>
        <v>1,1,1</v>
      </c>
    </row>
    <row r="167" spans="2:12">
      <c r="B167" s="17">
        <v>466</v>
      </c>
      <c r="C167" s="17">
        <v>1</v>
      </c>
      <c r="D167" s="17">
        <f t="shared" si="8"/>
        <v>1</v>
      </c>
      <c r="E167" s="17">
        <f t="shared" si="7"/>
        <v>1203</v>
      </c>
      <c r="F167" s="17" t="s">
        <v>4813</v>
      </c>
      <c r="G167" s="17">
        <f>MATCH(E167,Arenas!$F$8:$F$15)</f>
        <v>4</v>
      </c>
      <c r="H167" s="29" t="s">
        <v>1537</v>
      </c>
      <c r="I167" s="33" t="s">
        <v>6135</v>
      </c>
      <c r="J167" s="47" t="s">
        <v>1069</v>
      </c>
      <c r="K167" s="61" t="s">
        <v>4779</v>
      </c>
      <c r="L167" s="12" t="str">
        <f t="shared" si="6"/>
        <v>1,1,1</v>
      </c>
    </row>
    <row r="168" spans="2:12">
      <c r="B168" s="17">
        <v>467</v>
      </c>
      <c r="C168" s="17">
        <v>1</v>
      </c>
      <c r="D168" s="17">
        <f t="shared" si="8"/>
        <v>0</v>
      </c>
      <c r="E168" s="17">
        <f t="shared" si="7"/>
        <v>1203</v>
      </c>
      <c r="F168" s="17" t="s">
        <v>4813</v>
      </c>
      <c r="G168" s="17">
        <f>MATCH(E168,Arenas!$F$8:$F$15)</f>
        <v>4</v>
      </c>
      <c r="H168" s="29" t="s">
        <v>1538</v>
      </c>
      <c r="I168" s="33" t="s">
        <v>6136</v>
      </c>
      <c r="J168" s="47" t="s">
        <v>4669</v>
      </c>
      <c r="K168" s="61" t="s">
        <v>4779</v>
      </c>
      <c r="L168" s="12" t="str">
        <f t="shared" si="6"/>
        <v>1,1,1</v>
      </c>
    </row>
    <row r="169" spans="2:12">
      <c r="B169" s="17">
        <v>468</v>
      </c>
      <c r="C169" s="17">
        <v>1</v>
      </c>
      <c r="D169" s="17">
        <f t="shared" si="8"/>
        <v>0</v>
      </c>
      <c r="E169" s="17">
        <f t="shared" si="7"/>
        <v>1203</v>
      </c>
      <c r="F169" s="17" t="s">
        <v>4813</v>
      </c>
      <c r="G169" s="17">
        <f>MATCH(E169,Arenas!$F$8:$F$15)</f>
        <v>4</v>
      </c>
      <c r="H169" s="29" t="s">
        <v>1539</v>
      </c>
      <c r="I169" s="33" t="s">
        <v>6137</v>
      </c>
      <c r="J169" s="47" t="s">
        <v>4849</v>
      </c>
      <c r="K169" s="61" t="s">
        <v>4779</v>
      </c>
      <c r="L169" s="12" t="str">
        <f t="shared" si="6"/>
        <v>1,1,1</v>
      </c>
    </row>
    <row r="170" spans="2:12">
      <c r="B170" s="17">
        <v>469</v>
      </c>
      <c r="C170" s="17">
        <v>1</v>
      </c>
      <c r="D170" s="17">
        <f t="shared" si="8"/>
        <v>1</v>
      </c>
      <c r="E170" s="17">
        <f t="shared" si="7"/>
        <v>1204</v>
      </c>
      <c r="F170" s="17" t="s">
        <v>4813</v>
      </c>
      <c r="G170" s="17">
        <f>MATCH(E170,Arenas!$F$8:$F$15)</f>
        <v>4</v>
      </c>
      <c r="H170" s="29" t="s">
        <v>1540</v>
      </c>
      <c r="I170" s="33" t="s">
        <v>6138</v>
      </c>
      <c r="J170" s="47" t="s">
        <v>4868</v>
      </c>
      <c r="K170" s="61" t="s">
        <v>4779</v>
      </c>
      <c r="L170" s="12" t="str">
        <f t="shared" si="6"/>
        <v>1,1,1</v>
      </c>
    </row>
    <row r="171" spans="2:12">
      <c r="B171" s="17">
        <v>470</v>
      </c>
      <c r="C171" s="17">
        <v>1</v>
      </c>
      <c r="D171" s="17">
        <f t="shared" si="8"/>
        <v>0</v>
      </c>
      <c r="E171" s="17">
        <f t="shared" si="7"/>
        <v>1204</v>
      </c>
      <c r="F171" s="17" t="s">
        <v>4813</v>
      </c>
      <c r="G171" s="17">
        <f>MATCH(E171,Arenas!$F$8:$F$15)</f>
        <v>4</v>
      </c>
      <c r="H171" s="29" t="s">
        <v>1541</v>
      </c>
      <c r="I171" s="33" t="s">
        <v>6139</v>
      </c>
      <c r="J171" s="47" t="s">
        <v>4869</v>
      </c>
      <c r="K171" s="61" t="s">
        <v>4779</v>
      </c>
      <c r="L171" s="12" t="str">
        <f t="shared" si="6"/>
        <v>1,1,1</v>
      </c>
    </row>
    <row r="172" spans="2:12">
      <c r="B172" s="17">
        <v>471</v>
      </c>
      <c r="C172" s="17">
        <v>1</v>
      </c>
      <c r="D172" s="17">
        <f t="shared" si="8"/>
        <v>0</v>
      </c>
      <c r="E172" s="17">
        <f t="shared" si="7"/>
        <v>1204</v>
      </c>
      <c r="F172" s="17" t="s">
        <v>4813</v>
      </c>
      <c r="G172" s="17">
        <f>MATCH(E172,Arenas!$F$8:$F$15)</f>
        <v>4</v>
      </c>
      <c r="H172" s="29" t="s">
        <v>1542</v>
      </c>
      <c r="I172" s="33" t="s">
        <v>6140</v>
      </c>
      <c r="J172" s="47" t="s">
        <v>4546</v>
      </c>
      <c r="K172" s="61" t="s">
        <v>4779</v>
      </c>
      <c r="L172" s="12" t="str">
        <f t="shared" si="6"/>
        <v>1,1,1</v>
      </c>
    </row>
    <row r="173" spans="2:12">
      <c r="B173" s="17">
        <v>472</v>
      </c>
      <c r="C173" s="17">
        <v>1</v>
      </c>
      <c r="D173" s="17">
        <f t="shared" si="8"/>
        <v>1</v>
      </c>
      <c r="E173" s="17">
        <f t="shared" si="7"/>
        <v>1205</v>
      </c>
      <c r="F173" s="17" t="s">
        <v>4813</v>
      </c>
      <c r="G173" s="17">
        <f>MATCH(E173,Arenas!$F$8:$F$15)</f>
        <v>4</v>
      </c>
      <c r="H173" s="29" t="s">
        <v>1543</v>
      </c>
      <c r="I173" s="33" t="s">
        <v>6141</v>
      </c>
      <c r="J173" s="47" t="s">
        <v>1065</v>
      </c>
      <c r="K173" s="61" t="s">
        <v>4779</v>
      </c>
      <c r="L173" s="12" t="str">
        <f t="shared" si="6"/>
        <v>1,1,1</v>
      </c>
    </row>
    <row r="174" spans="2:12">
      <c r="B174" s="17">
        <v>473</v>
      </c>
      <c r="C174" s="17">
        <v>1</v>
      </c>
      <c r="D174" s="17">
        <f t="shared" si="8"/>
        <v>0</v>
      </c>
      <c r="E174" s="17">
        <f t="shared" si="7"/>
        <v>1205</v>
      </c>
      <c r="F174" s="17" t="s">
        <v>4813</v>
      </c>
      <c r="G174" s="17">
        <f>MATCH(E174,Arenas!$F$8:$F$15)</f>
        <v>4</v>
      </c>
      <c r="H174" s="29" t="s">
        <v>1544</v>
      </c>
      <c r="I174" s="33" t="s">
        <v>6142</v>
      </c>
      <c r="J174" s="47" t="s">
        <v>4576</v>
      </c>
      <c r="K174" s="61" t="s">
        <v>4779</v>
      </c>
      <c r="L174" s="12" t="str">
        <f t="shared" si="6"/>
        <v>1,1,1</v>
      </c>
    </row>
    <row r="175" spans="2:12">
      <c r="B175" s="17">
        <v>474</v>
      </c>
      <c r="C175" s="17">
        <v>1</v>
      </c>
      <c r="D175" s="17">
        <f t="shared" si="8"/>
        <v>0</v>
      </c>
      <c r="E175" s="17">
        <f t="shared" si="7"/>
        <v>1205</v>
      </c>
      <c r="F175" s="17" t="s">
        <v>4813</v>
      </c>
      <c r="G175" s="17">
        <f>MATCH(E175,Arenas!$F$8:$F$15)</f>
        <v>4</v>
      </c>
      <c r="H175" s="29" t="s">
        <v>1545</v>
      </c>
      <c r="I175" s="33" t="s">
        <v>5641</v>
      </c>
      <c r="J175" s="47" t="s">
        <v>4566</v>
      </c>
      <c r="K175" s="61" t="s">
        <v>4779</v>
      </c>
      <c r="L175" s="12" t="str">
        <f t="shared" si="6"/>
        <v>1,1,1</v>
      </c>
    </row>
    <row r="176" spans="2:12">
      <c r="B176" s="17">
        <v>475</v>
      </c>
      <c r="C176" s="17">
        <v>1</v>
      </c>
      <c r="D176" s="17">
        <f t="shared" si="8"/>
        <v>1</v>
      </c>
      <c r="E176" s="17">
        <f t="shared" si="7"/>
        <v>1206</v>
      </c>
      <c r="F176" s="17" t="s">
        <v>4813</v>
      </c>
      <c r="G176" s="17">
        <f>MATCH(E176,Arenas!$F$8:$F$15)</f>
        <v>4</v>
      </c>
      <c r="H176" s="29" t="s">
        <v>1546</v>
      </c>
      <c r="I176" s="33" t="s">
        <v>6143</v>
      </c>
      <c r="J176" s="47" t="s">
        <v>4620</v>
      </c>
      <c r="K176" s="61" t="s">
        <v>4779</v>
      </c>
      <c r="L176" s="12" t="str">
        <f t="shared" si="6"/>
        <v>1,1,1</v>
      </c>
    </row>
    <row r="177" spans="2:12">
      <c r="B177" s="17">
        <v>476</v>
      </c>
      <c r="C177" s="17">
        <v>1</v>
      </c>
      <c r="D177" s="17">
        <f t="shared" si="8"/>
        <v>0</v>
      </c>
      <c r="E177" s="17">
        <f t="shared" si="7"/>
        <v>1206</v>
      </c>
      <c r="F177" s="17" t="s">
        <v>4813</v>
      </c>
      <c r="G177" s="17">
        <f>MATCH(E177,Arenas!$F$8:$F$15)</f>
        <v>4</v>
      </c>
      <c r="H177" s="29" t="s">
        <v>1547</v>
      </c>
      <c r="I177" s="33" t="s">
        <v>6144</v>
      </c>
      <c r="J177" s="47" t="s">
        <v>4570</v>
      </c>
      <c r="K177" s="61" t="s">
        <v>4779</v>
      </c>
      <c r="L177" s="12" t="str">
        <f t="shared" si="6"/>
        <v>1,1,1</v>
      </c>
    </row>
    <row r="178" spans="2:12">
      <c r="B178" s="17">
        <v>477</v>
      </c>
      <c r="C178" s="17">
        <v>1</v>
      </c>
      <c r="D178" s="17">
        <f t="shared" si="8"/>
        <v>0</v>
      </c>
      <c r="E178" s="17">
        <f t="shared" si="7"/>
        <v>1206</v>
      </c>
      <c r="F178" s="17" t="s">
        <v>4813</v>
      </c>
      <c r="G178" s="17">
        <f>MATCH(E178,Arenas!$F$8:$F$15)</f>
        <v>4</v>
      </c>
      <c r="H178" s="29" t="s">
        <v>1548</v>
      </c>
      <c r="I178" s="33" t="s">
        <v>6145</v>
      </c>
      <c r="J178" s="47" t="s">
        <v>4562</v>
      </c>
      <c r="K178" s="61" t="s">
        <v>4779</v>
      </c>
      <c r="L178" s="12" t="str">
        <f t="shared" si="6"/>
        <v>1,1,1</v>
      </c>
    </row>
    <row r="179" spans="2:12">
      <c r="B179" s="17">
        <v>478</v>
      </c>
      <c r="C179" s="17">
        <v>1</v>
      </c>
      <c r="D179" s="17">
        <f t="shared" si="8"/>
        <v>1</v>
      </c>
      <c r="E179" s="17">
        <f t="shared" si="7"/>
        <v>1207</v>
      </c>
      <c r="F179" s="17" t="s">
        <v>4813</v>
      </c>
      <c r="G179" s="17">
        <f>MATCH(E179,Arenas!$F$8:$F$15)</f>
        <v>4</v>
      </c>
      <c r="H179" s="29" t="s">
        <v>1549</v>
      </c>
      <c r="I179" s="33" t="s">
        <v>6146</v>
      </c>
      <c r="J179" s="47" t="s">
        <v>4849</v>
      </c>
      <c r="K179" s="61" t="s">
        <v>4779</v>
      </c>
      <c r="L179" s="12" t="str">
        <f t="shared" si="6"/>
        <v>1,1,1</v>
      </c>
    </row>
    <row r="180" spans="2:12">
      <c r="B180" s="17">
        <v>479</v>
      </c>
      <c r="C180" s="17">
        <v>1</v>
      </c>
      <c r="D180" s="17">
        <f t="shared" si="8"/>
        <v>0</v>
      </c>
      <c r="E180" s="17">
        <f t="shared" si="7"/>
        <v>1207</v>
      </c>
      <c r="F180" s="17" t="s">
        <v>4813</v>
      </c>
      <c r="G180" s="17">
        <f>MATCH(E180,Arenas!$F$8:$F$15)</f>
        <v>4</v>
      </c>
      <c r="H180" s="29" t="s">
        <v>1550</v>
      </c>
      <c r="I180" s="33" t="s">
        <v>6147</v>
      </c>
      <c r="J180" s="47" t="s">
        <v>4875</v>
      </c>
      <c r="K180" s="61" t="s">
        <v>4779</v>
      </c>
      <c r="L180" s="12" t="str">
        <f t="shared" si="6"/>
        <v>1,1,1</v>
      </c>
    </row>
    <row r="181" spans="2:12">
      <c r="B181" s="17">
        <v>480</v>
      </c>
      <c r="C181" s="17">
        <v>1</v>
      </c>
      <c r="D181" s="17">
        <f t="shared" si="8"/>
        <v>0</v>
      </c>
      <c r="E181" s="17">
        <f t="shared" si="7"/>
        <v>1207</v>
      </c>
      <c r="F181" s="17" t="s">
        <v>4813</v>
      </c>
      <c r="G181" s="17">
        <f>MATCH(E181,Arenas!$F$8:$F$15)</f>
        <v>4</v>
      </c>
      <c r="H181" s="29" t="s">
        <v>1551</v>
      </c>
      <c r="I181" s="33" t="s">
        <v>6148</v>
      </c>
      <c r="J181" s="47" t="s">
        <v>4672</v>
      </c>
      <c r="K181" s="61" t="s">
        <v>4779</v>
      </c>
      <c r="L181" s="12" t="str">
        <f t="shared" si="6"/>
        <v>1,1,1</v>
      </c>
    </row>
    <row r="182" spans="2:12">
      <c r="B182" s="17">
        <v>481</v>
      </c>
      <c r="C182" s="17">
        <v>1</v>
      </c>
      <c r="D182" s="17">
        <f t="shared" si="8"/>
        <v>1</v>
      </c>
      <c r="E182" s="17">
        <f t="shared" si="7"/>
        <v>1208</v>
      </c>
      <c r="F182" s="17" t="s">
        <v>4813</v>
      </c>
      <c r="G182" s="17">
        <f>MATCH(E182,Arenas!$F$8:$F$15)</f>
        <v>4</v>
      </c>
      <c r="H182" s="29" t="s">
        <v>1552</v>
      </c>
      <c r="I182" s="33" t="s">
        <v>6149</v>
      </c>
      <c r="J182" s="47" t="s">
        <v>4618</v>
      </c>
      <c r="K182" s="61" t="s">
        <v>4779</v>
      </c>
      <c r="L182" s="12" t="str">
        <f t="shared" si="6"/>
        <v>1,1,1</v>
      </c>
    </row>
    <row r="183" spans="2:12">
      <c r="B183" s="17">
        <v>482</v>
      </c>
      <c r="C183" s="17">
        <v>1</v>
      </c>
      <c r="D183" s="17">
        <f t="shared" si="8"/>
        <v>0</v>
      </c>
      <c r="E183" s="17">
        <f t="shared" si="7"/>
        <v>1208</v>
      </c>
      <c r="F183" s="17" t="s">
        <v>4813</v>
      </c>
      <c r="G183" s="17">
        <f>MATCH(E183,Arenas!$F$8:$F$15)</f>
        <v>4</v>
      </c>
      <c r="H183" s="29" t="s">
        <v>1553</v>
      </c>
      <c r="I183" s="33" t="s">
        <v>6150</v>
      </c>
      <c r="J183" s="47" t="s">
        <v>4576</v>
      </c>
      <c r="K183" s="61" t="s">
        <v>4779</v>
      </c>
      <c r="L183" s="12" t="str">
        <f t="shared" si="6"/>
        <v>1,1,1</v>
      </c>
    </row>
    <row r="184" spans="2:12">
      <c r="B184" s="17">
        <v>483</v>
      </c>
      <c r="C184" s="17">
        <v>1</v>
      </c>
      <c r="D184" s="17">
        <f t="shared" si="8"/>
        <v>0</v>
      </c>
      <c r="E184" s="17">
        <f t="shared" si="7"/>
        <v>1208</v>
      </c>
      <c r="F184" s="17" t="s">
        <v>4813</v>
      </c>
      <c r="G184" s="17">
        <f>MATCH(E184,Arenas!$F$8:$F$15)</f>
        <v>4</v>
      </c>
      <c r="H184" s="29" t="s">
        <v>1554</v>
      </c>
      <c r="I184" s="33" t="s">
        <v>6151</v>
      </c>
      <c r="J184" s="47" t="s">
        <v>4853</v>
      </c>
      <c r="K184" s="61" t="s">
        <v>4779</v>
      </c>
      <c r="L184" s="12" t="str">
        <f t="shared" si="6"/>
        <v>1,1,1</v>
      </c>
    </row>
    <row r="185" spans="2:12">
      <c r="B185" s="17">
        <v>484</v>
      </c>
      <c r="C185" s="17">
        <v>1</v>
      </c>
      <c r="D185" s="17">
        <f t="shared" si="8"/>
        <v>1</v>
      </c>
      <c r="E185" s="17">
        <f t="shared" si="7"/>
        <v>1209</v>
      </c>
      <c r="F185" s="17" t="s">
        <v>4813</v>
      </c>
      <c r="G185" s="17">
        <f>MATCH(E185,Arenas!$F$8:$F$15)</f>
        <v>4</v>
      </c>
      <c r="H185" s="29" t="s">
        <v>1555</v>
      </c>
      <c r="I185" s="33" t="s">
        <v>6152</v>
      </c>
      <c r="J185" s="47" t="s">
        <v>4900</v>
      </c>
      <c r="K185" s="61" t="s">
        <v>4779</v>
      </c>
      <c r="L185" s="12" t="str">
        <f t="shared" si="6"/>
        <v>1,1,1</v>
      </c>
    </row>
    <row r="186" spans="2:12">
      <c r="B186" s="17">
        <v>485</v>
      </c>
      <c r="C186" s="17">
        <v>1</v>
      </c>
      <c r="D186" s="17">
        <f t="shared" si="8"/>
        <v>0</v>
      </c>
      <c r="E186" s="17">
        <f t="shared" si="7"/>
        <v>1209</v>
      </c>
      <c r="F186" s="17" t="s">
        <v>4813</v>
      </c>
      <c r="G186" s="17">
        <f>MATCH(E186,Arenas!$F$8:$F$15)</f>
        <v>4</v>
      </c>
      <c r="H186" s="29" t="s">
        <v>1556</v>
      </c>
      <c r="I186" s="33" t="s">
        <v>6153</v>
      </c>
      <c r="J186" s="47" t="s">
        <v>5188</v>
      </c>
      <c r="K186" s="61" t="s">
        <v>4779</v>
      </c>
      <c r="L186" s="12" t="str">
        <f t="shared" si="6"/>
        <v>1,1,1</v>
      </c>
    </row>
    <row r="187" spans="2:12">
      <c r="B187" s="17">
        <v>486</v>
      </c>
      <c r="C187" s="17">
        <v>1</v>
      </c>
      <c r="D187" s="17">
        <f t="shared" si="8"/>
        <v>0</v>
      </c>
      <c r="E187" s="17">
        <f t="shared" si="7"/>
        <v>1209</v>
      </c>
      <c r="F187" s="17" t="s">
        <v>4813</v>
      </c>
      <c r="G187" s="17">
        <f>MATCH(E187,Arenas!$F$8:$F$15)</f>
        <v>4</v>
      </c>
      <c r="H187" s="29" t="s">
        <v>1557</v>
      </c>
      <c r="I187" s="33" t="s">
        <v>6154</v>
      </c>
      <c r="J187" s="47" t="s">
        <v>4849</v>
      </c>
      <c r="K187" s="61" t="s">
        <v>4779</v>
      </c>
      <c r="L187" s="12" t="str">
        <f t="shared" si="6"/>
        <v>1,1,1</v>
      </c>
    </row>
    <row r="188" spans="2:12">
      <c r="B188" s="17">
        <v>487</v>
      </c>
      <c r="C188" s="17">
        <v>1</v>
      </c>
      <c r="D188" s="17">
        <f t="shared" si="8"/>
        <v>1</v>
      </c>
      <c r="E188" s="17">
        <f t="shared" si="7"/>
        <v>1210</v>
      </c>
      <c r="F188" s="17" t="s">
        <v>4813</v>
      </c>
      <c r="G188" s="17">
        <f>MATCH(E188,Arenas!$F$8:$F$15)</f>
        <v>4</v>
      </c>
      <c r="H188" s="29" t="s">
        <v>1558</v>
      </c>
      <c r="I188" s="33" t="s">
        <v>6155</v>
      </c>
      <c r="J188" s="47" t="s">
        <v>4577</v>
      </c>
      <c r="K188" s="61" t="s">
        <v>4779</v>
      </c>
      <c r="L188" s="12" t="str">
        <f t="shared" si="6"/>
        <v>1,1,1</v>
      </c>
    </row>
    <row r="189" spans="2:12">
      <c r="B189" s="17">
        <v>488</v>
      </c>
      <c r="C189" s="17">
        <v>1</v>
      </c>
      <c r="D189" s="17">
        <f t="shared" si="8"/>
        <v>0</v>
      </c>
      <c r="E189" s="17">
        <f t="shared" si="7"/>
        <v>1210</v>
      </c>
      <c r="F189" s="17" t="s">
        <v>4813</v>
      </c>
      <c r="G189" s="17">
        <f>MATCH(E189,Arenas!$F$8:$F$15)</f>
        <v>4</v>
      </c>
      <c r="H189" s="29" t="s">
        <v>1559</v>
      </c>
      <c r="I189" s="33" t="s">
        <v>6156</v>
      </c>
      <c r="J189" s="47" t="s">
        <v>4881</v>
      </c>
      <c r="K189" s="61" t="s">
        <v>4779</v>
      </c>
      <c r="L189" s="12" t="str">
        <f t="shared" si="6"/>
        <v>1,1,1</v>
      </c>
    </row>
    <row r="190" spans="2:12">
      <c r="B190" s="17">
        <v>489</v>
      </c>
      <c r="C190" s="17">
        <v>1</v>
      </c>
      <c r="D190" s="17">
        <f t="shared" si="8"/>
        <v>0</v>
      </c>
      <c r="E190" s="17">
        <f t="shared" si="7"/>
        <v>1210</v>
      </c>
      <c r="F190" s="17" t="s">
        <v>4813</v>
      </c>
      <c r="G190" s="17">
        <f>MATCH(E190,Arenas!$F$8:$F$15)</f>
        <v>4</v>
      </c>
      <c r="H190" s="29" t="s">
        <v>1560</v>
      </c>
      <c r="I190" s="33" t="s">
        <v>6157</v>
      </c>
      <c r="J190" s="47" t="s">
        <v>4676</v>
      </c>
      <c r="K190" s="61" t="s">
        <v>4779</v>
      </c>
      <c r="L190" s="12" t="str">
        <f t="shared" si="6"/>
        <v>1,1,1</v>
      </c>
    </row>
    <row r="191" spans="2:12">
      <c r="B191" s="17">
        <v>490</v>
      </c>
      <c r="C191" s="17">
        <v>1</v>
      </c>
      <c r="D191" s="17">
        <f t="shared" si="8"/>
        <v>1</v>
      </c>
      <c r="E191" s="17">
        <f t="shared" si="7"/>
        <v>1211</v>
      </c>
      <c r="F191" s="17" t="s">
        <v>4813</v>
      </c>
      <c r="G191" s="17">
        <f>MATCH(E191,Arenas!$F$8:$F$15)</f>
        <v>4</v>
      </c>
      <c r="H191" s="29" t="s">
        <v>1561</v>
      </c>
      <c r="I191" s="33" t="s">
        <v>6158</v>
      </c>
      <c r="J191" s="47" t="s">
        <v>4614</v>
      </c>
      <c r="K191" s="61" t="s">
        <v>4779</v>
      </c>
      <c r="L191" s="12" t="str">
        <f t="shared" si="6"/>
        <v>1,1,1</v>
      </c>
    </row>
    <row r="192" spans="2:12">
      <c r="B192" s="17">
        <v>491</v>
      </c>
      <c r="C192" s="17">
        <v>1</v>
      </c>
      <c r="D192" s="17">
        <f t="shared" si="8"/>
        <v>0</v>
      </c>
      <c r="E192" s="17">
        <f t="shared" si="7"/>
        <v>1211</v>
      </c>
      <c r="F192" s="17" t="s">
        <v>4813</v>
      </c>
      <c r="G192" s="17">
        <f>MATCH(E192,Arenas!$F$8:$F$15)</f>
        <v>4</v>
      </c>
      <c r="H192" s="29" t="s">
        <v>1562</v>
      </c>
      <c r="I192" s="33" t="s">
        <v>6159</v>
      </c>
      <c r="J192" s="47" t="s">
        <v>4877</v>
      </c>
      <c r="K192" s="61" t="s">
        <v>4779</v>
      </c>
      <c r="L192" s="12" t="str">
        <f t="shared" si="6"/>
        <v>1,1,1</v>
      </c>
    </row>
    <row r="193" spans="2:12">
      <c r="B193" s="17">
        <v>492</v>
      </c>
      <c r="C193" s="17">
        <v>1</v>
      </c>
      <c r="D193" s="17">
        <f t="shared" si="8"/>
        <v>0</v>
      </c>
      <c r="E193" s="17">
        <f t="shared" si="7"/>
        <v>1211</v>
      </c>
      <c r="F193" s="17" t="s">
        <v>4813</v>
      </c>
      <c r="G193" s="17">
        <f>MATCH(E193,Arenas!$F$8:$F$15)</f>
        <v>4</v>
      </c>
      <c r="H193" s="29" t="s">
        <v>1563</v>
      </c>
      <c r="I193" s="33" t="s">
        <v>6160</v>
      </c>
      <c r="J193" s="47" t="s">
        <v>4576</v>
      </c>
      <c r="K193" s="61" t="s">
        <v>4779</v>
      </c>
      <c r="L193" s="12" t="str">
        <f t="shared" si="6"/>
        <v>1,1,1</v>
      </c>
    </row>
    <row r="194" spans="2:12">
      <c r="B194" s="17">
        <v>493</v>
      </c>
      <c r="C194" s="17">
        <v>1</v>
      </c>
      <c r="D194" s="17">
        <f t="shared" si="8"/>
        <v>1</v>
      </c>
      <c r="E194" s="17">
        <f t="shared" si="7"/>
        <v>1212</v>
      </c>
      <c r="F194" s="17" t="s">
        <v>4813</v>
      </c>
      <c r="G194" s="17">
        <f>MATCH(E194,Arenas!$F$8:$F$15)</f>
        <v>4</v>
      </c>
      <c r="H194" s="29" t="s">
        <v>1564</v>
      </c>
      <c r="I194" s="33" t="s">
        <v>6161</v>
      </c>
      <c r="J194" s="47" t="s">
        <v>4600</v>
      </c>
      <c r="K194" s="61" t="s">
        <v>4779</v>
      </c>
      <c r="L194" s="12" t="str">
        <f t="shared" ref="L194:L257" si="9">C194&amp;","&amp;C194&amp;","&amp;C194</f>
        <v>1,1,1</v>
      </c>
    </row>
    <row r="195" spans="2:12">
      <c r="B195" s="17">
        <v>494</v>
      </c>
      <c r="C195" s="17">
        <v>1</v>
      </c>
      <c r="D195" s="17">
        <f t="shared" si="8"/>
        <v>0</v>
      </c>
      <c r="E195" s="17">
        <f t="shared" ref="E195:E258" si="10">D195+E194</f>
        <v>1212</v>
      </c>
      <c r="F195" s="17" t="s">
        <v>4813</v>
      </c>
      <c r="G195" s="17">
        <f>MATCH(E195,Arenas!$F$8:$F$15)</f>
        <v>4</v>
      </c>
      <c r="H195" s="29" t="s">
        <v>1565</v>
      </c>
      <c r="I195" s="33" t="s">
        <v>6162</v>
      </c>
      <c r="J195" s="47" t="s">
        <v>4852</v>
      </c>
      <c r="K195" s="61" t="s">
        <v>4779</v>
      </c>
      <c r="L195" s="12" t="str">
        <f t="shared" si="9"/>
        <v>1,1,1</v>
      </c>
    </row>
    <row r="196" spans="2:12">
      <c r="B196" s="17">
        <v>495</v>
      </c>
      <c r="C196" s="17">
        <v>1</v>
      </c>
      <c r="D196" s="17">
        <f t="shared" si="8"/>
        <v>0</v>
      </c>
      <c r="E196" s="17">
        <f t="shared" si="10"/>
        <v>1212</v>
      </c>
      <c r="F196" s="17" t="s">
        <v>4813</v>
      </c>
      <c r="G196" s="17">
        <f>MATCH(E196,Arenas!$F$8:$F$15)</f>
        <v>4</v>
      </c>
      <c r="H196" s="29" t="s">
        <v>1566</v>
      </c>
      <c r="I196" s="33" t="s">
        <v>6163</v>
      </c>
      <c r="J196" s="47" t="s">
        <v>1066</v>
      </c>
      <c r="K196" s="61" t="s">
        <v>4779</v>
      </c>
      <c r="L196" s="12" t="str">
        <f t="shared" si="9"/>
        <v>1,1,1</v>
      </c>
    </row>
    <row r="197" spans="2:12">
      <c r="B197" s="17">
        <v>496</v>
      </c>
      <c r="C197" s="17">
        <v>1</v>
      </c>
      <c r="D197" s="17">
        <f t="shared" ref="D197:D260" si="11">D194</f>
        <v>1</v>
      </c>
      <c r="E197" s="17">
        <f t="shared" si="10"/>
        <v>1213</v>
      </c>
      <c r="F197" s="17" t="s">
        <v>4813</v>
      </c>
      <c r="G197" s="17">
        <f>MATCH(E197,Arenas!$F$8:$F$15)</f>
        <v>4</v>
      </c>
      <c r="H197" s="29" t="s">
        <v>1567</v>
      </c>
      <c r="I197" s="33" t="s">
        <v>6164</v>
      </c>
      <c r="J197" s="47" t="s">
        <v>4860</v>
      </c>
      <c r="K197" s="61" t="s">
        <v>4779</v>
      </c>
      <c r="L197" s="12" t="str">
        <f t="shared" si="9"/>
        <v>1,1,1</v>
      </c>
    </row>
    <row r="198" spans="2:12">
      <c r="B198" s="17">
        <v>497</v>
      </c>
      <c r="C198" s="17">
        <v>1</v>
      </c>
      <c r="D198" s="17">
        <f t="shared" si="11"/>
        <v>0</v>
      </c>
      <c r="E198" s="17">
        <f t="shared" si="10"/>
        <v>1213</v>
      </c>
      <c r="F198" s="17" t="s">
        <v>4813</v>
      </c>
      <c r="G198" s="17">
        <f>MATCH(E198,Arenas!$F$8:$F$15)</f>
        <v>4</v>
      </c>
      <c r="H198" s="29" t="s">
        <v>1568</v>
      </c>
      <c r="I198" s="33" t="s">
        <v>6165</v>
      </c>
      <c r="J198" s="47" t="s">
        <v>4627</v>
      </c>
      <c r="K198" s="61" t="s">
        <v>4779</v>
      </c>
      <c r="L198" s="12" t="str">
        <f t="shared" si="9"/>
        <v>1,1,1</v>
      </c>
    </row>
    <row r="199" spans="2:12">
      <c r="B199" s="17">
        <v>498</v>
      </c>
      <c r="C199" s="17">
        <v>1</v>
      </c>
      <c r="D199" s="17">
        <f t="shared" si="11"/>
        <v>0</v>
      </c>
      <c r="E199" s="17">
        <f t="shared" si="10"/>
        <v>1213</v>
      </c>
      <c r="F199" s="17" t="s">
        <v>4813</v>
      </c>
      <c r="G199" s="17">
        <f>MATCH(E199,Arenas!$F$8:$F$15)</f>
        <v>4</v>
      </c>
      <c r="H199" s="29" t="s">
        <v>1569</v>
      </c>
      <c r="I199" s="33" t="s">
        <v>6166</v>
      </c>
      <c r="J199" s="47" t="s">
        <v>1071</v>
      </c>
      <c r="K199" s="61" t="s">
        <v>4779</v>
      </c>
      <c r="L199" s="12" t="str">
        <f t="shared" si="9"/>
        <v>1,1,1</v>
      </c>
    </row>
    <row r="200" spans="2:12">
      <c r="B200" s="17">
        <v>499</v>
      </c>
      <c r="C200" s="17">
        <v>1</v>
      </c>
      <c r="D200" s="17">
        <f t="shared" si="11"/>
        <v>1</v>
      </c>
      <c r="E200" s="17">
        <f t="shared" si="10"/>
        <v>1214</v>
      </c>
      <c r="F200" s="17" t="s">
        <v>4813</v>
      </c>
      <c r="G200" s="17">
        <f>MATCH(E200,Arenas!$F$8:$F$15)</f>
        <v>4</v>
      </c>
      <c r="H200" s="29" t="s">
        <v>1570</v>
      </c>
      <c r="I200" s="33" t="s">
        <v>6167</v>
      </c>
      <c r="J200" s="47" t="s">
        <v>4864</v>
      </c>
      <c r="K200" s="61" t="s">
        <v>4779</v>
      </c>
      <c r="L200" s="12" t="str">
        <f t="shared" si="9"/>
        <v>1,1,1</v>
      </c>
    </row>
    <row r="201" spans="2:12">
      <c r="B201" s="17">
        <v>500</v>
      </c>
      <c r="C201" s="17">
        <v>1</v>
      </c>
      <c r="D201" s="17">
        <f t="shared" si="11"/>
        <v>0</v>
      </c>
      <c r="E201" s="17">
        <f t="shared" si="10"/>
        <v>1214</v>
      </c>
      <c r="F201" s="17" t="s">
        <v>4813</v>
      </c>
      <c r="G201" s="17">
        <f>MATCH(E201,Arenas!$F$8:$F$15)</f>
        <v>4</v>
      </c>
      <c r="H201" s="29" t="s">
        <v>1571</v>
      </c>
      <c r="I201" s="33" t="s">
        <v>6168</v>
      </c>
      <c r="J201" s="47" t="s">
        <v>4880</v>
      </c>
      <c r="K201" s="61" t="s">
        <v>4779</v>
      </c>
      <c r="L201" s="12" t="str">
        <f t="shared" si="9"/>
        <v>1,1,1</v>
      </c>
    </row>
    <row r="202" spans="2:12">
      <c r="B202" s="17">
        <v>501</v>
      </c>
      <c r="C202" s="17">
        <v>1</v>
      </c>
      <c r="D202" s="17">
        <f t="shared" si="11"/>
        <v>0</v>
      </c>
      <c r="E202" s="17">
        <f t="shared" si="10"/>
        <v>1214</v>
      </c>
      <c r="F202" s="17" t="s">
        <v>4813</v>
      </c>
      <c r="G202" s="17">
        <f>MATCH(E202,Arenas!$F$8:$F$15)</f>
        <v>4</v>
      </c>
      <c r="H202" s="29" t="s">
        <v>1572</v>
      </c>
      <c r="I202" s="33" t="s">
        <v>6169</v>
      </c>
      <c r="J202" s="47" t="s">
        <v>4587</v>
      </c>
      <c r="K202" s="61" t="s">
        <v>4779</v>
      </c>
      <c r="L202" s="12" t="str">
        <f t="shared" si="9"/>
        <v>1,1,1</v>
      </c>
    </row>
    <row r="203" spans="2:12">
      <c r="B203" s="17">
        <v>502</v>
      </c>
      <c r="C203" s="17">
        <v>1</v>
      </c>
      <c r="D203" s="17">
        <f t="shared" si="11"/>
        <v>1</v>
      </c>
      <c r="E203" s="17">
        <f t="shared" si="10"/>
        <v>1215</v>
      </c>
      <c r="F203" s="17" t="s">
        <v>4813</v>
      </c>
      <c r="G203" s="17">
        <f>MATCH(E203,Arenas!$F$8:$F$15)</f>
        <v>4</v>
      </c>
      <c r="H203" s="29" t="s">
        <v>1573</v>
      </c>
      <c r="I203" s="33" t="s">
        <v>6170</v>
      </c>
      <c r="J203" s="47" t="s">
        <v>1071</v>
      </c>
      <c r="K203" s="61" t="s">
        <v>4779</v>
      </c>
      <c r="L203" s="12" t="str">
        <f t="shared" si="9"/>
        <v>1,1,1</v>
      </c>
    </row>
    <row r="204" spans="2:12">
      <c r="B204" s="17">
        <v>503</v>
      </c>
      <c r="C204" s="17">
        <v>1</v>
      </c>
      <c r="D204" s="17">
        <f t="shared" si="11"/>
        <v>0</v>
      </c>
      <c r="E204" s="17">
        <f t="shared" si="10"/>
        <v>1215</v>
      </c>
      <c r="F204" s="17" t="s">
        <v>4813</v>
      </c>
      <c r="G204" s="17">
        <f>MATCH(E204,Arenas!$F$8:$F$15)</f>
        <v>4</v>
      </c>
      <c r="H204" s="29" t="s">
        <v>1574</v>
      </c>
      <c r="I204" s="33" t="s">
        <v>6171</v>
      </c>
      <c r="J204" s="47" t="s">
        <v>4606</v>
      </c>
      <c r="K204" s="61" t="s">
        <v>4779</v>
      </c>
      <c r="L204" s="12" t="str">
        <f t="shared" si="9"/>
        <v>1,1,1</v>
      </c>
    </row>
    <row r="205" spans="2:12">
      <c r="B205" s="17">
        <v>504</v>
      </c>
      <c r="C205" s="17">
        <v>1</v>
      </c>
      <c r="D205" s="17">
        <f t="shared" si="11"/>
        <v>0</v>
      </c>
      <c r="E205" s="17">
        <f t="shared" si="10"/>
        <v>1215</v>
      </c>
      <c r="F205" s="17" t="s">
        <v>4813</v>
      </c>
      <c r="G205" s="17">
        <f>MATCH(E205,Arenas!$F$8:$F$15)</f>
        <v>4</v>
      </c>
      <c r="H205" s="29" t="s">
        <v>1575</v>
      </c>
      <c r="I205" s="33" t="s">
        <v>6172</v>
      </c>
      <c r="J205" s="47" t="s">
        <v>4618</v>
      </c>
      <c r="K205" s="61" t="s">
        <v>4779</v>
      </c>
      <c r="L205" s="12" t="str">
        <f t="shared" si="9"/>
        <v>1,1,1</v>
      </c>
    </row>
    <row r="206" spans="2:12">
      <c r="B206" s="17">
        <v>505</v>
      </c>
      <c r="C206" s="17">
        <v>1</v>
      </c>
      <c r="D206" s="17">
        <f t="shared" si="11"/>
        <v>1</v>
      </c>
      <c r="E206" s="17">
        <f t="shared" si="10"/>
        <v>1216</v>
      </c>
      <c r="F206" s="17" t="s">
        <v>4813</v>
      </c>
      <c r="G206" s="17">
        <f>MATCH(E206,Arenas!$F$8:$F$15)</f>
        <v>4</v>
      </c>
      <c r="H206" s="29" t="s">
        <v>1576</v>
      </c>
      <c r="I206" s="33" t="s">
        <v>6173</v>
      </c>
      <c r="J206" s="47" t="s">
        <v>4867</v>
      </c>
      <c r="K206" s="61" t="s">
        <v>4779</v>
      </c>
      <c r="L206" s="12" t="str">
        <f t="shared" si="9"/>
        <v>1,1,1</v>
      </c>
    </row>
    <row r="207" spans="2:12">
      <c r="B207" s="17">
        <v>506</v>
      </c>
      <c r="C207" s="17">
        <v>1</v>
      </c>
      <c r="D207" s="17">
        <f t="shared" si="11"/>
        <v>0</v>
      </c>
      <c r="E207" s="17">
        <f t="shared" si="10"/>
        <v>1216</v>
      </c>
      <c r="F207" s="17" t="s">
        <v>4813</v>
      </c>
      <c r="G207" s="17">
        <f>MATCH(E207,Arenas!$F$8:$F$15)</f>
        <v>4</v>
      </c>
      <c r="H207" s="29" t="s">
        <v>1577</v>
      </c>
      <c r="I207" s="33" t="s">
        <v>6174</v>
      </c>
      <c r="J207" s="47" t="s">
        <v>4939</v>
      </c>
      <c r="K207" s="61" t="s">
        <v>4779</v>
      </c>
      <c r="L207" s="12" t="str">
        <f t="shared" si="9"/>
        <v>1,1,1</v>
      </c>
    </row>
    <row r="208" spans="2:12">
      <c r="B208" s="17">
        <v>507</v>
      </c>
      <c r="C208" s="17">
        <v>1</v>
      </c>
      <c r="D208" s="17">
        <f t="shared" si="11"/>
        <v>0</v>
      </c>
      <c r="E208" s="17">
        <f t="shared" si="10"/>
        <v>1216</v>
      </c>
      <c r="F208" s="17" t="s">
        <v>4813</v>
      </c>
      <c r="G208" s="17">
        <f>MATCH(E208,Arenas!$F$8:$F$15)</f>
        <v>4</v>
      </c>
      <c r="H208" s="29" t="s">
        <v>1578</v>
      </c>
      <c r="I208" s="33" t="s">
        <v>6175</v>
      </c>
      <c r="J208" s="47" t="s">
        <v>1066</v>
      </c>
      <c r="K208" s="61" t="s">
        <v>4779</v>
      </c>
      <c r="L208" s="12" t="str">
        <f t="shared" si="9"/>
        <v>1,1,1</v>
      </c>
    </row>
    <row r="209" spans="2:12">
      <c r="B209" s="17">
        <v>508</v>
      </c>
      <c r="C209" s="17">
        <v>1</v>
      </c>
      <c r="D209" s="17">
        <f t="shared" si="11"/>
        <v>1</v>
      </c>
      <c r="E209" s="17">
        <f t="shared" si="10"/>
        <v>1217</v>
      </c>
      <c r="F209" s="17" t="s">
        <v>4813</v>
      </c>
      <c r="G209" s="17">
        <f>MATCH(E209,Arenas!$F$8:$F$15)</f>
        <v>4</v>
      </c>
      <c r="H209" s="29" t="s">
        <v>1579</v>
      </c>
      <c r="I209" s="33" t="s">
        <v>6176</v>
      </c>
      <c r="J209" s="47" t="s">
        <v>4555</v>
      </c>
      <c r="K209" s="61" t="s">
        <v>4779</v>
      </c>
      <c r="L209" s="12" t="str">
        <f t="shared" si="9"/>
        <v>1,1,1</v>
      </c>
    </row>
    <row r="210" spans="2:12">
      <c r="B210" s="17">
        <v>509</v>
      </c>
      <c r="C210" s="17">
        <v>1</v>
      </c>
      <c r="D210" s="17">
        <f t="shared" si="11"/>
        <v>0</v>
      </c>
      <c r="E210" s="17">
        <f t="shared" si="10"/>
        <v>1217</v>
      </c>
      <c r="F210" s="17" t="s">
        <v>4813</v>
      </c>
      <c r="G210" s="17">
        <f>MATCH(E210,Arenas!$F$8:$F$15)</f>
        <v>4</v>
      </c>
      <c r="H210" s="29" t="s">
        <v>1580</v>
      </c>
      <c r="I210" s="33" t="s">
        <v>6177</v>
      </c>
      <c r="J210" s="47" t="s">
        <v>4880</v>
      </c>
      <c r="K210" s="61" t="s">
        <v>4779</v>
      </c>
      <c r="L210" s="12" t="str">
        <f t="shared" si="9"/>
        <v>1,1,1</v>
      </c>
    </row>
    <row r="211" spans="2:12">
      <c r="B211" s="17">
        <v>510</v>
      </c>
      <c r="C211" s="17">
        <v>1</v>
      </c>
      <c r="D211" s="17">
        <f t="shared" si="11"/>
        <v>0</v>
      </c>
      <c r="E211" s="17">
        <f t="shared" si="10"/>
        <v>1217</v>
      </c>
      <c r="F211" s="17" t="s">
        <v>4813</v>
      </c>
      <c r="G211" s="17">
        <f>MATCH(E211,Arenas!$F$8:$F$15)</f>
        <v>4</v>
      </c>
      <c r="H211" s="29" t="s">
        <v>1581</v>
      </c>
      <c r="I211" s="33" t="s">
        <v>6178</v>
      </c>
      <c r="J211" s="47" t="s">
        <v>4612</v>
      </c>
      <c r="K211" s="61" t="s">
        <v>4779</v>
      </c>
      <c r="L211" s="12" t="str">
        <f t="shared" si="9"/>
        <v>1,1,1</v>
      </c>
    </row>
    <row r="212" spans="2:12">
      <c r="B212" s="17">
        <v>511</v>
      </c>
      <c r="C212" s="17">
        <v>1</v>
      </c>
      <c r="D212" s="17">
        <f t="shared" si="11"/>
        <v>1</v>
      </c>
      <c r="E212" s="17">
        <f t="shared" si="10"/>
        <v>1218</v>
      </c>
      <c r="F212" s="17" t="s">
        <v>4813</v>
      </c>
      <c r="G212" s="17">
        <f>MATCH(E212,Arenas!$F$8:$F$15)</f>
        <v>4</v>
      </c>
      <c r="H212" s="29" t="s">
        <v>1582</v>
      </c>
      <c r="I212" s="33" t="s">
        <v>6179</v>
      </c>
      <c r="J212" s="47" t="s">
        <v>4882</v>
      </c>
      <c r="K212" s="61" t="s">
        <v>4779</v>
      </c>
      <c r="L212" s="12" t="str">
        <f t="shared" si="9"/>
        <v>1,1,1</v>
      </c>
    </row>
    <row r="213" spans="2:12">
      <c r="B213" s="17">
        <v>512</v>
      </c>
      <c r="C213" s="17">
        <v>1</v>
      </c>
      <c r="D213" s="17">
        <f t="shared" si="11"/>
        <v>0</v>
      </c>
      <c r="E213" s="17">
        <f t="shared" si="10"/>
        <v>1218</v>
      </c>
      <c r="F213" s="17" t="s">
        <v>4813</v>
      </c>
      <c r="G213" s="17">
        <f>MATCH(E213,Arenas!$F$8:$F$15)</f>
        <v>4</v>
      </c>
      <c r="H213" s="29" t="s">
        <v>1583</v>
      </c>
      <c r="I213" s="33" t="s">
        <v>6180</v>
      </c>
      <c r="J213" s="47" t="s">
        <v>4616</v>
      </c>
      <c r="K213" s="61" t="s">
        <v>4779</v>
      </c>
      <c r="L213" s="12" t="str">
        <f t="shared" si="9"/>
        <v>1,1,1</v>
      </c>
    </row>
    <row r="214" spans="2:12">
      <c r="B214" s="17">
        <v>513</v>
      </c>
      <c r="C214" s="17">
        <v>1</v>
      </c>
      <c r="D214" s="17">
        <f t="shared" si="11"/>
        <v>0</v>
      </c>
      <c r="E214" s="17">
        <f t="shared" si="10"/>
        <v>1218</v>
      </c>
      <c r="F214" s="17" t="s">
        <v>4813</v>
      </c>
      <c r="G214" s="17">
        <f>MATCH(E214,Arenas!$F$8:$F$15)</f>
        <v>4</v>
      </c>
      <c r="H214" s="29" t="s">
        <v>1584</v>
      </c>
      <c r="I214" s="33" t="s">
        <v>6181</v>
      </c>
      <c r="J214" s="47" t="s">
        <v>4633</v>
      </c>
      <c r="K214" s="61" t="s">
        <v>4779</v>
      </c>
      <c r="L214" s="12" t="str">
        <f t="shared" si="9"/>
        <v>1,1,1</v>
      </c>
    </row>
    <row r="215" spans="2:12">
      <c r="B215" s="17">
        <v>514</v>
      </c>
      <c r="C215" s="17">
        <v>1</v>
      </c>
      <c r="D215" s="17">
        <f t="shared" si="11"/>
        <v>1</v>
      </c>
      <c r="E215" s="17">
        <f t="shared" si="10"/>
        <v>1219</v>
      </c>
      <c r="F215" s="17" t="s">
        <v>4813</v>
      </c>
      <c r="G215" s="17">
        <f>MATCH(E215,Arenas!$F$8:$F$15)</f>
        <v>4</v>
      </c>
      <c r="H215" s="29" t="s">
        <v>1585</v>
      </c>
      <c r="I215" s="33" t="s">
        <v>6182</v>
      </c>
      <c r="J215" s="47" t="s">
        <v>4577</v>
      </c>
      <c r="K215" s="61" t="s">
        <v>4779</v>
      </c>
      <c r="L215" s="12" t="str">
        <f t="shared" si="9"/>
        <v>1,1,1</v>
      </c>
    </row>
    <row r="216" spans="2:12">
      <c r="B216" s="17">
        <v>515</v>
      </c>
      <c r="C216" s="17">
        <v>1</v>
      </c>
      <c r="D216" s="17">
        <f t="shared" si="11"/>
        <v>0</v>
      </c>
      <c r="E216" s="17">
        <f t="shared" si="10"/>
        <v>1219</v>
      </c>
      <c r="F216" s="17" t="s">
        <v>4813</v>
      </c>
      <c r="G216" s="17">
        <f>MATCH(E216,Arenas!$F$8:$F$15)</f>
        <v>4</v>
      </c>
      <c r="H216" s="29" t="s">
        <v>1586</v>
      </c>
      <c r="I216" s="33" t="s">
        <v>6183</v>
      </c>
      <c r="J216" s="47" t="s">
        <v>4877</v>
      </c>
      <c r="K216" s="61" t="s">
        <v>4779</v>
      </c>
      <c r="L216" s="12" t="str">
        <f t="shared" si="9"/>
        <v>1,1,1</v>
      </c>
    </row>
    <row r="217" spans="2:12">
      <c r="B217" s="17">
        <v>516</v>
      </c>
      <c r="C217" s="17">
        <v>1</v>
      </c>
      <c r="D217" s="17">
        <f t="shared" si="11"/>
        <v>0</v>
      </c>
      <c r="E217" s="17">
        <f t="shared" si="10"/>
        <v>1219</v>
      </c>
      <c r="F217" s="17" t="s">
        <v>4813</v>
      </c>
      <c r="G217" s="17">
        <f>MATCH(E217,Arenas!$F$8:$F$15)</f>
        <v>4</v>
      </c>
      <c r="H217" s="29" t="s">
        <v>1587</v>
      </c>
      <c r="I217" s="33" t="s">
        <v>6184</v>
      </c>
      <c r="J217" s="47" t="s">
        <v>4578</v>
      </c>
      <c r="K217" s="61" t="s">
        <v>4779</v>
      </c>
      <c r="L217" s="12" t="str">
        <f t="shared" si="9"/>
        <v>1,1,1</v>
      </c>
    </row>
    <row r="218" spans="2:12">
      <c r="B218" s="17">
        <v>517</v>
      </c>
      <c r="C218" s="17">
        <v>1</v>
      </c>
      <c r="D218" s="17">
        <f t="shared" si="11"/>
        <v>1</v>
      </c>
      <c r="E218" s="17">
        <f t="shared" si="10"/>
        <v>1220</v>
      </c>
      <c r="F218" s="17" t="s">
        <v>4813</v>
      </c>
      <c r="G218" s="17">
        <f>MATCH(E218,Arenas!$F$8:$F$15)</f>
        <v>4</v>
      </c>
      <c r="H218" s="29" t="s">
        <v>1588</v>
      </c>
      <c r="I218" s="33" t="s">
        <v>6185</v>
      </c>
      <c r="J218" s="47" t="s">
        <v>4566</v>
      </c>
      <c r="K218" s="61" t="s">
        <v>4779</v>
      </c>
      <c r="L218" s="12" t="str">
        <f t="shared" si="9"/>
        <v>1,1,1</v>
      </c>
    </row>
    <row r="219" spans="2:12">
      <c r="B219" s="17">
        <v>518</v>
      </c>
      <c r="C219" s="17">
        <v>1</v>
      </c>
      <c r="D219" s="17">
        <f t="shared" si="11"/>
        <v>0</v>
      </c>
      <c r="E219" s="17">
        <f t="shared" si="10"/>
        <v>1220</v>
      </c>
      <c r="F219" s="17" t="s">
        <v>4813</v>
      </c>
      <c r="G219" s="17">
        <f>MATCH(E219,Arenas!$F$8:$F$15)</f>
        <v>4</v>
      </c>
      <c r="H219" s="29" t="s">
        <v>1589</v>
      </c>
      <c r="I219" s="33" t="s">
        <v>6186</v>
      </c>
      <c r="J219" s="47" t="s">
        <v>4694</v>
      </c>
      <c r="K219" s="61" t="s">
        <v>4779</v>
      </c>
      <c r="L219" s="12" t="str">
        <f t="shared" si="9"/>
        <v>1,1,1</v>
      </c>
    </row>
    <row r="220" spans="2:12">
      <c r="B220" s="17">
        <v>519</v>
      </c>
      <c r="C220" s="17">
        <v>1</v>
      </c>
      <c r="D220" s="17">
        <f t="shared" si="11"/>
        <v>0</v>
      </c>
      <c r="E220" s="17">
        <f t="shared" si="10"/>
        <v>1220</v>
      </c>
      <c r="F220" s="17" t="s">
        <v>4813</v>
      </c>
      <c r="G220" s="17">
        <f>MATCH(E220,Arenas!$F$8:$F$15)</f>
        <v>4</v>
      </c>
      <c r="H220" s="29" t="s">
        <v>1590</v>
      </c>
      <c r="I220" s="33" t="s">
        <v>6187</v>
      </c>
      <c r="J220" s="47" t="s">
        <v>4853</v>
      </c>
      <c r="K220" s="61" t="s">
        <v>4779</v>
      </c>
      <c r="L220" s="12" t="str">
        <f t="shared" si="9"/>
        <v>1,1,1</v>
      </c>
    </row>
    <row r="221" spans="2:12">
      <c r="B221" s="17">
        <v>520</v>
      </c>
      <c r="C221" s="17">
        <v>1</v>
      </c>
      <c r="D221" s="17">
        <f t="shared" si="11"/>
        <v>1</v>
      </c>
      <c r="E221" s="17">
        <f t="shared" si="10"/>
        <v>1221</v>
      </c>
      <c r="F221" s="17" t="s">
        <v>4813</v>
      </c>
      <c r="G221" s="17">
        <f>MATCH(E221,Arenas!$F$8:$F$15)</f>
        <v>4</v>
      </c>
      <c r="H221" s="29" t="s">
        <v>1591</v>
      </c>
      <c r="I221" s="33" t="s">
        <v>6188</v>
      </c>
      <c r="J221" s="47" t="s">
        <v>4882</v>
      </c>
      <c r="K221" s="61" t="s">
        <v>4779</v>
      </c>
      <c r="L221" s="12" t="str">
        <f t="shared" si="9"/>
        <v>1,1,1</v>
      </c>
    </row>
    <row r="222" spans="2:12">
      <c r="B222" s="17">
        <v>521</v>
      </c>
      <c r="C222" s="17">
        <v>1</v>
      </c>
      <c r="D222" s="17">
        <f t="shared" si="11"/>
        <v>0</v>
      </c>
      <c r="E222" s="17">
        <f t="shared" si="10"/>
        <v>1221</v>
      </c>
      <c r="F222" s="17" t="s">
        <v>4813</v>
      </c>
      <c r="G222" s="17">
        <f>MATCH(E222,Arenas!$F$8:$F$15)</f>
        <v>4</v>
      </c>
      <c r="H222" s="29" t="s">
        <v>1592</v>
      </c>
      <c r="I222" s="33" t="s">
        <v>6189</v>
      </c>
      <c r="J222" s="47" t="s">
        <v>4646</v>
      </c>
      <c r="K222" s="61" t="s">
        <v>4779</v>
      </c>
      <c r="L222" s="12" t="str">
        <f t="shared" si="9"/>
        <v>1,1,1</v>
      </c>
    </row>
    <row r="223" spans="2:12">
      <c r="B223" s="17">
        <v>522</v>
      </c>
      <c r="C223" s="17">
        <v>1</v>
      </c>
      <c r="D223" s="17">
        <f t="shared" si="11"/>
        <v>0</v>
      </c>
      <c r="E223" s="17">
        <f t="shared" si="10"/>
        <v>1221</v>
      </c>
      <c r="F223" s="17" t="s">
        <v>4813</v>
      </c>
      <c r="G223" s="17">
        <f>MATCH(E223,Arenas!$F$8:$F$15)</f>
        <v>4</v>
      </c>
      <c r="H223" s="29" t="s">
        <v>1593</v>
      </c>
      <c r="I223" s="33" t="s">
        <v>6190</v>
      </c>
      <c r="J223" s="47" t="s">
        <v>4564</v>
      </c>
      <c r="K223" s="61" t="s">
        <v>4779</v>
      </c>
      <c r="L223" s="12" t="str">
        <f t="shared" si="9"/>
        <v>1,1,1</v>
      </c>
    </row>
    <row r="224" spans="2:12">
      <c r="B224" s="17">
        <v>523</v>
      </c>
      <c r="C224" s="17">
        <v>1</v>
      </c>
      <c r="D224" s="17">
        <f t="shared" si="11"/>
        <v>1</v>
      </c>
      <c r="E224" s="17">
        <f t="shared" si="10"/>
        <v>1222</v>
      </c>
      <c r="F224" s="17" t="s">
        <v>4813</v>
      </c>
      <c r="G224" s="17">
        <f>MATCH(E224,Arenas!$F$8:$F$15)</f>
        <v>4</v>
      </c>
      <c r="H224" s="29" t="s">
        <v>1594</v>
      </c>
      <c r="I224" s="33" t="s">
        <v>6191</v>
      </c>
      <c r="J224" s="47" t="s">
        <v>4896</v>
      </c>
      <c r="K224" s="61" t="s">
        <v>4779</v>
      </c>
      <c r="L224" s="12" t="str">
        <f t="shared" si="9"/>
        <v>1,1,1</v>
      </c>
    </row>
    <row r="225" spans="2:12">
      <c r="B225" s="17">
        <v>524</v>
      </c>
      <c r="C225" s="17">
        <v>1</v>
      </c>
      <c r="D225" s="17">
        <f t="shared" si="11"/>
        <v>0</v>
      </c>
      <c r="E225" s="17">
        <f t="shared" si="10"/>
        <v>1222</v>
      </c>
      <c r="F225" s="17" t="s">
        <v>4813</v>
      </c>
      <c r="G225" s="17">
        <f>MATCH(E225,Arenas!$F$8:$F$15)</f>
        <v>4</v>
      </c>
      <c r="H225" s="29" t="s">
        <v>1595</v>
      </c>
      <c r="I225" s="33" t="s">
        <v>6192</v>
      </c>
      <c r="J225" s="47" t="s">
        <v>6193</v>
      </c>
      <c r="K225" s="61" t="s">
        <v>4779</v>
      </c>
      <c r="L225" s="12" t="str">
        <f t="shared" si="9"/>
        <v>1,1,1</v>
      </c>
    </row>
    <row r="226" spans="2:12">
      <c r="B226" s="17">
        <v>525</v>
      </c>
      <c r="C226" s="17">
        <v>1</v>
      </c>
      <c r="D226" s="17">
        <f t="shared" si="11"/>
        <v>0</v>
      </c>
      <c r="E226" s="17">
        <f t="shared" si="10"/>
        <v>1222</v>
      </c>
      <c r="F226" s="17" t="s">
        <v>4813</v>
      </c>
      <c r="G226" s="17">
        <f>MATCH(E226,Arenas!$F$8:$F$15)</f>
        <v>4</v>
      </c>
      <c r="H226" s="29" t="s">
        <v>1596</v>
      </c>
      <c r="I226" s="33" t="s">
        <v>6194</v>
      </c>
      <c r="J226" s="47" t="s">
        <v>4615</v>
      </c>
      <c r="K226" s="61" t="s">
        <v>4779</v>
      </c>
      <c r="L226" s="12" t="str">
        <f t="shared" si="9"/>
        <v>1,1,1</v>
      </c>
    </row>
    <row r="227" spans="2:12">
      <c r="B227" s="17">
        <v>526</v>
      </c>
      <c r="C227" s="17">
        <v>1</v>
      </c>
      <c r="D227" s="17">
        <f t="shared" si="11"/>
        <v>1</v>
      </c>
      <c r="E227" s="17">
        <f t="shared" si="10"/>
        <v>1223</v>
      </c>
      <c r="F227" s="17" t="s">
        <v>4813</v>
      </c>
      <c r="G227" s="17">
        <f>MATCH(E227,Arenas!$F$8:$F$15)</f>
        <v>4</v>
      </c>
      <c r="H227" s="29" t="s">
        <v>1597</v>
      </c>
      <c r="I227" s="33" t="s">
        <v>6195</v>
      </c>
      <c r="J227" s="47" t="s">
        <v>4601</v>
      </c>
      <c r="K227" s="61" t="s">
        <v>4779</v>
      </c>
      <c r="L227" s="12" t="str">
        <f t="shared" si="9"/>
        <v>1,1,1</v>
      </c>
    </row>
    <row r="228" spans="2:12">
      <c r="B228" s="17">
        <v>527</v>
      </c>
      <c r="C228" s="17">
        <v>1</v>
      </c>
      <c r="D228" s="17">
        <f t="shared" si="11"/>
        <v>0</v>
      </c>
      <c r="E228" s="17">
        <f t="shared" si="10"/>
        <v>1223</v>
      </c>
      <c r="F228" s="17" t="s">
        <v>4813</v>
      </c>
      <c r="G228" s="17">
        <f>MATCH(E228,Arenas!$F$8:$F$15)</f>
        <v>4</v>
      </c>
      <c r="H228" s="29" t="s">
        <v>1598</v>
      </c>
      <c r="I228" s="33" t="s">
        <v>6196</v>
      </c>
      <c r="J228" s="47" t="s">
        <v>4877</v>
      </c>
      <c r="K228" s="61" t="s">
        <v>4779</v>
      </c>
      <c r="L228" s="12" t="str">
        <f t="shared" si="9"/>
        <v>1,1,1</v>
      </c>
    </row>
    <row r="229" spans="2:12">
      <c r="B229" s="17">
        <v>528</v>
      </c>
      <c r="C229" s="17">
        <v>1</v>
      </c>
      <c r="D229" s="17">
        <f t="shared" si="11"/>
        <v>0</v>
      </c>
      <c r="E229" s="17">
        <f t="shared" si="10"/>
        <v>1223</v>
      </c>
      <c r="F229" s="17" t="s">
        <v>4813</v>
      </c>
      <c r="G229" s="17">
        <f>MATCH(E229,Arenas!$F$8:$F$15)</f>
        <v>4</v>
      </c>
      <c r="H229" s="29" t="s">
        <v>1599</v>
      </c>
      <c r="I229" s="33" t="s">
        <v>6197</v>
      </c>
      <c r="J229" s="47" t="s">
        <v>1065</v>
      </c>
      <c r="K229" s="61" t="s">
        <v>4779</v>
      </c>
      <c r="L229" s="12" t="str">
        <f t="shared" si="9"/>
        <v>1,1,1</v>
      </c>
    </row>
    <row r="230" spans="2:12">
      <c r="B230" s="17">
        <v>529</v>
      </c>
      <c r="C230" s="17">
        <v>1</v>
      </c>
      <c r="D230" s="17">
        <f t="shared" si="11"/>
        <v>1</v>
      </c>
      <c r="E230" s="17">
        <f t="shared" si="10"/>
        <v>1224</v>
      </c>
      <c r="F230" s="17" t="s">
        <v>4813</v>
      </c>
      <c r="G230" s="17">
        <f>MATCH(E230,Arenas!$F$8:$F$15)</f>
        <v>4</v>
      </c>
      <c r="H230" s="29" t="s">
        <v>1600</v>
      </c>
      <c r="I230" s="33" t="s">
        <v>6198</v>
      </c>
      <c r="J230" s="47" t="s">
        <v>4863</v>
      </c>
      <c r="K230" s="61" t="s">
        <v>4779</v>
      </c>
      <c r="L230" s="12" t="str">
        <f t="shared" si="9"/>
        <v>1,1,1</v>
      </c>
    </row>
    <row r="231" spans="2:12">
      <c r="B231" s="17">
        <v>530</v>
      </c>
      <c r="C231" s="17">
        <v>1</v>
      </c>
      <c r="D231" s="17">
        <f t="shared" si="11"/>
        <v>0</v>
      </c>
      <c r="E231" s="17">
        <f t="shared" si="10"/>
        <v>1224</v>
      </c>
      <c r="F231" s="17" t="s">
        <v>4813</v>
      </c>
      <c r="G231" s="17">
        <f>MATCH(E231,Arenas!$F$8:$F$15)</f>
        <v>4</v>
      </c>
      <c r="H231" s="29" t="s">
        <v>1601</v>
      </c>
      <c r="I231" s="33" t="s">
        <v>6199</v>
      </c>
      <c r="J231" s="47" t="s">
        <v>4576</v>
      </c>
      <c r="K231" s="61" t="s">
        <v>4779</v>
      </c>
      <c r="L231" s="12" t="str">
        <f t="shared" si="9"/>
        <v>1,1,1</v>
      </c>
    </row>
    <row r="232" spans="2:12">
      <c r="B232" s="17">
        <v>531</v>
      </c>
      <c r="C232" s="17">
        <v>1</v>
      </c>
      <c r="D232" s="17">
        <f t="shared" si="11"/>
        <v>0</v>
      </c>
      <c r="E232" s="17">
        <f t="shared" si="10"/>
        <v>1224</v>
      </c>
      <c r="F232" s="17" t="s">
        <v>4813</v>
      </c>
      <c r="G232" s="17">
        <f>MATCH(E232,Arenas!$F$8:$F$15)</f>
        <v>4</v>
      </c>
      <c r="H232" s="29" t="s">
        <v>1602</v>
      </c>
      <c r="I232" s="33" t="s">
        <v>6200</v>
      </c>
      <c r="J232" s="47" t="s">
        <v>4546</v>
      </c>
      <c r="K232" s="61" t="s">
        <v>4779</v>
      </c>
      <c r="L232" s="12" t="str">
        <f t="shared" si="9"/>
        <v>1,1,1</v>
      </c>
    </row>
    <row r="233" spans="2:12">
      <c r="B233" s="17">
        <v>532</v>
      </c>
      <c r="C233" s="17">
        <v>1</v>
      </c>
      <c r="D233" s="17">
        <f t="shared" si="11"/>
        <v>1</v>
      </c>
      <c r="E233" s="17">
        <f t="shared" si="10"/>
        <v>1225</v>
      </c>
      <c r="F233" s="17" t="s">
        <v>4813</v>
      </c>
      <c r="G233" s="17">
        <f>MATCH(E233,Arenas!$F$8:$F$15)</f>
        <v>4</v>
      </c>
      <c r="H233" s="29" t="s">
        <v>1603</v>
      </c>
      <c r="I233" s="33" t="s">
        <v>6201</v>
      </c>
      <c r="J233" s="47" t="s">
        <v>4881</v>
      </c>
      <c r="K233" s="61" t="s">
        <v>4779</v>
      </c>
      <c r="L233" s="12" t="str">
        <f t="shared" si="9"/>
        <v>1,1,1</v>
      </c>
    </row>
    <row r="234" spans="2:12">
      <c r="B234" s="17">
        <v>533</v>
      </c>
      <c r="C234" s="17">
        <v>1</v>
      </c>
      <c r="D234" s="17">
        <f t="shared" si="11"/>
        <v>0</v>
      </c>
      <c r="E234" s="17">
        <f t="shared" si="10"/>
        <v>1225</v>
      </c>
      <c r="F234" s="17" t="s">
        <v>4813</v>
      </c>
      <c r="G234" s="17">
        <f>MATCH(E234,Arenas!$F$8:$F$15)</f>
        <v>4</v>
      </c>
      <c r="H234" s="29" t="s">
        <v>1604</v>
      </c>
      <c r="I234" s="33" t="s">
        <v>6202</v>
      </c>
      <c r="J234" s="47" t="s">
        <v>4893</v>
      </c>
      <c r="K234" s="61" t="s">
        <v>4779</v>
      </c>
      <c r="L234" s="12" t="str">
        <f t="shared" si="9"/>
        <v>1,1,1</v>
      </c>
    </row>
    <row r="235" spans="2:12">
      <c r="B235" s="17">
        <v>534</v>
      </c>
      <c r="C235" s="17">
        <v>1</v>
      </c>
      <c r="D235" s="17">
        <f t="shared" si="11"/>
        <v>0</v>
      </c>
      <c r="E235" s="17">
        <f t="shared" si="10"/>
        <v>1225</v>
      </c>
      <c r="F235" s="17" t="s">
        <v>4813</v>
      </c>
      <c r="G235" s="17">
        <f>MATCH(E235,Arenas!$F$8:$F$15)</f>
        <v>4</v>
      </c>
      <c r="H235" s="29" t="s">
        <v>1605</v>
      </c>
      <c r="I235" s="33" t="s">
        <v>6203</v>
      </c>
      <c r="J235" s="47" t="s">
        <v>4900</v>
      </c>
      <c r="K235" s="61" t="s">
        <v>4779</v>
      </c>
      <c r="L235" s="12" t="str">
        <f t="shared" si="9"/>
        <v>1,1,1</v>
      </c>
    </row>
    <row r="236" spans="2:12">
      <c r="B236" s="17">
        <v>535</v>
      </c>
      <c r="C236" s="17">
        <v>1</v>
      </c>
      <c r="D236" s="17">
        <f t="shared" si="11"/>
        <v>1</v>
      </c>
      <c r="E236" s="17">
        <f t="shared" si="10"/>
        <v>1226</v>
      </c>
      <c r="F236" s="17" t="s">
        <v>4813</v>
      </c>
      <c r="G236" s="17">
        <f>MATCH(E236,Arenas!$F$8:$F$15)</f>
        <v>4</v>
      </c>
      <c r="H236" s="29" t="s">
        <v>1606</v>
      </c>
      <c r="I236" s="33" t="s">
        <v>6204</v>
      </c>
      <c r="J236" s="47" t="s">
        <v>4856</v>
      </c>
      <c r="K236" s="61" t="s">
        <v>4779</v>
      </c>
      <c r="L236" s="12" t="str">
        <f t="shared" si="9"/>
        <v>1,1,1</v>
      </c>
    </row>
    <row r="237" spans="2:12">
      <c r="B237" s="17">
        <v>536</v>
      </c>
      <c r="C237" s="17">
        <v>1</v>
      </c>
      <c r="D237" s="17">
        <f t="shared" si="11"/>
        <v>0</v>
      </c>
      <c r="E237" s="17">
        <f t="shared" si="10"/>
        <v>1226</v>
      </c>
      <c r="F237" s="17" t="s">
        <v>4813</v>
      </c>
      <c r="G237" s="17">
        <f>MATCH(E237,Arenas!$F$8:$F$15)</f>
        <v>4</v>
      </c>
      <c r="H237" s="29" t="s">
        <v>1607</v>
      </c>
      <c r="I237" s="33" t="s">
        <v>6205</v>
      </c>
      <c r="J237" s="47" t="s">
        <v>4614</v>
      </c>
      <c r="K237" s="61" t="s">
        <v>4779</v>
      </c>
      <c r="L237" s="12" t="str">
        <f t="shared" si="9"/>
        <v>1,1,1</v>
      </c>
    </row>
    <row r="238" spans="2:12">
      <c r="B238" s="17">
        <v>537</v>
      </c>
      <c r="C238" s="17">
        <v>1</v>
      </c>
      <c r="D238" s="17">
        <f t="shared" si="11"/>
        <v>0</v>
      </c>
      <c r="E238" s="17">
        <f t="shared" si="10"/>
        <v>1226</v>
      </c>
      <c r="F238" s="17" t="s">
        <v>4813</v>
      </c>
      <c r="G238" s="17">
        <f>MATCH(E238,Arenas!$F$8:$F$15)</f>
        <v>4</v>
      </c>
      <c r="H238" s="29" t="s">
        <v>1608</v>
      </c>
      <c r="I238" s="33" t="s">
        <v>6206</v>
      </c>
      <c r="J238" s="47" t="s">
        <v>4554</v>
      </c>
      <c r="K238" s="61" t="s">
        <v>4779</v>
      </c>
      <c r="L238" s="12" t="str">
        <f t="shared" si="9"/>
        <v>1,1,1</v>
      </c>
    </row>
    <row r="239" spans="2:12">
      <c r="B239" s="17">
        <v>538</v>
      </c>
      <c r="C239" s="17">
        <v>1</v>
      </c>
      <c r="D239" s="17">
        <f t="shared" si="11"/>
        <v>1</v>
      </c>
      <c r="E239" s="17">
        <f t="shared" si="10"/>
        <v>1227</v>
      </c>
      <c r="F239" s="17" t="s">
        <v>4813</v>
      </c>
      <c r="G239" s="17">
        <f>MATCH(E239,Arenas!$F$8:$F$15)</f>
        <v>4</v>
      </c>
      <c r="H239" s="29" t="s">
        <v>1609</v>
      </c>
      <c r="I239" s="33" t="s">
        <v>6207</v>
      </c>
      <c r="J239" s="47" t="s">
        <v>4898</v>
      </c>
      <c r="K239" s="61" t="s">
        <v>4779</v>
      </c>
      <c r="L239" s="12" t="str">
        <f t="shared" si="9"/>
        <v>1,1,1</v>
      </c>
    </row>
    <row r="240" spans="2:12">
      <c r="B240" s="17">
        <v>539</v>
      </c>
      <c r="C240" s="17">
        <v>1</v>
      </c>
      <c r="D240" s="17">
        <f t="shared" si="11"/>
        <v>0</v>
      </c>
      <c r="E240" s="17">
        <f t="shared" si="10"/>
        <v>1227</v>
      </c>
      <c r="F240" s="17" t="s">
        <v>4813</v>
      </c>
      <c r="G240" s="17">
        <f>MATCH(E240,Arenas!$F$8:$F$15)</f>
        <v>4</v>
      </c>
      <c r="H240" s="29" t="s">
        <v>1610</v>
      </c>
      <c r="I240" s="33" t="s">
        <v>6208</v>
      </c>
      <c r="J240" s="47" t="s">
        <v>5400</v>
      </c>
      <c r="K240" s="61" t="s">
        <v>4779</v>
      </c>
      <c r="L240" s="12" t="str">
        <f t="shared" si="9"/>
        <v>1,1,1</v>
      </c>
    </row>
    <row r="241" spans="2:12">
      <c r="B241" s="17">
        <v>540</v>
      </c>
      <c r="C241" s="17">
        <v>1</v>
      </c>
      <c r="D241" s="17">
        <f t="shared" si="11"/>
        <v>0</v>
      </c>
      <c r="E241" s="17">
        <f t="shared" si="10"/>
        <v>1227</v>
      </c>
      <c r="F241" s="17" t="s">
        <v>4813</v>
      </c>
      <c r="G241" s="17">
        <f>MATCH(E241,Arenas!$F$8:$F$15)</f>
        <v>4</v>
      </c>
      <c r="H241" s="29" t="s">
        <v>1611</v>
      </c>
      <c r="I241" s="33" t="s">
        <v>6209</v>
      </c>
      <c r="J241" s="47" t="s">
        <v>4562</v>
      </c>
      <c r="K241" s="61" t="s">
        <v>4779</v>
      </c>
      <c r="L241" s="12" t="str">
        <f t="shared" si="9"/>
        <v>1,1,1</v>
      </c>
    </row>
    <row r="242" spans="2:12">
      <c r="B242" s="17">
        <v>541</v>
      </c>
      <c r="C242" s="17">
        <v>1</v>
      </c>
      <c r="D242" s="17">
        <f t="shared" si="11"/>
        <v>1</v>
      </c>
      <c r="E242" s="17">
        <f t="shared" si="10"/>
        <v>1228</v>
      </c>
      <c r="F242" s="17" t="s">
        <v>4813</v>
      </c>
      <c r="G242" s="17">
        <f>MATCH(E242,Arenas!$F$8:$F$15)</f>
        <v>4</v>
      </c>
      <c r="H242" s="29" t="s">
        <v>1612</v>
      </c>
      <c r="I242" s="33" t="s">
        <v>6210</v>
      </c>
      <c r="J242" s="47" t="s">
        <v>4576</v>
      </c>
      <c r="K242" s="61" t="s">
        <v>4779</v>
      </c>
      <c r="L242" s="12" t="str">
        <f t="shared" si="9"/>
        <v>1,1,1</v>
      </c>
    </row>
    <row r="243" spans="2:12">
      <c r="B243" s="17">
        <v>542</v>
      </c>
      <c r="C243" s="17">
        <v>1</v>
      </c>
      <c r="D243" s="17">
        <f t="shared" si="11"/>
        <v>0</v>
      </c>
      <c r="E243" s="17">
        <f t="shared" si="10"/>
        <v>1228</v>
      </c>
      <c r="F243" s="17" t="s">
        <v>4813</v>
      </c>
      <c r="G243" s="17">
        <f>MATCH(E243,Arenas!$F$8:$F$15)</f>
        <v>4</v>
      </c>
      <c r="H243" s="29" t="s">
        <v>1613</v>
      </c>
      <c r="I243" s="33" t="s">
        <v>6211</v>
      </c>
      <c r="J243" s="47" t="s">
        <v>4888</v>
      </c>
      <c r="K243" s="61" t="s">
        <v>4779</v>
      </c>
      <c r="L243" s="12" t="str">
        <f t="shared" si="9"/>
        <v>1,1,1</v>
      </c>
    </row>
    <row r="244" spans="2:12">
      <c r="B244" s="17">
        <v>543</v>
      </c>
      <c r="C244" s="17">
        <v>1</v>
      </c>
      <c r="D244" s="17">
        <f t="shared" si="11"/>
        <v>0</v>
      </c>
      <c r="E244" s="17">
        <f t="shared" si="10"/>
        <v>1228</v>
      </c>
      <c r="F244" s="17" t="s">
        <v>4813</v>
      </c>
      <c r="G244" s="17">
        <f>MATCH(E244,Arenas!$F$8:$F$15)</f>
        <v>4</v>
      </c>
      <c r="H244" s="29" t="s">
        <v>1614</v>
      </c>
      <c r="I244" s="33" t="s">
        <v>6212</v>
      </c>
      <c r="J244" s="47" t="s">
        <v>4875</v>
      </c>
      <c r="K244" s="61" t="s">
        <v>4807</v>
      </c>
      <c r="L244" s="12" t="str">
        <f t="shared" si="9"/>
        <v>1,1,1</v>
      </c>
    </row>
    <row r="245" spans="2:12">
      <c r="B245" s="17">
        <v>544</v>
      </c>
      <c r="C245" s="17">
        <v>1</v>
      </c>
      <c r="D245" s="17">
        <f t="shared" si="11"/>
        <v>1</v>
      </c>
      <c r="E245" s="17">
        <f t="shared" si="10"/>
        <v>1229</v>
      </c>
      <c r="F245" s="17" t="s">
        <v>4813</v>
      </c>
      <c r="G245" s="17">
        <f>MATCH(E245,Arenas!$F$8:$F$15)</f>
        <v>4</v>
      </c>
      <c r="H245" s="29" t="s">
        <v>1615</v>
      </c>
      <c r="I245" s="33" t="s">
        <v>6213</v>
      </c>
      <c r="J245" s="47" t="s">
        <v>4567</v>
      </c>
      <c r="K245" s="61" t="s">
        <v>4779</v>
      </c>
      <c r="L245" s="12" t="str">
        <f t="shared" si="9"/>
        <v>1,1,1</v>
      </c>
    </row>
    <row r="246" spans="2:12">
      <c r="B246" s="17">
        <v>545</v>
      </c>
      <c r="C246" s="17">
        <v>1</v>
      </c>
      <c r="D246" s="17">
        <f t="shared" si="11"/>
        <v>0</v>
      </c>
      <c r="E246" s="17">
        <f t="shared" si="10"/>
        <v>1229</v>
      </c>
      <c r="F246" s="17" t="s">
        <v>4813</v>
      </c>
      <c r="G246" s="17">
        <f>MATCH(E246,Arenas!$F$8:$F$15)</f>
        <v>4</v>
      </c>
      <c r="H246" s="29" t="s">
        <v>1616</v>
      </c>
      <c r="I246" s="33" t="s">
        <v>6214</v>
      </c>
      <c r="J246" s="47" t="s">
        <v>5196</v>
      </c>
      <c r="K246" s="61" t="s">
        <v>4779</v>
      </c>
      <c r="L246" s="12" t="str">
        <f t="shared" si="9"/>
        <v>1,1,1</v>
      </c>
    </row>
    <row r="247" spans="2:12">
      <c r="B247" s="17">
        <v>546</v>
      </c>
      <c r="C247" s="17">
        <v>1</v>
      </c>
      <c r="D247" s="17">
        <f t="shared" si="11"/>
        <v>0</v>
      </c>
      <c r="E247" s="17">
        <f t="shared" si="10"/>
        <v>1229</v>
      </c>
      <c r="F247" s="17" t="s">
        <v>4813</v>
      </c>
      <c r="G247" s="17">
        <f>MATCH(E247,Arenas!$F$8:$F$15)</f>
        <v>4</v>
      </c>
      <c r="H247" s="29" t="s">
        <v>1617</v>
      </c>
      <c r="I247" s="33" t="s">
        <v>6215</v>
      </c>
      <c r="J247" s="47" t="s">
        <v>4566</v>
      </c>
      <c r="K247" s="61" t="s">
        <v>4779</v>
      </c>
      <c r="L247" s="12" t="str">
        <f t="shared" si="9"/>
        <v>1,1,1</v>
      </c>
    </row>
    <row r="248" spans="2:12">
      <c r="B248" s="17">
        <v>547</v>
      </c>
      <c r="C248" s="17">
        <v>1</v>
      </c>
      <c r="D248" s="17">
        <f t="shared" si="11"/>
        <v>1</v>
      </c>
      <c r="E248" s="17">
        <f t="shared" si="10"/>
        <v>1230</v>
      </c>
      <c r="F248" s="17" t="s">
        <v>4813</v>
      </c>
      <c r="G248" s="17">
        <f>MATCH(E248,Arenas!$F$8:$F$15)</f>
        <v>4</v>
      </c>
      <c r="H248" s="29" t="s">
        <v>1618</v>
      </c>
      <c r="I248" s="33" t="s">
        <v>6216</v>
      </c>
      <c r="J248" s="47" t="s">
        <v>4568</v>
      </c>
      <c r="K248" s="61" t="s">
        <v>4779</v>
      </c>
      <c r="L248" s="12" t="str">
        <f t="shared" si="9"/>
        <v>1,1,1</v>
      </c>
    </row>
    <row r="249" spans="2:12">
      <c r="B249" s="17">
        <v>548</v>
      </c>
      <c r="C249" s="17">
        <v>1</v>
      </c>
      <c r="D249" s="17">
        <f t="shared" si="11"/>
        <v>0</v>
      </c>
      <c r="E249" s="17">
        <f t="shared" si="10"/>
        <v>1230</v>
      </c>
      <c r="F249" s="17" t="s">
        <v>4813</v>
      </c>
      <c r="G249" s="17">
        <f>MATCH(E249,Arenas!$F$8:$F$15)</f>
        <v>4</v>
      </c>
      <c r="H249" s="29" t="s">
        <v>1619</v>
      </c>
      <c r="I249" s="33" t="s">
        <v>6217</v>
      </c>
      <c r="J249" s="47" t="s">
        <v>4878</v>
      </c>
      <c r="K249" s="61" t="s">
        <v>4779</v>
      </c>
      <c r="L249" s="12" t="str">
        <f t="shared" si="9"/>
        <v>1,1,1</v>
      </c>
    </row>
    <row r="250" spans="2:12">
      <c r="B250" s="17">
        <v>549</v>
      </c>
      <c r="C250" s="17">
        <v>1</v>
      </c>
      <c r="D250" s="17">
        <f t="shared" si="11"/>
        <v>0</v>
      </c>
      <c r="E250" s="17">
        <f t="shared" si="10"/>
        <v>1230</v>
      </c>
      <c r="F250" s="17" t="s">
        <v>4813</v>
      </c>
      <c r="G250" s="17">
        <f>MATCH(E250,Arenas!$F$8:$F$15)</f>
        <v>4</v>
      </c>
      <c r="H250" s="29" t="s">
        <v>1620</v>
      </c>
      <c r="I250" s="33" t="s">
        <v>6218</v>
      </c>
      <c r="J250" s="47" t="s">
        <v>1067</v>
      </c>
      <c r="K250" s="61" t="s">
        <v>4779</v>
      </c>
      <c r="L250" s="12" t="str">
        <f t="shared" si="9"/>
        <v>1,1,1</v>
      </c>
    </row>
    <row r="251" spans="2:12">
      <c r="B251" s="17">
        <v>550</v>
      </c>
      <c r="C251" s="17">
        <v>1</v>
      </c>
      <c r="D251" s="17">
        <f t="shared" si="11"/>
        <v>1</v>
      </c>
      <c r="E251" s="17">
        <f t="shared" si="10"/>
        <v>1231</v>
      </c>
      <c r="F251" s="17" t="s">
        <v>4813</v>
      </c>
      <c r="G251" s="17">
        <f>MATCH(E251,Arenas!$F$8:$F$15)</f>
        <v>4</v>
      </c>
      <c r="H251" s="29" t="s">
        <v>1621</v>
      </c>
      <c r="I251" s="33" t="s">
        <v>6219</v>
      </c>
      <c r="J251" s="47" t="s">
        <v>4851</v>
      </c>
      <c r="K251" s="61" t="s">
        <v>4779</v>
      </c>
      <c r="L251" s="12" t="str">
        <f t="shared" si="9"/>
        <v>1,1,1</v>
      </c>
    </row>
    <row r="252" spans="2:12">
      <c r="B252" s="17">
        <v>551</v>
      </c>
      <c r="C252" s="17">
        <v>1</v>
      </c>
      <c r="D252" s="17">
        <f t="shared" si="11"/>
        <v>0</v>
      </c>
      <c r="E252" s="17">
        <f t="shared" si="10"/>
        <v>1231</v>
      </c>
      <c r="F252" s="17" t="s">
        <v>4813</v>
      </c>
      <c r="G252" s="17">
        <f>MATCH(E252,Arenas!$F$8:$F$15)</f>
        <v>4</v>
      </c>
      <c r="H252" s="29" t="s">
        <v>1622</v>
      </c>
      <c r="I252" s="33" t="s">
        <v>6220</v>
      </c>
      <c r="J252" s="47" t="s">
        <v>4576</v>
      </c>
      <c r="K252" s="61" t="s">
        <v>4779</v>
      </c>
      <c r="L252" s="12" t="str">
        <f t="shared" si="9"/>
        <v>1,1,1</v>
      </c>
    </row>
    <row r="253" spans="2:12">
      <c r="B253" s="17">
        <v>552</v>
      </c>
      <c r="C253" s="17">
        <v>1</v>
      </c>
      <c r="D253" s="17">
        <f t="shared" si="11"/>
        <v>0</v>
      </c>
      <c r="E253" s="17">
        <f t="shared" si="10"/>
        <v>1231</v>
      </c>
      <c r="F253" s="17" t="s">
        <v>4813</v>
      </c>
      <c r="G253" s="17">
        <f>MATCH(E253,Arenas!$F$8:$F$15)</f>
        <v>4</v>
      </c>
      <c r="H253" s="29" t="s">
        <v>1623</v>
      </c>
      <c r="I253" s="33" t="s">
        <v>6221</v>
      </c>
      <c r="J253" s="47" t="s">
        <v>1067</v>
      </c>
      <c r="K253" s="61" t="s">
        <v>4779</v>
      </c>
      <c r="L253" s="12" t="str">
        <f t="shared" si="9"/>
        <v>1,1,1</v>
      </c>
    </row>
    <row r="254" spans="2:12">
      <c r="B254" s="17">
        <v>553</v>
      </c>
      <c r="C254" s="17">
        <v>1</v>
      </c>
      <c r="D254" s="17">
        <f t="shared" si="11"/>
        <v>1</v>
      </c>
      <c r="E254" s="17">
        <f t="shared" si="10"/>
        <v>1232</v>
      </c>
      <c r="F254" s="17" t="s">
        <v>4813</v>
      </c>
      <c r="G254" s="17">
        <f>MATCH(E254,Arenas!$F$8:$F$15)</f>
        <v>4</v>
      </c>
      <c r="H254" s="29" t="s">
        <v>1624</v>
      </c>
      <c r="I254" s="33" t="s">
        <v>6222</v>
      </c>
      <c r="J254" s="47" t="s">
        <v>4570</v>
      </c>
      <c r="K254" s="61" t="s">
        <v>4779</v>
      </c>
      <c r="L254" s="12" t="str">
        <f t="shared" si="9"/>
        <v>1,1,1</v>
      </c>
    </row>
    <row r="255" spans="2:12">
      <c r="B255" s="17">
        <v>554</v>
      </c>
      <c r="C255" s="17">
        <v>1</v>
      </c>
      <c r="D255" s="17">
        <f t="shared" si="11"/>
        <v>0</v>
      </c>
      <c r="E255" s="17">
        <f t="shared" si="10"/>
        <v>1232</v>
      </c>
      <c r="F255" s="17" t="s">
        <v>4813</v>
      </c>
      <c r="G255" s="17">
        <f>MATCH(E255,Arenas!$F$8:$F$15)</f>
        <v>4</v>
      </c>
      <c r="H255" s="29" t="s">
        <v>1625</v>
      </c>
      <c r="I255" s="33" t="s">
        <v>6223</v>
      </c>
      <c r="J255" s="47" t="s">
        <v>4564</v>
      </c>
      <c r="K255" s="61" t="s">
        <v>4779</v>
      </c>
      <c r="L255" s="12" t="str">
        <f t="shared" si="9"/>
        <v>1,1,1</v>
      </c>
    </row>
    <row r="256" spans="2:12">
      <c r="B256" s="17">
        <v>555</v>
      </c>
      <c r="C256" s="17">
        <v>1</v>
      </c>
      <c r="D256" s="17">
        <f t="shared" si="11"/>
        <v>0</v>
      </c>
      <c r="E256" s="17">
        <f t="shared" si="10"/>
        <v>1232</v>
      </c>
      <c r="F256" s="17" t="s">
        <v>4813</v>
      </c>
      <c r="G256" s="17">
        <f>MATCH(E256,Arenas!$F$8:$F$15)</f>
        <v>4</v>
      </c>
      <c r="H256" s="29" t="s">
        <v>1626</v>
      </c>
      <c r="I256" s="33" t="s">
        <v>6224</v>
      </c>
      <c r="J256" s="47" t="s">
        <v>5196</v>
      </c>
      <c r="K256" s="61" t="s">
        <v>4779</v>
      </c>
      <c r="L256" s="12" t="str">
        <f t="shared" si="9"/>
        <v>1,1,1</v>
      </c>
    </row>
    <row r="257" spans="2:12">
      <c r="B257" s="17">
        <v>556</v>
      </c>
      <c r="C257" s="17">
        <v>1</v>
      </c>
      <c r="D257" s="17">
        <f t="shared" si="11"/>
        <v>1</v>
      </c>
      <c r="E257" s="17">
        <f t="shared" si="10"/>
        <v>1233</v>
      </c>
      <c r="F257" s="17" t="s">
        <v>4813</v>
      </c>
      <c r="G257" s="17">
        <f>MATCH(E257,Arenas!$F$8:$F$15)</f>
        <v>4</v>
      </c>
      <c r="H257" s="29" t="s">
        <v>1627</v>
      </c>
      <c r="I257" s="33" t="s">
        <v>6225</v>
      </c>
      <c r="J257" s="47" t="s">
        <v>6226</v>
      </c>
      <c r="K257" s="61" t="s">
        <v>4779</v>
      </c>
      <c r="L257" s="12" t="str">
        <f t="shared" si="9"/>
        <v>1,1,1</v>
      </c>
    </row>
    <row r="258" spans="2:12">
      <c r="B258" s="17">
        <v>557</v>
      </c>
      <c r="C258" s="17">
        <v>1</v>
      </c>
      <c r="D258" s="17">
        <f t="shared" si="11"/>
        <v>0</v>
      </c>
      <c r="E258" s="17">
        <f t="shared" si="10"/>
        <v>1233</v>
      </c>
      <c r="F258" s="17" t="s">
        <v>4813</v>
      </c>
      <c r="G258" s="17">
        <f>MATCH(E258,Arenas!$F$8:$F$15)</f>
        <v>4</v>
      </c>
      <c r="H258" s="29" t="s">
        <v>1628</v>
      </c>
      <c r="I258" s="33" t="s">
        <v>6227</v>
      </c>
      <c r="J258" s="47" t="s">
        <v>4896</v>
      </c>
      <c r="K258" s="61" t="s">
        <v>4779</v>
      </c>
      <c r="L258" s="12" t="str">
        <f t="shared" ref="L258:L321" si="12">C258&amp;","&amp;C258&amp;","&amp;C258</f>
        <v>1,1,1</v>
      </c>
    </row>
    <row r="259" spans="2:12">
      <c r="B259" s="17">
        <v>558</v>
      </c>
      <c r="C259" s="17">
        <v>1</v>
      </c>
      <c r="D259" s="17">
        <f t="shared" si="11"/>
        <v>0</v>
      </c>
      <c r="E259" s="17">
        <f t="shared" ref="E259:E322" si="13">D259+E258</f>
        <v>1233</v>
      </c>
      <c r="F259" s="17" t="s">
        <v>4813</v>
      </c>
      <c r="G259" s="17">
        <f>MATCH(E259,Arenas!$F$8:$F$15)</f>
        <v>4</v>
      </c>
      <c r="H259" s="29" t="s">
        <v>1629</v>
      </c>
      <c r="I259" s="33" t="s">
        <v>6228</v>
      </c>
      <c r="J259" s="47" t="s">
        <v>4893</v>
      </c>
      <c r="K259" s="61" t="s">
        <v>4779</v>
      </c>
      <c r="L259" s="12" t="str">
        <f t="shared" si="12"/>
        <v>1,1,1</v>
      </c>
    </row>
    <row r="260" spans="2:12">
      <c r="B260" s="17">
        <v>559</v>
      </c>
      <c r="C260" s="17">
        <v>1</v>
      </c>
      <c r="D260" s="17">
        <f t="shared" si="11"/>
        <v>1</v>
      </c>
      <c r="E260" s="17">
        <f t="shared" si="13"/>
        <v>1234</v>
      </c>
      <c r="F260" s="17" t="s">
        <v>4813</v>
      </c>
      <c r="G260" s="17">
        <f>MATCH(E260,Arenas!$F$8:$F$15)</f>
        <v>4</v>
      </c>
      <c r="H260" s="29" t="s">
        <v>1630</v>
      </c>
      <c r="I260" s="33" t="s">
        <v>6229</v>
      </c>
      <c r="J260" s="47" t="s">
        <v>4867</v>
      </c>
      <c r="K260" s="61" t="s">
        <v>4779</v>
      </c>
      <c r="L260" s="12" t="str">
        <f t="shared" si="12"/>
        <v>1,1,1</v>
      </c>
    </row>
    <row r="261" spans="2:12">
      <c r="B261" s="17">
        <v>560</v>
      </c>
      <c r="C261" s="17">
        <v>1</v>
      </c>
      <c r="D261" s="17">
        <f t="shared" ref="D261:D324" si="14">D258</f>
        <v>0</v>
      </c>
      <c r="E261" s="17">
        <f t="shared" si="13"/>
        <v>1234</v>
      </c>
      <c r="F261" s="17" t="s">
        <v>4813</v>
      </c>
      <c r="G261" s="17">
        <f>MATCH(E261,Arenas!$F$8:$F$15)</f>
        <v>4</v>
      </c>
      <c r="H261" s="29" t="s">
        <v>1631</v>
      </c>
      <c r="I261" s="33" t="s">
        <v>6230</v>
      </c>
      <c r="J261" s="47" t="s">
        <v>4849</v>
      </c>
      <c r="K261" s="61" t="s">
        <v>4779</v>
      </c>
      <c r="L261" s="12" t="str">
        <f t="shared" si="12"/>
        <v>1,1,1</v>
      </c>
    </row>
    <row r="262" spans="2:12">
      <c r="B262" s="17">
        <v>561</v>
      </c>
      <c r="C262" s="17">
        <v>1</v>
      </c>
      <c r="D262" s="17">
        <f t="shared" si="14"/>
        <v>0</v>
      </c>
      <c r="E262" s="17">
        <f t="shared" si="13"/>
        <v>1234</v>
      </c>
      <c r="F262" s="17" t="s">
        <v>4813</v>
      </c>
      <c r="G262" s="17">
        <f>MATCH(E262,Arenas!$F$8:$F$15)</f>
        <v>4</v>
      </c>
      <c r="H262" s="29" t="s">
        <v>1632</v>
      </c>
      <c r="I262" s="33" t="s">
        <v>6231</v>
      </c>
      <c r="J262" s="47" t="s">
        <v>4614</v>
      </c>
      <c r="K262" s="61" t="s">
        <v>4779</v>
      </c>
      <c r="L262" s="12" t="str">
        <f t="shared" si="12"/>
        <v>1,1,1</v>
      </c>
    </row>
    <row r="263" spans="2:12">
      <c r="B263" s="17">
        <v>562</v>
      </c>
      <c r="C263" s="17">
        <v>1</v>
      </c>
      <c r="D263" s="17">
        <f t="shared" si="14"/>
        <v>1</v>
      </c>
      <c r="E263" s="17">
        <f t="shared" si="13"/>
        <v>1235</v>
      </c>
      <c r="F263" s="17" t="s">
        <v>4813</v>
      </c>
      <c r="G263" s="17">
        <f>MATCH(E263,Arenas!$F$8:$F$15)</f>
        <v>4</v>
      </c>
      <c r="H263" s="29" t="s">
        <v>1633</v>
      </c>
      <c r="I263" s="33" t="s">
        <v>6232</v>
      </c>
      <c r="J263" s="47" t="s">
        <v>4561</v>
      </c>
      <c r="K263" s="61" t="s">
        <v>4779</v>
      </c>
      <c r="L263" s="12" t="str">
        <f t="shared" si="12"/>
        <v>1,1,1</v>
      </c>
    </row>
    <row r="264" spans="2:12">
      <c r="B264" s="17">
        <v>563</v>
      </c>
      <c r="C264" s="17">
        <v>1</v>
      </c>
      <c r="D264" s="17">
        <f t="shared" si="14"/>
        <v>0</v>
      </c>
      <c r="E264" s="17">
        <f t="shared" si="13"/>
        <v>1235</v>
      </c>
      <c r="F264" s="17" t="s">
        <v>4813</v>
      </c>
      <c r="G264" s="17">
        <f>MATCH(E264,Arenas!$F$8:$F$15)</f>
        <v>4</v>
      </c>
      <c r="H264" s="29" t="s">
        <v>1634</v>
      </c>
      <c r="I264" s="33" t="s">
        <v>6233</v>
      </c>
      <c r="J264" s="47" t="s">
        <v>4851</v>
      </c>
      <c r="K264" s="61" t="s">
        <v>4779</v>
      </c>
      <c r="L264" s="12" t="str">
        <f t="shared" si="12"/>
        <v>1,1,1</v>
      </c>
    </row>
    <row r="265" spans="2:12">
      <c r="B265" s="17">
        <v>564</v>
      </c>
      <c r="C265" s="17">
        <v>1</v>
      </c>
      <c r="D265" s="17">
        <f t="shared" si="14"/>
        <v>0</v>
      </c>
      <c r="E265" s="17">
        <f t="shared" si="13"/>
        <v>1235</v>
      </c>
      <c r="F265" s="17" t="s">
        <v>4813</v>
      </c>
      <c r="G265" s="17">
        <f>MATCH(E265,Arenas!$F$8:$F$15)</f>
        <v>4</v>
      </c>
      <c r="H265" s="29" t="s">
        <v>1635</v>
      </c>
      <c r="I265" s="33" t="s">
        <v>6234</v>
      </c>
      <c r="J265" s="47" t="s">
        <v>4851</v>
      </c>
      <c r="K265" s="61" t="s">
        <v>4779</v>
      </c>
      <c r="L265" s="12" t="str">
        <f t="shared" si="12"/>
        <v>1,1,1</v>
      </c>
    </row>
    <row r="266" spans="2:12">
      <c r="B266" s="17">
        <v>565</v>
      </c>
      <c r="C266" s="17">
        <v>1</v>
      </c>
      <c r="D266" s="17">
        <f t="shared" si="14"/>
        <v>1</v>
      </c>
      <c r="E266" s="17">
        <f t="shared" si="13"/>
        <v>1236</v>
      </c>
      <c r="F266" s="17" t="s">
        <v>4813</v>
      </c>
      <c r="G266" s="17">
        <f>MATCH(E266,Arenas!$F$8:$F$15)</f>
        <v>4</v>
      </c>
      <c r="H266" s="29" t="s">
        <v>1636</v>
      </c>
      <c r="I266" s="33" t="s">
        <v>6235</v>
      </c>
      <c r="J266" s="47" t="s">
        <v>4554</v>
      </c>
      <c r="K266" s="61" t="s">
        <v>4779</v>
      </c>
      <c r="L266" s="12" t="str">
        <f t="shared" si="12"/>
        <v>1,1,1</v>
      </c>
    </row>
    <row r="267" spans="2:12">
      <c r="B267" s="17">
        <v>566</v>
      </c>
      <c r="C267" s="17">
        <v>1</v>
      </c>
      <c r="D267" s="17">
        <f t="shared" si="14"/>
        <v>0</v>
      </c>
      <c r="E267" s="17">
        <f t="shared" si="13"/>
        <v>1236</v>
      </c>
      <c r="F267" s="17" t="s">
        <v>4813</v>
      </c>
      <c r="G267" s="17">
        <f>MATCH(E267,Arenas!$F$8:$F$15)</f>
        <v>4</v>
      </c>
      <c r="H267" s="29" t="s">
        <v>1637</v>
      </c>
      <c r="I267" s="33" t="s">
        <v>6236</v>
      </c>
      <c r="J267" s="47" t="s">
        <v>1071</v>
      </c>
      <c r="K267" s="61" t="s">
        <v>4779</v>
      </c>
      <c r="L267" s="12" t="str">
        <f t="shared" si="12"/>
        <v>1,1,1</v>
      </c>
    </row>
    <row r="268" spans="2:12">
      <c r="B268" s="17">
        <v>567</v>
      </c>
      <c r="C268" s="17">
        <v>1</v>
      </c>
      <c r="D268" s="17">
        <f t="shared" si="14"/>
        <v>0</v>
      </c>
      <c r="E268" s="17">
        <f t="shared" si="13"/>
        <v>1236</v>
      </c>
      <c r="F268" s="17" t="s">
        <v>4813</v>
      </c>
      <c r="G268" s="17">
        <f>MATCH(E268,Arenas!$F$8:$F$15)</f>
        <v>4</v>
      </c>
      <c r="H268" s="29" t="s">
        <v>1638</v>
      </c>
      <c r="I268" s="33" t="s">
        <v>6237</v>
      </c>
      <c r="J268" s="47" t="s">
        <v>4546</v>
      </c>
      <c r="K268" s="61" t="s">
        <v>4779</v>
      </c>
      <c r="L268" s="12" t="str">
        <f t="shared" si="12"/>
        <v>1,1,1</v>
      </c>
    </row>
    <row r="269" spans="2:12">
      <c r="B269" s="17">
        <v>568</v>
      </c>
      <c r="C269" s="17">
        <v>1</v>
      </c>
      <c r="D269" s="17">
        <f t="shared" si="14"/>
        <v>1</v>
      </c>
      <c r="E269" s="17">
        <f t="shared" si="13"/>
        <v>1237</v>
      </c>
      <c r="F269" s="17" t="s">
        <v>4813</v>
      </c>
      <c r="G269" s="17">
        <f>MATCH(E269,Arenas!$F$8:$F$15)</f>
        <v>4</v>
      </c>
      <c r="H269" s="29" t="s">
        <v>1639</v>
      </c>
      <c r="I269" s="33" t="s">
        <v>6238</v>
      </c>
      <c r="J269" s="47" t="s">
        <v>4852</v>
      </c>
      <c r="K269" s="61" t="s">
        <v>4779</v>
      </c>
      <c r="L269" s="12" t="str">
        <f t="shared" si="12"/>
        <v>1,1,1</v>
      </c>
    </row>
    <row r="270" spans="2:12">
      <c r="B270" s="17">
        <v>569</v>
      </c>
      <c r="C270" s="17">
        <v>1</v>
      </c>
      <c r="D270" s="17">
        <f t="shared" si="14"/>
        <v>0</v>
      </c>
      <c r="E270" s="17">
        <f t="shared" si="13"/>
        <v>1237</v>
      </c>
      <c r="F270" s="17" t="s">
        <v>4813</v>
      </c>
      <c r="G270" s="17">
        <f>MATCH(E270,Arenas!$F$8:$F$15)</f>
        <v>4</v>
      </c>
      <c r="H270" s="29" t="s">
        <v>1640</v>
      </c>
      <c r="I270" s="33" t="s">
        <v>6239</v>
      </c>
      <c r="J270" s="47" t="s">
        <v>4854</v>
      </c>
      <c r="K270" s="61" t="s">
        <v>4779</v>
      </c>
      <c r="L270" s="12" t="str">
        <f t="shared" si="12"/>
        <v>1,1,1</v>
      </c>
    </row>
    <row r="271" spans="2:12">
      <c r="B271" s="17">
        <v>570</v>
      </c>
      <c r="C271" s="17">
        <v>1</v>
      </c>
      <c r="D271" s="17">
        <f t="shared" si="14"/>
        <v>0</v>
      </c>
      <c r="E271" s="17">
        <f t="shared" si="13"/>
        <v>1237</v>
      </c>
      <c r="F271" s="17" t="s">
        <v>4813</v>
      </c>
      <c r="G271" s="17">
        <f>MATCH(E271,Arenas!$F$8:$F$15)</f>
        <v>4</v>
      </c>
      <c r="H271" s="29" t="s">
        <v>1641</v>
      </c>
      <c r="I271" s="33" t="s">
        <v>6240</v>
      </c>
      <c r="J271" s="47" t="s">
        <v>4865</v>
      </c>
      <c r="K271" s="61" t="s">
        <v>4779</v>
      </c>
      <c r="L271" s="12" t="str">
        <f t="shared" si="12"/>
        <v>1,1,1</v>
      </c>
    </row>
    <row r="272" spans="2:12">
      <c r="B272" s="17">
        <v>571</v>
      </c>
      <c r="C272" s="17">
        <v>1</v>
      </c>
      <c r="D272" s="17">
        <f t="shared" si="14"/>
        <v>1</v>
      </c>
      <c r="E272" s="17">
        <f t="shared" si="13"/>
        <v>1238</v>
      </c>
      <c r="F272" s="17" t="s">
        <v>4813</v>
      </c>
      <c r="G272" s="17">
        <f>MATCH(E272,Arenas!$F$8:$F$15)</f>
        <v>4</v>
      </c>
      <c r="H272" s="29" t="s">
        <v>1642</v>
      </c>
      <c r="I272" s="33" t="s">
        <v>6241</v>
      </c>
      <c r="J272" s="47" t="s">
        <v>4566</v>
      </c>
      <c r="K272" s="61" t="s">
        <v>4779</v>
      </c>
      <c r="L272" s="12" t="str">
        <f t="shared" si="12"/>
        <v>1,1,1</v>
      </c>
    </row>
    <row r="273" spans="2:12">
      <c r="B273" s="17">
        <v>572</v>
      </c>
      <c r="C273" s="17">
        <v>1</v>
      </c>
      <c r="D273" s="17">
        <f t="shared" si="14"/>
        <v>0</v>
      </c>
      <c r="E273" s="17">
        <f t="shared" si="13"/>
        <v>1238</v>
      </c>
      <c r="F273" s="17" t="s">
        <v>4813</v>
      </c>
      <c r="G273" s="17">
        <f>MATCH(E273,Arenas!$F$8:$F$15)</f>
        <v>4</v>
      </c>
      <c r="H273" s="29" t="s">
        <v>1643</v>
      </c>
      <c r="I273" s="33" t="s">
        <v>6242</v>
      </c>
      <c r="J273" s="47" t="s">
        <v>4849</v>
      </c>
      <c r="K273" s="61" t="s">
        <v>4779</v>
      </c>
      <c r="L273" s="12" t="str">
        <f t="shared" si="12"/>
        <v>1,1,1</v>
      </c>
    </row>
    <row r="274" spans="2:12">
      <c r="B274" s="17">
        <v>573</v>
      </c>
      <c r="C274" s="17">
        <v>1</v>
      </c>
      <c r="D274" s="17">
        <f t="shared" si="14"/>
        <v>0</v>
      </c>
      <c r="E274" s="17">
        <f t="shared" si="13"/>
        <v>1238</v>
      </c>
      <c r="F274" s="17" t="s">
        <v>4813</v>
      </c>
      <c r="G274" s="17">
        <f>MATCH(E274,Arenas!$F$8:$F$15)</f>
        <v>4</v>
      </c>
      <c r="H274" s="29" t="s">
        <v>1644</v>
      </c>
      <c r="I274" s="33" t="s">
        <v>6243</v>
      </c>
      <c r="J274" s="47" t="s">
        <v>4890</v>
      </c>
      <c r="K274" s="61" t="s">
        <v>4779</v>
      </c>
      <c r="L274" s="12" t="str">
        <f t="shared" si="12"/>
        <v>1,1,1</v>
      </c>
    </row>
    <row r="275" spans="2:12">
      <c r="B275" s="17">
        <v>574</v>
      </c>
      <c r="C275" s="17">
        <v>1</v>
      </c>
      <c r="D275" s="17">
        <f t="shared" si="14"/>
        <v>1</v>
      </c>
      <c r="E275" s="17">
        <f t="shared" si="13"/>
        <v>1239</v>
      </c>
      <c r="F275" s="17" t="s">
        <v>4813</v>
      </c>
      <c r="G275" s="17">
        <f>MATCH(E275,Arenas!$F$8:$F$15)</f>
        <v>4</v>
      </c>
      <c r="H275" s="29" t="s">
        <v>1645</v>
      </c>
      <c r="I275" s="33" t="s">
        <v>6244</v>
      </c>
      <c r="J275" s="47" t="s">
        <v>4633</v>
      </c>
      <c r="K275" s="61" t="s">
        <v>4779</v>
      </c>
      <c r="L275" s="12" t="str">
        <f t="shared" si="12"/>
        <v>1,1,1</v>
      </c>
    </row>
    <row r="276" spans="2:12">
      <c r="B276" s="17">
        <v>575</v>
      </c>
      <c r="C276" s="17">
        <v>1</v>
      </c>
      <c r="D276" s="17">
        <f t="shared" si="14"/>
        <v>0</v>
      </c>
      <c r="E276" s="17">
        <f t="shared" si="13"/>
        <v>1239</v>
      </c>
      <c r="F276" s="17" t="s">
        <v>4813</v>
      </c>
      <c r="G276" s="17">
        <f>MATCH(E276,Arenas!$F$8:$F$15)</f>
        <v>4</v>
      </c>
      <c r="H276" s="29" t="s">
        <v>1646</v>
      </c>
      <c r="I276" s="33" t="s">
        <v>6245</v>
      </c>
      <c r="J276" s="47" t="s">
        <v>1070</v>
      </c>
      <c r="K276" s="61" t="s">
        <v>4779</v>
      </c>
      <c r="L276" s="12" t="str">
        <f t="shared" si="12"/>
        <v>1,1,1</v>
      </c>
    </row>
    <row r="277" spans="2:12">
      <c r="B277" s="17">
        <v>576</v>
      </c>
      <c r="C277" s="17">
        <v>1</v>
      </c>
      <c r="D277" s="17">
        <f t="shared" si="14"/>
        <v>0</v>
      </c>
      <c r="E277" s="17">
        <f t="shared" si="13"/>
        <v>1239</v>
      </c>
      <c r="F277" s="17" t="s">
        <v>4813</v>
      </c>
      <c r="G277" s="17">
        <f>MATCH(E277,Arenas!$F$8:$F$15)</f>
        <v>4</v>
      </c>
      <c r="H277" s="29" t="s">
        <v>1647</v>
      </c>
      <c r="I277" s="33" t="s">
        <v>6246</v>
      </c>
      <c r="J277" s="47" t="s">
        <v>4548</v>
      </c>
      <c r="K277" s="61" t="s">
        <v>4779</v>
      </c>
      <c r="L277" s="12" t="str">
        <f t="shared" si="12"/>
        <v>1,1,1</v>
      </c>
    </row>
    <row r="278" spans="2:12">
      <c r="B278" s="17">
        <v>577</v>
      </c>
      <c r="C278" s="17">
        <v>1</v>
      </c>
      <c r="D278" s="17">
        <f t="shared" si="14"/>
        <v>1</v>
      </c>
      <c r="E278" s="17">
        <f t="shared" si="13"/>
        <v>1240</v>
      </c>
      <c r="F278" s="17" t="s">
        <v>4813</v>
      </c>
      <c r="G278" s="17">
        <f>MATCH(E278,Arenas!$F$8:$F$15)</f>
        <v>4</v>
      </c>
      <c r="H278" s="29" t="s">
        <v>1648</v>
      </c>
      <c r="I278" s="33" t="s">
        <v>6247</v>
      </c>
      <c r="J278" s="47" t="s">
        <v>1067</v>
      </c>
      <c r="K278" s="61" t="s">
        <v>4779</v>
      </c>
      <c r="L278" s="12" t="str">
        <f t="shared" si="12"/>
        <v>1,1,1</v>
      </c>
    </row>
    <row r="279" spans="2:12">
      <c r="B279" s="17">
        <v>578</v>
      </c>
      <c r="C279" s="17">
        <v>1</v>
      </c>
      <c r="D279" s="17">
        <f t="shared" si="14"/>
        <v>0</v>
      </c>
      <c r="E279" s="17">
        <f t="shared" si="13"/>
        <v>1240</v>
      </c>
      <c r="F279" s="17" t="s">
        <v>4813</v>
      </c>
      <c r="G279" s="17">
        <f>MATCH(E279,Arenas!$F$8:$F$15)</f>
        <v>4</v>
      </c>
      <c r="H279" s="29" t="s">
        <v>1649</v>
      </c>
      <c r="I279" s="33" t="s">
        <v>6248</v>
      </c>
      <c r="J279" s="47" t="s">
        <v>4558</v>
      </c>
      <c r="K279" s="61" t="s">
        <v>4779</v>
      </c>
      <c r="L279" s="12" t="str">
        <f t="shared" si="12"/>
        <v>1,1,1</v>
      </c>
    </row>
    <row r="280" spans="2:12">
      <c r="B280" s="17">
        <v>579</v>
      </c>
      <c r="C280" s="17">
        <v>1</v>
      </c>
      <c r="D280" s="17">
        <f t="shared" si="14"/>
        <v>0</v>
      </c>
      <c r="E280" s="17">
        <f t="shared" si="13"/>
        <v>1240</v>
      </c>
      <c r="F280" s="17" t="s">
        <v>4813</v>
      </c>
      <c r="G280" s="17">
        <f>MATCH(E280,Arenas!$F$8:$F$15)</f>
        <v>4</v>
      </c>
      <c r="H280" s="29" t="s">
        <v>1650</v>
      </c>
      <c r="I280" s="33" t="s">
        <v>6249</v>
      </c>
      <c r="J280" s="47" t="s">
        <v>4627</v>
      </c>
      <c r="K280" s="61" t="s">
        <v>4779</v>
      </c>
      <c r="L280" s="12" t="str">
        <f t="shared" si="12"/>
        <v>1,1,1</v>
      </c>
    </row>
    <row r="281" spans="2:12">
      <c r="B281" s="17">
        <v>580</v>
      </c>
      <c r="C281" s="17">
        <v>1</v>
      </c>
      <c r="D281" s="17">
        <f t="shared" si="14"/>
        <v>1</v>
      </c>
      <c r="E281" s="17">
        <f t="shared" si="13"/>
        <v>1241</v>
      </c>
      <c r="F281" s="17" t="s">
        <v>4813</v>
      </c>
      <c r="G281" s="17">
        <f>MATCH(E281,Arenas!$F$8:$F$15)</f>
        <v>4</v>
      </c>
      <c r="H281" s="29" t="s">
        <v>1651</v>
      </c>
      <c r="I281" s="33" t="s">
        <v>6250</v>
      </c>
      <c r="J281" s="47" t="s">
        <v>4548</v>
      </c>
      <c r="K281" s="61" t="s">
        <v>4779</v>
      </c>
      <c r="L281" s="12" t="str">
        <f t="shared" si="12"/>
        <v>1,1,1</v>
      </c>
    </row>
    <row r="282" spans="2:12">
      <c r="B282" s="17">
        <v>581</v>
      </c>
      <c r="C282" s="17">
        <v>1</v>
      </c>
      <c r="D282" s="17">
        <f t="shared" si="14"/>
        <v>0</v>
      </c>
      <c r="E282" s="17">
        <f t="shared" si="13"/>
        <v>1241</v>
      </c>
      <c r="F282" s="17" t="s">
        <v>4813</v>
      </c>
      <c r="G282" s="17">
        <f>MATCH(E282,Arenas!$F$8:$F$15)</f>
        <v>4</v>
      </c>
      <c r="H282" s="29" t="s">
        <v>1652</v>
      </c>
      <c r="I282" s="33" t="s">
        <v>6251</v>
      </c>
      <c r="J282" s="47" t="s">
        <v>4868</v>
      </c>
      <c r="K282" s="61" t="s">
        <v>4779</v>
      </c>
      <c r="L282" s="12" t="str">
        <f t="shared" si="12"/>
        <v>1,1,1</v>
      </c>
    </row>
    <row r="283" spans="2:12">
      <c r="B283" s="17">
        <v>582</v>
      </c>
      <c r="C283" s="17">
        <v>1</v>
      </c>
      <c r="D283" s="17">
        <f t="shared" si="14"/>
        <v>0</v>
      </c>
      <c r="E283" s="17">
        <f t="shared" si="13"/>
        <v>1241</v>
      </c>
      <c r="F283" s="17" t="s">
        <v>4813</v>
      </c>
      <c r="G283" s="17">
        <f>MATCH(E283,Arenas!$F$8:$F$15)</f>
        <v>4</v>
      </c>
      <c r="H283" s="29" t="s">
        <v>1653</v>
      </c>
      <c r="I283" s="33" t="s">
        <v>6252</v>
      </c>
      <c r="J283" s="47" t="s">
        <v>4577</v>
      </c>
      <c r="K283" s="61" t="s">
        <v>4779</v>
      </c>
      <c r="L283" s="12" t="str">
        <f t="shared" si="12"/>
        <v>1,1,1</v>
      </c>
    </row>
    <row r="284" spans="2:12">
      <c r="B284" s="17">
        <v>583</v>
      </c>
      <c r="C284" s="17">
        <v>1</v>
      </c>
      <c r="D284" s="17">
        <f t="shared" si="14"/>
        <v>1</v>
      </c>
      <c r="E284" s="17">
        <f t="shared" si="13"/>
        <v>1242</v>
      </c>
      <c r="F284" s="17" t="s">
        <v>4813</v>
      </c>
      <c r="G284" s="17">
        <f>MATCH(E284,Arenas!$F$8:$F$15)</f>
        <v>4</v>
      </c>
      <c r="H284" s="29" t="s">
        <v>1654</v>
      </c>
      <c r="I284" s="33" t="s">
        <v>6253</v>
      </c>
      <c r="J284" s="47" t="s">
        <v>4561</v>
      </c>
      <c r="K284" s="61" t="s">
        <v>4779</v>
      </c>
      <c r="L284" s="12" t="str">
        <f t="shared" si="12"/>
        <v>1,1,1</v>
      </c>
    </row>
    <row r="285" spans="2:12">
      <c r="B285" s="17">
        <v>584</v>
      </c>
      <c r="C285" s="17">
        <v>1</v>
      </c>
      <c r="D285" s="17">
        <f t="shared" si="14"/>
        <v>0</v>
      </c>
      <c r="E285" s="17">
        <f t="shared" si="13"/>
        <v>1242</v>
      </c>
      <c r="F285" s="17" t="s">
        <v>4813</v>
      </c>
      <c r="G285" s="17">
        <f>MATCH(E285,Arenas!$F$8:$F$15)</f>
        <v>4</v>
      </c>
      <c r="H285" s="29" t="s">
        <v>1655</v>
      </c>
      <c r="I285" s="33" t="s">
        <v>6254</v>
      </c>
      <c r="J285" s="47" t="s">
        <v>4867</v>
      </c>
      <c r="K285" s="61" t="s">
        <v>4779</v>
      </c>
      <c r="L285" s="12" t="str">
        <f t="shared" si="12"/>
        <v>1,1,1</v>
      </c>
    </row>
    <row r="286" spans="2:12">
      <c r="B286" s="17">
        <v>585</v>
      </c>
      <c r="C286" s="17">
        <v>1</v>
      </c>
      <c r="D286" s="17">
        <f t="shared" si="14"/>
        <v>0</v>
      </c>
      <c r="E286" s="17">
        <f t="shared" si="13"/>
        <v>1242</v>
      </c>
      <c r="F286" s="17" t="s">
        <v>4813</v>
      </c>
      <c r="G286" s="17">
        <f>MATCH(E286,Arenas!$F$8:$F$15)</f>
        <v>4</v>
      </c>
      <c r="H286" s="29" t="s">
        <v>1656</v>
      </c>
      <c r="I286" s="33" t="s">
        <v>6255</v>
      </c>
      <c r="J286" s="47" t="s">
        <v>1066</v>
      </c>
      <c r="K286" s="61" t="s">
        <v>4779</v>
      </c>
      <c r="L286" s="12" t="str">
        <f t="shared" si="12"/>
        <v>1,1,1</v>
      </c>
    </row>
    <row r="287" spans="2:12">
      <c r="B287" s="17">
        <v>586</v>
      </c>
      <c r="C287" s="17">
        <v>1</v>
      </c>
      <c r="D287" s="17">
        <f t="shared" si="14"/>
        <v>1</v>
      </c>
      <c r="E287" s="17">
        <f t="shared" si="13"/>
        <v>1243</v>
      </c>
      <c r="F287" s="17" t="s">
        <v>4813</v>
      </c>
      <c r="G287" s="17">
        <f>MATCH(E287,Arenas!$F$8:$F$15)</f>
        <v>4</v>
      </c>
      <c r="H287" s="29" t="s">
        <v>1657</v>
      </c>
      <c r="I287" s="33" t="s">
        <v>6256</v>
      </c>
      <c r="J287" s="47" t="s">
        <v>4868</v>
      </c>
      <c r="K287" s="61" t="s">
        <v>4779</v>
      </c>
      <c r="L287" s="12" t="str">
        <f t="shared" si="12"/>
        <v>1,1,1</v>
      </c>
    </row>
    <row r="288" spans="2:12">
      <c r="B288" s="17">
        <v>587</v>
      </c>
      <c r="C288" s="17">
        <v>1</v>
      </c>
      <c r="D288" s="17">
        <f t="shared" si="14"/>
        <v>0</v>
      </c>
      <c r="E288" s="17">
        <f t="shared" si="13"/>
        <v>1243</v>
      </c>
      <c r="F288" s="17" t="s">
        <v>4813</v>
      </c>
      <c r="G288" s="17">
        <f>MATCH(E288,Arenas!$F$8:$F$15)</f>
        <v>4</v>
      </c>
      <c r="H288" s="29" t="s">
        <v>1658</v>
      </c>
      <c r="I288" s="33" t="s">
        <v>6257</v>
      </c>
      <c r="J288" s="47" t="s">
        <v>4575</v>
      </c>
      <c r="K288" s="61" t="s">
        <v>4779</v>
      </c>
      <c r="L288" s="12" t="str">
        <f t="shared" si="12"/>
        <v>1,1,1</v>
      </c>
    </row>
    <row r="289" spans="2:12">
      <c r="B289" s="17">
        <v>588</v>
      </c>
      <c r="C289" s="17">
        <v>1</v>
      </c>
      <c r="D289" s="17">
        <f t="shared" si="14"/>
        <v>0</v>
      </c>
      <c r="E289" s="17">
        <f t="shared" si="13"/>
        <v>1243</v>
      </c>
      <c r="F289" s="17" t="s">
        <v>4813</v>
      </c>
      <c r="G289" s="17">
        <f>MATCH(E289,Arenas!$F$8:$F$15)</f>
        <v>4</v>
      </c>
      <c r="H289" s="29" t="s">
        <v>1659</v>
      </c>
      <c r="I289" s="33" t="s">
        <v>6258</v>
      </c>
      <c r="J289" s="47" t="s">
        <v>4646</v>
      </c>
      <c r="K289" s="61" t="s">
        <v>4779</v>
      </c>
      <c r="L289" s="12" t="str">
        <f t="shared" si="12"/>
        <v>1,1,1</v>
      </c>
    </row>
    <row r="290" spans="2:12">
      <c r="B290" s="17">
        <v>589</v>
      </c>
      <c r="C290" s="17">
        <v>1</v>
      </c>
      <c r="D290" s="17">
        <f t="shared" si="14"/>
        <v>1</v>
      </c>
      <c r="E290" s="17">
        <f t="shared" si="13"/>
        <v>1244</v>
      </c>
      <c r="F290" s="17" t="s">
        <v>4813</v>
      </c>
      <c r="G290" s="17">
        <f>MATCH(E290,Arenas!$F$8:$F$15)</f>
        <v>4</v>
      </c>
      <c r="H290" s="29" t="s">
        <v>1660</v>
      </c>
      <c r="I290" s="33" t="s">
        <v>6259</v>
      </c>
      <c r="J290" s="47" t="s">
        <v>4672</v>
      </c>
      <c r="K290" s="61" t="s">
        <v>4779</v>
      </c>
      <c r="L290" s="12" t="str">
        <f t="shared" si="12"/>
        <v>1,1,1</v>
      </c>
    </row>
    <row r="291" spans="2:12">
      <c r="B291" s="17">
        <v>590</v>
      </c>
      <c r="C291" s="17">
        <v>1</v>
      </c>
      <c r="D291" s="17">
        <f t="shared" si="14"/>
        <v>0</v>
      </c>
      <c r="E291" s="17">
        <f t="shared" si="13"/>
        <v>1244</v>
      </c>
      <c r="F291" s="17" t="s">
        <v>4813</v>
      </c>
      <c r="G291" s="17">
        <f>MATCH(E291,Arenas!$F$8:$F$15)</f>
        <v>4</v>
      </c>
      <c r="H291" s="29" t="s">
        <v>1661</v>
      </c>
      <c r="I291" s="33" t="s">
        <v>6260</v>
      </c>
      <c r="J291" s="47" t="s">
        <v>4547</v>
      </c>
      <c r="K291" s="61" t="s">
        <v>4779</v>
      </c>
      <c r="L291" s="12" t="str">
        <f t="shared" si="12"/>
        <v>1,1,1</v>
      </c>
    </row>
    <row r="292" spans="2:12">
      <c r="B292" s="17">
        <v>591</v>
      </c>
      <c r="C292" s="17">
        <v>1</v>
      </c>
      <c r="D292" s="17">
        <f t="shared" si="14"/>
        <v>0</v>
      </c>
      <c r="E292" s="17">
        <f t="shared" si="13"/>
        <v>1244</v>
      </c>
      <c r="F292" s="17" t="s">
        <v>4813</v>
      </c>
      <c r="G292" s="17">
        <f>MATCH(E292,Arenas!$F$8:$F$15)</f>
        <v>4</v>
      </c>
      <c r="H292" s="29" t="s">
        <v>1662</v>
      </c>
      <c r="I292" s="33" t="s">
        <v>6261</v>
      </c>
      <c r="J292" s="47" t="s">
        <v>4577</v>
      </c>
      <c r="K292" s="61" t="s">
        <v>4779</v>
      </c>
      <c r="L292" s="12" t="str">
        <f t="shared" si="12"/>
        <v>1,1,1</v>
      </c>
    </row>
    <row r="293" spans="2:12">
      <c r="B293" s="17">
        <v>592</v>
      </c>
      <c r="C293" s="17">
        <v>1</v>
      </c>
      <c r="D293" s="17">
        <f t="shared" si="14"/>
        <v>1</v>
      </c>
      <c r="E293" s="17">
        <f t="shared" si="13"/>
        <v>1245</v>
      </c>
      <c r="F293" s="17" t="s">
        <v>4813</v>
      </c>
      <c r="G293" s="17">
        <f>MATCH(E293,Arenas!$F$8:$F$15)</f>
        <v>4</v>
      </c>
      <c r="H293" s="29" t="s">
        <v>1663</v>
      </c>
      <c r="I293" s="33" t="s">
        <v>6262</v>
      </c>
      <c r="J293" s="47" t="s">
        <v>4901</v>
      </c>
      <c r="K293" s="61" t="s">
        <v>4779</v>
      </c>
      <c r="L293" s="12" t="str">
        <f t="shared" si="12"/>
        <v>1,1,1</v>
      </c>
    </row>
    <row r="294" spans="2:12">
      <c r="B294" s="17">
        <v>593</v>
      </c>
      <c r="C294" s="17">
        <v>1</v>
      </c>
      <c r="D294" s="17">
        <f t="shared" si="14"/>
        <v>0</v>
      </c>
      <c r="E294" s="17">
        <f t="shared" si="13"/>
        <v>1245</v>
      </c>
      <c r="F294" s="17" t="s">
        <v>4813</v>
      </c>
      <c r="G294" s="17">
        <f>MATCH(E294,Arenas!$F$8:$F$15)</f>
        <v>4</v>
      </c>
      <c r="H294" s="29" t="s">
        <v>1664</v>
      </c>
      <c r="I294" s="33" t="s">
        <v>6263</v>
      </c>
      <c r="J294" s="47" t="s">
        <v>4561</v>
      </c>
      <c r="K294" s="61" t="s">
        <v>4779</v>
      </c>
      <c r="L294" s="12" t="str">
        <f t="shared" si="12"/>
        <v>1,1,1</v>
      </c>
    </row>
    <row r="295" spans="2:12">
      <c r="B295" s="17">
        <v>594</v>
      </c>
      <c r="C295" s="17">
        <v>1</v>
      </c>
      <c r="D295" s="17">
        <f t="shared" si="14"/>
        <v>0</v>
      </c>
      <c r="E295" s="17">
        <f t="shared" si="13"/>
        <v>1245</v>
      </c>
      <c r="F295" s="17" t="s">
        <v>4813</v>
      </c>
      <c r="G295" s="17">
        <f>MATCH(E295,Arenas!$F$8:$F$15)</f>
        <v>4</v>
      </c>
      <c r="H295" s="29" t="s">
        <v>1665</v>
      </c>
      <c r="I295" s="33" t="s">
        <v>6264</v>
      </c>
      <c r="J295" s="47" t="s">
        <v>4653</v>
      </c>
      <c r="K295" s="61" t="s">
        <v>4779</v>
      </c>
      <c r="L295" s="12" t="str">
        <f t="shared" si="12"/>
        <v>1,1,1</v>
      </c>
    </row>
    <row r="296" spans="2:12">
      <c r="B296" s="17">
        <v>595</v>
      </c>
      <c r="C296" s="17">
        <v>1</v>
      </c>
      <c r="D296" s="17">
        <f t="shared" si="14"/>
        <v>1</v>
      </c>
      <c r="E296" s="17">
        <f t="shared" si="13"/>
        <v>1246</v>
      </c>
      <c r="F296" s="17" t="s">
        <v>4813</v>
      </c>
      <c r="G296" s="17">
        <f>MATCH(E296,Arenas!$F$8:$F$15)</f>
        <v>4</v>
      </c>
      <c r="H296" s="29" t="s">
        <v>1666</v>
      </c>
      <c r="I296" s="33" t="s">
        <v>6265</v>
      </c>
      <c r="J296" s="47" t="s">
        <v>4616</v>
      </c>
      <c r="K296" s="61" t="s">
        <v>4779</v>
      </c>
      <c r="L296" s="12" t="str">
        <f t="shared" si="12"/>
        <v>1,1,1</v>
      </c>
    </row>
    <row r="297" spans="2:12">
      <c r="B297" s="17">
        <v>596</v>
      </c>
      <c r="C297" s="17">
        <v>1</v>
      </c>
      <c r="D297" s="17">
        <f t="shared" si="14"/>
        <v>0</v>
      </c>
      <c r="E297" s="17">
        <f t="shared" si="13"/>
        <v>1246</v>
      </c>
      <c r="F297" s="17" t="s">
        <v>4813</v>
      </c>
      <c r="G297" s="17">
        <f>MATCH(E297,Arenas!$F$8:$F$15)</f>
        <v>4</v>
      </c>
      <c r="H297" s="29" t="s">
        <v>1667</v>
      </c>
      <c r="I297" s="33" t="s">
        <v>6266</v>
      </c>
      <c r="J297" s="47" t="s">
        <v>4878</v>
      </c>
      <c r="K297" s="61" t="s">
        <v>4779</v>
      </c>
      <c r="L297" s="12" t="str">
        <f t="shared" si="12"/>
        <v>1,1,1</v>
      </c>
    </row>
    <row r="298" spans="2:12">
      <c r="B298" s="17">
        <v>597</v>
      </c>
      <c r="C298" s="17">
        <v>1</v>
      </c>
      <c r="D298" s="17">
        <f t="shared" si="14"/>
        <v>0</v>
      </c>
      <c r="E298" s="17">
        <f t="shared" si="13"/>
        <v>1246</v>
      </c>
      <c r="F298" s="17" t="s">
        <v>4813</v>
      </c>
      <c r="G298" s="17">
        <f>MATCH(E298,Arenas!$F$8:$F$15)</f>
        <v>4</v>
      </c>
      <c r="H298" s="29" t="s">
        <v>1668</v>
      </c>
      <c r="I298" s="33" t="s">
        <v>6267</v>
      </c>
      <c r="J298" s="47" t="s">
        <v>4863</v>
      </c>
      <c r="K298" s="61" t="s">
        <v>4779</v>
      </c>
      <c r="L298" s="12" t="str">
        <f t="shared" si="12"/>
        <v>1,1,1</v>
      </c>
    </row>
    <row r="299" spans="2:12">
      <c r="B299" s="17">
        <v>598</v>
      </c>
      <c r="C299" s="17">
        <v>1</v>
      </c>
      <c r="D299" s="17">
        <f t="shared" si="14"/>
        <v>1</v>
      </c>
      <c r="E299" s="17">
        <f t="shared" si="13"/>
        <v>1247</v>
      </c>
      <c r="F299" s="17" t="s">
        <v>4813</v>
      </c>
      <c r="G299" s="17">
        <f>MATCH(E299,Arenas!$F$8:$F$15)</f>
        <v>4</v>
      </c>
      <c r="H299" s="29" t="s">
        <v>1669</v>
      </c>
      <c r="I299" s="33" t="s">
        <v>6268</v>
      </c>
      <c r="J299" s="47" t="s">
        <v>4578</v>
      </c>
      <c r="K299" s="61" t="s">
        <v>4779</v>
      </c>
      <c r="L299" s="12" t="str">
        <f t="shared" si="12"/>
        <v>1,1,1</v>
      </c>
    </row>
    <row r="300" spans="2:12">
      <c r="B300" s="17">
        <v>599</v>
      </c>
      <c r="C300" s="17">
        <v>1</v>
      </c>
      <c r="D300" s="17">
        <f t="shared" si="14"/>
        <v>0</v>
      </c>
      <c r="E300" s="17">
        <f t="shared" si="13"/>
        <v>1247</v>
      </c>
      <c r="F300" s="17" t="s">
        <v>4813</v>
      </c>
      <c r="G300" s="17">
        <f>MATCH(E300,Arenas!$F$8:$F$15)</f>
        <v>4</v>
      </c>
      <c r="H300" s="29" t="s">
        <v>1670</v>
      </c>
      <c r="I300" s="33" t="s">
        <v>6269</v>
      </c>
      <c r="J300" s="47" t="s">
        <v>4853</v>
      </c>
      <c r="K300" s="61" t="s">
        <v>4779</v>
      </c>
      <c r="L300" s="12" t="str">
        <f t="shared" si="12"/>
        <v>1,1,1</v>
      </c>
    </row>
    <row r="301" spans="2:12">
      <c r="B301" s="17">
        <v>600</v>
      </c>
      <c r="C301" s="17">
        <v>1</v>
      </c>
      <c r="D301" s="17">
        <f t="shared" si="14"/>
        <v>0</v>
      </c>
      <c r="E301" s="17">
        <f t="shared" si="13"/>
        <v>1247</v>
      </c>
      <c r="F301" s="17" t="s">
        <v>4813</v>
      </c>
      <c r="G301" s="17">
        <f>MATCH(E301,Arenas!$F$8:$F$15)</f>
        <v>4</v>
      </c>
      <c r="H301" s="29" t="s">
        <v>1671</v>
      </c>
      <c r="I301" s="33" t="s">
        <v>6270</v>
      </c>
      <c r="J301" s="47" t="s">
        <v>4568</v>
      </c>
      <c r="K301" s="61" t="s">
        <v>4779</v>
      </c>
      <c r="L301" s="12" t="str">
        <f t="shared" si="12"/>
        <v>1,1,1</v>
      </c>
    </row>
    <row r="302" spans="2:12">
      <c r="B302" s="17">
        <v>601</v>
      </c>
      <c r="C302" s="17">
        <v>1</v>
      </c>
      <c r="D302" s="17">
        <f t="shared" si="14"/>
        <v>1</v>
      </c>
      <c r="E302" s="17">
        <f t="shared" si="13"/>
        <v>1248</v>
      </c>
      <c r="F302" s="17" t="s">
        <v>4813</v>
      </c>
      <c r="G302" s="17">
        <f>MATCH(E302,Arenas!$F$8:$F$15)</f>
        <v>4</v>
      </c>
      <c r="H302" s="29" t="s">
        <v>1672</v>
      </c>
      <c r="I302" s="33" t="s">
        <v>6271</v>
      </c>
      <c r="J302" s="47" t="s">
        <v>5188</v>
      </c>
      <c r="K302" s="61" t="s">
        <v>4779</v>
      </c>
      <c r="L302" s="12" t="str">
        <f t="shared" si="12"/>
        <v>1,1,1</v>
      </c>
    </row>
    <row r="303" spans="2:12">
      <c r="B303" s="17">
        <v>602</v>
      </c>
      <c r="C303" s="17">
        <v>1</v>
      </c>
      <c r="D303" s="17">
        <f t="shared" si="14"/>
        <v>0</v>
      </c>
      <c r="E303" s="17">
        <f t="shared" si="13"/>
        <v>1248</v>
      </c>
      <c r="F303" s="17" t="s">
        <v>4813</v>
      </c>
      <c r="G303" s="17">
        <f>MATCH(E303,Arenas!$F$8:$F$15)</f>
        <v>4</v>
      </c>
      <c r="H303" s="29" t="s">
        <v>1673</v>
      </c>
      <c r="I303" s="33" t="s">
        <v>6272</v>
      </c>
      <c r="J303" s="47" t="s">
        <v>5185</v>
      </c>
      <c r="K303" s="61" t="s">
        <v>4779</v>
      </c>
      <c r="L303" s="12" t="str">
        <f t="shared" si="12"/>
        <v>1,1,1</v>
      </c>
    </row>
    <row r="304" spans="2:12">
      <c r="B304" s="17">
        <v>603</v>
      </c>
      <c r="C304" s="17">
        <v>1</v>
      </c>
      <c r="D304" s="17">
        <f t="shared" si="14"/>
        <v>0</v>
      </c>
      <c r="E304" s="17">
        <f t="shared" si="13"/>
        <v>1248</v>
      </c>
      <c r="F304" s="17" t="s">
        <v>4813</v>
      </c>
      <c r="G304" s="17">
        <f>MATCH(E304,Arenas!$F$8:$F$15)</f>
        <v>4</v>
      </c>
      <c r="H304" s="29" t="s">
        <v>1674</v>
      </c>
      <c r="I304" s="33" t="s">
        <v>6273</v>
      </c>
      <c r="J304" s="47" t="s">
        <v>4896</v>
      </c>
      <c r="K304" s="61" t="s">
        <v>4779</v>
      </c>
      <c r="L304" s="12" t="str">
        <f t="shared" si="12"/>
        <v>1,1,1</v>
      </c>
    </row>
    <row r="305" spans="2:12">
      <c r="B305" s="17">
        <v>604</v>
      </c>
      <c r="C305" s="17">
        <v>1</v>
      </c>
      <c r="D305" s="17">
        <f t="shared" si="14"/>
        <v>1</v>
      </c>
      <c r="E305" s="17">
        <f t="shared" si="13"/>
        <v>1249</v>
      </c>
      <c r="F305" s="17" t="s">
        <v>4813</v>
      </c>
      <c r="G305" s="17">
        <f>MATCH(E305,Arenas!$F$8:$F$15)</f>
        <v>4</v>
      </c>
      <c r="H305" s="29" t="s">
        <v>1675</v>
      </c>
      <c r="I305" s="33" t="s">
        <v>6274</v>
      </c>
      <c r="J305" s="47" t="s">
        <v>1071</v>
      </c>
      <c r="K305" s="61" t="s">
        <v>4779</v>
      </c>
      <c r="L305" s="12" t="str">
        <f t="shared" si="12"/>
        <v>1,1,1</v>
      </c>
    </row>
    <row r="306" spans="2:12">
      <c r="B306" s="17">
        <v>605</v>
      </c>
      <c r="C306" s="17">
        <v>1</v>
      </c>
      <c r="D306" s="17">
        <f t="shared" si="14"/>
        <v>0</v>
      </c>
      <c r="E306" s="17">
        <f t="shared" si="13"/>
        <v>1249</v>
      </c>
      <c r="F306" s="17" t="s">
        <v>4813</v>
      </c>
      <c r="G306" s="17">
        <f>MATCH(E306,Arenas!$F$8:$F$15)</f>
        <v>4</v>
      </c>
      <c r="H306" s="29" t="s">
        <v>1676</v>
      </c>
      <c r="I306" s="33" t="s">
        <v>6275</v>
      </c>
      <c r="J306" s="47" t="s">
        <v>4616</v>
      </c>
      <c r="K306" s="61" t="s">
        <v>4779</v>
      </c>
      <c r="L306" s="12" t="str">
        <f t="shared" si="12"/>
        <v>1,1,1</v>
      </c>
    </row>
    <row r="307" spans="2:12">
      <c r="B307" s="17">
        <v>606</v>
      </c>
      <c r="C307" s="17">
        <v>1</v>
      </c>
      <c r="D307" s="17">
        <f t="shared" si="14"/>
        <v>0</v>
      </c>
      <c r="E307" s="17">
        <f t="shared" si="13"/>
        <v>1249</v>
      </c>
      <c r="F307" s="17" t="s">
        <v>4813</v>
      </c>
      <c r="G307" s="17">
        <f>MATCH(E307,Arenas!$F$8:$F$15)</f>
        <v>4</v>
      </c>
      <c r="H307" s="29" t="s">
        <v>1677</v>
      </c>
      <c r="I307" s="33" t="s">
        <v>6276</v>
      </c>
      <c r="J307" s="47" t="s">
        <v>4596</v>
      </c>
      <c r="K307" s="61" t="s">
        <v>4779</v>
      </c>
      <c r="L307" s="12" t="str">
        <f t="shared" si="12"/>
        <v>1,1,1</v>
      </c>
    </row>
    <row r="308" spans="2:12">
      <c r="B308" s="17">
        <v>607</v>
      </c>
      <c r="C308" s="17">
        <v>1</v>
      </c>
      <c r="D308" s="17">
        <f t="shared" si="14"/>
        <v>1</v>
      </c>
      <c r="E308" s="17">
        <f t="shared" si="13"/>
        <v>1250</v>
      </c>
      <c r="F308" s="17" t="s">
        <v>4813</v>
      </c>
      <c r="G308" s="17">
        <f>MATCH(E308,Arenas!$F$8:$F$15)</f>
        <v>4</v>
      </c>
      <c r="H308" s="29" t="s">
        <v>1678</v>
      </c>
      <c r="I308" s="33" t="s">
        <v>6277</v>
      </c>
      <c r="J308" s="47" t="s">
        <v>4627</v>
      </c>
      <c r="K308" s="61" t="s">
        <v>4779</v>
      </c>
      <c r="L308" s="12" t="str">
        <f t="shared" si="12"/>
        <v>1,1,1</v>
      </c>
    </row>
    <row r="309" spans="2:12">
      <c r="B309" s="17">
        <v>608</v>
      </c>
      <c r="C309" s="17">
        <v>1</v>
      </c>
      <c r="D309" s="17">
        <f t="shared" si="14"/>
        <v>0</v>
      </c>
      <c r="E309" s="17">
        <f t="shared" si="13"/>
        <v>1250</v>
      </c>
      <c r="F309" s="17" t="s">
        <v>4813</v>
      </c>
      <c r="G309" s="17">
        <f>MATCH(E309,Arenas!$F$8:$F$15)</f>
        <v>4</v>
      </c>
      <c r="H309" s="29" t="s">
        <v>1679</v>
      </c>
      <c r="I309" s="33" t="s">
        <v>6278</v>
      </c>
      <c r="J309" s="47" t="s">
        <v>1071</v>
      </c>
      <c r="K309" s="61" t="s">
        <v>4779</v>
      </c>
      <c r="L309" s="12" t="str">
        <f t="shared" si="12"/>
        <v>1,1,1</v>
      </c>
    </row>
    <row r="310" spans="2:12">
      <c r="B310" s="17">
        <v>609</v>
      </c>
      <c r="C310" s="17">
        <v>1</v>
      </c>
      <c r="D310" s="17">
        <f t="shared" si="14"/>
        <v>0</v>
      </c>
      <c r="E310" s="17">
        <f t="shared" si="13"/>
        <v>1250</v>
      </c>
      <c r="F310" s="17" t="s">
        <v>4813</v>
      </c>
      <c r="G310" s="17">
        <f>MATCH(E310,Arenas!$F$8:$F$15)</f>
        <v>4</v>
      </c>
      <c r="H310" s="29" t="s">
        <v>1680</v>
      </c>
      <c r="I310" s="33" t="s">
        <v>6279</v>
      </c>
      <c r="J310" s="47" t="s">
        <v>4849</v>
      </c>
      <c r="K310" s="61" t="s">
        <v>4779</v>
      </c>
      <c r="L310" s="12" t="str">
        <f t="shared" si="12"/>
        <v>1,1,1</v>
      </c>
    </row>
    <row r="311" spans="2:12">
      <c r="B311" s="17">
        <v>610</v>
      </c>
      <c r="C311" s="17">
        <v>1</v>
      </c>
      <c r="D311" s="17">
        <f t="shared" si="14"/>
        <v>1</v>
      </c>
      <c r="E311" s="17">
        <f t="shared" si="13"/>
        <v>1251</v>
      </c>
      <c r="F311" s="17" t="s">
        <v>4813</v>
      </c>
      <c r="G311" s="17">
        <f>MATCH(E311,Arenas!$F$8:$F$15)</f>
        <v>4</v>
      </c>
      <c r="H311" s="29" t="s">
        <v>1681</v>
      </c>
      <c r="I311" s="33" t="s">
        <v>6280</v>
      </c>
      <c r="J311" s="47" t="s">
        <v>4891</v>
      </c>
      <c r="K311" s="61" t="s">
        <v>4779</v>
      </c>
      <c r="L311" s="12" t="str">
        <f t="shared" si="12"/>
        <v>1,1,1</v>
      </c>
    </row>
    <row r="312" spans="2:12">
      <c r="B312" s="17">
        <v>611</v>
      </c>
      <c r="C312" s="17">
        <v>1</v>
      </c>
      <c r="D312" s="17">
        <f t="shared" si="14"/>
        <v>0</v>
      </c>
      <c r="E312" s="17">
        <f t="shared" si="13"/>
        <v>1251</v>
      </c>
      <c r="F312" s="17" t="s">
        <v>4813</v>
      </c>
      <c r="G312" s="17">
        <f>MATCH(E312,Arenas!$F$8:$F$15)</f>
        <v>4</v>
      </c>
      <c r="H312" s="29" t="s">
        <v>1682</v>
      </c>
      <c r="I312" s="33" t="s">
        <v>6281</v>
      </c>
      <c r="J312" s="47" t="s">
        <v>4568</v>
      </c>
      <c r="K312" s="61" t="s">
        <v>4779</v>
      </c>
      <c r="L312" s="12" t="str">
        <f t="shared" si="12"/>
        <v>1,1,1</v>
      </c>
    </row>
    <row r="313" spans="2:12">
      <c r="B313" s="17">
        <v>612</v>
      </c>
      <c r="C313" s="17">
        <v>1</v>
      </c>
      <c r="D313" s="17">
        <f t="shared" si="14"/>
        <v>0</v>
      </c>
      <c r="E313" s="17">
        <f t="shared" si="13"/>
        <v>1251</v>
      </c>
      <c r="F313" s="17" t="s">
        <v>4813</v>
      </c>
      <c r="G313" s="17">
        <f>MATCH(E313,Arenas!$F$8:$F$15)</f>
        <v>4</v>
      </c>
      <c r="H313" s="29" t="s">
        <v>1683</v>
      </c>
      <c r="I313" s="33" t="s">
        <v>6282</v>
      </c>
      <c r="J313" s="47" t="s">
        <v>4890</v>
      </c>
      <c r="K313" s="61" t="s">
        <v>4779</v>
      </c>
      <c r="L313" s="12" t="str">
        <f t="shared" si="12"/>
        <v>1,1,1</v>
      </c>
    </row>
    <row r="314" spans="2:12">
      <c r="B314" s="17">
        <v>613</v>
      </c>
      <c r="C314" s="17">
        <v>1</v>
      </c>
      <c r="D314" s="17">
        <f t="shared" si="14"/>
        <v>1</v>
      </c>
      <c r="E314" s="17">
        <f t="shared" si="13"/>
        <v>1252</v>
      </c>
      <c r="F314" s="17" t="s">
        <v>4813</v>
      </c>
      <c r="G314" s="17">
        <f>MATCH(E314,Arenas!$F$8:$F$15)</f>
        <v>4</v>
      </c>
      <c r="H314" s="29" t="s">
        <v>1684</v>
      </c>
      <c r="I314" s="33" t="s">
        <v>6283</v>
      </c>
      <c r="J314" s="47" t="s">
        <v>4865</v>
      </c>
      <c r="K314" s="61" t="s">
        <v>4779</v>
      </c>
      <c r="L314" s="12" t="str">
        <f t="shared" si="12"/>
        <v>1,1,1</v>
      </c>
    </row>
    <row r="315" spans="2:12">
      <c r="B315" s="17">
        <v>614</v>
      </c>
      <c r="C315" s="17">
        <v>1</v>
      </c>
      <c r="D315" s="17">
        <f t="shared" si="14"/>
        <v>0</v>
      </c>
      <c r="E315" s="17">
        <f t="shared" si="13"/>
        <v>1252</v>
      </c>
      <c r="F315" s="17" t="s">
        <v>4813</v>
      </c>
      <c r="G315" s="17">
        <f>MATCH(E315,Arenas!$F$8:$F$15)</f>
        <v>4</v>
      </c>
      <c r="H315" s="29" t="s">
        <v>1685</v>
      </c>
      <c r="I315" s="33" t="s">
        <v>6284</v>
      </c>
      <c r="J315" s="47" t="s">
        <v>1066</v>
      </c>
      <c r="K315" s="61" t="s">
        <v>4779</v>
      </c>
      <c r="L315" s="12" t="str">
        <f t="shared" si="12"/>
        <v>1,1,1</v>
      </c>
    </row>
    <row r="316" spans="2:12">
      <c r="B316" s="17">
        <v>615</v>
      </c>
      <c r="C316" s="17">
        <v>1</v>
      </c>
      <c r="D316" s="17">
        <f t="shared" si="14"/>
        <v>0</v>
      </c>
      <c r="E316" s="17">
        <f t="shared" si="13"/>
        <v>1252</v>
      </c>
      <c r="F316" s="17" t="s">
        <v>4813</v>
      </c>
      <c r="G316" s="17">
        <f>MATCH(E316,Arenas!$F$8:$F$15)</f>
        <v>4</v>
      </c>
      <c r="H316" s="29" t="s">
        <v>1686</v>
      </c>
      <c r="I316" s="33" t="s">
        <v>6285</v>
      </c>
      <c r="J316" s="47" t="s">
        <v>1067</v>
      </c>
      <c r="K316" s="61" t="s">
        <v>4779</v>
      </c>
      <c r="L316" s="12" t="str">
        <f t="shared" si="12"/>
        <v>1,1,1</v>
      </c>
    </row>
    <row r="317" spans="2:12">
      <c r="B317" s="17">
        <v>616</v>
      </c>
      <c r="C317" s="17">
        <v>1</v>
      </c>
      <c r="D317" s="17">
        <f t="shared" si="14"/>
        <v>1</v>
      </c>
      <c r="E317" s="17">
        <f t="shared" si="13"/>
        <v>1253</v>
      </c>
      <c r="F317" s="17" t="s">
        <v>4813</v>
      </c>
      <c r="G317" s="17">
        <f>MATCH(E317,Arenas!$F$8:$F$15)</f>
        <v>4</v>
      </c>
      <c r="H317" s="29" t="s">
        <v>1687</v>
      </c>
      <c r="I317" s="33" t="s">
        <v>6286</v>
      </c>
      <c r="J317" s="47" t="s">
        <v>4856</v>
      </c>
      <c r="K317" s="61" t="s">
        <v>4779</v>
      </c>
      <c r="L317" s="12" t="str">
        <f t="shared" si="12"/>
        <v>1,1,1</v>
      </c>
    </row>
    <row r="318" spans="2:12">
      <c r="B318" s="17">
        <v>617</v>
      </c>
      <c r="C318" s="17">
        <v>1</v>
      </c>
      <c r="D318" s="17">
        <f t="shared" si="14"/>
        <v>0</v>
      </c>
      <c r="E318" s="17">
        <f t="shared" si="13"/>
        <v>1253</v>
      </c>
      <c r="F318" s="17" t="s">
        <v>4813</v>
      </c>
      <c r="G318" s="17">
        <f>MATCH(E318,Arenas!$F$8:$F$15)</f>
        <v>4</v>
      </c>
      <c r="H318" s="29" t="s">
        <v>1688</v>
      </c>
      <c r="I318" s="33" t="s">
        <v>6287</v>
      </c>
      <c r="J318" s="47" t="s">
        <v>4547</v>
      </c>
      <c r="K318" s="61" t="s">
        <v>4779</v>
      </c>
      <c r="L318" s="12" t="str">
        <f t="shared" si="12"/>
        <v>1,1,1</v>
      </c>
    </row>
    <row r="319" spans="2:12">
      <c r="B319" s="17">
        <v>618</v>
      </c>
      <c r="C319" s="17">
        <v>1</v>
      </c>
      <c r="D319" s="17">
        <f t="shared" si="14"/>
        <v>0</v>
      </c>
      <c r="E319" s="17">
        <f t="shared" si="13"/>
        <v>1253</v>
      </c>
      <c r="F319" s="17" t="s">
        <v>4813</v>
      </c>
      <c r="G319" s="17">
        <f>MATCH(E319,Arenas!$F$8:$F$15)</f>
        <v>4</v>
      </c>
      <c r="H319" s="29" t="s">
        <v>1689</v>
      </c>
      <c r="I319" s="33" t="s">
        <v>6288</v>
      </c>
      <c r="J319" s="47" t="s">
        <v>4893</v>
      </c>
      <c r="K319" s="61" t="s">
        <v>4779</v>
      </c>
      <c r="L319" s="12" t="str">
        <f t="shared" si="12"/>
        <v>1,1,1</v>
      </c>
    </row>
    <row r="320" spans="2:12">
      <c r="B320" s="17">
        <v>619</v>
      </c>
      <c r="C320" s="17">
        <v>1</v>
      </c>
      <c r="D320" s="17">
        <f t="shared" si="14"/>
        <v>1</v>
      </c>
      <c r="E320" s="17">
        <f t="shared" si="13"/>
        <v>1254</v>
      </c>
      <c r="F320" s="17" t="s">
        <v>4813</v>
      </c>
      <c r="G320" s="17">
        <f>MATCH(E320,Arenas!$F$8:$F$15)</f>
        <v>4</v>
      </c>
      <c r="H320" s="29" t="s">
        <v>1690</v>
      </c>
      <c r="I320" s="33" t="s">
        <v>6289</v>
      </c>
      <c r="J320" s="47" t="s">
        <v>1069</v>
      </c>
      <c r="K320" s="61" t="s">
        <v>4779</v>
      </c>
      <c r="L320" s="12" t="str">
        <f t="shared" si="12"/>
        <v>1,1,1</v>
      </c>
    </row>
    <row r="321" spans="2:12">
      <c r="B321" s="17">
        <v>620</v>
      </c>
      <c r="C321" s="17">
        <v>1</v>
      </c>
      <c r="D321" s="17">
        <f t="shared" si="14"/>
        <v>0</v>
      </c>
      <c r="E321" s="17">
        <f t="shared" si="13"/>
        <v>1254</v>
      </c>
      <c r="F321" s="17" t="s">
        <v>4813</v>
      </c>
      <c r="G321" s="17">
        <f>MATCH(E321,Arenas!$F$8:$F$15)</f>
        <v>4</v>
      </c>
      <c r="H321" s="29" t="s">
        <v>1691</v>
      </c>
      <c r="I321" s="33" t="s">
        <v>6290</v>
      </c>
      <c r="J321" s="47" t="s">
        <v>1070</v>
      </c>
      <c r="K321" s="61" t="s">
        <v>4779</v>
      </c>
      <c r="L321" s="12" t="str">
        <f t="shared" si="12"/>
        <v>1,1,1</v>
      </c>
    </row>
    <row r="322" spans="2:12">
      <c r="B322" s="17">
        <v>621</v>
      </c>
      <c r="C322" s="17">
        <v>1</v>
      </c>
      <c r="D322" s="17">
        <f t="shared" si="14"/>
        <v>0</v>
      </c>
      <c r="E322" s="17">
        <f t="shared" si="13"/>
        <v>1254</v>
      </c>
      <c r="F322" s="17" t="s">
        <v>4813</v>
      </c>
      <c r="G322" s="17">
        <f>MATCH(E322,Arenas!$F$8:$F$15)</f>
        <v>4</v>
      </c>
      <c r="H322" s="29" t="s">
        <v>1692</v>
      </c>
      <c r="I322" s="33" t="s">
        <v>6291</v>
      </c>
      <c r="J322" s="47" t="s">
        <v>4548</v>
      </c>
      <c r="K322" s="61" t="s">
        <v>4807</v>
      </c>
      <c r="L322" s="12" t="str">
        <f t="shared" ref="L322:L385" si="15">C322&amp;","&amp;C322&amp;","&amp;C322</f>
        <v>1,1,1</v>
      </c>
    </row>
    <row r="323" spans="2:12">
      <c r="B323" s="17">
        <v>622</v>
      </c>
      <c r="C323" s="17">
        <v>1</v>
      </c>
      <c r="D323" s="17">
        <f t="shared" si="14"/>
        <v>1</v>
      </c>
      <c r="E323" s="17">
        <f t="shared" ref="E323:E386" si="16">D323+E322</f>
        <v>1255</v>
      </c>
      <c r="F323" s="17" t="s">
        <v>4813</v>
      </c>
      <c r="G323" s="17">
        <f>MATCH(E323,Arenas!$F$8:$F$15)</f>
        <v>4</v>
      </c>
      <c r="H323" s="29" t="s">
        <v>1693</v>
      </c>
      <c r="I323" s="33" t="s">
        <v>6292</v>
      </c>
      <c r="J323" s="47" t="s">
        <v>4880</v>
      </c>
      <c r="K323" s="61" t="s">
        <v>4779</v>
      </c>
      <c r="L323" s="12" t="str">
        <f t="shared" si="15"/>
        <v>1,1,1</v>
      </c>
    </row>
    <row r="324" spans="2:12">
      <c r="B324" s="17">
        <v>623</v>
      </c>
      <c r="C324" s="17">
        <v>1</v>
      </c>
      <c r="D324" s="17">
        <f t="shared" si="14"/>
        <v>0</v>
      </c>
      <c r="E324" s="17">
        <f t="shared" si="16"/>
        <v>1255</v>
      </c>
      <c r="F324" s="17" t="s">
        <v>4813</v>
      </c>
      <c r="G324" s="17">
        <f>MATCH(E324,Arenas!$F$8:$F$15)</f>
        <v>4</v>
      </c>
      <c r="H324" s="29" t="s">
        <v>1694</v>
      </c>
      <c r="I324" s="33" t="s">
        <v>6293</v>
      </c>
      <c r="J324" s="47" t="s">
        <v>4550</v>
      </c>
      <c r="K324" s="61" t="s">
        <v>4779</v>
      </c>
      <c r="L324" s="12" t="str">
        <f t="shared" si="15"/>
        <v>1,1,1</v>
      </c>
    </row>
    <row r="325" spans="2:12">
      <c r="B325" s="17">
        <v>624</v>
      </c>
      <c r="C325" s="17">
        <v>1</v>
      </c>
      <c r="D325" s="17">
        <f t="shared" ref="D325:D388" si="17">D322</f>
        <v>0</v>
      </c>
      <c r="E325" s="17">
        <f t="shared" si="16"/>
        <v>1255</v>
      </c>
      <c r="F325" s="17" t="s">
        <v>4813</v>
      </c>
      <c r="G325" s="17">
        <f>MATCH(E325,Arenas!$F$8:$F$15)</f>
        <v>4</v>
      </c>
      <c r="H325" s="29" t="s">
        <v>1695</v>
      </c>
      <c r="I325" s="33" t="s">
        <v>6294</v>
      </c>
      <c r="J325" s="47" t="s">
        <v>4901</v>
      </c>
      <c r="K325" s="61" t="s">
        <v>4779</v>
      </c>
      <c r="L325" s="12" t="str">
        <f t="shared" si="15"/>
        <v>1,1,1</v>
      </c>
    </row>
    <row r="326" spans="2:12">
      <c r="B326" s="17">
        <v>625</v>
      </c>
      <c r="C326" s="17">
        <v>1</v>
      </c>
      <c r="D326" s="17">
        <f t="shared" si="17"/>
        <v>1</v>
      </c>
      <c r="E326" s="17">
        <f t="shared" si="16"/>
        <v>1256</v>
      </c>
      <c r="F326" s="17" t="s">
        <v>4813</v>
      </c>
      <c r="G326" s="17">
        <f>MATCH(E326,Arenas!$F$8:$F$15)</f>
        <v>4</v>
      </c>
      <c r="H326" s="29" t="s">
        <v>1696</v>
      </c>
      <c r="I326" s="33" t="s">
        <v>6295</v>
      </c>
      <c r="J326" s="47" t="s">
        <v>4562</v>
      </c>
      <c r="K326" s="61" t="s">
        <v>4779</v>
      </c>
      <c r="L326" s="12" t="str">
        <f t="shared" si="15"/>
        <v>1,1,1</v>
      </c>
    </row>
    <row r="327" spans="2:12">
      <c r="B327" s="17">
        <v>626</v>
      </c>
      <c r="C327" s="17">
        <v>1</v>
      </c>
      <c r="D327" s="17">
        <f t="shared" si="17"/>
        <v>0</v>
      </c>
      <c r="E327" s="17">
        <f t="shared" si="16"/>
        <v>1256</v>
      </c>
      <c r="F327" s="17" t="s">
        <v>4813</v>
      </c>
      <c r="G327" s="17">
        <f>MATCH(E327,Arenas!$F$8:$F$15)</f>
        <v>4</v>
      </c>
      <c r="H327" s="29" t="s">
        <v>1697</v>
      </c>
      <c r="I327" s="33" t="s">
        <v>6296</v>
      </c>
      <c r="J327" s="47" t="s">
        <v>4882</v>
      </c>
      <c r="K327" s="61" t="s">
        <v>4779</v>
      </c>
      <c r="L327" s="12" t="str">
        <f t="shared" si="15"/>
        <v>1,1,1</v>
      </c>
    </row>
    <row r="328" spans="2:12">
      <c r="B328" s="17">
        <v>627</v>
      </c>
      <c r="C328" s="17">
        <v>1</v>
      </c>
      <c r="D328" s="17">
        <f t="shared" si="17"/>
        <v>0</v>
      </c>
      <c r="E328" s="17">
        <f t="shared" si="16"/>
        <v>1256</v>
      </c>
      <c r="F328" s="17" t="s">
        <v>4813</v>
      </c>
      <c r="G328" s="17">
        <f>MATCH(E328,Arenas!$F$8:$F$15)</f>
        <v>4</v>
      </c>
      <c r="H328" s="29" t="s">
        <v>1698</v>
      </c>
      <c r="I328" s="33" t="s">
        <v>6297</v>
      </c>
      <c r="J328" s="47" t="s">
        <v>4646</v>
      </c>
      <c r="K328" s="61" t="s">
        <v>4779</v>
      </c>
      <c r="L328" s="12" t="str">
        <f t="shared" si="15"/>
        <v>1,1,1</v>
      </c>
    </row>
    <row r="329" spans="2:12">
      <c r="B329" s="17">
        <v>628</v>
      </c>
      <c r="C329" s="17">
        <v>1</v>
      </c>
      <c r="D329" s="17">
        <f t="shared" si="17"/>
        <v>1</v>
      </c>
      <c r="E329" s="17">
        <f t="shared" si="16"/>
        <v>1257</v>
      </c>
      <c r="F329" s="17" t="s">
        <v>4813</v>
      </c>
      <c r="G329" s="17">
        <f>MATCH(E329,Arenas!$F$8:$F$15)</f>
        <v>4</v>
      </c>
      <c r="H329" s="29" t="s">
        <v>1699</v>
      </c>
      <c r="I329" s="33" t="s">
        <v>6298</v>
      </c>
      <c r="J329" s="47" t="s">
        <v>4860</v>
      </c>
      <c r="K329" s="61" t="s">
        <v>4779</v>
      </c>
      <c r="L329" s="12" t="str">
        <f t="shared" si="15"/>
        <v>1,1,1</v>
      </c>
    </row>
    <row r="330" spans="2:12">
      <c r="B330" s="17">
        <v>629</v>
      </c>
      <c r="C330" s="17">
        <v>1</v>
      </c>
      <c r="D330" s="17">
        <f t="shared" si="17"/>
        <v>0</v>
      </c>
      <c r="E330" s="17">
        <f t="shared" si="16"/>
        <v>1257</v>
      </c>
      <c r="F330" s="17" t="s">
        <v>4813</v>
      </c>
      <c r="G330" s="17">
        <f>MATCH(E330,Arenas!$F$8:$F$15)</f>
        <v>4</v>
      </c>
      <c r="H330" s="29" t="s">
        <v>1700</v>
      </c>
      <c r="I330" s="33" t="s">
        <v>6299</v>
      </c>
      <c r="J330" s="47" t="s">
        <v>4896</v>
      </c>
      <c r="K330" s="61" t="s">
        <v>4779</v>
      </c>
      <c r="L330" s="12" t="str">
        <f t="shared" si="15"/>
        <v>1,1,1</v>
      </c>
    </row>
    <row r="331" spans="2:12">
      <c r="B331" s="17">
        <v>630</v>
      </c>
      <c r="C331" s="17">
        <v>1</v>
      </c>
      <c r="D331" s="17">
        <f t="shared" si="17"/>
        <v>0</v>
      </c>
      <c r="E331" s="17">
        <f t="shared" si="16"/>
        <v>1257</v>
      </c>
      <c r="F331" s="17" t="s">
        <v>4813</v>
      </c>
      <c r="G331" s="17">
        <f>MATCH(E331,Arenas!$F$8:$F$15)</f>
        <v>4</v>
      </c>
      <c r="H331" s="29" t="s">
        <v>1701</v>
      </c>
      <c r="I331" s="33" t="s">
        <v>6300</v>
      </c>
      <c r="J331" s="47" t="s">
        <v>1066</v>
      </c>
      <c r="K331" s="61" t="s">
        <v>4779</v>
      </c>
      <c r="L331" s="12" t="str">
        <f t="shared" si="15"/>
        <v>1,1,1</v>
      </c>
    </row>
    <row r="332" spans="2:12">
      <c r="B332" s="17">
        <v>631</v>
      </c>
      <c r="C332" s="17">
        <v>1</v>
      </c>
      <c r="D332" s="17">
        <f t="shared" si="17"/>
        <v>1</v>
      </c>
      <c r="E332" s="17">
        <f t="shared" si="16"/>
        <v>1258</v>
      </c>
      <c r="F332" s="17" t="s">
        <v>4813</v>
      </c>
      <c r="G332" s="17">
        <f>MATCH(E332,Arenas!$F$8:$F$15)</f>
        <v>4</v>
      </c>
      <c r="H332" s="29" t="s">
        <v>1702</v>
      </c>
      <c r="I332" s="33" t="s">
        <v>6301</v>
      </c>
      <c r="J332" s="47" t="s">
        <v>4881</v>
      </c>
      <c r="K332" s="61" t="s">
        <v>4779</v>
      </c>
      <c r="L332" s="12" t="str">
        <f t="shared" si="15"/>
        <v>1,1,1</v>
      </c>
    </row>
    <row r="333" spans="2:12">
      <c r="B333" s="17">
        <v>632</v>
      </c>
      <c r="C333" s="17">
        <v>1</v>
      </c>
      <c r="D333" s="17">
        <f t="shared" si="17"/>
        <v>0</v>
      </c>
      <c r="E333" s="17">
        <f t="shared" si="16"/>
        <v>1258</v>
      </c>
      <c r="F333" s="17" t="s">
        <v>4813</v>
      </c>
      <c r="G333" s="17">
        <f>MATCH(E333,Arenas!$F$8:$F$15)</f>
        <v>4</v>
      </c>
      <c r="H333" s="29" t="s">
        <v>1703</v>
      </c>
      <c r="I333" s="33" t="s">
        <v>6302</v>
      </c>
      <c r="J333" s="47" t="s">
        <v>4626</v>
      </c>
      <c r="K333" s="61" t="s">
        <v>4779</v>
      </c>
      <c r="L333" s="12" t="str">
        <f t="shared" si="15"/>
        <v>1,1,1</v>
      </c>
    </row>
    <row r="334" spans="2:12">
      <c r="B334" s="17">
        <v>633</v>
      </c>
      <c r="C334" s="17">
        <v>1</v>
      </c>
      <c r="D334" s="17">
        <f t="shared" si="17"/>
        <v>0</v>
      </c>
      <c r="E334" s="17">
        <f t="shared" si="16"/>
        <v>1258</v>
      </c>
      <c r="F334" s="17" t="s">
        <v>4813</v>
      </c>
      <c r="G334" s="17">
        <f>MATCH(E334,Arenas!$F$8:$F$15)</f>
        <v>4</v>
      </c>
      <c r="H334" s="29" t="s">
        <v>1704</v>
      </c>
      <c r="I334" s="33" t="s">
        <v>6303</v>
      </c>
      <c r="J334" s="47" t="s">
        <v>4669</v>
      </c>
      <c r="K334" s="61" t="s">
        <v>4779</v>
      </c>
      <c r="L334" s="12" t="str">
        <f t="shared" si="15"/>
        <v>1,1,1</v>
      </c>
    </row>
    <row r="335" spans="2:12">
      <c r="B335" s="17">
        <v>634</v>
      </c>
      <c r="C335" s="17">
        <v>1</v>
      </c>
      <c r="D335" s="17">
        <f t="shared" si="17"/>
        <v>1</v>
      </c>
      <c r="E335" s="17">
        <f t="shared" si="16"/>
        <v>1259</v>
      </c>
      <c r="F335" s="17" t="s">
        <v>4813</v>
      </c>
      <c r="G335" s="17">
        <f>MATCH(E335,Arenas!$F$8:$F$15)</f>
        <v>4</v>
      </c>
      <c r="H335" s="29" t="s">
        <v>1705</v>
      </c>
      <c r="I335" s="33" t="s">
        <v>6304</v>
      </c>
      <c r="J335" s="47" t="s">
        <v>4849</v>
      </c>
      <c r="K335" s="61" t="s">
        <v>4779</v>
      </c>
      <c r="L335" s="12" t="str">
        <f t="shared" si="15"/>
        <v>1,1,1</v>
      </c>
    </row>
    <row r="336" spans="2:12">
      <c r="B336" s="17">
        <v>635</v>
      </c>
      <c r="C336" s="17">
        <v>1</v>
      </c>
      <c r="D336" s="17">
        <f t="shared" si="17"/>
        <v>0</v>
      </c>
      <c r="E336" s="17">
        <f t="shared" si="16"/>
        <v>1259</v>
      </c>
      <c r="F336" s="17" t="s">
        <v>4813</v>
      </c>
      <c r="G336" s="17">
        <f>MATCH(E336,Arenas!$F$8:$F$15)</f>
        <v>4</v>
      </c>
      <c r="H336" s="29" t="s">
        <v>1706</v>
      </c>
      <c r="I336" s="33" t="s">
        <v>6305</v>
      </c>
      <c r="J336" s="47" t="s">
        <v>4550</v>
      </c>
      <c r="K336" s="61" t="s">
        <v>4779</v>
      </c>
      <c r="L336" s="12" t="str">
        <f t="shared" si="15"/>
        <v>1,1,1</v>
      </c>
    </row>
    <row r="337" spans="2:12">
      <c r="B337" s="17">
        <v>636</v>
      </c>
      <c r="C337" s="17">
        <v>1</v>
      </c>
      <c r="D337" s="17">
        <f t="shared" si="17"/>
        <v>0</v>
      </c>
      <c r="E337" s="17">
        <f t="shared" si="16"/>
        <v>1259</v>
      </c>
      <c r="F337" s="17" t="s">
        <v>4813</v>
      </c>
      <c r="G337" s="17">
        <f>MATCH(E337,Arenas!$F$8:$F$15)</f>
        <v>4</v>
      </c>
      <c r="H337" s="29" t="s">
        <v>1707</v>
      </c>
      <c r="I337" s="33" t="s">
        <v>6306</v>
      </c>
      <c r="J337" s="47" t="s">
        <v>4653</v>
      </c>
      <c r="K337" s="61" t="s">
        <v>4779</v>
      </c>
      <c r="L337" s="12" t="str">
        <f t="shared" si="15"/>
        <v>1,1,1</v>
      </c>
    </row>
    <row r="338" spans="2:12">
      <c r="B338" s="17">
        <v>637</v>
      </c>
      <c r="C338" s="17">
        <v>1</v>
      </c>
      <c r="D338" s="17">
        <f t="shared" si="17"/>
        <v>1</v>
      </c>
      <c r="E338" s="17">
        <f t="shared" si="16"/>
        <v>1260</v>
      </c>
      <c r="F338" s="17" t="s">
        <v>4813</v>
      </c>
      <c r="G338" s="17">
        <f>MATCH(E338,Arenas!$F$8:$F$15)</f>
        <v>4</v>
      </c>
      <c r="H338" s="29" t="s">
        <v>1708</v>
      </c>
      <c r="I338" s="33" t="s">
        <v>6307</v>
      </c>
      <c r="J338" s="47" t="s">
        <v>4566</v>
      </c>
      <c r="K338" s="61" t="s">
        <v>4779</v>
      </c>
      <c r="L338" s="12" t="str">
        <f t="shared" si="15"/>
        <v>1,1,1</v>
      </c>
    </row>
    <row r="339" spans="2:12">
      <c r="B339" s="17">
        <v>638</v>
      </c>
      <c r="C339" s="17">
        <v>1</v>
      </c>
      <c r="D339" s="17">
        <f t="shared" si="17"/>
        <v>0</v>
      </c>
      <c r="E339" s="17">
        <f t="shared" si="16"/>
        <v>1260</v>
      </c>
      <c r="F339" s="17" t="s">
        <v>4813</v>
      </c>
      <c r="G339" s="17">
        <f>MATCH(E339,Arenas!$F$8:$F$15)</f>
        <v>4</v>
      </c>
      <c r="H339" s="29" t="s">
        <v>1709</v>
      </c>
      <c r="I339" s="33" t="s">
        <v>6308</v>
      </c>
      <c r="J339" s="47" t="s">
        <v>4896</v>
      </c>
      <c r="K339" s="61" t="s">
        <v>4779</v>
      </c>
      <c r="L339" s="12" t="str">
        <f t="shared" si="15"/>
        <v>1,1,1</v>
      </c>
    </row>
    <row r="340" spans="2:12">
      <c r="B340" s="17">
        <v>639</v>
      </c>
      <c r="C340" s="17">
        <v>1</v>
      </c>
      <c r="D340" s="17">
        <f t="shared" si="17"/>
        <v>0</v>
      </c>
      <c r="E340" s="17">
        <f t="shared" si="16"/>
        <v>1260</v>
      </c>
      <c r="F340" s="17" t="s">
        <v>4813</v>
      </c>
      <c r="G340" s="17">
        <f>MATCH(E340,Arenas!$F$8:$F$15)</f>
        <v>4</v>
      </c>
      <c r="H340" s="29" t="s">
        <v>1710</v>
      </c>
      <c r="I340" s="33" t="s">
        <v>6309</v>
      </c>
      <c r="J340" s="47" t="s">
        <v>4567</v>
      </c>
      <c r="K340" s="61" t="s">
        <v>4779</v>
      </c>
      <c r="L340" s="12" t="str">
        <f t="shared" si="15"/>
        <v>1,1,1</v>
      </c>
    </row>
    <row r="341" spans="2:12">
      <c r="B341" s="17">
        <v>640</v>
      </c>
      <c r="C341" s="17">
        <v>1</v>
      </c>
      <c r="D341" s="17">
        <f t="shared" si="17"/>
        <v>1</v>
      </c>
      <c r="E341" s="17">
        <f t="shared" si="16"/>
        <v>1261</v>
      </c>
      <c r="F341" s="17" t="s">
        <v>4813</v>
      </c>
      <c r="G341" s="17">
        <f>MATCH(E341,Arenas!$F$8:$F$15)</f>
        <v>4</v>
      </c>
      <c r="H341" s="29" t="s">
        <v>1711</v>
      </c>
      <c r="I341" s="33" t="s">
        <v>6310</v>
      </c>
      <c r="J341" s="47" t="s">
        <v>4646</v>
      </c>
      <c r="K341" s="61" t="s">
        <v>4779</v>
      </c>
      <c r="L341" s="12" t="str">
        <f t="shared" si="15"/>
        <v>1,1,1</v>
      </c>
    </row>
    <row r="342" spans="2:12">
      <c r="B342" s="17">
        <v>641</v>
      </c>
      <c r="C342" s="17">
        <v>1</v>
      </c>
      <c r="D342" s="17">
        <f t="shared" si="17"/>
        <v>0</v>
      </c>
      <c r="E342" s="17">
        <f t="shared" si="16"/>
        <v>1261</v>
      </c>
      <c r="F342" s="17" t="s">
        <v>4813</v>
      </c>
      <c r="G342" s="17">
        <f>MATCH(E342,Arenas!$F$8:$F$15)</f>
        <v>4</v>
      </c>
      <c r="H342" s="29" t="s">
        <v>1712</v>
      </c>
      <c r="I342" s="33" t="s">
        <v>6311</v>
      </c>
      <c r="J342" s="47" t="s">
        <v>4547</v>
      </c>
      <c r="K342" s="61" t="s">
        <v>4779</v>
      </c>
      <c r="L342" s="12" t="str">
        <f t="shared" si="15"/>
        <v>1,1,1</v>
      </c>
    </row>
    <row r="343" spans="2:12">
      <c r="B343" s="17">
        <v>642</v>
      </c>
      <c r="C343" s="17">
        <v>1</v>
      </c>
      <c r="D343" s="17">
        <f t="shared" si="17"/>
        <v>0</v>
      </c>
      <c r="E343" s="17">
        <f t="shared" si="16"/>
        <v>1261</v>
      </c>
      <c r="F343" s="17" t="s">
        <v>4813</v>
      </c>
      <c r="G343" s="17">
        <f>MATCH(E343,Arenas!$F$8:$F$15)</f>
        <v>4</v>
      </c>
      <c r="H343" s="29" t="s">
        <v>1713</v>
      </c>
      <c r="I343" s="33" t="s">
        <v>6312</v>
      </c>
      <c r="J343" s="47" t="s">
        <v>4896</v>
      </c>
      <c r="K343" s="61" t="s">
        <v>4779</v>
      </c>
      <c r="L343" s="12" t="str">
        <f t="shared" si="15"/>
        <v>1,1,1</v>
      </c>
    </row>
    <row r="344" spans="2:12">
      <c r="B344" s="17">
        <v>643</v>
      </c>
      <c r="C344" s="17">
        <v>1</v>
      </c>
      <c r="D344" s="17">
        <f t="shared" si="17"/>
        <v>1</v>
      </c>
      <c r="E344" s="17">
        <f t="shared" si="16"/>
        <v>1262</v>
      </c>
      <c r="F344" s="17" t="s">
        <v>4813</v>
      </c>
      <c r="G344" s="17">
        <f>MATCH(E344,Arenas!$F$8:$F$15)</f>
        <v>4</v>
      </c>
      <c r="H344" s="29" t="s">
        <v>1714</v>
      </c>
      <c r="I344" s="33" t="s">
        <v>6313</v>
      </c>
      <c r="J344" s="47" t="s">
        <v>1065</v>
      </c>
      <c r="K344" s="61" t="s">
        <v>4779</v>
      </c>
      <c r="L344" s="12" t="str">
        <f t="shared" si="15"/>
        <v>1,1,1</v>
      </c>
    </row>
    <row r="345" spans="2:12">
      <c r="B345" s="17">
        <v>644</v>
      </c>
      <c r="C345" s="17">
        <v>1</v>
      </c>
      <c r="D345" s="17">
        <f t="shared" si="17"/>
        <v>0</v>
      </c>
      <c r="E345" s="17">
        <f t="shared" si="16"/>
        <v>1262</v>
      </c>
      <c r="F345" s="17" t="s">
        <v>4813</v>
      </c>
      <c r="G345" s="17">
        <f>MATCH(E345,Arenas!$F$8:$F$15)</f>
        <v>4</v>
      </c>
      <c r="H345" s="29" t="s">
        <v>1715</v>
      </c>
      <c r="I345" s="33" t="s">
        <v>6314</v>
      </c>
      <c r="J345" s="47" t="s">
        <v>4614</v>
      </c>
      <c r="K345" s="61" t="s">
        <v>4779</v>
      </c>
      <c r="L345" s="12" t="str">
        <f t="shared" si="15"/>
        <v>1,1,1</v>
      </c>
    </row>
    <row r="346" spans="2:12">
      <c r="B346" s="17">
        <v>645</v>
      </c>
      <c r="C346" s="17">
        <v>1</v>
      </c>
      <c r="D346" s="17">
        <f t="shared" si="17"/>
        <v>0</v>
      </c>
      <c r="E346" s="17">
        <f t="shared" si="16"/>
        <v>1262</v>
      </c>
      <c r="F346" s="17" t="s">
        <v>4813</v>
      </c>
      <c r="G346" s="17">
        <f>MATCH(E346,Arenas!$F$8:$F$15)</f>
        <v>4</v>
      </c>
      <c r="H346" s="29" t="s">
        <v>1716</v>
      </c>
      <c r="I346" s="33" t="s">
        <v>6315</v>
      </c>
      <c r="J346" s="47" t="s">
        <v>4567</v>
      </c>
      <c r="K346" s="61" t="s">
        <v>4779</v>
      </c>
      <c r="L346" s="12" t="str">
        <f t="shared" si="15"/>
        <v>1,1,1</v>
      </c>
    </row>
    <row r="347" spans="2:12">
      <c r="B347" s="17">
        <v>646</v>
      </c>
      <c r="C347" s="17">
        <v>1</v>
      </c>
      <c r="D347" s="17">
        <f t="shared" si="17"/>
        <v>1</v>
      </c>
      <c r="E347" s="17">
        <f t="shared" si="16"/>
        <v>1263</v>
      </c>
      <c r="F347" s="17" t="s">
        <v>4813</v>
      </c>
      <c r="G347" s="17">
        <f>MATCH(E347,Arenas!$F$8:$F$15)</f>
        <v>4</v>
      </c>
      <c r="H347" s="29" t="s">
        <v>1717</v>
      </c>
      <c r="I347" s="33" t="s">
        <v>6316</v>
      </c>
      <c r="J347" s="47" t="s">
        <v>4853</v>
      </c>
      <c r="K347" s="61" t="s">
        <v>4779</v>
      </c>
      <c r="L347" s="12" t="str">
        <f t="shared" si="15"/>
        <v>1,1,1</v>
      </c>
    </row>
    <row r="348" spans="2:12">
      <c r="B348" s="17">
        <v>647</v>
      </c>
      <c r="C348" s="17">
        <v>1</v>
      </c>
      <c r="D348" s="17">
        <f t="shared" si="17"/>
        <v>0</v>
      </c>
      <c r="E348" s="17">
        <f t="shared" si="16"/>
        <v>1263</v>
      </c>
      <c r="F348" s="17" t="s">
        <v>4813</v>
      </c>
      <c r="G348" s="17">
        <f>MATCH(E348,Arenas!$F$8:$F$15)</f>
        <v>4</v>
      </c>
      <c r="H348" s="29" t="s">
        <v>1718</v>
      </c>
      <c r="I348" s="33" t="s">
        <v>6317</v>
      </c>
      <c r="J348" s="47" t="s">
        <v>4546</v>
      </c>
      <c r="K348" s="61" t="s">
        <v>4779</v>
      </c>
      <c r="L348" s="12" t="str">
        <f t="shared" si="15"/>
        <v>1,1,1</v>
      </c>
    </row>
    <row r="349" spans="2:12">
      <c r="B349" s="17">
        <v>648</v>
      </c>
      <c r="C349" s="17">
        <v>1</v>
      </c>
      <c r="D349" s="17">
        <f t="shared" si="17"/>
        <v>0</v>
      </c>
      <c r="E349" s="17">
        <f t="shared" si="16"/>
        <v>1263</v>
      </c>
      <c r="F349" s="17" t="s">
        <v>4813</v>
      </c>
      <c r="G349" s="17">
        <f>MATCH(E349,Arenas!$F$8:$F$15)</f>
        <v>4</v>
      </c>
      <c r="H349" s="29" t="s">
        <v>1719</v>
      </c>
      <c r="I349" s="33" t="s">
        <v>6318</v>
      </c>
      <c r="J349" s="47" t="s">
        <v>4614</v>
      </c>
      <c r="K349" s="61" t="s">
        <v>4779</v>
      </c>
      <c r="L349" s="12" t="str">
        <f t="shared" si="15"/>
        <v>1,1,1</v>
      </c>
    </row>
    <row r="350" spans="2:12">
      <c r="B350" s="17">
        <v>649</v>
      </c>
      <c r="C350" s="17">
        <v>1</v>
      </c>
      <c r="D350" s="17">
        <f t="shared" si="17"/>
        <v>1</v>
      </c>
      <c r="E350" s="17">
        <f t="shared" si="16"/>
        <v>1264</v>
      </c>
      <c r="F350" s="17" t="s">
        <v>4813</v>
      </c>
      <c r="G350" s="17">
        <f>MATCH(E350,Arenas!$F$8:$F$15)</f>
        <v>4</v>
      </c>
      <c r="H350" s="29" t="s">
        <v>1720</v>
      </c>
      <c r="I350" s="33" t="s">
        <v>6319</v>
      </c>
      <c r="J350" s="47" t="s">
        <v>4577</v>
      </c>
      <c r="K350" s="61" t="s">
        <v>4779</v>
      </c>
      <c r="L350" s="12" t="str">
        <f t="shared" si="15"/>
        <v>1,1,1</v>
      </c>
    </row>
    <row r="351" spans="2:12">
      <c r="B351" s="17">
        <v>650</v>
      </c>
      <c r="C351" s="17">
        <v>1</v>
      </c>
      <c r="D351" s="17">
        <f t="shared" si="17"/>
        <v>0</v>
      </c>
      <c r="E351" s="17">
        <f t="shared" si="16"/>
        <v>1264</v>
      </c>
      <c r="F351" s="17" t="s">
        <v>4813</v>
      </c>
      <c r="G351" s="17">
        <f>MATCH(E351,Arenas!$F$8:$F$15)</f>
        <v>4</v>
      </c>
      <c r="H351" s="29" t="s">
        <v>1721</v>
      </c>
      <c r="I351" s="33" t="s">
        <v>6320</v>
      </c>
      <c r="J351" s="47" t="s">
        <v>1068</v>
      </c>
      <c r="K351" s="61" t="s">
        <v>4779</v>
      </c>
      <c r="L351" s="12" t="str">
        <f t="shared" si="15"/>
        <v>1,1,1</v>
      </c>
    </row>
    <row r="352" spans="2:12">
      <c r="B352" s="17">
        <v>651</v>
      </c>
      <c r="C352" s="17">
        <v>1</v>
      </c>
      <c r="D352" s="17">
        <f t="shared" si="17"/>
        <v>0</v>
      </c>
      <c r="E352" s="17">
        <f t="shared" si="16"/>
        <v>1264</v>
      </c>
      <c r="F352" s="17" t="s">
        <v>4813</v>
      </c>
      <c r="G352" s="17">
        <f>MATCH(E352,Arenas!$F$8:$F$15)</f>
        <v>4</v>
      </c>
      <c r="H352" s="29" t="s">
        <v>1722</v>
      </c>
      <c r="I352" s="33" t="s">
        <v>6321</v>
      </c>
      <c r="J352" s="47" t="s">
        <v>4904</v>
      </c>
      <c r="K352" s="61" t="s">
        <v>4779</v>
      </c>
      <c r="L352" s="12" t="str">
        <f t="shared" si="15"/>
        <v>1,1,1</v>
      </c>
    </row>
    <row r="353" spans="2:12">
      <c r="B353" s="17">
        <v>652</v>
      </c>
      <c r="C353" s="17">
        <v>1</v>
      </c>
      <c r="D353" s="17">
        <f t="shared" si="17"/>
        <v>1</v>
      </c>
      <c r="E353" s="17">
        <f t="shared" si="16"/>
        <v>1265</v>
      </c>
      <c r="F353" s="17" t="s">
        <v>4813</v>
      </c>
      <c r="G353" s="17">
        <f>MATCH(E353,Arenas!$F$8:$F$15)</f>
        <v>4</v>
      </c>
      <c r="H353" s="29" t="s">
        <v>1723</v>
      </c>
      <c r="I353" s="33" t="s">
        <v>6322</v>
      </c>
      <c r="J353" s="47" t="s">
        <v>4676</v>
      </c>
      <c r="K353" s="61" t="s">
        <v>4779</v>
      </c>
      <c r="L353" s="12" t="str">
        <f t="shared" si="15"/>
        <v>1,1,1</v>
      </c>
    </row>
    <row r="354" spans="2:12">
      <c r="B354" s="17">
        <v>653</v>
      </c>
      <c r="C354" s="17">
        <v>1</v>
      </c>
      <c r="D354" s="17">
        <f t="shared" si="17"/>
        <v>0</v>
      </c>
      <c r="E354" s="17">
        <f t="shared" si="16"/>
        <v>1265</v>
      </c>
      <c r="F354" s="17" t="s">
        <v>4813</v>
      </c>
      <c r="G354" s="17">
        <f>MATCH(E354,Arenas!$F$8:$F$15)</f>
        <v>4</v>
      </c>
      <c r="H354" s="29" t="s">
        <v>1724</v>
      </c>
      <c r="I354" s="33" t="s">
        <v>6323</v>
      </c>
      <c r="J354" s="47" t="s">
        <v>4896</v>
      </c>
      <c r="K354" s="61" t="s">
        <v>4779</v>
      </c>
      <c r="L354" s="12" t="str">
        <f t="shared" si="15"/>
        <v>1,1,1</v>
      </c>
    </row>
    <row r="355" spans="2:12">
      <c r="B355" s="17">
        <v>654</v>
      </c>
      <c r="C355" s="17">
        <v>1</v>
      </c>
      <c r="D355" s="17">
        <f t="shared" si="17"/>
        <v>0</v>
      </c>
      <c r="E355" s="17">
        <f t="shared" si="16"/>
        <v>1265</v>
      </c>
      <c r="F355" s="17" t="s">
        <v>4813</v>
      </c>
      <c r="G355" s="17">
        <f>MATCH(E355,Arenas!$F$8:$F$15)</f>
        <v>4</v>
      </c>
      <c r="H355" s="29" t="s">
        <v>1725</v>
      </c>
      <c r="I355" s="33" t="s">
        <v>6324</v>
      </c>
      <c r="J355" s="47" t="s">
        <v>4616</v>
      </c>
      <c r="K355" s="61" t="s">
        <v>4779</v>
      </c>
      <c r="L355" s="12" t="str">
        <f t="shared" si="15"/>
        <v>1,1,1</v>
      </c>
    </row>
    <row r="356" spans="2:12">
      <c r="B356" s="17">
        <v>655</v>
      </c>
      <c r="C356" s="17">
        <v>1</v>
      </c>
      <c r="D356" s="17">
        <f t="shared" si="17"/>
        <v>1</v>
      </c>
      <c r="E356" s="17">
        <f t="shared" si="16"/>
        <v>1266</v>
      </c>
      <c r="F356" s="17" t="s">
        <v>4813</v>
      </c>
      <c r="G356" s="17">
        <f>MATCH(E356,Arenas!$F$8:$F$15)</f>
        <v>4</v>
      </c>
      <c r="H356" s="29" t="s">
        <v>1726</v>
      </c>
      <c r="I356" s="33" t="s">
        <v>6325</v>
      </c>
      <c r="J356" s="47" t="s">
        <v>4620</v>
      </c>
      <c r="K356" s="61" t="s">
        <v>4779</v>
      </c>
      <c r="L356" s="12" t="str">
        <f t="shared" si="15"/>
        <v>1,1,1</v>
      </c>
    </row>
    <row r="357" spans="2:12">
      <c r="B357" s="17">
        <v>656</v>
      </c>
      <c r="C357" s="17">
        <v>1</v>
      </c>
      <c r="D357" s="17">
        <f t="shared" si="17"/>
        <v>0</v>
      </c>
      <c r="E357" s="17">
        <f t="shared" si="16"/>
        <v>1266</v>
      </c>
      <c r="F357" s="17" t="s">
        <v>4813</v>
      </c>
      <c r="G357" s="17">
        <f>MATCH(E357,Arenas!$F$8:$F$15)</f>
        <v>4</v>
      </c>
      <c r="H357" s="29" t="s">
        <v>1727</v>
      </c>
      <c r="I357" s="33" t="s">
        <v>6326</v>
      </c>
      <c r="J357" s="47" t="s">
        <v>1066</v>
      </c>
      <c r="K357" s="61" t="s">
        <v>4779</v>
      </c>
      <c r="L357" s="12" t="str">
        <f t="shared" si="15"/>
        <v>1,1,1</v>
      </c>
    </row>
    <row r="358" spans="2:12">
      <c r="B358" s="17">
        <v>657</v>
      </c>
      <c r="C358" s="17">
        <v>1</v>
      </c>
      <c r="D358" s="17">
        <f t="shared" si="17"/>
        <v>0</v>
      </c>
      <c r="E358" s="17">
        <f t="shared" si="16"/>
        <v>1266</v>
      </c>
      <c r="F358" s="17" t="s">
        <v>4813</v>
      </c>
      <c r="G358" s="17">
        <f>MATCH(E358,Arenas!$F$8:$F$15)</f>
        <v>4</v>
      </c>
      <c r="H358" s="29" t="s">
        <v>1728</v>
      </c>
      <c r="I358" s="33" t="s">
        <v>6327</v>
      </c>
      <c r="J358" s="47" t="s">
        <v>4621</v>
      </c>
      <c r="K358" s="61" t="s">
        <v>4779</v>
      </c>
      <c r="L358" s="12" t="str">
        <f t="shared" si="15"/>
        <v>1,1,1</v>
      </c>
    </row>
    <row r="359" spans="2:12">
      <c r="B359" s="17">
        <v>658</v>
      </c>
      <c r="C359" s="17">
        <v>1</v>
      </c>
      <c r="D359" s="17">
        <f t="shared" si="17"/>
        <v>1</v>
      </c>
      <c r="E359" s="17">
        <f t="shared" si="16"/>
        <v>1267</v>
      </c>
      <c r="F359" s="17" t="s">
        <v>4813</v>
      </c>
      <c r="G359" s="17">
        <f>MATCH(E359,Arenas!$F$8:$F$15)</f>
        <v>4</v>
      </c>
      <c r="H359" s="29" t="s">
        <v>1729</v>
      </c>
      <c r="I359" s="33" t="s">
        <v>6328</v>
      </c>
      <c r="J359" s="47" t="s">
        <v>1068</v>
      </c>
      <c r="K359" s="61" t="s">
        <v>4779</v>
      </c>
      <c r="L359" s="12" t="str">
        <f t="shared" si="15"/>
        <v>1,1,1</v>
      </c>
    </row>
    <row r="360" spans="2:12">
      <c r="B360" s="17">
        <v>659</v>
      </c>
      <c r="C360" s="17">
        <v>1</v>
      </c>
      <c r="D360" s="17">
        <f t="shared" si="17"/>
        <v>0</v>
      </c>
      <c r="E360" s="17">
        <f t="shared" si="16"/>
        <v>1267</v>
      </c>
      <c r="F360" s="17" t="s">
        <v>4813</v>
      </c>
      <c r="G360" s="17">
        <f>MATCH(E360,Arenas!$F$8:$F$15)</f>
        <v>4</v>
      </c>
      <c r="H360" s="29" t="s">
        <v>1730</v>
      </c>
      <c r="I360" s="33" t="s">
        <v>6329</v>
      </c>
      <c r="J360" s="47" t="s">
        <v>4870</v>
      </c>
      <c r="K360" s="61" t="s">
        <v>4779</v>
      </c>
      <c r="L360" s="12" t="str">
        <f t="shared" si="15"/>
        <v>1,1,1</v>
      </c>
    </row>
    <row r="361" spans="2:12">
      <c r="B361" s="17">
        <v>660</v>
      </c>
      <c r="C361" s="17">
        <v>1</v>
      </c>
      <c r="D361" s="17">
        <f t="shared" si="17"/>
        <v>0</v>
      </c>
      <c r="E361" s="17">
        <f t="shared" si="16"/>
        <v>1267</v>
      </c>
      <c r="F361" s="17" t="s">
        <v>4813</v>
      </c>
      <c r="G361" s="17">
        <f>MATCH(E361,Arenas!$F$8:$F$15)</f>
        <v>4</v>
      </c>
      <c r="H361" s="29" t="s">
        <v>1731</v>
      </c>
      <c r="I361" s="33" t="s">
        <v>6330</v>
      </c>
      <c r="J361" s="47" t="s">
        <v>4600</v>
      </c>
      <c r="K361" s="61" t="s">
        <v>4779</v>
      </c>
      <c r="L361" s="12" t="str">
        <f t="shared" si="15"/>
        <v>1,1,1</v>
      </c>
    </row>
    <row r="362" spans="2:12">
      <c r="B362" s="17">
        <v>661</v>
      </c>
      <c r="C362" s="17">
        <v>1</v>
      </c>
      <c r="D362" s="17">
        <f t="shared" si="17"/>
        <v>1</v>
      </c>
      <c r="E362" s="17">
        <f t="shared" si="16"/>
        <v>1268</v>
      </c>
      <c r="F362" s="17" t="s">
        <v>4813</v>
      </c>
      <c r="G362" s="17">
        <f>MATCH(E362,Arenas!$F$8:$F$15)</f>
        <v>4</v>
      </c>
      <c r="H362" s="29" t="s">
        <v>1732</v>
      </c>
      <c r="I362" s="33" t="s">
        <v>6331</v>
      </c>
      <c r="J362" s="47" t="s">
        <v>4852</v>
      </c>
      <c r="K362" s="61" t="s">
        <v>4779</v>
      </c>
      <c r="L362" s="12" t="str">
        <f t="shared" si="15"/>
        <v>1,1,1</v>
      </c>
    </row>
    <row r="363" spans="2:12">
      <c r="B363" s="17">
        <v>662</v>
      </c>
      <c r="C363" s="17">
        <v>1</v>
      </c>
      <c r="D363" s="17">
        <f t="shared" si="17"/>
        <v>0</v>
      </c>
      <c r="E363" s="17">
        <f t="shared" si="16"/>
        <v>1268</v>
      </c>
      <c r="F363" s="17" t="s">
        <v>4813</v>
      </c>
      <c r="G363" s="17">
        <f>MATCH(E363,Arenas!$F$8:$F$15)</f>
        <v>4</v>
      </c>
      <c r="H363" s="29" t="s">
        <v>1733</v>
      </c>
      <c r="I363" s="33" t="s">
        <v>6332</v>
      </c>
      <c r="J363" s="47" t="s">
        <v>4568</v>
      </c>
      <c r="K363" s="61" t="s">
        <v>4779</v>
      </c>
      <c r="L363" s="12" t="str">
        <f t="shared" si="15"/>
        <v>1,1,1</v>
      </c>
    </row>
    <row r="364" spans="2:12">
      <c r="B364" s="17">
        <v>663</v>
      </c>
      <c r="C364" s="17">
        <v>1</v>
      </c>
      <c r="D364" s="17">
        <f t="shared" si="17"/>
        <v>0</v>
      </c>
      <c r="E364" s="17">
        <f t="shared" si="16"/>
        <v>1268</v>
      </c>
      <c r="F364" s="17" t="s">
        <v>4813</v>
      </c>
      <c r="G364" s="17">
        <f>MATCH(E364,Arenas!$F$8:$F$15)</f>
        <v>4</v>
      </c>
      <c r="H364" s="29" t="s">
        <v>1734</v>
      </c>
      <c r="I364" s="33" t="s">
        <v>6333</v>
      </c>
      <c r="J364" s="47" t="s">
        <v>4881</v>
      </c>
      <c r="K364" s="61" t="s">
        <v>4779</v>
      </c>
      <c r="L364" s="12" t="str">
        <f t="shared" si="15"/>
        <v>1,1,1</v>
      </c>
    </row>
    <row r="365" spans="2:12">
      <c r="B365" s="17">
        <v>664</v>
      </c>
      <c r="C365" s="17">
        <v>1</v>
      </c>
      <c r="D365" s="17">
        <f t="shared" si="17"/>
        <v>1</v>
      </c>
      <c r="E365" s="17">
        <f t="shared" si="16"/>
        <v>1269</v>
      </c>
      <c r="F365" s="17" t="s">
        <v>4813</v>
      </c>
      <c r="G365" s="17">
        <f>MATCH(E365,Arenas!$F$8:$F$15)</f>
        <v>4</v>
      </c>
      <c r="H365" s="29" t="s">
        <v>1735</v>
      </c>
      <c r="I365" s="33" t="s">
        <v>6334</v>
      </c>
      <c r="J365" s="47" t="s">
        <v>4575</v>
      </c>
      <c r="K365" s="61" t="s">
        <v>4779</v>
      </c>
      <c r="L365" s="12" t="str">
        <f t="shared" si="15"/>
        <v>1,1,1</v>
      </c>
    </row>
    <row r="366" spans="2:12">
      <c r="B366" s="17">
        <v>665</v>
      </c>
      <c r="C366" s="17">
        <v>1</v>
      </c>
      <c r="D366" s="17">
        <f t="shared" si="17"/>
        <v>0</v>
      </c>
      <c r="E366" s="17">
        <f t="shared" si="16"/>
        <v>1269</v>
      </c>
      <c r="F366" s="17" t="s">
        <v>4813</v>
      </c>
      <c r="G366" s="17">
        <f>MATCH(E366,Arenas!$F$8:$F$15)</f>
        <v>4</v>
      </c>
      <c r="H366" s="29" t="s">
        <v>1736</v>
      </c>
      <c r="I366" s="33" t="s">
        <v>6335</v>
      </c>
      <c r="J366" s="47" t="s">
        <v>1066</v>
      </c>
      <c r="K366" s="61" t="s">
        <v>4779</v>
      </c>
      <c r="L366" s="12" t="str">
        <f t="shared" si="15"/>
        <v>1,1,1</v>
      </c>
    </row>
    <row r="367" spans="2:12">
      <c r="B367" s="17">
        <v>666</v>
      </c>
      <c r="C367" s="17">
        <v>1</v>
      </c>
      <c r="D367" s="17">
        <f t="shared" si="17"/>
        <v>0</v>
      </c>
      <c r="E367" s="17">
        <f t="shared" si="16"/>
        <v>1269</v>
      </c>
      <c r="F367" s="17" t="s">
        <v>4813</v>
      </c>
      <c r="G367" s="17">
        <f>MATCH(E367,Arenas!$F$8:$F$15)</f>
        <v>4</v>
      </c>
      <c r="H367" s="29" t="s">
        <v>1737</v>
      </c>
      <c r="I367" s="33" t="s">
        <v>6336</v>
      </c>
      <c r="J367" s="47" t="s">
        <v>4858</v>
      </c>
      <c r="K367" s="61" t="s">
        <v>4779</v>
      </c>
      <c r="L367" s="12" t="str">
        <f t="shared" si="15"/>
        <v>1,1,1</v>
      </c>
    </row>
    <row r="368" spans="2:12">
      <c r="B368" s="17">
        <v>667</v>
      </c>
      <c r="C368" s="17">
        <v>1</v>
      </c>
      <c r="D368" s="17">
        <f t="shared" si="17"/>
        <v>1</v>
      </c>
      <c r="E368" s="17">
        <f t="shared" si="16"/>
        <v>1270</v>
      </c>
      <c r="F368" s="17" t="s">
        <v>4813</v>
      </c>
      <c r="G368" s="17">
        <f>MATCH(E368,Arenas!$F$8:$F$15)</f>
        <v>4</v>
      </c>
      <c r="H368" s="29" t="s">
        <v>1738</v>
      </c>
      <c r="I368" s="33" t="s">
        <v>6337</v>
      </c>
      <c r="J368" s="47" t="s">
        <v>4550</v>
      </c>
      <c r="K368" s="61" t="s">
        <v>4779</v>
      </c>
      <c r="L368" s="12" t="str">
        <f t="shared" si="15"/>
        <v>1,1,1</v>
      </c>
    </row>
    <row r="369" spans="2:12">
      <c r="B369" s="17">
        <v>668</v>
      </c>
      <c r="C369" s="17">
        <v>1</v>
      </c>
      <c r="D369" s="17">
        <f t="shared" si="17"/>
        <v>0</v>
      </c>
      <c r="E369" s="17">
        <f t="shared" si="16"/>
        <v>1270</v>
      </c>
      <c r="F369" s="17" t="s">
        <v>4813</v>
      </c>
      <c r="G369" s="17">
        <f>MATCH(E369,Arenas!$F$8:$F$15)</f>
        <v>4</v>
      </c>
      <c r="H369" s="29" t="s">
        <v>1739</v>
      </c>
      <c r="I369" s="33" t="s">
        <v>6338</v>
      </c>
      <c r="J369" s="47" t="s">
        <v>4881</v>
      </c>
      <c r="K369" s="61" t="s">
        <v>4779</v>
      </c>
      <c r="L369" s="12" t="str">
        <f t="shared" si="15"/>
        <v>1,1,1</v>
      </c>
    </row>
    <row r="370" spans="2:12">
      <c r="B370" s="17">
        <v>669</v>
      </c>
      <c r="C370" s="17">
        <v>1</v>
      </c>
      <c r="D370" s="17">
        <f t="shared" si="17"/>
        <v>0</v>
      </c>
      <c r="E370" s="17">
        <f t="shared" si="16"/>
        <v>1270</v>
      </c>
      <c r="F370" s="17" t="s">
        <v>4813</v>
      </c>
      <c r="G370" s="17">
        <f>MATCH(E370,Arenas!$F$8:$F$15)</f>
        <v>4</v>
      </c>
      <c r="H370" s="29" t="s">
        <v>1740</v>
      </c>
      <c r="I370" s="33" t="s">
        <v>6339</v>
      </c>
      <c r="J370" s="47" t="s">
        <v>4596</v>
      </c>
      <c r="K370" s="61" t="s">
        <v>4779</v>
      </c>
      <c r="L370" s="12" t="str">
        <f t="shared" si="15"/>
        <v>1,1,1</v>
      </c>
    </row>
    <row r="371" spans="2:12">
      <c r="B371" s="17">
        <v>670</v>
      </c>
      <c r="C371" s="17">
        <v>1</v>
      </c>
      <c r="D371" s="17">
        <f t="shared" si="17"/>
        <v>1</v>
      </c>
      <c r="E371" s="17">
        <f t="shared" si="16"/>
        <v>1271</v>
      </c>
      <c r="F371" s="17" t="s">
        <v>4813</v>
      </c>
      <c r="G371" s="17">
        <f>MATCH(E371,Arenas!$F$8:$F$15)</f>
        <v>4</v>
      </c>
      <c r="H371" s="29" t="s">
        <v>1741</v>
      </c>
      <c r="I371" s="33" t="s">
        <v>6340</v>
      </c>
      <c r="J371" s="47" t="s">
        <v>5191</v>
      </c>
      <c r="K371" s="61" t="s">
        <v>4810</v>
      </c>
      <c r="L371" s="12" t="str">
        <f t="shared" si="15"/>
        <v>1,1,1</v>
      </c>
    </row>
    <row r="372" spans="2:12">
      <c r="B372" s="17">
        <v>671</v>
      </c>
      <c r="C372" s="17">
        <v>1</v>
      </c>
      <c r="D372" s="17">
        <f t="shared" si="17"/>
        <v>0</v>
      </c>
      <c r="E372" s="17">
        <f t="shared" si="16"/>
        <v>1271</v>
      </c>
      <c r="F372" s="17" t="s">
        <v>4813</v>
      </c>
      <c r="G372" s="17">
        <f>MATCH(E372,Arenas!$F$8:$F$15)</f>
        <v>4</v>
      </c>
      <c r="H372" s="29" t="s">
        <v>1742</v>
      </c>
      <c r="I372" s="33" t="s">
        <v>6341</v>
      </c>
      <c r="J372" s="47" t="s">
        <v>1065</v>
      </c>
      <c r="K372" s="61" t="s">
        <v>4779</v>
      </c>
      <c r="L372" s="12" t="str">
        <f t="shared" si="15"/>
        <v>1,1,1</v>
      </c>
    </row>
    <row r="373" spans="2:12">
      <c r="B373" s="17">
        <v>672</v>
      </c>
      <c r="C373" s="17">
        <v>1</v>
      </c>
      <c r="D373" s="17">
        <f t="shared" si="17"/>
        <v>0</v>
      </c>
      <c r="E373" s="17">
        <f t="shared" si="16"/>
        <v>1271</v>
      </c>
      <c r="F373" s="17" t="s">
        <v>4813</v>
      </c>
      <c r="G373" s="17">
        <f>MATCH(E373,Arenas!$F$8:$F$15)</f>
        <v>4</v>
      </c>
      <c r="H373" s="29" t="s">
        <v>1743</v>
      </c>
      <c r="I373" s="33" t="s">
        <v>6342</v>
      </c>
      <c r="J373" s="47" t="s">
        <v>1067</v>
      </c>
      <c r="K373" s="61" t="s">
        <v>4779</v>
      </c>
      <c r="L373" s="12" t="str">
        <f t="shared" si="15"/>
        <v>1,1,1</v>
      </c>
    </row>
    <row r="374" spans="2:12">
      <c r="B374" s="17">
        <v>673</v>
      </c>
      <c r="C374" s="17">
        <v>1</v>
      </c>
      <c r="D374" s="17">
        <f t="shared" si="17"/>
        <v>1</v>
      </c>
      <c r="E374" s="17">
        <f t="shared" si="16"/>
        <v>1272</v>
      </c>
      <c r="F374" s="17" t="s">
        <v>4813</v>
      </c>
      <c r="G374" s="17">
        <f>MATCH(E374,Arenas!$F$8:$F$15)</f>
        <v>4</v>
      </c>
      <c r="H374" s="29" t="s">
        <v>1744</v>
      </c>
      <c r="I374" s="33" t="s">
        <v>6343</v>
      </c>
      <c r="J374" s="47" t="s">
        <v>4854</v>
      </c>
      <c r="K374" s="61" t="s">
        <v>4779</v>
      </c>
      <c r="L374" s="12" t="str">
        <f t="shared" si="15"/>
        <v>1,1,1</v>
      </c>
    </row>
    <row r="375" spans="2:12">
      <c r="B375" s="17">
        <v>674</v>
      </c>
      <c r="C375" s="17">
        <v>1</v>
      </c>
      <c r="D375" s="17">
        <f t="shared" si="17"/>
        <v>0</v>
      </c>
      <c r="E375" s="17">
        <f t="shared" si="16"/>
        <v>1272</v>
      </c>
      <c r="F375" s="17" t="s">
        <v>4813</v>
      </c>
      <c r="G375" s="17">
        <f>MATCH(E375,Arenas!$F$8:$F$15)</f>
        <v>4</v>
      </c>
      <c r="H375" s="29" t="s">
        <v>1745</v>
      </c>
      <c r="I375" s="33" t="s">
        <v>6344</v>
      </c>
      <c r="J375" s="47" t="s">
        <v>4575</v>
      </c>
      <c r="K375" s="61" t="s">
        <v>4779</v>
      </c>
      <c r="L375" s="12" t="str">
        <f t="shared" si="15"/>
        <v>1,1,1</v>
      </c>
    </row>
    <row r="376" spans="2:12">
      <c r="B376" s="17">
        <v>675</v>
      </c>
      <c r="C376" s="17">
        <v>1</v>
      </c>
      <c r="D376" s="17">
        <f t="shared" si="17"/>
        <v>0</v>
      </c>
      <c r="E376" s="17">
        <f t="shared" si="16"/>
        <v>1272</v>
      </c>
      <c r="F376" s="17" t="s">
        <v>4813</v>
      </c>
      <c r="G376" s="17">
        <f>MATCH(E376,Arenas!$F$8:$F$15)</f>
        <v>4</v>
      </c>
      <c r="H376" s="29" t="s">
        <v>1746</v>
      </c>
      <c r="I376" s="33" t="s">
        <v>6345</v>
      </c>
      <c r="J376" s="47" t="s">
        <v>4600</v>
      </c>
      <c r="K376" s="61" t="s">
        <v>4779</v>
      </c>
      <c r="L376" s="12" t="str">
        <f t="shared" si="15"/>
        <v>1,1,1</v>
      </c>
    </row>
    <row r="377" spans="2:12">
      <c r="B377" s="17">
        <v>676</v>
      </c>
      <c r="C377" s="17">
        <v>1</v>
      </c>
      <c r="D377" s="17">
        <f t="shared" si="17"/>
        <v>1</v>
      </c>
      <c r="E377" s="17">
        <f t="shared" si="16"/>
        <v>1273</v>
      </c>
      <c r="F377" s="17" t="s">
        <v>4813</v>
      </c>
      <c r="G377" s="17">
        <f>MATCH(E377,Arenas!$F$8:$F$15)</f>
        <v>4</v>
      </c>
      <c r="H377" s="29" t="s">
        <v>1747</v>
      </c>
      <c r="I377" s="33" t="s">
        <v>6346</v>
      </c>
      <c r="J377" s="47" t="s">
        <v>1065</v>
      </c>
      <c r="K377" s="61" t="s">
        <v>4779</v>
      </c>
      <c r="L377" s="12" t="str">
        <f t="shared" si="15"/>
        <v>1,1,1</v>
      </c>
    </row>
    <row r="378" spans="2:12">
      <c r="B378" s="17">
        <v>677</v>
      </c>
      <c r="C378" s="17">
        <v>1</v>
      </c>
      <c r="D378" s="17">
        <f t="shared" si="17"/>
        <v>0</v>
      </c>
      <c r="E378" s="17">
        <f t="shared" si="16"/>
        <v>1273</v>
      </c>
      <c r="F378" s="17" t="s">
        <v>4813</v>
      </c>
      <c r="G378" s="17">
        <f>MATCH(E378,Arenas!$F$8:$F$15)</f>
        <v>4</v>
      </c>
      <c r="H378" s="29" t="s">
        <v>1748</v>
      </c>
      <c r="I378" s="33" t="s">
        <v>6347</v>
      </c>
      <c r="J378" s="47" t="s">
        <v>4568</v>
      </c>
      <c r="K378" s="61" t="s">
        <v>4779</v>
      </c>
      <c r="L378" s="12" t="str">
        <f t="shared" si="15"/>
        <v>1,1,1</v>
      </c>
    </row>
    <row r="379" spans="2:12">
      <c r="B379" s="17">
        <v>678</v>
      </c>
      <c r="C379" s="17">
        <v>1</v>
      </c>
      <c r="D379" s="17">
        <f t="shared" si="17"/>
        <v>0</v>
      </c>
      <c r="E379" s="17">
        <f t="shared" si="16"/>
        <v>1273</v>
      </c>
      <c r="F379" s="17" t="s">
        <v>4813</v>
      </c>
      <c r="G379" s="17">
        <f>MATCH(E379,Arenas!$F$8:$F$15)</f>
        <v>4</v>
      </c>
      <c r="H379" s="29" t="s">
        <v>1749</v>
      </c>
      <c r="I379" s="33" t="s">
        <v>6348</v>
      </c>
      <c r="J379" s="47" t="s">
        <v>4556</v>
      </c>
      <c r="K379" s="61" t="s">
        <v>4779</v>
      </c>
      <c r="L379" s="12" t="str">
        <f t="shared" si="15"/>
        <v>1,1,1</v>
      </c>
    </row>
    <row r="380" spans="2:12">
      <c r="B380" s="17">
        <v>679</v>
      </c>
      <c r="C380" s="17">
        <v>1</v>
      </c>
      <c r="D380" s="17">
        <f t="shared" si="17"/>
        <v>1</v>
      </c>
      <c r="E380" s="17">
        <f t="shared" si="16"/>
        <v>1274</v>
      </c>
      <c r="F380" s="17" t="s">
        <v>4813</v>
      </c>
      <c r="G380" s="17">
        <f>MATCH(E380,Arenas!$F$8:$F$15)</f>
        <v>4</v>
      </c>
      <c r="H380" s="29" t="s">
        <v>1750</v>
      </c>
      <c r="I380" s="33" t="s">
        <v>6349</v>
      </c>
      <c r="J380" s="47" t="s">
        <v>4851</v>
      </c>
      <c r="K380" s="61" t="s">
        <v>4779</v>
      </c>
      <c r="L380" s="12" t="str">
        <f t="shared" si="15"/>
        <v>1,1,1</v>
      </c>
    </row>
    <row r="381" spans="2:12">
      <c r="B381" s="17">
        <v>680</v>
      </c>
      <c r="C381" s="17">
        <v>1</v>
      </c>
      <c r="D381" s="17">
        <f t="shared" si="17"/>
        <v>0</v>
      </c>
      <c r="E381" s="17">
        <f t="shared" si="16"/>
        <v>1274</v>
      </c>
      <c r="F381" s="17" t="s">
        <v>4813</v>
      </c>
      <c r="G381" s="17">
        <f>MATCH(E381,Arenas!$F$8:$F$15)</f>
        <v>4</v>
      </c>
      <c r="H381" s="29" t="s">
        <v>1751</v>
      </c>
      <c r="I381" s="33" t="s">
        <v>6350</v>
      </c>
      <c r="J381" s="47" t="s">
        <v>4851</v>
      </c>
      <c r="K381" s="61" t="s">
        <v>4779</v>
      </c>
      <c r="L381" s="12" t="str">
        <f t="shared" si="15"/>
        <v>1,1,1</v>
      </c>
    </row>
    <row r="382" spans="2:12">
      <c r="B382" s="17">
        <v>681</v>
      </c>
      <c r="C382" s="17">
        <v>1</v>
      </c>
      <c r="D382" s="17">
        <f t="shared" si="17"/>
        <v>0</v>
      </c>
      <c r="E382" s="17">
        <f t="shared" si="16"/>
        <v>1274</v>
      </c>
      <c r="F382" s="17" t="s">
        <v>4813</v>
      </c>
      <c r="G382" s="17">
        <f>MATCH(E382,Arenas!$F$8:$F$15)</f>
        <v>4</v>
      </c>
      <c r="H382" s="29" t="s">
        <v>1752</v>
      </c>
      <c r="I382" s="33" t="s">
        <v>6351</v>
      </c>
      <c r="J382" s="47" t="s">
        <v>4890</v>
      </c>
      <c r="K382" s="61" t="s">
        <v>4779</v>
      </c>
      <c r="L382" s="12" t="str">
        <f t="shared" si="15"/>
        <v>1,1,1</v>
      </c>
    </row>
    <row r="383" spans="2:12">
      <c r="B383" s="17">
        <v>682</v>
      </c>
      <c r="C383" s="17">
        <v>1</v>
      </c>
      <c r="D383" s="17">
        <f t="shared" si="17"/>
        <v>1</v>
      </c>
      <c r="E383" s="17">
        <f t="shared" si="16"/>
        <v>1275</v>
      </c>
      <c r="F383" s="17" t="s">
        <v>4813</v>
      </c>
      <c r="G383" s="17">
        <f>MATCH(E383,Arenas!$F$8:$F$15)</f>
        <v>4</v>
      </c>
      <c r="H383" s="29" t="s">
        <v>1753</v>
      </c>
      <c r="I383" s="33" t="s">
        <v>6352</v>
      </c>
      <c r="J383" s="47" t="s">
        <v>4939</v>
      </c>
      <c r="K383" s="61" t="s">
        <v>4779</v>
      </c>
      <c r="L383" s="12" t="str">
        <f t="shared" si="15"/>
        <v>1,1,1</v>
      </c>
    </row>
    <row r="384" spans="2:12">
      <c r="B384" s="17">
        <v>683</v>
      </c>
      <c r="C384" s="17">
        <v>1</v>
      </c>
      <c r="D384" s="17">
        <f t="shared" si="17"/>
        <v>0</v>
      </c>
      <c r="E384" s="17">
        <f t="shared" si="16"/>
        <v>1275</v>
      </c>
      <c r="F384" s="17" t="s">
        <v>4813</v>
      </c>
      <c r="G384" s="17">
        <f>MATCH(E384,Arenas!$F$8:$F$15)</f>
        <v>4</v>
      </c>
      <c r="H384" s="29" t="s">
        <v>1754</v>
      </c>
      <c r="I384" s="33" t="s">
        <v>6353</v>
      </c>
      <c r="J384" s="47" t="s">
        <v>1065</v>
      </c>
      <c r="K384" s="61" t="s">
        <v>4779</v>
      </c>
      <c r="L384" s="12" t="str">
        <f t="shared" si="15"/>
        <v>1,1,1</v>
      </c>
    </row>
    <row r="385" spans="2:12">
      <c r="B385" s="17">
        <v>684</v>
      </c>
      <c r="C385" s="17">
        <v>1</v>
      </c>
      <c r="D385" s="17">
        <f t="shared" si="17"/>
        <v>0</v>
      </c>
      <c r="E385" s="17">
        <f t="shared" si="16"/>
        <v>1275</v>
      </c>
      <c r="F385" s="17" t="s">
        <v>4813</v>
      </c>
      <c r="G385" s="17">
        <f>MATCH(E385,Arenas!$F$8:$F$15)</f>
        <v>4</v>
      </c>
      <c r="H385" s="29" t="s">
        <v>1755</v>
      </c>
      <c r="I385" s="33" t="s">
        <v>6354</v>
      </c>
      <c r="J385" s="47" t="s">
        <v>4556</v>
      </c>
      <c r="K385" s="61" t="s">
        <v>4779</v>
      </c>
      <c r="L385" s="12" t="str">
        <f t="shared" si="15"/>
        <v>1,1,1</v>
      </c>
    </row>
    <row r="386" spans="2:12">
      <c r="B386" s="17">
        <v>685</v>
      </c>
      <c r="C386" s="17">
        <v>1</v>
      </c>
      <c r="D386" s="17">
        <f t="shared" si="17"/>
        <v>1</v>
      </c>
      <c r="E386" s="17">
        <f t="shared" si="16"/>
        <v>1276</v>
      </c>
      <c r="F386" s="17" t="s">
        <v>4813</v>
      </c>
      <c r="G386" s="17">
        <f>MATCH(E386,Arenas!$F$8:$F$15)</f>
        <v>4</v>
      </c>
      <c r="H386" s="29" t="s">
        <v>1756</v>
      </c>
      <c r="I386" s="33" t="s">
        <v>6355</v>
      </c>
      <c r="J386" s="47" t="s">
        <v>4627</v>
      </c>
      <c r="K386" s="61" t="s">
        <v>4779</v>
      </c>
      <c r="L386" s="12" t="str">
        <f t="shared" ref="L386:L449" si="18">C386&amp;","&amp;C386&amp;","&amp;C386</f>
        <v>1,1,1</v>
      </c>
    </row>
    <row r="387" spans="2:12">
      <c r="B387" s="17">
        <v>686</v>
      </c>
      <c r="C387" s="17">
        <v>1</v>
      </c>
      <c r="D387" s="17">
        <f t="shared" si="17"/>
        <v>0</v>
      </c>
      <c r="E387" s="17">
        <f t="shared" ref="E387:E450" si="19">D387+E386</f>
        <v>1276</v>
      </c>
      <c r="F387" s="17" t="s">
        <v>4813</v>
      </c>
      <c r="G387" s="17">
        <f>MATCH(E387,Arenas!$F$8:$F$15)</f>
        <v>4</v>
      </c>
      <c r="H387" s="29" t="s">
        <v>1757</v>
      </c>
      <c r="I387" s="33" t="s">
        <v>6356</v>
      </c>
      <c r="J387" s="47" t="s">
        <v>4853</v>
      </c>
      <c r="K387" s="61" t="s">
        <v>4779</v>
      </c>
      <c r="L387" s="12" t="str">
        <f t="shared" si="18"/>
        <v>1,1,1</v>
      </c>
    </row>
    <row r="388" spans="2:12">
      <c r="B388" s="17">
        <v>687</v>
      </c>
      <c r="C388" s="17">
        <v>1</v>
      </c>
      <c r="D388" s="17">
        <f t="shared" si="17"/>
        <v>0</v>
      </c>
      <c r="E388" s="17">
        <f t="shared" si="19"/>
        <v>1276</v>
      </c>
      <c r="F388" s="17" t="s">
        <v>4813</v>
      </c>
      <c r="G388" s="17">
        <f>MATCH(E388,Arenas!$F$8:$F$15)</f>
        <v>4</v>
      </c>
      <c r="H388" s="29" t="s">
        <v>1758</v>
      </c>
      <c r="I388" s="33" t="s">
        <v>6357</v>
      </c>
      <c r="J388" s="47" t="s">
        <v>4633</v>
      </c>
      <c r="K388" s="61" t="s">
        <v>4779</v>
      </c>
      <c r="L388" s="12" t="str">
        <f t="shared" si="18"/>
        <v>1,1,1</v>
      </c>
    </row>
    <row r="389" spans="2:12">
      <c r="B389" s="17">
        <v>688</v>
      </c>
      <c r="C389" s="17">
        <v>1</v>
      </c>
      <c r="D389" s="17">
        <f t="shared" ref="D389:D452" si="20">D386</f>
        <v>1</v>
      </c>
      <c r="E389" s="17">
        <f t="shared" si="19"/>
        <v>1277</v>
      </c>
      <c r="F389" s="17" t="s">
        <v>4813</v>
      </c>
      <c r="G389" s="17">
        <f>MATCH(E389,Arenas!$F$8:$F$15)</f>
        <v>4</v>
      </c>
      <c r="H389" s="29" t="s">
        <v>1759</v>
      </c>
      <c r="I389" s="33" t="s">
        <v>6358</v>
      </c>
      <c r="J389" s="47" t="s">
        <v>4612</v>
      </c>
      <c r="K389" s="61" t="s">
        <v>4779</v>
      </c>
      <c r="L389" s="12" t="str">
        <f t="shared" si="18"/>
        <v>1,1,1</v>
      </c>
    </row>
    <row r="390" spans="2:12">
      <c r="B390" s="17">
        <v>689</v>
      </c>
      <c r="C390" s="17">
        <v>1</v>
      </c>
      <c r="D390" s="17">
        <f t="shared" si="20"/>
        <v>0</v>
      </c>
      <c r="E390" s="17">
        <f t="shared" si="19"/>
        <v>1277</v>
      </c>
      <c r="F390" s="17" t="s">
        <v>4813</v>
      </c>
      <c r="G390" s="17">
        <f>MATCH(E390,Arenas!$F$8:$F$15)</f>
        <v>4</v>
      </c>
      <c r="H390" s="29" t="s">
        <v>1760</v>
      </c>
      <c r="I390" s="33" t="s">
        <v>6359</v>
      </c>
      <c r="J390" s="47" t="s">
        <v>4890</v>
      </c>
      <c r="K390" s="61" t="s">
        <v>4779</v>
      </c>
      <c r="L390" s="12" t="str">
        <f t="shared" si="18"/>
        <v>1,1,1</v>
      </c>
    </row>
    <row r="391" spans="2:12">
      <c r="B391" s="17">
        <v>690</v>
      </c>
      <c r="C391" s="17">
        <v>1</v>
      </c>
      <c r="D391" s="17">
        <f t="shared" si="20"/>
        <v>0</v>
      </c>
      <c r="E391" s="17">
        <f t="shared" si="19"/>
        <v>1277</v>
      </c>
      <c r="F391" s="17" t="s">
        <v>4813</v>
      </c>
      <c r="G391" s="17">
        <f>MATCH(E391,Arenas!$F$8:$F$15)</f>
        <v>4</v>
      </c>
      <c r="H391" s="29" t="s">
        <v>1761</v>
      </c>
      <c r="I391" s="33" t="s">
        <v>6360</v>
      </c>
      <c r="J391" s="47" t="s">
        <v>4866</v>
      </c>
      <c r="K391" s="61" t="s">
        <v>4779</v>
      </c>
      <c r="L391" s="12" t="str">
        <f t="shared" si="18"/>
        <v>1,1,1</v>
      </c>
    </row>
    <row r="392" spans="2:12">
      <c r="B392" s="17">
        <v>691</v>
      </c>
      <c r="C392" s="17">
        <v>1</v>
      </c>
      <c r="D392" s="17">
        <f t="shared" si="20"/>
        <v>1</v>
      </c>
      <c r="E392" s="17">
        <f t="shared" si="19"/>
        <v>1278</v>
      </c>
      <c r="F392" s="17" t="s">
        <v>4813</v>
      </c>
      <c r="G392" s="17">
        <f>MATCH(E392,Arenas!$F$8:$F$15)</f>
        <v>4</v>
      </c>
      <c r="H392" s="29" t="s">
        <v>1762</v>
      </c>
      <c r="I392" s="33" t="s">
        <v>6361</v>
      </c>
      <c r="J392" s="47" t="s">
        <v>4669</v>
      </c>
      <c r="K392" s="61" t="s">
        <v>4779</v>
      </c>
      <c r="L392" s="12" t="str">
        <f t="shared" si="18"/>
        <v>1,1,1</v>
      </c>
    </row>
    <row r="393" spans="2:12">
      <c r="B393" s="17">
        <v>692</v>
      </c>
      <c r="C393" s="17">
        <v>1</v>
      </c>
      <c r="D393" s="17">
        <f t="shared" si="20"/>
        <v>0</v>
      </c>
      <c r="E393" s="17">
        <f t="shared" si="19"/>
        <v>1278</v>
      </c>
      <c r="F393" s="17" t="s">
        <v>4813</v>
      </c>
      <c r="G393" s="17">
        <f>MATCH(E393,Arenas!$F$8:$F$15)</f>
        <v>4</v>
      </c>
      <c r="H393" s="29" t="s">
        <v>1763</v>
      </c>
      <c r="I393" s="33" t="s">
        <v>6362</v>
      </c>
      <c r="J393" s="47" t="s">
        <v>4555</v>
      </c>
      <c r="K393" s="61" t="s">
        <v>4779</v>
      </c>
      <c r="L393" s="12" t="str">
        <f t="shared" si="18"/>
        <v>1,1,1</v>
      </c>
    </row>
    <row r="394" spans="2:12">
      <c r="B394" s="17">
        <v>693</v>
      </c>
      <c r="C394" s="17">
        <v>1</v>
      </c>
      <c r="D394" s="17">
        <f t="shared" si="20"/>
        <v>0</v>
      </c>
      <c r="E394" s="17">
        <f t="shared" si="19"/>
        <v>1278</v>
      </c>
      <c r="F394" s="17" t="s">
        <v>4813</v>
      </c>
      <c r="G394" s="17">
        <f>MATCH(E394,Arenas!$F$8:$F$15)</f>
        <v>4</v>
      </c>
      <c r="H394" s="29" t="s">
        <v>1764</v>
      </c>
      <c r="I394" s="33" t="s">
        <v>6363</v>
      </c>
      <c r="J394" s="47" t="s">
        <v>4851</v>
      </c>
      <c r="K394" s="61" t="s">
        <v>4779</v>
      </c>
      <c r="L394" s="12" t="str">
        <f t="shared" si="18"/>
        <v>1,1,1</v>
      </c>
    </row>
    <row r="395" spans="2:12">
      <c r="B395" s="17">
        <v>694</v>
      </c>
      <c r="C395" s="17">
        <v>1</v>
      </c>
      <c r="D395" s="17">
        <f t="shared" si="20"/>
        <v>1</v>
      </c>
      <c r="E395" s="17">
        <f t="shared" si="19"/>
        <v>1279</v>
      </c>
      <c r="F395" s="17" t="s">
        <v>4813</v>
      </c>
      <c r="G395" s="17">
        <f>MATCH(E395,Arenas!$F$8:$F$15)</f>
        <v>4</v>
      </c>
      <c r="H395" s="29" t="s">
        <v>1765</v>
      </c>
      <c r="I395" s="33" t="s">
        <v>6364</v>
      </c>
      <c r="J395" s="47" t="s">
        <v>5191</v>
      </c>
      <c r="K395" s="61" t="s">
        <v>4779</v>
      </c>
      <c r="L395" s="12" t="str">
        <f t="shared" si="18"/>
        <v>1,1,1</v>
      </c>
    </row>
    <row r="396" spans="2:12">
      <c r="B396" s="17">
        <v>695</v>
      </c>
      <c r="C396" s="17">
        <v>1</v>
      </c>
      <c r="D396" s="17">
        <f t="shared" si="20"/>
        <v>0</v>
      </c>
      <c r="E396" s="17">
        <f t="shared" si="19"/>
        <v>1279</v>
      </c>
      <c r="F396" s="17" t="s">
        <v>4813</v>
      </c>
      <c r="G396" s="17">
        <f>MATCH(E396,Arenas!$F$8:$F$15)</f>
        <v>4</v>
      </c>
      <c r="H396" s="29" t="s">
        <v>1766</v>
      </c>
      <c r="I396" s="33" t="s">
        <v>6365</v>
      </c>
      <c r="J396" s="47" t="s">
        <v>4614</v>
      </c>
      <c r="K396" s="61" t="s">
        <v>4779</v>
      </c>
      <c r="L396" s="12" t="str">
        <f t="shared" si="18"/>
        <v>1,1,1</v>
      </c>
    </row>
    <row r="397" spans="2:12">
      <c r="B397" s="17">
        <v>696</v>
      </c>
      <c r="C397" s="17">
        <v>1</v>
      </c>
      <c r="D397" s="17">
        <f t="shared" si="20"/>
        <v>0</v>
      </c>
      <c r="E397" s="17">
        <f t="shared" si="19"/>
        <v>1279</v>
      </c>
      <c r="F397" s="17" t="s">
        <v>4813</v>
      </c>
      <c r="G397" s="17">
        <f>MATCH(E397,Arenas!$F$8:$F$15)</f>
        <v>4</v>
      </c>
      <c r="H397" s="29" t="s">
        <v>1767</v>
      </c>
      <c r="I397" s="33" t="s">
        <v>6366</v>
      </c>
      <c r="J397" s="47" t="s">
        <v>4600</v>
      </c>
      <c r="K397" s="61" t="s">
        <v>4779</v>
      </c>
      <c r="L397" s="12" t="str">
        <f t="shared" si="18"/>
        <v>1,1,1</v>
      </c>
    </row>
    <row r="398" spans="2:12">
      <c r="B398" s="17">
        <v>697</v>
      </c>
      <c r="C398" s="17">
        <v>1</v>
      </c>
      <c r="D398" s="17">
        <f t="shared" si="20"/>
        <v>1</v>
      </c>
      <c r="E398" s="17">
        <f t="shared" si="19"/>
        <v>1280</v>
      </c>
      <c r="F398" s="17" t="s">
        <v>4813</v>
      </c>
      <c r="G398" s="17">
        <f>MATCH(E398,Arenas!$F$8:$F$15)</f>
        <v>4</v>
      </c>
      <c r="H398" s="29" t="s">
        <v>1768</v>
      </c>
      <c r="I398" s="33" t="s">
        <v>6367</v>
      </c>
      <c r="J398" s="47" t="s">
        <v>4633</v>
      </c>
      <c r="K398" s="61" t="s">
        <v>4779</v>
      </c>
      <c r="L398" s="12" t="str">
        <f t="shared" si="18"/>
        <v>1,1,1</v>
      </c>
    </row>
    <row r="399" spans="2:12">
      <c r="B399" s="17">
        <v>698</v>
      </c>
      <c r="C399" s="17">
        <v>1</v>
      </c>
      <c r="D399" s="17">
        <f t="shared" si="20"/>
        <v>0</v>
      </c>
      <c r="E399" s="17">
        <f t="shared" si="19"/>
        <v>1280</v>
      </c>
      <c r="F399" s="17" t="s">
        <v>4813</v>
      </c>
      <c r="G399" s="17">
        <f>MATCH(E399,Arenas!$F$8:$F$15)</f>
        <v>4</v>
      </c>
      <c r="H399" s="29" t="s">
        <v>1769</v>
      </c>
      <c r="I399" s="33" t="s">
        <v>6368</v>
      </c>
      <c r="J399" s="47" t="s">
        <v>4568</v>
      </c>
      <c r="K399" s="61" t="s">
        <v>4779</v>
      </c>
      <c r="L399" s="12" t="str">
        <f t="shared" si="18"/>
        <v>1,1,1</v>
      </c>
    </row>
    <row r="400" spans="2:12">
      <c r="B400" s="17">
        <v>699</v>
      </c>
      <c r="C400" s="17">
        <v>1</v>
      </c>
      <c r="D400" s="17">
        <f t="shared" si="20"/>
        <v>0</v>
      </c>
      <c r="E400" s="17">
        <f t="shared" si="19"/>
        <v>1280</v>
      </c>
      <c r="F400" s="17" t="s">
        <v>4813</v>
      </c>
      <c r="G400" s="17">
        <f>MATCH(E400,Arenas!$F$8:$F$15)</f>
        <v>4</v>
      </c>
      <c r="H400" s="29" t="s">
        <v>1770</v>
      </c>
      <c r="I400" s="33" t="s">
        <v>6369</v>
      </c>
      <c r="J400" s="47" t="s">
        <v>1070</v>
      </c>
      <c r="K400" s="61" t="s">
        <v>4779</v>
      </c>
      <c r="L400" s="12" t="str">
        <f t="shared" si="18"/>
        <v>1,1,1</v>
      </c>
    </row>
    <row r="401" spans="2:12">
      <c r="B401" s="17">
        <v>700</v>
      </c>
      <c r="C401" s="17">
        <v>1</v>
      </c>
      <c r="D401" s="17">
        <f t="shared" si="20"/>
        <v>1</v>
      </c>
      <c r="E401" s="17">
        <f t="shared" si="19"/>
        <v>1281</v>
      </c>
      <c r="F401" s="17" t="s">
        <v>4813</v>
      </c>
      <c r="G401" s="17">
        <f>MATCH(E401,Arenas!$F$8:$F$15)</f>
        <v>4</v>
      </c>
      <c r="H401" s="29" t="s">
        <v>1771</v>
      </c>
      <c r="I401" s="33" t="s">
        <v>6370</v>
      </c>
      <c r="J401" s="47" t="s">
        <v>4577</v>
      </c>
      <c r="K401" s="61" t="s">
        <v>4779</v>
      </c>
      <c r="L401" s="12" t="str">
        <f t="shared" si="18"/>
        <v>1,1,1</v>
      </c>
    </row>
    <row r="402" spans="2:12">
      <c r="B402" s="17">
        <v>701</v>
      </c>
      <c r="C402" s="17">
        <v>1</v>
      </c>
      <c r="D402" s="17">
        <f t="shared" si="20"/>
        <v>0</v>
      </c>
      <c r="E402" s="17">
        <f t="shared" si="19"/>
        <v>1281</v>
      </c>
      <c r="F402" s="17" t="s">
        <v>4813</v>
      </c>
      <c r="G402" s="17">
        <f>MATCH(E402,Arenas!$F$8:$F$15)</f>
        <v>4</v>
      </c>
      <c r="H402" s="29" t="s">
        <v>1772</v>
      </c>
      <c r="I402" s="33" t="s">
        <v>6371</v>
      </c>
      <c r="J402" s="47" t="s">
        <v>4562</v>
      </c>
      <c r="K402" s="61" t="s">
        <v>4779</v>
      </c>
      <c r="L402" s="12" t="str">
        <f t="shared" si="18"/>
        <v>1,1,1</v>
      </c>
    </row>
    <row r="403" spans="2:12">
      <c r="B403" s="17">
        <v>702</v>
      </c>
      <c r="C403" s="17">
        <v>1</v>
      </c>
      <c r="D403" s="17">
        <f t="shared" si="20"/>
        <v>0</v>
      </c>
      <c r="E403" s="17">
        <f t="shared" si="19"/>
        <v>1281</v>
      </c>
      <c r="F403" s="17" t="s">
        <v>4813</v>
      </c>
      <c r="G403" s="17">
        <f>MATCH(E403,Arenas!$F$8:$F$15)</f>
        <v>4</v>
      </c>
      <c r="H403" s="29" t="s">
        <v>1773</v>
      </c>
      <c r="I403" s="33" t="s">
        <v>6372</v>
      </c>
      <c r="J403" s="47" t="s">
        <v>4876</v>
      </c>
      <c r="K403" s="61" t="s">
        <v>4779</v>
      </c>
      <c r="L403" s="12" t="str">
        <f t="shared" si="18"/>
        <v>1,1,1</v>
      </c>
    </row>
    <row r="404" spans="2:12">
      <c r="B404" s="17">
        <v>703</v>
      </c>
      <c r="C404" s="17">
        <v>1</v>
      </c>
      <c r="D404" s="17">
        <f t="shared" si="20"/>
        <v>1</v>
      </c>
      <c r="E404" s="17">
        <f t="shared" si="19"/>
        <v>1282</v>
      </c>
      <c r="F404" s="17" t="s">
        <v>4813</v>
      </c>
      <c r="G404" s="17">
        <f>MATCH(E404,Arenas!$F$8:$F$15)</f>
        <v>4</v>
      </c>
      <c r="H404" s="29" t="s">
        <v>1774</v>
      </c>
      <c r="I404" s="33" t="s">
        <v>6373</v>
      </c>
      <c r="J404" s="47" t="s">
        <v>4898</v>
      </c>
      <c r="K404" s="61" t="s">
        <v>4779</v>
      </c>
      <c r="L404" s="12" t="str">
        <f t="shared" si="18"/>
        <v>1,1,1</v>
      </c>
    </row>
    <row r="405" spans="2:12">
      <c r="B405" s="17">
        <v>704</v>
      </c>
      <c r="C405" s="17">
        <v>1</v>
      </c>
      <c r="D405" s="17">
        <f t="shared" si="20"/>
        <v>0</v>
      </c>
      <c r="E405" s="17">
        <f t="shared" si="19"/>
        <v>1282</v>
      </c>
      <c r="F405" s="17" t="s">
        <v>4813</v>
      </c>
      <c r="G405" s="17">
        <f>MATCH(E405,Arenas!$F$8:$F$15)</f>
        <v>4</v>
      </c>
      <c r="H405" s="29" t="s">
        <v>1775</v>
      </c>
      <c r="I405" s="33" t="s">
        <v>6374</v>
      </c>
      <c r="J405" s="47" t="s">
        <v>4860</v>
      </c>
      <c r="K405" s="61" t="s">
        <v>4779</v>
      </c>
      <c r="L405" s="12" t="str">
        <f t="shared" si="18"/>
        <v>1,1,1</v>
      </c>
    </row>
    <row r="406" spans="2:12">
      <c r="B406" s="17">
        <v>705</v>
      </c>
      <c r="C406" s="17">
        <v>1</v>
      </c>
      <c r="D406" s="17">
        <f t="shared" si="20"/>
        <v>0</v>
      </c>
      <c r="E406" s="17">
        <f t="shared" si="19"/>
        <v>1282</v>
      </c>
      <c r="F406" s="17" t="s">
        <v>4813</v>
      </c>
      <c r="G406" s="17">
        <f>MATCH(E406,Arenas!$F$8:$F$15)</f>
        <v>4</v>
      </c>
      <c r="H406" s="29" t="s">
        <v>1776</v>
      </c>
      <c r="I406" s="33" t="s">
        <v>6375</v>
      </c>
      <c r="J406" s="47" t="s">
        <v>1071</v>
      </c>
      <c r="K406" s="61" t="s">
        <v>4806</v>
      </c>
      <c r="L406" s="12" t="str">
        <f t="shared" si="18"/>
        <v>1,1,1</v>
      </c>
    </row>
    <row r="407" spans="2:12">
      <c r="B407" s="17">
        <v>706</v>
      </c>
      <c r="C407" s="17">
        <v>1</v>
      </c>
      <c r="D407" s="17">
        <f t="shared" si="20"/>
        <v>1</v>
      </c>
      <c r="E407" s="17">
        <f t="shared" si="19"/>
        <v>1283</v>
      </c>
      <c r="F407" s="17" t="s">
        <v>4813</v>
      </c>
      <c r="G407" s="17">
        <f>MATCH(E407,Arenas!$F$8:$F$15)</f>
        <v>4</v>
      </c>
      <c r="H407" s="29" t="s">
        <v>1777</v>
      </c>
      <c r="I407" s="33" t="s">
        <v>6376</v>
      </c>
      <c r="J407" s="47" t="s">
        <v>4564</v>
      </c>
      <c r="K407" s="61" t="s">
        <v>4779</v>
      </c>
      <c r="L407" s="12" t="str">
        <f t="shared" si="18"/>
        <v>1,1,1</v>
      </c>
    </row>
    <row r="408" spans="2:12">
      <c r="B408" s="17">
        <v>707</v>
      </c>
      <c r="C408" s="17">
        <v>1</v>
      </c>
      <c r="D408" s="17">
        <f t="shared" si="20"/>
        <v>0</v>
      </c>
      <c r="E408" s="17">
        <f t="shared" si="19"/>
        <v>1283</v>
      </c>
      <c r="F408" s="17" t="s">
        <v>4813</v>
      </c>
      <c r="G408" s="17">
        <f>MATCH(E408,Arenas!$F$8:$F$15)</f>
        <v>4</v>
      </c>
      <c r="H408" s="29" t="s">
        <v>1778</v>
      </c>
      <c r="I408" s="33" t="s">
        <v>6377</v>
      </c>
      <c r="J408" s="47" t="s">
        <v>4891</v>
      </c>
      <c r="K408" s="61" t="s">
        <v>4779</v>
      </c>
      <c r="L408" s="12" t="str">
        <f t="shared" si="18"/>
        <v>1,1,1</v>
      </c>
    </row>
    <row r="409" spans="2:12">
      <c r="B409" s="17">
        <v>708</v>
      </c>
      <c r="C409" s="17">
        <v>1</v>
      </c>
      <c r="D409" s="17">
        <f t="shared" si="20"/>
        <v>0</v>
      </c>
      <c r="E409" s="17">
        <f t="shared" si="19"/>
        <v>1283</v>
      </c>
      <c r="F409" s="17" t="s">
        <v>4813</v>
      </c>
      <c r="G409" s="17">
        <f>MATCH(E409,Arenas!$F$8:$F$15)</f>
        <v>4</v>
      </c>
      <c r="H409" s="29" t="s">
        <v>1779</v>
      </c>
      <c r="I409" s="33" t="s">
        <v>6378</v>
      </c>
      <c r="J409" s="47" t="s">
        <v>4560</v>
      </c>
      <c r="K409" s="61" t="s">
        <v>4779</v>
      </c>
      <c r="L409" s="12" t="str">
        <f t="shared" si="18"/>
        <v>1,1,1</v>
      </c>
    </row>
    <row r="410" spans="2:12">
      <c r="B410" s="17">
        <v>709</v>
      </c>
      <c r="C410" s="17">
        <v>1</v>
      </c>
      <c r="D410" s="17">
        <f t="shared" si="20"/>
        <v>1</v>
      </c>
      <c r="E410" s="17">
        <f t="shared" si="19"/>
        <v>1284</v>
      </c>
      <c r="F410" s="17" t="s">
        <v>4813</v>
      </c>
      <c r="G410" s="17">
        <f>MATCH(E410,Arenas!$F$8:$F$15)</f>
        <v>4</v>
      </c>
      <c r="H410" s="29" t="s">
        <v>1780</v>
      </c>
      <c r="I410" s="33" t="s">
        <v>6379</v>
      </c>
      <c r="J410" s="47" t="s">
        <v>4854</v>
      </c>
      <c r="K410" s="61" t="s">
        <v>4779</v>
      </c>
      <c r="L410" s="12" t="str">
        <f t="shared" si="18"/>
        <v>1,1,1</v>
      </c>
    </row>
    <row r="411" spans="2:12">
      <c r="B411" s="17">
        <v>710</v>
      </c>
      <c r="C411" s="17">
        <v>1</v>
      </c>
      <c r="D411" s="17">
        <f t="shared" si="20"/>
        <v>0</v>
      </c>
      <c r="E411" s="17">
        <f t="shared" si="19"/>
        <v>1284</v>
      </c>
      <c r="F411" s="17" t="s">
        <v>4813</v>
      </c>
      <c r="G411" s="17">
        <f>MATCH(E411,Arenas!$F$8:$F$15)</f>
        <v>4</v>
      </c>
      <c r="H411" s="29" t="s">
        <v>1781</v>
      </c>
      <c r="I411" s="33" t="s">
        <v>6380</v>
      </c>
      <c r="J411" s="47" t="s">
        <v>1069</v>
      </c>
      <c r="K411" s="61" t="s">
        <v>4779</v>
      </c>
      <c r="L411" s="12" t="str">
        <f t="shared" si="18"/>
        <v>1,1,1</v>
      </c>
    </row>
    <row r="412" spans="2:12">
      <c r="B412" s="17">
        <v>711</v>
      </c>
      <c r="C412" s="17">
        <v>1</v>
      </c>
      <c r="D412" s="17">
        <f t="shared" si="20"/>
        <v>0</v>
      </c>
      <c r="E412" s="17">
        <f t="shared" si="19"/>
        <v>1284</v>
      </c>
      <c r="F412" s="17" t="s">
        <v>4813</v>
      </c>
      <c r="G412" s="17">
        <f>MATCH(E412,Arenas!$F$8:$F$15)</f>
        <v>4</v>
      </c>
      <c r="H412" s="29" t="s">
        <v>1782</v>
      </c>
      <c r="I412" s="33" t="s">
        <v>6381</v>
      </c>
      <c r="J412" s="47" t="s">
        <v>1066</v>
      </c>
      <c r="K412" s="61" t="s">
        <v>4779</v>
      </c>
      <c r="L412" s="12" t="str">
        <f t="shared" si="18"/>
        <v>1,1,1</v>
      </c>
    </row>
    <row r="413" spans="2:12">
      <c r="B413" s="17">
        <v>712</v>
      </c>
      <c r="C413" s="17">
        <v>1</v>
      </c>
      <c r="D413" s="17">
        <f t="shared" si="20"/>
        <v>1</v>
      </c>
      <c r="E413" s="17">
        <f t="shared" si="19"/>
        <v>1285</v>
      </c>
      <c r="F413" s="17" t="s">
        <v>4813</v>
      </c>
      <c r="G413" s="17">
        <f>MATCH(E413,Arenas!$F$8:$F$15)</f>
        <v>4</v>
      </c>
      <c r="H413" s="29" t="s">
        <v>1783</v>
      </c>
      <c r="I413" s="33" t="s">
        <v>6382</v>
      </c>
      <c r="J413" s="47" t="s">
        <v>4601</v>
      </c>
      <c r="K413" s="61" t="s">
        <v>4779</v>
      </c>
      <c r="L413" s="12" t="str">
        <f t="shared" si="18"/>
        <v>1,1,1</v>
      </c>
    </row>
    <row r="414" spans="2:12">
      <c r="B414" s="17">
        <v>713</v>
      </c>
      <c r="C414" s="17">
        <v>1</v>
      </c>
      <c r="D414" s="17">
        <f t="shared" si="20"/>
        <v>0</v>
      </c>
      <c r="E414" s="17">
        <f t="shared" si="19"/>
        <v>1285</v>
      </c>
      <c r="F414" s="17" t="s">
        <v>4813</v>
      </c>
      <c r="G414" s="17">
        <f>MATCH(E414,Arenas!$F$8:$F$15)</f>
        <v>4</v>
      </c>
      <c r="H414" s="29" t="s">
        <v>1784</v>
      </c>
      <c r="I414" s="33" t="s">
        <v>6383</v>
      </c>
      <c r="J414" s="47" t="s">
        <v>4616</v>
      </c>
      <c r="K414" s="61" t="s">
        <v>4779</v>
      </c>
      <c r="L414" s="12" t="str">
        <f t="shared" si="18"/>
        <v>1,1,1</v>
      </c>
    </row>
    <row r="415" spans="2:12">
      <c r="B415" s="17">
        <v>714</v>
      </c>
      <c r="C415" s="17">
        <v>1</v>
      </c>
      <c r="D415" s="17">
        <f t="shared" si="20"/>
        <v>0</v>
      </c>
      <c r="E415" s="17">
        <f t="shared" si="19"/>
        <v>1285</v>
      </c>
      <c r="F415" s="17" t="s">
        <v>4813</v>
      </c>
      <c r="G415" s="17">
        <f>MATCH(E415,Arenas!$F$8:$F$15)</f>
        <v>4</v>
      </c>
      <c r="H415" s="29" t="s">
        <v>1785</v>
      </c>
      <c r="I415" s="33" t="s">
        <v>6384</v>
      </c>
      <c r="J415" s="47" t="s">
        <v>4632</v>
      </c>
      <c r="K415" s="61" t="s">
        <v>4779</v>
      </c>
      <c r="L415" s="12" t="str">
        <f t="shared" si="18"/>
        <v>1,1,1</v>
      </c>
    </row>
    <row r="416" spans="2:12">
      <c r="B416" s="17">
        <v>715</v>
      </c>
      <c r="C416" s="17">
        <v>1</v>
      </c>
      <c r="D416" s="17">
        <f t="shared" si="20"/>
        <v>1</v>
      </c>
      <c r="E416" s="17">
        <f t="shared" si="19"/>
        <v>1286</v>
      </c>
      <c r="F416" s="17" t="s">
        <v>4813</v>
      </c>
      <c r="G416" s="17">
        <f>MATCH(E416,Arenas!$F$8:$F$15)</f>
        <v>4</v>
      </c>
      <c r="H416" s="29" t="s">
        <v>1786</v>
      </c>
      <c r="I416" s="33" t="s">
        <v>6385</v>
      </c>
      <c r="J416" s="47" t="s">
        <v>4882</v>
      </c>
      <c r="K416" s="61" t="s">
        <v>4779</v>
      </c>
      <c r="L416" s="12" t="str">
        <f t="shared" si="18"/>
        <v>1,1,1</v>
      </c>
    </row>
    <row r="417" spans="2:12">
      <c r="B417" s="17">
        <v>716</v>
      </c>
      <c r="C417" s="17">
        <v>1</v>
      </c>
      <c r="D417" s="17">
        <f t="shared" si="20"/>
        <v>0</v>
      </c>
      <c r="E417" s="17">
        <f t="shared" si="19"/>
        <v>1286</v>
      </c>
      <c r="F417" s="17" t="s">
        <v>4813</v>
      </c>
      <c r="G417" s="17">
        <f>MATCH(E417,Arenas!$F$8:$F$15)</f>
        <v>4</v>
      </c>
      <c r="H417" s="29" t="s">
        <v>1787</v>
      </c>
      <c r="I417" s="33" t="s">
        <v>6386</v>
      </c>
      <c r="J417" s="47" t="s">
        <v>4854</v>
      </c>
      <c r="K417" s="61" t="s">
        <v>4779</v>
      </c>
      <c r="L417" s="12" t="str">
        <f t="shared" si="18"/>
        <v>1,1,1</v>
      </c>
    </row>
    <row r="418" spans="2:12">
      <c r="B418" s="17">
        <v>717</v>
      </c>
      <c r="C418" s="17">
        <v>1</v>
      </c>
      <c r="D418" s="17">
        <f t="shared" si="20"/>
        <v>0</v>
      </c>
      <c r="E418" s="17">
        <f t="shared" si="19"/>
        <v>1286</v>
      </c>
      <c r="F418" s="17" t="s">
        <v>4813</v>
      </c>
      <c r="G418" s="17">
        <f>MATCH(E418,Arenas!$F$8:$F$15)</f>
        <v>4</v>
      </c>
      <c r="H418" s="29" t="s">
        <v>1788</v>
      </c>
      <c r="I418" s="33" t="s">
        <v>6387</v>
      </c>
      <c r="J418" s="47" t="s">
        <v>1069</v>
      </c>
      <c r="K418" s="61" t="s">
        <v>4779</v>
      </c>
      <c r="L418" s="12" t="str">
        <f t="shared" si="18"/>
        <v>1,1,1</v>
      </c>
    </row>
    <row r="419" spans="2:12">
      <c r="B419" s="17">
        <v>718</v>
      </c>
      <c r="C419" s="17">
        <v>1</v>
      </c>
      <c r="D419" s="17">
        <f t="shared" si="20"/>
        <v>1</v>
      </c>
      <c r="E419" s="17">
        <f t="shared" si="19"/>
        <v>1287</v>
      </c>
      <c r="F419" s="17" t="s">
        <v>4813</v>
      </c>
      <c r="G419" s="17">
        <f>MATCH(E419,Arenas!$F$8:$F$15)</f>
        <v>4</v>
      </c>
      <c r="H419" s="29" t="s">
        <v>1789</v>
      </c>
      <c r="I419" s="33" t="s">
        <v>6388</v>
      </c>
      <c r="J419" s="47" t="s">
        <v>4562</v>
      </c>
      <c r="K419" s="61" t="s">
        <v>4779</v>
      </c>
      <c r="L419" s="12" t="str">
        <f t="shared" si="18"/>
        <v>1,1,1</v>
      </c>
    </row>
    <row r="420" spans="2:12">
      <c r="B420" s="17">
        <v>719</v>
      </c>
      <c r="C420" s="17">
        <v>1</v>
      </c>
      <c r="D420" s="17">
        <f t="shared" si="20"/>
        <v>0</v>
      </c>
      <c r="E420" s="17">
        <f t="shared" si="19"/>
        <v>1287</v>
      </c>
      <c r="F420" s="17" t="s">
        <v>4813</v>
      </c>
      <c r="G420" s="17">
        <f>MATCH(E420,Arenas!$F$8:$F$15)</f>
        <v>4</v>
      </c>
      <c r="H420" s="29" t="s">
        <v>1790</v>
      </c>
      <c r="I420" s="33" t="s">
        <v>6389</v>
      </c>
      <c r="J420" s="47" t="s">
        <v>4881</v>
      </c>
      <c r="K420" s="61" t="s">
        <v>4809</v>
      </c>
      <c r="L420" s="12" t="str">
        <f t="shared" si="18"/>
        <v>1,1,1</v>
      </c>
    </row>
    <row r="421" spans="2:12">
      <c r="B421" s="17">
        <v>720</v>
      </c>
      <c r="C421" s="17">
        <v>1</v>
      </c>
      <c r="D421" s="17">
        <f t="shared" si="20"/>
        <v>0</v>
      </c>
      <c r="E421" s="17">
        <f t="shared" si="19"/>
        <v>1287</v>
      </c>
      <c r="F421" s="17" t="s">
        <v>4813</v>
      </c>
      <c r="G421" s="17">
        <f>MATCH(E421,Arenas!$F$8:$F$15)</f>
        <v>4</v>
      </c>
      <c r="H421" s="29" t="s">
        <v>1791</v>
      </c>
      <c r="I421" s="33" t="s">
        <v>6390</v>
      </c>
      <c r="J421" s="47" t="s">
        <v>4577</v>
      </c>
      <c r="K421" s="61" t="s">
        <v>4779</v>
      </c>
      <c r="L421" s="12" t="str">
        <f t="shared" si="18"/>
        <v>1,1,1</v>
      </c>
    </row>
    <row r="422" spans="2:12">
      <c r="B422" s="17">
        <v>721</v>
      </c>
      <c r="C422" s="17">
        <v>1</v>
      </c>
      <c r="D422" s="17">
        <f t="shared" si="20"/>
        <v>1</v>
      </c>
      <c r="E422" s="17">
        <f t="shared" si="19"/>
        <v>1288</v>
      </c>
      <c r="F422" s="17" t="s">
        <v>4813</v>
      </c>
      <c r="G422" s="17">
        <f>MATCH(E422,Arenas!$F$8:$F$15)</f>
        <v>4</v>
      </c>
      <c r="H422" s="29" t="s">
        <v>1792</v>
      </c>
      <c r="I422" s="33" t="s">
        <v>6391</v>
      </c>
      <c r="J422" s="47" t="s">
        <v>5187</v>
      </c>
      <c r="K422" s="61" t="s">
        <v>4779</v>
      </c>
      <c r="L422" s="12" t="str">
        <f t="shared" si="18"/>
        <v>1,1,1</v>
      </c>
    </row>
    <row r="423" spans="2:12">
      <c r="B423" s="17">
        <v>722</v>
      </c>
      <c r="C423" s="17">
        <v>1</v>
      </c>
      <c r="D423" s="17">
        <f t="shared" si="20"/>
        <v>0</v>
      </c>
      <c r="E423" s="17">
        <f t="shared" si="19"/>
        <v>1288</v>
      </c>
      <c r="F423" s="17" t="s">
        <v>4813</v>
      </c>
      <c r="G423" s="17">
        <f>MATCH(E423,Arenas!$F$8:$F$15)</f>
        <v>4</v>
      </c>
      <c r="H423" s="29" t="s">
        <v>1793</v>
      </c>
      <c r="I423" s="33" t="s">
        <v>6392</v>
      </c>
      <c r="J423" s="47" t="s">
        <v>4601</v>
      </c>
      <c r="K423" s="61" t="s">
        <v>4807</v>
      </c>
      <c r="L423" s="12" t="str">
        <f t="shared" si="18"/>
        <v>1,1,1</v>
      </c>
    </row>
    <row r="424" spans="2:12">
      <c r="B424" s="17">
        <v>723</v>
      </c>
      <c r="C424" s="17">
        <v>1</v>
      </c>
      <c r="D424" s="17">
        <f t="shared" si="20"/>
        <v>0</v>
      </c>
      <c r="E424" s="17">
        <f t="shared" si="19"/>
        <v>1288</v>
      </c>
      <c r="F424" s="17" t="s">
        <v>4813</v>
      </c>
      <c r="G424" s="17">
        <f>MATCH(E424,Arenas!$F$8:$F$15)</f>
        <v>4</v>
      </c>
      <c r="H424" s="29" t="s">
        <v>1794</v>
      </c>
      <c r="I424" s="33" t="s">
        <v>6393</v>
      </c>
      <c r="J424" s="47" t="s">
        <v>4547</v>
      </c>
      <c r="K424" s="61" t="s">
        <v>4779</v>
      </c>
      <c r="L424" s="12" t="str">
        <f t="shared" si="18"/>
        <v>1,1,1</v>
      </c>
    </row>
    <row r="425" spans="2:12">
      <c r="B425" s="17">
        <v>724</v>
      </c>
      <c r="C425" s="17">
        <v>1</v>
      </c>
      <c r="D425" s="17">
        <f t="shared" si="20"/>
        <v>1</v>
      </c>
      <c r="E425" s="17">
        <f t="shared" si="19"/>
        <v>1289</v>
      </c>
      <c r="F425" s="17" t="s">
        <v>4813</v>
      </c>
      <c r="G425" s="17">
        <f>MATCH(E425,Arenas!$F$8:$F$15)</f>
        <v>4</v>
      </c>
      <c r="H425" s="29" t="s">
        <v>1795</v>
      </c>
      <c r="I425" s="33" t="s">
        <v>6394</v>
      </c>
      <c r="J425" s="47" t="s">
        <v>4864</v>
      </c>
      <c r="K425" s="61" t="s">
        <v>4779</v>
      </c>
      <c r="L425" s="12" t="str">
        <f t="shared" si="18"/>
        <v>1,1,1</v>
      </c>
    </row>
    <row r="426" spans="2:12">
      <c r="B426" s="17">
        <v>725</v>
      </c>
      <c r="C426" s="17">
        <v>1</v>
      </c>
      <c r="D426" s="17">
        <f t="shared" si="20"/>
        <v>0</v>
      </c>
      <c r="E426" s="17">
        <f t="shared" si="19"/>
        <v>1289</v>
      </c>
      <c r="F426" s="17" t="s">
        <v>4813</v>
      </c>
      <c r="G426" s="17">
        <f>MATCH(E426,Arenas!$F$8:$F$15)</f>
        <v>4</v>
      </c>
      <c r="H426" s="29" t="s">
        <v>1796</v>
      </c>
      <c r="I426" s="33" t="s">
        <v>6395</v>
      </c>
      <c r="J426" s="47" t="s">
        <v>4646</v>
      </c>
      <c r="K426" s="61" t="s">
        <v>4779</v>
      </c>
      <c r="L426" s="12" t="str">
        <f t="shared" si="18"/>
        <v>1,1,1</v>
      </c>
    </row>
    <row r="427" spans="2:12">
      <c r="B427" s="17">
        <v>726</v>
      </c>
      <c r="C427" s="17">
        <v>1</v>
      </c>
      <c r="D427" s="17">
        <f t="shared" si="20"/>
        <v>0</v>
      </c>
      <c r="E427" s="17">
        <f t="shared" si="19"/>
        <v>1289</v>
      </c>
      <c r="F427" s="17" t="s">
        <v>4813</v>
      </c>
      <c r="G427" s="17">
        <f>MATCH(E427,Arenas!$F$8:$F$15)</f>
        <v>4</v>
      </c>
      <c r="H427" s="29" t="s">
        <v>1797</v>
      </c>
      <c r="I427" s="33" t="s">
        <v>6396</v>
      </c>
      <c r="J427" s="47" t="s">
        <v>4900</v>
      </c>
      <c r="K427" s="61" t="s">
        <v>4779</v>
      </c>
      <c r="L427" s="12" t="str">
        <f t="shared" si="18"/>
        <v>1,1,1</v>
      </c>
    </row>
    <row r="428" spans="2:12">
      <c r="B428" s="17">
        <v>727</v>
      </c>
      <c r="C428" s="17">
        <v>1</v>
      </c>
      <c r="D428" s="17">
        <f t="shared" si="20"/>
        <v>1</v>
      </c>
      <c r="E428" s="17">
        <f t="shared" si="19"/>
        <v>1290</v>
      </c>
      <c r="F428" s="17" t="s">
        <v>4813</v>
      </c>
      <c r="G428" s="17">
        <f>MATCH(E428,Arenas!$F$8:$F$15)</f>
        <v>4</v>
      </c>
      <c r="H428" s="29" t="s">
        <v>1798</v>
      </c>
      <c r="I428" s="33" t="s">
        <v>6397</v>
      </c>
      <c r="J428" s="47" t="s">
        <v>4575</v>
      </c>
      <c r="K428" s="61" t="s">
        <v>4779</v>
      </c>
      <c r="L428" s="12" t="str">
        <f t="shared" si="18"/>
        <v>1,1,1</v>
      </c>
    </row>
    <row r="429" spans="2:12">
      <c r="B429" s="17">
        <v>728</v>
      </c>
      <c r="C429" s="17">
        <v>1</v>
      </c>
      <c r="D429" s="17">
        <f t="shared" si="20"/>
        <v>0</v>
      </c>
      <c r="E429" s="17">
        <f t="shared" si="19"/>
        <v>1290</v>
      </c>
      <c r="F429" s="17" t="s">
        <v>4813</v>
      </c>
      <c r="G429" s="17">
        <f>MATCH(E429,Arenas!$F$8:$F$15)</f>
        <v>4</v>
      </c>
      <c r="H429" s="29" t="s">
        <v>1799</v>
      </c>
      <c r="I429" s="33" t="s">
        <v>6398</v>
      </c>
      <c r="J429" s="47" t="s">
        <v>1069</v>
      </c>
      <c r="K429" s="61" t="s">
        <v>4779</v>
      </c>
      <c r="L429" s="12" t="str">
        <f t="shared" si="18"/>
        <v>1,1,1</v>
      </c>
    </row>
    <row r="430" spans="2:12">
      <c r="B430" s="17">
        <v>729</v>
      </c>
      <c r="C430" s="17">
        <v>1</v>
      </c>
      <c r="D430" s="17">
        <f t="shared" si="20"/>
        <v>0</v>
      </c>
      <c r="E430" s="17">
        <f t="shared" si="19"/>
        <v>1290</v>
      </c>
      <c r="F430" s="17" t="s">
        <v>4813</v>
      </c>
      <c r="G430" s="17">
        <f>MATCH(E430,Arenas!$F$8:$F$15)</f>
        <v>4</v>
      </c>
      <c r="H430" s="29" t="s">
        <v>1800</v>
      </c>
      <c r="I430" s="33" t="s">
        <v>6399</v>
      </c>
      <c r="J430" s="47" t="s">
        <v>4670</v>
      </c>
      <c r="K430" s="61" t="s">
        <v>4779</v>
      </c>
      <c r="L430" s="12" t="str">
        <f t="shared" si="18"/>
        <v>1,1,1</v>
      </c>
    </row>
    <row r="431" spans="2:12">
      <c r="B431" s="17">
        <v>730</v>
      </c>
      <c r="C431" s="17">
        <v>1</v>
      </c>
      <c r="D431" s="17">
        <f t="shared" si="20"/>
        <v>1</v>
      </c>
      <c r="E431" s="17">
        <f t="shared" si="19"/>
        <v>1291</v>
      </c>
      <c r="F431" s="17" t="s">
        <v>4813</v>
      </c>
      <c r="G431" s="17">
        <f>MATCH(E431,Arenas!$F$8:$F$15)</f>
        <v>4</v>
      </c>
      <c r="H431" s="29" t="s">
        <v>1801</v>
      </c>
      <c r="I431" s="33" t="s">
        <v>6400</v>
      </c>
      <c r="J431" s="47" t="s">
        <v>4568</v>
      </c>
      <c r="K431" s="61" t="s">
        <v>4779</v>
      </c>
      <c r="L431" s="12" t="str">
        <f t="shared" si="18"/>
        <v>1,1,1</v>
      </c>
    </row>
    <row r="432" spans="2:12">
      <c r="B432" s="17">
        <v>731</v>
      </c>
      <c r="C432" s="17">
        <v>1</v>
      </c>
      <c r="D432" s="17">
        <f t="shared" si="20"/>
        <v>0</v>
      </c>
      <c r="E432" s="17">
        <f t="shared" si="19"/>
        <v>1291</v>
      </c>
      <c r="F432" s="17" t="s">
        <v>4813</v>
      </c>
      <c r="G432" s="17">
        <f>MATCH(E432,Arenas!$F$8:$F$15)</f>
        <v>4</v>
      </c>
      <c r="H432" s="29" t="s">
        <v>1802</v>
      </c>
      <c r="I432" s="33" t="s">
        <v>6401</v>
      </c>
      <c r="J432" s="47" t="s">
        <v>4672</v>
      </c>
      <c r="K432" s="61" t="s">
        <v>4779</v>
      </c>
      <c r="L432" s="12" t="str">
        <f t="shared" si="18"/>
        <v>1,1,1</v>
      </c>
    </row>
    <row r="433" spans="2:12">
      <c r="B433" s="17">
        <v>732</v>
      </c>
      <c r="C433" s="17">
        <v>1</v>
      </c>
      <c r="D433" s="17">
        <f t="shared" si="20"/>
        <v>0</v>
      </c>
      <c r="E433" s="17">
        <f t="shared" si="19"/>
        <v>1291</v>
      </c>
      <c r="F433" s="17" t="s">
        <v>4813</v>
      </c>
      <c r="G433" s="17">
        <f>MATCH(E433,Arenas!$F$8:$F$15)</f>
        <v>4</v>
      </c>
      <c r="H433" s="29" t="s">
        <v>1803</v>
      </c>
      <c r="I433" s="33" t="s">
        <v>6402</v>
      </c>
      <c r="J433" s="47" t="s">
        <v>4577</v>
      </c>
      <c r="K433" s="61" t="s">
        <v>4779</v>
      </c>
      <c r="L433" s="12" t="str">
        <f t="shared" si="18"/>
        <v>1,1,1</v>
      </c>
    </row>
    <row r="434" spans="2:12">
      <c r="B434" s="17">
        <v>733</v>
      </c>
      <c r="C434" s="17">
        <v>1</v>
      </c>
      <c r="D434" s="17">
        <f t="shared" si="20"/>
        <v>1</v>
      </c>
      <c r="E434" s="17">
        <f t="shared" si="19"/>
        <v>1292</v>
      </c>
      <c r="F434" s="17" t="s">
        <v>4813</v>
      </c>
      <c r="G434" s="17">
        <f>MATCH(E434,Arenas!$F$8:$F$15)</f>
        <v>4</v>
      </c>
      <c r="H434" s="29" t="s">
        <v>1804</v>
      </c>
      <c r="I434" s="33" t="s">
        <v>6403</v>
      </c>
      <c r="J434" s="47" t="s">
        <v>4682</v>
      </c>
      <c r="K434" s="61" t="s">
        <v>4779</v>
      </c>
      <c r="L434" s="12" t="str">
        <f t="shared" si="18"/>
        <v>1,1,1</v>
      </c>
    </row>
    <row r="435" spans="2:12">
      <c r="B435" s="17">
        <v>734</v>
      </c>
      <c r="C435" s="17">
        <v>1</v>
      </c>
      <c r="D435" s="17">
        <f t="shared" si="20"/>
        <v>0</v>
      </c>
      <c r="E435" s="17">
        <f t="shared" si="19"/>
        <v>1292</v>
      </c>
      <c r="F435" s="17" t="s">
        <v>4813</v>
      </c>
      <c r="G435" s="17">
        <f>MATCH(E435,Arenas!$F$8:$F$15)</f>
        <v>4</v>
      </c>
      <c r="H435" s="29" t="s">
        <v>1805</v>
      </c>
      <c r="I435" s="33" t="s">
        <v>6404</v>
      </c>
      <c r="J435" s="47" t="s">
        <v>4863</v>
      </c>
      <c r="K435" s="61" t="s">
        <v>4779</v>
      </c>
      <c r="L435" s="12" t="str">
        <f t="shared" si="18"/>
        <v>1,1,1</v>
      </c>
    </row>
    <row r="436" spans="2:12">
      <c r="B436" s="17">
        <v>735</v>
      </c>
      <c r="C436" s="17">
        <v>1</v>
      </c>
      <c r="D436" s="17">
        <f t="shared" si="20"/>
        <v>0</v>
      </c>
      <c r="E436" s="17">
        <f t="shared" si="19"/>
        <v>1292</v>
      </c>
      <c r="F436" s="17" t="s">
        <v>4813</v>
      </c>
      <c r="G436" s="17">
        <f>MATCH(E436,Arenas!$F$8:$F$15)</f>
        <v>4</v>
      </c>
      <c r="H436" s="29" t="s">
        <v>1806</v>
      </c>
      <c r="I436" s="33" t="s">
        <v>6405</v>
      </c>
      <c r="J436" s="47" t="s">
        <v>4669</v>
      </c>
      <c r="K436" s="61" t="s">
        <v>4779</v>
      </c>
      <c r="L436" s="12" t="str">
        <f t="shared" si="18"/>
        <v>1,1,1</v>
      </c>
    </row>
    <row r="437" spans="2:12">
      <c r="B437" s="17">
        <v>736</v>
      </c>
      <c r="C437" s="17">
        <v>1</v>
      </c>
      <c r="D437" s="17">
        <f t="shared" si="20"/>
        <v>1</v>
      </c>
      <c r="E437" s="17">
        <f t="shared" si="19"/>
        <v>1293</v>
      </c>
      <c r="F437" s="17" t="s">
        <v>4813</v>
      </c>
      <c r="G437" s="17">
        <f>MATCH(E437,Arenas!$F$8:$F$15)</f>
        <v>4</v>
      </c>
      <c r="H437" s="29" t="s">
        <v>1807</v>
      </c>
      <c r="I437" s="33" t="s">
        <v>6406</v>
      </c>
      <c r="J437" s="47" t="s">
        <v>4633</v>
      </c>
      <c r="K437" s="61" t="s">
        <v>4779</v>
      </c>
      <c r="L437" s="12" t="str">
        <f t="shared" si="18"/>
        <v>1,1,1</v>
      </c>
    </row>
    <row r="438" spans="2:12">
      <c r="B438" s="17">
        <v>737</v>
      </c>
      <c r="C438" s="17">
        <v>1</v>
      </c>
      <c r="D438" s="17">
        <f t="shared" si="20"/>
        <v>0</v>
      </c>
      <c r="E438" s="17">
        <f t="shared" si="19"/>
        <v>1293</v>
      </c>
      <c r="F438" s="17" t="s">
        <v>4813</v>
      </c>
      <c r="G438" s="17">
        <f>MATCH(E438,Arenas!$F$8:$F$15)</f>
        <v>4</v>
      </c>
      <c r="H438" s="29" t="s">
        <v>1808</v>
      </c>
      <c r="I438" s="33" t="s">
        <v>6407</v>
      </c>
      <c r="J438" s="47" t="s">
        <v>1070</v>
      </c>
      <c r="K438" s="61" t="s">
        <v>4779</v>
      </c>
      <c r="L438" s="12" t="str">
        <f t="shared" si="18"/>
        <v>1,1,1</v>
      </c>
    </row>
    <row r="439" spans="2:12">
      <c r="B439" s="17">
        <v>738</v>
      </c>
      <c r="C439" s="17">
        <v>1</v>
      </c>
      <c r="D439" s="17">
        <f t="shared" si="20"/>
        <v>0</v>
      </c>
      <c r="E439" s="17">
        <f t="shared" si="19"/>
        <v>1293</v>
      </c>
      <c r="F439" s="17" t="s">
        <v>4813</v>
      </c>
      <c r="G439" s="17">
        <f>MATCH(E439,Arenas!$F$8:$F$15)</f>
        <v>4</v>
      </c>
      <c r="H439" s="29" t="s">
        <v>1809</v>
      </c>
      <c r="I439" s="33" t="s">
        <v>6408</v>
      </c>
      <c r="J439" s="47" t="s">
        <v>1066</v>
      </c>
      <c r="K439" s="61" t="s">
        <v>4779</v>
      </c>
      <c r="L439" s="12" t="str">
        <f t="shared" si="18"/>
        <v>1,1,1</v>
      </c>
    </row>
    <row r="440" spans="2:12">
      <c r="B440" s="17">
        <v>739</v>
      </c>
      <c r="C440" s="17">
        <v>1</v>
      </c>
      <c r="D440" s="17">
        <f t="shared" si="20"/>
        <v>1</v>
      </c>
      <c r="E440" s="17">
        <f t="shared" si="19"/>
        <v>1294</v>
      </c>
      <c r="F440" s="17" t="s">
        <v>4813</v>
      </c>
      <c r="G440" s="17">
        <f>MATCH(E440,Arenas!$F$8:$F$15)</f>
        <v>4</v>
      </c>
      <c r="H440" s="29" t="s">
        <v>1810</v>
      </c>
      <c r="I440" s="33" t="s">
        <v>6409</v>
      </c>
      <c r="J440" s="47" t="s">
        <v>4853</v>
      </c>
      <c r="K440" s="61" t="s">
        <v>4779</v>
      </c>
      <c r="L440" s="12" t="str">
        <f t="shared" si="18"/>
        <v>1,1,1</v>
      </c>
    </row>
    <row r="441" spans="2:12">
      <c r="B441" s="17">
        <v>740</v>
      </c>
      <c r="C441" s="17">
        <v>1</v>
      </c>
      <c r="D441" s="17">
        <f t="shared" si="20"/>
        <v>0</v>
      </c>
      <c r="E441" s="17">
        <f t="shared" si="19"/>
        <v>1294</v>
      </c>
      <c r="F441" s="17" t="s">
        <v>4813</v>
      </c>
      <c r="G441" s="17">
        <f>MATCH(E441,Arenas!$F$8:$F$15)</f>
        <v>4</v>
      </c>
      <c r="H441" s="29" t="s">
        <v>1811</v>
      </c>
      <c r="I441" s="33" t="s">
        <v>6410</v>
      </c>
      <c r="J441" s="47" t="s">
        <v>4676</v>
      </c>
      <c r="K441" s="61" t="s">
        <v>4779</v>
      </c>
      <c r="L441" s="12" t="str">
        <f t="shared" si="18"/>
        <v>1,1,1</v>
      </c>
    </row>
    <row r="442" spans="2:12">
      <c r="B442" s="17">
        <v>741</v>
      </c>
      <c r="C442" s="17">
        <v>1</v>
      </c>
      <c r="D442" s="17">
        <f t="shared" si="20"/>
        <v>0</v>
      </c>
      <c r="E442" s="17">
        <f t="shared" si="19"/>
        <v>1294</v>
      </c>
      <c r="F442" s="17" t="s">
        <v>4813</v>
      </c>
      <c r="G442" s="17">
        <f>MATCH(E442,Arenas!$F$8:$F$15)</f>
        <v>4</v>
      </c>
      <c r="H442" s="29" t="s">
        <v>1812</v>
      </c>
      <c r="I442" s="33" t="s">
        <v>6411</v>
      </c>
      <c r="J442" s="47" t="s">
        <v>4849</v>
      </c>
      <c r="K442" s="61" t="s">
        <v>4779</v>
      </c>
      <c r="L442" s="12" t="str">
        <f t="shared" si="18"/>
        <v>1,1,1</v>
      </c>
    </row>
    <row r="443" spans="2:12">
      <c r="B443" s="17">
        <v>742</v>
      </c>
      <c r="C443" s="17">
        <v>1</v>
      </c>
      <c r="D443" s="17">
        <f t="shared" si="20"/>
        <v>1</v>
      </c>
      <c r="E443" s="17">
        <f t="shared" si="19"/>
        <v>1295</v>
      </c>
      <c r="F443" s="17" t="s">
        <v>4813</v>
      </c>
      <c r="G443" s="17">
        <f>MATCH(E443,Arenas!$F$8:$F$15)</f>
        <v>4</v>
      </c>
      <c r="H443" s="29" t="s">
        <v>1813</v>
      </c>
      <c r="I443" s="33" t="s">
        <v>6412</v>
      </c>
      <c r="J443" s="47" t="s">
        <v>1070</v>
      </c>
      <c r="K443" s="61" t="s">
        <v>4779</v>
      </c>
      <c r="L443" s="12" t="str">
        <f t="shared" si="18"/>
        <v>1,1,1</v>
      </c>
    </row>
    <row r="444" spans="2:12">
      <c r="B444" s="17">
        <v>743</v>
      </c>
      <c r="C444" s="17">
        <v>1</v>
      </c>
      <c r="D444" s="17">
        <f t="shared" si="20"/>
        <v>0</v>
      </c>
      <c r="E444" s="17">
        <f t="shared" si="19"/>
        <v>1295</v>
      </c>
      <c r="F444" s="17" t="s">
        <v>4813</v>
      </c>
      <c r="G444" s="17">
        <f>MATCH(E444,Arenas!$F$8:$F$15)</f>
        <v>4</v>
      </c>
      <c r="H444" s="29" t="s">
        <v>1814</v>
      </c>
      <c r="I444" s="33" t="s">
        <v>6413</v>
      </c>
      <c r="J444" s="47" t="s">
        <v>1070</v>
      </c>
      <c r="K444" s="61" t="s">
        <v>4779</v>
      </c>
      <c r="L444" s="12" t="str">
        <f t="shared" si="18"/>
        <v>1,1,1</v>
      </c>
    </row>
    <row r="445" spans="2:12">
      <c r="B445" s="17">
        <v>744</v>
      </c>
      <c r="C445" s="17">
        <v>1</v>
      </c>
      <c r="D445" s="17">
        <f t="shared" si="20"/>
        <v>0</v>
      </c>
      <c r="E445" s="17">
        <f t="shared" si="19"/>
        <v>1295</v>
      </c>
      <c r="F445" s="17" t="s">
        <v>4813</v>
      </c>
      <c r="G445" s="17">
        <f>MATCH(E445,Arenas!$F$8:$F$15)</f>
        <v>4</v>
      </c>
      <c r="H445" s="29" t="s">
        <v>1815</v>
      </c>
      <c r="I445" s="33" t="s">
        <v>6414</v>
      </c>
      <c r="J445" s="47" t="s">
        <v>4881</v>
      </c>
      <c r="K445" s="61" t="s">
        <v>4779</v>
      </c>
      <c r="L445" s="12" t="str">
        <f t="shared" si="18"/>
        <v>1,1,1</v>
      </c>
    </row>
    <row r="446" spans="2:12">
      <c r="B446" s="17">
        <v>745</v>
      </c>
      <c r="C446" s="17">
        <v>1</v>
      </c>
      <c r="D446" s="17">
        <f t="shared" si="20"/>
        <v>1</v>
      </c>
      <c r="E446" s="17">
        <f t="shared" si="19"/>
        <v>1296</v>
      </c>
      <c r="F446" s="17" t="s">
        <v>4813</v>
      </c>
      <c r="G446" s="17">
        <f>MATCH(E446,Arenas!$F$8:$F$15)</f>
        <v>4</v>
      </c>
      <c r="H446" s="29" t="s">
        <v>1816</v>
      </c>
      <c r="I446" s="33" t="s">
        <v>6415</v>
      </c>
      <c r="J446" s="47" t="s">
        <v>1070</v>
      </c>
      <c r="K446" s="61" t="s">
        <v>4779</v>
      </c>
      <c r="L446" s="12" t="str">
        <f t="shared" si="18"/>
        <v>1,1,1</v>
      </c>
    </row>
    <row r="447" spans="2:12">
      <c r="B447" s="17">
        <v>746</v>
      </c>
      <c r="C447" s="17">
        <v>1</v>
      </c>
      <c r="D447" s="17">
        <f t="shared" si="20"/>
        <v>0</v>
      </c>
      <c r="E447" s="17">
        <f t="shared" si="19"/>
        <v>1296</v>
      </c>
      <c r="F447" s="17" t="s">
        <v>4813</v>
      </c>
      <c r="G447" s="17">
        <f>MATCH(E447,Arenas!$F$8:$F$15)</f>
        <v>4</v>
      </c>
      <c r="H447" s="29" t="s">
        <v>1817</v>
      </c>
      <c r="I447" s="33" t="s">
        <v>6416</v>
      </c>
      <c r="J447" s="47" t="s">
        <v>4575</v>
      </c>
      <c r="K447" s="61" t="s">
        <v>4779</v>
      </c>
      <c r="L447" s="12" t="str">
        <f t="shared" si="18"/>
        <v>1,1,1</v>
      </c>
    </row>
    <row r="448" spans="2:12">
      <c r="B448" s="17">
        <v>747</v>
      </c>
      <c r="C448" s="17">
        <v>1</v>
      </c>
      <c r="D448" s="17">
        <f t="shared" si="20"/>
        <v>0</v>
      </c>
      <c r="E448" s="17">
        <f t="shared" si="19"/>
        <v>1296</v>
      </c>
      <c r="F448" s="17" t="s">
        <v>4813</v>
      </c>
      <c r="G448" s="17">
        <f>MATCH(E448,Arenas!$F$8:$F$15)</f>
        <v>4</v>
      </c>
      <c r="H448" s="29" t="s">
        <v>1818</v>
      </c>
      <c r="I448" s="33" t="s">
        <v>6417</v>
      </c>
      <c r="J448" s="47" t="s">
        <v>4860</v>
      </c>
      <c r="K448" s="61" t="s">
        <v>4779</v>
      </c>
      <c r="L448" s="12" t="str">
        <f t="shared" si="18"/>
        <v>1,1,1</v>
      </c>
    </row>
    <row r="449" spans="2:12">
      <c r="B449" s="17">
        <v>748</v>
      </c>
      <c r="C449" s="17">
        <v>1</v>
      </c>
      <c r="D449" s="17">
        <f t="shared" si="20"/>
        <v>1</v>
      </c>
      <c r="E449" s="17">
        <f t="shared" si="19"/>
        <v>1297</v>
      </c>
      <c r="F449" s="17" t="s">
        <v>4813</v>
      </c>
      <c r="G449" s="17">
        <f>MATCH(E449,Arenas!$F$8:$F$15)</f>
        <v>4</v>
      </c>
      <c r="H449" s="29" t="s">
        <v>1819</v>
      </c>
      <c r="I449" s="33" t="s">
        <v>6418</v>
      </c>
      <c r="J449" s="47" t="s">
        <v>4576</v>
      </c>
      <c r="K449" s="61" t="s">
        <v>4779</v>
      </c>
      <c r="L449" s="12" t="str">
        <f t="shared" si="18"/>
        <v>1,1,1</v>
      </c>
    </row>
    <row r="450" spans="2:12">
      <c r="B450" s="17">
        <v>749</v>
      </c>
      <c r="C450" s="17">
        <v>1</v>
      </c>
      <c r="D450" s="17">
        <f t="shared" si="20"/>
        <v>0</v>
      </c>
      <c r="E450" s="17">
        <f t="shared" si="19"/>
        <v>1297</v>
      </c>
      <c r="F450" s="17" t="s">
        <v>4813</v>
      </c>
      <c r="G450" s="17">
        <f>MATCH(E450,Arenas!$F$8:$F$15)</f>
        <v>4</v>
      </c>
      <c r="H450" s="29" t="s">
        <v>1820</v>
      </c>
      <c r="I450" s="33" t="s">
        <v>6419</v>
      </c>
      <c r="J450" s="47" t="s">
        <v>4881</v>
      </c>
      <c r="K450" s="61" t="s">
        <v>4779</v>
      </c>
      <c r="L450" s="12" t="str">
        <f t="shared" ref="L450:L513" si="21">C450&amp;","&amp;C450&amp;","&amp;C450</f>
        <v>1,1,1</v>
      </c>
    </row>
    <row r="451" spans="2:12">
      <c r="B451" s="17">
        <v>750</v>
      </c>
      <c r="C451" s="17">
        <v>1</v>
      </c>
      <c r="D451" s="17">
        <f t="shared" si="20"/>
        <v>0</v>
      </c>
      <c r="E451" s="17">
        <f t="shared" ref="E451:E514" si="22">D451+E450</f>
        <v>1297</v>
      </c>
      <c r="F451" s="17" t="s">
        <v>4813</v>
      </c>
      <c r="G451" s="17">
        <f>MATCH(E451,Arenas!$F$8:$F$15)</f>
        <v>4</v>
      </c>
      <c r="H451" s="29" t="s">
        <v>1821</v>
      </c>
      <c r="I451" s="33" t="s">
        <v>6420</v>
      </c>
      <c r="J451" s="47" t="s">
        <v>4596</v>
      </c>
      <c r="K451" s="61" t="s">
        <v>4779</v>
      </c>
      <c r="L451" s="12" t="str">
        <f t="shared" si="21"/>
        <v>1,1,1</v>
      </c>
    </row>
    <row r="452" spans="2:12">
      <c r="B452" s="17">
        <v>751</v>
      </c>
      <c r="C452" s="17">
        <v>1</v>
      </c>
      <c r="D452" s="17">
        <f t="shared" si="20"/>
        <v>1</v>
      </c>
      <c r="E452" s="17">
        <f t="shared" si="22"/>
        <v>1298</v>
      </c>
      <c r="F452" s="17" t="s">
        <v>4813</v>
      </c>
      <c r="G452" s="17">
        <f>MATCH(E452,Arenas!$F$8:$F$15)</f>
        <v>4</v>
      </c>
      <c r="H452" s="29" t="s">
        <v>1822</v>
      </c>
      <c r="I452" s="33" t="s">
        <v>6421</v>
      </c>
      <c r="J452" s="47" t="s">
        <v>4601</v>
      </c>
      <c r="K452" s="61" t="s">
        <v>4779</v>
      </c>
      <c r="L452" s="12" t="str">
        <f t="shared" si="21"/>
        <v>1,1,1</v>
      </c>
    </row>
    <row r="453" spans="2:12">
      <c r="B453" s="17">
        <v>752</v>
      </c>
      <c r="C453" s="17">
        <v>1</v>
      </c>
      <c r="D453" s="17">
        <f t="shared" ref="D453:D516" si="23">D450</f>
        <v>0</v>
      </c>
      <c r="E453" s="17">
        <f t="shared" si="22"/>
        <v>1298</v>
      </c>
      <c r="F453" s="17" t="s">
        <v>4813</v>
      </c>
      <c r="G453" s="17">
        <f>MATCH(E453,Arenas!$F$8:$F$15)</f>
        <v>4</v>
      </c>
      <c r="H453" s="29" t="s">
        <v>1823</v>
      </c>
      <c r="I453" s="33" t="s">
        <v>6422</v>
      </c>
      <c r="J453" s="47" t="s">
        <v>4548</v>
      </c>
      <c r="K453" s="61" t="s">
        <v>4779</v>
      </c>
      <c r="L453" s="12" t="str">
        <f t="shared" si="21"/>
        <v>1,1,1</v>
      </c>
    </row>
    <row r="454" spans="2:12">
      <c r="B454" s="17">
        <v>753</v>
      </c>
      <c r="C454" s="17">
        <v>1</v>
      </c>
      <c r="D454" s="17">
        <f t="shared" si="23"/>
        <v>0</v>
      </c>
      <c r="E454" s="17">
        <f t="shared" si="22"/>
        <v>1298</v>
      </c>
      <c r="F454" s="17" t="s">
        <v>4813</v>
      </c>
      <c r="G454" s="17">
        <f>MATCH(E454,Arenas!$F$8:$F$15)</f>
        <v>4</v>
      </c>
      <c r="H454" s="29" t="s">
        <v>1824</v>
      </c>
      <c r="I454" s="33" t="s">
        <v>6423</v>
      </c>
      <c r="J454" s="47" t="s">
        <v>4853</v>
      </c>
      <c r="K454" s="61" t="s">
        <v>4779</v>
      </c>
      <c r="L454" s="12" t="str">
        <f t="shared" si="21"/>
        <v>1,1,1</v>
      </c>
    </row>
    <row r="455" spans="2:12">
      <c r="B455" s="17">
        <v>754</v>
      </c>
      <c r="C455" s="17">
        <v>1</v>
      </c>
      <c r="D455" s="17">
        <f t="shared" si="23"/>
        <v>1</v>
      </c>
      <c r="E455" s="17">
        <f t="shared" si="22"/>
        <v>1299</v>
      </c>
      <c r="F455" s="17" t="s">
        <v>4813</v>
      </c>
      <c r="G455" s="17">
        <f>MATCH(E455,Arenas!$F$8:$F$15)</f>
        <v>4</v>
      </c>
      <c r="H455" s="29" t="s">
        <v>1825</v>
      </c>
      <c r="I455" s="33" t="s">
        <v>6424</v>
      </c>
      <c r="J455" s="47" t="s">
        <v>4567</v>
      </c>
      <c r="K455" s="61" t="s">
        <v>4779</v>
      </c>
      <c r="L455" s="12" t="str">
        <f t="shared" si="21"/>
        <v>1,1,1</v>
      </c>
    </row>
    <row r="456" spans="2:12">
      <c r="B456" s="17">
        <v>755</v>
      </c>
      <c r="C456" s="17">
        <v>1</v>
      </c>
      <c r="D456" s="17">
        <f t="shared" si="23"/>
        <v>0</v>
      </c>
      <c r="E456" s="17">
        <f t="shared" si="22"/>
        <v>1299</v>
      </c>
      <c r="F456" s="17" t="s">
        <v>4813</v>
      </c>
      <c r="G456" s="17">
        <f>MATCH(E456,Arenas!$F$8:$F$15)</f>
        <v>4</v>
      </c>
      <c r="H456" s="29" t="s">
        <v>1826</v>
      </c>
      <c r="I456" s="33" t="s">
        <v>6425</v>
      </c>
      <c r="J456" s="47" t="s">
        <v>4896</v>
      </c>
      <c r="K456" s="61" t="s">
        <v>4779</v>
      </c>
      <c r="L456" s="12" t="str">
        <f t="shared" si="21"/>
        <v>1,1,1</v>
      </c>
    </row>
    <row r="457" spans="2:12">
      <c r="B457" s="17">
        <v>756</v>
      </c>
      <c r="C457" s="17">
        <v>1</v>
      </c>
      <c r="D457" s="17">
        <f t="shared" si="23"/>
        <v>0</v>
      </c>
      <c r="E457" s="17">
        <f t="shared" si="22"/>
        <v>1299</v>
      </c>
      <c r="F457" s="17" t="s">
        <v>4813</v>
      </c>
      <c r="G457" s="17">
        <f>MATCH(E457,Arenas!$F$8:$F$15)</f>
        <v>4</v>
      </c>
      <c r="H457" s="29" t="s">
        <v>1827</v>
      </c>
      <c r="I457" s="33" t="s">
        <v>6426</v>
      </c>
      <c r="J457" s="47" t="s">
        <v>5245</v>
      </c>
      <c r="K457" s="61" t="s">
        <v>4779</v>
      </c>
      <c r="L457" s="12" t="str">
        <f t="shared" si="21"/>
        <v>1,1,1</v>
      </c>
    </row>
    <row r="458" spans="2:12">
      <c r="B458" s="17">
        <v>757</v>
      </c>
      <c r="C458" s="17">
        <v>2</v>
      </c>
      <c r="D458" s="17">
        <f t="shared" si="23"/>
        <v>1</v>
      </c>
      <c r="E458" s="17">
        <f t="shared" si="22"/>
        <v>1300</v>
      </c>
      <c r="F458" s="17" t="s">
        <v>4813</v>
      </c>
      <c r="G458" s="17">
        <f>MATCH(E458,Arenas!$F$8:$F$15)</f>
        <v>5</v>
      </c>
      <c r="H458" s="29" t="s">
        <v>1828</v>
      </c>
      <c r="I458" s="33" t="s">
        <v>6427</v>
      </c>
      <c r="J458" s="47" t="s">
        <v>5036</v>
      </c>
      <c r="K458" s="61" t="s">
        <v>4779</v>
      </c>
      <c r="L458" s="12" t="str">
        <f t="shared" si="21"/>
        <v>2,2,2</v>
      </c>
    </row>
    <row r="459" spans="2:12">
      <c r="B459" s="17">
        <v>758</v>
      </c>
      <c r="C459" s="17">
        <v>2</v>
      </c>
      <c r="D459" s="17">
        <f t="shared" si="23"/>
        <v>0</v>
      </c>
      <c r="E459" s="17">
        <f t="shared" si="22"/>
        <v>1300</v>
      </c>
      <c r="F459" s="17" t="s">
        <v>4813</v>
      </c>
      <c r="G459" s="17">
        <f>MATCH(E459,Arenas!$F$8:$F$15)</f>
        <v>5</v>
      </c>
      <c r="H459" s="29" t="s">
        <v>1829</v>
      </c>
      <c r="I459" s="33" t="s">
        <v>6428</v>
      </c>
      <c r="J459" s="47" t="s">
        <v>6429</v>
      </c>
      <c r="K459" s="61" t="s">
        <v>4779</v>
      </c>
      <c r="L459" s="12" t="str">
        <f t="shared" si="21"/>
        <v>2,2,2</v>
      </c>
    </row>
    <row r="460" spans="2:12">
      <c r="B460" s="17">
        <v>759</v>
      </c>
      <c r="C460" s="17">
        <v>2</v>
      </c>
      <c r="D460" s="17">
        <f t="shared" si="23"/>
        <v>0</v>
      </c>
      <c r="E460" s="17">
        <f t="shared" si="22"/>
        <v>1300</v>
      </c>
      <c r="F460" s="17" t="s">
        <v>4813</v>
      </c>
      <c r="G460" s="17">
        <f>MATCH(E460,Arenas!$F$8:$F$15)</f>
        <v>5</v>
      </c>
      <c r="H460" s="29" t="s">
        <v>1830</v>
      </c>
      <c r="I460" s="33" t="s">
        <v>6430</v>
      </c>
      <c r="J460" s="47" t="s">
        <v>4951</v>
      </c>
      <c r="K460" s="61" t="s">
        <v>4779</v>
      </c>
      <c r="L460" s="12" t="str">
        <f t="shared" si="21"/>
        <v>2,2,2</v>
      </c>
    </row>
    <row r="461" spans="2:12">
      <c r="B461" s="17">
        <v>760</v>
      </c>
      <c r="C461" s="17">
        <v>2</v>
      </c>
      <c r="D461" s="17">
        <f t="shared" si="23"/>
        <v>1</v>
      </c>
      <c r="E461" s="17">
        <f t="shared" si="22"/>
        <v>1301</v>
      </c>
      <c r="F461" s="17" t="s">
        <v>4813</v>
      </c>
      <c r="G461" s="17">
        <f>MATCH(E461,Arenas!$F$8:$F$15)</f>
        <v>5</v>
      </c>
      <c r="H461" s="29" t="s">
        <v>1831</v>
      </c>
      <c r="I461" s="33" t="s">
        <v>6431</v>
      </c>
      <c r="J461" s="47" t="s">
        <v>6432</v>
      </c>
      <c r="K461" s="61" t="s">
        <v>4779</v>
      </c>
      <c r="L461" s="12" t="str">
        <f t="shared" si="21"/>
        <v>2,2,2</v>
      </c>
    </row>
    <row r="462" spans="2:12">
      <c r="B462" s="17">
        <v>761</v>
      </c>
      <c r="C462" s="17">
        <v>2</v>
      </c>
      <c r="D462" s="17">
        <f t="shared" si="23"/>
        <v>0</v>
      </c>
      <c r="E462" s="17">
        <f t="shared" si="22"/>
        <v>1301</v>
      </c>
      <c r="F462" s="17" t="s">
        <v>4813</v>
      </c>
      <c r="G462" s="17">
        <f>MATCH(E462,Arenas!$F$8:$F$15)</f>
        <v>5</v>
      </c>
      <c r="H462" s="29" t="s">
        <v>1832</v>
      </c>
      <c r="I462" s="33" t="s">
        <v>6433</v>
      </c>
      <c r="J462" s="47" t="s">
        <v>4629</v>
      </c>
      <c r="K462" s="61" t="s">
        <v>4779</v>
      </c>
      <c r="L462" s="12" t="str">
        <f t="shared" si="21"/>
        <v>2,2,2</v>
      </c>
    </row>
    <row r="463" spans="2:12">
      <c r="B463" s="17">
        <v>762</v>
      </c>
      <c r="C463" s="17">
        <v>2</v>
      </c>
      <c r="D463" s="17">
        <f t="shared" si="23"/>
        <v>0</v>
      </c>
      <c r="E463" s="17">
        <f t="shared" si="22"/>
        <v>1301</v>
      </c>
      <c r="F463" s="17" t="s">
        <v>4813</v>
      </c>
      <c r="G463" s="17">
        <f>MATCH(E463,Arenas!$F$8:$F$15)</f>
        <v>5</v>
      </c>
      <c r="H463" s="29" t="s">
        <v>1833</v>
      </c>
      <c r="I463" s="33" t="s">
        <v>6434</v>
      </c>
      <c r="J463" s="47" t="s">
        <v>5667</v>
      </c>
      <c r="K463" s="61" t="s">
        <v>4779</v>
      </c>
      <c r="L463" s="12" t="str">
        <f t="shared" si="21"/>
        <v>2,2,2</v>
      </c>
    </row>
    <row r="464" spans="2:12">
      <c r="B464" s="17">
        <v>763</v>
      </c>
      <c r="C464" s="17">
        <v>2</v>
      </c>
      <c r="D464" s="17">
        <f t="shared" si="23"/>
        <v>1</v>
      </c>
      <c r="E464" s="17">
        <f t="shared" si="22"/>
        <v>1302</v>
      </c>
      <c r="F464" s="17" t="s">
        <v>4813</v>
      </c>
      <c r="G464" s="17">
        <f>MATCH(E464,Arenas!$F$8:$F$15)</f>
        <v>5</v>
      </c>
      <c r="H464" s="29" t="s">
        <v>1834</v>
      </c>
      <c r="I464" s="33" t="s">
        <v>6435</v>
      </c>
      <c r="J464" s="47" t="s">
        <v>5046</v>
      </c>
      <c r="K464" s="61" t="s">
        <v>4779</v>
      </c>
      <c r="L464" s="12" t="str">
        <f t="shared" si="21"/>
        <v>2,2,2</v>
      </c>
    </row>
    <row r="465" spans="2:12">
      <c r="B465" s="17">
        <v>764</v>
      </c>
      <c r="C465" s="17">
        <v>2</v>
      </c>
      <c r="D465" s="17">
        <f t="shared" si="23"/>
        <v>0</v>
      </c>
      <c r="E465" s="17">
        <f t="shared" si="22"/>
        <v>1302</v>
      </c>
      <c r="F465" s="17" t="s">
        <v>4813</v>
      </c>
      <c r="G465" s="17">
        <f>MATCH(E465,Arenas!$F$8:$F$15)</f>
        <v>5</v>
      </c>
      <c r="H465" s="29" t="s">
        <v>1835</v>
      </c>
      <c r="I465" s="33" t="s">
        <v>6436</v>
      </c>
      <c r="J465" s="47" t="s">
        <v>5019</v>
      </c>
      <c r="K465" s="61" t="s">
        <v>4779</v>
      </c>
      <c r="L465" s="12" t="str">
        <f t="shared" si="21"/>
        <v>2,2,2</v>
      </c>
    </row>
    <row r="466" spans="2:12">
      <c r="B466" s="17">
        <v>765</v>
      </c>
      <c r="C466" s="17">
        <v>2</v>
      </c>
      <c r="D466" s="17">
        <f t="shared" si="23"/>
        <v>0</v>
      </c>
      <c r="E466" s="17">
        <f t="shared" si="22"/>
        <v>1302</v>
      </c>
      <c r="F466" s="17" t="s">
        <v>4813</v>
      </c>
      <c r="G466" s="17">
        <f>MATCH(E466,Arenas!$F$8:$F$15)</f>
        <v>5</v>
      </c>
      <c r="H466" s="29" t="s">
        <v>1836</v>
      </c>
      <c r="I466" s="33" t="s">
        <v>6437</v>
      </c>
      <c r="J466" s="47" t="s">
        <v>5651</v>
      </c>
      <c r="K466" s="61" t="s">
        <v>4779</v>
      </c>
      <c r="L466" s="12" t="str">
        <f t="shared" si="21"/>
        <v>2,2,2</v>
      </c>
    </row>
    <row r="467" spans="2:12">
      <c r="B467" s="17">
        <v>766</v>
      </c>
      <c r="C467" s="17">
        <v>2</v>
      </c>
      <c r="D467" s="17">
        <f t="shared" si="23"/>
        <v>1</v>
      </c>
      <c r="E467" s="17">
        <f t="shared" si="22"/>
        <v>1303</v>
      </c>
      <c r="F467" s="17" t="s">
        <v>4813</v>
      </c>
      <c r="G467" s="17">
        <f>MATCH(E467,Arenas!$F$8:$F$15)</f>
        <v>5</v>
      </c>
      <c r="H467" s="29" t="s">
        <v>1837</v>
      </c>
      <c r="I467" s="33" t="s">
        <v>6438</v>
      </c>
      <c r="J467" s="47" t="s">
        <v>6439</v>
      </c>
      <c r="K467" s="61" t="s">
        <v>4779</v>
      </c>
      <c r="L467" s="12" t="str">
        <f t="shared" si="21"/>
        <v>2,2,2</v>
      </c>
    </row>
    <row r="468" spans="2:12">
      <c r="B468" s="17">
        <v>767</v>
      </c>
      <c r="C468" s="17">
        <v>2</v>
      </c>
      <c r="D468" s="17">
        <f t="shared" si="23"/>
        <v>0</v>
      </c>
      <c r="E468" s="17">
        <f t="shared" si="22"/>
        <v>1303</v>
      </c>
      <c r="F468" s="17" t="s">
        <v>4813</v>
      </c>
      <c r="G468" s="17">
        <f>MATCH(E468,Arenas!$F$8:$F$15)</f>
        <v>5</v>
      </c>
      <c r="H468" s="29" t="s">
        <v>1838</v>
      </c>
      <c r="I468" s="33" t="s">
        <v>6440</v>
      </c>
      <c r="J468" s="47" t="s">
        <v>6441</v>
      </c>
      <c r="K468" s="61" t="s">
        <v>4779</v>
      </c>
      <c r="L468" s="12" t="str">
        <f t="shared" si="21"/>
        <v>2,2,2</v>
      </c>
    </row>
    <row r="469" spans="2:12">
      <c r="B469" s="17">
        <v>768</v>
      </c>
      <c r="C469" s="17">
        <v>2</v>
      </c>
      <c r="D469" s="17">
        <f t="shared" si="23"/>
        <v>0</v>
      </c>
      <c r="E469" s="17">
        <f t="shared" si="22"/>
        <v>1303</v>
      </c>
      <c r="F469" s="17" t="s">
        <v>4813</v>
      </c>
      <c r="G469" s="17">
        <f>MATCH(E469,Arenas!$F$8:$F$15)</f>
        <v>5</v>
      </c>
      <c r="H469" s="29" t="s">
        <v>1839</v>
      </c>
      <c r="I469" s="33" t="s">
        <v>6442</v>
      </c>
      <c r="J469" s="47" t="s">
        <v>6443</v>
      </c>
      <c r="K469" s="61" t="s">
        <v>4779</v>
      </c>
      <c r="L469" s="12" t="str">
        <f t="shared" si="21"/>
        <v>2,2,2</v>
      </c>
    </row>
    <row r="470" spans="2:12">
      <c r="B470" s="17">
        <v>769</v>
      </c>
      <c r="C470" s="17">
        <v>2</v>
      </c>
      <c r="D470" s="17">
        <f t="shared" si="23"/>
        <v>1</v>
      </c>
      <c r="E470" s="17">
        <f t="shared" si="22"/>
        <v>1304</v>
      </c>
      <c r="F470" s="17" t="s">
        <v>4813</v>
      </c>
      <c r="G470" s="17">
        <f>MATCH(E470,Arenas!$F$8:$F$15)</f>
        <v>5</v>
      </c>
      <c r="H470" s="29" t="s">
        <v>1840</v>
      </c>
      <c r="I470" s="33" t="s">
        <v>6444</v>
      </c>
      <c r="J470" s="47" t="s">
        <v>4980</v>
      </c>
      <c r="K470" s="61" t="s">
        <v>4779</v>
      </c>
      <c r="L470" s="12" t="str">
        <f t="shared" si="21"/>
        <v>2,2,2</v>
      </c>
    </row>
    <row r="471" spans="2:12">
      <c r="B471" s="17">
        <v>770</v>
      </c>
      <c r="C471" s="17">
        <v>2</v>
      </c>
      <c r="D471" s="17">
        <f t="shared" si="23"/>
        <v>0</v>
      </c>
      <c r="E471" s="17">
        <f t="shared" si="22"/>
        <v>1304</v>
      </c>
      <c r="F471" s="17" t="s">
        <v>4813</v>
      </c>
      <c r="G471" s="17">
        <f>MATCH(E471,Arenas!$F$8:$F$15)</f>
        <v>5</v>
      </c>
      <c r="H471" s="29" t="s">
        <v>1841</v>
      </c>
      <c r="I471" s="33" t="s">
        <v>6445</v>
      </c>
      <c r="J471" s="47" t="s">
        <v>5033</v>
      </c>
      <c r="K471" s="61" t="s">
        <v>4779</v>
      </c>
      <c r="L471" s="12" t="str">
        <f t="shared" si="21"/>
        <v>2,2,2</v>
      </c>
    </row>
    <row r="472" spans="2:12">
      <c r="B472" s="17">
        <v>771</v>
      </c>
      <c r="C472" s="17">
        <v>2</v>
      </c>
      <c r="D472" s="17">
        <f t="shared" si="23"/>
        <v>0</v>
      </c>
      <c r="E472" s="17">
        <f t="shared" si="22"/>
        <v>1304</v>
      </c>
      <c r="F472" s="17" t="s">
        <v>4813</v>
      </c>
      <c r="G472" s="17">
        <f>MATCH(E472,Arenas!$F$8:$F$15)</f>
        <v>5</v>
      </c>
      <c r="H472" s="29" t="s">
        <v>1842</v>
      </c>
      <c r="I472" s="33" t="s">
        <v>6446</v>
      </c>
      <c r="J472" s="47" t="s">
        <v>5208</v>
      </c>
      <c r="K472" s="61" t="s">
        <v>4779</v>
      </c>
      <c r="L472" s="12" t="str">
        <f t="shared" si="21"/>
        <v>2,2,2</v>
      </c>
    </row>
    <row r="473" spans="2:12">
      <c r="B473" s="17">
        <v>772</v>
      </c>
      <c r="C473" s="17">
        <v>2</v>
      </c>
      <c r="D473" s="17">
        <f t="shared" si="23"/>
        <v>1</v>
      </c>
      <c r="E473" s="17">
        <f t="shared" si="22"/>
        <v>1305</v>
      </c>
      <c r="F473" s="17" t="s">
        <v>4813</v>
      </c>
      <c r="G473" s="17">
        <f>MATCH(E473,Arenas!$F$8:$F$15)</f>
        <v>5</v>
      </c>
      <c r="H473" s="29" t="s">
        <v>1843</v>
      </c>
      <c r="I473" s="33" t="s">
        <v>6447</v>
      </c>
      <c r="J473" s="47" t="s">
        <v>6448</v>
      </c>
      <c r="K473" s="61" t="s">
        <v>4779</v>
      </c>
      <c r="L473" s="12" t="str">
        <f t="shared" si="21"/>
        <v>2,2,2</v>
      </c>
    </row>
    <row r="474" spans="2:12">
      <c r="B474" s="17">
        <v>773</v>
      </c>
      <c r="C474" s="17">
        <v>2</v>
      </c>
      <c r="D474" s="17">
        <f t="shared" si="23"/>
        <v>0</v>
      </c>
      <c r="E474" s="17">
        <f t="shared" si="22"/>
        <v>1305</v>
      </c>
      <c r="F474" s="17" t="s">
        <v>4813</v>
      </c>
      <c r="G474" s="17">
        <f>MATCH(E474,Arenas!$F$8:$F$15)</f>
        <v>5</v>
      </c>
      <c r="H474" s="29" t="s">
        <v>1844</v>
      </c>
      <c r="I474" s="33" t="s">
        <v>6449</v>
      </c>
      <c r="J474" s="47" t="s">
        <v>4913</v>
      </c>
      <c r="K474" s="61" t="s">
        <v>4779</v>
      </c>
      <c r="L474" s="12" t="str">
        <f t="shared" si="21"/>
        <v>2,2,2</v>
      </c>
    </row>
    <row r="475" spans="2:12">
      <c r="B475" s="17">
        <v>774</v>
      </c>
      <c r="C475" s="17">
        <v>2</v>
      </c>
      <c r="D475" s="17">
        <f t="shared" si="23"/>
        <v>0</v>
      </c>
      <c r="E475" s="17">
        <f t="shared" si="22"/>
        <v>1305</v>
      </c>
      <c r="F475" s="17" t="s">
        <v>4813</v>
      </c>
      <c r="G475" s="17">
        <f>MATCH(E475,Arenas!$F$8:$F$15)</f>
        <v>5</v>
      </c>
      <c r="H475" s="29" t="s">
        <v>1845</v>
      </c>
      <c r="I475" s="33" t="s">
        <v>6450</v>
      </c>
      <c r="J475" s="47" t="s">
        <v>4963</v>
      </c>
      <c r="K475" s="61" t="s">
        <v>4779</v>
      </c>
      <c r="L475" s="12" t="str">
        <f t="shared" si="21"/>
        <v>2,2,2</v>
      </c>
    </row>
    <row r="476" spans="2:12">
      <c r="B476" s="17">
        <v>775</v>
      </c>
      <c r="C476" s="17">
        <v>2</v>
      </c>
      <c r="D476" s="17">
        <f t="shared" si="23"/>
        <v>1</v>
      </c>
      <c r="E476" s="17">
        <f t="shared" si="22"/>
        <v>1306</v>
      </c>
      <c r="F476" s="17" t="s">
        <v>4813</v>
      </c>
      <c r="G476" s="17">
        <f>MATCH(E476,Arenas!$F$8:$F$15)</f>
        <v>5</v>
      </c>
      <c r="H476" s="29" t="s">
        <v>1846</v>
      </c>
      <c r="I476" s="33" t="s">
        <v>6451</v>
      </c>
      <c r="J476" s="47" t="s">
        <v>6452</v>
      </c>
      <c r="K476" s="61" t="s">
        <v>4779</v>
      </c>
      <c r="L476" s="12" t="str">
        <f t="shared" si="21"/>
        <v>2,2,2</v>
      </c>
    </row>
    <row r="477" spans="2:12">
      <c r="B477" s="17">
        <v>776</v>
      </c>
      <c r="C477" s="17">
        <v>2</v>
      </c>
      <c r="D477" s="17">
        <f t="shared" si="23"/>
        <v>0</v>
      </c>
      <c r="E477" s="17">
        <f t="shared" si="22"/>
        <v>1306</v>
      </c>
      <c r="F477" s="17" t="s">
        <v>4813</v>
      </c>
      <c r="G477" s="17">
        <f>MATCH(E477,Arenas!$F$8:$F$15)</f>
        <v>5</v>
      </c>
      <c r="H477" s="29" t="s">
        <v>1847</v>
      </c>
      <c r="I477" s="33" t="s">
        <v>6453</v>
      </c>
      <c r="J477" s="47" t="s">
        <v>6454</v>
      </c>
      <c r="K477" s="61" t="s">
        <v>4779</v>
      </c>
      <c r="L477" s="12" t="str">
        <f t="shared" si="21"/>
        <v>2,2,2</v>
      </c>
    </row>
    <row r="478" spans="2:12">
      <c r="B478" s="17">
        <v>777</v>
      </c>
      <c r="C478" s="17">
        <v>2</v>
      </c>
      <c r="D478" s="17">
        <f t="shared" si="23"/>
        <v>0</v>
      </c>
      <c r="E478" s="17">
        <f t="shared" si="22"/>
        <v>1306</v>
      </c>
      <c r="F478" s="17" t="s">
        <v>4813</v>
      </c>
      <c r="G478" s="17">
        <f>MATCH(E478,Arenas!$F$8:$F$15)</f>
        <v>5</v>
      </c>
      <c r="H478" s="29" t="s">
        <v>1848</v>
      </c>
      <c r="I478" s="33" t="s">
        <v>6455</v>
      </c>
      <c r="J478" s="47" t="s">
        <v>5646</v>
      </c>
      <c r="K478" s="61" t="s">
        <v>4779</v>
      </c>
      <c r="L478" s="12" t="str">
        <f t="shared" si="21"/>
        <v>2,2,2</v>
      </c>
    </row>
    <row r="479" spans="2:12">
      <c r="B479" s="17">
        <v>778</v>
      </c>
      <c r="C479" s="17">
        <v>2</v>
      </c>
      <c r="D479" s="17">
        <f t="shared" si="23"/>
        <v>1</v>
      </c>
      <c r="E479" s="17">
        <f t="shared" si="22"/>
        <v>1307</v>
      </c>
      <c r="F479" s="17" t="s">
        <v>4813</v>
      </c>
      <c r="G479" s="17">
        <f>MATCH(E479,Arenas!$F$8:$F$15)</f>
        <v>5</v>
      </c>
      <c r="H479" s="29" t="s">
        <v>1849</v>
      </c>
      <c r="I479" s="33" t="s">
        <v>6456</v>
      </c>
      <c r="J479" s="47" t="s">
        <v>6457</v>
      </c>
      <c r="K479" s="61" t="s">
        <v>4779</v>
      </c>
      <c r="L479" s="12" t="str">
        <f t="shared" si="21"/>
        <v>2,2,2</v>
      </c>
    </row>
    <row r="480" spans="2:12">
      <c r="B480" s="17">
        <v>779</v>
      </c>
      <c r="C480" s="17">
        <v>2</v>
      </c>
      <c r="D480" s="17">
        <f t="shared" si="23"/>
        <v>0</v>
      </c>
      <c r="E480" s="17">
        <f t="shared" si="22"/>
        <v>1307</v>
      </c>
      <c r="F480" s="17" t="s">
        <v>4813</v>
      </c>
      <c r="G480" s="17">
        <f>MATCH(E480,Arenas!$F$8:$F$15)</f>
        <v>5</v>
      </c>
      <c r="H480" s="29" t="s">
        <v>1850</v>
      </c>
      <c r="I480" s="33" t="s">
        <v>6458</v>
      </c>
      <c r="J480" s="47" t="s">
        <v>4706</v>
      </c>
      <c r="K480" s="61" t="s">
        <v>4779</v>
      </c>
      <c r="L480" s="12" t="str">
        <f t="shared" si="21"/>
        <v>2,2,2</v>
      </c>
    </row>
    <row r="481" spans="2:12">
      <c r="B481" s="17">
        <v>780</v>
      </c>
      <c r="C481" s="17">
        <v>2</v>
      </c>
      <c r="D481" s="17">
        <f t="shared" si="23"/>
        <v>0</v>
      </c>
      <c r="E481" s="17">
        <f t="shared" si="22"/>
        <v>1307</v>
      </c>
      <c r="F481" s="17" t="s">
        <v>4813</v>
      </c>
      <c r="G481" s="17">
        <f>MATCH(E481,Arenas!$F$8:$F$15)</f>
        <v>5</v>
      </c>
      <c r="H481" s="29" t="s">
        <v>1851</v>
      </c>
      <c r="I481" s="33" t="s">
        <v>6459</v>
      </c>
      <c r="J481" s="47" t="s">
        <v>6460</v>
      </c>
      <c r="K481" s="61" t="s">
        <v>4779</v>
      </c>
      <c r="L481" s="12" t="str">
        <f t="shared" si="21"/>
        <v>2,2,2</v>
      </c>
    </row>
    <row r="482" spans="2:12">
      <c r="B482" s="17">
        <v>781</v>
      </c>
      <c r="C482" s="17">
        <v>2</v>
      </c>
      <c r="D482" s="17">
        <f t="shared" si="23"/>
        <v>1</v>
      </c>
      <c r="E482" s="17">
        <f t="shared" si="22"/>
        <v>1308</v>
      </c>
      <c r="F482" s="17" t="s">
        <v>4813</v>
      </c>
      <c r="G482" s="17">
        <f>MATCH(E482,Arenas!$F$8:$F$15)</f>
        <v>5</v>
      </c>
      <c r="H482" s="29" t="s">
        <v>1852</v>
      </c>
      <c r="I482" s="33" t="s">
        <v>6461</v>
      </c>
      <c r="J482" s="47" t="s">
        <v>5035</v>
      </c>
      <c r="K482" s="61" t="s">
        <v>4779</v>
      </c>
      <c r="L482" s="12" t="str">
        <f t="shared" si="21"/>
        <v>2,2,2</v>
      </c>
    </row>
    <row r="483" spans="2:12">
      <c r="B483" s="17">
        <v>782</v>
      </c>
      <c r="C483" s="17">
        <v>2</v>
      </c>
      <c r="D483" s="17">
        <f t="shared" si="23"/>
        <v>0</v>
      </c>
      <c r="E483" s="17">
        <f t="shared" si="22"/>
        <v>1308</v>
      </c>
      <c r="F483" s="17" t="s">
        <v>4813</v>
      </c>
      <c r="G483" s="17">
        <f>MATCH(E483,Arenas!$F$8:$F$15)</f>
        <v>5</v>
      </c>
      <c r="H483" s="29" t="s">
        <v>1853</v>
      </c>
      <c r="I483" s="33" t="s">
        <v>6462</v>
      </c>
      <c r="J483" s="47" t="s">
        <v>6463</v>
      </c>
      <c r="K483" s="61" t="s">
        <v>4779</v>
      </c>
      <c r="L483" s="12" t="str">
        <f t="shared" si="21"/>
        <v>2,2,2</v>
      </c>
    </row>
    <row r="484" spans="2:12">
      <c r="B484" s="17">
        <v>783</v>
      </c>
      <c r="C484" s="17">
        <v>2</v>
      </c>
      <c r="D484" s="17">
        <f t="shared" si="23"/>
        <v>0</v>
      </c>
      <c r="E484" s="17">
        <f t="shared" si="22"/>
        <v>1308</v>
      </c>
      <c r="F484" s="17" t="s">
        <v>4813</v>
      </c>
      <c r="G484" s="17">
        <f>MATCH(E484,Arenas!$F$8:$F$15)</f>
        <v>5</v>
      </c>
      <c r="H484" s="29" t="s">
        <v>1854</v>
      </c>
      <c r="I484" s="33" t="s">
        <v>6464</v>
      </c>
      <c r="J484" s="47" t="s">
        <v>5268</v>
      </c>
      <c r="K484" s="61" t="s">
        <v>4779</v>
      </c>
      <c r="L484" s="12" t="str">
        <f t="shared" si="21"/>
        <v>2,2,2</v>
      </c>
    </row>
    <row r="485" spans="2:12">
      <c r="B485" s="17">
        <v>784</v>
      </c>
      <c r="C485" s="17">
        <v>2</v>
      </c>
      <c r="D485" s="17">
        <f t="shared" si="23"/>
        <v>1</v>
      </c>
      <c r="E485" s="17">
        <f t="shared" si="22"/>
        <v>1309</v>
      </c>
      <c r="F485" s="17" t="s">
        <v>4813</v>
      </c>
      <c r="G485" s="17">
        <f>MATCH(E485,Arenas!$F$8:$F$15)</f>
        <v>5</v>
      </c>
      <c r="H485" s="29" t="s">
        <v>1855</v>
      </c>
      <c r="I485" s="33" t="s">
        <v>6465</v>
      </c>
      <c r="J485" s="47" t="s">
        <v>6466</v>
      </c>
      <c r="K485" s="61" t="s">
        <v>4779</v>
      </c>
      <c r="L485" s="12" t="str">
        <f t="shared" si="21"/>
        <v>2,2,2</v>
      </c>
    </row>
    <row r="486" spans="2:12">
      <c r="B486" s="17">
        <v>785</v>
      </c>
      <c r="C486" s="17">
        <v>2</v>
      </c>
      <c r="D486" s="17">
        <f t="shared" si="23"/>
        <v>0</v>
      </c>
      <c r="E486" s="17">
        <f t="shared" si="22"/>
        <v>1309</v>
      </c>
      <c r="F486" s="17" t="s">
        <v>4813</v>
      </c>
      <c r="G486" s="17">
        <f>MATCH(E486,Arenas!$F$8:$F$15)</f>
        <v>5</v>
      </c>
      <c r="H486" s="29" t="s">
        <v>1856</v>
      </c>
      <c r="I486" s="33" t="s">
        <v>6467</v>
      </c>
      <c r="J486" s="47" t="s">
        <v>4594</v>
      </c>
      <c r="K486" s="61" t="s">
        <v>4779</v>
      </c>
      <c r="L486" s="12" t="str">
        <f t="shared" si="21"/>
        <v>2,2,2</v>
      </c>
    </row>
    <row r="487" spans="2:12">
      <c r="B487" s="17">
        <v>786</v>
      </c>
      <c r="C487" s="17">
        <v>2</v>
      </c>
      <c r="D487" s="17">
        <f t="shared" si="23"/>
        <v>0</v>
      </c>
      <c r="E487" s="17">
        <f t="shared" si="22"/>
        <v>1309</v>
      </c>
      <c r="F487" s="17" t="s">
        <v>4813</v>
      </c>
      <c r="G487" s="17">
        <f>MATCH(E487,Arenas!$F$8:$F$15)</f>
        <v>5</v>
      </c>
      <c r="H487" s="29" t="s">
        <v>1857</v>
      </c>
      <c r="I487" s="33" t="s">
        <v>6468</v>
      </c>
      <c r="J487" s="47" t="s">
        <v>5229</v>
      </c>
      <c r="K487" s="61" t="s">
        <v>4779</v>
      </c>
      <c r="L487" s="12" t="str">
        <f t="shared" si="21"/>
        <v>2,2,2</v>
      </c>
    </row>
    <row r="488" spans="2:12">
      <c r="B488" s="17">
        <v>787</v>
      </c>
      <c r="C488" s="17">
        <v>2</v>
      </c>
      <c r="D488" s="17">
        <f t="shared" si="23"/>
        <v>1</v>
      </c>
      <c r="E488" s="17">
        <f t="shared" si="22"/>
        <v>1310</v>
      </c>
      <c r="F488" s="17" t="s">
        <v>4813</v>
      </c>
      <c r="G488" s="17">
        <f>MATCH(E488,Arenas!$F$8:$F$15)</f>
        <v>5</v>
      </c>
      <c r="H488" s="29" t="s">
        <v>1858</v>
      </c>
      <c r="I488" s="33" t="s">
        <v>6469</v>
      </c>
      <c r="J488" s="47" t="s">
        <v>5039</v>
      </c>
      <c r="K488" s="61" t="s">
        <v>4779</v>
      </c>
      <c r="L488" s="12" t="str">
        <f t="shared" si="21"/>
        <v>2,2,2</v>
      </c>
    </row>
    <row r="489" spans="2:12">
      <c r="B489" s="17">
        <v>788</v>
      </c>
      <c r="C489" s="17">
        <v>2</v>
      </c>
      <c r="D489" s="17">
        <f t="shared" si="23"/>
        <v>0</v>
      </c>
      <c r="E489" s="17">
        <f t="shared" si="22"/>
        <v>1310</v>
      </c>
      <c r="F489" s="17" t="s">
        <v>4813</v>
      </c>
      <c r="G489" s="17">
        <f>MATCH(E489,Arenas!$F$8:$F$15)</f>
        <v>5</v>
      </c>
      <c r="H489" s="29" t="s">
        <v>1859</v>
      </c>
      <c r="I489" s="33" t="s">
        <v>6470</v>
      </c>
      <c r="J489" s="47" t="s">
        <v>5690</v>
      </c>
      <c r="K489" s="61" t="s">
        <v>4779</v>
      </c>
      <c r="L489" s="12" t="str">
        <f t="shared" si="21"/>
        <v>2,2,2</v>
      </c>
    </row>
    <row r="490" spans="2:12">
      <c r="B490" s="17">
        <v>789</v>
      </c>
      <c r="C490" s="17">
        <v>2</v>
      </c>
      <c r="D490" s="17">
        <f t="shared" si="23"/>
        <v>0</v>
      </c>
      <c r="E490" s="17">
        <f t="shared" si="22"/>
        <v>1310</v>
      </c>
      <c r="F490" s="17" t="s">
        <v>4813</v>
      </c>
      <c r="G490" s="17">
        <f>MATCH(E490,Arenas!$F$8:$F$15)</f>
        <v>5</v>
      </c>
      <c r="H490" s="29" t="s">
        <v>1860</v>
      </c>
      <c r="I490" s="33" t="s">
        <v>6471</v>
      </c>
      <c r="J490" s="47" t="s">
        <v>5267</v>
      </c>
      <c r="K490" s="61" t="s">
        <v>4779</v>
      </c>
      <c r="L490" s="12" t="str">
        <f t="shared" si="21"/>
        <v>2,2,2</v>
      </c>
    </row>
    <row r="491" spans="2:12">
      <c r="B491" s="17">
        <v>790</v>
      </c>
      <c r="C491" s="17">
        <v>2</v>
      </c>
      <c r="D491" s="17">
        <f t="shared" si="23"/>
        <v>1</v>
      </c>
      <c r="E491" s="17">
        <f t="shared" si="22"/>
        <v>1311</v>
      </c>
      <c r="F491" s="17" t="s">
        <v>4813</v>
      </c>
      <c r="G491" s="17">
        <f>MATCH(E491,Arenas!$F$8:$F$15)</f>
        <v>5</v>
      </c>
      <c r="H491" s="29" t="s">
        <v>1861</v>
      </c>
      <c r="I491" s="33" t="s">
        <v>6472</v>
      </c>
      <c r="J491" s="47" t="s">
        <v>6473</v>
      </c>
      <c r="K491" s="61" t="s">
        <v>4779</v>
      </c>
      <c r="L491" s="12" t="str">
        <f t="shared" si="21"/>
        <v>2,2,2</v>
      </c>
    </row>
    <row r="492" spans="2:12">
      <c r="B492" s="17">
        <v>791</v>
      </c>
      <c r="C492" s="17">
        <v>2</v>
      </c>
      <c r="D492" s="17">
        <f t="shared" si="23"/>
        <v>0</v>
      </c>
      <c r="E492" s="17">
        <f t="shared" si="22"/>
        <v>1311</v>
      </c>
      <c r="F492" s="17" t="s">
        <v>4813</v>
      </c>
      <c r="G492" s="17">
        <f>MATCH(E492,Arenas!$F$8:$F$15)</f>
        <v>5</v>
      </c>
      <c r="H492" s="29" t="s">
        <v>1862</v>
      </c>
      <c r="I492" s="33" t="s">
        <v>6474</v>
      </c>
      <c r="J492" s="47" t="s">
        <v>6475</v>
      </c>
      <c r="K492" s="61" t="s">
        <v>4779</v>
      </c>
      <c r="L492" s="12" t="str">
        <f t="shared" si="21"/>
        <v>2,2,2</v>
      </c>
    </row>
    <row r="493" spans="2:12">
      <c r="B493" s="17">
        <v>792</v>
      </c>
      <c r="C493" s="17">
        <v>2</v>
      </c>
      <c r="D493" s="17">
        <f t="shared" si="23"/>
        <v>0</v>
      </c>
      <c r="E493" s="17">
        <f t="shared" si="22"/>
        <v>1311</v>
      </c>
      <c r="F493" s="17" t="s">
        <v>4813</v>
      </c>
      <c r="G493" s="17">
        <f>MATCH(E493,Arenas!$F$8:$F$15)</f>
        <v>5</v>
      </c>
      <c r="H493" s="29" t="s">
        <v>1863</v>
      </c>
      <c r="I493" s="33" t="s">
        <v>6476</v>
      </c>
      <c r="J493" s="47" t="s">
        <v>6477</v>
      </c>
      <c r="K493" s="61" t="s">
        <v>4779</v>
      </c>
      <c r="L493" s="12" t="str">
        <f t="shared" si="21"/>
        <v>2,2,2</v>
      </c>
    </row>
    <row r="494" spans="2:12">
      <c r="B494" s="17">
        <v>793</v>
      </c>
      <c r="C494" s="17">
        <v>2</v>
      </c>
      <c r="D494" s="17">
        <f t="shared" si="23"/>
        <v>1</v>
      </c>
      <c r="E494" s="17">
        <f t="shared" si="22"/>
        <v>1312</v>
      </c>
      <c r="F494" s="17" t="s">
        <v>4813</v>
      </c>
      <c r="G494" s="17">
        <f>MATCH(E494,Arenas!$F$8:$F$15)</f>
        <v>5</v>
      </c>
      <c r="H494" s="29" t="s">
        <v>1864</v>
      </c>
      <c r="I494" s="33" t="s">
        <v>6478</v>
      </c>
      <c r="J494" s="47" t="s">
        <v>4928</v>
      </c>
      <c r="K494" s="61" t="s">
        <v>4779</v>
      </c>
      <c r="L494" s="12" t="str">
        <f t="shared" si="21"/>
        <v>2,2,2</v>
      </c>
    </row>
    <row r="495" spans="2:12">
      <c r="B495" s="17">
        <v>794</v>
      </c>
      <c r="C495" s="17">
        <v>2</v>
      </c>
      <c r="D495" s="17">
        <f t="shared" si="23"/>
        <v>0</v>
      </c>
      <c r="E495" s="17">
        <f t="shared" si="22"/>
        <v>1312</v>
      </c>
      <c r="F495" s="17" t="s">
        <v>4813</v>
      </c>
      <c r="G495" s="17">
        <f>MATCH(E495,Arenas!$F$8:$F$15)</f>
        <v>5</v>
      </c>
      <c r="H495" s="29" t="s">
        <v>1865</v>
      </c>
      <c r="I495" s="33" t="s">
        <v>6479</v>
      </c>
      <c r="J495" s="47" t="s">
        <v>4969</v>
      </c>
      <c r="K495" s="61" t="s">
        <v>4779</v>
      </c>
      <c r="L495" s="12" t="str">
        <f t="shared" si="21"/>
        <v>2,2,2</v>
      </c>
    </row>
    <row r="496" spans="2:12">
      <c r="B496" s="17">
        <v>795</v>
      </c>
      <c r="C496" s="17">
        <v>2</v>
      </c>
      <c r="D496" s="17">
        <f t="shared" si="23"/>
        <v>0</v>
      </c>
      <c r="E496" s="17">
        <f t="shared" si="22"/>
        <v>1312</v>
      </c>
      <c r="F496" s="17" t="s">
        <v>4813</v>
      </c>
      <c r="G496" s="17">
        <f>MATCH(E496,Arenas!$F$8:$F$15)</f>
        <v>5</v>
      </c>
      <c r="H496" s="29" t="s">
        <v>1866</v>
      </c>
      <c r="I496" s="33" t="s">
        <v>6480</v>
      </c>
      <c r="J496" s="47" t="s">
        <v>5217</v>
      </c>
      <c r="K496" s="61" t="s">
        <v>4779</v>
      </c>
      <c r="L496" s="12" t="str">
        <f t="shared" si="21"/>
        <v>2,2,2</v>
      </c>
    </row>
    <row r="497" spans="2:12">
      <c r="B497" s="17">
        <v>796</v>
      </c>
      <c r="C497" s="17">
        <v>2</v>
      </c>
      <c r="D497" s="17">
        <f t="shared" si="23"/>
        <v>1</v>
      </c>
      <c r="E497" s="17">
        <f t="shared" si="22"/>
        <v>1313</v>
      </c>
      <c r="F497" s="17" t="s">
        <v>4813</v>
      </c>
      <c r="G497" s="17">
        <f>MATCH(E497,Arenas!$F$8:$F$15)</f>
        <v>5</v>
      </c>
      <c r="H497" s="29" t="s">
        <v>1867</v>
      </c>
      <c r="I497" s="33" t="s">
        <v>6481</v>
      </c>
      <c r="J497" s="47" t="s">
        <v>5664</v>
      </c>
      <c r="K497" s="61" t="s">
        <v>4779</v>
      </c>
      <c r="L497" s="12" t="str">
        <f t="shared" si="21"/>
        <v>2,2,2</v>
      </c>
    </row>
    <row r="498" spans="2:12">
      <c r="B498" s="17">
        <v>797</v>
      </c>
      <c r="C498" s="17">
        <v>2</v>
      </c>
      <c r="D498" s="17">
        <f t="shared" si="23"/>
        <v>0</v>
      </c>
      <c r="E498" s="17">
        <f t="shared" si="22"/>
        <v>1313</v>
      </c>
      <c r="F498" s="17" t="s">
        <v>4813</v>
      </c>
      <c r="G498" s="17">
        <f>MATCH(E498,Arenas!$F$8:$F$15)</f>
        <v>5</v>
      </c>
      <c r="H498" s="29" t="s">
        <v>1868</v>
      </c>
      <c r="I498" s="33" t="s">
        <v>6482</v>
      </c>
      <c r="J498" s="47" t="s">
        <v>5668</v>
      </c>
      <c r="K498" s="61" t="s">
        <v>4779</v>
      </c>
      <c r="L498" s="12" t="str">
        <f t="shared" si="21"/>
        <v>2,2,2</v>
      </c>
    </row>
    <row r="499" spans="2:12">
      <c r="B499" s="17">
        <v>798</v>
      </c>
      <c r="C499" s="17">
        <v>2</v>
      </c>
      <c r="D499" s="17">
        <f t="shared" si="23"/>
        <v>0</v>
      </c>
      <c r="E499" s="17">
        <f t="shared" si="22"/>
        <v>1313</v>
      </c>
      <c r="F499" s="17" t="s">
        <v>4813</v>
      </c>
      <c r="G499" s="17">
        <f>MATCH(E499,Arenas!$F$8:$F$15)</f>
        <v>5</v>
      </c>
      <c r="H499" s="29" t="s">
        <v>1869</v>
      </c>
      <c r="I499" s="33" t="s">
        <v>6483</v>
      </c>
      <c r="J499" s="47" t="s">
        <v>6429</v>
      </c>
      <c r="K499" s="61" t="s">
        <v>4779</v>
      </c>
      <c r="L499" s="12" t="str">
        <f t="shared" si="21"/>
        <v>2,2,2</v>
      </c>
    </row>
    <row r="500" spans="2:12">
      <c r="B500" s="17">
        <v>799</v>
      </c>
      <c r="C500" s="17">
        <v>2</v>
      </c>
      <c r="D500" s="17">
        <f t="shared" si="23"/>
        <v>1</v>
      </c>
      <c r="E500" s="17">
        <f t="shared" si="22"/>
        <v>1314</v>
      </c>
      <c r="F500" s="17" t="s">
        <v>4813</v>
      </c>
      <c r="G500" s="17">
        <f>MATCH(E500,Arenas!$F$8:$F$15)</f>
        <v>5</v>
      </c>
      <c r="H500" s="29" t="s">
        <v>1870</v>
      </c>
      <c r="I500" s="33" t="s">
        <v>6484</v>
      </c>
      <c r="J500" s="47" t="s">
        <v>6485</v>
      </c>
      <c r="K500" s="61" t="s">
        <v>4779</v>
      </c>
      <c r="L500" s="12" t="str">
        <f t="shared" si="21"/>
        <v>2,2,2</v>
      </c>
    </row>
    <row r="501" spans="2:12">
      <c r="B501" s="17">
        <v>800</v>
      </c>
      <c r="C501" s="17">
        <v>2</v>
      </c>
      <c r="D501" s="17">
        <f t="shared" si="23"/>
        <v>0</v>
      </c>
      <c r="E501" s="17">
        <f t="shared" si="22"/>
        <v>1314</v>
      </c>
      <c r="F501" s="17" t="s">
        <v>4813</v>
      </c>
      <c r="G501" s="17">
        <f>MATCH(E501,Arenas!$F$8:$F$15)</f>
        <v>5</v>
      </c>
      <c r="H501" s="29" t="s">
        <v>1871</v>
      </c>
      <c r="I501" s="33" t="s">
        <v>6486</v>
      </c>
      <c r="J501" s="47" t="s">
        <v>6487</v>
      </c>
      <c r="K501" s="61" t="s">
        <v>4779</v>
      </c>
      <c r="L501" s="12" t="str">
        <f t="shared" si="21"/>
        <v>2,2,2</v>
      </c>
    </row>
    <row r="502" spans="2:12">
      <c r="B502" s="17">
        <v>801</v>
      </c>
      <c r="C502" s="17">
        <v>2</v>
      </c>
      <c r="D502" s="17">
        <f t="shared" si="23"/>
        <v>0</v>
      </c>
      <c r="E502" s="17">
        <f t="shared" si="22"/>
        <v>1314</v>
      </c>
      <c r="F502" s="17" t="s">
        <v>4813</v>
      </c>
      <c r="G502" s="17">
        <f>MATCH(E502,Arenas!$F$8:$F$15)</f>
        <v>5</v>
      </c>
      <c r="H502" s="29" t="s">
        <v>1872</v>
      </c>
      <c r="I502" s="33" t="s">
        <v>6488</v>
      </c>
      <c r="J502" s="47" t="s">
        <v>4985</v>
      </c>
      <c r="K502" s="61" t="s">
        <v>4779</v>
      </c>
      <c r="L502" s="12" t="str">
        <f t="shared" si="21"/>
        <v>2,2,2</v>
      </c>
    </row>
    <row r="503" spans="2:12">
      <c r="B503" s="17">
        <v>802</v>
      </c>
      <c r="C503" s="17">
        <v>2</v>
      </c>
      <c r="D503" s="17">
        <f t="shared" si="23"/>
        <v>1</v>
      </c>
      <c r="E503" s="17">
        <f t="shared" si="22"/>
        <v>1315</v>
      </c>
      <c r="F503" s="17" t="s">
        <v>4813</v>
      </c>
      <c r="G503" s="17">
        <f>MATCH(E503,Arenas!$F$8:$F$15)</f>
        <v>5</v>
      </c>
      <c r="H503" s="29" t="s">
        <v>1873</v>
      </c>
      <c r="I503" s="33" t="s">
        <v>6489</v>
      </c>
      <c r="J503" s="47" t="s">
        <v>4910</v>
      </c>
      <c r="K503" s="61" t="s">
        <v>4779</v>
      </c>
      <c r="L503" s="12" t="str">
        <f t="shared" si="21"/>
        <v>2,2,2</v>
      </c>
    </row>
    <row r="504" spans="2:12">
      <c r="B504" s="17">
        <v>803</v>
      </c>
      <c r="C504" s="17">
        <v>2</v>
      </c>
      <c r="D504" s="17">
        <f t="shared" si="23"/>
        <v>0</v>
      </c>
      <c r="E504" s="17">
        <f t="shared" si="22"/>
        <v>1315</v>
      </c>
      <c r="F504" s="17" t="s">
        <v>4813</v>
      </c>
      <c r="G504" s="17">
        <f>MATCH(E504,Arenas!$F$8:$F$15)</f>
        <v>5</v>
      </c>
      <c r="H504" s="29" t="s">
        <v>1874</v>
      </c>
      <c r="I504" s="33" t="s">
        <v>6490</v>
      </c>
      <c r="J504" s="47" t="s">
        <v>4555</v>
      </c>
      <c r="K504" s="61" t="s">
        <v>4779</v>
      </c>
      <c r="L504" s="12" t="str">
        <f t="shared" si="21"/>
        <v>2,2,2</v>
      </c>
    </row>
    <row r="505" spans="2:12">
      <c r="B505" s="17">
        <v>804</v>
      </c>
      <c r="C505" s="17">
        <v>2</v>
      </c>
      <c r="D505" s="17">
        <f t="shared" si="23"/>
        <v>0</v>
      </c>
      <c r="E505" s="17">
        <f t="shared" si="22"/>
        <v>1315</v>
      </c>
      <c r="F505" s="17" t="s">
        <v>4813</v>
      </c>
      <c r="G505" s="17">
        <f>MATCH(E505,Arenas!$F$8:$F$15)</f>
        <v>5</v>
      </c>
      <c r="H505" s="29" t="s">
        <v>1875</v>
      </c>
      <c r="I505" s="33" t="s">
        <v>6491</v>
      </c>
      <c r="J505" s="47" t="s">
        <v>4651</v>
      </c>
      <c r="K505" s="61" t="s">
        <v>4779</v>
      </c>
      <c r="L505" s="12" t="str">
        <f t="shared" si="21"/>
        <v>2,2,2</v>
      </c>
    </row>
    <row r="506" spans="2:12">
      <c r="B506" s="17">
        <v>805</v>
      </c>
      <c r="C506" s="17">
        <v>2</v>
      </c>
      <c r="D506" s="17">
        <f t="shared" si="23"/>
        <v>1</v>
      </c>
      <c r="E506" s="17">
        <f t="shared" si="22"/>
        <v>1316</v>
      </c>
      <c r="F506" s="17" t="s">
        <v>4813</v>
      </c>
      <c r="G506" s="17">
        <f>MATCH(E506,Arenas!$F$8:$F$15)</f>
        <v>5</v>
      </c>
      <c r="H506" s="29" t="s">
        <v>1876</v>
      </c>
      <c r="I506" s="33" t="s">
        <v>6492</v>
      </c>
      <c r="J506" s="47" t="s">
        <v>6493</v>
      </c>
      <c r="K506" s="61" t="s">
        <v>4779</v>
      </c>
      <c r="L506" s="12" t="str">
        <f t="shared" si="21"/>
        <v>2,2,2</v>
      </c>
    </row>
    <row r="507" spans="2:12">
      <c r="B507" s="17">
        <v>806</v>
      </c>
      <c r="C507" s="17">
        <v>2</v>
      </c>
      <c r="D507" s="17">
        <f t="shared" si="23"/>
        <v>0</v>
      </c>
      <c r="E507" s="17">
        <f t="shared" si="22"/>
        <v>1316</v>
      </c>
      <c r="F507" s="17" t="s">
        <v>4813</v>
      </c>
      <c r="G507" s="17">
        <f>MATCH(E507,Arenas!$F$8:$F$15)</f>
        <v>5</v>
      </c>
      <c r="H507" s="29" t="s">
        <v>1877</v>
      </c>
      <c r="I507" s="33" t="s">
        <v>6494</v>
      </c>
      <c r="J507" s="47" t="s">
        <v>5420</v>
      </c>
      <c r="K507" s="61" t="s">
        <v>4779</v>
      </c>
      <c r="L507" s="12" t="str">
        <f t="shared" si="21"/>
        <v>2,2,2</v>
      </c>
    </row>
    <row r="508" spans="2:12">
      <c r="B508" s="17">
        <v>807</v>
      </c>
      <c r="C508" s="17">
        <v>2</v>
      </c>
      <c r="D508" s="17">
        <f t="shared" si="23"/>
        <v>0</v>
      </c>
      <c r="E508" s="17">
        <f t="shared" si="22"/>
        <v>1316</v>
      </c>
      <c r="F508" s="17" t="s">
        <v>4813</v>
      </c>
      <c r="G508" s="17">
        <f>MATCH(E508,Arenas!$F$8:$F$15)</f>
        <v>5</v>
      </c>
      <c r="H508" s="29" t="s">
        <v>1878</v>
      </c>
      <c r="I508" s="33" t="s">
        <v>6495</v>
      </c>
      <c r="J508" s="47" t="s">
        <v>6496</v>
      </c>
      <c r="K508" s="61" t="s">
        <v>4779</v>
      </c>
      <c r="L508" s="12" t="str">
        <f t="shared" si="21"/>
        <v>2,2,2</v>
      </c>
    </row>
    <row r="509" spans="2:12">
      <c r="B509" s="17">
        <v>808</v>
      </c>
      <c r="C509" s="17">
        <v>2</v>
      </c>
      <c r="D509" s="17">
        <f t="shared" si="23"/>
        <v>1</v>
      </c>
      <c r="E509" s="17">
        <f t="shared" si="22"/>
        <v>1317</v>
      </c>
      <c r="F509" s="17" t="s">
        <v>4813</v>
      </c>
      <c r="G509" s="17">
        <f>MATCH(E509,Arenas!$F$8:$F$15)</f>
        <v>5</v>
      </c>
      <c r="H509" s="29" t="s">
        <v>1879</v>
      </c>
      <c r="I509" s="33" t="s">
        <v>6497</v>
      </c>
      <c r="J509" s="47" t="s">
        <v>6498</v>
      </c>
      <c r="K509" s="61" t="s">
        <v>4779</v>
      </c>
      <c r="L509" s="12" t="str">
        <f t="shared" si="21"/>
        <v>2,2,2</v>
      </c>
    </row>
    <row r="510" spans="2:12">
      <c r="B510" s="17">
        <v>809</v>
      </c>
      <c r="C510" s="17">
        <v>2</v>
      </c>
      <c r="D510" s="17">
        <f t="shared" si="23"/>
        <v>0</v>
      </c>
      <c r="E510" s="17">
        <f t="shared" si="22"/>
        <v>1317</v>
      </c>
      <c r="F510" s="17" t="s">
        <v>4813</v>
      </c>
      <c r="G510" s="17">
        <f>MATCH(E510,Arenas!$F$8:$F$15)</f>
        <v>5</v>
      </c>
      <c r="H510" s="29" t="s">
        <v>1880</v>
      </c>
      <c r="I510" s="33" t="s">
        <v>6499</v>
      </c>
      <c r="J510" s="47" t="s">
        <v>4629</v>
      </c>
      <c r="K510" s="61" t="s">
        <v>4779</v>
      </c>
      <c r="L510" s="12" t="str">
        <f t="shared" si="21"/>
        <v>2,2,2</v>
      </c>
    </row>
    <row r="511" spans="2:12">
      <c r="B511" s="17">
        <v>810</v>
      </c>
      <c r="C511" s="17">
        <v>2</v>
      </c>
      <c r="D511" s="17">
        <f t="shared" si="23"/>
        <v>0</v>
      </c>
      <c r="E511" s="17">
        <f t="shared" si="22"/>
        <v>1317</v>
      </c>
      <c r="F511" s="17" t="s">
        <v>4813</v>
      </c>
      <c r="G511" s="17">
        <f>MATCH(E511,Arenas!$F$8:$F$15)</f>
        <v>5</v>
      </c>
      <c r="H511" s="29" t="s">
        <v>1881</v>
      </c>
      <c r="I511" s="33" t="s">
        <v>6500</v>
      </c>
      <c r="J511" s="47" t="s">
        <v>6501</v>
      </c>
      <c r="K511" s="61" t="s">
        <v>4779</v>
      </c>
      <c r="L511" s="12" t="str">
        <f t="shared" si="21"/>
        <v>2,2,2</v>
      </c>
    </row>
    <row r="512" spans="2:12">
      <c r="B512" s="17">
        <v>811</v>
      </c>
      <c r="C512" s="17">
        <v>2</v>
      </c>
      <c r="D512" s="17">
        <f t="shared" si="23"/>
        <v>1</v>
      </c>
      <c r="E512" s="17">
        <f t="shared" si="22"/>
        <v>1318</v>
      </c>
      <c r="F512" s="17" t="s">
        <v>4813</v>
      </c>
      <c r="G512" s="17">
        <f>MATCH(E512,Arenas!$F$8:$F$15)</f>
        <v>5</v>
      </c>
      <c r="H512" s="29" t="s">
        <v>1882</v>
      </c>
      <c r="I512" s="33" t="s">
        <v>6502</v>
      </c>
      <c r="J512" s="47" t="s">
        <v>6503</v>
      </c>
      <c r="K512" s="61" t="s">
        <v>4779</v>
      </c>
      <c r="L512" s="12" t="str">
        <f t="shared" si="21"/>
        <v>2,2,2</v>
      </c>
    </row>
    <row r="513" spans="2:12">
      <c r="B513" s="17">
        <v>812</v>
      </c>
      <c r="C513" s="17">
        <v>2</v>
      </c>
      <c r="D513" s="17">
        <f t="shared" si="23"/>
        <v>0</v>
      </c>
      <c r="E513" s="17">
        <f t="shared" si="22"/>
        <v>1318</v>
      </c>
      <c r="F513" s="17" t="s">
        <v>4813</v>
      </c>
      <c r="G513" s="17">
        <f>MATCH(E513,Arenas!$F$8:$F$15)</f>
        <v>5</v>
      </c>
      <c r="H513" s="29" t="s">
        <v>1883</v>
      </c>
      <c r="I513" s="33" t="s">
        <v>6504</v>
      </c>
      <c r="J513" s="47" t="s">
        <v>4592</v>
      </c>
      <c r="K513" s="61" t="s">
        <v>4779</v>
      </c>
      <c r="L513" s="12" t="str">
        <f t="shared" si="21"/>
        <v>2,2,2</v>
      </c>
    </row>
    <row r="514" spans="2:12">
      <c r="B514" s="17">
        <v>813</v>
      </c>
      <c r="C514" s="17">
        <v>2</v>
      </c>
      <c r="D514" s="17">
        <f t="shared" si="23"/>
        <v>0</v>
      </c>
      <c r="E514" s="17">
        <f t="shared" si="22"/>
        <v>1318</v>
      </c>
      <c r="F514" s="17" t="s">
        <v>4813</v>
      </c>
      <c r="G514" s="17">
        <f>MATCH(E514,Arenas!$F$8:$F$15)</f>
        <v>5</v>
      </c>
      <c r="H514" s="29" t="s">
        <v>1884</v>
      </c>
      <c r="I514" s="33" t="s">
        <v>6505</v>
      </c>
      <c r="J514" s="47" t="s">
        <v>6506</v>
      </c>
      <c r="K514" s="61" t="s">
        <v>4779</v>
      </c>
      <c r="L514" s="12" t="str">
        <f t="shared" ref="L514:L577" si="24">C514&amp;","&amp;C514&amp;","&amp;C514</f>
        <v>2,2,2</v>
      </c>
    </row>
    <row r="515" spans="2:12">
      <c r="B515" s="17">
        <v>814</v>
      </c>
      <c r="C515" s="17">
        <v>2</v>
      </c>
      <c r="D515" s="17">
        <f t="shared" si="23"/>
        <v>1</v>
      </c>
      <c r="E515" s="17">
        <f t="shared" ref="E515:E578" si="25">D515+E514</f>
        <v>1319</v>
      </c>
      <c r="F515" s="17" t="s">
        <v>4813</v>
      </c>
      <c r="G515" s="17">
        <f>MATCH(E515,Arenas!$F$8:$F$15)</f>
        <v>5</v>
      </c>
      <c r="H515" s="29" t="s">
        <v>1885</v>
      </c>
      <c r="I515" s="33" t="s">
        <v>6507</v>
      </c>
      <c r="J515" s="47" t="s">
        <v>5033</v>
      </c>
      <c r="K515" s="61" t="s">
        <v>4779</v>
      </c>
      <c r="L515" s="12" t="str">
        <f t="shared" si="24"/>
        <v>2,2,2</v>
      </c>
    </row>
    <row r="516" spans="2:12">
      <c r="B516" s="17">
        <v>815</v>
      </c>
      <c r="C516" s="17">
        <v>2</v>
      </c>
      <c r="D516" s="17">
        <f t="shared" si="23"/>
        <v>0</v>
      </c>
      <c r="E516" s="17">
        <f t="shared" si="25"/>
        <v>1319</v>
      </c>
      <c r="F516" s="17" t="s">
        <v>4813</v>
      </c>
      <c r="G516" s="17">
        <f>MATCH(E516,Arenas!$F$8:$F$15)</f>
        <v>5</v>
      </c>
      <c r="H516" s="29" t="s">
        <v>1886</v>
      </c>
      <c r="I516" s="33" t="s">
        <v>6508</v>
      </c>
      <c r="J516" s="47" t="s">
        <v>6509</v>
      </c>
      <c r="K516" s="61" t="s">
        <v>4779</v>
      </c>
      <c r="L516" s="12" t="str">
        <f t="shared" si="24"/>
        <v>2,2,2</v>
      </c>
    </row>
    <row r="517" spans="2:12">
      <c r="B517" s="17">
        <v>816</v>
      </c>
      <c r="C517" s="17">
        <v>2</v>
      </c>
      <c r="D517" s="17">
        <f t="shared" ref="D517:D580" si="26">D514</f>
        <v>0</v>
      </c>
      <c r="E517" s="17">
        <f t="shared" si="25"/>
        <v>1319</v>
      </c>
      <c r="F517" s="17" t="s">
        <v>4813</v>
      </c>
      <c r="G517" s="17">
        <f>MATCH(E517,Arenas!$F$8:$F$15)</f>
        <v>5</v>
      </c>
      <c r="H517" s="29" t="s">
        <v>1887</v>
      </c>
      <c r="I517" s="33" t="s">
        <v>6510</v>
      </c>
      <c r="J517" s="47" t="s">
        <v>4965</v>
      </c>
      <c r="K517" s="61" t="s">
        <v>4779</v>
      </c>
      <c r="L517" s="12" t="str">
        <f t="shared" si="24"/>
        <v>2,2,2</v>
      </c>
    </row>
    <row r="518" spans="2:12">
      <c r="B518" s="17">
        <v>817</v>
      </c>
      <c r="C518" s="17">
        <v>2</v>
      </c>
      <c r="D518" s="17">
        <f t="shared" si="26"/>
        <v>1</v>
      </c>
      <c r="E518" s="17">
        <f t="shared" si="25"/>
        <v>1320</v>
      </c>
      <c r="F518" s="17" t="s">
        <v>4813</v>
      </c>
      <c r="G518" s="17">
        <f>MATCH(E518,Arenas!$F$8:$F$15)</f>
        <v>5</v>
      </c>
      <c r="H518" s="29" t="s">
        <v>1888</v>
      </c>
      <c r="I518" s="33" t="s">
        <v>6511</v>
      </c>
      <c r="J518" s="47" t="s">
        <v>5415</v>
      </c>
      <c r="K518" s="61" t="s">
        <v>4779</v>
      </c>
      <c r="L518" s="12" t="str">
        <f t="shared" si="24"/>
        <v>2,2,2</v>
      </c>
    </row>
    <row r="519" spans="2:12">
      <c r="B519" s="17">
        <v>818</v>
      </c>
      <c r="C519" s="17">
        <v>2</v>
      </c>
      <c r="D519" s="17">
        <f t="shared" si="26"/>
        <v>0</v>
      </c>
      <c r="E519" s="17">
        <f t="shared" si="25"/>
        <v>1320</v>
      </c>
      <c r="F519" s="17" t="s">
        <v>4813</v>
      </c>
      <c r="G519" s="17">
        <f>MATCH(E519,Arenas!$F$8:$F$15)</f>
        <v>5</v>
      </c>
      <c r="H519" s="29" t="s">
        <v>1889</v>
      </c>
      <c r="I519" s="33" t="s">
        <v>6512</v>
      </c>
      <c r="J519" s="47" t="s">
        <v>5652</v>
      </c>
      <c r="K519" s="61" t="s">
        <v>4779</v>
      </c>
      <c r="L519" s="12" t="str">
        <f t="shared" si="24"/>
        <v>2,2,2</v>
      </c>
    </row>
    <row r="520" spans="2:12">
      <c r="B520" s="17">
        <v>819</v>
      </c>
      <c r="C520" s="17">
        <v>2</v>
      </c>
      <c r="D520" s="17">
        <f t="shared" si="26"/>
        <v>0</v>
      </c>
      <c r="E520" s="17">
        <f t="shared" si="25"/>
        <v>1320</v>
      </c>
      <c r="F520" s="17" t="s">
        <v>4813</v>
      </c>
      <c r="G520" s="17">
        <f>MATCH(E520,Arenas!$F$8:$F$15)</f>
        <v>5</v>
      </c>
      <c r="H520" s="29" t="s">
        <v>1890</v>
      </c>
      <c r="I520" s="33" t="s">
        <v>6513</v>
      </c>
      <c r="J520" s="47" t="s">
        <v>6514</v>
      </c>
      <c r="K520" s="61" t="s">
        <v>4779</v>
      </c>
      <c r="L520" s="12" t="str">
        <f t="shared" si="24"/>
        <v>2,2,2</v>
      </c>
    </row>
    <row r="521" spans="2:12">
      <c r="B521" s="17">
        <v>820</v>
      </c>
      <c r="C521" s="17">
        <v>2</v>
      </c>
      <c r="D521" s="17">
        <f t="shared" si="26"/>
        <v>1</v>
      </c>
      <c r="E521" s="17">
        <f t="shared" si="25"/>
        <v>1321</v>
      </c>
      <c r="F521" s="17" t="s">
        <v>4813</v>
      </c>
      <c r="G521" s="17">
        <f>MATCH(E521,Arenas!$F$8:$F$15)</f>
        <v>5</v>
      </c>
      <c r="H521" s="29" t="s">
        <v>1891</v>
      </c>
      <c r="I521" s="33" t="s">
        <v>6515</v>
      </c>
      <c r="J521" s="47" t="s">
        <v>5644</v>
      </c>
      <c r="K521" s="61" t="s">
        <v>4779</v>
      </c>
      <c r="L521" s="12" t="str">
        <f t="shared" si="24"/>
        <v>2,2,2</v>
      </c>
    </row>
    <row r="522" spans="2:12">
      <c r="B522" s="17">
        <v>821</v>
      </c>
      <c r="C522" s="17">
        <v>2</v>
      </c>
      <c r="D522" s="17">
        <f t="shared" si="26"/>
        <v>0</v>
      </c>
      <c r="E522" s="17">
        <f t="shared" si="25"/>
        <v>1321</v>
      </c>
      <c r="F522" s="17" t="s">
        <v>4813</v>
      </c>
      <c r="G522" s="17">
        <f>MATCH(E522,Arenas!$F$8:$F$15)</f>
        <v>5</v>
      </c>
      <c r="H522" s="29" t="s">
        <v>1892</v>
      </c>
      <c r="I522" s="33" t="s">
        <v>6516</v>
      </c>
      <c r="J522" s="47" t="s">
        <v>5201</v>
      </c>
      <c r="K522" s="61" t="s">
        <v>4808</v>
      </c>
      <c r="L522" s="12" t="str">
        <f t="shared" si="24"/>
        <v>2,2,2</v>
      </c>
    </row>
    <row r="523" spans="2:12">
      <c r="B523" s="17">
        <v>822</v>
      </c>
      <c r="C523" s="17">
        <v>2</v>
      </c>
      <c r="D523" s="17">
        <f t="shared" si="26"/>
        <v>0</v>
      </c>
      <c r="E523" s="17">
        <f t="shared" si="25"/>
        <v>1321</v>
      </c>
      <c r="F523" s="17" t="s">
        <v>4813</v>
      </c>
      <c r="G523" s="17">
        <f>MATCH(E523,Arenas!$F$8:$F$15)</f>
        <v>5</v>
      </c>
      <c r="H523" s="29" t="s">
        <v>1893</v>
      </c>
      <c r="I523" s="33" t="s">
        <v>6517</v>
      </c>
      <c r="J523" s="47" t="s">
        <v>4996</v>
      </c>
      <c r="K523" s="61" t="s">
        <v>4779</v>
      </c>
      <c r="L523" s="12" t="str">
        <f t="shared" si="24"/>
        <v>2,2,2</v>
      </c>
    </row>
    <row r="524" spans="2:12">
      <c r="B524" s="17">
        <v>823</v>
      </c>
      <c r="C524" s="17">
        <v>2</v>
      </c>
      <c r="D524" s="17">
        <f t="shared" si="26"/>
        <v>1</v>
      </c>
      <c r="E524" s="17">
        <f t="shared" si="25"/>
        <v>1322</v>
      </c>
      <c r="F524" s="17" t="s">
        <v>4813</v>
      </c>
      <c r="G524" s="17">
        <f>MATCH(E524,Arenas!$F$8:$F$15)</f>
        <v>5</v>
      </c>
      <c r="H524" s="29" t="s">
        <v>1894</v>
      </c>
      <c r="I524" s="33" t="s">
        <v>6518</v>
      </c>
      <c r="J524" s="47" t="s">
        <v>4550</v>
      </c>
      <c r="K524" s="61" t="s">
        <v>4779</v>
      </c>
      <c r="L524" s="12" t="str">
        <f t="shared" si="24"/>
        <v>2,2,2</v>
      </c>
    </row>
    <row r="525" spans="2:12">
      <c r="B525" s="17">
        <v>824</v>
      </c>
      <c r="C525" s="17">
        <v>2</v>
      </c>
      <c r="D525" s="17">
        <f t="shared" si="26"/>
        <v>0</v>
      </c>
      <c r="E525" s="17">
        <f t="shared" si="25"/>
        <v>1322</v>
      </c>
      <c r="F525" s="17" t="s">
        <v>4813</v>
      </c>
      <c r="G525" s="17">
        <f>MATCH(E525,Arenas!$F$8:$F$15)</f>
        <v>5</v>
      </c>
      <c r="H525" s="29" t="s">
        <v>1895</v>
      </c>
      <c r="I525" s="33" t="s">
        <v>6519</v>
      </c>
      <c r="J525" s="47" t="s">
        <v>6520</v>
      </c>
      <c r="K525" s="61" t="s">
        <v>4779</v>
      </c>
      <c r="L525" s="12" t="str">
        <f t="shared" si="24"/>
        <v>2,2,2</v>
      </c>
    </row>
    <row r="526" spans="2:12">
      <c r="B526" s="17">
        <v>825</v>
      </c>
      <c r="C526" s="17">
        <v>2</v>
      </c>
      <c r="D526" s="17">
        <f t="shared" si="26"/>
        <v>0</v>
      </c>
      <c r="E526" s="17">
        <f t="shared" si="25"/>
        <v>1322</v>
      </c>
      <c r="F526" s="17" t="s">
        <v>4813</v>
      </c>
      <c r="G526" s="17">
        <f>MATCH(E526,Arenas!$F$8:$F$15)</f>
        <v>5</v>
      </c>
      <c r="H526" s="29" t="s">
        <v>1896</v>
      </c>
      <c r="I526" s="33" t="s">
        <v>6521</v>
      </c>
      <c r="J526" s="47" t="s">
        <v>5656</v>
      </c>
      <c r="K526" s="61" t="s">
        <v>4779</v>
      </c>
      <c r="L526" s="12" t="str">
        <f t="shared" si="24"/>
        <v>2,2,2</v>
      </c>
    </row>
    <row r="527" spans="2:12">
      <c r="B527" s="17">
        <v>826</v>
      </c>
      <c r="C527" s="17">
        <v>2</v>
      </c>
      <c r="D527" s="17">
        <f t="shared" si="26"/>
        <v>1</v>
      </c>
      <c r="E527" s="17">
        <f t="shared" si="25"/>
        <v>1323</v>
      </c>
      <c r="F527" s="17" t="s">
        <v>4813</v>
      </c>
      <c r="G527" s="17">
        <f>MATCH(E527,Arenas!$F$8:$F$15)</f>
        <v>5</v>
      </c>
      <c r="H527" s="29" t="s">
        <v>1897</v>
      </c>
      <c r="I527" s="33" t="s">
        <v>6522</v>
      </c>
      <c r="J527" s="47" t="s">
        <v>4628</v>
      </c>
      <c r="K527" s="61" t="s">
        <v>4779</v>
      </c>
      <c r="L527" s="12" t="str">
        <f t="shared" si="24"/>
        <v>2,2,2</v>
      </c>
    </row>
    <row r="528" spans="2:12">
      <c r="B528" s="17">
        <v>827</v>
      </c>
      <c r="C528" s="17">
        <v>2</v>
      </c>
      <c r="D528" s="17">
        <f t="shared" si="26"/>
        <v>0</v>
      </c>
      <c r="E528" s="17">
        <f t="shared" si="25"/>
        <v>1323</v>
      </c>
      <c r="F528" s="17" t="s">
        <v>4813</v>
      </c>
      <c r="G528" s="17">
        <f>MATCH(E528,Arenas!$F$8:$F$15)</f>
        <v>5</v>
      </c>
      <c r="H528" s="29" t="s">
        <v>1898</v>
      </c>
      <c r="I528" s="33" t="s">
        <v>6523</v>
      </c>
      <c r="J528" s="47" t="s">
        <v>5224</v>
      </c>
      <c r="K528" s="61" t="s">
        <v>4779</v>
      </c>
      <c r="L528" s="12" t="str">
        <f t="shared" si="24"/>
        <v>2,2,2</v>
      </c>
    </row>
    <row r="529" spans="2:12">
      <c r="B529" s="17">
        <v>828</v>
      </c>
      <c r="C529" s="17">
        <v>2</v>
      </c>
      <c r="D529" s="17">
        <f t="shared" si="26"/>
        <v>0</v>
      </c>
      <c r="E529" s="17">
        <f t="shared" si="25"/>
        <v>1323</v>
      </c>
      <c r="F529" s="17" t="s">
        <v>4813</v>
      </c>
      <c r="G529" s="17">
        <f>MATCH(E529,Arenas!$F$8:$F$15)</f>
        <v>5</v>
      </c>
      <c r="H529" s="29" t="s">
        <v>1899</v>
      </c>
      <c r="I529" s="33" t="s">
        <v>6524</v>
      </c>
      <c r="J529" s="47" t="s">
        <v>4921</v>
      </c>
      <c r="K529" s="61" t="s">
        <v>4779</v>
      </c>
      <c r="L529" s="12" t="str">
        <f t="shared" si="24"/>
        <v>2,2,2</v>
      </c>
    </row>
    <row r="530" spans="2:12">
      <c r="B530" s="17">
        <v>829</v>
      </c>
      <c r="C530" s="17">
        <v>2</v>
      </c>
      <c r="D530" s="17">
        <f t="shared" si="26"/>
        <v>1</v>
      </c>
      <c r="E530" s="17">
        <f t="shared" si="25"/>
        <v>1324</v>
      </c>
      <c r="F530" s="17" t="s">
        <v>4813</v>
      </c>
      <c r="G530" s="17">
        <f>MATCH(E530,Arenas!$F$8:$F$15)</f>
        <v>5</v>
      </c>
      <c r="H530" s="29" t="s">
        <v>1900</v>
      </c>
      <c r="I530" s="33" t="s">
        <v>6525</v>
      </c>
      <c r="J530" s="47" t="s">
        <v>5663</v>
      </c>
      <c r="K530" s="61" t="s">
        <v>4779</v>
      </c>
      <c r="L530" s="12" t="str">
        <f t="shared" si="24"/>
        <v>2,2,2</v>
      </c>
    </row>
    <row r="531" spans="2:12">
      <c r="B531" s="17">
        <v>830</v>
      </c>
      <c r="C531" s="17">
        <v>2</v>
      </c>
      <c r="D531" s="17">
        <f t="shared" si="26"/>
        <v>0</v>
      </c>
      <c r="E531" s="17">
        <f t="shared" si="25"/>
        <v>1324</v>
      </c>
      <c r="F531" s="17" t="s">
        <v>4813</v>
      </c>
      <c r="G531" s="17">
        <f>MATCH(E531,Arenas!$F$8:$F$15)</f>
        <v>5</v>
      </c>
      <c r="H531" s="29" t="s">
        <v>1901</v>
      </c>
      <c r="I531" s="33" t="s">
        <v>6526</v>
      </c>
      <c r="J531" s="47" t="s">
        <v>4683</v>
      </c>
      <c r="K531" s="61" t="s">
        <v>4779</v>
      </c>
      <c r="L531" s="12" t="str">
        <f t="shared" si="24"/>
        <v>2,2,2</v>
      </c>
    </row>
    <row r="532" spans="2:12">
      <c r="B532" s="17">
        <v>831</v>
      </c>
      <c r="C532" s="17">
        <v>2</v>
      </c>
      <c r="D532" s="17">
        <f t="shared" si="26"/>
        <v>0</v>
      </c>
      <c r="E532" s="17">
        <f t="shared" si="25"/>
        <v>1324</v>
      </c>
      <c r="F532" s="17" t="s">
        <v>4813</v>
      </c>
      <c r="G532" s="17">
        <f>MATCH(E532,Arenas!$F$8:$F$15)</f>
        <v>5</v>
      </c>
      <c r="H532" s="29" t="s">
        <v>1902</v>
      </c>
      <c r="I532" s="33" t="s">
        <v>6527</v>
      </c>
      <c r="J532" s="47" t="s">
        <v>4617</v>
      </c>
      <c r="K532" s="61" t="s">
        <v>4779</v>
      </c>
      <c r="L532" s="12" t="str">
        <f t="shared" si="24"/>
        <v>2,2,2</v>
      </c>
    </row>
    <row r="533" spans="2:12">
      <c r="B533" s="17">
        <v>832</v>
      </c>
      <c r="C533" s="17">
        <v>2</v>
      </c>
      <c r="D533" s="17">
        <f t="shared" si="26"/>
        <v>1</v>
      </c>
      <c r="E533" s="17">
        <f t="shared" si="25"/>
        <v>1325</v>
      </c>
      <c r="F533" s="17" t="s">
        <v>4813</v>
      </c>
      <c r="G533" s="17">
        <f>MATCH(E533,Arenas!$F$8:$F$15)</f>
        <v>5</v>
      </c>
      <c r="H533" s="29" t="s">
        <v>1903</v>
      </c>
      <c r="I533" s="33" t="s">
        <v>6528</v>
      </c>
      <c r="J533" s="47" t="s">
        <v>5440</v>
      </c>
      <c r="K533" s="61" t="s">
        <v>4779</v>
      </c>
      <c r="L533" s="12" t="str">
        <f t="shared" si="24"/>
        <v>2,2,2</v>
      </c>
    </row>
    <row r="534" spans="2:12">
      <c r="B534" s="17">
        <v>833</v>
      </c>
      <c r="C534" s="17">
        <v>2</v>
      </c>
      <c r="D534" s="17">
        <f t="shared" si="26"/>
        <v>0</v>
      </c>
      <c r="E534" s="17">
        <f t="shared" si="25"/>
        <v>1325</v>
      </c>
      <c r="F534" s="17" t="s">
        <v>4813</v>
      </c>
      <c r="G534" s="17">
        <f>MATCH(E534,Arenas!$F$8:$F$15)</f>
        <v>5</v>
      </c>
      <c r="H534" s="29" t="s">
        <v>1904</v>
      </c>
      <c r="I534" s="33" t="s">
        <v>6529</v>
      </c>
      <c r="J534" s="47" t="s">
        <v>5407</v>
      </c>
      <c r="K534" s="61" t="s">
        <v>4779</v>
      </c>
      <c r="L534" s="12" t="str">
        <f t="shared" si="24"/>
        <v>2,2,2</v>
      </c>
    </row>
    <row r="535" spans="2:12">
      <c r="B535" s="17">
        <v>834</v>
      </c>
      <c r="C535" s="17">
        <v>2</v>
      </c>
      <c r="D535" s="17">
        <f t="shared" si="26"/>
        <v>0</v>
      </c>
      <c r="E535" s="17">
        <f t="shared" si="25"/>
        <v>1325</v>
      </c>
      <c r="F535" s="17" t="s">
        <v>4813</v>
      </c>
      <c r="G535" s="17">
        <f>MATCH(E535,Arenas!$F$8:$F$15)</f>
        <v>5</v>
      </c>
      <c r="H535" s="29" t="s">
        <v>1905</v>
      </c>
      <c r="I535" s="33" t="s">
        <v>6530</v>
      </c>
      <c r="J535" s="47" t="s">
        <v>4697</v>
      </c>
      <c r="K535" s="61" t="s">
        <v>4779</v>
      </c>
      <c r="L535" s="12" t="str">
        <f t="shared" si="24"/>
        <v>2,2,2</v>
      </c>
    </row>
    <row r="536" spans="2:12">
      <c r="B536" s="17">
        <v>835</v>
      </c>
      <c r="C536" s="17">
        <v>2</v>
      </c>
      <c r="D536" s="17">
        <f t="shared" si="26"/>
        <v>1</v>
      </c>
      <c r="E536" s="17">
        <f t="shared" si="25"/>
        <v>1326</v>
      </c>
      <c r="F536" s="17" t="s">
        <v>4813</v>
      </c>
      <c r="G536" s="17">
        <f>MATCH(E536,Arenas!$F$8:$F$15)</f>
        <v>5</v>
      </c>
      <c r="H536" s="29" t="s">
        <v>1906</v>
      </c>
      <c r="I536" s="33" t="s">
        <v>6531</v>
      </c>
      <c r="J536" s="47" t="s">
        <v>4568</v>
      </c>
      <c r="K536" s="61" t="s">
        <v>4779</v>
      </c>
      <c r="L536" s="12" t="str">
        <f t="shared" si="24"/>
        <v>2,2,2</v>
      </c>
    </row>
    <row r="537" spans="2:12">
      <c r="B537" s="17">
        <v>836</v>
      </c>
      <c r="C537" s="17">
        <v>2</v>
      </c>
      <c r="D537" s="17">
        <f t="shared" si="26"/>
        <v>0</v>
      </c>
      <c r="E537" s="17">
        <f t="shared" si="25"/>
        <v>1326</v>
      </c>
      <c r="F537" s="17" t="s">
        <v>4813</v>
      </c>
      <c r="G537" s="17">
        <f>MATCH(E537,Arenas!$F$8:$F$15)</f>
        <v>5</v>
      </c>
      <c r="H537" s="29" t="s">
        <v>1907</v>
      </c>
      <c r="I537" s="33" t="s">
        <v>6532</v>
      </c>
      <c r="J537" s="47" t="s">
        <v>6533</v>
      </c>
      <c r="K537" s="61" t="s">
        <v>4779</v>
      </c>
      <c r="L537" s="12" t="str">
        <f t="shared" si="24"/>
        <v>2,2,2</v>
      </c>
    </row>
    <row r="538" spans="2:12">
      <c r="B538" s="17">
        <v>837</v>
      </c>
      <c r="C538" s="17">
        <v>2</v>
      </c>
      <c r="D538" s="17">
        <f t="shared" si="26"/>
        <v>0</v>
      </c>
      <c r="E538" s="17">
        <f t="shared" si="25"/>
        <v>1326</v>
      </c>
      <c r="F538" s="17" t="s">
        <v>4813</v>
      </c>
      <c r="G538" s="17">
        <f>MATCH(E538,Arenas!$F$8:$F$15)</f>
        <v>5</v>
      </c>
      <c r="H538" s="29" t="s">
        <v>1908</v>
      </c>
      <c r="I538" s="33" t="s">
        <v>6534</v>
      </c>
      <c r="J538" s="47" t="s">
        <v>5440</v>
      </c>
      <c r="K538" s="61" t="s">
        <v>4779</v>
      </c>
      <c r="L538" s="12" t="str">
        <f t="shared" si="24"/>
        <v>2,2,2</v>
      </c>
    </row>
    <row r="539" spans="2:12">
      <c r="B539" s="17">
        <v>838</v>
      </c>
      <c r="C539" s="17">
        <v>2</v>
      </c>
      <c r="D539" s="17">
        <f t="shared" si="26"/>
        <v>1</v>
      </c>
      <c r="E539" s="17">
        <f t="shared" si="25"/>
        <v>1327</v>
      </c>
      <c r="F539" s="17" t="s">
        <v>4813</v>
      </c>
      <c r="G539" s="17">
        <f>MATCH(E539,Arenas!$F$8:$F$15)</f>
        <v>5</v>
      </c>
      <c r="H539" s="29" t="s">
        <v>1909</v>
      </c>
      <c r="I539" s="33" t="s">
        <v>6535</v>
      </c>
      <c r="J539" s="47" t="s">
        <v>4922</v>
      </c>
      <c r="K539" s="61" t="s">
        <v>4779</v>
      </c>
      <c r="L539" s="12" t="str">
        <f t="shared" si="24"/>
        <v>2,2,2</v>
      </c>
    </row>
    <row r="540" spans="2:12">
      <c r="B540" s="17">
        <v>839</v>
      </c>
      <c r="C540" s="17">
        <v>2</v>
      </c>
      <c r="D540" s="17">
        <f t="shared" si="26"/>
        <v>0</v>
      </c>
      <c r="E540" s="17">
        <f t="shared" si="25"/>
        <v>1327</v>
      </c>
      <c r="F540" s="17" t="s">
        <v>4813</v>
      </c>
      <c r="G540" s="17">
        <f>MATCH(E540,Arenas!$F$8:$F$15)</f>
        <v>5</v>
      </c>
      <c r="H540" s="29" t="s">
        <v>1910</v>
      </c>
      <c r="I540" s="33" t="s">
        <v>6536</v>
      </c>
      <c r="J540" s="47" t="s">
        <v>4851</v>
      </c>
      <c r="K540" s="61" t="s">
        <v>4779</v>
      </c>
      <c r="L540" s="12" t="str">
        <f t="shared" si="24"/>
        <v>2,2,2</v>
      </c>
    </row>
    <row r="541" spans="2:12">
      <c r="B541" s="17">
        <v>840</v>
      </c>
      <c r="C541" s="17">
        <v>2</v>
      </c>
      <c r="D541" s="17">
        <f t="shared" si="26"/>
        <v>0</v>
      </c>
      <c r="E541" s="17">
        <f t="shared" si="25"/>
        <v>1327</v>
      </c>
      <c r="F541" s="17" t="s">
        <v>4813</v>
      </c>
      <c r="G541" s="17">
        <f>MATCH(E541,Arenas!$F$8:$F$15)</f>
        <v>5</v>
      </c>
      <c r="H541" s="29" t="s">
        <v>1911</v>
      </c>
      <c r="I541" s="33" t="s">
        <v>6537</v>
      </c>
      <c r="J541" s="47" t="s">
        <v>4679</v>
      </c>
      <c r="K541" s="61" t="s">
        <v>4779</v>
      </c>
      <c r="L541" s="12" t="str">
        <f t="shared" si="24"/>
        <v>2,2,2</v>
      </c>
    </row>
    <row r="542" spans="2:12">
      <c r="B542" s="17">
        <v>841</v>
      </c>
      <c r="C542" s="17">
        <v>2</v>
      </c>
      <c r="D542" s="17">
        <f t="shared" si="26"/>
        <v>1</v>
      </c>
      <c r="E542" s="17">
        <f t="shared" si="25"/>
        <v>1328</v>
      </c>
      <c r="F542" s="17" t="s">
        <v>4813</v>
      </c>
      <c r="G542" s="17">
        <f>MATCH(E542,Arenas!$F$8:$F$15)</f>
        <v>5</v>
      </c>
      <c r="H542" s="29" t="s">
        <v>1912</v>
      </c>
      <c r="I542" s="33" t="s">
        <v>6538</v>
      </c>
      <c r="J542" s="47" t="s">
        <v>5235</v>
      </c>
      <c r="K542" s="61" t="s">
        <v>4779</v>
      </c>
      <c r="L542" s="12" t="str">
        <f t="shared" si="24"/>
        <v>2,2,2</v>
      </c>
    </row>
    <row r="543" spans="2:12">
      <c r="B543" s="17">
        <v>842</v>
      </c>
      <c r="C543" s="17">
        <v>2</v>
      </c>
      <c r="D543" s="17">
        <f t="shared" si="26"/>
        <v>0</v>
      </c>
      <c r="E543" s="17">
        <f t="shared" si="25"/>
        <v>1328</v>
      </c>
      <c r="F543" s="17" t="s">
        <v>4813</v>
      </c>
      <c r="G543" s="17">
        <f>MATCH(E543,Arenas!$F$8:$F$15)</f>
        <v>5</v>
      </c>
      <c r="H543" s="29" t="s">
        <v>1913</v>
      </c>
      <c r="I543" s="33" t="s">
        <v>6539</v>
      </c>
      <c r="J543" s="47" t="s">
        <v>6540</v>
      </c>
      <c r="K543" s="61" t="s">
        <v>4779</v>
      </c>
      <c r="L543" s="12" t="str">
        <f t="shared" si="24"/>
        <v>2,2,2</v>
      </c>
    </row>
    <row r="544" spans="2:12">
      <c r="B544" s="17">
        <v>843</v>
      </c>
      <c r="C544" s="17">
        <v>2</v>
      </c>
      <c r="D544" s="17">
        <f t="shared" si="26"/>
        <v>0</v>
      </c>
      <c r="E544" s="17">
        <f t="shared" si="25"/>
        <v>1328</v>
      </c>
      <c r="F544" s="17" t="s">
        <v>4813</v>
      </c>
      <c r="G544" s="17">
        <f>MATCH(E544,Arenas!$F$8:$F$15)</f>
        <v>5</v>
      </c>
      <c r="H544" s="29" t="s">
        <v>1914</v>
      </c>
      <c r="I544" s="33" t="s">
        <v>6541</v>
      </c>
      <c r="J544" s="47" t="s">
        <v>1068</v>
      </c>
      <c r="K544" s="61" t="s">
        <v>4779</v>
      </c>
      <c r="L544" s="12" t="str">
        <f t="shared" si="24"/>
        <v>2,2,2</v>
      </c>
    </row>
    <row r="545" spans="2:12">
      <c r="B545" s="17">
        <v>844</v>
      </c>
      <c r="C545" s="17">
        <v>2</v>
      </c>
      <c r="D545" s="17">
        <f t="shared" si="26"/>
        <v>1</v>
      </c>
      <c r="E545" s="17">
        <f t="shared" si="25"/>
        <v>1329</v>
      </c>
      <c r="F545" s="17" t="s">
        <v>4813</v>
      </c>
      <c r="G545" s="17">
        <f>MATCH(E545,Arenas!$F$8:$F$15)</f>
        <v>5</v>
      </c>
      <c r="H545" s="29" t="s">
        <v>1915</v>
      </c>
      <c r="I545" s="33" t="s">
        <v>6542</v>
      </c>
      <c r="J545" s="47" t="s">
        <v>4604</v>
      </c>
      <c r="K545" s="61" t="s">
        <v>4779</v>
      </c>
      <c r="L545" s="12" t="str">
        <f t="shared" si="24"/>
        <v>2,2,2</v>
      </c>
    </row>
    <row r="546" spans="2:12">
      <c r="B546" s="17">
        <v>845</v>
      </c>
      <c r="C546" s="17">
        <v>2</v>
      </c>
      <c r="D546" s="17">
        <f t="shared" si="26"/>
        <v>0</v>
      </c>
      <c r="E546" s="17">
        <f t="shared" si="25"/>
        <v>1329</v>
      </c>
      <c r="F546" s="17" t="s">
        <v>4813</v>
      </c>
      <c r="G546" s="17">
        <f>MATCH(E546,Arenas!$F$8:$F$15)</f>
        <v>5</v>
      </c>
      <c r="H546" s="29" t="s">
        <v>1916</v>
      </c>
      <c r="I546" s="33" t="s">
        <v>6543</v>
      </c>
      <c r="J546" s="47" t="s">
        <v>6544</v>
      </c>
      <c r="K546" s="61" t="s">
        <v>4779</v>
      </c>
      <c r="L546" s="12" t="str">
        <f t="shared" si="24"/>
        <v>2,2,2</v>
      </c>
    </row>
    <row r="547" spans="2:12">
      <c r="B547" s="17">
        <v>846</v>
      </c>
      <c r="C547" s="17">
        <v>2</v>
      </c>
      <c r="D547" s="17">
        <f t="shared" si="26"/>
        <v>0</v>
      </c>
      <c r="E547" s="17">
        <f t="shared" si="25"/>
        <v>1329</v>
      </c>
      <c r="F547" s="17" t="s">
        <v>4813</v>
      </c>
      <c r="G547" s="17">
        <f>MATCH(E547,Arenas!$F$8:$F$15)</f>
        <v>5</v>
      </c>
      <c r="H547" s="29" t="s">
        <v>1917</v>
      </c>
      <c r="I547" s="33" t="s">
        <v>6545</v>
      </c>
      <c r="J547" s="47" t="s">
        <v>5671</v>
      </c>
      <c r="K547" s="61" t="s">
        <v>4806</v>
      </c>
      <c r="L547" s="12" t="str">
        <f t="shared" si="24"/>
        <v>2,2,2</v>
      </c>
    </row>
    <row r="548" spans="2:12">
      <c r="B548" s="17">
        <v>847</v>
      </c>
      <c r="C548" s="17">
        <v>2</v>
      </c>
      <c r="D548" s="17">
        <f t="shared" si="26"/>
        <v>1</v>
      </c>
      <c r="E548" s="17">
        <f t="shared" si="25"/>
        <v>1330</v>
      </c>
      <c r="F548" s="17" t="s">
        <v>4813</v>
      </c>
      <c r="G548" s="17">
        <f>MATCH(E548,Arenas!$F$8:$F$15)</f>
        <v>5</v>
      </c>
      <c r="H548" s="29" t="s">
        <v>1918</v>
      </c>
      <c r="I548" s="33" t="s">
        <v>6546</v>
      </c>
      <c r="J548" s="47" t="s">
        <v>4953</v>
      </c>
      <c r="K548" s="61" t="s">
        <v>4779</v>
      </c>
      <c r="L548" s="12" t="str">
        <f t="shared" si="24"/>
        <v>2,2,2</v>
      </c>
    </row>
    <row r="549" spans="2:12">
      <c r="B549" s="17">
        <v>848</v>
      </c>
      <c r="C549" s="17">
        <v>2</v>
      </c>
      <c r="D549" s="17">
        <f t="shared" si="26"/>
        <v>0</v>
      </c>
      <c r="E549" s="17">
        <f t="shared" si="25"/>
        <v>1330</v>
      </c>
      <c r="F549" s="17" t="s">
        <v>4813</v>
      </c>
      <c r="G549" s="17">
        <f>MATCH(E549,Arenas!$F$8:$F$15)</f>
        <v>5</v>
      </c>
      <c r="H549" s="29" t="s">
        <v>1919</v>
      </c>
      <c r="I549" s="33" t="s">
        <v>6547</v>
      </c>
      <c r="J549" s="47" t="s">
        <v>6548</v>
      </c>
      <c r="K549" s="61" t="s">
        <v>4779</v>
      </c>
      <c r="L549" s="12" t="str">
        <f t="shared" si="24"/>
        <v>2,2,2</v>
      </c>
    </row>
    <row r="550" spans="2:12">
      <c r="B550" s="17">
        <v>849</v>
      </c>
      <c r="C550" s="17">
        <v>2</v>
      </c>
      <c r="D550" s="17">
        <f t="shared" si="26"/>
        <v>0</v>
      </c>
      <c r="E550" s="17">
        <f t="shared" si="25"/>
        <v>1330</v>
      </c>
      <c r="F550" s="17" t="s">
        <v>4813</v>
      </c>
      <c r="G550" s="17">
        <f>MATCH(E550,Arenas!$F$8:$F$15)</f>
        <v>5</v>
      </c>
      <c r="H550" s="29" t="s">
        <v>1920</v>
      </c>
      <c r="I550" s="33" t="s">
        <v>6549</v>
      </c>
      <c r="J550" s="47" t="s">
        <v>4986</v>
      </c>
      <c r="K550" s="61" t="s">
        <v>4779</v>
      </c>
      <c r="L550" s="12" t="str">
        <f t="shared" si="24"/>
        <v>2,2,2</v>
      </c>
    </row>
    <row r="551" spans="2:12">
      <c r="B551" s="17">
        <v>850</v>
      </c>
      <c r="C551" s="17">
        <v>2</v>
      </c>
      <c r="D551" s="17">
        <f t="shared" si="26"/>
        <v>1</v>
      </c>
      <c r="E551" s="17">
        <f t="shared" si="25"/>
        <v>1331</v>
      </c>
      <c r="F551" s="17" t="s">
        <v>4813</v>
      </c>
      <c r="G551" s="17">
        <f>MATCH(E551,Arenas!$F$8:$F$15)</f>
        <v>5</v>
      </c>
      <c r="H551" s="29" t="s">
        <v>1921</v>
      </c>
      <c r="I551" s="33" t="s">
        <v>6550</v>
      </c>
      <c r="J551" s="47" t="s">
        <v>4688</v>
      </c>
      <c r="K551" s="61" t="s">
        <v>4779</v>
      </c>
      <c r="L551" s="12" t="str">
        <f t="shared" si="24"/>
        <v>2,2,2</v>
      </c>
    </row>
    <row r="552" spans="2:12">
      <c r="B552" s="17">
        <v>851</v>
      </c>
      <c r="C552" s="17">
        <v>2</v>
      </c>
      <c r="D552" s="17">
        <f t="shared" si="26"/>
        <v>0</v>
      </c>
      <c r="E552" s="17">
        <f t="shared" si="25"/>
        <v>1331</v>
      </c>
      <c r="F552" s="17" t="s">
        <v>4813</v>
      </c>
      <c r="G552" s="17">
        <f>MATCH(E552,Arenas!$F$8:$F$15)</f>
        <v>5</v>
      </c>
      <c r="H552" s="29" t="s">
        <v>1922</v>
      </c>
      <c r="I552" s="33" t="s">
        <v>6551</v>
      </c>
      <c r="J552" s="47" t="s">
        <v>5650</v>
      </c>
      <c r="K552" s="61" t="s">
        <v>4779</v>
      </c>
      <c r="L552" s="12" t="str">
        <f t="shared" si="24"/>
        <v>2,2,2</v>
      </c>
    </row>
    <row r="553" spans="2:12">
      <c r="B553" s="17">
        <v>852</v>
      </c>
      <c r="C553" s="17">
        <v>2</v>
      </c>
      <c r="D553" s="17">
        <f t="shared" si="26"/>
        <v>0</v>
      </c>
      <c r="E553" s="17">
        <f t="shared" si="25"/>
        <v>1331</v>
      </c>
      <c r="F553" s="17" t="s">
        <v>4813</v>
      </c>
      <c r="G553" s="17">
        <f>MATCH(E553,Arenas!$F$8:$F$15)</f>
        <v>5</v>
      </c>
      <c r="H553" s="29" t="s">
        <v>1923</v>
      </c>
      <c r="I553" s="33" t="s">
        <v>6552</v>
      </c>
      <c r="J553" s="47" t="s">
        <v>4555</v>
      </c>
      <c r="K553" s="61" t="s">
        <v>4779</v>
      </c>
      <c r="L553" s="12" t="str">
        <f t="shared" si="24"/>
        <v>2,2,2</v>
      </c>
    </row>
    <row r="554" spans="2:12">
      <c r="B554" s="17">
        <v>853</v>
      </c>
      <c r="C554" s="17">
        <v>2</v>
      </c>
      <c r="D554" s="17">
        <f t="shared" si="26"/>
        <v>1</v>
      </c>
      <c r="E554" s="17">
        <f t="shared" si="25"/>
        <v>1332</v>
      </c>
      <c r="F554" s="17" t="s">
        <v>4813</v>
      </c>
      <c r="G554" s="17">
        <f>MATCH(E554,Arenas!$F$8:$F$15)</f>
        <v>5</v>
      </c>
      <c r="H554" s="29" t="s">
        <v>1924</v>
      </c>
      <c r="I554" s="33" t="s">
        <v>6553</v>
      </c>
      <c r="J554" s="47" t="s">
        <v>6554</v>
      </c>
      <c r="K554" s="61" t="s">
        <v>4779</v>
      </c>
      <c r="L554" s="12" t="str">
        <f t="shared" si="24"/>
        <v>2,2,2</v>
      </c>
    </row>
    <row r="555" spans="2:12">
      <c r="B555" s="17">
        <v>854</v>
      </c>
      <c r="C555" s="17">
        <v>2</v>
      </c>
      <c r="D555" s="17">
        <f t="shared" si="26"/>
        <v>0</v>
      </c>
      <c r="E555" s="17">
        <f t="shared" si="25"/>
        <v>1332</v>
      </c>
      <c r="F555" s="17" t="s">
        <v>4813</v>
      </c>
      <c r="G555" s="17">
        <f>MATCH(E555,Arenas!$F$8:$F$15)</f>
        <v>5</v>
      </c>
      <c r="H555" s="29" t="s">
        <v>1925</v>
      </c>
      <c r="I555" s="33" t="s">
        <v>6555</v>
      </c>
      <c r="J555" s="47" t="s">
        <v>4697</v>
      </c>
      <c r="K555" s="61" t="s">
        <v>4779</v>
      </c>
      <c r="L555" s="12" t="str">
        <f t="shared" si="24"/>
        <v>2,2,2</v>
      </c>
    </row>
    <row r="556" spans="2:12">
      <c r="B556" s="17">
        <v>855</v>
      </c>
      <c r="C556" s="17">
        <v>2</v>
      </c>
      <c r="D556" s="17">
        <f t="shared" si="26"/>
        <v>0</v>
      </c>
      <c r="E556" s="17">
        <f t="shared" si="25"/>
        <v>1332</v>
      </c>
      <c r="F556" s="17" t="s">
        <v>4813</v>
      </c>
      <c r="G556" s="17">
        <f>MATCH(E556,Arenas!$F$8:$F$15)</f>
        <v>5</v>
      </c>
      <c r="H556" s="29" t="s">
        <v>1926</v>
      </c>
      <c r="I556" s="33" t="s">
        <v>6556</v>
      </c>
      <c r="J556" s="47" t="s">
        <v>6514</v>
      </c>
      <c r="K556" s="61" t="s">
        <v>4779</v>
      </c>
      <c r="L556" s="12" t="str">
        <f t="shared" si="24"/>
        <v>2,2,2</v>
      </c>
    </row>
    <row r="557" spans="2:12">
      <c r="B557" s="17">
        <v>856</v>
      </c>
      <c r="C557" s="17">
        <v>2</v>
      </c>
      <c r="D557" s="17">
        <f t="shared" si="26"/>
        <v>1</v>
      </c>
      <c r="E557" s="17">
        <f t="shared" si="25"/>
        <v>1333</v>
      </c>
      <c r="F557" s="17" t="s">
        <v>4813</v>
      </c>
      <c r="G557" s="17">
        <f>MATCH(E557,Arenas!$F$8:$F$15)</f>
        <v>5</v>
      </c>
      <c r="H557" s="29" t="s">
        <v>1927</v>
      </c>
      <c r="I557" s="33" t="s">
        <v>6557</v>
      </c>
      <c r="J557" s="47" t="s">
        <v>4934</v>
      </c>
      <c r="K557" s="61" t="s">
        <v>4779</v>
      </c>
      <c r="L557" s="12" t="str">
        <f t="shared" si="24"/>
        <v>2,2,2</v>
      </c>
    </row>
    <row r="558" spans="2:12">
      <c r="B558" s="17">
        <v>857</v>
      </c>
      <c r="C558" s="17">
        <v>2</v>
      </c>
      <c r="D558" s="17">
        <f t="shared" si="26"/>
        <v>0</v>
      </c>
      <c r="E558" s="17">
        <f t="shared" si="25"/>
        <v>1333</v>
      </c>
      <c r="F558" s="17" t="s">
        <v>4813</v>
      </c>
      <c r="G558" s="17">
        <f>MATCH(E558,Arenas!$F$8:$F$15)</f>
        <v>5</v>
      </c>
      <c r="H558" s="29" t="s">
        <v>1928</v>
      </c>
      <c r="I558" s="33" t="s">
        <v>6558</v>
      </c>
      <c r="J558" s="47" t="s">
        <v>6544</v>
      </c>
      <c r="K558" s="61" t="s">
        <v>4779</v>
      </c>
      <c r="L558" s="12" t="str">
        <f t="shared" si="24"/>
        <v>2,2,2</v>
      </c>
    </row>
    <row r="559" spans="2:12">
      <c r="B559" s="17">
        <v>858</v>
      </c>
      <c r="C559" s="17">
        <v>2</v>
      </c>
      <c r="D559" s="17">
        <f t="shared" si="26"/>
        <v>0</v>
      </c>
      <c r="E559" s="17">
        <f t="shared" si="25"/>
        <v>1333</v>
      </c>
      <c r="F559" s="17" t="s">
        <v>4813</v>
      </c>
      <c r="G559" s="17">
        <f>MATCH(E559,Arenas!$F$8:$F$15)</f>
        <v>5</v>
      </c>
      <c r="H559" s="29" t="s">
        <v>1929</v>
      </c>
      <c r="I559" s="33" t="s">
        <v>6559</v>
      </c>
      <c r="J559" s="47" t="s">
        <v>4556</v>
      </c>
      <c r="K559" s="61" t="s">
        <v>4779</v>
      </c>
      <c r="L559" s="12" t="str">
        <f t="shared" si="24"/>
        <v>2,2,2</v>
      </c>
    </row>
    <row r="560" spans="2:12">
      <c r="B560" s="17">
        <v>859</v>
      </c>
      <c r="C560" s="17">
        <v>2</v>
      </c>
      <c r="D560" s="17">
        <f t="shared" si="26"/>
        <v>1</v>
      </c>
      <c r="E560" s="17">
        <f t="shared" si="25"/>
        <v>1334</v>
      </c>
      <c r="F560" s="17" t="s">
        <v>4813</v>
      </c>
      <c r="G560" s="17">
        <f>MATCH(E560,Arenas!$F$8:$F$15)</f>
        <v>5</v>
      </c>
      <c r="H560" s="29" t="s">
        <v>1930</v>
      </c>
      <c r="I560" s="33" t="s">
        <v>6560</v>
      </c>
      <c r="J560" s="47" t="s">
        <v>4900</v>
      </c>
      <c r="K560" s="61" t="s">
        <v>4779</v>
      </c>
      <c r="L560" s="12" t="str">
        <f t="shared" si="24"/>
        <v>2,2,2</v>
      </c>
    </row>
    <row r="561" spans="2:12">
      <c r="B561" s="17">
        <v>860</v>
      </c>
      <c r="C561" s="17">
        <v>2</v>
      </c>
      <c r="D561" s="17">
        <f t="shared" si="26"/>
        <v>0</v>
      </c>
      <c r="E561" s="17">
        <f t="shared" si="25"/>
        <v>1334</v>
      </c>
      <c r="F561" s="17" t="s">
        <v>4813</v>
      </c>
      <c r="G561" s="17">
        <f>MATCH(E561,Arenas!$F$8:$F$15)</f>
        <v>5</v>
      </c>
      <c r="H561" s="29" t="s">
        <v>1931</v>
      </c>
      <c r="I561" s="33" t="s">
        <v>6561</v>
      </c>
      <c r="J561" s="47" t="s">
        <v>6562</v>
      </c>
      <c r="K561" s="61" t="s">
        <v>4779</v>
      </c>
      <c r="L561" s="12" t="str">
        <f t="shared" si="24"/>
        <v>2,2,2</v>
      </c>
    </row>
    <row r="562" spans="2:12">
      <c r="B562" s="17">
        <v>861</v>
      </c>
      <c r="C562" s="17">
        <v>2</v>
      </c>
      <c r="D562" s="17">
        <f t="shared" si="26"/>
        <v>0</v>
      </c>
      <c r="E562" s="17">
        <f t="shared" si="25"/>
        <v>1334</v>
      </c>
      <c r="F562" s="17" t="s">
        <v>4813</v>
      </c>
      <c r="G562" s="17">
        <f>MATCH(E562,Arenas!$F$8:$F$15)</f>
        <v>5</v>
      </c>
      <c r="H562" s="29" t="s">
        <v>1932</v>
      </c>
      <c r="I562" s="33" t="s">
        <v>6563</v>
      </c>
      <c r="J562" s="47" t="s">
        <v>4907</v>
      </c>
      <c r="K562" s="61" t="s">
        <v>4779</v>
      </c>
      <c r="L562" s="12" t="str">
        <f t="shared" si="24"/>
        <v>2,2,2</v>
      </c>
    </row>
    <row r="563" spans="2:12">
      <c r="B563" s="17">
        <v>862</v>
      </c>
      <c r="C563" s="17">
        <v>2</v>
      </c>
      <c r="D563" s="17">
        <f t="shared" si="26"/>
        <v>1</v>
      </c>
      <c r="E563" s="17">
        <f t="shared" si="25"/>
        <v>1335</v>
      </c>
      <c r="F563" s="17" t="s">
        <v>4813</v>
      </c>
      <c r="G563" s="17">
        <f>MATCH(E563,Arenas!$F$8:$F$15)</f>
        <v>5</v>
      </c>
      <c r="H563" s="29" t="s">
        <v>1933</v>
      </c>
      <c r="I563" s="33" t="s">
        <v>6564</v>
      </c>
      <c r="J563" s="47" t="s">
        <v>5230</v>
      </c>
      <c r="K563" s="61" t="s">
        <v>4779</v>
      </c>
      <c r="L563" s="12" t="str">
        <f t="shared" si="24"/>
        <v>2,2,2</v>
      </c>
    </row>
    <row r="564" spans="2:12">
      <c r="B564" s="17">
        <v>863</v>
      </c>
      <c r="C564" s="17">
        <v>2</v>
      </c>
      <c r="D564" s="17">
        <f t="shared" si="26"/>
        <v>0</v>
      </c>
      <c r="E564" s="17">
        <f t="shared" si="25"/>
        <v>1335</v>
      </c>
      <c r="F564" s="17" t="s">
        <v>4813</v>
      </c>
      <c r="G564" s="17">
        <f>MATCH(E564,Arenas!$F$8:$F$15)</f>
        <v>5</v>
      </c>
      <c r="H564" s="29" t="s">
        <v>1934</v>
      </c>
      <c r="I564" s="33" t="s">
        <v>6565</v>
      </c>
      <c r="J564" s="47" t="s">
        <v>5403</v>
      </c>
      <c r="K564" s="61" t="s">
        <v>4810</v>
      </c>
      <c r="L564" s="12" t="str">
        <f t="shared" si="24"/>
        <v>2,2,2</v>
      </c>
    </row>
    <row r="565" spans="2:12">
      <c r="B565" s="17">
        <v>864</v>
      </c>
      <c r="C565" s="17">
        <v>2</v>
      </c>
      <c r="D565" s="17">
        <f t="shared" si="26"/>
        <v>0</v>
      </c>
      <c r="E565" s="17">
        <f t="shared" si="25"/>
        <v>1335</v>
      </c>
      <c r="F565" s="17" t="s">
        <v>4813</v>
      </c>
      <c r="G565" s="17">
        <f>MATCH(E565,Arenas!$F$8:$F$15)</f>
        <v>5</v>
      </c>
      <c r="H565" s="29" t="s">
        <v>1935</v>
      </c>
      <c r="I565" s="33" t="s">
        <v>6566</v>
      </c>
      <c r="J565" s="47" t="s">
        <v>5272</v>
      </c>
      <c r="K565" s="61" t="s">
        <v>4779</v>
      </c>
      <c r="L565" s="12" t="str">
        <f t="shared" si="24"/>
        <v>2,2,2</v>
      </c>
    </row>
    <row r="566" spans="2:12">
      <c r="B566" s="17">
        <v>865</v>
      </c>
      <c r="C566" s="17">
        <v>2</v>
      </c>
      <c r="D566" s="17">
        <f t="shared" si="26"/>
        <v>1</v>
      </c>
      <c r="E566" s="17">
        <f t="shared" si="25"/>
        <v>1336</v>
      </c>
      <c r="F566" s="17" t="s">
        <v>4813</v>
      </c>
      <c r="G566" s="17">
        <f>MATCH(E566,Arenas!$F$8:$F$15)</f>
        <v>5</v>
      </c>
      <c r="H566" s="29" t="s">
        <v>1936</v>
      </c>
      <c r="I566" s="33" t="s">
        <v>6567</v>
      </c>
      <c r="J566" s="47" t="s">
        <v>4635</v>
      </c>
      <c r="K566" s="61" t="s">
        <v>4779</v>
      </c>
      <c r="L566" s="12" t="str">
        <f t="shared" si="24"/>
        <v>2,2,2</v>
      </c>
    </row>
    <row r="567" spans="2:12">
      <c r="B567" s="17">
        <v>866</v>
      </c>
      <c r="C567" s="17">
        <v>2</v>
      </c>
      <c r="D567" s="17">
        <f t="shared" si="26"/>
        <v>0</v>
      </c>
      <c r="E567" s="17">
        <f t="shared" si="25"/>
        <v>1336</v>
      </c>
      <c r="F567" s="17" t="s">
        <v>4813</v>
      </c>
      <c r="G567" s="17">
        <f>MATCH(E567,Arenas!$F$8:$F$15)</f>
        <v>5</v>
      </c>
      <c r="H567" s="29" t="s">
        <v>1937</v>
      </c>
      <c r="I567" s="33" t="s">
        <v>6568</v>
      </c>
      <c r="J567" s="47" t="s">
        <v>4939</v>
      </c>
      <c r="K567" s="61" t="s">
        <v>4779</v>
      </c>
      <c r="L567" s="12" t="str">
        <f t="shared" si="24"/>
        <v>2,2,2</v>
      </c>
    </row>
    <row r="568" spans="2:12">
      <c r="B568" s="17">
        <v>867</v>
      </c>
      <c r="C568" s="17">
        <v>2</v>
      </c>
      <c r="D568" s="17">
        <f t="shared" si="26"/>
        <v>0</v>
      </c>
      <c r="E568" s="17">
        <f t="shared" si="25"/>
        <v>1336</v>
      </c>
      <c r="F568" s="17" t="s">
        <v>4813</v>
      </c>
      <c r="G568" s="17">
        <f>MATCH(E568,Arenas!$F$8:$F$15)</f>
        <v>5</v>
      </c>
      <c r="H568" s="29" t="s">
        <v>1938</v>
      </c>
      <c r="I568" s="33" t="s">
        <v>6569</v>
      </c>
      <c r="J568" s="47" t="s">
        <v>4706</v>
      </c>
      <c r="K568" s="61" t="s">
        <v>4779</v>
      </c>
      <c r="L568" s="12" t="str">
        <f t="shared" si="24"/>
        <v>2,2,2</v>
      </c>
    </row>
    <row r="569" spans="2:12">
      <c r="B569" s="17">
        <v>868</v>
      </c>
      <c r="C569" s="17">
        <v>2</v>
      </c>
      <c r="D569" s="17">
        <f t="shared" si="26"/>
        <v>1</v>
      </c>
      <c r="E569" s="17">
        <f t="shared" si="25"/>
        <v>1337</v>
      </c>
      <c r="F569" s="17" t="s">
        <v>4813</v>
      </c>
      <c r="G569" s="17">
        <f>MATCH(E569,Arenas!$F$8:$F$15)</f>
        <v>5</v>
      </c>
      <c r="H569" s="29" t="s">
        <v>1939</v>
      </c>
      <c r="I569" s="33" t="s">
        <v>6570</v>
      </c>
      <c r="J569" s="47" t="s">
        <v>6571</v>
      </c>
      <c r="K569" s="61" t="s">
        <v>4779</v>
      </c>
      <c r="L569" s="12" t="str">
        <f t="shared" si="24"/>
        <v>2,2,2</v>
      </c>
    </row>
    <row r="570" spans="2:12">
      <c r="B570" s="17">
        <v>869</v>
      </c>
      <c r="C570" s="17">
        <v>2</v>
      </c>
      <c r="D570" s="17">
        <f t="shared" si="26"/>
        <v>0</v>
      </c>
      <c r="E570" s="17">
        <f t="shared" si="25"/>
        <v>1337</v>
      </c>
      <c r="F570" s="17" t="s">
        <v>4813</v>
      </c>
      <c r="G570" s="17">
        <f>MATCH(E570,Arenas!$F$8:$F$15)</f>
        <v>5</v>
      </c>
      <c r="H570" s="29" t="s">
        <v>1940</v>
      </c>
      <c r="I570" s="33" t="s">
        <v>6572</v>
      </c>
      <c r="J570" s="47" t="s">
        <v>4865</v>
      </c>
      <c r="K570" s="61" t="s">
        <v>4779</v>
      </c>
      <c r="L570" s="12" t="str">
        <f t="shared" si="24"/>
        <v>2,2,2</v>
      </c>
    </row>
    <row r="571" spans="2:12">
      <c r="B571" s="17">
        <v>870</v>
      </c>
      <c r="C571" s="17">
        <v>2</v>
      </c>
      <c r="D571" s="17">
        <f t="shared" si="26"/>
        <v>0</v>
      </c>
      <c r="E571" s="17">
        <f t="shared" si="25"/>
        <v>1337</v>
      </c>
      <c r="F571" s="17" t="s">
        <v>4813</v>
      </c>
      <c r="G571" s="17">
        <f>MATCH(E571,Arenas!$F$8:$F$15)</f>
        <v>5</v>
      </c>
      <c r="H571" s="29" t="s">
        <v>1941</v>
      </c>
      <c r="I571" s="33" t="s">
        <v>6573</v>
      </c>
      <c r="J571" s="47" t="s">
        <v>5416</v>
      </c>
      <c r="K571" s="61" t="s">
        <v>4779</v>
      </c>
      <c r="L571" s="12" t="str">
        <f t="shared" si="24"/>
        <v>2,2,2</v>
      </c>
    </row>
    <row r="572" spans="2:12">
      <c r="B572" s="17">
        <v>871</v>
      </c>
      <c r="C572" s="17">
        <v>2</v>
      </c>
      <c r="D572" s="17">
        <f t="shared" si="26"/>
        <v>1</v>
      </c>
      <c r="E572" s="17">
        <f t="shared" si="25"/>
        <v>1338</v>
      </c>
      <c r="F572" s="17" t="s">
        <v>4813</v>
      </c>
      <c r="G572" s="17">
        <f>MATCH(E572,Arenas!$F$8:$F$15)</f>
        <v>5</v>
      </c>
      <c r="H572" s="29" t="s">
        <v>1942</v>
      </c>
      <c r="I572" s="33" t="s">
        <v>6574</v>
      </c>
      <c r="J572" s="47" t="s">
        <v>5020</v>
      </c>
      <c r="K572" s="61" t="s">
        <v>4779</v>
      </c>
      <c r="L572" s="12" t="str">
        <f t="shared" si="24"/>
        <v>2,2,2</v>
      </c>
    </row>
    <row r="573" spans="2:12">
      <c r="B573" s="17">
        <v>872</v>
      </c>
      <c r="C573" s="17">
        <v>2</v>
      </c>
      <c r="D573" s="17">
        <f t="shared" si="26"/>
        <v>0</v>
      </c>
      <c r="E573" s="17">
        <f t="shared" si="25"/>
        <v>1338</v>
      </c>
      <c r="F573" s="17" t="s">
        <v>4813</v>
      </c>
      <c r="G573" s="17">
        <f>MATCH(E573,Arenas!$F$8:$F$15)</f>
        <v>5</v>
      </c>
      <c r="H573" s="29" t="s">
        <v>1943</v>
      </c>
      <c r="I573" s="33" t="s">
        <v>6575</v>
      </c>
      <c r="J573" s="47" t="s">
        <v>6576</v>
      </c>
      <c r="K573" s="61" t="s">
        <v>4779</v>
      </c>
      <c r="L573" s="12" t="str">
        <f t="shared" si="24"/>
        <v>2,2,2</v>
      </c>
    </row>
    <row r="574" spans="2:12">
      <c r="B574" s="17">
        <v>873</v>
      </c>
      <c r="C574" s="17">
        <v>2</v>
      </c>
      <c r="D574" s="17">
        <f t="shared" si="26"/>
        <v>0</v>
      </c>
      <c r="E574" s="17">
        <f t="shared" si="25"/>
        <v>1338</v>
      </c>
      <c r="F574" s="17" t="s">
        <v>4813</v>
      </c>
      <c r="G574" s="17">
        <f>MATCH(E574,Arenas!$F$8:$F$15)</f>
        <v>5</v>
      </c>
      <c r="H574" s="29" t="s">
        <v>1944</v>
      </c>
      <c r="I574" s="33" t="s">
        <v>6577</v>
      </c>
      <c r="J574" s="47" t="s">
        <v>6578</v>
      </c>
      <c r="K574" s="61" t="s">
        <v>4779</v>
      </c>
      <c r="L574" s="12" t="str">
        <f t="shared" si="24"/>
        <v>2,2,2</v>
      </c>
    </row>
    <row r="575" spans="2:12">
      <c r="B575" s="17">
        <v>874</v>
      </c>
      <c r="C575" s="17">
        <v>2</v>
      </c>
      <c r="D575" s="17">
        <f t="shared" si="26"/>
        <v>1</v>
      </c>
      <c r="E575" s="17">
        <f t="shared" si="25"/>
        <v>1339</v>
      </c>
      <c r="F575" s="17" t="s">
        <v>4813</v>
      </c>
      <c r="G575" s="17">
        <f>MATCH(E575,Arenas!$F$8:$F$15)</f>
        <v>5</v>
      </c>
      <c r="H575" s="29" t="s">
        <v>1945</v>
      </c>
      <c r="I575" s="33" t="s">
        <v>6579</v>
      </c>
      <c r="J575" s="47" t="s">
        <v>6580</v>
      </c>
      <c r="K575" s="61" t="s">
        <v>4779</v>
      </c>
      <c r="L575" s="12" t="str">
        <f t="shared" si="24"/>
        <v>2,2,2</v>
      </c>
    </row>
    <row r="576" spans="2:12">
      <c r="B576" s="17">
        <v>875</v>
      </c>
      <c r="C576" s="17">
        <v>2</v>
      </c>
      <c r="D576" s="17">
        <f t="shared" si="26"/>
        <v>0</v>
      </c>
      <c r="E576" s="17">
        <f t="shared" si="25"/>
        <v>1339</v>
      </c>
      <c r="F576" s="17" t="s">
        <v>4813</v>
      </c>
      <c r="G576" s="17">
        <f>MATCH(E576,Arenas!$F$8:$F$15)</f>
        <v>5</v>
      </c>
      <c r="H576" s="29" t="s">
        <v>1946</v>
      </c>
      <c r="I576" s="33" t="s">
        <v>6581</v>
      </c>
      <c r="J576" s="47" t="s">
        <v>6582</v>
      </c>
      <c r="K576" s="61" t="s">
        <v>4779</v>
      </c>
      <c r="L576" s="12" t="str">
        <f t="shared" si="24"/>
        <v>2,2,2</v>
      </c>
    </row>
    <row r="577" spans="2:12">
      <c r="B577" s="17">
        <v>876</v>
      </c>
      <c r="C577" s="17">
        <v>2</v>
      </c>
      <c r="D577" s="17">
        <f t="shared" si="26"/>
        <v>0</v>
      </c>
      <c r="E577" s="17">
        <f t="shared" si="25"/>
        <v>1339</v>
      </c>
      <c r="F577" s="17" t="s">
        <v>4813</v>
      </c>
      <c r="G577" s="17">
        <f>MATCH(E577,Arenas!$F$8:$F$15)</f>
        <v>5</v>
      </c>
      <c r="H577" s="29" t="s">
        <v>1947</v>
      </c>
      <c r="I577" s="33" t="s">
        <v>6583</v>
      </c>
      <c r="J577" s="47" t="s">
        <v>6584</v>
      </c>
      <c r="K577" s="61" t="s">
        <v>4779</v>
      </c>
      <c r="L577" s="12" t="str">
        <f t="shared" si="24"/>
        <v>2,2,2</v>
      </c>
    </row>
    <row r="578" spans="2:12">
      <c r="B578" s="17">
        <v>877</v>
      </c>
      <c r="C578" s="17">
        <v>2</v>
      </c>
      <c r="D578" s="17">
        <f t="shared" si="26"/>
        <v>1</v>
      </c>
      <c r="E578" s="17">
        <f t="shared" si="25"/>
        <v>1340</v>
      </c>
      <c r="F578" s="17" t="s">
        <v>4813</v>
      </c>
      <c r="G578" s="17">
        <f>MATCH(E578,Arenas!$F$8:$F$15)</f>
        <v>5</v>
      </c>
      <c r="H578" s="29" t="s">
        <v>1948</v>
      </c>
      <c r="I578" s="33" t="s">
        <v>6585</v>
      </c>
      <c r="J578" s="47" t="s">
        <v>5428</v>
      </c>
      <c r="K578" s="61" t="s">
        <v>4779</v>
      </c>
      <c r="L578" s="12" t="str">
        <f t="shared" ref="L578:L641" si="27">C578&amp;","&amp;C578&amp;","&amp;C578</f>
        <v>2,2,2</v>
      </c>
    </row>
    <row r="579" spans="2:12">
      <c r="B579" s="17">
        <v>878</v>
      </c>
      <c r="C579" s="17">
        <v>2</v>
      </c>
      <c r="D579" s="17">
        <f t="shared" si="26"/>
        <v>0</v>
      </c>
      <c r="E579" s="17">
        <f t="shared" ref="E579:E642" si="28">D579+E578</f>
        <v>1340</v>
      </c>
      <c r="F579" s="17" t="s">
        <v>4813</v>
      </c>
      <c r="G579" s="17">
        <f>MATCH(E579,Arenas!$F$8:$F$15)</f>
        <v>5</v>
      </c>
      <c r="H579" s="29" t="s">
        <v>1949</v>
      </c>
      <c r="I579" s="33" t="s">
        <v>6586</v>
      </c>
      <c r="J579" s="47" t="s">
        <v>5110</v>
      </c>
      <c r="K579" s="61" t="s">
        <v>4779</v>
      </c>
      <c r="L579" s="12" t="str">
        <f t="shared" si="27"/>
        <v>2,2,2</v>
      </c>
    </row>
    <row r="580" spans="2:12">
      <c r="B580" s="17">
        <v>879</v>
      </c>
      <c r="C580" s="17">
        <v>2</v>
      </c>
      <c r="D580" s="17">
        <f t="shared" si="26"/>
        <v>0</v>
      </c>
      <c r="E580" s="17">
        <f t="shared" si="28"/>
        <v>1340</v>
      </c>
      <c r="F580" s="17" t="s">
        <v>4813</v>
      </c>
      <c r="G580" s="17">
        <f>MATCH(E580,Arenas!$F$8:$F$15)</f>
        <v>5</v>
      </c>
      <c r="H580" s="29" t="s">
        <v>1950</v>
      </c>
      <c r="I580" s="33" t="s">
        <v>6587</v>
      </c>
      <c r="J580" s="47" t="s">
        <v>5655</v>
      </c>
      <c r="K580" s="61" t="s">
        <v>4779</v>
      </c>
      <c r="L580" s="12" t="str">
        <f t="shared" si="27"/>
        <v>2,2,2</v>
      </c>
    </row>
    <row r="581" spans="2:12">
      <c r="B581" s="17">
        <v>880</v>
      </c>
      <c r="C581" s="17">
        <v>2</v>
      </c>
      <c r="D581" s="17">
        <f t="shared" ref="D581:D644" si="29">D578</f>
        <v>1</v>
      </c>
      <c r="E581" s="17">
        <f t="shared" si="28"/>
        <v>1341</v>
      </c>
      <c r="F581" s="17" t="s">
        <v>4813</v>
      </c>
      <c r="G581" s="17">
        <f>MATCH(E581,Arenas!$F$8:$F$15)</f>
        <v>5</v>
      </c>
      <c r="H581" s="29" t="s">
        <v>1951</v>
      </c>
      <c r="I581" s="33" t="s">
        <v>6588</v>
      </c>
      <c r="J581" s="47" t="s">
        <v>6589</v>
      </c>
      <c r="K581" s="61" t="s">
        <v>4779</v>
      </c>
      <c r="L581" s="12" t="str">
        <f t="shared" si="27"/>
        <v>2,2,2</v>
      </c>
    </row>
    <row r="582" spans="2:12">
      <c r="B582" s="17">
        <v>881</v>
      </c>
      <c r="C582" s="17">
        <v>2</v>
      </c>
      <c r="D582" s="17">
        <f t="shared" si="29"/>
        <v>0</v>
      </c>
      <c r="E582" s="17">
        <f t="shared" si="28"/>
        <v>1341</v>
      </c>
      <c r="F582" s="17" t="s">
        <v>4813</v>
      </c>
      <c r="G582" s="17">
        <f>MATCH(E582,Arenas!$F$8:$F$15)</f>
        <v>5</v>
      </c>
      <c r="H582" s="29" t="s">
        <v>1952</v>
      </c>
      <c r="I582" s="33" t="s">
        <v>6590</v>
      </c>
      <c r="J582" s="47" t="s">
        <v>4916</v>
      </c>
      <c r="K582" s="61" t="s">
        <v>4779</v>
      </c>
      <c r="L582" s="12" t="str">
        <f t="shared" si="27"/>
        <v>2,2,2</v>
      </c>
    </row>
    <row r="583" spans="2:12">
      <c r="B583" s="17">
        <v>882</v>
      </c>
      <c r="C583" s="17">
        <v>2</v>
      </c>
      <c r="D583" s="17">
        <f t="shared" si="29"/>
        <v>0</v>
      </c>
      <c r="E583" s="17">
        <f t="shared" si="28"/>
        <v>1341</v>
      </c>
      <c r="F583" s="17" t="s">
        <v>4813</v>
      </c>
      <c r="G583" s="17">
        <f>MATCH(E583,Arenas!$F$8:$F$15)</f>
        <v>5</v>
      </c>
      <c r="H583" s="29" t="s">
        <v>1953</v>
      </c>
      <c r="I583" s="33" t="s">
        <v>6591</v>
      </c>
      <c r="J583" s="47" t="s">
        <v>6592</v>
      </c>
      <c r="K583" s="61" t="s">
        <v>4779</v>
      </c>
      <c r="L583" s="12" t="str">
        <f t="shared" si="27"/>
        <v>2,2,2</v>
      </c>
    </row>
    <row r="584" spans="2:12">
      <c r="B584" s="17">
        <v>883</v>
      </c>
      <c r="C584" s="17">
        <v>2</v>
      </c>
      <c r="D584" s="17">
        <f t="shared" si="29"/>
        <v>1</v>
      </c>
      <c r="E584" s="17">
        <f t="shared" si="28"/>
        <v>1342</v>
      </c>
      <c r="F584" s="17" t="s">
        <v>4813</v>
      </c>
      <c r="G584" s="17">
        <f>MATCH(E584,Arenas!$F$8:$F$15)</f>
        <v>5</v>
      </c>
      <c r="H584" s="29" t="s">
        <v>1954</v>
      </c>
      <c r="I584" s="33" t="s">
        <v>6593</v>
      </c>
      <c r="J584" s="47" t="s">
        <v>5249</v>
      </c>
      <c r="K584" s="61" t="s">
        <v>4779</v>
      </c>
      <c r="L584" s="12" t="str">
        <f t="shared" si="27"/>
        <v>2,2,2</v>
      </c>
    </row>
    <row r="585" spans="2:12">
      <c r="B585" s="17">
        <v>884</v>
      </c>
      <c r="C585" s="17">
        <v>2</v>
      </c>
      <c r="D585" s="17">
        <f t="shared" si="29"/>
        <v>0</v>
      </c>
      <c r="E585" s="17">
        <f t="shared" si="28"/>
        <v>1342</v>
      </c>
      <c r="F585" s="17" t="s">
        <v>4813</v>
      </c>
      <c r="G585" s="17">
        <f>MATCH(E585,Arenas!$F$8:$F$15)</f>
        <v>5</v>
      </c>
      <c r="H585" s="29" t="s">
        <v>1955</v>
      </c>
      <c r="I585" s="33" t="s">
        <v>6594</v>
      </c>
      <c r="J585" s="47" t="s">
        <v>4566</v>
      </c>
      <c r="K585" s="61" t="s">
        <v>4779</v>
      </c>
      <c r="L585" s="12" t="str">
        <f t="shared" si="27"/>
        <v>2,2,2</v>
      </c>
    </row>
    <row r="586" spans="2:12">
      <c r="B586" s="17">
        <v>885</v>
      </c>
      <c r="C586" s="17">
        <v>2</v>
      </c>
      <c r="D586" s="17">
        <f t="shared" si="29"/>
        <v>0</v>
      </c>
      <c r="E586" s="17">
        <f t="shared" si="28"/>
        <v>1342</v>
      </c>
      <c r="F586" s="17" t="s">
        <v>4813</v>
      </c>
      <c r="G586" s="17">
        <f>MATCH(E586,Arenas!$F$8:$F$15)</f>
        <v>5</v>
      </c>
      <c r="H586" s="29" t="s">
        <v>1956</v>
      </c>
      <c r="I586" s="33" t="s">
        <v>6595</v>
      </c>
      <c r="J586" s="47" t="s">
        <v>6544</v>
      </c>
      <c r="K586" s="61" t="s">
        <v>4779</v>
      </c>
      <c r="L586" s="12" t="str">
        <f t="shared" si="27"/>
        <v>2,2,2</v>
      </c>
    </row>
    <row r="587" spans="2:12">
      <c r="B587" s="17">
        <v>886</v>
      </c>
      <c r="C587" s="17">
        <v>2</v>
      </c>
      <c r="D587" s="17">
        <f t="shared" si="29"/>
        <v>1</v>
      </c>
      <c r="E587" s="17">
        <f t="shared" si="28"/>
        <v>1343</v>
      </c>
      <c r="F587" s="17" t="s">
        <v>4813</v>
      </c>
      <c r="G587" s="17">
        <f>MATCH(E587,Arenas!$F$8:$F$15)</f>
        <v>5</v>
      </c>
      <c r="H587" s="29" t="s">
        <v>1957</v>
      </c>
      <c r="I587" s="33" t="s">
        <v>6596</v>
      </c>
      <c r="J587" s="47" t="s">
        <v>4936</v>
      </c>
      <c r="K587" s="61" t="s">
        <v>4779</v>
      </c>
      <c r="L587" s="12" t="str">
        <f t="shared" si="27"/>
        <v>2,2,2</v>
      </c>
    </row>
    <row r="588" spans="2:12">
      <c r="B588" s="17">
        <v>887</v>
      </c>
      <c r="C588" s="17">
        <v>2</v>
      </c>
      <c r="D588" s="17">
        <f t="shared" si="29"/>
        <v>0</v>
      </c>
      <c r="E588" s="17">
        <f t="shared" si="28"/>
        <v>1343</v>
      </c>
      <c r="F588" s="17" t="s">
        <v>4813</v>
      </c>
      <c r="G588" s="17">
        <f>MATCH(E588,Arenas!$F$8:$F$15)</f>
        <v>5</v>
      </c>
      <c r="H588" s="29" t="s">
        <v>1958</v>
      </c>
      <c r="I588" s="33" t="s">
        <v>6597</v>
      </c>
      <c r="J588" s="47" t="s">
        <v>4853</v>
      </c>
      <c r="K588" s="61" t="s">
        <v>4807</v>
      </c>
      <c r="L588" s="12" t="str">
        <f t="shared" si="27"/>
        <v>2,2,2</v>
      </c>
    </row>
    <row r="589" spans="2:12">
      <c r="B589" s="17">
        <v>888</v>
      </c>
      <c r="C589" s="17">
        <v>2</v>
      </c>
      <c r="D589" s="17">
        <f t="shared" si="29"/>
        <v>0</v>
      </c>
      <c r="E589" s="17">
        <f t="shared" si="28"/>
        <v>1343</v>
      </c>
      <c r="F589" s="17" t="s">
        <v>4813</v>
      </c>
      <c r="G589" s="17">
        <f>MATCH(E589,Arenas!$F$8:$F$15)</f>
        <v>5</v>
      </c>
      <c r="H589" s="29" t="s">
        <v>1959</v>
      </c>
      <c r="I589" s="33" t="s">
        <v>6598</v>
      </c>
      <c r="J589" s="47" t="s">
        <v>4993</v>
      </c>
      <c r="K589" s="61" t="s">
        <v>4810</v>
      </c>
      <c r="L589" s="12" t="str">
        <f t="shared" si="27"/>
        <v>2,2,2</v>
      </c>
    </row>
    <row r="590" spans="2:12">
      <c r="B590" s="17">
        <v>889</v>
      </c>
      <c r="C590" s="17">
        <v>2</v>
      </c>
      <c r="D590" s="17">
        <f t="shared" si="29"/>
        <v>1</v>
      </c>
      <c r="E590" s="17">
        <f t="shared" si="28"/>
        <v>1344</v>
      </c>
      <c r="F590" s="17" t="s">
        <v>4813</v>
      </c>
      <c r="G590" s="17">
        <f>MATCH(E590,Arenas!$F$8:$F$15)</f>
        <v>5</v>
      </c>
      <c r="H590" s="29" t="s">
        <v>1960</v>
      </c>
      <c r="I590" s="33" t="s">
        <v>6599</v>
      </c>
      <c r="J590" s="47" t="s">
        <v>6600</v>
      </c>
      <c r="K590" s="61" t="s">
        <v>4779</v>
      </c>
      <c r="L590" s="12" t="str">
        <f t="shared" si="27"/>
        <v>2,2,2</v>
      </c>
    </row>
    <row r="591" spans="2:12">
      <c r="B591" s="17">
        <v>890</v>
      </c>
      <c r="C591" s="17">
        <v>2</v>
      </c>
      <c r="D591" s="17">
        <f t="shared" si="29"/>
        <v>0</v>
      </c>
      <c r="E591" s="17">
        <f t="shared" si="28"/>
        <v>1344</v>
      </c>
      <c r="F591" s="17" t="s">
        <v>4813</v>
      </c>
      <c r="G591" s="17">
        <f>MATCH(E591,Arenas!$F$8:$F$15)</f>
        <v>5</v>
      </c>
      <c r="H591" s="29" t="s">
        <v>1961</v>
      </c>
      <c r="I591" s="33" t="s">
        <v>6601</v>
      </c>
      <c r="J591" s="47" t="s">
        <v>6602</v>
      </c>
      <c r="K591" s="61" t="s">
        <v>4779</v>
      </c>
      <c r="L591" s="12" t="str">
        <f t="shared" si="27"/>
        <v>2,2,2</v>
      </c>
    </row>
    <row r="592" spans="2:12">
      <c r="B592" s="17">
        <v>891</v>
      </c>
      <c r="C592" s="17">
        <v>2</v>
      </c>
      <c r="D592" s="17">
        <f t="shared" si="29"/>
        <v>0</v>
      </c>
      <c r="E592" s="17">
        <f t="shared" si="28"/>
        <v>1344</v>
      </c>
      <c r="F592" s="17" t="s">
        <v>4813</v>
      </c>
      <c r="G592" s="17">
        <f>MATCH(E592,Arenas!$F$8:$F$15)</f>
        <v>5</v>
      </c>
      <c r="H592" s="29" t="s">
        <v>1962</v>
      </c>
      <c r="I592" s="33" t="s">
        <v>6603</v>
      </c>
      <c r="J592" s="47" t="s">
        <v>4934</v>
      </c>
      <c r="K592" s="61" t="s">
        <v>4779</v>
      </c>
      <c r="L592" s="12" t="str">
        <f t="shared" si="27"/>
        <v>2,2,2</v>
      </c>
    </row>
    <row r="593" spans="2:12">
      <c r="B593" s="17">
        <v>892</v>
      </c>
      <c r="C593" s="17">
        <v>2</v>
      </c>
      <c r="D593" s="17">
        <f t="shared" si="29"/>
        <v>1</v>
      </c>
      <c r="E593" s="17">
        <f t="shared" si="28"/>
        <v>1345</v>
      </c>
      <c r="F593" s="17" t="s">
        <v>4813</v>
      </c>
      <c r="G593" s="17">
        <f>MATCH(E593,Arenas!$F$8:$F$15)</f>
        <v>5</v>
      </c>
      <c r="H593" s="29" t="s">
        <v>1963</v>
      </c>
      <c r="I593" s="33" t="s">
        <v>6604</v>
      </c>
      <c r="J593" s="47" t="s">
        <v>5017</v>
      </c>
      <c r="K593" s="61" t="s">
        <v>4779</v>
      </c>
      <c r="L593" s="12" t="str">
        <f t="shared" si="27"/>
        <v>2,2,2</v>
      </c>
    </row>
    <row r="594" spans="2:12">
      <c r="B594" s="17">
        <v>893</v>
      </c>
      <c r="C594" s="17">
        <v>2</v>
      </c>
      <c r="D594" s="17">
        <f t="shared" si="29"/>
        <v>0</v>
      </c>
      <c r="E594" s="17">
        <f t="shared" si="28"/>
        <v>1345</v>
      </c>
      <c r="F594" s="17" t="s">
        <v>4813</v>
      </c>
      <c r="G594" s="17">
        <f>MATCH(E594,Arenas!$F$8:$F$15)</f>
        <v>5</v>
      </c>
      <c r="H594" s="29" t="s">
        <v>1964</v>
      </c>
      <c r="I594" s="33" t="s">
        <v>6605</v>
      </c>
      <c r="J594" s="47" t="s">
        <v>5056</v>
      </c>
      <c r="K594" s="61" t="s">
        <v>4779</v>
      </c>
      <c r="L594" s="12" t="str">
        <f t="shared" si="27"/>
        <v>2,2,2</v>
      </c>
    </row>
    <row r="595" spans="2:12">
      <c r="B595" s="17">
        <v>894</v>
      </c>
      <c r="C595" s="17">
        <v>2</v>
      </c>
      <c r="D595" s="17">
        <f t="shared" si="29"/>
        <v>0</v>
      </c>
      <c r="E595" s="17">
        <f t="shared" si="28"/>
        <v>1345</v>
      </c>
      <c r="F595" s="17" t="s">
        <v>4813</v>
      </c>
      <c r="G595" s="17">
        <f>MATCH(E595,Arenas!$F$8:$F$15)</f>
        <v>5</v>
      </c>
      <c r="H595" s="29" t="s">
        <v>1965</v>
      </c>
      <c r="I595" s="33" t="s">
        <v>6606</v>
      </c>
      <c r="J595" s="47" t="s">
        <v>6607</v>
      </c>
      <c r="K595" s="61" t="s">
        <v>4779</v>
      </c>
      <c r="L595" s="12" t="str">
        <f t="shared" si="27"/>
        <v>2,2,2</v>
      </c>
    </row>
    <row r="596" spans="2:12">
      <c r="B596" s="17">
        <v>895</v>
      </c>
      <c r="C596" s="17">
        <v>2</v>
      </c>
      <c r="D596" s="17">
        <f t="shared" si="29"/>
        <v>1</v>
      </c>
      <c r="E596" s="17">
        <f t="shared" si="28"/>
        <v>1346</v>
      </c>
      <c r="F596" s="17" t="s">
        <v>4813</v>
      </c>
      <c r="G596" s="17">
        <f>MATCH(E596,Arenas!$F$8:$F$15)</f>
        <v>5</v>
      </c>
      <c r="H596" s="29" t="s">
        <v>1966</v>
      </c>
      <c r="I596" s="33" t="s">
        <v>6608</v>
      </c>
      <c r="J596" s="47" t="s">
        <v>5418</v>
      </c>
      <c r="K596" s="61" t="s">
        <v>4779</v>
      </c>
      <c r="L596" s="12" t="str">
        <f t="shared" si="27"/>
        <v>2,2,2</v>
      </c>
    </row>
    <row r="597" spans="2:12">
      <c r="B597" s="17">
        <v>896</v>
      </c>
      <c r="C597" s="17">
        <v>2</v>
      </c>
      <c r="D597" s="17">
        <f t="shared" si="29"/>
        <v>0</v>
      </c>
      <c r="E597" s="17">
        <f t="shared" si="28"/>
        <v>1346</v>
      </c>
      <c r="F597" s="17" t="s">
        <v>4813</v>
      </c>
      <c r="G597" s="17">
        <f>MATCH(E597,Arenas!$F$8:$F$15)</f>
        <v>5</v>
      </c>
      <c r="H597" s="29" t="s">
        <v>1967</v>
      </c>
      <c r="I597" s="33" t="s">
        <v>6609</v>
      </c>
      <c r="J597" s="47" t="s">
        <v>6610</v>
      </c>
      <c r="K597" s="61" t="s">
        <v>4779</v>
      </c>
      <c r="L597" s="12" t="str">
        <f t="shared" si="27"/>
        <v>2,2,2</v>
      </c>
    </row>
    <row r="598" spans="2:12">
      <c r="B598" s="17">
        <v>897</v>
      </c>
      <c r="C598" s="17">
        <v>2</v>
      </c>
      <c r="D598" s="17">
        <f t="shared" si="29"/>
        <v>0</v>
      </c>
      <c r="E598" s="17">
        <f t="shared" si="28"/>
        <v>1346</v>
      </c>
      <c r="F598" s="17" t="s">
        <v>4813</v>
      </c>
      <c r="G598" s="17">
        <f>MATCH(E598,Arenas!$F$8:$F$15)</f>
        <v>5</v>
      </c>
      <c r="H598" s="29" t="s">
        <v>1968</v>
      </c>
      <c r="I598" s="33" t="s">
        <v>6611</v>
      </c>
      <c r="J598" s="47" t="s">
        <v>4581</v>
      </c>
      <c r="K598" s="61" t="s">
        <v>4779</v>
      </c>
      <c r="L598" s="12" t="str">
        <f t="shared" si="27"/>
        <v>2,2,2</v>
      </c>
    </row>
    <row r="599" spans="2:12">
      <c r="B599" s="17">
        <v>898</v>
      </c>
      <c r="C599" s="17">
        <v>2</v>
      </c>
      <c r="D599" s="17">
        <f t="shared" si="29"/>
        <v>1</v>
      </c>
      <c r="E599" s="17">
        <f t="shared" si="28"/>
        <v>1347</v>
      </c>
      <c r="F599" s="17" t="s">
        <v>4813</v>
      </c>
      <c r="G599" s="17">
        <f>MATCH(E599,Arenas!$F$8:$F$15)</f>
        <v>5</v>
      </c>
      <c r="H599" s="29" t="s">
        <v>1969</v>
      </c>
      <c r="I599" s="33" t="s">
        <v>6612</v>
      </c>
      <c r="J599" s="47" t="s">
        <v>5662</v>
      </c>
      <c r="K599" s="61" t="s">
        <v>4779</v>
      </c>
      <c r="L599" s="12" t="str">
        <f t="shared" si="27"/>
        <v>2,2,2</v>
      </c>
    </row>
    <row r="600" spans="2:12">
      <c r="B600" s="17">
        <v>899</v>
      </c>
      <c r="C600" s="17">
        <v>2</v>
      </c>
      <c r="D600" s="17">
        <f t="shared" si="29"/>
        <v>0</v>
      </c>
      <c r="E600" s="17">
        <f t="shared" si="28"/>
        <v>1347</v>
      </c>
      <c r="F600" s="17" t="s">
        <v>4813</v>
      </c>
      <c r="G600" s="17">
        <f>MATCH(E600,Arenas!$F$8:$F$15)</f>
        <v>5</v>
      </c>
      <c r="H600" s="29" t="s">
        <v>1970</v>
      </c>
      <c r="I600" s="33" t="s">
        <v>6613</v>
      </c>
      <c r="J600" s="47" t="s">
        <v>4896</v>
      </c>
      <c r="K600" s="61" t="s">
        <v>4779</v>
      </c>
      <c r="L600" s="12" t="str">
        <f t="shared" si="27"/>
        <v>2,2,2</v>
      </c>
    </row>
    <row r="601" spans="2:12">
      <c r="B601" s="17">
        <v>900</v>
      </c>
      <c r="C601" s="17">
        <v>2</v>
      </c>
      <c r="D601" s="17">
        <f t="shared" si="29"/>
        <v>0</v>
      </c>
      <c r="E601" s="17">
        <f t="shared" si="28"/>
        <v>1347</v>
      </c>
      <c r="F601" s="17" t="s">
        <v>4813</v>
      </c>
      <c r="G601" s="17">
        <f>MATCH(E601,Arenas!$F$8:$F$15)</f>
        <v>5</v>
      </c>
      <c r="H601" s="29" t="s">
        <v>1971</v>
      </c>
      <c r="I601" s="33" t="s">
        <v>6614</v>
      </c>
      <c r="J601" s="47" t="s">
        <v>4978</v>
      </c>
      <c r="K601" s="61" t="s">
        <v>4779</v>
      </c>
      <c r="L601" s="12" t="str">
        <f t="shared" si="27"/>
        <v>2,2,2</v>
      </c>
    </row>
    <row r="602" spans="2:12">
      <c r="B602" s="17">
        <v>901</v>
      </c>
      <c r="C602" s="17">
        <v>2</v>
      </c>
      <c r="D602" s="17">
        <f t="shared" si="29"/>
        <v>1</v>
      </c>
      <c r="E602" s="17">
        <f t="shared" si="28"/>
        <v>1348</v>
      </c>
      <c r="F602" s="17" t="s">
        <v>4813</v>
      </c>
      <c r="G602" s="17">
        <f>MATCH(E602,Arenas!$F$8:$F$15)</f>
        <v>5</v>
      </c>
      <c r="H602" s="29" t="s">
        <v>1972</v>
      </c>
      <c r="I602" s="33" t="s">
        <v>6615</v>
      </c>
      <c r="J602" s="47" t="s">
        <v>4945</v>
      </c>
      <c r="K602" s="61" t="s">
        <v>4779</v>
      </c>
      <c r="L602" s="12" t="str">
        <f t="shared" si="27"/>
        <v>2,2,2</v>
      </c>
    </row>
    <row r="603" spans="2:12">
      <c r="B603" s="17">
        <v>902</v>
      </c>
      <c r="C603" s="17">
        <v>2</v>
      </c>
      <c r="D603" s="17">
        <f t="shared" si="29"/>
        <v>0</v>
      </c>
      <c r="E603" s="17">
        <f t="shared" si="28"/>
        <v>1348</v>
      </c>
      <c r="F603" s="17" t="s">
        <v>4813</v>
      </c>
      <c r="G603" s="17">
        <f>MATCH(E603,Arenas!$F$8:$F$15)</f>
        <v>5</v>
      </c>
      <c r="H603" s="29" t="s">
        <v>1973</v>
      </c>
      <c r="I603" s="33" t="s">
        <v>6616</v>
      </c>
      <c r="J603" s="47" t="s">
        <v>5221</v>
      </c>
      <c r="K603" s="61" t="s">
        <v>4779</v>
      </c>
      <c r="L603" s="12" t="str">
        <f t="shared" si="27"/>
        <v>2,2,2</v>
      </c>
    </row>
    <row r="604" spans="2:12">
      <c r="B604" s="17">
        <v>903</v>
      </c>
      <c r="C604" s="17">
        <v>2</v>
      </c>
      <c r="D604" s="17">
        <f t="shared" si="29"/>
        <v>0</v>
      </c>
      <c r="E604" s="17">
        <f t="shared" si="28"/>
        <v>1348</v>
      </c>
      <c r="F604" s="17" t="s">
        <v>4813</v>
      </c>
      <c r="G604" s="17">
        <f>MATCH(E604,Arenas!$F$8:$F$15)</f>
        <v>5</v>
      </c>
      <c r="H604" s="29" t="s">
        <v>1974</v>
      </c>
      <c r="I604" s="33" t="s">
        <v>6617</v>
      </c>
      <c r="J604" s="47" t="s">
        <v>5045</v>
      </c>
      <c r="K604" s="61" t="s">
        <v>4779</v>
      </c>
      <c r="L604" s="12" t="str">
        <f t="shared" si="27"/>
        <v>2,2,2</v>
      </c>
    </row>
    <row r="605" spans="2:12">
      <c r="B605" s="17">
        <v>904</v>
      </c>
      <c r="C605" s="17">
        <v>2</v>
      </c>
      <c r="D605" s="17">
        <f t="shared" si="29"/>
        <v>1</v>
      </c>
      <c r="E605" s="17">
        <f t="shared" si="28"/>
        <v>1349</v>
      </c>
      <c r="F605" s="17" t="s">
        <v>4813</v>
      </c>
      <c r="G605" s="17">
        <f>MATCH(E605,Arenas!$F$8:$F$15)</f>
        <v>5</v>
      </c>
      <c r="H605" s="29" t="s">
        <v>1975</v>
      </c>
      <c r="I605" s="33" t="s">
        <v>6618</v>
      </c>
      <c r="J605" s="47" t="s">
        <v>4896</v>
      </c>
      <c r="K605" s="61" t="s">
        <v>4779</v>
      </c>
      <c r="L605" s="12" t="str">
        <f t="shared" si="27"/>
        <v>2,2,2</v>
      </c>
    </row>
    <row r="606" spans="2:12">
      <c r="B606" s="17">
        <v>905</v>
      </c>
      <c r="C606" s="17">
        <v>2</v>
      </c>
      <c r="D606" s="17">
        <f t="shared" si="29"/>
        <v>0</v>
      </c>
      <c r="E606" s="17">
        <f t="shared" si="28"/>
        <v>1349</v>
      </c>
      <c r="F606" s="17" t="s">
        <v>4813</v>
      </c>
      <c r="G606" s="17">
        <f>MATCH(E606,Arenas!$F$8:$F$15)</f>
        <v>5</v>
      </c>
      <c r="H606" s="29" t="s">
        <v>1976</v>
      </c>
      <c r="I606" s="33" t="s">
        <v>6619</v>
      </c>
      <c r="J606" s="47" t="s">
        <v>4584</v>
      </c>
      <c r="K606" s="61" t="s">
        <v>4779</v>
      </c>
      <c r="L606" s="12" t="str">
        <f t="shared" si="27"/>
        <v>2,2,2</v>
      </c>
    </row>
    <row r="607" spans="2:12">
      <c r="B607" s="17">
        <v>906</v>
      </c>
      <c r="C607" s="17">
        <v>2</v>
      </c>
      <c r="D607" s="17">
        <f t="shared" si="29"/>
        <v>0</v>
      </c>
      <c r="E607" s="17">
        <f t="shared" si="28"/>
        <v>1349</v>
      </c>
      <c r="F607" s="17" t="s">
        <v>4813</v>
      </c>
      <c r="G607" s="17">
        <f>MATCH(E607,Arenas!$F$8:$F$15)</f>
        <v>5</v>
      </c>
      <c r="H607" s="29" t="s">
        <v>1977</v>
      </c>
      <c r="I607" s="33" t="s">
        <v>6620</v>
      </c>
      <c r="J607" s="47" t="s">
        <v>5666</v>
      </c>
      <c r="K607" s="61" t="s">
        <v>4779</v>
      </c>
      <c r="L607" s="12" t="str">
        <f t="shared" si="27"/>
        <v>2,2,2</v>
      </c>
    </row>
    <row r="608" spans="2:12">
      <c r="B608" s="17">
        <v>907</v>
      </c>
      <c r="C608" s="17">
        <v>2</v>
      </c>
      <c r="D608" s="17">
        <f t="shared" si="29"/>
        <v>1</v>
      </c>
      <c r="E608" s="17">
        <f t="shared" si="28"/>
        <v>1350</v>
      </c>
      <c r="F608" s="17" t="s">
        <v>4813</v>
      </c>
      <c r="G608" s="17">
        <f>MATCH(E608,Arenas!$F$8:$F$15)</f>
        <v>5</v>
      </c>
      <c r="H608" s="29" t="s">
        <v>1978</v>
      </c>
      <c r="I608" s="33" t="s">
        <v>6621</v>
      </c>
      <c r="J608" s="47" t="s">
        <v>5026</v>
      </c>
      <c r="K608" s="61" t="s">
        <v>4779</v>
      </c>
      <c r="L608" s="12" t="str">
        <f t="shared" si="27"/>
        <v>2,2,2</v>
      </c>
    </row>
    <row r="609" spans="2:12">
      <c r="B609" s="17">
        <v>908</v>
      </c>
      <c r="C609" s="17">
        <v>2</v>
      </c>
      <c r="D609" s="17">
        <f t="shared" si="29"/>
        <v>0</v>
      </c>
      <c r="E609" s="17">
        <f t="shared" si="28"/>
        <v>1350</v>
      </c>
      <c r="F609" s="17" t="s">
        <v>4813</v>
      </c>
      <c r="G609" s="17">
        <f>MATCH(E609,Arenas!$F$8:$F$15)</f>
        <v>5</v>
      </c>
      <c r="H609" s="29" t="s">
        <v>1979</v>
      </c>
      <c r="I609" s="33" t="s">
        <v>6622</v>
      </c>
      <c r="J609" s="47" t="s">
        <v>5406</v>
      </c>
      <c r="K609" s="61" t="s">
        <v>4779</v>
      </c>
      <c r="L609" s="12" t="str">
        <f t="shared" si="27"/>
        <v>2,2,2</v>
      </c>
    </row>
    <row r="610" spans="2:12">
      <c r="B610" s="17">
        <v>909</v>
      </c>
      <c r="C610" s="17">
        <v>2</v>
      </c>
      <c r="D610" s="17">
        <f t="shared" si="29"/>
        <v>0</v>
      </c>
      <c r="E610" s="17">
        <f t="shared" si="28"/>
        <v>1350</v>
      </c>
      <c r="F610" s="17" t="s">
        <v>4813</v>
      </c>
      <c r="G610" s="17">
        <f>MATCH(E610,Arenas!$F$8:$F$15)</f>
        <v>5</v>
      </c>
      <c r="H610" s="29" t="s">
        <v>1980</v>
      </c>
      <c r="I610" s="33" t="s">
        <v>4926</v>
      </c>
      <c r="J610" s="47" t="s">
        <v>6623</v>
      </c>
      <c r="K610" s="61" t="s">
        <v>4779</v>
      </c>
      <c r="L610" s="12" t="str">
        <f t="shared" si="27"/>
        <v>2,2,2</v>
      </c>
    </row>
    <row r="611" spans="2:12">
      <c r="B611" s="17">
        <v>910</v>
      </c>
      <c r="C611" s="17">
        <v>2</v>
      </c>
      <c r="D611" s="17">
        <f t="shared" si="29"/>
        <v>1</v>
      </c>
      <c r="E611" s="17">
        <f t="shared" si="28"/>
        <v>1351</v>
      </c>
      <c r="F611" s="17" t="s">
        <v>4813</v>
      </c>
      <c r="G611" s="17">
        <f>MATCH(E611,Arenas!$F$8:$F$15)</f>
        <v>5</v>
      </c>
      <c r="H611" s="29" t="s">
        <v>1981</v>
      </c>
      <c r="I611" s="33" t="s">
        <v>6624</v>
      </c>
      <c r="J611" s="47" t="s">
        <v>5198</v>
      </c>
      <c r="K611" s="61" t="s">
        <v>4779</v>
      </c>
      <c r="L611" s="12" t="str">
        <f t="shared" si="27"/>
        <v>2,2,2</v>
      </c>
    </row>
    <row r="612" spans="2:12">
      <c r="B612" s="17">
        <v>911</v>
      </c>
      <c r="C612" s="17">
        <v>2</v>
      </c>
      <c r="D612" s="17">
        <f t="shared" si="29"/>
        <v>0</v>
      </c>
      <c r="E612" s="17">
        <f t="shared" si="28"/>
        <v>1351</v>
      </c>
      <c r="F612" s="17" t="s">
        <v>4813</v>
      </c>
      <c r="G612" s="17">
        <f>MATCH(E612,Arenas!$F$8:$F$15)</f>
        <v>5</v>
      </c>
      <c r="H612" s="29" t="s">
        <v>1982</v>
      </c>
      <c r="I612" s="33" t="s">
        <v>6625</v>
      </c>
      <c r="J612" s="47" t="s">
        <v>4680</v>
      </c>
      <c r="K612" s="61" t="s">
        <v>4779</v>
      </c>
      <c r="L612" s="12" t="str">
        <f t="shared" si="27"/>
        <v>2,2,2</v>
      </c>
    </row>
    <row r="613" spans="2:12">
      <c r="B613" s="17">
        <v>912</v>
      </c>
      <c r="C613" s="17">
        <v>2</v>
      </c>
      <c r="D613" s="17">
        <f t="shared" si="29"/>
        <v>0</v>
      </c>
      <c r="E613" s="17">
        <f t="shared" si="28"/>
        <v>1351</v>
      </c>
      <c r="F613" s="17" t="s">
        <v>4813</v>
      </c>
      <c r="G613" s="17">
        <f>MATCH(E613,Arenas!$F$8:$F$15)</f>
        <v>5</v>
      </c>
      <c r="H613" s="29" t="s">
        <v>1983</v>
      </c>
      <c r="I613" s="33" t="s">
        <v>6626</v>
      </c>
      <c r="J613" s="47" t="s">
        <v>4852</v>
      </c>
      <c r="K613" s="61" t="s">
        <v>4779</v>
      </c>
      <c r="L613" s="12" t="str">
        <f t="shared" si="27"/>
        <v>2,2,2</v>
      </c>
    </row>
    <row r="614" spans="2:12">
      <c r="B614" s="17">
        <v>913</v>
      </c>
      <c r="C614" s="17">
        <v>2</v>
      </c>
      <c r="D614" s="17">
        <f t="shared" si="29"/>
        <v>1</v>
      </c>
      <c r="E614" s="17">
        <f t="shared" si="28"/>
        <v>1352</v>
      </c>
      <c r="F614" s="17" t="s">
        <v>4813</v>
      </c>
      <c r="G614" s="17">
        <f>MATCH(E614,Arenas!$F$8:$F$15)</f>
        <v>5</v>
      </c>
      <c r="H614" s="29" t="s">
        <v>1984</v>
      </c>
      <c r="I614" s="33" t="s">
        <v>6627</v>
      </c>
      <c r="J614" s="47" t="s">
        <v>5045</v>
      </c>
      <c r="K614" s="61" t="s">
        <v>4779</v>
      </c>
      <c r="L614" s="12" t="str">
        <f t="shared" si="27"/>
        <v>2,2,2</v>
      </c>
    </row>
    <row r="615" spans="2:12">
      <c r="B615" s="17">
        <v>914</v>
      </c>
      <c r="C615" s="17">
        <v>2</v>
      </c>
      <c r="D615" s="17">
        <f t="shared" si="29"/>
        <v>0</v>
      </c>
      <c r="E615" s="17">
        <f t="shared" si="28"/>
        <v>1352</v>
      </c>
      <c r="F615" s="17" t="s">
        <v>4813</v>
      </c>
      <c r="G615" s="17">
        <f>MATCH(E615,Arenas!$F$8:$F$15)</f>
        <v>5</v>
      </c>
      <c r="H615" s="29" t="s">
        <v>1985</v>
      </c>
      <c r="I615" s="33" t="s">
        <v>6628</v>
      </c>
      <c r="J615" s="47" t="s">
        <v>5441</v>
      </c>
      <c r="K615" s="61" t="s">
        <v>4779</v>
      </c>
      <c r="L615" s="12" t="str">
        <f t="shared" si="27"/>
        <v>2,2,2</v>
      </c>
    </row>
    <row r="616" spans="2:12">
      <c r="B616" s="17">
        <v>915</v>
      </c>
      <c r="C616" s="17">
        <v>2</v>
      </c>
      <c r="D616" s="17">
        <f t="shared" si="29"/>
        <v>0</v>
      </c>
      <c r="E616" s="17">
        <f t="shared" si="28"/>
        <v>1352</v>
      </c>
      <c r="F616" s="17" t="s">
        <v>4813</v>
      </c>
      <c r="G616" s="17">
        <f>MATCH(E616,Arenas!$F$8:$F$15)</f>
        <v>5</v>
      </c>
      <c r="H616" s="29" t="s">
        <v>1986</v>
      </c>
      <c r="I616" s="33" t="s">
        <v>6629</v>
      </c>
      <c r="J616" s="47" t="s">
        <v>5035</v>
      </c>
      <c r="K616" s="61" t="s">
        <v>4779</v>
      </c>
      <c r="L616" s="12" t="str">
        <f t="shared" si="27"/>
        <v>2,2,2</v>
      </c>
    </row>
    <row r="617" spans="2:12">
      <c r="B617" s="17">
        <v>916</v>
      </c>
      <c r="C617" s="17">
        <v>2</v>
      </c>
      <c r="D617" s="17">
        <f t="shared" si="29"/>
        <v>1</v>
      </c>
      <c r="E617" s="17">
        <f t="shared" si="28"/>
        <v>1353</v>
      </c>
      <c r="F617" s="17" t="s">
        <v>4813</v>
      </c>
      <c r="G617" s="17">
        <f>MATCH(E617,Arenas!$F$8:$F$15)</f>
        <v>5</v>
      </c>
      <c r="H617" s="29" t="s">
        <v>1987</v>
      </c>
      <c r="I617" s="33" t="s">
        <v>6630</v>
      </c>
      <c r="J617" s="47" t="s">
        <v>4976</v>
      </c>
      <c r="K617" s="61" t="s">
        <v>4779</v>
      </c>
      <c r="L617" s="12" t="str">
        <f t="shared" si="27"/>
        <v>2,2,2</v>
      </c>
    </row>
    <row r="618" spans="2:12">
      <c r="B618" s="17">
        <v>917</v>
      </c>
      <c r="C618" s="17">
        <v>2</v>
      </c>
      <c r="D618" s="17">
        <f t="shared" si="29"/>
        <v>0</v>
      </c>
      <c r="E618" s="17">
        <f t="shared" si="28"/>
        <v>1353</v>
      </c>
      <c r="F618" s="17" t="s">
        <v>4813</v>
      </c>
      <c r="G618" s="17">
        <f>MATCH(E618,Arenas!$F$8:$F$15)</f>
        <v>5</v>
      </c>
      <c r="H618" s="29" t="s">
        <v>1988</v>
      </c>
      <c r="I618" s="33" t="s">
        <v>6631</v>
      </c>
      <c r="J618" s="47" t="s">
        <v>4660</v>
      </c>
      <c r="K618" s="61" t="s">
        <v>4779</v>
      </c>
      <c r="L618" s="12" t="str">
        <f t="shared" si="27"/>
        <v>2,2,2</v>
      </c>
    </row>
    <row r="619" spans="2:12">
      <c r="B619" s="17">
        <v>918</v>
      </c>
      <c r="C619" s="17">
        <v>2</v>
      </c>
      <c r="D619" s="17">
        <f t="shared" si="29"/>
        <v>0</v>
      </c>
      <c r="E619" s="17">
        <f t="shared" si="28"/>
        <v>1353</v>
      </c>
      <c r="F619" s="17" t="s">
        <v>4813</v>
      </c>
      <c r="G619" s="17">
        <f>MATCH(E619,Arenas!$F$8:$F$15)</f>
        <v>5</v>
      </c>
      <c r="H619" s="29" t="s">
        <v>1989</v>
      </c>
      <c r="I619" s="33" t="s">
        <v>6632</v>
      </c>
      <c r="J619" s="47" t="s">
        <v>4629</v>
      </c>
      <c r="K619" s="61" t="s">
        <v>4779</v>
      </c>
      <c r="L619" s="12" t="str">
        <f t="shared" si="27"/>
        <v>2,2,2</v>
      </c>
    </row>
    <row r="620" spans="2:12">
      <c r="B620" s="17">
        <v>919</v>
      </c>
      <c r="C620" s="17">
        <v>2</v>
      </c>
      <c r="D620" s="17">
        <f t="shared" si="29"/>
        <v>1</v>
      </c>
      <c r="E620" s="17">
        <f t="shared" si="28"/>
        <v>1354</v>
      </c>
      <c r="F620" s="17" t="s">
        <v>4813</v>
      </c>
      <c r="G620" s="17">
        <f>MATCH(E620,Arenas!$F$8:$F$15)</f>
        <v>5</v>
      </c>
      <c r="H620" s="29" t="s">
        <v>1990</v>
      </c>
      <c r="I620" s="33" t="s">
        <v>6633</v>
      </c>
      <c r="J620" s="47" t="s">
        <v>6634</v>
      </c>
      <c r="K620" s="61" t="s">
        <v>4779</v>
      </c>
      <c r="L620" s="12" t="str">
        <f t="shared" si="27"/>
        <v>2,2,2</v>
      </c>
    </row>
    <row r="621" spans="2:12">
      <c r="B621" s="17">
        <v>920</v>
      </c>
      <c r="C621" s="17">
        <v>2</v>
      </c>
      <c r="D621" s="17">
        <f t="shared" si="29"/>
        <v>0</v>
      </c>
      <c r="E621" s="17">
        <f t="shared" si="28"/>
        <v>1354</v>
      </c>
      <c r="F621" s="17" t="s">
        <v>4813</v>
      </c>
      <c r="G621" s="17">
        <f>MATCH(E621,Arenas!$F$8:$F$15)</f>
        <v>5</v>
      </c>
      <c r="H621" s="29" t="s">
        <v>1991</v>
      </c>
      <c r="I621" s="33" t="s">
        <v>6635</v>
      </c>
      <c r="J621" s="47" t="s">
        <v>4937</v>
      </c>
      <c r="K621" s="61" t="s">
        <v>4779</v>
      </c>
      <c r="L621" s="12" t="str">
        <f t="shared" si="27"/>
        <v>2,2,2</v>
      </c>
    </row>
    <row r="622" spans="2:12">
      <c r="B622" s="17">
        <v>921</v>
      </c>
      <c r="C622" s="17">
        <v>2</v>
      </c>
      <c r="D622" s="17">
        <f t="shared" si="29"/>
        <v>0</v>
      </c>
      <c r="E622" s="17">
        <f t="shared" si="28"/>
        <v>1354</v>
      </c>
      <c r="F622" s="17" t="s">
        <v>4813</v>
      </c>
      <c r="G622" s="17">
        <f>MATCH(E622,Arenas!$F$8:$F$15)</f>
        <v>5</v>
      </c>
      <c r="H622" s="29" t="s">
        <v>1992</v>
      </c>
      <c r="I622" s="33" t="s">
        <v>6636</v>
      </c>
      <c r="J622" s="47" t="s">
        <v>4655</v>
      </c>
      <c r="K622" s="61" t="s">
        <v>4779</v>
      </c>
      <c r="L622" s="12" t="str">
        <f t="shared" si="27"/>
        <v>2,2,2</v>
      </c>
    </row>
    <row r="623" spans="2:12">
      <c r="B623" s="17">
        <v>922</v>
      </c>
      <c r="C623" s="17">
        <v>2</v>
      </c>
      <c r="D623" s="17">
        <f t="shared" si="29"/>
        <v>1</v>
      </c>
      <c r="E623" s="17">
        <f t="shared" si="28"/>
        <v>1355</v>
      </c>
      <c r="F623" s="17" t="s">
        <v>4813</v>
      </c>
      <c r="G623" s="17">
        <f>MATCH(E623,Arenas!$F$8:$F$15)</f>
        <v>5</v>
      </c>
      <c r="H623" s="29" t="s">
        <v>1993</v>
      </c>
      <c r="I623" s="33" t="s">
        <v>6637</v>
      </c>
      <c r="J623" s="47" t="s">
        <v>5266</v>
      </c>
      <c r="K623" s="61" t="s">
        <v>4779</v>
      </c>
      <c r="L623" s="12" t="str">
        <f t="shared" si="27"/>
        <v>2,2,2</v>
      </c>
    </row>
    <row r="624" spans="2:12">
      <c r="B624" s="17">
        <v>923</v>
      </c>
      <c r="C624" s="17">
        <v>2</v>
      </c>
      <c r="D624" s="17">
        <f t="shared" si="29"/>
        <v>0</v>
      </c>
      <c r="E624" s="17">
        <f t="shared" si="28"/>
        <v>1355</v>
      </c>
      <c r="F624" s="17" t="s">
        <v>4813</v>
      </c>
      <c r="G624" s="17">
        <f>MATCH(E624,Arenas!$F$8:$F$15)</f>
        <v>5</v>
      </c>
      <c r="H624" s="29" t="s">
        <v>1994</v>
      </c>
      <c r="I624" s="33" t="s">
        <v>6638</v>
      </c>
      <c r="J624" s="47" t="s">
        <v>5232</v>
      </c>
      <c r="K624" s="61" t="s">
        <v>4779</v>
      </c>
      <c r="L624" s="12" t="str">
        <f t="shared" si="27"/>
        <v>2,2,2</v>
      </c>
    </row>
    <row r="625" spans="2:12">
      <c r="B625" s="17">
        <v>924</v>
      </c>
      <c r="C625" s="17">
        <v>2</v>
      </c>
      <c r="D625" s="17">
        <f t="shared" si="29"/>
        <v>0</v>
      </c>
      <c r="E625" s="17">
        <f t="shared" si="28"/>
        <v>1355</v>
      </c>
      <c r="F625" s="17" t="s">
        <v>4813</v>
      </c>
      <c r="G625" s="17">
        <f>MATCH(E625,Arenas!$F$8:$F$15)</f>
        <v>5</v>
      </c>
      <c r="H625" s="29" t="s">
        <v>1995</v>
      </c>
      <c r="I625" s="33" t="s">
        <v>6639</v>
      </c>
      <c r="J625" s="47" t="s">
        <v>5221</v>
      </c>
      <c r="K625" s="61" t="s">
        <v>4779</v>
      </c>
      <c r="L625" s="12" t="str">
        <f t="shared" si="27"/>
        <v>2,2,2</v>
      </c>
    </row>
    <row r="626" spans="2:12">
      <c r="B626" s="17">
        <v>925</v>
      </c>
      <c r="C626" s="17">
        <v>2</v>
      </c>
      <c r="D626" s="17">
        <f t="shared" si="29"/>
        <v>1</v>
      </c>
      <c r="E626" s="17">
        <f t="shared" si="28"/>
        <v>1356</v>
      </c>
      <c r="F626" s="17" t="s">
        <v>4813</v>
      </c>
      <c r="G626" s="17">
        <f>MATCH(E626,Arenas!$F$8:$F$15)</f>
        <v>5</v>
      </c>
      <c r="H626" s="29" t="s">
        <v>1996</v>
      </c>
      <c r="I626" s="33" t="s">
        <v>6640</v>
      </c>
      <c r="J626" s="47" t="s">
        <v>6641</v>
      </c>
      <c r="K626" s="61" t="s">
        <v>4779</v>
      </c>
      <c r="L626" s="12" t="str">
        <f t="shared" si="27"/>
        <v>2,2,2</v>
      </c>
    </row>
    <row r="627" spans="2:12">
      <c r="B627" s="17">
        <v>926</v>
      </c>
      <c r="C627" s="17">
        <v>2</v>
      </c>
      <c r="D627" s="17">
        <f t="shared" si="29"/>
        <v>0</v>
      </c>
      <c r="E627" s="17">
        <f t="shared" si="28"/>
        <v>1356</v>
      </c>
      <c r="F627" s="17" t="s">
        <v>4813</v>
      </c>
      <c r="G627" s="17">
        <f>MATCH(E627,Arenas!$F$8:$F$15)</f>
        <v>5</v>
      </c>
      <c r="H627" s="29" t="s">
        <v>1997</v>
      </c>
      <c r="I627" s="33" t="s">
        <v>6642</v>
      </c>
      <c r="J627" s="47" t="s">
        <v>5491</v>
      </c>
      <c r="K627" s="61" t="s">
        <v>4779</v>
      </c>
      <c r="L627" s="12" t="str">
        <f t="shared" si="27"/>
        <v>2,2,2</v>
      </c>
    </row>
    <row r="628" spans="2:12">
      <c r="B628" s="17">
        <v>927</v>
      </c>
      <c r="C628" s="17">
        <v>2</v>
      </c>
      <c r="D628" s="17">
        <f t="shared" si="29"/>
        <v>0</v>
      </c>
      <c r="E628" s="17">
        <f t="shared" si="28"/>
        <v>1356</v>
      </c>
      <c r="F628" s="17" t="s">
        <v>4813</v>
      </c>
      <c r="G628" s="17">
        <f>MATCH(E628,Arenas!$F$8:$F$15)</f>
        <v>5</v>
      </c>
      <c r="H628" s="29" t="s">
        <v>1998</v>
      </c>
      <c r="I628" s="33" t="s">
        <v>6643</v>
      </c>
      <c r="J628" s="47" t="s">
        <v>6644</v>
      </c>
      <c r="K628" s="61" t="s">
        <v>4779</v>
      </c>
      <c r="L628" s="12" t="str">
        <f t="shared" si="27"/>
        <v>2,2,2</v>
      </c>
    </row>
    <row r="629" spans="2:12">
      <c r="B629" s="17">
        <v>928</v>
      </c>
      <c r="C629" s="17">
        <v>2</v>
      </c>
      <c r="D629" s="17">
        <f t="shared" si="29"/>
        <v>1</v>
      </c>
      <c r="E629" s="17">
        <f t="shared" si="28"/>
        <v>1357</v>
      </c>
      <c r="F629" s="17" t="s">
        <v>4813</v>
      </c>
      <c r="G629" s="17">
        <f>MATCH(E629,Arenas!$F$8:$F$15)</f>
        <v>5</v>
      </c>
      <c r="H629" s="29" t="s">
        <v>1999</v>
      </c>
      <c r="I629" s="33" t="s">
        <v>6645</v>
      </c>
      <c r="J629" s="47" t="s">
        <v>5430</v>
      </c>
      <c r="K629" s="61" t="s">
        <v>4779</v>
      </c>
      <c r="L629" s="12" t="str">
        <f t="shared" si="27"/>
        <v>2,2,2</v>
      </c>
    </row>
    <row r="630" spans="2:12">
      <c r="B630" s="17">
        <v>929</v>
      </c>
      <c r="C630" s="17">
        <v>2</v>
      </c>
      <c r="D630" s="17">
        <f t="shared" si="29"/>
        <v>0</v>
      </c>
      <c r="E630" s="17">
        <f t="shared" si="28"/>
        <v>1357</v>
      </c>
      <c r="F630" s="17" t="s">
        <v>4813</v>
      </c>
      <c r="G630" s="17">
        <f>MATCH(E630,Arenas!$F$8:$F$15)</f>
        <v>5</v>
      </c>
      <c r="H630" s="29" t="s">
        <v>2000</v>
      </c>
      <c r="I630" s="33" t="s">
        <v>6646</v>
      </c>
      <c r="J630" s="47" t="s">
        <v>5246</v>
      </c>
      <c r="K630" s="61" t="s">
        <v>4779</v>
      </c>
      <c r="L630" s="12" t="str">
        <f t="shared" si="27"/>
        <v>2,2,2</v>
      </c>
    </row>
    <row r="631" spans="2:12">
      <c r="B631" s="17">
        <v>930</v>
      </c>
      <c r="C631" s="17">
        <v>2</v>
      </c>
      <c r="D631" s="17">
        <f t="shared" si="29"/>
        <v>0</v>
      </c>
      <c r="E631" s="17">
        <f t="shared" si="28"/>
        <v>1357</v>
      </c>
      <c r="F631" s="17" t="s">
        <v>4813</v>
      </c>
      <c r="G631" s="17">
        <f>MATCH(E631,Arenas!$F$8:$F$15)</f>
        <v>5</v>
      </c>
      <c r="H631" s="29" t="s">
        <v>2001</v>
      </c>
      <c r="I631" s="33" t="s">
        <v>6647</v>
      </c>
      <c r="J631" s="47" t="s">
        <v>5220</v>
      </c>
      <c r="K631" s="61" t="s">
        <v>4779</v>
      </c>
      <c r="L631" s="12" t="str">
        <f t="shared" si="27"/>
        <v>2,2,2</v>
      </c>
    </row>
    <row r="632" spans="2:12">
      <c r="B632" s="17">
        <v>931</v>
      </c>
      <c r="C632" s="17">
        <v>2</v>
      </c>
      <c r="D632" s="17">
        <f t="shared" si="29"/>
        <v>1</v>
      </c>
      <c r="E632" s="17">
        <f t="shared" si="28"/>
        <v>1358</v>
      </c>
      <c r="F632" s="17" t="s">
        <v>4813</v>
      </c>
      <c r="G632" s="17">
        <f>MATCH(E632,Arenas!$F$8:$F$15)</f>
        <v>5</v>
      </c>
      <c r="H632" s="29" t="s">
        <v>2002</v>
      </c>
      <c r="I632" s="33" t="s">
        <v>6648</v>
      </c>
      <c r="J632" s="47" t="s">
        <v>4588</v>
      </c>
      <c r="K632" s="61" t="s">
        <v>4779</v>
      </c>
      <c r="L632" s="12" t="str">
        <f t="shared" si="27"/>
        <v>2,2,2</v>
      </c>
    </row>
    <row r="633" spans="2:12">
      <c r="B633" s="17">
        <v>932</v>
      </c>
      <c r="C633" s="17">
        <v>2</v>
      </c>
      <c r="D633" s="17">
        <f t="shared" si="29"/>
        <v>0</v>
      </c>
      <c r="E633" s="17">
        <f t="shared" si="28"/>
        <v>1358</v>
      </c>
      <c r="F633" s="17" t="s">
        <v>4813</v>
      </c>
      <c r="G633" s="17">
        <f>MATCH(E633,Arenas!$F$8:$F$15)</f>
        <v>5</v>
      </c>
      <c r="H633" s="29" t="s">
        <v>2003</v>
      </c>
      <c r="I633" s="33" t="s">
        <v>6649</v>
      </c>
      <c r="J633" s="47" t="s">
        <v>4915</v>
      </c>
      <c r="K633" s="61" t="s">
        <v>4779</v>
      </c>
      <c r="L633" s="12" t="str">
        <f t="shared" si="27"/>
        <v>2,2,2</v>
      </c>
    </row>
    <row r="634" spans="2:12">
      <c r="B634" s="17">
        <v>933</v>
      </c>
      <c r="C634" s="17">
        <v>2</v>
      </c>
      <c r="D634" s="17">
        <f t="shared" si="29"/>
        <v>0</v>
      </c>
      <c r="E634" s="17">
        <f t="shared" si="28"/>
        <v>1358</v>
      </c>
      <c r="F634" s="17" t="s">
        <v>4813</v>
      </c>
      <c r="G634" s="17">
        <f>MATCH(E634,Arenas!$F$8:$F$15)</f>
        <v>5</v>
      </c>
      <c r="H634" s="29" t="s">
        <v>2004</v>
      </c>
      <c r="I634" s="33" t="s">
        <v>6650</v>
      </c>
      <c r="J634" s="47" t="s">
        <v>4581</v>
      </c>
      <c r="K634" s="61" t="s">
        <v>4779</v>
      </c>
      <c r="L634" s="12" t="str">
        <f t="shared" si="27"/>
        <v>2,2,2</v>
      </c>
    </row>
    <row r="635" spans="2:12">
      <c r="B635" s="17">
        <v>934</v>
      </c>
      <c r="C635" s="17">
        <v>2</v>
      </c>
      <c r="D635" s="17">
        <f t="shared" si="29"/>
        <v>1</v>
      </c>
      <c r="E635" s="17">
        <f t="shared" si="28"/>
        <v>1359</v>
      </c>
      <c r="F635" s="17" t="s">
        <v>4813</v>
      </c>
      <c r="G635" s="17">
        <f>MATCH(E635,Arenas!$F$8:$F$15)</f>
        <v>5</v>
      </c>
      <c r="H635" s="29" t="s">
        <v>2005</v>
      </c>
      <c r="I635" s="33" t="s">
        <v>6651</v>
      </c>
      <c r="J635" s="47" t="s">
        <v>5438</v>
      </c>
      <c r="K635" s="61" t="s">
        <v>4779</v>
      </c>
      <c r="L635" s="12" t="str">
        <f t="shared" si="27"/>
        <v>2,2,2</v>
      </c>
    </row>
    <row r="636" spans="2:12">
      <c r="B636" s="17">
        <v>935</v>
      </c>
      <c r="C636" s="17">
        <v>2</v>
      </c>
      <c r="D636" s="17">
        <f t="shared" si="29"/>
        <v>0</v>
      </c>
      <c r="E636" s="17">
        <f t="shared" si="28"/>
        <v>1359</v>
      </c>
      <c r="F636" s="17" t="s">
        <v>4813</v>
      </c>
      <c r="G636" s="17">
        <f>MATCH(E636,Arenas!$F$8:$F$15)</f>
        <v>5</v>
      </c>
      <c r="H636" s="29" t="s">
        <v>2006</v>
      </c>
      <c r="I636" s="33" t="s">
        <v>6652</v>
      </c>
      <c r="J636" s="47" t="s">
        <v>6653</v>
      </c>
      <c r="K636" s="61" t="s">
        <v>4808</v>
      </c>
      <c r="L636" s="12" t="str">
        <f t="shared" si="27"/>
        <v>2,2,2</v>
      </c>
    </row>
    <row r="637" spans="2:12">
      <c r="B637" s="17">
        <v>936</v>
      </c>
      <c r="C637" s="17">
        <v>2</v>
      </c>
      <c r="D637" s="17">
        <f t="shared" si="29"/>
        <v>0</v>
      </c>
      <c r="E637" s="17">
        <f t="shared" si="28"/>
        <v>1359</v>
      </c>
      <c r="F637" s="17" t="s">
        <v>4813</v>
      </c>
      <c r="G637" s="17">
        <f>MATCH(E637,Arenas!$F$8:$F$15)</f>
        <v>5</v>
      </c>
      <c r="H637" s="29" t="s">
        <v>2007</v>
      </c>
      <c r="I637" s="33" t="s">
        <v>6654</v>
      </c>
      <c r="J637" s="47" t="s">
        <v>4631</v>
      </c>
      <c r="K637" s="61" t="s">
        <v>4779</v>
      </c>
      <c r="L637" s="12" t="str">
        <f t="shared" si="27"/>
        <v>2,2,2</v>
      </c>
    </row>
    <row r="638" spans="2:12">
      <c r="B638" s="17">
        <v>937</v>
      </c>
      <c r="C638" s="17">
        <v>2</v>
      </c>
      <c r="D638" s="17">
        <f t="shared" si="29"/>
        <v>1</v>
      </c>
      <c r="E638" s="17">
        <f t="shared" si="28"/>
        <v>1360</v>
      </c>
      <c r="F638" s="17" t="s">
        <v>4813</v>
      </c>
      <c r="G638" s="17">
        <f>MATCH(E638,Arenas!$F$8:$F$15)</f>
        <v>5</v>
      </c>
      <c r="H638" s="29" t="s">
        <v>2008</v>
      </c>
      <c r="I638" s="33" t="s">
        <v>6655</v>
      </c>
      <c r="J638" s="47" t="s">
        <v>6496</v>
      </c>
      <c r="K638" s="61" t="s">
        <v>4779</v>
      </c>
      <c r="L638" s="12" t="str">
        <f t="shared" si="27"/>
        <v>2,2,2</v>
      </c>
    </row>
    <row r="639" spans="2:12">
      <c r="B639" s="17">
        <v>938</v>
      </c>
      <c r="C639" s="17">
        <v>2</v>
      </c>
      <c r="D639" s="17">
        <f t="shared" si="29"/>
        <v>0</v>
      </c>
      <c r="E639" s="17">
        <f t="shared" si="28"/>
        <v>1360</v>
      </c>
      <c r="F639" s="17" t="s">
        <v>4813</v>
      </c>
      <c r="G639" s="17">
        <f>MATCH(E639,Arenas!$F$8:$F$15)</f>
        <v>5</v>
      </c>
      <c r="H639" s="29" t="s">
        <v>2009</v>
      </c>
      <c r="I639" s="33" t="s">
        <v>6656</v>
      </c>
      <c r="J639" s="47" t="s">
        <v>5437</v>
      </c>
      <c r="K639" s="61" t="s">
        <v>4779</v>
      </c>
      <c r="L639" s="12" t="str">
        <f t="shared" si="27"/>
        <v>2,2,2</v>
      </c>
    </row>
    <row r="640" spans="2:12">
      <c r="B640" s="17">
        <v>939</v>
      </c>
      <c r="C640" s="17">
        <v>2</v>
      </c>
      <c r="D640" s="17">
        <f t="shared" si="29"/>
        <v>0</v>
      </c>
      <c r="E640" s="17">
        <f t="shared" si="28"/>
        <v>1360</v>
      </c>
      <c r="F640" s="17" t="s">
        <v>4813</v>
      </c>
      <c r="G640" s="17">
        <f>MATCH(E640,Arenas!$F$8:$F$15)</f>
        <v>5</v>
      </c>
      <c r="H640" s="29" t="s">
        <v>2010</v>
      </c>
      <c r="I640" s="33" t="s">
        <v>6657</v>
      </c>
      <c r="J640" s="47" t="s">
        <v>6658</v>
      </c>
      <c r="K640" s="61" t="s">
        <v>4779</v>
      </c>
      <c r="L640" s="12" t="str">
        <f t="shared" si="27"/>
        <v>2,2,2</v>
      </c>
    </row>
    <row r="641" spans="2:12">
      <c r="B641" s="17">
        <v>940</v>
      </c>
      <c r="C641" s="17">
        <v>2</v>
      </c>
      <c r="D641" s="17">
        <f t="shared" si="29"/>
        <v>1</v>
      </c>
      <c r="E641" s="17">
        <f t="shared" si="28"/>
        <v>1361</v>
      </c>
      <c r="F641" s="17" t="s">
        <v>4813</v>
      </c>
      <c r="G641" s="17">
        <f>MATCH(E641,Arenas!$F$8:$F$15)</f>
        <v>5</v>
      </c>
      <c r="H641" s="29" t="s">
        <v>2011</v>
      </c>
      <c r="I641" s="33" t="s">
        <v>6659</v>
      </c>
      <c r="J641" s="47" t="s">
        <v>4985</v>
      </c>
      <c r="K641" s="61" t="s">
        <v>4779</v>
      </c>
      <c r="L641" s="12" t="str">
        <f t="shared" si="27"/>
        <v>2,2,2</v>
      </c>
    </row>
    <row r="642" spans="2:12">
      <c r="B642" s="17">
        <v>941</v>
      </c>
      <c r="C642" s="17">
        <v>2</v>
      </c>
      <c r="D642" s="17">
        <f t="shared" si="29"/>
        <v>0</v>
      </c>
      <c r="E642" s="17">
        <f t="shared" si="28"/>
        <v>1361</v>
      </c>
      <c r="F642" s="17" t="s">
        <v>4813</v>
      </c>
      <c r="G642" s="17">
        <f>MATCH(E642,Arenas!$F$8:$F$15)</f>
        <v>5</v>
      </c>
      <c r="H642" s="29" t="s">
        <v>2012</v>
      </c>
      <c r="I642" s="33" t="s">
        <v>6660</v>
      </c>
      <c r="J642" s="47" t="s">
        <v>5415</v>
      </c>
      <c r="K642" s="61" t="s">
        <v>4779</v>
      </c>
      <c r="L642" s="12" t="str">
        <f t="shared" ref="L642:L705" si="30">C642&amp;","&amp;C642&amp;","&amp;C642</f>
        <v>2,2,2</v>
      </c>
    </row>
    <row r="643" spans="2:12">
      <c r="B643" s="17">
        <v>942</v>
      </c>
      <c r="C643" s="17">
        <v>2</v>
      </c>
      <c r="D643" s="17">
        <f t="shared" si="29"/>
        <v>0</v>
      </c>
      <c r="E643" s="17">
        <f t="shared" ref="E643:E706" si="31">D643+E642</f>
        <v>1361</v>
      </c>
      <c r="F643" s="17" t="s">
        <v>4813</v>
      </c>
      <c r="G643" s="17">
        <f>MATCH(E643,Arenas!$F$8:$F$15)</f>
        <v>5</v>
      </c>
      <c r="H643" s="29" t="s">
        <v>2013</v>
      </c>
      <c r="I643" s="33" t="s">
        <v>6661</v>
      </c>
      <c r="J643" s="47" t="s">
        <v>5017</v>
      </c>
      <c r="K643" s="61" t="s">
        <v>4779</v>
      </c>
      <c r="L643" s="12" t="str">
        <f t="shared" si="30"/>
        <v>2,2,2</v>
      </c>
    </row>
    <row r="644" spans="2:12">
      <c r="B644" s="17">
        <v>943</v>
      </c>
      <c r="C644" s="17">
        <v>2</v>
      </c>
      <c r="D644" s="17">
        <f t="shared" si="29"/>
        <v>1</v>
      </c>
      <c r="E644" s="17">
        <f t="shared" si="31"/>
        <v>1362</v>
      </c>
      <c r="F644" s="17" t="s">
        <v>4813</v>
      </c>
      <c r="G644" s="17">
        <f>MATCH(E644,Arenas!$F$8:$F$15)</f>
        <v>5</v>
      </c>
      <c r="H644" s="29" t="s">
        <v>2014</v>
      </c>
      <c r="I644" s="33" t="s">
        <v>6662</v>
      </c>
      <c r="J644" s="47" t="s">
        <v>4660</v>
      </c>
      <c r="K644" s="61" t="s">
        <v>4779</v>
      </c>
      <c r="L644" s="12" t="str">
        <f t="shared" si="30"/>
        <v>2,2,2</v>
      </c>
    </row>
    <row r="645" spans="2:12">
      <c r="B645" s="17">
        <v>944</v>
      </c>
      <c r="C645" s="17">
        <v>2</v>
      </c>
      <c r="D645" s="17">
        <f t="shared" ref="D645:D708" si="32">D642</f>
        <v>0</v>
      </c>
      <c r="E645" s="17">
        <f t="shared" si="31"/>
        <v>1362</v>
      </c>
      <c r="F645" s="17" t="s">
        <v>4813</v>
      </c>
      <c r="G645" s="17">
        <f>MATCH(E645,Arenas!$F$8:$F$15)</f>
        <v>5</v>
      </c>
      <c r="H645" s="29" t="s">
        <v>2015</v>
      </c>
      <c r="I645" s="33" t="s">
        <v>6663</v>
      </c>
      <c r="J645" s="47" t="s">
        <v>4622</v>
      </c>
      <c r="K645" s="61" t="s">
        <v>4779</v>
      </c>
      <c r="L645" s="12" t="str">
        <f t="shared" si="30"/>
        <v>2,2,2</v>
      </c>
    </row>
    <row r="646" spans="2:12">
      <c r="B646" s="17">
        <v>945</v>
      </c>
      <c r="C646" s="17">
        <v>2</v>
      </c>
      <c r="D646" s="17">
        <f t="shared" si="32"/>
        <v>0</v>
      </c>
      <c r="E646" s="17">
        <f t="shared" si="31"/>
        <v>1362</v>
      </c>
      <c r="F646" s="17" t="s">
        <v>4813</v>
      </c>
      <c r="G646" s="17">
        <f>MATCH(E646,Arenas!$F$8:$F$15)</f>
        <v>5</v>
      </c>
      <c r="H646" s="29" t="s">
        <v>2016</v>
      </c>
      <c r="I646" s="33" t="s">
        <v>6664</v>
      </c>
      <c r="J646" s="47" t="s">
        <v>6665</v>
      </c>
      <c r="K646" s="61" t="s">
        <v>4779</v>
      </c>
      <c r="L646" s="12" t="str">
        <f t="shared" si="30"/>
        <v>2,2,2</v>
      </c>
    </row>
    <row r="647" spans="2:12">
      <c r="B647" s="17">
        <v>946</v>
      </c>
      <c r="C647" s="17">
        <v>2</v>
      </c>
      <c r="D647" s="17">
        <f t="shared" si="32"/>
        <v>1</v>
      </c>
      <c r="E647" s="17">
        <f t="shared" si="31"/>
        <v>1363</v>
      </c>
      <c r="F647" s="17" t="s">
        <v>4813</v>
      </c>
      <c r="G647" s="17">
        <f>MATCH(E647,Arenas!$F$8:$F$15)</f>
        <v>5</v>
      </c>
      <c r="H647" s="29" t="s">
        <v>2017</v>
      </c>
      <c r="I647" s="33" t="s">
        <v>6666</v>
      </c>
      <c r="J647" s="47" t="s">
        <v>4591</v>
      </c>
      <c r="K647" s="61" t="s">
        <v>4779</v>
      </c>
      <c r="L647" s="12" t="str">
        <f t="shared" si="30"/>
        <v>2,2,2</v>
      </c>
    </row>
    <row r="648" spans="2:12">
      <c r="B648" s="17">
        <v>947</v>
      </c>
      <c r="C648" s="17">
        <v>2</v>
      </c>
      <c r="D648" s="17">
        <f t="shared" si="32"/>
        <v>0</v>
      </c>
      <c r="E648" s="17">
        <f t="shared" si="31"/>
        <v>1363</v>
      </c>
      <c r="F648" s="17" t="s">
        <v>4813</v>
      </c>
      <c r="G648" s="17">
        <f>MATCH(E648,Arenas!$F$8:$F$15)</f>
        <v>5</v>
      </c>
      <c r="H648" s="29" t="s">
        <v>2018</v>
      </c>
      <c r="I648" s="33" t="s">
        <v>6667</v>
      </c>
      <c r="J648" s="47" t="s">
        <v>6668</v>
      </c>
      <c r="K648" s="61" t="s">
        <v>4779</v>
      </c>
      <c r="L648" s="12" t="str">
        <f t="shared" si="30"/>
        <v>2,2,2</v>
      </c>
    </row>
    <row r="649" spans="2:12">
      <c r="B649" s="17">
        <v>948</v>
      </c>
      <c r="C649" s="17">
        <v>2</v>
      </c>
      <c r="D649" s="17">
        <f t="shared" si="32"/>
        <v>0</v>
      </c>
      <c r="E649" s="17">
        <f t="shared" si="31"/>
        <v>1363</v>
      </c>
      <c r="F649" s="17" t="s">
        <v>4813</v>
      </c>
      <c r="G649" s="17">
        <f>MATCH(E649,Arenas!$F$8:$F$15)</f>
        <v>5</v>
      </c>
      <c r="H649" s="29" t="s">
        <v>2019</v>
      </c>
      <c r="I649" s="33" t="s">
        <v>6669</v>
      </c>
      <c r="J649" s="47" t="s">
        <v>4863</v>
      </c>
      <c r="K649" s="61" t="s">
        <v>4779</v>
      </c>
      <c r="L649" s="12" t="str">
        <f t="shared" si="30"/>
        <v>2,2,2</v>
      </c>
    </row>
    <row r="650" spans="2:12">
      <c r="B650" s="17">
        <v>949</v>
      </c>
      <c r="C650" s="17">
        <v>2</v>
      </c>
      <c r="D650" s="17">
        <f t="shared" si="32"/>
        <v>1</v>
      </c>
      <c r="E650" s="17">
        <f t="shared" si="31"/>
        <v>1364</v>
      </c>
      <c r="F650" s="17" t="s">
        <v>4813</v>
      </c>
      <c r="G650" s="17">
        <f>MATCH(E650,Arenas!$F$8:$F$15)</f>
        <v>5</v>
      </c>
      <c r="H650" s="29" t="s">
        <v>2020</v>
      </c>
      <c r="I650" s="33" t="s">
        <v>6670</v>
      </c>
      <c r="J650" s="47" t="s">
        <v>4943</v>
      </c>
      <c r="K650" s="61" t="s">
        <v>4779</v>
      </c>
      <c r="L650" s="12" t="str">
        <f t="shared" si="30"/>
        <v>2,2,2</v>
      </c>
    </row>
    <row r="651" spans="2:12">
      <c r="B651" s="17">
        <v>950</v>
      </c>
      <c r="C651" s="17">
        <v>2</v>
      </c>
      <c r="D651" s="17">
        <f t="shared" si="32"/>
        <v>0</v>
      </c>
      <c r="E651" s="17">
        <f t="shared" si="31"/>
        <v>1364</v>
      </c>
      <c r="F651" s="17" t="s">
        <v>4813</v>
      </c>
      <c r="G651" s="17">
        <f>MATCH(E651,Arenas!$F$8:$F$15)</f>
        <v>5</v>
      </c>
      <c r="H651" s="29" t="s">
        <v>2021</v>
      </c>
      <c r="I651" s="33" t="s">
        <v>6671</v>
      </c>
      <c r="J651" s="47" t="s">
        <v>4636</v>
      </c>
      <c r="K651" s="61" t="s">
        <v>4779</v>
      </c>
      <c r="L651" s="12" t="str">
        <f t="shared" si="30"/>
        <v>2,2,2</v>
      </c>
    </row>
    <row r="652" spans="2:12">
      <c r="B652" s="17">
        <v>951</v>
      </c>
      <c r="C652" s="17">
        <v>2</v>
      </c>
      <c r="D652" s="17">
        <f t="shared" si="32"/>
        <v>0</v>
      </c>
      <c r="E652" s="17">
        <f t="shared" si="31"/>
        <v>1364</v>
      </c>
      <c r="F652" s="17" t="s">
        <v>4813</v>
      </c>
      <c r="G652" s="17">
        <f>MATCH(E652,Arenas!$F$8:$F$15)</f>
        <v>5</v>
      </c>
      <c r="H652" s="29" t="s">
        <v>2022</v>
      </c>
      <c r="I652" s="33" t="s">
        <v>6672</v>
      </c>
      <c r="J652" s="47" t="s">
        <v>4967</v>
      </c>
      <c r="K652" s="61" t="s">
        <v>4779</v>
      </c>
      <c r="L652" s="12" t="str">
        <f t="shared" si="30"/>
        <v>2,2,2</v>
      </c>
    </row>
    <row r="653" spans="2:12">
      <c r="B653" s="17">
        <v>952</v>
      </c>
      <c r="C653" s="17">
        <v>2</v>
      </c>
      <c r="D653" s="17">
        <f t="shared" si="32"/>
        <v>1</v>
      </c>
      <c r="E653" s="17">
        <f t="shared" si="31"/>
        <v>1365</v>
      </c>
      <c r="F653" s="17" t="s">
        <v>4813</v>
      </c>
      <c r="G653" s="17">
        <f>MATCH(E653,Arenas!$F$8:$F$15)</f>
        <v>5</v>
      </c>
      <c r="H653" s="29" t="s">
        <v>2023</v>
      </c>
      <c r="I653" s="33" t="s">
        <v>6673</v>
      </c>
      <c r="J653" s="47" t="s">
        <v>6674</v>
      </c>
      <c r="K653" s="61" t="s">
        <v>4779</v>
      </c>
      <c r="L653" s="12" t="str">
        <f t="shared" si="30"/>
        <v>2,2,2</v>
      </c>
    </row>
    <row r="654" spans="2:12">
      <c r="B654" s="17">
        <v>953</v>
      </c>
      <c r="C654" s="17">
        <v>2</v>
      </c>
      <c r="D654" s="17">
        <f t="shared" si="32"/>
        <v>0</v>
      </c>
      <c r="E654" s="17">
        <f t="shared" si="31"/>
        <v>1365</v>
      </c>
      <c r="F654" s="17" t="s">
        <v>4813</v>
      </c>
      <c r="G654" s="17">
        <f>MATCH(E654,Arenas!$F$8:$F$15)</f>
        <v>5</v>
      </c>
      <c r="H654" s="29" t="s">
        <v>2024</v>
      </c>
      <c r="I654" s="33" t="s">
        <v>6675</v>
      </c>
      <c r="J654" s="47" t="s">
        <v>5008</v>
      </c>
      <c r="K654" s="61" t="s">
        <v>4779</v>
      </c>
      <c r="L654" s="12" t="str">
        <f t="shared" si="30"/>
        <v>2,2,2</v>
      </c>
    </row>
    <row r="655" spans="2:12">
      <c r="B655" s="17">
        <v>954</v>
      </c>
      <c r="C655" s="17">
        <v>2</v>
      </c>
      <c r="D655" s="17">
        <f t="shared" si="32"/>
        <v>0</v>
      </c>
      <c r="E655" s="17">
        <f t="shared" si="31"/>
        <v>1365</v>
      </c>
      <c r="F655" s="17" t="s">
        <v>4813</v>
      </c>
      <c r="G655" s="17">
        <f>MATCH(E655,Arenas!$F$8:$F$15)</f>
        <v>5</v>
      </c>
      <c r="H655" s="29" t="s">
        <v>2025</v>
      </c>
      <c r="I655" s="33" t="s">
        <v>6676</v>
      </c>
      <c r="J655" s="47" t="s">
        <v>6677</v>
      </c>
      <c r="K655" s="61" t="s">
        <v>4779</v>
      </c>
      <c r="L655" s="12" t="str">
        <f t="shared" si="30"/>
        <v>2,2,2</v>
      </c>
    </row>
    <row r="656" spans="2:12">
      <c r="B656" s="17">
        <v>955</v>
      </c>
      <c r="C656" s="17">
        <v>2</v>
      </c>
      <c r="D656" s="17">
        <f t="shared" si="32"/>
        <v>1</v>
      </c>
      <c r="E656" s="17">
        <f t="shared" si="31"/>
        <v>1366</v>
      </c>
      <c r="F656" s="17" t="s">
        <v>4813</v>
      </c>
      <c r="G656" s="17">
        <f>MATCH(E656,Arenas!$F$8:$F$15)</f>
        <v>5</v>
      </c>
      <c r="H656" s="29" t="s">
        <v>2026</v>
      </c>
      <c r="I656" s="33" t="s">
        <v>6678</v>
      </c>
      <c r="J656" s="47" t="s">
        <v>4930</v>
      </c>
      <c r="K656" s="61" t="s">
        <v>4779</v>
      </c>
      <c r="L656" s="12" t="str">
        <f t="shared" si="30"/>
        <v>2,2,2</v>
      </c>
    </row>
    <row r="657" spans="2:12">
      <c r="B657" s="17">
        <v>956</v>
      </c>
      <c r="C657" s="17">
        <v>2</v>
      </c>
      <c r="D657" s="17">
        <f t="shared" si="32"/>
        <v>0</v>
      </c>
      <c r="E657" s="17">
        <f t="shared" si="31"/>
        <v>1366</v>
      </c>
      <c r="F657" s="17" t="s">
        <v>4813</v>
      </c>
      <c r="G657" s="17">
        <f>MATCH(E657,Arenas!$F$8:$F$15)</f>
        <v>5</v>
      </c>
      <c r="H657" s="29" t="s">
        <v>2027</v>
      </c>
      <c r="I657" s="33" t="s">
        <v>6679</v>
      </c>
      <c r="J657" s="47" t="s">
        <v>6680</v>
      </c>
      <c r="K657" s="61" t="s">
        <v>4779</v>
      </c>
      <c r="L657" s="12" t="str">
        <f t="shared" si="30"/>
        <v>2,2,2</v>
      </c>
    </row>
    <row r="658" spans="2:12">
      <c r="B658" s="17">
        <v>957</v>
      </c>
      <c r="C658" s="17">
        <v>2</v>
      </c>
      <c r="D658" s="17">
        <f t="shared" si="32"/>
        <v>0</v>
      </c>
      <c r="E658" s="17">
        <f t="shared" si="31"/>
        <v>1366</v>
      </c>
      <c r="F658" s="17" t="s">
        <v>4813</v>
      </c>
      <c r="G658" s="17">
        <f>MATCH(E658,Arenas!$F$8:$F$15)</f>
        <v>5</v>
      </c>
      <c r="H658" s="29" t="s">
        <v>2028</v>
      </c>
      <c r="I658" s="33" t="s">
        <v>6681</v>
      </c>
      <c r="J658" s="47" t="s">
        <v>4607</v>
      </c>
      <c r="K658" s="61" t="s">
        <v>4779</v>
      </c>
      <c r="L658" s="12" t="str">
        <f t="shared" si="30"/>
        <v>2,2,2</v>
      </c>
    </row>
    <row r="659" spans="2:12">
      <c r="B659" s="17">
        <v>958</v>
      </c>
      <c r="C659" s="17">
        <v>2</v>
      </c>
      <c r="D659" s="17">
        <f t="shared" si="32"/>
        <v>1</v>
      </c>
      <c r="E659" s="17">
        <f t="shared" si="31"/>
        <v>1367</v>
      </c>
      <c r="F659" s="17" t="s">
        <v>4813</v>
      </c>
      <c r="G659" s="17">
        <f>MATCH(E659,Arenas!$F$8:$F$15)</f>
        <v>5</v>
      </c>
      <c r="H659" s="29" t="s">
        <v>2029</v>
      </c>
      <c r="I659" s="33" t="s">
        <v>6682</v>
      </c>
      <c r="J659" s="47" t="s">
        <v>5221</v>
      </c>
      <c r="K659" s="61" t="s">
        <v>4779</v>
      </c>
      <c r="L659" s="12" t="str">
        <f t="shared" si="30"/>
        <v>2,2,2</v>
      </c>
    </row>
    <row r="660" spans="2:12">
      <c r="B660" s="17">
        <v>959</v>
      </c>
      <c r="C660" s="17">
        <v>2</v>
      </c>
      <c r="D660" s="17">
        <f t="shared" si="32"/>
        <v>0</v>
      </c>
      <c r="E660" s="17">
        <f t="shared" si="31"/>
        <v>1367</v>
      </c>
      <c r="F660" s="17" t="s">
        <v>4813</v>
      </c>
      <c r="G660" s="17">
        <f>MATCH(E660,Arenas!$F$8:$F$15)</f>
        <v>5</v>
      </c>
      <c r="H660" s="29" t="s">
        <v>2030</v>
      </c>
      <c r="I660" s="33" t="s">
        <v>6683</v>
      </c>
      <c r="J660" s="47" t="s">
        <v>6684</v>
      </c>
      <c r="K660" s="61" t="s">
        <v>4779</v>
      </c>
      <c r="L660" s="12" t="str">
        <f t="shared" si="30"/>
        <v>2,2,2</v>
      </c>
    </row>
    <row r="661" spans="2:12">
      <c r="B661" s="17">
        <v>960</v>
      </c>
      <c r="C661" s="17">
        <v>2</v>
      </c>
      <c r="D661" s="17">
        <f t="shared" si="32"/>
        <v>0</v>
      </c>
      <c r="E661" s="17">
        <f t="shared" si="31"/>
        <v>1367</v>
      </c>
      <c r="F661" s="17" t="s">
        <v>4813</v>
      </c>
      <c r="G661" s="17">
        <f>MATCH(E661,Arenas!$F$8:$F$15)</f>
        <v>5</v>
      </c>
      <c r="H661" s="29" t="s">
        <v>2031</v>
      </c>
      <c r="I661" s="33" t="s">
        <v>6685</v>
      </c>
      <c r="J661" s="47" t="s">
        <v>6686</v>
      </c>
      <c r="K661" s="61" t="s">
        <v>4779</v>
      </c>
      <c r="L661" s="12" t="str">
        <f t="shared" si="30"/>
        <v>2,2,2</v>
      </c>
    </row>
    <row r="662" spans="2:12">
      <c r="B662" s="17">
        <v>961</v>
      </c>
      <c r="C662" s="17">
        <v>2</v>
      </c>
      <c r="D662" s="17">
        <f t="shared" si="32"/>
        <v>1</v>
      </c>
      <c r="E662" s="17">
        <f t="shared" si="31"/>
        <v>1368</v>
      </c>
      <c r="F662" s="17" t="s">
        <v>4813</v>
      </c>
      <c r="G662" s="17">
        <f>MATCH(E662,Arenas!$F$8:$F$15)</f>
        <v>5</v>
      </c>
      <c r="H662" s="29" t="s">
        <v>2032</v>
      </c>
      <c r="I662" s="33" t="s">
        <v>6687</v>
      </c>
      <c r="J662" s="47" t="s">
        <v>4597</v>
      </c>
      <c r="K662" s="61" t="s">
        <v>4779</v>
      </c>
      <c r="L662" s="12" t="str">
        <f t="shared" si="30"/>
        <v>2,2,2</v>
      </c>
    </row>
    <row r="663" spans="2:12">
      <c r="B663" s="17">
        <v>962</v>
      </c>
      <c r="C663" s="17">
        <v>2</v>
      </c>
      <c r="D663" s="17">
        <f t="shared" si="32"/>
        <v>0</v>
      </c>
      <c r="E663" s="17">
        <f t="shared" si="31"/>
        <v>1368</v>
      </c>
      <c r="F663" s="17" t="s">
        <v>4813</v>
      </c>
      <c r="G663" s="17">
        <f>MATCH(E663,Arenas!$F$8:$F$15)</f>
        <v>5</v>
      </c>
      <c r="H663" s="29" t="s">
        <v>2033</v>
      </c>
      <c r="I663" s="33" t="s">
        <v>6688</v>
      </c>
      <c r="J663" s="47" t="s">
        <v>6689</v>
      </c>
      <c r="K663" s="61" t="s">
        <v>4779</v>
      </c>
      <c r="L663" s="12" t="str">
        <f t="shared" si="30"/>
        <v>2,2,2</v>
      </c>
    </row>
    <row r="664" spans="2:12">
      <c r="B664" s="17">
        <v>963</v>
      </c>
      <c r="C664" s="17">
        <v>2</v>
      </c>
      <c r="D664" s="17">
        <f t="shared" si="32"/>
        <v>0</v>
      </c>
      <c r="E664" s="17">
        <f t="shared" si="31"/>
        <v>1368</v>
      </c>
      <c r="F664" s="17" t="s">
        <v>4813</v>
      </c>
      <c r="G664" s="17">
        <f>MATCH(E664,Arenas!$F$8:$F$15)</f>
        <v>5</v>
      </c>
      <c r="H664" s="29" t="s">
        <v>2034</v>
      </c>
      <c r="I664" s="33" t="s">
        <v>6690</v>
      </c>
      <c r="J664" s="47" t="s">
        <v>4921</v>
      </c>
      <c r="K664" s="61" t="s">
        <v>4779</v>
      </c>
      <c r="L664" s="12" t="str">
        <f t="shared" si="30"/>
        <v>2,2,2</v>
      </c>
    </row>
    <row r="665" spans="2:12">
      <c r="B665" s="17">
        <v>964</v>
      </c>
      <c r="C665" s="17">
        <v>2</v>
      </c>
      <c r="D665" s="17">
        <f t="shared" si="32"/>
        <v>1</v>
      </c>
      <c r="E665" s="17">
        <f t="shared" si="31"/>
        <v>1369</v>
      </c>
      <c r="F665" s="17" t="s">
        <v>4813</v>
      </c>
      <c r="G665" s="17">
        <f>MATCH(E665,Arenas!$F$8:$F$15)</f>
        <v>5</v>
      </c>
      <c r="H665" s="29" t="s">
        <v>2035</v>
      </c>
      <c r="I665" s="33" t="s">
        <v>6691</v>
      </c>
      <c r="J665" s="47" t="s">
        <v>6692</v>
      </c>
      <c r="K665" s="61" t="s">
        <v>4779</v>
      </c>
      <c r="L665" s="12" t="str">
        <f t="shared" si="30"/>
        <v>2,2,2</v>
      </c>
    </row>
    <row r="666" spans="2:12">
      <c r="B666" s="17">
        <v>965</v>
      </c>
      <c r="C666" s="17">
        <v>2</v>
      </c>
      <c r="D666" s="17">
        <f t="shared" si="32"/>
        <v>0</v>
      </c>
      <c r="E666" s="17">
        <f t="shared" si="31"/>
        <v>1369</v>
      </c>
      <c r="F666" s="17" t="s">
        <v>4813</v>
      </c>
      <c r="G666" s="17">
        <f>MATCH(E666,Arenas!$F$8:$F$15)</f>
        <v>5</v>
      </c>
      <c r="H666" s="29" t="s">
        <v>2036</v>
      </c>
      <c r="I666" s="33" t="s">
        <v>6693</v>
      </c>
      <c r="J666" s="47" t="s">
        <v>5427</v>
      </c>
      <c r="K666" s="61" t="s">
        <v>4779</v>
      </c>
      <c r="L666" s="12" t="str">
        <f t="shared" si="30"/>
        <v>2,2,2</v>
      </c>
    </row>
    <row r="667" spans="2:12">
      <c r="B667" s="17">
        <v>966</v>
      </c>
      <c r="C667" s="17">
        <v>2</v>
      </c>
      <c r="D667" s="17">
        <f t="shared" si="32"/>
        <v>0</v>
      </c>
      <c r="E667" s="17">
        <f t="shared" si="31"/>
        <v>1369</v>
      </c>
      <c r="F667" s="17" t="s">
        <v>4813</v>
      </c>
      <c r="G667" s="17">
        <f>MATCH(E667,Arenas!$F$8:$F$15)</f>
        <v>5</v>
      </c>
      <c r="H667" s="29" t="s">
        <v>2037</v>
      </c>
      <c r="I667" s="33" t="s">
        <v>6694</v>
      </c>
      <c r="J667" s="47" t="s">
        <v>4651</v>
      </c>
      <c r="K667" s="61" t="s">
        <v>4779</v>
      </c>
      <c r="L667" s="12" t="str">
        <f t="shared" si="30"/>
        <v>2,2,2</v>
      </c>
    </row>
    <row r="668" spans="2:12">
      <c r="B668" s="17">
        <v>967</v>
      </c>
      <c r="C668" s="17">
        <v>2</v>
      </c>
      <c r="D668" s="17">
        <f t="shared" si="32"/>
        <v>1</v>
      </c>
      <c r="E668" s="17">
        <f t="shared" si="31"/>
        <v>1370</v>
      </c>
      <c r="F668" s="17" t="s">
        <v>4813</v>
      </c>
      <c r="G668" s="17">
        <f>MATCH(E668,Arenas!$F$8:$F$15)</f>
        <v>5</v>
      </c>
      <c r="H668" s="29" t="s">
        <v>2038</v>
      </c>
      <c r="I668" s="33" t="s">
        <v>6695</v>
      </c>
      <c r="J668" s="47" t="s">
        <v>4696</v>
      </c>
      <c r="K668" s="61" t="s">
        <v>4779</v>
      </c>
      <c r="L668" s="12" t="str">
        <f t="shared" si="30"/>
        <v>2,2,2</v>
      </c>
    </row>
    <row r="669" spans="2:12">
      <c r="B669" s="17">
        <v>968</v>
      </c>
      <c r="C669" s="17">
        <v>2</v>
      </c>
      <c r="D669" s="17">
        <f t="shared" si="32"/>
        <v>0</v>
      </c>
      <c r="E669" s="17">
        <f t="shared" si="31"/>
        <v>1370</v>
      </c>
      <c r="F669" s="17" t="s">
        <v>4813</v>
      </c>
      <c r="G669" s="17">
        <f>MATCH(E669,Arenas!$F$8:$F$15)</f>
        <v>5</v>
      </c>
      <c r="H669" s="29" t="s">
        <v>2039</v>
      </c>
      <c r="I669" s="33" t="s">
        <v>6696</v>
      </c>
      <c r="J669" s="47" t="s">
        <v>5061</v>
      </c>
      <c r="K669" s="61" t="s">
        <v>4779</v>
      </c>
      <c r="L669" s="12" t="str">
        <f t="shared" si="30"/>
        <v>2,2,2</v>
      </c>
    </row>
    <row r="670" spans="2:12">
      <c r="B670" s="17">
        <v>969</v>
      </c>
      <c r="C670" s="17">
        <v>2</v>
      </c>
      <c r="D670" s="17">
        <f t="shared" si="32"/>
        <v>0</v>
      </c>
      <c r="E670" s="17">
        <f t="shared" si="31"/>
        <v>1370</v>
      </c>
      <c r="F670" s="17" t="s">
        <v>4813</v>
      </c>
      <c r="G670" s="17">
        <f>MATCH(E670,Arenas!$F$8:$F$15)</f>
        <v>5</v>
      </c>
      <c r="H670" s="29" t="s">
        <v>2040</v>
      </c>
      <c r="I670" s="33" t="s">
        <v>6697</v>
      </c>
      <c r="J670" s="47" t="s">
        <v>5495</v>
      </c>
      <c r="K670" s="61" t="s">
        <v>4779</v>
      </c>
      <c r="L670" s="12" t="str">
        <f t="shared" si="30"/>
        <v>2,2,2</v>
      </c>
    </row>
    <row r="671" spans="2:12">
      <c r="B671" s="17">
        <v>970</v>
      </c>
      <c r="C671" s="17">
        <v>2</v>
      </c>
      <c r="D671" s="17">
        <f t="shared" si="32"/>
        <v>1</v>
      </c>
      <c r="E671" s="17">
        <f t="shared" si="31"/>
        <v>1371</v>
      </c>
      <c r="F671" s="17" t="s">
        <v>4813</v>
      </c>
      <c r="G671" s="17">
        <f>MATCH(E671,Arenas!$F$8:$F$15)</f>
        <v>5</v>
      </c>
      <c r="H671" s="29" t="s">
        <v>2041</v>
      </c>
      <c r="I671" s="33" t="s">
        <v>6698</v>
      </c>
      <c r="J671" s="47" t="s">
        <v>5447</v>
      </c>
      <c r="K671" s="61" t="s">
        <v>4779</v>
      </c>
      <c r="L671" s="12" t="str">
        <f t="shared" si="30"/>
        <v>2,2,2</v>
      </c>
    </row>
    <row r="672" spans="2:12">
      <c r="B672" s="17">
        <v>971</v>
      </c>
      <c r="C672" s="17">
        <v>2</v>
      </c>
      <c r="D672" s="17">
        <f t="shared" si="32"/>
        <v>0</v>
      </c>
      <c r="E672" s="17">
        <f t="shared" si="31"/>
        <v>1371</v>
      </c>
      <c r="F672" s="17" t="s">
        <v>4813</v>
      </c>
      <c r="G672" s="17">
        <f>MATCH(E672,Arenas!$F$8:$F$15)</f>
        <v>5</v>
      </c>
      <c r="H672" s="29" t="s">
        <v>2042</v>
      </c>
      <c r="I672" s="33" t="s">
        <v>6699</v>
      </c>
      <c r="J672" s="47" t="s">
        <v>4637</v>
      </c>
      <c r="K672" s="61" t="s">
        <v>4779</v>
      </c>
      <c r="L672" s="12" t="str">
        <f t="shared" si="30"/>
        <v>2,2,2</v>
      </c>
    </row>
    <row r="673" spans="2:12">
      <c r="B673" s="17">
        <v>972</v>
      </c>
      <c r="C673" s="17">
        <v>2</v>
      </c>
      <c r="D673" s="17">
        <f t="shared" si="32"/>
        <v>0</v>
      </c>
      <c r="E673" s="17">
        <f t="shared" si="31"/>
        <v>1371</v>
      </c>
      <c r="F673" s="17" t="s">
        <v>4813</v>
      </c>
      <c r="G673" s="17">
        <f>MATCH(E673,Arenas!$F$8:$F$15)</f>
        <v>5</v>
      </c>
      <c r="H673" s="29" t="s">
        <v>2043</v>
      </c>
      <c r="I673" s="33" t="s">
        <v>6700</v>
      </c>
      <c r="J673" s="47" t="s">
        <v>6701</v>
      </c>
      <c r="K673" s="61" t="s">
        <v>4779</v>
      </c>
      <c r="L673" s="12" t="str">
        <f t="shared" si="30"/>
        <v>2,2,2</v>
      </c>
    </row>
    <row r="674" spans="2:12">
      <c r="B674" s="17">
        <v>973</v>
      </c>
      <c r="C674" s="17">
        <v>2</v>
      </c>
      <c r="D674" s="17">
        <f t="shared" si="32"/>
        <v>1</v>
      </c>
      <c r="E674" s="17">
        <f t="shared" si="31"/>
        <v>1372</v>
      </c>
      <c r="F674" s="17" t="s">
        <v>4813</v>
      </c>
      <c r="G674" s="17">
        <f>MATCH(E674,Arenas!$F$8:$F$15)</f>
        <v>5</v>
      </c>
      <c r="H674" s="29" t="s">
        <v>2044</v>
      </c>
      <c r="I674" s="33" t="s">
        <v>6702</v>
      </c>
      <c r="J674" s="47" t="s">
        <v>5649</v>
      </c>
      <c r="K674" s="61" t="s">
        <v>4807</v>
      </c>
      <c r="L674" s="12" t="str">
        <f t="shared" si="30"/>
        <v>2,2,2</v>
      </c>
    </row>
    <row r="675" spans="2:12">
      <c r="B675" s="17">
        <v>974</v>
      </c>
      <c r="C675" s="17">
        <v>2</v>
      </c>
      <c r="D675" s="17">
        <f t="shared" si="32"/>
        <v>0</v>
      </c>
      <c r="E675" s="17">
        <f t="shared" si="31"/>
        <v>1372</v>
      </c>
      <c r="F675" s="17" t="s">
        <v>4813</v>
      </c>
      <c r="G675" s="17">
        <f>MATCH(E675,Arenas!$F$8:$F$15)</f>
        <v>5</v>
      </c>
      <c r="H675" s="29" t="s">
        <v>2045</v>
      </c>
      <c r="I675" s="33" t="s">
        <v>6703</v>
      </c>
      <c r="J675" s="47" t="s">
        <v>6704</v>
      </c>
      <c r="K675" s="61" t="s">
        <v>4807</v>
      </c>
      <c r="L675" s="12" t="str">
        <f t="shared" si="30"/>
        <v>2,2,2</v>
      </c>
    </row>
    <row r="676" spans="2:12">
      <c r="B676" s="17">
        <v>975</v>
      </c>
      <c r="C676" s="17">
        <v>2</v>
      </c>
      <c r="D676" s="17">
        <f t="shared" si="32"/>
        <v>0</v>
      </c>
      <c r="E676" s="17">
        <f t="shared" si="31"/>
        <v>1372</v>
      </c>
      <c r="F676" s="17" t="s">
        <v>4813</v>
      </c>
      <c r="G676" s="17">
        <f>MATCH(E676,Arenas!$F$8:$F$15)</f>
        <v>5</v>
      </c>
      <c r="H676" s="29" t="s">
        <v>2046</v>
      </c>
      <c r="I676" s="33" t="s">
        <v>6705</v>
      </c>
      <c r="J676" s="47" t="s">
        <v>4923</v>
      </c>
      <c r="K676" s="61" t="s">
        <v>4779</v>
      </c>
      <c r="L676" s="12" t="str">
        <f t="shared" si="30"/>
        <v>2,2,2</v>
      </c>
    </row>
    <row r="677" spans="2:12">
      <c r="B677" s="17">
        <v>976</v>
      </c>
      <c r="C677" s="17">
        <v>2</v>
      </c>
      <c r="D677" s="17">
        <f t="shared" si="32"/>
        <v>1</v>
      </c>
      <c r="E677" s="17">
        <f t="shared" si="31"/>
        <v>1373</v>
      </c>
      <c r="F677" s="17" t="s">
        <v>4813</v>
      </c>
      <c r="G677" s="17">
        <f>MATCH(E677,Arenas!$F$8:$F$15)</f>
        <v>5</v>
      </c>
      <c r="H677" s="29" t="s">
        <v>2047</v>
      </c>
      <c r="I677" s="33" t="s">
        <v>6706</v>
      </c>
      <c r="J677" s="47" t="s">
        <v>4959</v>
      </c>
      <c r="K677" s="61" t="s">
        <v>4779</v>
      </c>
      <c r="L677" s="12" t="str">
        <f t="shared" si="30"/>
        <v>2,2,2</v>
      </c>
    </row>
    <row r="678" spans="2:12">
      <c r="B678" s="17">
        <v>977</v>
      </c>
      <c r="C678" s="17">
        <v>2</v>
      </c>
      <c r="D678" s="17">
        <f t="shared" si="32"/>
        <v>0</v>
      </c>
      <c r="E678" s="17">
        <f t="shared" si="31"/>
        <v>1373</v>
      </c>
      <c r="F678" s="17" t="s">
        <v>4813</v>
      </c>
      <c r="G678" s="17">
        <f>MATCH(E678,Arenas!$F$8:$F$15)</f>
        <v>5</v>
      </c>
      <c r="H678" s="29" t="s">
        <v>2048</v>
      </c>
      <c r="I678" s="33" t="s">
        <v>6707</v>
      </c>
      <c r="J678" s="47" t="s">
        <v>4933</v>
      </c>
      <c r="K678" s="61" t="s">
        <v>4779</v>
      </c>
      <c r="L678" s="12" t="str">
        <f t="shared" si="30"/>
        <v>2,2,2</v>
      </c>
    </row>
    <row r="679" spans="2:12">
      <c r="B679" s="17">
        <v>978</v>
      </c>
      <c r="C679" s="17">
        <v>2</v>
      </c>
      <c r="D679" s="17">
        <f t="shared" si="32"/>
        <v>0</v>
      </c>
      <c r="E679" s="17">
        <f t="shared" si="31"/>
        <v>1373</v>
      </c>
      <c r="F679" s="17" t="s">
        <v>4813</v>
      </c>
      <c r="G679" s="17">
        <f>MATCH(E679,Arenas!$F$8:$F$15)</f>
        <v>5</v>
      </c>
      <c r="H679" s="29" t="s">
        <v>2049</v>
      </c>
      <c r="I679" s="33" t="s">
        <v>6708</v>
      </c>
      <c r="J679" s="47" t="s">
        <v>5649</v>
      </c>
      <c r="K679" s="61" t="s">
        <v>4779</v>
      </c>
      <c r="L679" s="12" t="str">
        <f t="shared" si="30"/>
        <v>2,2,2</v>
      </c>
    </row>
    <row r="680" spans="2:12">
      <c r="B680" s="17">
        <v>979</v>
      </c>
      <c r="C680" s="17">
        <v>2</v>
      </c>
      <c r="D680" s="17">
        <f t="shared" si="32"/>
        <v>1</v>
      </c>
      <c r="E680" s="17">
        <f t="shared" si="31"/>
        <v>1374</v>
      </c>
      <c r="F680" s="17" t="s">
        <v>4813</v>
      </c>
      <c r="G680" s="17">
        <f>MATCH(E680,Arenas!$F$8:$F$15)</f>
        <v>5</v>
      </c>
      <c r="H680" s="29" t="s">
        <v>2050</v>
      </c>
      <c r="I680" s="33" t="s">
        <v>6709</v>
      </c>
      <c r="J680" s="47" t="s">
        <v>6710</v>
      </c>
      <c r="K680" s="61" t="s">
        <v>4779</v>
      </c>
      <c r="L680" s="12" t="str">
        <f t="shared" si="30"/>
        <v>2,2,2</v>
      </c>
    </row>
    <row r="681" spans="2:12">
      <c r="B681" s="17">
        <v>980</v>
      </c>
      <c r="C681" s="17">
        <v>2</v>
      </c>
      <c r="D681" s="17">
        <f t="shared" si="32"/>
        <v>0</v>
      </c>
      <c r="E681" s="17">
        <f t="shared" si="31"/>
        <v>1374</v>
      </c>
      <c r="F681" s="17" t="s">
        <v>4813</v>
      </c>
      <c r="G681" s="17">
        <f>MATCH(E681,Arenas!$F$8:$F$15)</f>
        <v>5</v>
      </c>
      <c r="H681" s="29" t="s">
        <v>2051</v>
      </c>
      <c r="I681" s="33" t="s">
        <v>6711</v>
      </c>
      <c r="J681" s="47" t="s">
        <v>6712</v>
      </c>
      <c r="K681" s="61" t="s">
        <v>4779</v>
      </c>
      <c r="L681" s="12" t="str">
        <f t="shared" si="30"/>
        <v>2,2,2</v>
      </c>
    </row>
    <row r="682" spans="2:12">
      <c r="B682" s="17">
        <v>981</v>
      </c>
      <c r="C682" s="17">
        <v>2</v>
      </c>
      <c r="D682" s="17">
        <f t="shared" si="32"/>
        <v>0</v>
      </c>
      <c r="E682" s="17">
        <f t="shared" si="31"/>
        <v>1374</v>
      </c>
      <c r="F682" s="17" t="s">
        <v>4813</v>
      </c>
      <c r="G682" s="17">
        <f>MATCH(E682,Arenas!$F$8:$F$15)</f>
        <v>5</v>
      </c>
      <c r="H682" s="29" t="s">
        <v>2052</v>
      </c>
      <c r="I682" s="33" t="s">
        <v>6713</v>
      </c>
      <c r="J682" s="47" t="s">
        <v>4896</v>
      </c>
      <c r="K682" s="61" t="s">
        <v>4779</v>
      </c>
      <c r="L682" s="12" t="str">
        <f t="shared" si="30"/>
        <v>2,2,2</v>
      </c>
    </row>
    <row r="683" spans="2:12">
      <c r="B683" s="17">
        <v>982</v>
      </c>
      <c r="C683" s="17">
        <v>2</v>
      </c>
      <c r="D683" s="17">
        <f t="shared" si="32"/>
        <v>1</v>
      </c>
      <c r="E683" s="17">
        <f t="shared" si="31"/>
        <v>1375</v>
      </c>
      <c r="F683" s="17" t="s">
        <v>4813</v>
      </c>
      <c r="G683" s="17">
        <f>MATCH(E683,Arenas!$F$8:$F$15)</f>
        <v>5</v>
      </c>
      <c r="H683" s="29" t="s">
        <v>2053</v>
      </c>
      <c r="I683" s="33" t="s">
        <v>6714</v>
      </c>
      <c r="J683" s="47" t="s">
        <v>5052</v>
      </c>
      <c r="K683" s="61" t="s">
        <v>4779</v>
      </c>
      <c r="L683" s="12" t="str">
        <f t="shared" si="30"/>
        <v>2,2,2</v>
      </c>
    </row>
    <row r="684" spans="2:12">
      <c r="B684" s="17">
        <v>983</v>
      </c>
      <c r="C684" s="17">
        <v>2</v>
      </c>
      <c r="D684" s="17">
        <f t="shared" si="32"/>
        <v>0</v>
      </c>
      <c r="E684" s="17">
        <f t="shared" si="31"/>
        <v>1375</v>
      </c>
      <c r="F684" s="17" t="s">
        <v>4813</v>
      </c>
      <c r="G684" s="17">
        <f>MATCH(E684,Arenas!$F$8:$F$15)</f>
        <v>5</v>
      </c>
      <c r="H684" s="29" t="s">
        <v>2054</v>
      </c>
      <c r="I684" s="33" t="s">
        <v>6715</v>
      </c>
      <c r="J684" s="47" t="s">
        <v>6658</v>
      </c>
      <c r="K684" s="61" t="s">
        <v>4779</v>
      </c>
      <c r="L684" s="12" t="str">
        <f t="shared" si="30"/>
        <v>2,2,2</v>
      </c>
    </row>
    <row r="685" spans="2:12">
      <c r="B685" s="17">
        <v>984</v>
      </c>
      <c r="C685" s="17">
        <v>2</v>
      </c>
      <c r="D685" s="17">
        <f t="shared" si="32"/>
        <v>0</v>
      </c>
      <c r="E685" s="17">
        <f t="shared" si="31"/>
        <v>1375</v>
      </c>
      <c r="F685" s="17" t="s">
        <v>4813</v>
      </c>
      <c r="G685" s="17">
        <f>MATCH(E685,Arenas!$F$8:$F$15)</f>
        <v>5</v>
      </c>
      <c r="H685" s="29" t="s">
        <v>2055</v>
      </c>
      <c r="I685" s="33" t="s">
        <v>6716</v>
      </c>
      <c r="J685" s="47" t="s">
        <v>6717</v>
      </c>
      <c r="K685" s="61" t="s">
        <v>4779</v>
      </c>
      <c r="L685" s="12" t="str">
        <f t="shared" si="30"/>
        <v>2,2,2</v>
      </c>
    </row>
    <row r="686" spans="2:12">
      <c r="B686" s="17">
        <v>985</v>
      </c>
      <c r="C686" s="17">
        <v>2</v>
      </c>
      <c r="D686" s="17">
        <f t="shared" si="32"/>
        <v>1</v>
      </c>
      <c r="E686" s="17">
        <f t="shared" si="31"/>
        <v>1376</v>
      </c>
      <c r="F686" s="17" t="s">
        <v>4813</v>
      </c>
      <c r="G686" s="17">
        <f>MATCH(E686,Arenas!$F$8:$F$15)</f>
        <v>5</v>
      </c>
      <c r="H686" s="29" t="s">
        <v>2056</v>
      </c>
      <c r="I686" s="33" t="s">
        <v>6718</v>
      </c>
      <c r="J686" s="47" t="s">
        <v>6514</v>
      </c>
      <c r="K686" s="61" t="s">
        <v>4779</v>
      </c>
      <c r="L686" s="12" t="str">
        <f t="shared" si="30"/>
        <v>2,2,2</v>
      </c>
    </row>
    <row r="687" spans="2:12">
      <c r="B687" s="17">
        <v>986</v>
      </c>
      <c r="C687" s="17">
        <v>2</v>
      </c>
      <c r="D687" s="17">
        <f t="shared" si="32"/>
        <v>0</v>
      </c>
      <c r="E687" s="17">
        <f t="shared" si="31"/>
        <v>1376</v>
      </c>
      <c r="F687" s="17" t="s">
        <v>4813</v>
      </c>
      <c r="G687" s="17">
        <f>MATCH(E687,Arenas!$F$8:$F$15)</f>
        <v>5</v>
      </c>
      <c r="H687" s="29" t="s">
        <v>2057</v>
      </c>
      <c r="I687" s="33" t="s">
        <v>6719</v>
      </c>
      <c r="J687" s="47" t="s">
        <v>5474</v>
      </c>
      <c r="K687" s="61" t="s">
        <v>4779</v>
      </c>
      <c r="L687" s="12" t="str">
        <f t="shared" si="30"/>
        <v>2,2,2</v>
      </c>
    </row>
    <row r="688" spans="2:12">
      <c r="B688" s="17">
        <v>987</v>
      </c>
      <c r="C688" s="17">
        <v>2</v>
      </c>
      <c r="D688" s="17">
        <f t="shared" si="32"/>
        <v>0</v>
      </c>
      <c r="E688" s="17">
        <f t="shared" si="31"/>
        <v>1376</v>
      </c>
      <c r="F688" s="17" t="s">
        <v>4813</v>
      </c>
      <c r="G688" s="17">
        <f>MATCH(E688,Arenas!$F$8:$F$15)</f>
        <v>5</v>
      </c>
      <c r="H688" s="29" t="s">
        <v>2058</v>
      </c>
      <c r="I688" s="33" t="s">
        <v>6720</v>
      </c>
      <c r="J688" s="47" t="s">
        <v>5023</v>
      </c>
      <c r="K688" s="61" t="s">
        <v>4779</v>
      </c>
      <c r="L688" s="12" t="str">
        <f t="shared" si="30"/>
        <v>2,2,2</v>
      </c>
    </row>
    <row r="689" spans="2:12">
      <c r="B689" s="17">
        <v>988</v>
      </c>
      <c r="C689" s="17">
        <v>2</v>
      </c>
      <c r="D689" s="17">
        <f t="shared" si="32"/>
        <v>1</v>
      </c>
      <c r="E689" s="17">
        <f t="shared" si="31"/>
        <v>1377</v>
      </c>
      <c r="F689" s="17" t="s">
        <v>4813</v>
      </c>
      <c r="G689" s="17">
        <f>MATCH(E689,Arenas!$F$8:$F$15)</f>
        <v>5</v>
      </c>
      <c r="H689" s="29" t="s">
        <v>2059</v>
      </c>
      <c r="I689" s="33" t="s">
        <v>6721</v>
      </c>
      <c r="J689" s="47" t="s">
        <v>6722</v>
      </c>
      <c r="K689" s="61" t="s">
        <v>4779</v>
      </c>
      <c r="L689" s="12" t="str">
        <f t="shared" si="30"/>
        <v>2,2,2</v>
      </c>
    </row>
    <row r="690" spans="2:12">
      <c r="B690" s="17">
        <v>989</v>
      </c>
      <c r="C690" s="17">
        <v>2</v>
      </c>
      <c r="D690" s="17">
        <f t="shared" si="32"/>
        <v>0</v>
      </c>
      <c r="E690" s="17">
        <f t="shared" si="31"/>
        <v>1377</v>
      </c>
      <c r="F690" s="17" t="s">
        <v>4813</v>
      </c>
      <c r="G690" s="17">
        <f>MATCH(E690,Arenas!$F$8:$F$15)</f>
        <v>5</v>
      </c>
      <c r="H690" s="29" t="s">
        <v>2060</v>
      </c>
      <c r="I690" s="33" t="s">
        <v>6723</v>
      </c>
      <c r="J690" s="47" t="s">
        <v>4929</v>
      </c>
      <c r="K690" s="61" t="s">
        <v>4779</v>
      </c>
      <c r="L690" s="12" t="str">
        <f t="shared" si="30"/>
        <v>2,2,2</v>
      </c>
    </row>
    <row r="691" spans="2:12">
      <c r="B691" s="17">
        <v>990</v>
      </c>
      <c r="C691" s="17">
        <v>2</v>
      </c>
      <c r="D691" s="17">
        <f t="shared" si="32"/>
        <v>0</v>
      </c>
      <c r="E691" s="17">
        <f t="shared" si="31"/>
        <v>1377</v>
      </c>
      <c r="F691" s="17" t="s">
        <v>4813</v>
      </c>
      <c r="G691" s="17">
        <f>MATCH(E691,Arenas!$F$8:$F$15)</f>
        <v>5</v>
      </c>
      <c r="H691" s="29" t="s">
        <v>2061</v>
      </c>
      <c r="I691" s="33" t="s">
        <v>6724</v>
      </c>
      <c r="J691" s="47" t="s">
        <v>4697</v>
      </c>
      <c r="K691" s="61" t="s">
        <v>4779</v>
      </c>
      <c r="L691" s="12" t="str">
        <f t="shared" si="30"/>
        <v>2,2,2</v>
      </c>
    </row>
    <row r="692" spans="2:12">
      <c r="B692" s="17">
        <v>991</v>
      </c>
      <c r="C692" s="17">
        <v>2</v>
      </c>
      <c r="D692" s="17">
        <f t="shared" si="32"/>
        <v>1</v>
      </c>
      <c r="E692" s="17">
        <f t="shared" si="31"/>
        <v>1378</v>
      </c>
      <c r="F692" s="17" t="s">
        <v>4813</v>
      </c>
      <c r="G692" s="17">
        <f>MATCH(E692,Arenas!$F$8:$F$15)</f>
        <v>5</v>
      </c>
      <c r="H692" s="29" t="s">
        <v>2062</v>
      </c>
      <c r="I692" s="33" t="s">
        <v>6725</v>
      </c>
      <c r="J692" s="47" t="s">
        <v>5228</v>
      </c>
      <c r="K692" s="61" t="s">
        <v>4779</v>
      </c>
      <c r="L692" s="12" t="str">
        <f t="shared" si="30"/>
        <v>2,2,2</v>
      </c>
    </row>
    <row r="693" spans="2:12">
      <c r="B693" s="17">
        <v>992</v>
      </c>
      <c r="C693" s="17">
        <v>2</v>
      </c>
      <c r="D693" s="17">
        <f t="shared" si="32"/>
        <v>0</v>
      </c>
      <c r="E693" s="17">
        <f t="shared" si="31"/>
        <v>1378</v>
      </c>
      <c r="F693" s="17" t="s">
        <v>4813</v>
      </c>
      <c r="G693" s="17">
        <f>MATCH(E693,Arenas!$F$8:$F$15)</f>
        <v>5</v>
      </c>
      <c r="H693" s="29" t="s">
        <v>2063</v>
      </c>
      <c r="I693" s="33" t="s">
        <v>6726</v>
      </c>
      <c r="J693" s="47" t="s">
        <v>5417</v>
      </c>
      <c r="K693" s="61" t="s">
        <v>4779</v>
      </c>
      <c r="L693" s="12" t="str">
        <f t="shared" si="30"/>
        <v>2,2,2</v>
      </c>
    </row>
    <row r="694" spans="2:12">
      <c r="B694" s="17">
        <v>993</v>
      </c>
      <c r="C694" s="17">
        <v>2</v>
      </c>
      <c r="D694" s="17">
        <f t="shared" si="32"/>
        <v>0</v>
      </c>
      <c r="E694" s="17">
        <f t="shared" si="31"/>
        <v>1378</v>
      </c>
      <c r="F694" s="17" t="s">
        <v>4813</v>
      </c>
      <c r="G694" s="17">
        <f>MATCH(E694,Arenas!$F$8:$F$15)</f>
        <v>5</v>
      </c>
      <c r="H694" s="29" t="s">
        <v>2064</v>
      </c>
      <c r="I694" s="33" t="s">
        <v>6727</v>
      </c>
      <c r="J694" s="47" t="s">
        <v>4694</v>
      </c>
      <c r="K694" s="61" t="s">
        <v>4779</v>
      </c>
      <c r="L694" s="12" t="str">
        <f t="shared" si="30"/>
        <v>2,2,2</v>
      </c>
    </row>
    <row r="695" spans="2:12">
      <c r="B695" s="17">
        <v>994</v>
      </c>
      <c r="C695" s="17">
        <v>2</v>
      </c>
      <c r="D695" s="17">
        <f t="shared" si="32"/>
        <v>1</v>
      </c>
      <c r="E695" s="17">
        <f t="shared" si="31"/>
        <v>1379</v>
      </c>
      <c r="F695" s="17" t="s">
        <v>4813</v>
      </c>
      <c r="G695" s="17">
        <f>MATCH(E695,Arenas!$F$8:$F$15)</f>
        <v>5</v>
      </c>
      <c r="H695" s="29" t="s">
        <v>2065</v>
      </c>
      <c r="I695" s="33" t="s">
        <v>6728</v>
      </c>
      <c r="J695" s="47" t="s">
        <v>5061</v>
      </c>
      <c r="K695" s="61" t="s">
        <v>4779</v>
      </c>
      <c r="L695" s="12" t="str">
        <f t="shared" si="30"/>
        <v>2,2,2</v>
      </c>
    </row>
    <row r="696" spans="2:12">
      <c r="B696" s="17">
        <v>995</v>
      </c>
      <c r="C696" s="17">
        <v>2</v>
      </c>
      <c r="D696" s="17">
        <f t="shared" si="32"/>
        <v>0</v>
      </c>
      <c r="E696" s="17">
        <f t="shared" si="31"/>
        <v>1379</v>
      </c>
      <c r="F696" s="17" t="s">
        <v>4813</v>
      </c>
      <c r="G696" s="17">
        <f>MATCH(E696,Arenas!$F$8:$F$15)</f>
        <v>5</v>
      </c>
      <c r="H696" s="29" t="s">
        <v>2066</v>
      </c>
      <c r="I696" s="33" t="s">
        <v>6729</v>
      </c>
      <c r="J696" s="47" t="s">
        <v>6610</v>
      </c>
      <c r="K696" s="61" t="s">
        <v>4779</v>
      </c>
      <c r="L696" s="12" t="str">
        <f t="shared" si="30"/>
        <v>2,2,2</v>
      </c>
    </row>
    <row r="697" spans="2:12">
      <c r="B697" s="17">
        <v>996</v>
      </c>
      <c r="C697" s="17">
        <v>2</v>
      </c>
      <c r="D697" s="17">
        <f t="shared" si="32"/>
        <v>0</v>
      </c>
      <c r="E697" s="17">
        <f t="shared" si="31"/>
        <v>1379</v>
      </c>
      <c r="F697" s="17" t="s">
        <v>4813</v>
      </c>
      <c r="G697" s="17">
        <f>MATCH(E697,Arenas!$F$8:$F$15)</f>
        <v>5</v>
      </c>
      <c r="H697" s="29" t="s">
        <v>2067</v>
      </c>
      <c r="I697" s="33" t="s">
        <v>6730</v>
      </c>
      <c r="J697" s="47" t="s">
        <v>5026</v>
      </c>
      <c r="K697" s="61" t="s">
        <v>4779</v>
      </c>
      <c r="L697" s="12" t="str">
        <f t="shared" si="30"/>
        <v>2,2,2</v>
      </c>
    </row>
    <row r="698" spans="2:12">
      <c r="B698" s="17">
        <v>997</v>
      </c>
      <c r="C698" s="17">
        <v>2</v>
      </c>
      <c r="D698" s="17">
        <f t="shared" si="32"/>
        <v>1</v>
      </c>
      <c r="E698" s="17">
        <f t="shared" si="31"/>
        <v>1380</v>
      </c>
      <c r="F698" s="17" t="s">
        <v>4813</v>
      </c>
      <c r="G698" s="17">
        <f>MATCH(E698,Arenas!$F$8:$F$15)</f>
        <v>5</v>
      </c>
      <c r="H698" s="29" t="s">
        <v>2068</v>
      </c>
      <c r="I698" s="33" t="s">
        <v>6731</v>
      </c>
      <c r="J698" s="47" t="s">
        <v>5599</v>
      </c>
      <c r="K698" s="61" t="s">
        <v>4779</v>
      </c>
      <c r="L698" s="12" t="str">
        <f t="shared" si="30"/>
        <v>2,2,2</v>
      </c>
    </row>
    <row r="699" spans="2:12">
      <c r="B699" s="17">
        <v>998</v>
      </c>
      <c r="C699" s="17">
        <v>2</v>
      </c>
      <c r="D699" s="17">
        <f t="shared" si="32"/>
        <v>0</v>
      </c>
      <c r="E699" s="17">
        <f t="shared" si="31"/>
        <v>1380</v>
      </c>
      <c r="F699" s="17" t="s">
        <v>4813</v>
      </c>
      <c r="G699" s="17">
        <f>MATCH(E699,Arenas!$F$8:$F$15)</f>
        <v>5</v>
      </c>
      <c r="H699" s="29" t="s">
        <v>2069</v>
      </c>
      <c r="I699" s="33" t="s">
        <v>6732</v>
      </c>
      <c r="J699" s="47" t="s">
        <v>4961</v>
      </c>
      <c r="K699" s="61" t="s">
        <v>4779</v>
      </c>
      <c r="L699" s="12" t="str">
        <f t="shared" si="30"/>
        <v>2,2,2</v>
      </c>
    </row>
    <row r="700" spans="2:12">
      <c r="B700" s="17">
        <v>999</v>
      </c>
      <c r="C700" s="17">
        <v>2</v>
      </c>
      <c r="D700" s="17">
        <f t="shared" si="32"/>
        <v>0</v>
      </c>
      <c r="E700" s="17">
        <f t="shared" si="31"/>
        <v>1380</v>
      </c>
      <c r="F700" s="17" t="s">
        <v>4813</v>
      </c>
      <c r="G700" s="17">
        <f>MATCH(E700,Arenas!$F$8:$F$15)</f>
        <v>5</v>
      </c>
      <c r="H700" s="29" t="s">
        <v>2070</v>
      </c>
      <c r="I700" s="33" t="s">
        <v>6733</v>
      </c>
      <c r="J700" s="47" t="s">
        <v>6734</v>
      </c>
      <c r="K700" s="61" t="s">
        <v>4779</v>
      </c>
      <c r="L700" s="12" t="str">
        <f t="shared" si="30"/>
        <v>2,2,2</v>
      </c>
    </row>
    <row r="701" spans="2:12">
      <c r="B701" s="17">
        <v>1000</v>
      </c>
      <c r="C701" s="17">
        <v>2</v>
      </c>
      <c r="D701" s="17">
        <f t="shared" si="32"/>
        <v>1</v>
      </c>
      <c r="E701" s="17">
        <f t="shared" si="31"/>
        <v>1381</v>
      </c>
      <c r="F701" s="17" t="s">
        <v>4813</v>
      </c>
      <c r="G701" s="17">
        <f>MATCH(E701,Arenas!$F$8:$F$15)</f>
        <v>5</v>
      </c>
      <c r="H701" s="29" t="s">
        <v>2071</v>
      </c>
      <c r="I701" s="33" t="s">
        <v>6735</v>
      </c>
      <c r="J701" s="47" t="s">
        <v>4880</v>
      </c>
      <c r="K701" s="61" t="s">
        <v>4779</v>
      </c>
      <c r="L701" s="12" t="str">
        <f t="shared" si="30"/>
        <v>2,2,2</v>
      </c>
    </row>
    <row r="702" spans="2:12">
      <c r="B702" s="17">
        <v>1001</v>
      </c>
      <c r="C702" s="17">
        <v>2</v>
      </c>
      <c r="D702" s="17">
        <f t="shared" si="32"/>
        <v>0</v>
      </c>
      <c r="E702" s="17">
        <f t="shared" si="31"/>
        <v>1381</v>
      </c>
      <c r="F702" s="17" t="s">
        <v>4813</v>
      </c>
      <c r="G702" s="17">
        <f>MATCH(E702,Arenas!$F$8:$F$15)</f>
        <v>5</v>
      </c>
      <c r="H702" s="29" t="s">
        <v>2072</v>
      </c>
      <c r="I702" s="33" t="s">
        <v>6736</v>
      </c>
      <c r="J702" s="47" t="s">
        <v>6737</v>
      </c>
      <c r="K702" s="61" t="s">
        <v>4779</v>
      </c>
      <c r="L702" s="12" t="str">
        <f t="shared" si="30"/>
        <v>2,2,2</v>
      </c>
    </row>
    <row r="703" spans="2:12">
      <c r="B703" s="17">
        <v>1002</v>
      </c>
      <c r="C703" s="17">
        <v>2</v>
      </c>
      <c r="D703" s="17">
        <f t="shared" si="32"/>
        <v>0</v>
      </c>
      <c r="E703" s="17">
        <f t="shared" si="31"/>
        <v>1381</v>
      </c>
      <c r="F703" s="17" t="s">
        <v>4813</v>
      </c>
      <c r="G703" s="17">
        <f>MATCH(E703,Arenas!$F$8:$F$15)</f>
        <v>5</v>
      </c>
      <c r="H703" s="29" t="s">
        <v>2073</v>
      </c>
      <c r="I703" s="33" t="s">
        <v>6738</v>
      </c>
      <c r="J703" s="47" t="s">
        <v>4649</v>
      </c>
      <c r="K703" s="61" t="s">
        <v>4779</v>
      </c>
      <c r="L703" s="12" t="str">
        <f t="shared" si="30"/>
        <v>2,2,2</v>
      </c>
    </row>
    <row r="704" spans="2:12">
      <c r="B704" s="17">
        <v>1003</v>
      </c>
      <c r="C704" s="17">
        <v>2</v>
      </c>
      <c r="D704" s="17">
        <f t="shared" si="32"/>
        <v>1</v>
      </c>
      <c r="E704" s="17">
        <f t="shared" si="31"/>
        <v>1382</v>
      </c>
      <c r="F704" s="17" t="s">
        <v>4813</v>
      </c>
      <c r="G704" s="17">
        <f>MATCH(E704,Arenas!$F$8:$F$15)</f>
        <v>5</v>
      </c>
      <c r="H704" s="29" t="s">
        <v>2074</v>
      </c>
      <c r="I704" s="33" t="s">
        <v>6739</v>
      </c>
      <c r="J704" s="47" t="s">
        <v>5060</v>
      </c>
      <c r="K704" s="61" t="s">
        <v>4779</v>
      </c>
      <c r="L704" s="12" t="str">
        <f t="shared" si="30"/>
        <v>2,2,2</v>
      </c>
    </row>
    <row r="705" spans="2:12">
      <c r="B705" s="17">
        <v>1004</v>
      </c>
      <c r="C705" s="17">
        <v>2</v>
      </c>
      <c r="D705" s="17">
        <f t="shared" si="32"/>
        <v>0</v>
      </c>
      <c r="E705" s="17">
        <f t="shared" si="31"/>
        <v>1382</v>
      </c>
      <c r="F705" s="17" t="s">
        <v>4813</v>
      </c>
      <c r="G705" s="17">
        <f>MATCH(E705,Arenas!$F$8:$F$15)</f>
        <v>5</v>
      </c>
      <c r="H705" s="29" t="s">
        <v>2075</v>
      </c>
      <c r="I705" s="33" t="s">
        <v>6740</v>
      </c>
      <c r="J705" s="47" t="s">
        <v>5673</v>
      </c>
      <c r="K705" s="61" t="s">
        <v>4779</v>
      </c>
      <c r="L705" s="12" t="str">
        <f t="shared" si="30"/>
        <v>2,2,2</v>
      </c>
    </row>
    <row r="706" spans="2:12">
      <c r="B706" s="17">
        <v>1005</v>
      </c>
      <c r="C706" s="17">
        <v>2</v>
      </c>
      <c r="D706" s="17">
        <f t="shared" si="32"/>
        <v>0</v>
      </c>
      <c r="E706" s="17">
        <f t="shared" si="31"/>
        <v>1382</v>
      </c>
      <c r="F706" s="17" t="s">
        <v>4813</v>
      </c>
      <c r="G706" s="17">
        <f>MATCH(E706,Arenas!$F$8:$F$15)</f>
        <v>5</v>
      </c>
      <c r="H706" s="29" t="s">
        <v>2076</v>
      </c>
      <c r="I706" s="33" t="s">
        <v>6741</v>
      </c>
      <c r="J706" s="47" t="s">
        <v>6742</v>
      </c>
      <c r="K706" s="61" t="s">
        <v>4779</v>
      </c>
      <c r="L706" s="12" t="str">
        <f t="shared" ref="L706:L769" si="33">C706&amp;","&amp;C706&amp;","&amp;C706</f>
        <v>2,2,2</v>
      </c>
    </row>
    <row r="707" spans="2:12">
      <c r="B707" s="17">
        <v>1006</v>
      </c>
      <c r="C707" s="17">
        <v>2</v>
      </c>
      <c r="D707" s="17">
        <f t="shared" si="32"/>
        <v>1</v>
      </c>
      <c r="E707" s="17">
        <f t="shared" ref="E707:E770" si="34">D707+E706</f>
        <v>1383</v>
      </c>
      <c r="F707" s="17" t="s">
        <v>4813</v>
      </c>
      <c r="G707" s="17">
        <f>MATCH(E707,Arenas!$F$8:$F$15)</f>
        <v>5</v>
      </c>
      <c r="H707" s="29" t="s">
        <v>2077</v>
      </c>
      <c r="I707" s="33" t="s">
        <v>6743</v>
      </c>
      <c r="J707" s="47" t="s">
        <v>4630</v>
      </c>
      <c r="K707" s="61" t="s">
        <v>4779</v>
      </c>
      <c r="L707" s="12" t="str">
        <f t="shared" si="33"/>
        <v>2,2,2</v>
      </c>
    </row>
    <row r="708" spans="2:12">
      <c r="B708" s="17">
        <v>1007</v>
      </c>
      <c r="C708" s="17">
        <v>2</v>
      </c>
      <c r="D708" s="17">
        <f t="shared" si="32"/>
        <v>0</v>
      </c>
      <c r="E708" s="17">
        <f t="shared" si="34"/>
        <v>1383</v>
      </c>
      <c r="F708" s="17" t="s">
        <v>4813</v>
      </c>
      <c r="G708" s="17">
        <f>MATCH(E708,Arenas!$F$8:$F$15)</f>
        <v>5</v>
      </c>
      <c r="H708" s="29" t="s">
        <v>2078</v>
      </c>
      <c r="I708" s="33" t="s">
        <v>6744</v>
      </c>
      <c r="J708" s="47" t="s">
        <v>4940</v>
      </c>
      <c r="K708" s="61" t="s">
        <v>4779</v>
      </c>
      <c r="L708" s="12" t="str">
        <f t="shared" si="33"/>
        <v>2,2,2</v>
      </c>
    </row>
    <row r="709" spans="2:12">
      <c r="B709" s="17">
        <v>1008</v>
      </c>
      <c r="C709" s="17">
        <v>2</v>
      </c>
      <c r="D709" s="17">
        <f t="shared" ref="D709:D772" si="35">D706</f>
        <v>0</v>
      </c>
      <c r="E709" s="17">
        <f t="shared" si="34"/>
        <v>1383</v>
      </c>
      <c r="F709" s="17" t="s">
        <v>4813</v>
      </c>
      <c r="G709" s="17">
        <f>MATCH(E709,Arenas!$F$8:$F$15)</f>
        <v>5</v>
      </c>
      <c r="H709" s="29" t="s">
        <v>2079</v>
      </c>
      <c r="I709" s="33" t="s">
        <v>6745</v>
      </c>
      <c r="J709" s="47" t="s">
        <v>4706</v>
      </c>
      <c r="K709" s="61" t="s">
        <v>4779</v>
      </c>
      <c r="L709" s="12" t="str">
        <f t="shared" si="33"/>
        <v>2,2,2</v>
      </c>
    </row>
    <row r="710" spans="2:12">
      <c r="B710" s="17">
        <v>1009</v>
      </c>
      <c r="C710" s="17">
        <v>2</v>
      </c>
      <c r="D710" s="17">
        <f t="shared" si="35"/>
        <v>1</v>
      </c>
      <c r="E710" s="17">
        <f t="shared" si="34"/>
        <v>1384</v>
      </c>
      <c r="F710" s="17" t="s">
        <v>4813</v>
      </c>
      <c r="G710" s="17">
        <f>MATCH(E710,Arenas!$F$8:$F$15)</f>
        <v>5</v>
      </c>
      <c r="H710" s="29" t="s">
        <v>2080</v>
      </c>
      <c r="I710" s="33" t="s">
        <v>6746</v>
      </c>
      <c r="J710" s="47" t="s">
        <v>6747</v>
      </c>
      <c r="K710" s="61" t="s">
        <v>4779</v>
      </c>
      <c r="L710" s="12" t="str">
        <f t="shared" si="33"/>
        <v>2,2,2</v>
      </c>
    </row>
    <row r="711" spans="2:12">
      <c r="B711" s="17">
        <v>1010</v>
      </c>
      <c r="C711" s="17">
        <v>2</v>
      </c>
      <c r="D711" s="17">
        <f t="shared" si="35"/>
        <v>0</v>
      </c>
      <c r="E711" s="17">
        <f t="shared" si="34"/>
        <v>1384</v>
      </c>
      <c r="F711" s="17" t="s">
        <v>4813</v>
      </c>
      <c r="G711" s="17">
        <f>MATCH(E711,Arenas!$F$8:$F$15)</f>
        <v>5</v>
      </c>
      <c r="H711" s="29" t="s">
        <v>2081</v>
      </c>
      <c r="I711" s="33" t="s">
        <v>6748</v>
      </c>
      <c r="J711" s="47" t="s">
        <v>1067</v>
      </c>
      <c r="K711" s="61" t="s">
        <v>4779</v>
      </c>
      <c r="L711" s="12" t="str">
        <f t="shared" si="33"/>
        <v>2,2,2</v>
      </c>
    </row>
    <row r="712" spans="2:12">
      <c r="B712" s="17">
        <v>1011</v>
      </c>
      <c r="C712" s="17">
        <v>2</v>
      </c>
      <c r="D712" s="17">
        <f t="shared" si="35"/>
        <v>0</v>
      </c>
      <c r="E712" s="17">
        <f t="shared" si="34"/>
        <v>1384</v>
      </c>
      <c r="F712" s="17" t="s">
        <v>4813</v>
      </c>
      <c r="G712" s="17">
        <f>MATCH(E712,Arenas!$F$8:$F$15)</f>
        <v>5</v>
      </c>
      <c r="H712" s="29" t="s">
        <v>2082</v>
      </c>
      <c r="I712" s="33" t="s">
        <v>6749</v>
      </c>
      <c r="J712" s="47" t="s">
        <v>5241</v>
      </c>
      <c r="K712" s="61" t="s">
        <v>4779</v>
      </c>
      <c r="L712" s="12" t="str">
        <f t="shared" si="33"/>
        <v>2,2,2</v>
      </c>
    </row>
    <row r="713" spans="2:12">
      <c r="B713" s="17">
        <v>1012</v>
      </c>
      <c r="C713" s="17">
        <v>2</v>
      </c>
      <c r="D713" s="17">
        <f t="shared" si="35"/>
        <v>1</v>
      </c>
      <c r="E713" s="17">
        <f t="shared" si="34"/>
        <v>1385</v>
      </c>
      <c r="F713" s="17" t="s">
        <v>4813</v>
      </c>
      <c r="G713" s="17">
        <f>MATCH(E713,Arenas!$F$8:$F$15)</f>
        <v>5</v>
      </c>
      <c r="H713" s="29" t="s">
        <v>2083</v>
      </c>
      <c r="I713" s="33" t="s">
        <v>6750</v>
      </c>
      <c r="J713" s="47" t="s">
        <v>5008</v>
      </c>
      <c r="K713" s="61" t="s">
        <v>4779</v>
      </c>
      <c r="L713" s="12" t="str">
        <f t="shared" si="33"/>
        <v>2,2,2</v>
      </c>
    </row>
    <row r="714" spans="2:12">
      <c r="B714" s="17">
        <v>1013</v>
      </c>
      <c r="C714" s="17">
        <v>2</v>
      </c>
      <c r="D714" s="17">
        <f t="shared" si="35"/>
        <v>0</v>
      </c>
      <c r="E714" s="17">
        <f t="shared" si="34"/>
        <v>1385</v>
      </c>
      <c r="F714" s="17" t="s">
        <v>4813</v>
      </c>
      <c r="G714" s="17">
        <f>MATCH(E714,Arenas!$F$8:$F$15)</f>
        <v>5</v>
      </c>
      <c r="H714" s="29" t="s">
        <v>2084</v>
      </c>
      <c r="I714" s="33" t="s">
        <v>6751</v>
      </c>
      <c r="J714" s="47" t="s">
        <v>5431</v>
      </c>
      <c r="K714" s="61" t="s">
        <v>4779</v>
      </c>
      <c r="L714" s="12" t="str">
        <f t="shared" si="33"/>
        <v>2,2,2</v>
      </c>
    </row>
    <row r="715" spans="2:12">
      <c r="B715" s="17">
        <v>1014</v>
      </c>
      <c r="C715" s="17">
        <v>2</v>
      </c>
      <c r="D715" s="17">
        <f t="shared" si="35"/>
        <v>0</v>
      </c>
      <c r="E715" s="17">
        <f t="shared" si="34"/>
        <v>1385</v>
      </c>
      <c r="F715" s="17" t="s">
        <v>4813</v>
      </c>
      <c r="G715" s="17">
        <f>MATCH(E715,Arenas!$F$8:$F$15)</f>
        <v>5</v>
      </c>
      <c r="H715" s="29" t="s">
        <v>2085</v>
      </c>
      <c r="I715" s="33" t="s">
        <v>6752</v>
      </c>
      <c r="J715" s="47" t="s">
        <v>6753</v>
      </c>
      <c r="K715" s="61" t="s">
        <v>4779</v>
      </c>
      <c r="L715" s="12" t="str">
        <f t="shared" si="33"/>
        <v>2,2,2</v>
      </c>
    </row>
    <row r="716" spans="2:12">
      <c r="B716" s="17">
        <v>1015</v>
      </c>
      <c r="C716" s="17">
        <v>2</v>
      </c>
      <c r="D716" s="17">
        <f t="shared" si="35"/>
        <v>1</v>
      </c>
      <c r="E716" s="17">
        <f t="shared" si="34"/>
        <v>1386</v>
      </c>
      <c r="F716" s="17" t="s">
        <v>4813</v>
      </c>
      <c r="G716" s="17">
        <f>MATCH(E716,Arenas!$F$8:$F$15)</f>
        <v>5</v>
      </c>
      <c r="H716" s="29" t="s">
        <v>2086</v>
      </c>
      <c r="I716" s="33" t="s">
        <v>6754</v>
      </c>
      <c r="J716" s="47" t="s">
        <v>5202</v>
      </c>
      <c r="K716" s="61" t="s">
        <v>4779</v>
      </c>
      <c r="L716" s="12" t="str">
        <f t="shared" si="33"/>
        <v>2,2,2</v>
      </c>
    </row>
    <row r="717" spans="2:12">
      <c r="B717" s="17">
        <v>1016</v>
      </c>
      <c r="C717" s="17">
        <v>2</v>
      </c>
      <c r="D717" s="17">
        <f t="shared" si="35"/>
        <v>0</v>
      </c>
      <c r="E717" s="17">
        <f t="shared" si="34"/>
        <v>1386</v>
      </c>
      <c r="F717" s="17" t="s">
        <v>4813</v>
      </c>
      <c r="G717" s="17">
        <f>MATCH(E717,Arenas!$F$8:$F$15)</f>
        <v>5</v>
      </c>
      <c r="H717" s="29" t="s">
        <v>2087</v>
      </c>
      <c r="I717" s="33" t="s">
        <v>6755</v>
      </c>
      <c r="J717" s="47" t="s">
        <v>4656</v>
      </c>
      <c r="K717" s="61" t="s">
        <v>4779</v>
      </c>
      <c r="L717" s="12" t="str">
        <f t="shared" si="33"/>
        <v>2,2,2</v>
      </c>
    </row>
    <row r="718" spans="2:12">
      <c r="B718" s="17">
        <v>1017</v>
      </c>
      <c r="C718" s="17">
        <v>2</v>
      </c>
      <c r="D718" s="17">
        <f t="shared" si="35"/>
        <v>0</v>
      </c>
      <c r="E718" s="17">
        <f t="shared" si="34"/>
        <v>1386</v>
      </c>
      <c r="F718" s="17" t="s">
        <v>4813</v>
      </c>
      <c r="G718" s="17">
        <f>MATCH(E718,Arenas!$F$8:$F$15)</f>
        <v>5</v>
      </c>
      <c r="H718" s="29" t="s">
        <v>2088</v>
      </c>
      <c r="I718" s="33" t="s">
        <v>6756</v>
      </c>
      <c r="J718" s="47" t="s">
        <v>4943</v>
      </c>
      <c r="K718" s="61" t="s">
        <v>4779</v>
      </c>
      <c r="L718" s="12" t="str">
        <f t="shared" si="33"/>
        <v>2,2,2</v>
      </c>
    </row>
    <row r="719" spans="2:12">
      <c r="B719" s="17">
        <v>1018</v>
      </c>
      <c r="C719" s="17">
        <v>2</v>
      </c>
      <c r="D719" s="17">
        <f t="shared" si="35"/>
        <v>1</v>
      </c>
      <c r="E719" s="17">
        <f t="shared" si="34"/>
        <v>1387</v>
      </c>
      <c r="F719" s="17" t="s">
        <v>4813</v>
      </c>
      <c r="G719" s="17">
        <f>MATCH(E719,Arenas!$F$8:$F$15)</f>
        <v>5</v>
      </c>
      <c r="H719" s="29" t="s">
        <v>2089</v>
      </c>
      <c r="I719" s="33" t="s">
        <v>6757</v>
      </c>
      <c r="J719" s="47" t="s">
        <v>4714</v>
      </c>
      <c r="K719" s="61" t="s">
        <v>4779</v>
      </c>
      <c r="L719" s="12" t="str">
        <f t="shared" si="33"/>
        <v>2,2,2</v>
      </c>
    </row>
    <row r="720" spans="2:12">
      <c r="B720" s="17">
        <v>1019</v>
      </c>
      <c r="C720" s="17">
        <v>2</v>
      </c>
      <c r="D720" s="17">
        <f t="shared" si="35"/>
        <v>0</v>
      </c>
      <c r="E720" s="17">
        <f t="shared" si="34"/>
        <v>1387</v>
      </c>
      <c r="F720" s="17" t="s">
        <v>4813</v>
      </c>
      <c r="G720" s="17">
        <f>MATCH(E720,Arenas!$F$8:$F$15)</f>
        <v>5</v>
      </c>
      <c r="H720" s="29" t="s">
        <v>2090</v>
      </c>
      <c r="I720" s="33" t="s">
        <v>6758</v>
      </c>
      <c r="J720" s="47" t="s">
        <v>5045</v>
      </c>
      <c r="K720" s="61" t="s">
        <v>4779</v>
      </c>
      <c r="L720" s="12" t="str">
        <f t="shared" si="33"/>
        <v>2,2,2</v>
      </c>
    </row>
    <row r="721" spans="2:12">
      <c r="B721" s="17">
        <v>1020</v>
      </c>
      <c r="C721" s="17">
        <v>2</v>
      </c>
      <c r="D721" s="17">
        <f t="shared" si="35"/>
        <v>0</v>
      </c>
      <c r="E721" s="17">
        <f t="shared" si="34"/>
        <v>1387</v>
      </c>
      <c r="F721" s="17" t="s">
        <v>4813</v>
      </c>
      <c r="G721" s="17">
        <f>MATCH(E721,Arenas!$F$8:$F$15)</f>
        <v>5</v>
      </c>
      <c r="H721" s="29" t="s">
        <v>2091</v>
      </c>
      <c r="I721" s="33" t="s">
        <v>6759</v>
      </c>
      <c r="J721" s="47" t="s">
        <v>6760</v>
      </c>
      <c r="K721" s="61" t="s">
        <v>4779</v>
      </c>
      <c r="L721" s="12" t="str">
        <f t="shared" si="33"/>
        <v>2,2,2</v>
      </c>
    </row>
    <row r="722" spans="2:12">
      <c r="B722" s="17">
        <v>1021</v>
      </c>
      <c r="C722" s="17">
        <v>2</v>
      </c>
      <c r="D722" s="17">
        <f t="shared" si="35"/>
        <v>1</v>
      </c>
      <c r="E722" s="17">
        <f t="shared" si="34"/>
        <v>1388</v>
      </c>
      <c r="F722" s="17" t="s">
        <v>4813</v>
      </c>
      <c r="G722" s="17">
        <f>MATCH(E722,Arenas!$F$8:$F$15)</f>
        <v>5</v>
      </c>
      <c r="H722" s="29" t="s">
        <v>2092</v>
      </c>
      <c r="I722" s="33" t="s">
        <v>6761</v>
      </c>
      <c r="J722" s="47" t="s">
        <v>4640</v>
      </c>
      <c r="K722" s="61" t="s">
        <v>4779</v>
      </c>
      <c r="L722" s="12" t="str">
        <f t="shared" si="33"/>
        <v>2,2,2</v>
      </c>
    </row>
    <row r="723" spans="2:12">
      <c r="B723" s="17">
        <v>1022</v>
      </c>
      <c r="C723" s="17">
        <v>2</v>
      </c>
      <c r="D723" s="17">
        <f t="shared" si="35"/>
        <v>0</v>
      </c>
      <c r="E723" s="17">
        <f t="shared" si="34"/>
        <v>1388</v>
      </c>
      <c r="F723" s="17" t="s">
        <v>4813</v>
      </c>
      <c r="G723" s="17">
        <f>MATCH(E723,Arenas!$F$8:$F$15)</f>
        <v>5</v>
      </c>
      <c r="H723" s="29" t="s">
        <v>2093</v>
      </c>
      <c r="I723" s="33" t="s">
        <v>6762</v>
      </c>
      <c r="J723" s="47" t="s">
        <v>6763</v>
      </c>
      <c r="K723" s="61" t="s">
        <v>4779</v>
      </c>
      <c r="L723" s="12" t="str">
        <f t="shared" si="33"/>
        <v>2,2,2</v>
      </c>
    </row>
    <row r="724" spans="2:12">
      <c r="B724" s="17">
        <v>1023</v>
      </c>
      <c r="C724" s="17">
        <v>2</v>
      </c>
      <c r="D724" s="17">
        <f t="shared" si="35"/>
        <v>0</v>
      </c>
      <c r="E724" s="17">
        <f t="shared" si="34"/>
        <v>1388</v>
      </c>
      <c r="F724" s="17" t="s">
        <v>4813</v>
      </c>
      <c r="G724" s="17">
        <f>MATCH(E724,Arenas!$F$8:$F$15)</f>
        <v>5</v>
      </c>
      <c r="H724" s="29" t="s">
        <v>2094</v>
      </c>
      <c r="I724" s="33" t="s">
        <v>6764</v>
      </c>
      <c r="J724" s="47" t="s">
        <v>6765</v>
      </c>
      <c r="K724" s="61" t="s">
        <v>4779</v>
      </c>
      <c r="L724" s="12" t="str">
        <f t="shared" si="33"/>
        <v>2,2,2</v>
      </c>
    </row>
    <row r="725" spans="2:12">
      <c r="B725" s="17">
        <v>1024</v>
      </c>
      <c r="C725" s="17">
        <v>2</v>
      </c>
      <c r="D725" s="17">
        <f t="shared" si="35"/>
        <v>1</v>
      </c>
      <c r="E725" s="17">
        <f t="shared" si="34"/>
        <v>1389</v>
      </c>
      <c r="F725" s="17" t="s">
        <v>4813</v>
      </c>
      <c r="G725" s="17">
        <f>MATCH(E725,Arenas!$F$8:$F$15)</f>
        <v>5</v>
      </c>
      <c r="H725" s="29" t="s">
        <v>2095</v>
      </c>
      <c r="I725" s="33" t="s">
        <v>6766</v>
      </c>
      <c r="J725" s="47" t="s">
        <v>5206</v>
      </c>
      <c r="K725" s="61" t="s">
        <v>4779</v>
      </c>
      <c r="L725" s="12" t="str">
        <f t="shared" si="33"/>
        <v>2,2,2</v>
      </c>
    </row>
    <row r="726" spans="2:12">
      <c r="B726" s="17">
        <v>1025</v>
      </c>
      <c r="C726" s="17">
        <v>2</v>
      </c>
      <c r="D726" s="17">
        <f t="shared" si="35"/>
        <v>0</v>
      </c>
      <c r="E726" s="17">
        <f t="shared" si="34"/>
        <v>1389</v>
      </c>
      <c r="F726" s="17" t="s">
        <v>4813</v>
      </c>
      <c r="G726" s="17">
        <f>MATCH(E726,Arenas!$F$8:$F$15)</f>
        <v>5</v>
      </c>
      <c r="H726" s="29" t="s">
        <v>2096</v>
      </c>
      <c r="I726" s="33" t="s">
        <v>6767</v>
      </c>
      <c r="J726" s="47" t="s">
        <v>4957</v>
      </c>
      <c r="K726" s="61" t="s">
        <v>4779</v>
      </c>
      <c r="L726" s="12" t="str">
        <f t="shared" si="33"/>
        <v>2,2,2</v>
      </c>
    </row>
    <row r="727" spans="2:12">
      <c r="B727" s="17">
        <v>1026</v>
      </c>
      <c r="C727" s="17">
        <v>2</v>
      </c>
      <c r="D727" s="17">
        <f t="shared" si="35"/>
        <v>0</v>
      </c>
      <c r="E727" s="17">
        <f t="shared" si="34"/>
        <v>1389</v>
      </c>
      <c r="F727" s="17" t="s">
        <v>4813</v>
      </c>
      <c r="G727" s="17">
        <f>MATCH(E727,Arenas!$F$8:$F$15)</f>
        <v>5</v>
      </c>
      <c r="H727" s="29" t="s">
        <v>2097</v>
      </c>
      <c r="I727" s="33" t="s">
        <v>6768</v>
      </c>
      <c r="J727" s="47" t="s">
        <v>5423</v>
      </c>
      <c r="K727" s="61" t="s">
        <v>4779</v>
      </c>
      <c r="L727" s="12" t="str">
        <f t="shared" si="33"/>
        <v>2,2,2</v>
      </c>
    </row>
    <row r="728" spans="2:12">
      <c r="B728" s="17">
        <v>1027</v>
      </c>
      <c r="C728" s="17">
        <v>2</v>
      </c>
      <c r="D728" s="17">
        <f t="shared" si="35"/>
        <v>1</v>
      </c>
      <c r="E728" s="17">
        <f t="shared" si="34"/>
        <v>1390</v>
      </c>
      <c r="F728" s="17" t="s">
        <v>4813</v>
      </c>
      <c r="G728" s="17">
        <f>MATCH(E728,Arenas!$F$8:$F$15)</f>
        <v>5</v>
      </c>
      <c r="H728" s="29" t="s">
        <v>2098</v>
      </c>
      <c r="I728" s="33" t="s">
        <v>6769</v>
      </c>
      <c r="J728" s="47" t="s">
        <v>4598</v>
      </c>
      <c r="K728" s="61" t="s">
        <v>4779</v>
      </c>
      <c r="L728" s="12" t="str">
        <f t="shared" si="33"/>
        <v>2,2,2</v>
      </c>
    </row>
    <row r="729" spans="2:12">
      <c r="B729" s="17">
        <v>1028</v>
      </c>
      <c r="C729" s="17">
        <v>2</v>
      </c>
      <c r="D729" s="17">
        <f t="shared" si="35"/>
        <v>0</v>
      </c>
      <c r="E729" s="17">
        <f t="shared" si="34"/>
        <v>1390</v>
      </c>
      <c r="F729" s="17" t="s">
        <v>4813</v>
      </c>
      <c r="G729" s="17">
        <f>MATCH(E729,Arenas!$F$8:$F$15)</f>
        <v>5</v>
      </c>
      <c r="H729" s="29" t="s">
        <v>2099</v>
      </c>
      <c r="I729" s="33" t="s">
        <v>6770</v>
      </c>
      <c r="J729" s="47" t="s">
        <v>4935</v>
      </c>
      <c r="K729" s="61" t="s">
        <v>4779</v>
      </c>
      <c r="L729" s="12" t="str">
        <f t="shared" si="33"/>
        <v>2,2,2</v>
      </c>
    </row>
    <row r="730" spans="2:12">
      <c r="B730" s="17">
        <v>1029</v>
      </c>
      <c r="C730" s="17">
        <v>2</v>
      </c>
      <c r="D730" s="17">
        <f t="shared" si="35"/>
        <v>0</v>
      </c>
      <c r="E730" s="17">
        <f t="shared" si="34"/>
        <v>1390</v>
      </c>
      <c r="F730" s="17" t="s">
        <v>4813</v>
      </c>
      <c r="G730" s="17">
        <f>MATCH(E730,Arenas!$F$8:$F$15)</f>
        <v>5</v>
      </c>
      <c r="H730" s="29" t="s">
        <v>2100</v>
      </c>
      <c r="I730" s="33" t="s">
        <v>6771</v>
      </c>
      <c r="J730" s="47" t="s">
        <v>4960</v>
      </c>
      <c r="K730" s="61" t="s">
        <v>4779</v>
      </c>
      <c r="L730" s="12" t="str">
        <f t="shared" si="33"/>
        <v>2,2,2</v>
      </c>
    </row>
    <row r="731" spans="2:12">
      <c r="B731" s="17">
        <v>1030</v>
      </c>
      <c r="C731" s="17">
        <v>2</v>
      </c>
      <c r="D731" s="17">
        <f t="shared" si="35"/>
        <v>1</v>
      </c>
      <c r="E731" s="17">
        <f t="shared" si="34"/>
        <v>1391</v>
      </c>
      <c r="F731" s="17" t="s">
        <v>4813</v>
      </c>
      <c r="G731" s="17">
        <f>MATCH(E731,Arenas!$F$8:$F$15)</f>
        <v>5</v>
      </c>
      <c r="H731" s="29" t="s">
        <v>2101</v>
      </c>
      <c r="I731" s="33" t="s">
        <v>6772</v>
      </c>
      <c r="J731" s="47" t="s">
        <v>5238</v>
      </c>
      <c r="K731" s="61" t="s">
        <v>4779</v>
      </c>
      <c r="L731" s="12" t="str">
        <f t="shared" si="33"/>
        <v>2,2,2</v>
      </c>
    </row>
    <row r="732" spans="2:12">
      <c r="B732" s="17">
        <v>1031</v>
      </c>
      <c r="C732" s="17">
        <v>2</v>
      </c>
      <c r="D732" s="17">
        <f t="shared" si="35"/>
        <v>0</v>
      </c>
      <c r="E732" s="17">
        <f t="shared" si="34"/>
        <v>1391</v>
      </c>
      <c r="F732" s="17" t="s">
        <v>4813</v>
      </c>
      <c r="G732" s="17">
        <f>MATCH(E732,Arenas!$F$8:$F$15)</f>
        <v>5</v>
      </c>
      <c r="H732" s="29" t="s">
        <v>2102</v>
      </c>
      <c r="I732" s="33" t="s">
        <v>6773</v>
      </c>
      <c r="J732" s="47" t="s">
        <v>4580</v>
      </c>
      <c r="K732" s="61" t="s">
        <v>4779</v>
      </c>
      <c r="L732" s="12" t="str">
        <f t="shared" si="33"/>
        <v>2,2,2</v>
      </c>
    </row>
    <row r="733" spans="2:12">
      <c r="B733" s="17">
        <v>1032</v>
      </c>
      <c r="C733" s="17">
        <v>2</v>
      </c>
      <c r="D733" s="17">
        <f t="shared" si="35"/>
        <v>0</v>
      </c>
      <c r="E733" s="17">
        <f t="shared" si="34"/>
        <v>1391</v>
      </c>
      <c r="F733" s="17" t="s">
        <v>4813</v>
      </c>
      <c r="G733" s="17">
        <f>MATCH(E733,Arenas!$F$8:$F$15)</f>
        <v>5</v>
      </c>
      <c r="H733" s="29" t="s">
        <v>2103</v>
      </c>
      <c r="I733" s="33" t="s">
        <v>6774</v>
      </c>
      <c r="J733" s="47" t="s">
        <v>4636</v>
      </c>
      <c r="K733" s="61" t="s">
        <v>4779</v>
      </c>
      <c r="L733" s="12" t="str">
        <f t="shared" si="33"/>
        <v>2,2,2</v>
      </c>
    </row>
    <row r="734" spans="2:12">
      <c r="B734" s="17">
        <v>1033</v>
      </c>
      <c r="C734" s="17">
        <v>2</v>
      </c>
      <c r="D734" s="17">
        <f t="shared" si="35"/>
        <v>1</v>
      </c>
      <c r="E734" s="17">
        <f t="shared" si="34"/>
        <v>1392</v>
      </c>
      <c r="F734" s="17" t="s">
        <v>4813</v>
      </c>
      <c r="G734" s="17">
        <f>MATCH(E734,Arenas!$F$8:$F$15)</f>
        <v>5</v>
      </c>
      <c r="H734" s="29" t="s">
        <v>2104</v>
      </c>
      <c r="I734" s="33" t="s">
        <v>6775</v>
      </c>
      <c r="J734" s="47" t="s">
        <v>6454</v>
      </c>
      <c r="K734" s="61" t="s">
        <v>4779</v>
      </c>
      <c r="L734" s="12" t="str">
        <f t="shared" si="33"/>
        <v>2,2,2</v>
      </c>
    </row>
    <row r="735" spans="2:12">
      <c r="B735" s="17">
        <v>1034</v>
      </c>
      <c r="C735" s="17">
        <v>2</v>
      </c>
      <c r="D735" s="17">
        <f t="shared" si="35"/>
        <v>0</v>
      </c>
      <c r="E735" s="17">
        <f t="shared" si="34"/>
        <v>1392</v>
      </c>
      <c r="F735" s="17" t="s">
        <v>4813</v>
      </c>
      <c r="G735" s="17">
        <f>MATCH(E735,Arenas!$F$8:$F$15)</f>
        <v>5</v>
      </c>
      <c r="H735" s="29" t="s">
        <v>2105</v>
      </c>
      <c r="I735" s="33" t="s">
        <v>6776</v>
      </c>
      <c r="J735" s="47" t="s">
        <v>5235</v>
      </c>
      <c r="K735" s="61" t="s">
        <v>4779</v>
      </c>
      <c r="L735" s="12" t="str">
        <f t="shared" si="33"/>
        <v>2,2,2</v>
      </c>
    </row>
    <row r="736" spans="2:12">
      <c r="B736" s="17">
        <v>1035</v>
      </c>
      <c r="C736" s="17">
        <v>2</v>
      </c>
      <c r="D736" s="17">
        <f t="shared" si="35"/>
        <v>0</v>
      </c>
      <c r="E736" s="17">
        <f t="shared" si="34"/>
        <v>1392</v>
      </c>
      <c r="F736" s="17" t="s">
        <v>4813</v>
      </c>
      <c r="G736" s="17">
        <f>MATCH(E736,Arenas!$F$8:$F$15)</f>
        <v>5</v>
      </c>
      <c r="H736" s="29" t="s">
        <v>2106</v>
      </c>
      <c r="I736" s="33" t="s">
        <v>6777</v>
      </c>
      <c r="J736" s="47" t="s">
        <v>5402</v>
      </c>
      <c r="K736" s="61" t="s">
        <v>4779</v>
      </c>
      <c r="L736" s="12" t="str">
        <f t="shared" si="33"/>
        <v>2,2,2</v>
      </c>
    </row>
    <row r="737" spans="2:12">
      <c r="B737" s="17">
        <v>1036</v>
      </c>
      <c r="C737" s="17">
        <v>2</v>
      </c>
      <c r="D737" s="17">
        <f t="shared" si="35"/>
        <v>1</v>
      </c>
      <c r="E737" s="17">
        <f t="shared" si="34"/>
        <v>1393</v>
      </c>
      <c r="F737" s="17" t="s">
        <v>4813</v>
      </c>
      <c r="G737" s="17">
        <f>MATCH(E737,Arenas!$F$8:$F$15)</f>
        <v>5</v>
      </c>
      <c r="H737" s="29" t="s">
        <v>2107</v>
      </c>
      <c r="I737" s="33" t="s">
        <v>6778</v>
      </c>
      <c r="J737" s="47" t="s">
        <v>4646</v>
      </c>
      <c r="K737" s="61" t="s">
        <v>4779</v>
      </c>
      <c r="L737" s="12" t="str">
        <f t="shared" si="33"/>
        <v>2,2,2</v>
      </c>
    </row>
    <row r="738" spans="2:12">
      <c r="B738" s="17">
        <v>1037</v>
      </c>
      <c r="C738" s="17">
        <v>2</v>
      </c>
      <c r="D738" s="17">
        <f t="shared" si="35"/>
        <v>0</v>
      </c>
      <c r="E738" s="17">
        <f t="shared" si="34"/>
        <v>1393</v>
      </c>
      <c r="F738" s="17" t="s">
        <v>4813</v>
      </c>
      <c r="G738" s="17">
        <f>MATCH(E738,Arenas!$F$8:$F$15)</f>
        <v>5</v>
      </c>
      <c r="H738" s="29" t="s">
        <v>2108</v>
      </c>
      <c r="I738" s="33" t="s">
        <v>6779</v>
      </c>
      <c r="J738" s="47" t="s">
        <v>4923</v>
      </c>
      <c r="K738" s="61" t="s">
        <v>4779</v>
      </c>
      <c r="L738" s="12" t="str">
        <f t="shared" si="33"/>
        <v>2,2,2</v>
      </c>
    </row>
    <row r="739" spans="2:12">
      <c r="B739" s="17">
        <v>1038</v>
      </c>
      <c r="C739" s="17">
        <v>2</v>
      </c>
      <c r="D739" s="17">
        <f t="shared" si="35"/>
        <v>0</v>
      </c>
      <c r="E739" s="17">
        <f t="shared" si="34"/>
        <v>1393</v>
      </c>
      <c r="F739" s="17" t="s">
        <v>4813</v>
      </c>
      <c r="G739" s="17">
        <f>MATCH(E739,Arenas!$F$8:$F$15)</f>
        <v>5</v>
      </c>
      <c r="H739" s="29" t="s">
        <v>2109</v>
      </c>
      <c r="I739" s="33" t="s">
        <v>6780</v>
      </c>
      <c r="J739" s="47" t="s">
        <v>6781</v>
      </c>
      <c r="K739" s="61" t="s">
        <v>4779</v>
      </c>
      <c r="L739" s="12" t="str">
        <f t="shared" si="33"/>
        <v>2,2,2</v>
      </c>
    </row>
    <row r="740" spans="2:12">
      <c r="B740" s="17">
        <v>1039</v>
      </c>
      <c r="C740" s="17">
        <v>2</v>
      </c>
      <c r="D740" s="17">
        <f t="shared" si="35"/>
        <v>1</v>
      </c>
      <c r="E740" s="17">
        <f t="shared" si="34"/>
        <v>1394</v>
      </c>
      <c r="F740" s="17" t="s">
        <v>4813</v>
      </c>
      <c r="G740" s="17">
        <f>MATCH(E740,Arenas!$F$8:$F$15)</f>
        <v>5</v>
      </c>
      <c r="H740" s="29" t="s">
        <v>2110</v>
      </c>
      <c r="I740" s="33" t="s">
        <v>6782</v>
      </c>
      <c r="J740" s="47" t="s">
        <v>6783</v>
      </c>
      <c r="K740" s="61" t="s">
        <v>4779</v>
      </c>
      <c r="L740" s="12" t="str">
        <f t="shared" si="33"/>
        <v>2,2,2</v>
      </c>
    </row>
    <row r="741" spans="2:12">
      <c r="B741" s="17">
        <v>1040</v>
      </c>
      <c r="C741" s="17">
        <v>2</v>
      </c>
      <c r="D741" s="17">
        <f t="shared" si="35"/>
        <v>0</v>
      </c>
      <c r="E741" s="17">
        <f t="shared" si="34"/>
        <v>1394</v>
      </c>
      <c r="F741" s="17" t="s">
        <v>4813</v>
      </c>
      <c r="G741" s="17">
        <f>MATCH(E741,Arenas!$F$8:$F$15)</f>
        <v>5</v>
      </c>
      <c r="H741" s="29" t="s">
        <v>2111</v>
      </c>
      <c r="I741" s="33" t="s">
        <v>6784</v>
      </c>
      <c r="J741" s="47" t="s">
        <v>4636</v>
      </c>
      <c r="K741" s="61" t="s">
        <v>4779</v>
      </c>
      <c r="L741" s="12" t="str">
        <f t="shared" si="33"/>
        <v>2,2,2</v>
      </c>
    </row>
    <row r="742" spans="2:12">
      <c r="B742" s="17">
        <v>1041</v>
      </c>
      <c r="C742" s="17">
        <v>2</v>
      </c>
      <c r="D742" s="17">
        <f t="shared" si="35"/>
        <v>0</v>
      </c>
      <c r="E742" s="17">
        <f t="shared" si="34"/>
        <v>1394</v>
      </c>
      <c r="F742" s="17" t="s">
        <v>4813</v>
      </c>
      <c r="G742" s="17">
        <f>MATCH(E742,Arenas!$F$8:$F$15)</f>
        <v>5</v>
      </c>
      <c r="H742" s="29" t="s">
        <v>2112</v>
      </c>
      <c r="I742" s="33" t="s">
        <v>6785</v>
      </c>
      <c r="J742" s="47" t="s">
        <v>6786</v>
      </c>
      <c r="K742" s="61" t="s">
        <v>4779</v>
      </c>
      <c r="L742" s="12" t="str">
        <f t="shared" si="33"/>
        <v>2,2,2</v>
      </c>
    </row>
    <row r="743" spans="2:12">
      <c r="B743" s="17">
        <v>1042</v>
      </c>
      <c r="C743" s="17">
        <v>2</v>
      </c>
      <c r="D743" s="17">
        <f t="shared" si="35"/>
        <v>1</v>
      </c>
      <c r="E743" s="17">
        <f t="shared" si="34"/>
        <v>1395</v>
      </c>
      <c r="F743" s="17" t="s">
        <v>4813</v>
      </c>
      <c r="G743" s="17">
        <f>MATCH(E743,Arenas!$F$8:$F$15)</f>
        <v>5</v>
      </c>
      <c r="H743" s="29" t="s">
        <v>2113</v>
      </c>
      <c r="I743" s="33" t="s">
        <v>6787</v>
      </c>
      <c r="J743" s="47" t="s">
        <v>5431</v>
      </c>
      <c r="K743" s="61" t="s">
        <v>4779</v>
      </c>
      <c r="L743" s="12" t="str">
        <f t="shared" si="33"/>
        <v>2,2,2</v>
      </c>
    </row>
    <row r="744" spans="2:12">
      <c r="B744" s="17">
        <v>1043</v>
      </c>
      <c r="C744" s="17">
        <v>2</v>
      </c>
      <c r="D744" s="17">
        <f t="shared" si="35"/>
        <v>0</v>
      </c>
      <c r="E744" s="17">
        <f t="shared" si="34"/>
        <v>1395</v>
      </c>
      <c r="F744" s="17" t="s">
        <v>4813</v>
      </c>
      <c r="G744" s="17">
        <f>MATCH(E744,Arenas!$F$8:$F$15)</f>
        <v>5</v>
      </c>
      <c r="H744" s="29" t="s">
        <v>2114</v>
      </c>
      <c r="I744" s="33" t="s">
        <v>6788</v>
      </c>
      <c r="J744" s="47" t="s">
        <v>6789</v>
      </c>
      <c r="K744" s="61" t="s">
        <v>4779</v>
      </c>
      <c r="L744" s="12" t="str">
        <f t="shared" si="33"/>
        <v>2,2,2</v>
      </c>
    </row>
    <row r="745" spans="2:12">
      <c r="B745" s="17">
        <v>1044</v>
      </c>
      <c r="C745" s="17">
        <v>2</v>
      </c>
      <c r="D745" s="17">
        <f t="shared" si="35"/>
        <v>0</v>
      </c>
      <c r="E745" s="17">
        <f t="shared" si="34"/>
        <v>1395</v>
      </c>
      <c r="F745" s="17" t="s">
        <v>4813</v>
      </c>
      <c r="G745" s="17">
        <f>MATCH(E745,Arenas!$F$8:$F$15)</f>
        <v>5</v>
      </c>
      <c r="H745" s="29" t="s">
        <v>2115</v>
      </c>
      <c r="I745" s="33" t="s">
        <v>6790</v>
      </c>
      <c r="J745" s="47" t="s">
        <v>6791</v>
      </c>
      <c r="K745" s="61" t="s">
        <v>4779</v>
      </c>
      <c r="L745" s="12" t="str">
        <f t="shared" si="33"/>
        <v>2,2,2</v>
      </c>
    </row>
    <row r="746" spans="2:12">
      <c r="B746" s="17">
        <v>1045</v>
      </c>
      <c r="C746" s="17">
        <v>2</v>
      </c>
      <c r="D746" s="17">
        <f t="shared" si="35"/>
        <v>1</v>
      </c>
      <c r="E746" s="17">
        <f t="shared" si="34"/>
        <v>1396</v>
      </c>
      <c r="F746" s="17" t="s">
        <v>4813</v>
      </c>
      <c r="G746" s="17">
        <f>MATCH(E746,Arenas!$F$8:$F$15)</f>
        <v>5</v>
      </c>
      <c r="H746" s="29" t="s">
        <v>2116</v>
      </c>
      <c r="I746" s="33" t="s">
        <v>6792</v>
      </c>
      <c r="J746" s="47" t="s">
        <v>5587</v>
      </c>
      <c r="K746" s="61" t="s">
        <v>4779</v>
      </c>
      <c r="L746" s="12" t="str">
        <f t="shared" si="33"/>
        <v>2,2,2</v>
      </c>
    </row>
    <row r="747" spans="2:12">
      <c r="B747" s="17">
        <v>1046</v>
      </c>
      <c r="C747" s="17">
        <v>2</v>
      </c>
      <c r="D747" s="17">
        <f t="shared" si="35"/>
        <v>0</v>
      </c>
      <c r="E747" s="17">
        <f t="shared" si="34"/>
        <v>1396</v>
      </c>
      <c r="F747" s="17" t="s">
        <v>4813</v>
      </c>
      <c r="G747" s="17">
        <f>MATCH(E747,Arenas!$F$8:$F$15)</f>
        <v>5</v>
      </c>
      <c r="H747" s="29" t="s">
        <v>2117</v>
      </c>
      <c r="I747" s="33" t="s">
        <v>6793</v>
      </c>
      <c r="J747" s="47" t="s">
        <v>6794</v>
      </c>
      <c r="K747" s="61" t="s">
        <v>4779</v>
      </c>
      <c r="L747" s="12" t="str">
        <f t="shared" si="33"/>
        <v>2,2,2</v>
      </c>
    </row>
    <row r="748" spans="2:12">
      <c r="B748" s="17">
        <v>1047</v>
      </c>
      <c r="C748" s="17">
        <v>2</v>
      </c>
      <c r="D748" s="17">
        <f t="shared" si="35"/>
        <v>0</v>
      </c>
      <c r="E748" s="17">
        <f t="shared" si="34"/>
        <v>1396</v>
      </c>
      <c r="F748" s="17" t="s">
        <v>4813</v>
      </c>
      <c r="G748" s="17">
        <f>MATCH(E748,Arenas!$F$8:$F$15)</f>
        <v>5</v>
      </c>
      <c r="H748" s="29" t="s">
        <v>2118</v>
      </c>
      <c r="I748" s="33" t="s">
        <v>6795</v>
      </c>
      <c r="J748" s="47" t="s">
        <v>5444</v>
      </c>
      <c r="K748" s="61" t="s">
        <v>4779</v>
      </c>
      <c r="L748" s="12" t="str">
        <f t="shared" si="33"/>
        <v>2,2,2</v>
      </c>
    </row>
    <row r="749" spans="2:12">
      <c r="B749" s="17">
        <v>1048</v>
      </c>
      <c r="C749" s="17">
        <v>2</v>
      </c>
      <c r="D749" s="17">
        <f t="shared" si="35"/>
        <v>1</v>
      </c>
      <c r="E749" s="17">
        <f t="shared" si="34"/>
        <v>1397</v>
      </c>
      <c r="F749" s="17" t="s">
        <v>4813</v>
      </c>
      <c r="G749" s="17">
        <f>MATCH(E749,Arenas!$F$8:$F$15)</f>
        <v>5</v>
      </c>
      <c r="H749" s="29" t="s">
        <v>2119</v>
      </c>
      <c r="I749" s="33" t="s">
        <v>6796</v>
      </c>
      <c r="J749" s="47" t="s">
        <v>6797</v>
      </c>
      <c r="K749" s="61" t="s">
        <v>4779</v>
      </c>
      <c r="L749" s="12" t="str">
        <f t="shared" si="33"/>
        <v>2,2,2</v>
      </c>
    </row>
    <row r="750" spans="2:12">
      <c r="B750" s="17">
        <v>1049</v>
      </c>
      <c r="C750" s="17">
        <v>2</v>
      </c>
      <c r="D750" s="17">
        <f t="shared" si="35"/>
        <v>0</v>
      </c>
      <c r="E750" s="17">
        <f t="shared" si="34"/>
        <v>1397</v>
      </c>
      <c r="F750" s="17" t="s">
        <v>4813</v>
      </c>
      <c r="G750" s="17">
        <f>MATCH(E750,Arenas!$F$8:$F$15)</f>
        <v>5</v>
      </c>
      <c r="H750" s="29" t="s">
        <v>2120</v>
      </c>
      <c r="I750" s="33" t="s">
        <v>6798</v>
      </c>
      <c r="J750" s="47" t="s">
        <v>4943</v>
      </c>
      <c r="K750" s="61" t="s">
        <v>4779</v>
      </c>
      <c r="L750" s="12" t="str">
        <f t="shared" si="33"/>
        <v>2,2,2</v>
      </c>
    </row>
    <row r="751" spans="2:12">
      <c r="B751" s="17">
        <v>1050</v>
      </c>
      <c r="C751" s="17">
        <v>2</v>
      </c>
      <c r="D751" s="17">
        <f t="shared" si="35"/>
        <v>0</v>
      </c>
      <c r="E751" s="17">
        <f t="shared" si="34"/>
        <v>1397</v>
      </c>
      <c r="F751" s="17" t="s">
        <v>4813</v>
      </c>
      <c r="G751" s="17">
        <f>MATCH(E751,Arenas!$F$8:$F$15)</f>
        <v>5</v>
      </c>
      <c r="H751" s="29" t="s">
        <v>2121</v>
      </c>
      <c r="I751" s="33" t="s">
        <v>6799</v>
      </c>
      <c r="J751" s="47" t="s">
        <v>4986</v>
      </c>
      <c r="K751" s="61" t="s">
        <v>4779</v>
      </c>
      <c r="L751" s="12" t="str">
        <f t="shared" si="33"/>
        <v>2,2,2</v>
      </c>
    </row>
    <row r="752" spans="2:12">
      <c r="B752" s="17">
        <v>1051</v>
      </c>
      <c r="C752" s="17">
        <v>2</v>
      </c>
      <c r="D752" s="17">
        <f t="shared" si="35"/>
        <v>1</v>
      </c>
      <c r="E752" s="17">
        <f t="shared" si="34"/>
        <v>1398</v>
      </c>
      <c r="F752" s="17" t="s">
        <v>4813</v>
      </c>
      <c r="G752" s="17">
        <f>MATCH(E752,Arenas!$F$8:$F$15)</f>
        <v>5</v>
      </c>
      <c r="H752" s="29" t="s">
        <v>2122</v>
      </c>
      <c r="I752" s="33" t="s">
        <v>6800</v>
      </c>
      <c r="J752" s="47" t="s">
        <v>5424</v>
      </c>
      <c r="K752" s="61" t="s">
        <v>4779</v>
      </c>
      <c r="L752" s="12" t="str">
        <f t="shared" si="33"/>
        <v>2,2,2</v>
      </c>
    </row>
    <row r="753" spans="2:12">
      <c r="B753" s="17">
        <v>1052</v>
      </c>
      <c r="C753" s="17">
        <v>2</v>
      </c>
      <c r="D753" s="17">
        <f t="shared" si="35"/>
        <v>0</v>
      </c>
      <c r="E753" s="17">
        <f t="shared" si="34"/>
        <v>1398</v>
      </c>
      <c r="F753" s="17" t="s">
        <v>4813</v>
      </c>
      <c r="G753" s="17">
        <f>MATCH(E753,Arenas!$F$8:$F$15)</f>
        <v>5</v>
      </c>
      <c r="H753" s="29" t="s">
        <v>2123</v>
      </c>
      <c r="I753" s="33" t="s">
        <v>6801</v>
      </c>
      <c r="J753" s="47" t="s">
        <v>5018</v>
      </c>
      <c r="K753" s="61" t="s">
        <v>4779</v>
      </c>
      <c r="L753" s="12" t="str">
        <f t="shared" si="33"/>
        <v>2,2,2</v>
      </c>
    </row>
    <row r="754" spans="2:12">
      <c r="B754" s="17">
        <v>1053</v>
      </c>
      <c r="C754" s="17">
        <v>2</v>
      </c>
      <c r="D754" s="17">
        <f t="shared" si="35"/>
        <v>0</v>
      </c>
      <c r="E754" s="17">
        <f t="shared" si="34"/>
        <v>1398</v>
      </c>
      <c r="F754" s="17" t="s">
        <v>4813</v>
      </c>
      <c r="G754" s="17">
        <f>MATCH(E754,Arenas!$F$8:$F$15)</f>
        <v>5</v>
      </c>
      <c r="H754" s="29" t="s">
        <v>2124</v>
      </c>
      <c r="I754" s="33" t="s">
        <v>6802</v>
      </c>
      <c r="J754" s="47" t="s">
        <v>5234</v>
      </c>
      <c r="K754" s="61" t="s">
        <v>4779</v>
      </c>
      <c r="L754" s="12" t="str">
        <f t="shared" si="33"/>
        <v>2,2,2</v>
      </c>
    </row>
    <row r="755" spans="2:12">
      <c r="B755" s="17">
        <v>1054</v>
      </c>
      <c r="C755" s="17">
        <v>2</v>
      </c>
      <c r="D755" s="17">
        <f t="shared" si="35"/>
        <v>1</v>
      </c>
      <c r="E755" s="17">
        <f t="shared" si="34"/>
        <v>1399</v>
      </c>
      <c r="F755" s="17" t="s">
        <v>4813</v>
      </c>
      <c r="G755" s="17">
        <f>MATCH(E755,Arenas!$F$8:$F$15)</f>
        <v>5</v>
      </c>
      <c r="H755" s="29" t="s">
        <v>2125</v>
      </c>
      <c r="I755" s="33" t="s">
        <v>6803</v>
      </c>
      <c r="J755" s="47" t="s">
        <v>4611</v>
      </c>
      <c r="K755" s="61" t="s">
        <v>4779</v>
      </c>
      <c r="L755" s="12" t="str">
        <f t="shared" si="33"/>
        <v>2,2,2</v>
      </c>
    </row>
    <row r="756" spans="2:12">
      <c r="B756" s="17">
        <v>1055</v>
      </c>
      <c r="C756" s="17">
        <v>2</v>
      </c>
      <c r="D756" s="17">
        <f t="shared" si="35"/>
        <v>0</v>
      </c>
      <c r="E756" s="17">
        <f t="shared" si="34"/>
        <v>1399</v>
      </c>
      <c r="F756" s="17" t="s">
        <v>4813</v>
      </c>
      <c r="G756" s="17">
        <f>MATCH(E756,Arenas!$F$8:$F$15)</f>
        <v>5</v>
      </c>
      <c r="H756" s="29" t="s">
        <v>2126</v>
      </c>
      <c r="I756" s="33" t="s">
        <v>6804</v>
      </c>
      <c r="J756" s="47" t="s">
        <v>5225</v>
      </c>
      <c r="K756" s="61" t="s">
        <v>4807</v>
      </c>
      <c r="L756" s="12" t="str">
        <f t="shared" si="33"/>
        <v>2,2,2</v>
      </c>
    </row>
    <row r="757" spans="2:12">
      <c r="B757" s="17">
        <v>1056</v>
      </c>
      <c r="C757" s="17">
        <v>2</v>
      </c>
      <c r="D757" s="17">
        <f t="shared" si="35"/>
        <v>0</v>
      </c>
      <c r="E757" s="17">
        <f t="shared" si="34"/>
        <v>1399</v>
      </c>
      <c r="F757" s="17" t="s">
        <v>4813</v>
      </c>
      <c r="G757" s="17">
        <f>MATCH(E757,Arenas!$F$8:$F$15)</f>
        <v>5</v>
      </c>
      <c r="H757" s="29" t="s">
        <v>2127</v>
      </c>
      <c r="I757" s="33" t="s">
        <v>6805</v>
      </c>
      <c r="J757" s="47" t="s">
        <v>5431</v>
      </c>
      <c r="K757" s="61" t="s">
        <v>4809</v>
      </c>
      <c r="L757" s="12" t="str">
        <f t="shared" si="33"/>
        <v>2,2,2</v>
      </c>
    </row>
    <row r="758" spans="2:12">
      <c r="B758" s="17">
        <v>1057</v>
      </c>
      <c r="C758" s="17">
        <v>2</v>
      </c>
      <c r="D758" s="17">
        <f t="shared" si="35"/>
        <v>1</v>
      </c>
      <c r="E758" s="17">
        <f t="shared" si="34"/>
        <v>1400</v>
      </c>
      <c r="F758" s="17" t="s">
        <v>4813</v>
      </c>
      <c r="G758" s="17">
        <f>MATCH(E758,Arenas!$F$8:$F$15)</f>
        <v>5</v>
      </c>
      <c r="H758" s="29" t="s">
        <v>2128</v>
      </c>
      <c r="I758" s="33" t="s">
        <v>6806</v>
      </c>
      <c r="J758" s="47" t="s">
        <v>4996</v>
      </c>
      <c r="K758" s="61" t="s">
        <v>4779</v>
      </c>
      <c r="L758" s="12" t="str">
        <f t="shared" si="33"/>
        <v>2,2,2</v>
      </c>
    </row>
    <row r="759" spans="2:12">
      <c r="B759" s="17">
        <v>1058</v>
      </c>
      <c r="C759" s="17">
        <v>2</v>
      </c>
      <c r="D759" s="17">
        <f t="shared" si="35"/>
        <v>0</v>
      </c>
      <c r="E759" s="17">
        <f t="shared" si="34"/>
        <v>1400</v>
      </c>
      <c r="F759" s="17" t="s">
        <v>4813</v>
      </c>
      <c r="G759" s="17">
        <f>MATCH(E759,Arenas!$F$8:$F$15)</f>
        <v>5</v>
      </c>
      <c r="H759" s="29" t="s">
        <v>2129</v>
      </c>
      <c r="I759" s="33" t="s">
        <v>6807</v>
      </c>
      <c r="J759" s="47" t="s">
        <v>6808</v>
      </c>
      <c r="K759" s="61" t="s">
        <v>4779</v>
      </c>
      <c r="L759" s="12" t="str">
        <f t="shared" si="33"/>
        <v>2,2,2</v>
      </c>
    </row>
    <row r="760" spans="2:12">
      <c r="B760" s="17">
        <v>1059</v>
      </c>
      <c r="C760" s="17">
        <v>2</v>
      </c>
      <c r="D760" s="17">
        <f t="shared" si="35"/>
        <v>0</v>
      </c>
      <c r="E760" s="17">
        <f t="shared" si="34"/>
        <v>1400</v>
      </c>
      <c r="F760" s="17" t="s">
        <v>4813</v>
      </c>
      <c r="G760" s="17">
        <f>MATCH(E760,Arenas!$F$8:$F$15)</f>
        <v>5</v>
      </c>
      <c r="H760" s="29" t="s">
        <v>2130</v>
      </c>
      <c r="I760" s="33" t="s">
        <v>6809</v>
      </c>
      <c r="J760" s="47" t="s">
        <v>6810</v>
      </c>
      <c r="K760" s="61" t="s">
        <v>4779</v>
      </c>
      <c r="L760" s="12" t="str">
        <f t="shared" si="33"/>
        <v>2,2,2</v>
      </c>
    </row>
    <row r="761" spans="2:12">
      <c r="B761" s="17">
        <v>1060</v>
      </c>
      <c r="C761" s="17">
        <v>2</v>
      </c>
      <c r="D761" s="17">
        <f t="shared" si="35"/>
        <v>1</v>
      </c>
      <c r="E761" s="17">
        <f t="shared" si="34"/>
        <v>1401</v>
      </c>
      <c r="F761" s="17" t="s">
        <v>4813</v>
      </c>
      <c r="G761" s="17">
        <f>MATCH(E761,Arenas!$F$8:$F$15)</f>
        <v>5</v>
      </c>
      <c r="H761" s="29" t="s">
        <v>2131</v>
      </c>
      <c r="I761" s="33" t="s">
        <v>6811</v>
      </c>
      <c r="J761" s="47" t="s">
        <v>6812</v>
      </c>
      <c r="K761" s="61" t="s">
        <v>4779</v>
      </c>
      <c r="L761" s="12" t="str">
        <f t="shared" si="33"/>
        <v>2,2,2</v>
      </c>
    </row>
    <row r="762" spans="2:12">
      <c r="B762" s="17">
        <v>1061</v>
      </c>
      <c r="C762" s="17">
        <v>2</v>
      </c>
      <c r="D762" s="17">
        <f t="shared" si="35"/>
        <v>0</v>
      </c>
      <c r="E762" s="17">
        <f t="shared" si="34"/>
        <v>1401</v>
      </c>
      <c r="F762" s="17" t="s">
        <v>4813</v>
      </c>
      <c r="G762" s="17">
        <f>MATCH(E762,Arenas!$F$8:$F$15)</f>
        <v>5</v>
      </c>
      <c r="H762" s="29" t="s">
        <v>2132</v>
      </c>
      <c r="I762" s="33" t="s">
        <v>6813</v>
      </c>
      <c r="J762" s="47" t="s">
        <v>5335</v>
      </c>
      <c r="K762" s="61" t="s">
        <v>4779</v>
      </c>
      <c r="L762" s="12" t="str">
        <f t="shared" si="33"/>
        <v>2,2,2</v>
      </c>
    </row>
    <row r="763" spans="2:12">
      <c r="B763" s="17">
        <v>1062</v>
      </c>
      <c r="C763" s="17">
        <v>2</v>
      </c>
      <c r="D763" s="17">
        <f t="shared" si="35"/>
        <v>0</v>
      </c>
      <c r="E763" s="17">
        <f t="shared" si="34"/>
        <v>1401</v>
      </c>
      <c r="F763" s="17" t="s">
        <v>4813</v>
      </c>
      <c r="G763" s="17">
        <f>MATCH(E763,Arenas!$F$8:$F$15)</f>
        <v>5</v>
      </c>
      <c r="H763" s="29" t="s">
        <v>2133</v>
      </c>
      <c r="I763" s="33" t="s">
        <v>6814</v>
      </c>
      <c r="J763" s="47" t="s">
        <v>6815</v>
      </c>
      <c r="K763" s="61" t="s">
        <v>4779</v>
      </c>
      <c r="L763" s="12" t="str">
        <f t="shared" si="33"/>
        <v>2,2,2</v>
      </c>
    </row>
    <row r="764" spans="2:12">
      <c r="B764" s="17">
        <v>1063</v>
      </c>
      <c r="C764" s="17">
        <v>2</v>
      </c>
      <c r="D764" s="17">
        <f t="shared" si="35"/>
        <v>1</v>
      </c>
      <c r="E764" s="17">
        <f t="shared" si="34"/>
        <v>1402</v>
      </c>
      <c r="F764" s="17" t="s">
        <v>4813</v>
      </c>
      <c r="G764" s="17">
        <f>MATCH(E764,Arenas!$F$8:$F$15)</f>
        <v>5</v>
      </c>
      <c r="H764" s="29" t="s">
        <v>2134</v>
      </c>
      <c r="I764" s="33" t="s">
        <v>6816</v>
      </c>
      <c r="J764" s="47" t="s">
        <v>6817</v>
      </c>
      <c r="K764" s="61" t="s">
        <v>4779</v>
      </c>
      <c r="L764" s="12" t="str">
        <f t="shared" si="33"/>
        <v>2,2,2</v>
      </c>
    </row>
    <row r="765" spans="2:12">
      <c r="B765" s="17">
        <v>1064</v>
      </c>
      <c r="C765" s="17">
        <v>2</v>
      </c>
      <c r="D765" s="17">
        <f t="shared" si="35"/>
        <v>0</v>
      </c>
      <c r="E765" s="17">
        <f t="shared" si="34"/>
        <v>1402</v>
      </c>
      <c r="F765" s="17" t="s">
        <v>4813</v>
      </c>
      <c r="G765" s="17">
        <f>MATCH(E765,Arenas!$F$8:$F$15)</f>
        <v>5</v>
      </c>
      <c r="H765" s="29" t="s">
        <v>2135</v>
      </c>
      <c r="I765" s="33" t="s">
        <v>6818</v>
      </c>
      <c r="J765" s="47" t="s">
        <v>5601</v>
      </c>
      <c r="K765" s="61" t="s">
        <v>4779</v>
      </c>
      <c r="L765" s="12" t="str">
        <f t="shared" si="33"/>
        <v>2,2,2</v>
      </c>
    </row>
    <row r="766" spans="2:12">
      <c r="B766" s="17">
        <v>1065</v>
      </c>
      <c r="C766" s="17">
        <v>2</v>
      </c>
      <c r="D766" s="17">
        <f t="shared" si="35"/>
        <v>0</v>
      </c>
      <c r="E766" s="17">
        <f t="shared" si="34"/>
        <v>1402</v>
      </c>
      <c r="F766" s="17" t="s">
        <v>4813</v>
      </c>
      <c r="G766" s="17">
        <f>MATCH(E766,Arenas!$F$8:$F$15)</f>
        <v>5</v>
      </c>
      <c r="H766" s="29" t="s">
        <v>2136</v>
      </c>
      <c r="I766" s="33" t="s">
        <v>6819</v>
      </c>
      <c r="J766" s="47" t="s">
        <v>6820</v>
      </c>
      <c r="K766" s="61" t="s">
        <v>4779</v>
      </c>
      <c r="L766" s="12" t="str">
        <f t="shared" si="33"/>
        <v>2,2,2</v>
      </c>
    </row>
    <row r="767" spans="2:12">
      <c r="B767" s="17">
        <v>1066</v>
      </c>
      <c r="C767" s="17">
        <v>2</v>
      </c>
      <c r="D767" s="17">
        <f t="shared" si="35"/>
        <v>1</v>
      </c>
      <c r="E767" s="17">
        <f t="shared" si="34"/>
        <v>1403</v>
      </c>
      <c r="F767" s="17" t="s">
        <v>4813</v>
      </c>
      <c r="G767" s="17">
        <f>MATCH(E767,Arenas!$F$8:$F$15)</f>
        <v>5</v>
      </c>
      <c r="H767" s="29" t="s">
        <v>2137</v>
      </c>
      <c r="I767" s="33" t="s">
        <v>6821</v>
      </c>
      <c r="J767" s="47" t="s">
        <v>6822</v>
      </c>
      <c r="K767" s="61" t="s">
        <v>4779</v>
      </c>
      <c r="L767" s="12" t="str">
        <f t="shared" si="33"/>
        <v>2,2,2</v>
      </c>
    </row>
    <row r="768" spans="2:12">
      <c r="B768" s="17">
        <v>1067</v>
      </c>
      <c r="C768" s="17">
        <v>2</v>
      </c>
      <c r="D768" s="17">
        <f t="shared" si="35"/>
        <v>0</v>
      </c>
      <c r="E768" s="17">
        <f t="shared" si="34"/>
        <v>1403</v>
      </c>
      <c r="F768" s="17" t="s">
        <v>4813</v>
      </c>
      <c r="G768" s="17">
        <f>MATCH(E768,Arenas!$F$8:$F$15)</f>
        <v>5</v>
      </c>
      <c r="H768" s="29" t="s">
        <v>2138</v>
      </c>
      <c r="I768" s="33" t="s">
        <v>6823</v>
      </c>
      <c r="J768" s="47" t="s">
        <v>5880</v>
      </c>
      <c r="K768" s="61" t="s">
        <v>4779</v>
      </c>
      <c r="L768" s="12" t="str">
        <f t="shared" si="33"/>
        <v>2,2,2</v>
      </c>
    </row>
    <row r="769" spans="2:12">
      <c r="B769" s="17">
        <v>1068</v>
      </c>
      <c r="C769" s="17">
        <v>2</v>
      </c>
      <c r="D769" s="17">
        <f t="shared" si="35"/>
        <v>0</v>
      </c>
      <c r="E769" s="17">
        <f t="shared" si="34"/>
        <v>1403</v>
      </c>
      <c r="F769" s="17" t="s">
        <v>4813</v>
      </c>
      <c r="G769" s="17">
        <f>MATCH(E769,Arenas!$F$8:$F$15)</f>
        <v>5</v>
      </c>
      <c r="H769" s="29" t="s">
        <v>2139</v>
      </c>
      <c r="I769" s="33" t="s">
        <v>6824</v>
      </c>
      <c r="J769" s="47" t="s">
        <v>6825</v>
      </c>
      <c r="K769" s="61" t="s">
        <v>4779</v>
      </c>
      <c r="L769" s="12" t="str">
        <f t="shared" si="33"/>
        <v>2,2,2</v>
      </c>
    </row>
    <row r="770" spans="2:12">
      <c r="B770" s="17">
        <v>1069</v>
      </c>
      <c r="C770" s="17">
        <v>2</v>
      </c>
      <c r="D770" s="17">
        <f t="shared" si="35"/>
        <v>1</v>
      </c>
      <c r="E770" s="17">
        <f t="shared" si="34"/>
        <v>1404</v>
      </c>
      <c r="F770" s="17" t="s">
        <v>4813</v>
      </c>
      <c r="G770" s="17">
        <f>MATCH(E770,Arenas!$F$8:$F$15)</f>
        <v>5</v>
      </c>
      <c r="H770" s="29" t="s">
        <v>2140</v>
      </c>
      <c r="I770" s="33" t="s">
        <v>6826</v>
      </c>
      <c r="J770" s="47" t="s">
        <v>6827</v>
      </c>
      <c r="K770" s="61" t="s">
        <v>4779</v>
      </c>
      <c r="L770" s="12" t="str">
        <f t="shared" ref="L770:L833" si="36">C770&amp;","&amp;C770&amp;","&amp;C770</f>
        <v>2,2,2</v>
      </c>
    </row>
    <row r="771" spans="2:12">
      <c r="B771" s="17">
        <v>1070</v>
      </c>
      <c r="C771" s="17">
        <v>2</v>
      </c>
      <c r="D771" s="17">
        <f t="shared" si="35"/>
        <v>0</v>
      </c>
      <c r="E771" s="17">
        <f t="shared" ref="E771:E834" si="37">D771+E770</f>
        <v>1404</v>
      </c>
      <c r="F771" s="17" t="s">
        <v>4813</v>
      </c>
      <c r="G771" s="17">
        <f>MATCH(E771,Arenas!$F$8:$F$15)</f>
        <v>5</v>
      </c>
      <c r="H771" s="29" t="s">
        <v>2141</v>
      </c>
      <c r="I771" s="33" t="s">
        <v>6828</v>
      </c>
      <c r="J771" s="47" t="s">
        <v>6829</v>
      </c>
      <c r="K771" s="61" t="s">
        <v>4779</v>
      </c>
      <c r="L771" s="12" t="str">
        <f t="shared" si="36"/>
        <v>2,2,2</v>
      </c>
    </row>
    <row r="772" spans="2:12">
      <c r="B772" s="17">
        <v>1071</v>
      </c>
      <c r="C772" s="17">
        <v>2</v>
      </c>
      <c r="D772" s="17">
        <f t="shared" si="35"/>
        <v>0</v>
      </c>
      <c r="E772" s="17">
        <f t="shared" si="37"/>
        <v>1404</v>
      </c>
      <c r="F772" s="17" t="s">
        <v>4813</v>
      </c>
      <c r="G772" s="17">
        <f>MATCH(E772,Arenas!$F$8:$F$15)</f>
        <v>5</v>
      </c>
      <c r="H772" s="29" t="s">
        <v>2142</v>
      </c>
      <c r="I772" s="33" t="s">
        <v>6830</v>
      </c>
      <c r="J772" s="47" t="s">
        <v>4661</v>
      </c>
      <c r="K772" s="61" t="s">
        <v>4779</v>
      </c>
      <c r="L772" s="12" t="str">
        <f t="shared" si="36"/>
        <v>2,2,2</v>
      </c>
    </row>
    <row r="773" spans="2:12">
      <c r="B773" s="17">
        <v>1072</v>
      </c>
      <c r="C773" s="17">
        <v>2</v>
      </c>
      <c r="D773" s="17">
        <f t="shared" ref="D773:D836" si="38">D770</f>
        <v>1</v>
      </c>
      <c r="E773" s="17">
        <f t="shared" si="37"/>
        <v>1405</v>
      </c>
      <c r="F773" s="17" t="s">
        <v>4813</v>
      </c>
      <c r="G773" s="17">
        <f>MATCH(E773,Arenas!$F$8:$F$15)</f>
        <v>5</v>
      </c>
      <c r="H773" s="29" t="s">
        <v>2143</v>
      </c>
      <c r="I773" s="33" t="s">
        <v>6831</v>
      </c>
      <c r="J773" s="47" t="s">
        <v>6832</v>
      </c>
      <c r="K773" s="61" t="s">
        <v>4779</v>
      </c>
      <c r="L773" s="12" t="str">
        <f t="shared" si="36"/>
        <v>2,2,2</v>
      </c>
    </row>
    <row r="774" spans="2:12">
      <c r="B774" s="17">
        <v>1073</v>
      </c>
      <c r="C774" s="17">
        <v>2</v>
      </c>
      <c r="D774" s="17">
        <f t="shared" si="38"/>
        <v>0</v>
      </c>
      <c r="E774" s="17">
        <f t="shared" si="37"/>
        <v>1405</v>
      </c>
      <c r="F774" s="17" t="s">
        <v>4813</v>
      </c>
      <c r="G774" s="17">
        <f>MATCH(E774,Arenas!$F$8:$F$15)</f>
        <v>5</v>
      </c>
      <c r="H774" s="29" t="s">
        <v>2144</v>
      </c>
      <c r="I774" s="33" t="s">
        <v>6833</v>
      </c>
      <c r="J774" s="47" t="s">
        <v>6834</v>
      </c>
      <c r="K774" s="61" t="s">
        <v>4809</v>
      </c>
      <c r="L774" s="12" t="str">
        <f t="shared" si="36"/>
        <v>2,2,2</v>
      </c>
    </row>
    <row r="775" spans="2:12">
      <c r="B775" s="17">
        <v>1074</v>
      </c>
      <c r="C775" s="17">
        <v>2</v>
      </c>
      <c r="D775" s="17">
        <f t="shared" si="38"/>
        <v>0</v>
      </c>
      <c r="E775" s="17">
        <f t="shared" si="37"/>
        <v>1405</v>
      </c>
      <c r="F775" s="17" t="s">
        <v>4813</v>
      </c>
      <c r="G775" s="17">
        <f>MATCH(E775,Arenas!$F$8:$F$15)</f>
        <v>5</v>
      </c>
      <c r="H775" s="29" t="s">
        <v>2145</v>
      </c>
      <c r="I775" s="33" t="s">
        <v>6835</v>
      </c>
      <c r="J775" s="47" t="s">
        <v>6836</v>
      </c>
      <c r="K775" s="61" t="s">
        <v>4779</v>
      </c>
      <c r="L775" s="12" t="str">
        <f t="shared" si="36"/>
        <v>2,2,2</v>
      </c>
    </row>
    <row r="776" spans="2:12">
      <c r="B776" s="17">
        <v>1075</v>
      </c>
      <c r="C776" s="17">
        <v>2</v>
      </c>
      <c r="D776" s="17">
        <f t="shared" si="38"/>
        <v>1</v>
      </c>
      <c r="E776" s="17">
        <f t="shared" si="37"/>
        <v>1406</v>
      </c>
      <c r="F776" s="17" t="s">
        <v>4813</v>
      </c>
      <c r="G776" s="17">
        <f>MATCH(E776,Arenas!$F$8:$F$15)</f>
        <v>5</v>
      </c>
      <c r="H776" s="29" t="s">
        <v>2146</v>
      </c>
      <c r="I776" s="33" t="s">
        <v>6837</v>
      </c>
      <c r="J776" s="47" t="s">
        <v>6838</v>
      </c>
      <c r="K776" s="61" t="s">
        <v>4779</v>
      </c>
      <c r="L776" s="12" t="str">
        <f t="shared" si="36"/>
        <v>2,2,2</v>
      </c>
    </row>
    <row r="777" spans="2:12">
      <c r="B777" s="17">
        <v>1076</v>
      </c>
      <c r="C777" s="17">
        <v>2</v>
      </c>
      <c r="D777" s="17">
        <f t="shared" si="38"/>
        <v>0</v>
      </c>
      <c r="E777" s="17">
        <f t="shared" si="37"/>
        <v>1406</v>
      </c>
      <c r="F777" s="17" t="s">
        <v>4813</v>
      </c>
      <c r="G777" s="17">
        <f>MATCH(E777,Arenas!$F$8:$F$15)</f>
        <v>5</v>
      </c>
      <c r="H777" s="29" t="s">
        <v>2147</v>
      </c>
      <c r="I777" s="33" t="s">
        <v>6839</v>
      </c>
      <c r="J777" s="47" t="s">
        <v>6840</v>
      </c>
      <c r="K777" s="61" t="s">
        <v>4779</v>
      </c>
      <c r="L777" s="12" t="str">
        <f t="shared" si="36"/>
        <v>2,2,2</v>
      </c>
    </row>
    <row r="778" spans="2:12">
      <c r="B778" s="17">
        <v>1077</v>
      </c>
      <c r="C778" s="17">
        <v>2</v>
      </c>
      <c r="D778" s="17">
        <f t="shared" si="38"/>
        <v>0</v>
      </c>
      <c r="E778" s="17">
        <f t="shared" si="37"/>
        <v>1406</v>
      </c>
      <c r="F778" s="17" t="s">
        <v>4813</v>
      </c>
      <c r="G778" s="17">
        <f>MATCH(E778,Arenas!$F$8:$F$15)</f>
        <v>5</v>
      </c>
      <c r="H778" s="29" t="s">
        <v>2148</v>
      </c>
      <c r="I778" s="33" t="s">
        <v>6841</v>
      </c>
      <c r="J778" s="47" t="s">
        <v>4643</v>
      </c>
      <c r="K778" s="61" t="s">
        <v>4779</v>
      </c>
      <c r="L778" s="12" t="str">
        <f t="shared" si="36"/>
        <v>2,2,2</v>
      </c>
    </row>
    <row r="779" spans="2:12">
      <c r="B779" s="17">
        <v>1078</v>
      </c>
      <c r="C779" s="17">
        <v>2</v>
      </c>
      <c r="D779" s="17">
        <f t="shared" si="38"/>
        <v>1</v>
      </c>
      <c r="E779" s="17">
        <f t="shared" si="37"/>
        <v>1407</v>
      </c>
      <c r="F779" s="17" t="s">
        <v>4813</v>
      </c>
      <c r="G779" s="17">
        <f>MATCH(E779,Arenas!$F$8:$F$15)</f>
        <v>5</v>
      </c>
      <c r="H779" s="29" t="s">
        <v>2149</v>
      </c>
      <c r="I779" s="33" t="s">
        <v>6842</v>
      </c>
      <c r="J779" s="47" t="s">
        <v>6843</v>
      </c>
      <c r="K779" s="61" t="s">
        <v>4779</v>
      </c>
      <c r="L779" s="12" t="str">
        <f t="shared" si="36"/>
        <v>2,2,2</v>
      </c>
    </row>
    <row r="780" spans="2:12">
      <c r="B780" s="17">
        <v>1079</v>
      </c>
      <c r="C780" s="17">
        <v>2</v>
      </c>
      <c r="D780" s="17">
        <f t="shared" si="38"/>
        <v>0</v>
      </c>
      <c r="E780" s="17">
        <f t="shared" si="37"/>
        <v>1407</v>
      </c>
      <c r="F780" s="17" t="s">
        <v>4813</v>
      </c>
      <c r="G780" s="17">
        <f>MATCH(E780,Arenas!$F$8:$F$15)</f>
        <v>5</v>
      </c>
      <c r="H780" s="29" t="s">
        <v>2150</v>
      </c>
      <c r="I780" s="33" t="s">
        <v>6844</v>
      </c>
      <c r="J780" s="47" t="s">
        <v>6845</v>
      </c>
      <c r="K780" s="61" t="s">
        <v>4779</v>
      </c>
      <c r="L780" s="12" t="str">
        <f t="shared" si="36"/>
        <v>2,2,2</v>
      </c>
    </row>
    <row r="781" spans="2:12">
      <c r="B781" s="17">
        <v>1080</v>
      </c>
      <c r="C781" s="17">
        <v>2</v>
      </c>
      <c r="D781" s="17">
        <f t="shared" si="38"/>
        <v>0</v>
      </c>
      <c r="E781" s="17">
        <f t="shared" si="37"/>
        <v>1407</v>
      </c>
      <c r="F781" s="17" t="s">
        <v>4813</v>
      </c>
      <c r="G781" s="17">
        <f>MATCH(E781,Arenas!$F$8:$F$15)</f>
        <v>5</v>
      </c>
      <c r="H781" s="29" t="s">
        <v>2151</v>
      </c>
      <c r="I781" s="33" t="s">
        <v>6846</v>
      </c>
      <c r="J781" s="47" t="s">
        <v>6847</v>
      </c>
      <c r="K781" s="61" t="s">
        <v>4779</v>
      </c>
      <c r="L781" s="12" t="str">
        <f t="shared" si="36"/>
        <v>2,2,2</v>
      </c>
    </row>
    <row r="782" spans="2:12">
      <c r="B782" s="17">
        <v>1081</v>
      </c>
      <c r="C782" s="17">
        <v>2</v>
      </c>
      <c r="D782" s="17">
        <f t="shared" si="38"/>
        <v>1</v>
      </c>
      <c r="E782" s="17">
        <f t="shared" si="37"/>
        <v>1408</v>
      </c>
      <c r="F782" s="17" t="s">
        <v>4813</v>
      </c>
      <c r="G782" s="17">
        <f>MATCH(E782,Arenas!$F$8:$F$15)</f>
        <v>5</v>
      </c>
      <c r="H782" s="29" t="s">
        <v>2152</v>
      </c>
      <c r="I782" s="33" t="s">
        <v>6848</v>
      </c>
      <c r="J782" s="47" t="s">
        <v>4649</v>
      </c>
      <c r="K782" s="61" t="s">
        <v>4779</v>
      </c>
      <c r="L782" s="12" t="str">
        <f t="shared" si="36"/>
        <v>2,2,2</v>
      </c>
    </row>
    <row r="783" spans="2:12">
      <c r="B783" s="17">
        <v>1082</v>
      </c>
      <c r="C783" s="17">
        <v>2</v>
      </c>
      <c r="D783" s="17">
        <f t="shared" si="38"/>
        <v>0</v>
      </c>
      <c r="E783" s="17">
        <f t="shared" si="37"/>
        <v>1408</v>
      </c>
      <c r="F783" s="17" t="s">
        <v>4813</v>
      </c>
      <c r="G783" s="17">
        <f>MATCH(E783,Arenas!$F$8:$F$15)</f>
        <v>5</v>
      </c>
      <c r="H783" s="29" t="s">
        <v>2153</v>
      </c>
      <c r="I783" s="33" t="s">
        <v>6849</v>
      </c>
      <c r="J783" s="47" t="s">
        <v>6850</v>
      </c>
      <c r="K783" s="61" t="s">
        <v>4779</v>
      </c>
      <c r="L783" s="12" t="str">
        <f t="shared" si="36"/>
        <v>2,2,2</v>
      </c>
    </row>
    <row r="784" spans="2:12">
      <c r="B784" s="17">
        <v>1083</v>
      </c>
      <c r="C784" s="17">
        <v>2</v>
      </c>
      <c r="D784" s="17">
        <f t="shared" si="38"/>
        <v>0</v>
      </c>
      <c r="E784" s="17">
        <f t="shared" si="37"/>
        <v>1408</v>
      </c>
      <c r="F784" s="17" t="s">
        <v>4813</v>
      </c>
      <c r="G784" s="17">
        <f>MATCH(E784,Arenas!$F$8:$F$15)</f>
        <v>5</v>
      </c>
      <c r="H784" s="29" t="s">
        <v>2154</v>
      </c>
      <c r="I784" s="33" t="s">
        <v>6851</v>
      </c>
      <c r="J784" s="47" t="s">
        <v>5192</v>
      </c>
      <c r="K784" s="61" t="s">
        <v>4779</v>
      </c>
      <c r="L784" s="12" t="str">
        <f t="shared" si="36"/>
        <v>2,2,2</v>
      </c>
    </row>
    <row r="785" spans="2:12">
      <c r="B785" s="17">
        <v>1084</v>
      </c>
      <c r="C785" s="17">
        <v>2</v>
      </c>
      <c r="D785" s="17">
        <f t="shared" si="38"/>
        <v>1</v>
      </c>
      <c r="E785" s="17">
        <f t="shared" si="37"/>
        <v>1409</v>
      </c>
      <c r="F785" s="17" t="s">
        <v>4813</v>
      </c>
      <c r="G785" s="17">
        <f>MATCH(E785,Arenas!$F$8:$F$15)</f>
        <v>5</v>
      </c>
      <c r="H785" s="29" t="s">
        <v>2155</v>
      </c>
      <c r="I785" s="33" t="s">
        <v>6852</v>
      </c>
      <c r="J785" s="47" t="s">
        <v>6853</v>
      </c>
      <c r="K785" s="61" t="s">
        <v>4808</v>
      </c>
      <c r="L785" s="12" t="str">
        <f t="shared" si="36"/>
        <v>2,2,2</v>
      </c>
    </row>
    <row r="786" spans="2:12">
      <c r="B786" s="17">
        <v>1085</v>
      </c>
      <c r="C786" s="17">
        <v>2</v>
      </c>
      <c r="D786" s="17">
        <f t="shared" si="38"/>
        <v>0</v>
      </c>
      <c r="E786" s="17">
        <f t="shared" si="37"/>
        <v>1409</v>
      </c>
      <c r="F786" s="17" t="s">
        <v>4813</v>
      </c>
      <c r="G786" s="17">
        <f>MATCH(E786,Arenas!$F$8:$F$15)</f>
        <v>5</v>
      </c>
      <c r="H786" s="29" t="s">
        <v>2156</v>
      </c>
      <c r="I786" s="33" t="s">
        <v>6854</v>
      </c>
      <c r="J786" s="47" t="s">
        <v>6855</v>
      </c>
      <c r="K786" s="61" t="s">
        <v>4779</v>
      </c>
      <c r="L786" s="12" t="str">
        <f t="shared" si="36"/>
        <v>2,2,2</v>
      </c>
    </row>
    <row r="787" spans="2:12">
      <c r="B787" s="17">
        <v>1086</v>
      </c>
      <c r="C787" s="17">
        <v>2</v>
      </c>
      <c r="D787" s="17">
        <f t="shared" si="38"/>
        <v>0</v>
      </c>
      <c r="E787" s="17">
        <f t="shared" si="37"/>
        <v>1409</v>
      </c>
      <c r="F787" s="17" t="s">
        <v>4813</v>
      </c>
      <c r="G787" s="17">
        <f>MATCH(E787,Arenas!$F$8:$F$15)</f>
        <v>5</v>
      </c>
      <c r="H787" s="29" t="s">
        <v>2157</v>
      </c>
      <c r="I787" s="33" t="s">
        <v>6856</v>
      </c>
      <c r="J787" s="47" t="s">
        <v>6857</v>
      </c>
      <c r="K787" s="61" t="s">
        <v>4779</v>
      </c>
      <c r="L787" s="12" t="str">
        <f t="shared" si="36"/>
        <v>2,2,2</v>
      </c>
    </row>
    <row r="788" spans="2:12">
      <c r="B788" s="17">
        <v>1087</v>
      </c>
      <c r="C788" s="17">
        <v>2</v>
      </c>
      <c r="D788" s="17">
        <f t="shared" si="38"/>
        <v>1</v>
      </c>
      <c r="E788" s="17">
        <f t="shared" si="37"/>
        <v>1410</v>
      </c>
      <c r="F788" s="17" t="s">
        <v>4813</v>
      </c>
      <c r="G788" s="17">
        <f>MATCH(E788,Arenas!$F$8:$F$15)</f>
        <v>5</v>
      </c>
      <c r="H788" s="29" t="s">
        <v>2158</v>
      </c>
      <c r="I788" s="33" t="s">
        <v>6858</v>
      </c>
      <c r="J788" s="47" t="s">
        <v>5651</v>
      </c>
      <c r="K788" s="61" t="s">
        <v>4779</v>
      </c>
      <c r="L788" s="12" t="str">
        <f t="shared" si="36"/>
        <v>2,2,2</v>
      </c>
    </row>
    <row r="789" spans="2:12">
      <c r="B789" s="17">
        <v>1088</v>
      </c>
      <c r="C789" s="17">
        <v>2</v>
      </c>
      <c r="D789" s="17">
        <f t="shared" si="38"/>
        <v>0</v>
      </c>
      <c r="E789" s="17">
        <f t="shared" si="37"/>
        <v>1410</v>
      </c>
      <c r="F789" s="17" t="s">
        <v>4813</v>
      </c>
      <c r="G789" s="17">
        <f>MATCH(E789,Arenas!$F$8:$F$15)</f>
        <v>5</v>
      </c>
      <c r="H789" s="29" t="s">
        <v>2159</v>
      </c>
      <c r="I789" s="33" t="s">
        <v>6859</v>
      </c>
      <c r="J789" s="47" t="s">
        <v>4674</v>
      </c>
      <c r="K789" s="61" t="s">
        <v>4779</v>
      </c>
      <c r="L789" s="12" t="str">
        <f t="shared" si="36"/>
        <v>2,2,2</v>
      </c>
    </row>
    <row r="790" spans="2:12">
      <c r="B790" s="17">
        <v>1089</v>
      </c>
      <c r="C790" s="17">
        <v>2</v>
      </c>
      <c r="D790" s="17">
        <f t="shared" si="38"/>
        <v>0</v>
      </c>
      <c r="E790" s="17">
        <f t="shared" si="37"/>
        <v>1410</v>
      </c>
      <c r="F790" s="17" t="s">
        <v>4813</v>
      </c>
      <c r="G790" s="17">
        <f>MATCH(E790,Arenas!$F$8:$F$15)</f>
        <v>5</v>
      </c>
      <c r="H790" s="29" t="s">
        <v>2160</v>
      </c>
      <c r="I790" s="33" t="s">
        <v>6860</v>
      </c>
      <c r="J790" s="47" t="s">
        <v>4603</v>
      </c>
      <c r="K790" s="61" t="s">
        <v>4779</v>
      </c>
      <c r="L790" s="12" t="str">
        <f t="shared" si="36"/>
        <v>2,2,2</v>
      </c>
    </row>
    <row r="791" spans="2:12">
      <c r="B791" s="17">
        <v>1090</v>
      </c>
      <c r="C791" s="17">
        <v>2</v>
      </c>
      <c r="D791" s="17">
        <f t="shared" si="38"/>
        <v>1</v>
      </c>
      <c r="E791" s="17">
        <f t="shared" si="37"/>
        <v>1411</v>
      </c>
      <c r="F791" s="17" t="s">
        <v>4813</v>
      </c>
      <c r="G791" s="17">
        <f>MATCH(E791,Arenas!$F$8:$F$15)</f>
        <v>5</v>
      </c>
      <c r="H791" s="29" t="s">
        <v>2161</v>
      </c>
      <c r="I791" s="33" t="s">
        <v>6861</v>
      </c>
      <c r="J791" s="47" t="s">
        <v>6862</v>
      </c>
      <c r="K791" s="61" t="s">
        <v>4779</v>
      </c>
      <c r="L791" s="12" t="str">
        <f t="shared" si="36"/>
        <v>2,2,2</v>
      </c>
    </row>
    <row r="792" spans="2:12">
      <c r="B792" s="17">
        <v>1091</v>
      </c>
      <c r="C792" s="17">
        <v>2</v>
      </c>
      <c r="D792" s="17">
        <f t="shared" si="38"/>
        <v>0</v>
      </c>
      <c r="E792" s="17">
        <f t="shared" si="37"/>
        <v>1411</v>
      </c>
      <c r="F792" s="17" t="s">
        <v>4813</v>
      </c>
      <c r="G792" s="17">
        <f>MATCH(E792,Arenas!$F$8:$F$15)</f>
        <v>5</v>
      </c>
      <c r="H792" s="29" t="s">
        <v>2162</v>
      </c>
      <c r="I792" s="33" t="s">
        <v>6863</v>
      </c>
      <c r="J792" s="47" t="s">
        <v>6864</v>
      </c>
      <c r="K792" s="61" t="s">
        <v>4779</v>
      </c>
      <c r="L792" s="12" t="str">
        <f t="shared" si="36"/>
        <v>2,2,2</v>
      </c>
    </row>
    <row r="793" spans="2:12">
      <c r="B793" s="17">
        <v>1092</v>
      </c>
      <c r="C793" s="17">
        <v>2</v>
      </c>
      <c r="D793" s="17">
        <f t="shared" si="38"/>
        <v>0</v>
      </c>
      <c r="E793" s="17">
        <f t="shared" si="37"/>
        <v>1411</v>
      </c>
      <c r="F793" s="17" t="s">
        <v>4813</v>
      </c>
      <c r="G793" s="17">
        <f>MATCH(E793,Arenas!$F$8:$F$15)</f>
        <v>5</v>
      </c>
      <c r="H793" s="29" t="s">
        <v>2163</v>
      </c>
      <c r="I793" s="33" t="s">
        <v>6865</v>
      </c>
      <c r="J793" s="47" t="s">
        <v>6866</v>
      </c>
      <c r="K793" s="61" t="s">
        <v>4779</v>
      </c>
      <c r="L793" s="12" t="str">
        <f t="shared" si="36"/>
        <v>2,2,2</v>
      </c>
    </row>
    <row r="794" spans="2:12">
      <c r="B794" s="17">
        <v>1093</v>
      </c>
      <c r="C794" s="17">
        <v>2</v>
      </c>
      <c r="D794" s="17">
        <f t="shared" si="38"/>
        <v>1</v>
      </c>
      <c r="E794" s="17">
        <f t="shared" si="37"/>
        <v>1412</v>
      </c>
      <c r="F794" s="17" t="s">
        <v>4813</v>
      </c>
      <c r="G794" s="17">
        <f>MATCH(E794,Arenas!$F$8:$F$15)</f>
        <v>5</v>
      </c>
      <c r="H794" s="29" t="s">
        <v>2164</v>
      </c>
      <c r="I794" s="33" t="s">
        <v>6867</v>
      </c>
      <c r="J794" s="47" t="s">
        <v>6868</v>
      </c>
      <c r="K794" s="61" t="s">
        <v>4779</v>
      </c>
      <c r="L794" s="12" t="str">
        <f t="shared" si="36"/>
        <v>2,2,2</v>
      </c>
    </row>
    <row r="795" spans="2:12">
      <c r="B795" s="17">
        <v>1094</v>
      </c>
      <c r="C795" s="17">
        <v>2</v>
      </c>
      <c r="D795" s="17">
        <f t="shared" si="38"/>
        <v>0</v>
      </c>
      <c r="E795" s="17">
        <f t="shared" si="37"/>
        <v>1412</v>
      </c>
      <c r="F795" s="17" t="s">
        <v>4813</v>
      </c>
      <c r="G795" s="17">
        <f>MATCH(E795,Arenas!$F$8:$F$15)</f>
        <v>5</v>
      </c>
      <c r="H795" s="29" t="s">
        <v>2165</v>
      </c>
      <c r="I795" s="33" t="s">
        <v>6869</v>
      </c>
      <c r="J795" s="47" t="s">
        <v>6870</v>
      </c>
      <c r="K795" s="61" t="s">
        <v>4807</v>
      </c>
      <c r="L795" s="12" t="str">
        <f t="shared" si="36"/>
        <v>2,2,2</v>
      </c>
    </row>
    <row r="796" spans="2:12">
      <c r="B796" s="17">
        <v>1095</v>
      </c>
      <c r="C796" s="17">
        <v>2</v>
      </c>
      <c r="D796" s="17">
        <f t="shared" si="38"/>
        <v>0</v>
      </c>
      <c r="E796" s="17">
        <f t="shared" si="37"/>
        <v>1412</v>
      </c>
      <c r="F796" s="17" t="s">
        <v>4813</v>
      </c>
      <c r="G796" s="17">
        <f>MATCH(E796,Arenas!$F$8:$F$15)</f>
        <v>5</v>
      </c>
      <c r="H796" s="29" t="s">
        <v>2166</v>
      </c>
      <c r="I796" s="33" t="s">
        <v>6871</v>
      </c>
      <c r="J796" s="47" t="s">
        <v>6872</v>
      </c>
      <c r="K796" s="61" t="s">
        <v>4779</v>
      </c>
      <c r="L796" s="12" t="str">
        <f t="shared" si="36"/>
        <v>2,2,2</v>
      </c>
    </row>
    <row r="797" spans="2:12">
      <c r="B797" s="17">
        <v>1096</v>
      </c>
      <c r="C797" s="17">
        <v>2</v>
      </c>
      <c r="D797" s="17">
        <f t="shared" si="38"/>
        <v>1</v>
      </c>
      <c r="E797" s="17">
        <f t="shared" si="37"/>
        <v>1413</v>
      </c>
      <c r="F797" s="17" t="s">
        <v>4813</v>
      </c>
      <c r="G797" s="17">
        <f>MATCH(E797,Arenas!$F$8:$F$15)</f>
        <v>5</v>
      </c>
      <c r="H797" s="29" t="s">
        <v>2167</v>
      </c>
      <c r="I797" s="33" t="s">
        <v>6873</v>
      </c>
      <c r="J797" s="47" t="s">
        <v>6874</v>
      </c>
      <c r="K797" s="61" t="s">
        <v>4779</v>
      </c>
      <c r="L797" s="12" t="str">
        <f t="shared" si="36"/>
        <v>2,2,2</v>
      </c>
    </row>
    <row r="798" spans="2:12">
      <c r="B798" s="17">
        <v>1097</v>
      </c>
      <c r="C798" s="17">
        <v>2</v>
      </c>
      <c r="D798" s="17">
        <f t="shared" si="38"/>
        <v>0</v>
      </c>
      <c r="E798" s="17">
        <f t="shared" si="37"/>
        <v>1413</v>
      </c>
      <c r="F798" s="17" t="s">
        <v>4813</v>
      </c>
      <c r="G798" s="17">
        <f>MATCH(E798,Arenas!$F$8:$F$15)</f>
        <v>5</v>
      </c>
      <c r="H798" s="29" t="s">
        <v>2168</v>
      </c>
      <c r="I798" s="33" t="s">
        <v>6875</v>
      </c>
      <c r="J798" s="47" t="s">
        <v>6876</v>
      </c>
      <c r="K798" s="61" t="s">
        <v>4779</v>
      </c>
      <c r="L798" s="12" t="str">
        <f t="shared" si="36"/>
        <v>2,2,2</v>
      </c>
    </row>
    <row r="799" spans="2:12">
      <c r="B799" s="17">
        <v>1098</v>
      </c>
      <c r="C799" s="17">
        <v>2</v>
      </c>
      <c r="D799" s="17">
        <f t="shared" si="38"/>
        <v>0</v>
      </c>
      <c r="E799" s="17">
        <f t="shared" si="37"/>
        <v>1413</v>
      </c>
      <c r="F799" s="17" t="s">
        <v>4813</v>
      </c>
      <c r="G799" s="17">
        <f>MATCH(E799,Arenas!$F$8:$F$15)</f>
        <v>5</v>
      </c>
      <c r="H799" s="29" t="s">
        <v>2169</v>
      </c>
      <c r="I799" s="33" t="s">
        <v>6877</v>
      </c>
      <c r="J799" s="47" t="s">
        <v>6878</v>
      </c>
      <c r="K799" s="61" t="s">
        <v>4779</v>
      </c>
      <c r="L799" s="12" t="str">
        <f t="shared" si="36"/>
        <v>2,2,2</v>
      </c>
    </row>
    <row r="800" spans="2:12">
      <c r="B800" s="17">
        <v>1099</v>
      </c>
      <c r="C800" s="17">
        <v>2</v>
      </c>
      <c r="D800" s="17">
        <f t="shared" si="38"/>
        <v>1</v>
      </c>
      <c r="E800" s="17">
        <f t="shared" si="37"/>
        <v>1414</v>
      </c>
      <c r="F800" s="17" t="s">
        <v>4813</v>
      </c>
      <c r="G800" s="17">
        <f>MATCH(E800,Arenas!$F$8:$F$15)</f>
        <v>5</v>
      </c>
      <c r="H800" s="29" t="s">
        <v>2170</v>
      </c>
      <c r="I800" s="33" t="s">
        <v>6879</v>
      </c>
      <c r="J800" s="47" t="s">
        <v>4678</v>
      </c>
      <c r="K800" s="61" t="s">
        <v>4779</v>
      </c>
      <c r="L800" s="12" t="str">
        <f t="shared" si="36"/>
        <v>2,2,2</v>
      </c>
    </row>
    <row r="801" spans="2:12">
      <c r="B801" s="17">
        <v>1100</v>
      </c>
      <c r="C801" s="17">
        <v>2</v>
      </c>
      <c r="D801" s="17">
        <f t="shared" si="38"/>
        <v>0</v>
      </c>
      <c r="E801" s="17">
        <f t="shared" si="37"/>
        <v>1414</v>
      </c>
      <c r="F801" s="17" t="s">
        <v>4813</v>
      </c>
      <c r="G801" s="17">
        <f>MATCH(E801,Arenas!$F$8:$F$15)</f>
        <v>5</v>
      </c>
      <c r="H801" s="29" t="s">
        <v>2171</v>
      </c>
      <c r="I801" s="33" t="s">
        <v>6880</v>
      </c>
      <c r="J801" s="47" t="s">
        <v>6881</v>
      </c>
      <c r="K801" s="61" t="s">
        <v>4779</v>
      </c>
      <c r="L801" s="12" t="str">
        <f t="shared" si="36"/>
        <v>2,2,2</v>
      </c>
    </row>
    <row r="802" spans="2:12">
      <c r="B802" s="17">
        <v>1101</v>
      </c>
      <c r="C802" s="17">
        <v>2</v>
      </c>
      <c r="D802" s="17">
        <f t="shared" si="38"/>
        <v>0</v>
      </c>
      <c r="E802" s="17">
        <f t="shared" si="37"/>
        <v>1414</v>
      </c>
      <c r="F802" s="17" t="s">
        <v>4813</v>
      </c>
      <c r="G802" s="17">
        <f>MATCH(E802,Arenas!$F$8:$F$15)</f>
        <v>5</v>
      </c>
      <c r="H802" s="29" t="s">
        <v>2172</v>
      </c>
      <c r="I802" s="33" t="s">
        <v>6882</v>
      </c>
      <c r="J802" s="47" t="s">
        <v>6883</v>
      </c>
      <c r="K802" s="61" t="s">
        <v>4779</v>
      </c>
      <c r="L802" s="12" t="str">
        <f t="shared" si="36"/>
        <v>2,2,2</v>
      </c>
    </row>
    <row r="803" spans="2:12">
      <c r="B803" s="17">
        <v>1102</v>
      </c>
      <c r="C803" s="17">
        <v>2</v>
      </c>
      <c r="D803" s="17">
        <f t="shared" si="38"/>
        <v>1</v>
      </c>
      <c r="E803" s="17">
        <f t="shared" si="37"/>
        <v>1415</v>
      </c>
      <c r="F803" s="17" t="s">
        <v>4813</v>
      </c>
      <c r="G803" s="17">
        <f>MATCH(E803,Arenas!$F$8:$F$15)</f>
        <v>5</v>
      </c>
      <c r="H803" s="29" t="s">
        <v>2173</v>
      </c>
      <c r="I803" s="33" t="s">
        <v>6884</v>
      </c>
      <c r="J803" s="47" t="s">
        <v>6885</v>
      </c>
      <c r="K803" s="61" t="s">
        <v>4779</v>
      </c>
      <c r="L803" s="12" t="str">
        <f t="shared" si="36"/>
        <v>2,2,2</v>
      </c>
    </row>
    <row r="804" spans="2:12">
      <c r="B804" s="17">
        <v>1103</v>
      </c>
      <c r="C804" s="17">
        <v>2</v>
      </c>
      <c r="D804" s="17">
        <f t="shared" si="38"/>
        <v>0</v>
      </c>
      <c r="E804" s="17">
        <f t="shared" si="37"/>
        <v>1415</v>
      </c>
      <c r="F804" s="17" t="s">
        <v>4813</v>
      </c>
      <c r="G804" s="17">
        <f>MATCH(E804,Arenas!$F$8:$F$15)</f>
        <v>5</v>
      </c>
      <c r="H804" s="29" t="s">
        <v>2174</v>
      </c>
      <c r="I804" s="33" t="s">
        <v>6886</v>
      </c>
      <c r="J804" s="47" t="s">
        <v>6887</v>
      </c>
      <c r="K804" s="61" t="s">
        <v>4779</v>
      </c>
      <c r="L804" s="12" t="str">
        <f t="shared" si="36"/>
        <v>2,2,2</v>
      </c>
    </row>
    <row r="805" spans="2:12">
      <c r="B805" s="17">
        <v>1104</v>
      </c>
      <c r="C805" s="17">
        <v>2</v>
      </c>
      <c r="D805" s="17">
        <f t="shared" si="38"/>
        <v>0</v>
      </c>
      <c r="E805" s="17">
        <f t="shared" si="37"/>
        <v>1415</v>
      </c>
      <c r="F805" s="17" t="s">
        <v>4813</v>
      </c>
      <c r="G805" s="17">
        <f>MATCH(E805,Arenas!$F$8:$F$15)</f>
        <v>5</v>
      </c>
      <c r="H805" s="29" t="s">
        <v>2175</v>
      </c>
      <c r="I805" s="33" t="s">
        <v>6888</v>
      </c>
      <c r="J805" s="47" t="s">
        <v>4735</v>
      </c>
      <c r="K805" s="61" t="s">
        <v>4779</v>
      </c>
      <c r="L805" s="12" t="str">
        <f t="shared" si="36"/>
        <v>2,2,2</v>
      </c>
    </row>
    <row r="806" spans="2:12">
      <c r="B806" s="17">
        <v>1105</v>
      </c>
      <c r="C806" s="17">
        <v>2</v>
      </c>
      <c r="D806" s="17">
        <f t="shared" si="38"/>
        <v>1</v>
      </c>
      <c r="E806" s="17">
        <f t="shared" si="37"/>
        <v>1416</v>
      </c>
      <c r="F806" s="17" t="s">
        <v>4813</v>
      </c>
      <c r="G806" s="17">
        <f>MATCH(E806,Arenas!$F$8:$F$15)</f>
        <v>5</v>
      </c>
      <c r="H806" s="29" t="s">
        <v>2176</v>
      </c>
      <c r="I806" s="33" t="s">
        <v>6889</v>
      </c>
      <c r="J806" s="47" t="s">
        <v>6890</v>
      </c>
      <c r="K806" s="61" t="s">
        <v>4779</v>
      </c>
      <c r="L806" s="12" t="str">
        <f t="shared" si="36"/>
        <v>2,2,2</v>
      </c>
    </row>
    <row r="807" spans="2:12">
      <c r="B807" s="17">
        <v>1106</v>
      </c>
      <c r="C807" s="17">
        <v>2</v>
      </c>
      <c r="D807" s="17">
        <f t="shared" si="38"/>
        <v>0</v>
      </c>
      <c r="E807" s="17">
        <f t="shared" si="37"/>
        <v>1416</v>
      </c>
      <c r="F807" s="17" t="s">
        <v>4813</v>
      </c>
      <c r="G807" s="17">
        <f>MATCH(E807,Arenas!$F$8:$F$15)</f>
        <v>5</v>
      </c>
      <c r="H807" s="29" t="s">
        <v>2177</v>
      </c>
      <c r="I807" s="33" t="s">
        <v>6891</v>
      </c>
      <c r="J807" s="47" t="s">
        <v>6892</v>
      </c>
      <c r="K807" s="61" t="s">
        <v>4779</v>
      </c>
      <c r="L807" s="12" t="str">
        <f t="shared" si="36"/>
        <v>2,2,2</v>
      </c>
    </row>
    <row r="808" spans="2:12">
      <c r="B808" s="17">
        <v>1107</v>
      </c>
      <c r="C808" s="17">
        <v>2</v>
      </c>
      <c r="D808" s="17">
        <f t="shared" si="38"/>
        <v>0</v>
      </c>
      <c r="E808" s="17">
        <f t="shared" si="37"/>
        <v>1416</v>
      </c>
      <c r="F808" s="17" t="s">
        <v>4813</v>
      </c>
      <c r="G808" s="17">
        <f>MATCH(E808,Arenas!$F$8:$F$15)</f>
        <v>5</v>
      </c>
      <c r="H808" s="29" t="s">
        <v>2178</v>
      </c>
      <c r="I808" s="33" t="s">
        <v>6893</v>
      </c>
      <c r="J808" s="47" t="s">
        <v>6894</v>
      </c>
      <c r="K808" s="61" t="s">
        <v>4779</v>
      </c>
      <c r="L808" s="12" t="str">
        <f t="shared" si="36"/>
        <v>2,2,2</v>
      </c>
    </row>
    <row r="809" spans="2:12">
      <c r="B809" s="17">
        <v>1108</v>
      </c>
      <c r="C809" s="17">
        <v>2</v>
      </c>
      <c r="D809" s="17">
        <f t="shared" si="38"/>
        <v>1</v>
      </c>
      <c r="E809" s="17">
        <f t="shared" si="37"/>
        <v>1417</v>
      </c>
      <c r="F809" s="17" t="s">
        <v>4813</v>
      </c>
      <c r="G809" s="17">
        <f>MATCH(E809,Arenas!$F$8:$F$15)</f>
        <v>5</v>
      </c>
      <c r="H809" s="29" t="s">
        <v>2179</v>
      </c>
      <c r="I809" s="33" t="s">
        <v>6895</v>
      </c>
      <c r="J809" s="47" t="s">
        <v>4549</v>
      </c>
      <c r="K809" s="61" t="s">
        <v>4779</v>
      </c>
      <c r="L809" s="12" t="str">
        <f t="shared" si="36"/>
        <v>2,2,2</v>
      </c>
    </row>
    <row r="810" spans="2:12">
      <c r="B810" s="17">
        <v>1109</v>
      </c>
      <c r="C810" s="17">
        <v>2</v>
      </c>
      <c r="D810" s="17">
        <f t="shared" si="38"/>
        <v>0</v>
      </c>
      <c r="E810" s="17">
        <f t="shared" si="37"/>
        <v>1417</v>
      </c>
      <c r="F810" s="17" t="s">
        <v>4813</v>
      </c>
      <c r="G810" s="17">
        <f>MATCH(E810,Arenas!$F$8:$F$15)</f>
        <v>5</v>
      </c>
      <c r="H810" s="29" t="s">
        <v>2180</v>
      </c>
      <c r="I810" s="33" t="s">
        <v>6896</v>
      </c>
      <c r="J810" s="47" t="s">
        <v>6897</v>
      </c>
      <c r="K810" s="61" t="s">
        <v>4779</v>
      </c>
      <c r="L810" s="12" t="str">
        <f t="shared" si="36"/>
        <v>2,2,2</v>
      </c>
    </row>
    <row r="811" spans="2:12">
      <c r="B811" s="17">
        <v>1110</v>
      </c>
      <c r="C811" s="17">
        <v>2</v>
      </c>
      <c r="D811" s="17">
        <f t="shared" si="38"/>
        <v>0</v>
      </c>
      <c r="E811" s="17">
        <f t="shared" si="37"/>
        <v>1417</v>
      </c>
      <c r="F811" s="17" t="s">
        <v>4813</v>
      </c>
      <c r="G811" s="17">
        <f>MATCH(E811,Arenas!$F$8:$F$15)</f>
        <v>5</v>
      </c>
      <c r="H811" s="29" t="s">
        <v>2181</v>
      </c>
      <c r="I811" s="33" t="s">
        <v>6898</v>
      </c>
      <c r="J811" s="47" t="s">
        <v>6899</v>
      </c>
      <c r="K811" s="61" t="s">
        <v>4779</v>
      </c>
      <c r="L811" s="12" t="str">
        <f t="shared" si="36"/>
        <v>2,2,2</v>
      </c>
    </row>
    <row r="812" spans="2:12">
      <c r="B812" s="17">
        <v>1111</v>
      </c>
      <c r="C812" s="17">
        <v>2</v>
      </c>
      <c r="D812" s="17">
        <f t="shared" si="38"/>
        <v>1</v>
      </c>
      <c r="E812" s="17">
        <f t="shared" si="37"/>
        <v>1418</v>
      </c>
      <c r="F812" s="17" t="s">
        <v>4813</v>
      </c>
      <c r="G812" s="17">
        <f>MATCH(E812,Arenas!$F$8:$F$15)</f>
        <v>5</v>
      </c>
      <c r="H812" s="29" t="s">
        <v>2182</v>
      </c>
      <c r="I812" s="33" t="s">
        <v>6900</v>
      </c>
      <c r="J812" s="47" t="s">
        <v>6901</v>
      </c>
      <c r="K812" s="61" t="s">
        <v>4779</v>
      </c>
      <c r="L812" s="12" t="str">
        <f t="shared" si="36"/>
        <v>2,2,2</v>
      </c>
    </row>
    <row r="813" spans="2:12">
      <c r="B813" s="17">
        <v>1112</v>
      </c>
      <c r="C813" s="17">
        <v>2</v>
      </c>
      <c r="D813" s="17">
        <f t="shared" si="38"/>
        <v>0</v>
      </c>
      <c r="E813" s="17">
        <f t="shared" si="37"/>
        <v>1418</v>
      </c>
      <c r="F813" s="17" t="s">
        <v>4813</v>
      </c>
      <c r="G813" s="17">
        <f>MATCH(E813,Arenas!$F$8:$F$15)</f>
        <v>5</v>
      </c>
      <c r="H813" s="29" t="s">
        <v>2183</v>
      </c>
      <c r="I813" s="33" t="s">
        <v>6902</v>
      </c>
      <c r="J813" s="47" t="s">
        <v>4720</v>
      </c>
      <c r="K813" s="61" t="s">
        <v>4779</v>
      </c>
      <c r="L813" s="12" t="str">
        <f t="shared" si="36"/>
        <v>2,2,2</v>
      </c>
    </row>
    <row r="814" spans="2:12">
      <c r="B814" s="17">
        <v>1113</v>
      </c>
      <c r="C814" s="17">
        <v>2</v>
      </c>
      <c r="D814" s="17">
        <f t="shared" si="38"/>
        <v>0</v>
      </c>
      <c r="E814" s="17">
        <f t="shared" si="37"/>
        <v>1418</v>
      </c>
      <c r="F814" s="17" t="s">
        <v>4813</v>
      </c>
      <c r="G814" s="17">
        <f>MATCH(E814,Arenas!$F$8:$F$15)</f>
        <v>5</v>
      </c>
      <c r="H814" s="29" t="s">
        <v>2184</v>
      </c>
      <c r="I814" s="33" t="s">
        <v>6903</v>
      </c>
      <c r="J814" s="47" t="s">
        <v>6904</v>
      </c>
      <c r="K814" s="61" t="s">
        <v>4779</v>
      </c>
      <c r="L814" s="12" t="str">
        <f t="shared" si="36"/>
        <v>2,2,2</v>
      </c>
    </row>
    <row r="815" spans="2:12">
      <c r="B815" s="17">
        <v>1114</v>
      </c>
      <c r="C815" s="17">
        <v>2</v>
      </c>
      <c r="D815" s="17">
        <f t="shared" si="38"/>
        <v>1</v>
      </c>
      <c r="E815" s="17">
        <f t="shared" si="37"/>
        <v>1419</v>
      </c>
      <c r="F815" s="17" t="s">
        <v>4813</v>
      </c>
      <c r="G815" s="17">
        <f>MATCH(E815,Arenas!$F$8:$F$15)</f>
        <v>5</v>
      </c>
      <c r="H815" s="29" t="s">
        <v>2185</v>
      </c>
      <c r="I815" s="33" t="s">
        <v>6905</v>
      </c>
      <c r="J815" s="47" t="s">
        <v>6906</v>
      </c>
      <c r="K815" s="61" t="s">
        <v>4779</v>
      </c>
      <c r="L815" s="12" t="str">
        <f t="shared" si="36"/>
        <v>2,2,2</v>
      </c>
    </row>
    <row r="816" spans="2:12">
      <c r="B816" s="17">
        <v>1115</v>
      </c>
      <c r="C816" s="17">
        <v>2</v>
      </c>
      <c r="D816" s="17">
        <f t="shared" si="38"/>
        <v>0</v>
      </c>
      <c r="E816" s="17">
        <f t="shared" si="37"/>
        <v>1419</v>
      </c>
      <c r="F816" s="17" t="s">
        <v>4813</v>
      </c>
      <c r="G816" s="17">
        <f>MATCH(E816,Arenas!$F$8:$F$15)</f>
        <v>5</v>
      </c>
      <c r="H816" s="29" t="s">
        <v>2186</v>
      </c>
      <c r="I816" s="33" t="s">
        <v>6907</v>
      </c>
      <c r="J816" s="47" t="s">
        <v>6908</v>
      </c>
      <c r="K816" s="61" t="s">
        <v>4779</v>
      </c>
      <c r="L816" s="12" t="str">
        <f t="shared" si="36"/>
        <v>2,2,2</v>
      </c>
    </row>
    <row r="817" spans="2:12">
      <c r="B817" s="17">
        <v>1116</v>
      </c>
      <c r="C817" s="17">
        <v>2</v>
      </c>
      <c r="D817" s="17">
        <f t="shared" si="38"/>
        <v>0</v>
      </c>
      <c r="E817" s="17">
        <f t="shared" si="37"/>
        <v>1419</v>
      </c>
      <c r="F817" s="17" t="s">
        <v>4813</v>
      </c>
      <c r="G817" s="17">
        <f>MATCH(E817,Arenas!$F$8:$F$15)</f>
        <v>5</v>
      </c>
      <c r="H817" s="29" t="s">
        <v>2187</v>
      </c>
      <c r="I817" s="33" t="s">
        <v>6909</v>
      </c>
      <c r="J817" s="47" t="s">
        <v>6910</v>
      </c>
      <c r="K817" s="61" t="s">
        <v>4779</v>
      </c>
      <c r="L817" s="12" t="str">
        <f t="shared" si="36"/>
        <v>2,2,2</v>
      </c>
    </row>
    <row r="818" spans="2:12">
      <c r="B818" s="17">
        <v>1117</v>
      </c>
      <c r="C818" s="17">
        <v>2</v>
      </c>
      <c r="D818" s="17">
        <f t="shared" si="38"/>
        <v>1</v>
      </c>
      <c r="E818" s="17">
        <f t="shared" si="37"/>
        <v>1420</v>
      </c>
      <c r="F818" s="17" t="s">
        <v>4813</v>
      </c>
      <c r="G818" s="17">
        <f>MATCH(E818,Arenas!$F$8:$F$15)</f>
        <v>5</v>
      </c>
      <c r="H818" s="29" t="s">
        <v>2188</v>
      </c>
      <c r="I818" s="33" t="s">
        <v>6911</v>
      </c>
      <c r="J818" s="47" t="s">
        <v>6912</v>
      </c>
      <c r="K818" s="61" t="s">
        <v>4779</v>
      </c>
      <c r="L818" s="12" t="str">
        <f t="shared" si="36"/>
        <v>2,2,2</v>
      </c>
    </row>
    <row r="819" spans="2:12">
      <c r="B819" s="17">
        <v>1118</v>
      </c>
      <c r="C819" s="17">
        <v>2</v>
      </c>
      <c r="D819" s="17">
        <f t="shared" si="38"/>
        <v>0</v>
      </c>
      <c r="E819" s="17">
        <f t="shared" si="37"/>
        <v>1420</v>
      </c>
      <c r="F819" s="17" t="s">
        <v>4813</v>
      </c>
      <c r="G819" s="17">
        <f>MATCH(E819,Arenas!$F$8:$F$15)</f>
        <v>5</v>
      </c>
      <c r="H819" s="29" t="s">
        <v>2189</v>
      </c>
      <c r="I819" s="33" t="s">
        <v>6913</v>
      </c>
      <c r="J819" s="47" t="s">
        <v>6914</v>
      </c>
      <c r="K819" s="61" t="s">
        <v>4779</v>
      </c>
      <c r="L819" s="12" t="str">
        <f t="shared" si="36"/>
        <v>2,2,2</v>
      </c>
    </row>
    <row r="820" spans="2:12">
      <c r="B820" s="17">
        <v>1119</v>
      </c>
      <c r="C820" s="17">
        <v>2</v>
      </c>
      <c r="D820" s="17">
        <f t="shared" si="38"/>
        <v>0</v>
      </c>
      <c r="E820" s="17">
        <f t="shared" si="37"/>
        <v>1420</v>
      </c>
      <c r="F820" s="17" t="s">
        <v>4813</v>
      </c>
      <c r="G820" s="17">
        <f>MATCH(E820,Arenas!$F$8:$F$15)</f>
        <v>5</v>
      </c>
      <c r="H820" s="29" t="s">
        <v>2190</v>
      </c>
      <c r="I820" s="33" t="s">
        <v>6915</v>
      </c>
      <c r="J820" s="47" t="s">
        <v>6916</v>
      </c>
      <c r="K820" s="61" t="s">
        <v>4779</v>
      </c>
      <c r="L820" s="12" t="str">
        <f t="shared" si="36"/>
        <v>2,2,2</v>
      </c>
    </row>
    <row r="821" spans="2:12">
      <c r="B821" s="17">
        <v>1120</v>
      </c>
      <c r="C821" s="17">
        <v>2</v>
      </c>
      <c r="D821" s="17">
        <f t="shared" si="38"/>
        <v>1</v>
      </c>
      <c r="E821" s="17">
        <f t="shared" si="37"/>
        <v>1421</v>
      </c>
      <c r="F821" s="17" t="s">
        <v>4813</v>
      </c>
      <c r="G821" s="17">
        <f>MATCH(E821,Arenas!$F$8:$F$15)</f>
        <v>5</v>
      </c>
      <c r="H821" s="29" t="s">
        <v>2191</v>
      </c>
      <c r="I821" s="33" t="s">
        <v>6917</v>
      </c>
      <c r="J821" s="47" t="s">
        <v>6918</v>
      </c>
      <c r="K821" s="61" t="s">
        <v>4808</v>
      </c>
      <c r="L821" s="12" t="str">
        <f t="shared" si="36"/>
        <v>2,2,2</v>
      </c>
    </row>
    <row r="822" spans="2:12">
      <c r="B822" s="17">
        <v>1121</v>
      </c>
      <c r="C822" s="17">
        <v>2</v>
      </c>
      <c r="D822" s="17">
        <f t="shared" si="38"/>
        <v>0</v>
      </c>
      <c r="E822" s="17">
        <f t="shared" si="37"/>
        <v>1421</v>
      </c>
      <c r="F822" s="17" t="s">
        <v>4813</v>
      </c>
      <c r="G822" s="17">
        <f>MATCH(E822,Arenas!$F$8:$F$15)</f>
        <v>5</v>
      </c>
      <c r="H822" s="29" t="s">
        <v>2192</v>
      </c>
      <c r="I822" s="33" t="s">
        <v>6919</v>
      </c>
      <c r="J822" s="47" t="s">
        <v>6920</v>
      </c>
      <c r="K822" s="61" t="s">
        <v>4779</v>
      </c>
      <c r="L822" s="12" t="str">
        <f t="shared" si="36"/>
        <v>2,2,2</v>
      </c>
    </row>
    <row r="823" spans="2:12">
      <c r="B823" s="17">
        <v>1122</v>
      </c>
      <c r="C823" s="17">
        <v>2</v>
      </c>
      <c r="D823" s="17">
        <f t="shared" si="38"/>
        <v>0</v>
      </c>
      <c r="E823" s="17">
        <f t="shared" si="37"/>
        <v>1421</v>
      </c>
      <c r="F823" s="17" t="s">
        <v>4813</v>
      </c>
      <c r="G823" s="17">
        <f>MATCH(E823,Arenas!$F$8:$F$15)</f>
        <v>5</v>
      </c>
      <c r="H823" s="29" t="s">
        <v>2193</v>
      </c>
      <c r="I823" s="33" t="s">
        <v>6921</v>
      </c>
      <c r="J823" s="47" t="s">
        <v>6922</v>
      </c>
      <c r="K823" s="61" t="s">
        <v>4779</v>
      </c>
      <c r="L823" s="12" t="str">
        <f t="shared" si="36"/>
        <v>2,2,2</v>
      </c>
    </row>
    <row r="824" spans="2:12">
      <c r="B824" s="17">
        <v>1123</v>
      </c>
      <c r="C824" s="17">
        <v>2</v>
      </c>
      <c r="D824" s="17">
        <f t="shared" si="38"/>
        <v>1</v>
      </c>
      <c r="E824" s="17">
        <f t="shared" si="37"/>
        <v>1422</v>
      </c>
      <c r="F824" s="17" t="s">
        <v>4813</v>
      </c>
      <c r="G824" s="17">
        <f>MATCH(E824,Arenas!$F$8:$F$15)</f>
        <v>5</v>
      </c>
      <c r="H824" s="29" t="s">
        <v>2194</v>
      </c>
      <c r="I824" s="33" t="s">
        <v>6923</v>
      </c>
      <c r="J824" s="47" t="s">
        <v>5703</v>
      </c>
      <c r="K824" s="61" t="s">
        <v>4779</v>
      </c>
      <c r="L824" s="12" t="str">
        <f t="shared" si="36"/>
        <v>2,2,2</v>
      </c>
    </row>
    <row r="825" spans="2:12">
      <c r="B825" s="17">
        <v>1124</v>
      </c>
      <c r="C825" s="17">
        <v>2</v>
      </c>
      <c r="D825" s="17">
        <f t="shared" si="38"/>
        <v>0</v>
      </c>
      <c r="E825" s="17">
        <f t="shared" si="37"/>
        <v>1422</v>
      </c>
      <c r="F825" s="17" t="s">
        <v>4813</v>
      </c>
      <c r="G825" s="17">
        <f>MATCH(E825,Arenas!$F$8:$F$15)</f>
        <v>5</v>
      </c>
      <c r="H825" s="29" t="s">
        <v>2195</v>
      </c>
      <c r="I825" s="33" t="s">
        <v>6924</v>
      </c>
      <c r="J825" s="47" t="s">
        <v>6925</v>
      </c>
      <c r="K825" s="61" t="s">
        <v>4779</v>
      </c>
      <c r="L825" s="12" t="str">
        <f t="shared" si="36"/>
        <v>2,2,2</v>
      </c>
    </row>
    <row r="826" spans="2:12">
      <c r="B826" s="17">
        <v>1125</v>
      </c>
      <c r="C826" s="17">
        <v>2</v>
      </c>
      <c r="D826" s="17">
        <f t="shared" si="38"/>
        <v>0</v>
      </c>
      <c r="E826" s="17">
        <f t="shared" si="37"/>
        <v>1422</v>
      </c>
      <c r="F826" s="17" t="s">
        <v>4813</v>
      </c>
      <c r="G826" s="17">
        <f>MATCH(E826,Arenas!$F$8:$F$15)</f>
        <v>5</v>
      </c>
      <c r="H826" s="29" t="s">
        <v>2196</v>
      </c>
      <c r="I826" s="33" t="s">
        <v>6926</v>
      </c>
      <c r="J826" s="47" t="s">
        <v>6927</v>
      </c>
      <c r="K826" s="61" t="s">
        <v>4779</v>
      </c>
      <c r="L826" s="12" t="str">
        <f t="shared" si="36"/>
        <v>2,2,2</v>
      </c>
    </row>
    <row r="827" spans="2:12">
      <c r="B827" s="17">
        <v>1126</v>
      </c>
      <c r="C827" s="17">
        <v>2</v>
      </c>
      <c r="D827" s="17">
        <f t="shared" si="38"/>
        <v>1</v>
      </c>
      <c r="E827" s="17">
        <f t="shared" si="37"/>
        <v>1423</v>
      </c>
      <c r="F827" s="17" t="s">
        <v>4813</v>
      </c>
      <c r="G827" s="17">
        <f>MATCH(E827,Arenas!$F$8:$F$15)</f>
        <v>5</v>
      </c>
      <c r="H827" s="29" t="s">
        <v>2197</v>
      </c>
      <c r="I827" s="33" t="s">
        <v>6928</v>
      </c>
      <c r="J827" s="47" t="s">
        <v>5466</v>
      </c>
      <c r="K827" s="61" t="s">
        <v>4779</v>
      </c>
      <c r="L827" s="12" t="str">
        <f t="shared" si="36"/>
        <v>2,2,2</v>
      </c>
    </row>
    <row r="828" spans="2:12">
      <c r="B828" s="17">
        <v>1127</v>
      </c>
      <c r="C828" s="17">
        <v>2</v>
      </c>
      <c r="D828" s="17">
        <f t="shared" si="38"/>
        <v>0</v>
      </c>
      <c r="E828" s="17">
        <f t="shared" si="37"/>
        <v>1423</v>
      </c>
      <c r="F828" s="17" t="s">
        <v>4813</v>
      </c>
      <c r="G828" s="17">
        <f>MATCH(E828,Arenas!$F$8:$F$15)</f>
        <v>5</v>
      </c>
      <c r="H828" s="29" t="s">
        <v>2198</v>
      </c>
      <c r="I828" s="33" t="s">
        <v>6929</v>
      </c>
      <c r="J828" s="47" t="s">
        <v>5602</v>
      </c>
      <c r="K828" s="61" t="s">
        <v>4779</v>
      </c>
      <c r="L828" s="12" t="str">
        <f t="shared" si="36"/>
        <v>2,2,2</v>
      </c>
    </row>
    <row r="829" spans="2:12">
      <c r="B829" s="17">
        <v>1128</v>
      </c>
      <c r="C829" s="17">
        <v>2</v>
      </c>
      <c r="D829" s="17">
        <f t="shared" si="38"/>
        <v>0</v>
      </c>
      <c r="E829" s="17">
        <f t="shared" si="37"/>
        <v>1423</v>
      </c>
      <c r="F829" s="17" t="s">
        <v>4813</v>
      </c>
      <c r="G829" s="17">
        <f>MATCH(E829,Arenas!$F$8:$F$15)</f>
        <v>5</v>
      </c>
      <c r="H829" s="29" t="s">
        <v>2199</v>
      </c>
      <c r="I829" s="33" t="s">
        <v>6930</v>
      </c>
      <c r="J829" s="47" t="s">
        <v>6931</v>
      </c>
      <c r="K829" s="61" t="s">
        <v>4779</v>
      </c>
      <c r="L829" s="12" t="str">
        <f t="shared" si="36"/>
        <v>2,2,2</v>
      </c>
    </row>
    <row r="830" spans="2:12">
      <c r="B830" s="17">
        <v>1129</v>
      </c>
      <c r="C830" s="17">
        <v>2</v>
      </c>
      <c r="D830" s="17">
        <f t="shared" si="38"/>
        <v>1</v>
      </c>
      <c r="E830" s="17">
        <f t="shared" si="37"/>
        <v>1424</v>
      </c>
      <c r="F830" s="17" t="s">
        <v>4813</v>
      </c>
      <c r="G830" s="17">
        <f>MATCH(E830,Arenas!$F$8:$F$15)</f>
        <v>5</v>
      </c>
      <c r="H830" s="29" t="s">
        <v>2200</v>
      </c>
      <c r="I830" s="33" t="s">
        <v>6932</v>
      </c>
      <c r="J830" s="47" t="s">
        <v>6933</v>
      </c>
      <c r="K830" s="61" t="s">
        <v>4779</v>
      </c>
      <c r="L830" s="12" t="str">
        <f t="shared" si="36"/>
        <v>2,2,2</v>
      </c>
    </row>
    <row r="831" spans="2:12">
      <c r="B831" s="17">
        <v>1130</v>
      </c>
      <c r="C831" s="17">
        <v>2</v>
      </c>
      <c r="D831" s="17">
        <f t="shared" si="38"/>
        <v>0</v>
      </c>
      <c r="E831" s="17">
        <f t="shared" si="37"/>
        <v>1424</v>
      </c>
      <c r="F831" s="17" t="s">
        <v>4813</v>
      </c>
      <c r="G831" s="17">
        <f>MATCH(E831,Arenas!$F$8:$F$15)</f>
        <v>5</v>
      </c>
      <c r="H831" s="29" t="s">
        <v>2201</v>
      </c>
      <c r="I831" s="33" t="s">
        <v>6934</v>
      </c>
      <c r="J831" s="47" t="s">
        <v>6935</v>
      </c>
      <c r="K831" s="61" t="s">
        <v>4779</v>
      </c>
      <c r="L831" s="12" t="str">
        <f t="shared" si="36"/>
        <v>2,2,2</v>
      </c>
    </row>
    <row r="832" spans="2:12">
      <c r="B832" s="17">
        <v>1131</v>
      </c>
      <c r="C832" s="17">
        <v>2</v>
      </c>
      <c r="D832" s="17">
        <f t="shared" si="38"/>
        <v>0</v>
      </c>
      <c r="E832" s="17">
        <f t="shared" si="37"/>
        <v>1424</v>
      </c>
      <c r="F832" s="17" t="s">
        <v>4813</v>
      </c>
      <c r="G832" s="17">
        <f>MATCH(E832,Arenas!$F$8:$F$15)</f>
        <v>5</v>
      </c>
      <c r="H832" s="29" t="s">
        <v>2202</v>
      </c>
      <c r="I832" s="33" t="s">
        <v>6936</v>
      </c>
      <c r="J832" s="47" t="s">
        <v>6937</v>
      </c>
      <c r="K832" s="61" t="s">
        <v>4779</v>
      </c>
      <c r="L832" s="12" t="str">
        <f t="shared" si="36"/>
        <v>2,2,2</v>
      </c>
    </row>
    <row r="833" spans="2:12">
      <c r="B833" s="17">
        <v>1132</v>
      </c>
      <c r="C833" s="17">
        <v>2</v>
      </c>
      <c r="D833" s="17">
        <f t="shared" si="38"/>
        <v>1</v>
      </c>
      <c r="E833" s="17">
        <f t="shared" si="37"/>
        <v>1425</v>
      </c>
      <c r="F833" s="17" t="s">
        <v>4813</v>
      </c>
      <c r="G833" s="17">
        <f>MATCH(E833,Arenas!$F$8:$F$15)</f>
        <v>5</v>
      </c>
      <c r="H833" s="29" t="s">
        <v>2203</v>
      </c>
      <c r="I833" s="33" t="s">
        <v>6938</v>
      </c>
      <c r="J833" s="47" t="s">
        <v>6939</v>
      </c>
      <c r="K833" s="61" t="s">
        <v>4779</v>
      </c>
      <c r="L833" s="12" t="str">
        <f t="shared" si="36"/>
        <v>2,2,2</v>
      </c>
    </row>
    <row r="834" spans="2:12">
      <c r="B834" s="17">
        <v>1133</v>
      </c>
      <c r="C834" s="17">
        <v>2</v>
      </c>
      <c r="D834" s="17">
        <f t="shared" si="38"/>
        <v>0</v>
      </c>
      <c r="E834" s="17">
        <f t="shared" si="37"/>
        <v>1425</v>
      </c>
      <c r="F834" s="17" t="s">
        <v>4813</v>
      </c>
      <c r="G834" s="17">
        <f>MATCH(E834,Arenas!$F$8:$F$15)</f>
        <v>5</v>
      </c>
      <c r="H834" s="29" t="s">
        <v>2204</v>
      </c>
      <c r="I834" s="33" t="s">
        <v>6940</v>
      </c>
      <c r="J834" s="47" t="s">
        <v>6941</v>
      </c>
      <c r="K834" s="61" t="s">
        <v>4779</v>
      </c>
      <c r="L834" s="12" t="str">
        <f t="shared" ref="L834:L897" si="39">C834&amp;","&amp;C834&amp;","&amp;C834</f>
        <v>2,2,2</v>
      </c>
    </row>
    <row r="835" spans="2:12">
      <c r="B835" s="17">
        <v>1134</v>
      </c>
      <c r="C835" s="17">
        <v>2</v>
      </c>
      <c r="D835" s="17">
        <f t="shared" si="38"/>
        <v>0</v>
      </c>
      <c r="E835" s="17">
        <f t="shared" ref="E835:E898" si="40">D835+E834</f>
        <v>1425</v>
      </c>
      <c r="F835" s="17" t="s">
        <v>4813</v>
      </c>
      <c r="G835" s="17">
        <f>MATCH(E835,Arenas!$F$8:$F$15)</f>
        <v>5</v>
      </c>
      <c r="H835" s="29" t="s">
        <v>2205</v>
      </c>
      <c r="I835" s="33" t="s">
        <v>6942</v>
      </c>
      <c r="J835" s="47" t="s">
        <v>4641</v>
      </c>
      <c r="K835" s="61" t="s">
        <v>4779</v>
      </c>
      <c r="L835" s="12" t="str">
        <f t="shared" si="39"/>
        <v>2,2,2</v>
      </c>
    </row>
    <row r="836" spans="2:12">
      <c r="B836" s="17">
        <v>1135</v>
      </c>
      <c r="C836" s="17">
        <v>2</v>
      </c>
      <c r="D836" s="17">
        <f t="shared" si="38"/>
        <v>1</v>
      </c>
      <c r="E836" s="17">
        <f t="shared" si="40"/>
        <v>1426</v>
      </c>
      <c r="F836" s="17" t="s">
        <v>4813</v>
      </c>
      <c r="G836" s="17">
        <f>MATCH(E836,Arenas!$F$8:$F$15)</f>
        <v>5</v>
      </c>
      <c r="H836" s="29" t="s">
        <v>2206</v>
      </c>
      <c r="I836" s="33" t="s">
        <v>6943</v>
      </c>
      <c r="J836" s="47" t="s">
        <v>4931</v>
      </c>
      <c r="K836" s="61" t="s">
        <v>4779</v>
      </c>
      <c r="L836" s="12" t="str">
        <f t="shared" si="39"/>
        <v>2,2,2</v>
      </c>
    </row>
    <row r="837" spans="2:12">
      <c r="B837" s="17">
        <v>1136</v>
      </c>
      <c r="C837" s="17">
        <v>2</v>
      </c>
      <c r="D837" s="17">
        <f t="shared" ref="D837:D900" si="41">D834</f>
        <v>0</v>
      </c>
      <c r="E837" s="17">
        <f t="shared" si="40"/>
        <v>1426</v>
      </c>
      <c r="F837" s="17" t="s">
        <v>4813</v>
      </c>
      <c r="G837" s="17">
        <f>MATCH(E837,Arenas!$F$8:$F$15)</f>
        <v>5</v>
      </c>
      <c r="H837" s="29" t="s">
        <v>2207</v>
      </c>
      <c r="I837" s="33" t="s">
        <v>6944</v>
      </c>
      <c r="J837" s="47" t="s">
        <v>6945</v>
      </c>
      <c r="K837" s="61" t="s">
        <v>4779</v>
      </c>
      <c r="L837" s="12" t="str">
        <f t="shared" si="39"/>
        <v>2,2,2</v>
      </c>
    </row>
    <row r="838" spans="2:12">
      <c r="B838" s="17">
        <v>1137</v>
      </c>
      <c r="C838" s="17">
        <v>2</v>
      </c>
      <c r="D838" s="17">
        <f t="shared" si="41"/>
        <v>0</v>
      </c>
      <c r="E838" s="17">
        <f t="shared" si="40"/>
        <v>1426</v>
      </c>
      <c r="F838" s="17" t="s">
        <v>4813</v>
      </c>
      <c r="G838" s="17">
        <f>MATCH(E838,Arenas!$F$8:$F$15)</f>
        <v>5</v>
      </c>
      <c r="H838" s="29" t="s">
        <v>2208</v>
      </c>
      <c r="I838" s="33" t="s">
        <v>6946</v>
      </c>
      <c r="J838" s="47" t="s">
        <v>6947</v>
      </c>
      <c r="K838" s="61" t="s">
        <v>4779</v>
      </c>
      <c r="L838" s="12" t="str">
        <f t="shared" si="39"/>
        <v>2,2,2</v>
      </c>
    </row>
    <row r="839" spans="2:12">
      <c r="B839" s="17">
        <v>1138</v>
      </c>
      <c r="C839" s="17">
        <v>2</v>
      </c>
      <c r="D839" s="17">
        <f t="shared" si="41"/>
        <v>1</v>
      </c>
      <c r="E839" s="17">
        <f t="shared" si="40"/>
        <v>1427</v>
      </c>
      <c r="F839" s="17" t="s">
        <v>4813</v>
      </c>
      <c r="G839" s="17">
        <f>MATCH(E839,Arenas!$F$8:$F$15)</f>
        <v>5</v>
      </c>
      <c r="H839" s="29" t="s">
        <v>2209</v>
      </c>
      <c r="I839" s="33" t="s">
        <v>6948</v>
      </c>
      <c r="J839" s="47" t="s">
        <v>6949</v>
      </c>
      <c r="K839" s="61" t="s">
        <v>4779</v>
      </c>
      <c r="L839" s="12" t="str">
        <f t="shared" si="39"/>
        <v>2,2,2</v>
      </c>
    </row>
    <row r="840" spans="2:12">
      <c r="B840" s="17">
        <v>1139</v>
      </c>
      <c r="C840" s="17">
        <v>2</v>
      </c>
      <c r="D840" s="17">
        <f t="shared" si="41"/>
        <v>0</v>
      </c>
      <c r="E840" s="17">
        <f t="shared" si="40"/>
        <v>1427</v>
      </c>
      <c r="F840" s="17" t="s">
        <v>4813</v>
      </c>
      <c r="G840" s="17">
        <f>MATCH(E840,Arenas!$F$8:$F$15)</f>
        <v>5</v>
      </c>
      <c r="H840" s="29" t="s">
        <v>2210</v>
      </c>
      <c r="I840" s="33" t="s">
        <v>6950</v>
      </c>
      <c r="J840" s="47" t="s">
        <v>5248</v>
      </c>
      <c r="K840" s="61" t="s">
        <v>4779</v>
      </c>
      <c r="L840" s="12" t="str">
        <f t="shared" si="39"/>
        <v>2,2,2</v>
      </c>
    </row>
    <row r="841" spans="2:12">
      <c r="B841" s="17">
        <v>1140</v>
      </c>
      <c r="C841" s="17">
        <v>2</v>
      </c>
      <c r="D841" s="17">
        <f t="shared" si="41"/>
        <v>0</v>
      </c>
      <c r="E841" s="17">
        <f t="shared" si="40"/>
        <v>1427</v>
      </c>
      <c r="F841" s="17" t="s">
        <v>4813</v>
      </c>
      <c r="G841" s="17">
        <f>MATCH(E841,Arenas!$F$8:$F$15)</f>
        <v>5</v>
      </c>
      <c r="H841" s="29" t="s">
        <v>2211</v>
      </c>
      <c r="I841" s="33" t="s">
        <v>6951</v>
      </c>
      <c r="J841" s="47" t="s">
        <v>6952</v>
      </c>
      <c r="K841" s="61" t="s">
        <v>4779</v>
      </c>
      <c r="L841" s="12" t="str">
        <f t="shared" si="39"/>
        <v>2,2,2</v>
      </c>
    </row>
    <row r="842" spans="2:12">
      <c r="B842" s="17">
        <v>1141</v>
      </c>
      <c r="C842" s="17">
        <v>2</v>
      </c>
      <c r="D842" s="17">
        <f t="shared" si="41"/>
        <v>1</v>
      </c>
      <c r="E842" s="17">
        <f t="shared" si="40"/>
        <v>1428</v>
      </c>
      <c r="F842" s="17" t="s">
        <v>4813</v>
      </c>
      <c r="G842" s="17">
        <f>MATCH(E842,Arenas!$F$8:$F$15)</f>
        <v>5</v>
      </c>
      <c r="H842" s="29" t="s">
        <v>2212</v>
      </c>
      <c r="I842" s="33" t="s">
        <v>6953</v>
      </c>
      <c r="J842" s="47" t="s">
        <v>6954</v>
      </c>
      <c r="K842" s="61" t="s">
        <v>4779</v>
      </c>
      <c r="L842" s="12" t="str">
        <f t="shared" si="39"/>
        <v>2,2,2</v>
      </c>
    </row>
    <row r="843" spans="2:12">
      <c r="B843" s="17">
        <v>1142</v>
      </c>
      <c r="C843" s="17">
        <v>2</v>
      </c>
      <c r="D843" s="17">
        <f t="shared" si="41"/>
        <v>0</v>
      </c>
      <c r="E843" s="17">
        <f t="shared" si="40"/>
        <v>1428</v>
      </c>
      <c r="F843" s="17" t="s">
        <v>4813</v>
      </c>
      <c r="G843" s="17">
        <f>MATCH(E843,Arenas!$F$8:$F$15)</f>
        <v>5</v>
      </c>
      <c r="H843" s="29" t="s">
        <v>2213</v>
      </c>
      <c r="I843" s="33" t="s">
        <v>6955</v>
      </c>
      <c r="J843" s="47" t="s">
        <v>5688</v>
      </c>
      <c r="K843" s="61" t="s">
        <v>4779</v>
      </c>
      <c r="L843" s="12" t="str">
        <f t="shared" si="39"/>
        <v>2,2,2</v>
      </c>
    </row>
    <row r="844" spans="2:12">
      <c r="B844" s="17">
        <v>1143</v>
      </c>
      <c r="C844" s="17">
        <v>2</v>
      </c>
      <c r="D844" s="17">
        <f t="shared" si="41"/>
        <v>0</v>
      </c>
      <c r="E844" s="17">
        <f t="shared" si="40"/>
        <v>1428</v>
      </c>
      <c r="F844" s="17" t="s">
        <v>4813</v>
      </c>
      <c r="G844" s="17">
        <f>MATCH(E844,Arenas!$F$8:$F$15)</f>
        <v>5</v>
      </c>
      <c r="H844" s="29" t="s">
        <v>2214</v>
      </c>
      <c r="I844" s="33" t="s">
        <v>6956</v>
      </c>
      <c r="J844" s="47" t="s">
        <v>6957</v>
      </c>
      <c r="K844" s="61" t="s">
        <v>4779</v>
      </c>
      <c r="L844" s="12" t="str">
        <f t="shared" si="39"/>
        <v>2,2,2</v>
      </c>
    </row>
    <row r="845" spans="2:12">
      <c r="B845" s="17">
        <v>1144</v>
      </c>
      <c r="C845" s="17">
        <v>2</v>
      </c>
      <c r="D845" s="17">
        <f t="shared" si="41"/>
        <v>1</v>
      </c>
      <c r="E845" s="17">
        <f t="shared" si="40"/>
        <v>1429</v>
      </c>
      <c r="F845" s="17" t="s">
        <v>4813</v>
      </c>
      <c r="G845" s="17">
        <f>MATCH(E845,Arenas!$F$8:$F$15)</f>
        <v>5</v>
      </c>
      <c r="H845" s="29" t="s">
        <v>2215</v>
      </c>
      <c r="I845" s="33" t="s">
        <v>6958</v>
      </c>
      <c r="J845" s="47" t="s">
        <v>6959</v>
      </c>
      <c r="K845" s="61" t="s">
        <v>4779</v>
      </c>
      <c r="L845" s="12" t="str">
        <f t="shared" si="39"/>
        <v>2,2,2</v>
      </c>
    </row>
    <row r="846" spans="2:12">
      <c r="B846" s="17">
        <v>1145</v>
      </c>
      <c r="C846" s="17">
        <v>2</v>
      </c>
      <c r="D846" s="17">
        <f t="shared" si="41"/>
        <v>0</v>
      </c>
      <c r="E846" s="17">
        <f t="shared" si="40"/>
        <v>1429</v>
      </c>
      <c r="F846" s="17" t="s">
        <v>4813</v>
      </c>
      <c r="G846" s="17">
        <f>MATCH(E846,Arenas!$F$8:$F$15)</f>
        <v>5</v>
      </c>
      <c r="H846" s="29" t="s">
        <v>2216</v>
      </c>
      <c r="I846" s="33" t="s">
        <v>6960</v>
      </c>
      <c r="J846" s="47" t="s">
        <v>6961</v>
      </c>
      <c r="K846" s="61" t="s">
        <v>4809</v>
      </c>
      <c r="L846" s="12" t="str">
        <f t="shared" si="39"/>
        <v>2,2,2</v>
      </c>
    </row>
    <row r="847" spans="2:12">
      <c r="B847" s="17">
        <v>1146</v>
      </c>
      <c r="C847" s="17">
        <v>2</v>
      </c>
      <c r="D847" s="17">
        <f t="shared" si="41"/>
        <v>0</v>
      </c>
      <c r="E847" s="17">
        <f t="shared" si="40"/>
        <v>1429</v>
      </c>
      <c r="F847" s="17" t="s">
        <v>4813</v>
      </c>
      <c r="G847" s="17">
        <f>MATCH(E847,Arenas!$F$8:$F$15)</f>
        <v>5</v>
      </c>
      <c r="H847" s="29" t="s">
        <v>2217</v>
      </c>
      <c r="I847" s="33" t="s">
        <v>6962</v>
      </c>
      <c r="J847" s="47" t="s">
        <v>4903</v>
      </c>
      <c r="K847" s="61" t="s">
        <v>4779</v>
      </c>
      <c r="L847" s="12" t="str">
        <f t="shared" si="39"/>
        <v>2,2,2</v>
      </c>
    </row>
    <row r="848" spans="2:12">
      <c r="B848" s="17">
        <v>1147</v>
      </c>
      <c r="C848" s="17">
        <v>2</v>
      </c>
      <c r="D848" s="17">
        <f t="shared" si="41"/>
        <v>1</v>
      </c>
      <c r="E848" s="17">
        <f t="shared" si="40"/>
        <v>1430</v>
      </c>
      <c r="F848" s="17" t="s">
        <v>4813</v>
      </c>
      <c r="G848" s="17">
        <f>MATCH(E848,Arenas!$F$8:$F$15)</f>
        <v>5</v>
      </c>
      <c r="H848" s="29" t="s">
        <v>2218</v>
      </c>
      <c r="I848" s="33" t="s">
        <v>6963</v>
      </c>
      <c r="J848" s="47" t="s">
        <v>5151</v>
      </c>
      <c r="K848" s="61" t="s">
        <v>4779</v>
      </c>
      <c r="L848" s="12" t="str">
        <f t="shared" si="39"/>
        <v>2,2,2</v>
      </c>
    </row>
    <row r="849" spans="2:12">
      <c r="B849" s="17">
        <v>1148</v>
      </c>
      <c r="C849" s="17">
        <v>2</v>
      </c>
      <c r="D849" s="17">
        <f t="shared" si="41"/>
        <v>0</v>
      </c>
      <c r="E849" s="17">
        <f t="shared" si="40"/>
        <v>1430</v>
      </c>
      <c r="F849" s="17" t="s">
        <v>4813</v>
      </c>
      <c r="G849" s="17">
        <f>MATCH(E849,Arenas!$F$8:$F$15)</f>
        <v>5</v>
      </c>
      <c r="H849" s="29" t="s">
        <v>2219</v>
      </c>
      <c r="I849" s="33" t="s">
        <v>6964</v>
      </c>
      <c r="J849" s="47" t="s">
        <v>6965</v>
      </c>
      <c r="K849" s="61" t="s">
        <v>4779</v>
      </c>
      <c r="L849" s="12" t="str">
        <f t="shared" si="39"/>
        <v>2,2,2</v>
      </c>
    </row>
    <row r="850" spans="2:12">
      <c r="B850" s="17">
        <v>1149</v>
      </c>
      <c r="C850" s="17">
        <v>2</v>
      </c>
      <c r="D850" s="17">
        <f t="shared" si="41"/>
        <v>0</v>
      </c>
      <c r="E850" s="17">
        <f t="shared" si="40"/>
        <v>1430</v>
      </c>
      <c r="F850" s="17" t="s">
        <v>4813</v>
      </c>
      <c r="G850" s="17">
        <f>MATCH(E850,Arenas!$F$8:$F$15)</f>
        <v>5</v>
      </c>
      <c r="H850" s="29" t="s">
        <v>2220</v>
      </c>
      <c r="I850" s="33" t="s">
        <v>6966</v>
      </c>
      <c r="J850" s="47" t="s">
        <v>6967</v>
      </c>
      <c r="K850" s="61" t="s">
        <v>4779</v>
      </c>
      <c r="L850" s="12" t="str">
        <f t="shared" si="39"/>
        <v>2,2,2</v>
      </c>
    </row>
    <row r="851" spans="2:12">
      <c r="B851" s="17">
        <v>1150</v>
      </c>
      <c r="C851" s="17">
        <v>2</v>
      </c>
      <c r="D851" s="17">
        <f t="shared" si="41"/>
        <v>1</v>
      </c>
      <c r="E851" s="17">
        <f t="shared" si="40"/>
        <v>1431</v>
      </c>
      <c r="F851" s="17" t="s">
        <v>4813</v>
      </c>
      <c r="G851" s="17">
        <f>MATCH(E851,Arenas!$F$8:$F$15)</f>
        <v>5</v>
      </c>
      <c r="H851" s="29" t="s">
        <v>2221</v>
      </c>
      <c r="I851" s="33" t="s">
        <v>6968</v>
      </c>
      <c r="J851" s="47" t="s">
        <v>5261</v>
      </c>
      <c r="K851" s="61" t="s">
        <v>4779</v>
      </c>
      <c r="L851" s="12" t="str">
        <f t="shared" si="39"/>
        <v>2,2,2</v>
      </c>
    </row>
    <row r="852" spans="2:12">
      <c r="B852" s="17">
        <v>1151</v>
      </c>
      <c r="C852" s="17">
        <v>2</v>
      </c>
      <c r="D852" s="17">
        <f t="shared" si="41"/>
        <v>0</v>
      </c>
      <c r="E852" s="17">
        <f t="shared" si="40"/>
        <v>1431</v>
      </c>
      <c r="F852" s="17" t="s">
        <v>4813</v>
      </c>
      <c r="G852" s="17">
        <f>MATCH(E852,Arenas!$F$8:$F$15)</f>
        <v>5</v>
      </c>
      <c r="H852" s="29" t="s">
        <v>2222</v>
      </c>
      <c r="I852" s="33" t="s">
        <v>6969</v>
      </c>
      <c r="J852" s="47" t="s">
        <v>6970</v>
      </c>
      <c r="K852" s="61" t="s">
        <v>4779</v>
      </c>
      <c r="L852" s="12" t="str">
        <f t="shared" si="39"/>
        <v>2,2,2</v>
      </c>
    </row>
    <row r="853" spans="2:12">
      <c r="B853" s="17">
        <v>1152</v>
      </c>
      <c r="C853" s="17">
        <v>2</v>
      </c>
      <c r="D853" s="17">
        <f t="shared" si="41"/>
        <v>0</v>
      </c>
      <c r="E853" s="17">
        <f t="shared" si="40"/>
        <v>1431</v>
      </c>
      <c r="F853" s="17" t="s">
        <v>4813</v>
      </c>
      <c r="G853" s="17">
        <f>MATCH(E853,Arenas!$F$8:$F$15)</f>
        <v>5</v>
      </c>
      <c r="H853" s="29" t="s">
        <v>2223</v>
      </c>
      <c r="I853" s="33" t="s">
        <v>6971</v>
      </c>
      <c r="J853" s="47" t="s">
        <v>6972</v>
      </c>
      <c r="K853" s="61" t="s">
        <v>4779</v>
      </c>
      <c r="L853" s="12" t="str">
        <f t="shared" si="39"/>
        <v>2,2,2</v>
      </c>
    </row>
    <row r="854" spans="2:12">
      <c r="B854" s="17">
        <v>1153</v>
      </c>
      <c r="C854" s="17">
        <v>2</v>
      </c>
      <c r="D854" s="17">
        <f t="shared" si="41"/>
        <v>1</v>
      </c>
      <c r="E854" s="17">
        <f t="shared" si="40"/>
        <v>1432</v>
      </c>
      <c r="F854" s="17" t="s">
        <v>4813</v>
      </c>
      <c r="G854" s="17">
        <f>MATCH(E854,Arenas!$F$8:$F$15)</f>
        <v>5</v>
      </c>
      <c r="H854" s="29" t="s">
        <v>2224</v>
      </c>
      <c r="I854" s="33" t="s">
        <v>6973</v>
      </c>
      <c r="J854" s="47" t="s">
        <v>6974</v>
      </c>
      <c r="K854" s="61" t="s">
        <v>4779</v>
      </c>
      <c r="L854" s="12" t="str">
        <f t="shared" si="39"/>
        <v>2,2,2</v>
      </c>
    </row>
    <row r="855" spans="2:12">
      <c r="B855" s="17">
        <v>1154</v>
      </c>
      <c r="C855" s="17">
        <v>2</v>
      </c>
      <c r="D855" s="17">
        <f t="shared" si="41"/>
        <v>0</v>
      </c>
      <c r="E855" s="17">
        <f t="shared" si="40"/>
        <v>1432</v>
      </c>
      <c r="F855" s="17" t="s">
        <v>4813</v>
      </c>
      <c r="G855" s="17">
        <f>MATCH(E855,Arenas!$F$8:$F$15)</f>
        <v>5</v>
      </c>
      <c r="H855" s="29" t="s">
        <v>2225</v>
      </c>
      <c r="I855" s="33" t="s">
        <v>6975</v>
      </c>
      <c r="J855" s="47" t="s">
        <v>6976</v>
      </c>
      <c r="K855" s="61" t="s">
        <v>4779</v>
      </c>
      <c r="L855" s="12" t="str">
        <f t="shared" si="39"/>
        <v>2,2,2</v>
      </c>
    </row>
    <row r="856" spans="2:12">
      <c r="B856" s="17">
        <v>1155</v>
      </c>
      <c r="C856" s="17">
        <v>2</v>
      </c>
      <c r="D856" s="17">
        <f t="shared" si="41"/>
        <v>0</v>
      </c>
      <c r="E856" s="17">
        <f t="shared" si="40"/>
        <v>1432</v>
      </c>
      <c r="F856" s="17" t="s">
        <v>4813</v>
      </c>
      <c r="G856" s="17">
        <f>MATCH(E856,Arenas!$F$8:$F$15)</f>
        <v>5</v>
      </c>
      <c r="H856" s="29" t="s">
        <v>2226</v>
      </c>
      <c r="I856" s="33" t="s">
        <v>6977</v>
      </c>
      <c r="J856" s="47" t="s">
        <v>6978</v>
      </c>
      <c r="K856" s="61" t="s">
        <v>4779</v>
      </c>
      <c r="L856" s="12" t="str">
        <f t="shared" si="39"/>
        <v>2,2,2</v>
      </c>
    </row>
    <row r="857" spans="2:12">
      <c r="B857" s="17">
        <v>1156</v>
      </c>
      <c r="C857" s="17">
        <v>2</v>
      </c>
      <c r="D857" s="17">
        <f t="shared" si="41"/>
        <v>1</v>
      </c>
      <c r="E857" s="17">
        <f t="shared" si="40"/>
        <v>1433</v>
      </c>
      <c r="F857" s="17" t="s">
        <v>4813</v>
      </c>
      <c r="G857" s="17">
        <f>MATCH(E857,Arenas!$F$8:$F$15)</f>
        <v>5</v>
      </c>
      <c r="H857" s="29" t="s">
        <v>2227</v>
      </c>
      <c r="I857" s="33" t="s">
        <v>6979</v>
      </c>
      <c r="J857" s="47" t="s">
        <v>6980</v>
      </c>
      <c r="K857" s="61" t="s">
        <v>4779</v>
      </c>
      <c r="L857" s="12" t="str">
        <f t="shared" si="39"/>
        <v>2,2,2</v>
      </c>
    </row>
    <row r="858" spans="2:12">
      <c r="B858" s="17">
        <v>1157</v>
      </c>
      <c r="C858" s="17">
        <v>2</v>
      </c>
      <c r="D858" s="17">
        <f t="shared" si="41"/>
        <v>0</v>
      </c>
      <c r="E858" s="17">
        <f t="shared" si="40"/>
        <v>1433</v>
      </c>
      <c r="F858" s="17" t="s">
        <v>4813</v>
      </c>
      <c r="G858" s="17">
        <f>MATCH(E858,Arenas!$F$8:$F$15)</f>
        <v>5</v>
      </c>
      <c r="H858" s="29" t="s">
        <v>2228</v>
      </c>
      <c r="I858" s="33" t="s">
        <v>6981</v>
      </c>
      <c r="J858" s="47" t="s">
        <v>6982</v>
      </c>
      <c r="K858" s="61" t="s">
        <v>4779</v>
      </c>
      <c r="L858" s="12" t="str">
        <f t="shared" si="39"/>
        <v>2,2,2</v>
      </c>
    </row>
    <row r="859" spans="2:12">
      <c r="B859" s="17">
        <v>1158</v>
      </c>
      <c r="C859" s="17">
        <v>2</v>
      </c>
      <c r="D859" s="17">
        <f t="shared" si="41"/>
        <v>0</v>
      </c>
      <c r="E859" s="17">
        <f t="shared" si="40"/>
        <v>1433</v>
      </c>
      <c r="F859" s="17" t="s">
        <v>4813</v>
      </c>
      <c r="G859" s="17">
        <f>MATCH(E859,Arenas!$F$8:$F$15)</f>
        <v>5</v>
      </c>
      <c r="H859" s="29" t="s">
        <v>2229</v>
      </c>
      <c r="I859" s="33" t="s">
        <v>6983</v>
      </c>
      <c r="J859" s="47" t="s">
        <v>6984</v>
      </c>
      <c r="K859" s="61" t="s">
        <v>4779</v>
      </c>
      <c r="L859" s="12" t="str">
        <f t="shared" si="39"/>
        <v>2,2,2</v>
      </c>
    </row>
    <row r="860" spans="2:12">
      <c r="B860" s="17">
        <v>1159</v>
      </c>
      <c r="C860" s="17">
        <v>2</v>
      </c>
      <c r="D860" s="17">
        <f t="shared" si="41"/>
        <v>1</v>
      </c>
      <c r="E860" s="17">
        <f t="shared" si="40"/>
        <v>1434</v>
      </c>
      <c r="F860" s="17" t="s">
        <v>4813</v>
      </c>
      <c r="G860" s="17">
        <f>MATCH(E860,Arenas!$F$8:$F$15)</f>
        <v>5</v>
      </c>
      <c r="H860" s="29" t="s">
        <v>2230</v>
      </c>
      <c r="I860" s="33" t="s">
        <v>6985</v>
      </c>
      <c r="J860" s="47" t="s">
        <v>6986</v>
      </c>
      <c r="K860" s="61" t="s">
        <v>4779</v>
      </c>
      <c r="L860" s="12" t="str">
        <f t="shared" si="39"/>
        <v>2,2,2</v>
      </c>
    </row>
    <row r="861" spans="2:12">
      <c r="B861" s="17">
        <v>1160</v>
      </c>
      <c r="C861" s="17">
        <v>2</v>
      </c>
      <c r="D861" s="17">
        <f t="shared" si="41"/>
        <v>0</v>
      </c>
      <c r="E861" s="17">
        <f t="shared" si="40"/>
        <v>1434</v>
      </c>
      <c r="F861" s="17" t="s">
        <v>4813</v>
      </c>
      <c r="G861" s="17">
        <f>MATCH(E861,Arenas!$F$8:$F$15)</f>
        <v>5</v>
      </c>
      <c r="H861" s="29" t="s">
        <v>2231</v>
      </c>
      <c r="I861" s="33" t="s">
        <v>6987</v>
      </c>
      <c r="J861" s="47" t="s">
        <v>4705</v>
      </c>
      <c r="K861" s="61" t="s">
        <v>4779</v>
      </c>
      <c r="L861" s="12" t="str">
        <f t="shared" si="39"/>
        <v>2,2,2</v>
      </c>
    </row>
    <row r="862" spans="2:12">
      <c r="B862" s="17">
        <v>1161</v>
      </c>
      <c r="C862" s="17">
        <v>2</v>
      </c>
      <c r="D862" s="17">
        <f t="shared" si="41"/>
        <v>0</v>
      </c>
      <c r="E862" s="17">
        <f t="shared" si="40"/>
        <v>1434</v>
      </c>
      <c r="F862" s="17" t="s">
        <v>4813</v>
      </c>
      <c r="G862" s="17">
        <f>MATCH(E862,Arenas!$F$8:$F$15)</f>
        <v>5</v>
      </c>
      <c r="H862" s="29" t="s">
        <v>2232</v>
      </c>
      <c r="I862" s="33" t="s">
        <v>6988</v>
      </c>
      <c r="J862" s="47" t="s">
        <v>4870</v>
      </c>
      <c r="K862" s="61" t="s">
        <v>4779</v>
      </c>
      <c r="L862" s="12" t="str">
        <f t="shared" si="39"/>
        <v>2,2,2</v>
      </c>
    </row>
    <row r="863" spans="2:12">
      <c r="B863" s="17">
        <v>1162</v>
      </c>
      <c r="C863" s="17">
        <v>2</v>
      </c>
      <c r="D863" s="17">
        <f t="shared" si="41"/>
        <v>1</v>
      </c>
      <c r="E863" s="17">
        <f t="shared" si="40"/>
        <v>1435</v>
      </c>
      <c r="F863" s="17" t="s">
        <v>4813</v>
      </c>
      <c r="G863" s="17">
        <f>MATCH(E863,Arenas!$F$8:$F$15)</f>
        <v>5</v>
      </c>
      <c r="H863" s="29" t="s">
        <v>2233</v>
      </c>
      <c r="I863" s="33" t="s">
        <v>6989</v>
      </c>
      <c r="J863" s="47" t="s">
        <v>6990</v>
      </c>
      <c r="K863" s="61" t="s">
        <v>4779</v>
      </c>
      <c r="L863" s="12" t="str">
        <f t="shared" si="39"/>
        <v>2,2,2</v>
      </c>
    </row>
    <row r="864" spans="2:12">
      <c r="B864" s="17">
        <v>1163</v>
      </c>
      <c r="C864" s="17">
        <v>2</v>
      </c>
      <c r="D864" s="17">
        <f t="shared" si="41"/>
        <v>0</v>
      </c>
      <c r="E864" s="17">
        <f t="shared" si="40"/>
        <v>1435</v>
      </c>
      <c r="F864" s="17" t="s">
        <v>4813</v>
      </c>
      <c r="G864" s="17">
        <f>MATCH(E864,Arenas!$F$8:$F$15)</f>
        <v>5</v>
      </c>
      <c r="H864" s="29" t="s">
        <v>2234</v>
      </c>
      <c r="I864" s="33" t="s">
        <v>6991</v>
      </c>
      <c r="J864" s="47" t="s">
        <v>6992</v>
      </c>
      <c r="K864" s="61" t="s">
        <v>4779</v>
      </c>
      <c r="L864" s="12" t="str">
        <f t="shared" si="39"/>
        <v>2,2,2</v>
      </c>
    </row>
    <row r="865" spans="2:12">
      <c r="B865" s="17">
        <v>1164</v>
      </c>
      <c r="C865" s="17">
        <v>2</v>
      </c>
      <c r="D865" s="17">
        <f t="shared" si="41"/>
        <v>0</v>
      </c>
      <c r="E865" s="17">
        <f t="shared" si="40"/>
        <v>1435</v>
      </c>
      <c r="F865" s="17" t="s">
        <v>4813</v>
      </c>
      <c r="G865" s="17">
        <f>MATCH(E865,Arenas!$F$8:$F$15)</f>
        <v>5</v>
      </c>
      <c r="H865" s="29" t="s">
        <v>2235</v>
      </c>
      <c r="I865" s="33" t="s">
        <v>6993</v>
      </c>
      <c r="J865" s="47" t="s">
        <v>6994</v>
      </c>
      <c r="K865" s="61" t="s">
        <v>4779</v>
      </c>
      <c r="L865" s="12" t="str">
        <f t="shared" si="39"/>
        <v>2,2,2</v>
      </c>
    </row>
    <row r="866" spans="2:12">
      <c r="B866" s="17">
        <v>1165</v>
      </c>
      <c r="C866" s="17">
        <v>2</v>
      </c>
      <c r="D866" s="17">
        <f t="shared" si="41"/>
        <v>1</v>
      </c>
      <c r="E866" s="17">
        <f t="shared" si="40"/>
        <v>1436</v>
      </c>
      <c r="F866" s="17" t="s">
        <v>4813</v>
      </c>
      <c r="G866" s="17">
        <f>MATCH(E866,Arenas!$F$8:$F$15)</f>
        <v>5</v>
      </c>
      <c r="H866" s="29" t="s">
        <v>2236</v>
      </c>
      <c r="I866" s="33" t="s">
        <v>6995</v>
      </c>
      <c r="J866" s="47" t="s">
        <v>6996</v>
      </c>
      <c r="K866" s="61" t="s">
        <v>4808</v>
      </c>
      <c r="L866" s="12" t="str">
        <f t="shared" si="39"/>
        <v>2,2,2</v>
      </c>
    </row>
    <row r="867" spans="2:12">
      <c r="B867" s="17">
        <v>1166</v>
      </c>
      <c r="C867" s="17">
        <v>2</v>
      </c>
      <c r="D867" s="17">
        <f t="shared" si="41"/>
        <v>0</v>
      </c>
      <c r="E867" s="17">
        <f t="shared" si="40"/>
        <v>1436</v>
      </c>
      <c r="F867" s="17" t="s">
        <v>4813</v>
      </c>
      <c r="G867" s="17">
        <f>MATCH(E867,Arenas!$F$8:$F$15)</f>
        <v>5</v>
      </c>
      <c r="H867" s="29" t="s">
        <v>2237</v>
      </c>
      <c r="I867" s="33" t="s">
        <v>6997</v>
      </c>
      <c r="J867" s="47" t="s">
        <v>6998</v>
      </c>
      <c r="K867" s="61" t="s">
        <v>4779</v>
      </c>
      <c r="L867" s="12" t="str">
        <f t="shared" si="39"/>
        <v>2,2,2</v>
      </c>
    </row>
    <row r="868" spans="2:12">
      <c r="B868" s="17">
        <v>1167</v>
      </c>
      <c r="C868" s="17">
        <v>2</v>
      </c>
      <c r="D868" s="17">
        <f t="shared" si="41"/>
        <v>0</v>
      </c>
      <c r="E868" s="17">
        <f t="shared" si="40"/>
        <v>1436</v>
      </c>
      <c r="F868" s="17" t="s">
        <v>4813</v>
      </c>
      <c r="G868" s="17">
        <f>MATCH(E868,Arenas!$F$8:$F$15)</f>
        <v>5</v>
      </c>
      <c r="H868" s="29" t="s">
        <v>2238</v>
      </c>
      <c r="I868" s="33" t="s">
        <v>6999</v>
      </c>
      <c r="J868" s="47" t="s">
        <v>7000</v>
      </c>
      <c r="K868" s="61" t="s">
        <v>4779</v>
      </c>
      <c r="L868" s="12" t="str">
        <f t="shared" si="39"/>
        <v>2,2,2</v>
      </c>
    </row>
    <row r="869" spans="2:12">
      <c r="B869" s="17">
        <v>1168</v>
      </c>
      <c r="C869" s="17">
        <v>2</v>
      </c>
      <c r="D869" s="17">
        <f t="shared" si="41"/>
        <v>1</v>
      </c>
      <c r="E869" s="17">
        <f t="shared" si="40"/>
        <v>1437</v>
      </c>
      <c r="F869" s="17" t="s">
        <v>4813</v>
      </c>
      <c r="G869" s="17">
        <f>MATCH(E869,Arenas!$F$8:$F$15)</f>
        <v>5</v>
      </c>
      <c r="H869" s="29" t="s">
        <v>2239</v>
      </c>
      <c r="I869" s="33" t="s">
        <v>7001</v>
      </c>
      <c r="J869" s="47" t="s">
        <v>7002</v>
      </c>
      <c r="K869" s="61" t="s">
        <v>4779</v>
      </c>
      <c r="L869" s="12" t="str">
        <f t="shared" si="39"/>
        <v>2,2,2</v>
      </c>
    </row>
    <row r="870" spans="2:12">
      <c r="B870" s="17">
        <v>1169</v>
      </c>
      <c r="C870" s="17">
        <v>2</v>
      </c>
      <c r="D870" s="17">
        <f t="shared" si="41"/>
        <v>0</v>
      </c>
      <c r="E870" s="17">
        <f t="shared" si="40"/>
        <v>1437</v>
      </c>
      <c r="F870" s="17" t="s">
        <v>4813</v>
      </c>
      <c r="G870" s="17">
        <f>MATCH(E870,Arenas!$F$8:$F$15)</f>
        <v>5</v>
      </c>
      <c r="H870" s="29" t="s">
        <v>2240</v>
      </c>
      <c r="I870" s="33" t="s">
        <v>7003</v>
      </c>
      <c r="J870" s="47" t="s">
        <v>4687</v>
      </c>
      <c r="K870" s="61" t="s">
        <v>4779</v>
      </c>
      <c r="L870" s="12" t="str">
        <f t="shared" si="39"/>
        <v>2,2,2</v>
      </c>
    </row>
    <row r="871" spans="2:12">
      <c r="B871" s="17">
        <v>1170</v>
      </c>
      <c r="C871" s="17">
        <v>2</v>
      </c>
      <c r="D871" s="17">
        <f t="shared" si="41"/>
        <v>0</v>
      </c>
      <c r="E871" s="17">
        <f t="shared" si="40"/>
        <v>1437</v>
      </c>
      <c r="F871" s="17" t="s">
        <v>4813</v>
      </c>
      <c r="G871" s="17">
        <f>MATCH(E871,Arenas!$F$8:$F$15)</f>
        <v>5</v>
      </c>
      <c r="H871" s="29" t="s">
        <v>2241</v>
      </c>
      <c r="I871" s="33" t="s">
        <v>7004</v>
      </c>
      <c r="J871" s="47" t="s">
        <v>7005</v>
      </c>
      <c r="K871" s="61" t="s">
        <v>4779</v>
      </c>
      <c r="L871" s="12" t="str">
        <f t="shared" si="39"/>
        <v>2,2,2</v>
      </c>
    </row>
    <row r="872" spans="2:12">
      <c r="B872" s="17">
        <v>1171</v>
      </c>
      <c r="C872" s="17">
        <v>2</v>
      </c>
      <c r="D872" s="17">
        <f t="shared" si="41"/>
        <v>1</v>
      </c>
      <c r="E872" s="17">
        <f t="shared" si="40"/>
        <v>1438</v>
      </c>
      <c r="F872" s="17" t="s">
        <v>4813</v>
      </c>
      <c r="G872" s="17">
        <f>MATCH(E872,Arenas!$F$8:$F$15)</f>
        <v>5</v>
      </c>
      <c r="H872" s="29" t="s">
        <v>2242</v>
      </c>
      <c r="I872" s="33" t="s">
        <v>7006</v>
      </c>
      <c r="J872" s="47" t="s">
        <v>4693</v>
      </c>
      <c r="K872" s="61" t="s">
        <v>4779</v>
      </c>
      <c r="L872" s="12" t="str">
        <f t="shared" si="39"/>
        <v>2,2,2</v>
      </c>
    </row>
    <row r="873" spans="2:12">
      <c r="B873" s="17">
        <v>1172</v>
      </c>
      <c r="C873" s="17">
        <v>2</v>
      </c>
      <c r="D873" s="17">
        <f t="shared" si="41"/>
        <v>0</v>
      </c>
      <c r="E873" s="17">
        <f t="shared" si="40"/>
        <v>1438</v>
      </c>
      <c r="F873" s="17" t="s">
        <v>4813</v>
      </c>
      <c r="G873" s="17">
        <f>MATCH(E873,Arenas!$F$8:$F$15)</f>
        <v>5</v>
      </c>
      <c r="H873" s="29" t="s">
        <v>2243</v>
      </c>
      <c r="I873" s="33" t="s">
        <v>7007</v>
      </c>
      <c r="J873" s="47" t="s">
        <v>7008</v>
      </c>
      <c r="K873" s="61" t="s">
        <v>4779</v>
      </c>
      <c r="L873" s="12" t="str">
        <f t="shared" si="39"/>
        <v>2,2,2</v>
      </c>
    </row>
    <row r="874" spans="2:12">
      <c r="B874" s="17">
        <v>1173</v>
      </c>
      <c r="C874" s="17">
        <v>2</v>
      </c>
      <c r="D874" s="17">
        <f t="shared" si="41"/>
        <v>0</v>
      </c>
      <c r="E874" s="17">
        <f t="shared" si="40"/>
        <v>1438</v>
      </c>
      <c r="F874" s="17" t="s">
        <v>4813</v>
      </c>
      <c r="G874" s="17">
        <f>MATCH(E874,Arenas!$F$8:$F$15)</f>
        <v>5</v>
      </c>
      <c r="H874" s="29" t="s">
        <v>2244</v>
      </c>
      <c r="I874" s="33" t="s">
        <v>7009</v>
      </c>
      <c r="J874" s="47" t="s">
        <v>7010</v>
      </c>
      <c r="K874" s="61" t="s">
        <v>4779</v>
      </c>
      <c r="L874" s="12" t="str">
        <f t="shared" si="39"/>
        <v>2,2,2</v>
      </c>
    </row>
    <row r="875" spans="2:12">
      <c r="B875" s="17">
        <v>1174</v>
      </c>
      <c r="C875" s="17">
        <v>2</v>
      </c>
      <c r="D875" s="17">
        <f t="shared" si="41"/>
        <v>1</v>
      </c>
      <c r="E875" s="17">
        <f t="shared" si="40"/>
        <v>1439</v>
      </c>
      <c r="F875" s="17" t="s">
        <v>4813</v>
      </c>
      <c r="G875" s="17">
        <f>MATCH(E875,Arenas!$F$8:$F$15)</f>
        <v>5</v>
      </c>
      <c r="H875" s="29" t="s">
        <v>2245</v>
      </c>
      <c r="I875" s="33" t="s">
        <v>7011</v>
      </c>
      <c r="J875" s="47" t="s">
        <v>7012</v>
      </c>
      <c r="K875" s="61" t="s">
        <v>4779</v>
      </c>
      <c r="L875" s="12" t="str">
        <f t="shared" si="39"/>
        <v>2,2,2</v>
      </c>
    </row>
    <row r="876" spans="2:12">
      <c r="B876" s="17">
        <v>1175</v>
      </c>
      <c r="C876" s="17">
        <v>2</v>
      </c>
      <c r="D876" s="17">
        <f t="shared" si="41"/>
        <v>0</v>
      </c>
      <c r="E876" s="17">
        <f t="shared" si="40"/>
        <v>1439</v>
      </c>
      <c r="F876" s="17" t="s">
        <v>4813</v>
      </c>
      <c r="G876" s="17">
        <f>MATCH(E876,Arenas!$F$8:$F$15)</f>
        <v>5</v>
      </c>
      <c r="H876" s="29" t="s">
        <v>2246</v>
      </c>
      <c r="I876" s="33" t="s">
        <v>7013</v>
      </c>
      <c r="J876" s="47" t="s">
        <v>7014</v>
      </c>
      <c r="K876" s="61" t="s">
        <v>4779</v>
      </c>
      <c r="L876" s="12" t="str">
        <f t="shared" si="39"/>
        <v>2,2,2</v>
      </c>
    </row>
    <row r="877" spans="2:12">
      <c r="B877" s="17">
        <v>1176</v>
      </c>
      <c r="C877" s="17">
        <v>2</v>
      </c>
      <c r="D877" s="17">
        <f t="shared" si="41"/>
        <v>0</v>
      </c>
      <c r="E877" s="17">
        <f t="shared" si="40"/>
        <v>1439</v>
      </c>
      <c r="F877" s="17" t="s">
        <v>4813</v>
      </c>
      <c r="G877" s="17">
        <f>MATCH(E877,Arenas!$F$8:$F$15)</f>
        <v>5</v>
      </c>
      <c r="H877" s="29" t="s">
        <v>2247</v>
      </c>
      <c r="I877" s="33" t="s">
        <v>7015</v>
      </c>
      <c r="J877" s="47" t="s">
        <v>7016</v>
      </c>
      <c r="K877" s="61" t="s">
        <v>4779</v>
      </c>
      <c r="L877" s="12" t="str">
        <f t="shared" si="39"/>
        <v>2,2,2</v>
      </c>
    </row>
    <row r="878" spans="2:12">
      <c r="B878" s="17">
        <v>1177</v>
      </c>
      <c r="C878" s="17">
        <v>2</v>
      </c>
      <c r="D878" s="17">
        <f t="shared" si="41"/>
        <v>1</v>
      </c>
      <c r="E878" s="17">
        <f t="shared" si="40"/>
        <v>1440</v>
      </c>
      <c r="F878" s="17" t="s">
        <v>4813</v>
      </c>
      <c r="G878" s="17">
        <f>MATCH(E878,Arenas!$F$8:$F$15)</f>
        <v>5</v>
      </c>
      <c r="H878" s="29" t="s">
        <v>2248</v>
      </c>
      <c r="I878" s="33" t="s">
        <v>7017</v>
      </c>
      <c r="J878" s="47" t="s">
        <v>7018</v>
      </c>
      <c r="K878" s="61" t="s">
        <v>4779</v>
      </c>
      <c r="L878" s="12" t="str">
        <f t="shared" si="39"/>
        <v>2,2,2</v>
      </c>
    </row>
    <row r="879" spans="2:12">
      <c r="B879" s="17">
        <v>1178</v>
      </c>
      <c r="C879" s="17">
        <v>2</v>
      </c>
      <c r="D879" s="17">
        <f t="shared" si="41"/>
        <v>0</v>
      </c>
      <c r="E879" s="17">
        <f t="shared" si="40"/>
        <v>1440</v>
      </c>
      <c r="F879" s="17" t="s">
        <v>4813</v>
      </c>
      <c r="G879" s="17">
        <f>MATCH(E879,Arenas!$F$8:$F$15)</f>
        <v>5</v>
      </c>
      <c r="H879" s="29" t="s">
        <v>2249</v>
      </c>
      <c r="I879" s="33" t="s">
        <v>7019</v>
      </c>
      <c r="J879" s="47" t="s">
        <v>7020</v>
      </c>
      <c r="K879" s="61" t="s">
        <v>4779</v>
      </c>
      <c r="L879" s="12" t="str">
        <f t="shared" si="39"/>
        <v>2,2,2</v>
      </c>
    </row>
    <row r="880" spans="2:12">
      <c r="B880" s="17">
        <v>1179</v>
      </c>
      <c r="C880" s="17">
        <v>2</v>
      </c>
      <c r="D880" s="17">
        <f t="shared" si="41"/>
        <v>0</v>
      </c>
      <c r="E880" s="17">
        <f t="shared" si="40"/>
        <v>1440</v>
      </c>
      <c r="F880" s="17" t="s">
        <v>4813</v>
      </c>
      <c r="G880" s="17">
        <f>MATCH(E880,Arenas!$F$8:$F$15)</f>
        <v>5</v>
      </c>
      <c r="H880" s="29" t="s">
        <v>2250</v>
      </c>
      <c r="I880" s="33" t="s">
        <v>7021</v>
      </c>
      <c r="J880" s="47" t="s">
        <v>7022</v>
      </c>
      <c r="K880" s="61" t="s">
        <v>4779</v>
      </c>
      <c r="L880" s="12" t="str">
        <f t="shared" si="39"/>
        <v>2,2,2</v>
      </c>
    </row>
    <row r="881" spans="2:12">
      <c r="B881" s="17">
        <v>1180</v>
      </c>
      <c r="C881" s="17">
        <v>2</v>
      </c>
      <c r="D881" s="17">
        <f t="shared" si="41"/>
        <v>1</v>
      </c>
      <c r="E881" s="17">
        <f t="shared" si="40"/>
        <v>1441</v>
      </c>
      <c r="F881" s="17" t="s">
        <v>4813</v>
      </c>
      <c r="G881" s="17">
        <f>MATCH(E881,Arenas!$F$8:$F$15)</f>
        <v>5</v>
      </c>
      <c r="H881" s="29" t="s">
        <v>2251</v>
      </c>
      <c r="I881" s="33" t="s">
        <v>7023</v>
      </c>
      <c r="J881" s="47" t="s">
        <v>7024</v>
      </c>
      <c r="K881" s="61" t="s">
        <v>4779</v>
      </c>
      <c r="L881" s="12" t="str">
        <f t="shared" si="39"/>
        <v>2,2,2</v>
      </c>
    </row>
    <row r="882" spans="2:12">
      <c r="B882" s="17">
        <v>1181</v>
      </c>
      <c r="C882" s="17">
        <v>2</v>
      </c>
      <c r="D882" s="17">
        <f t="shared" si="41"/>
        <v>0</v>
      </c>
      <c r="E882" s="17">
        <f t="shared" si="40"/>
        <v>1441</v>
      </c>
      <c r="F882" s="17" t="s">
        <v>4813</v>
      </c>
      <c r="G882" s="17">
        <f>MATCH(E882,Arenas!$F$8:$F$15)</f>
        <v>5</v>
      </c>
      <c r="H882" s="29" t="s">
        <v>2252</v>
      </c>
      <c r="I882" s="33" t="s">
        <v>7025</v>
      </c>
      <c r="J882" s="47" t="s">
        <v>7026</v>
      </c>
      <c r="K882" s="61" t="s">
        <v>4779</v>
      </c>
      <c r="L882" s="12" t="str">
        <f t="shared" si="39"/>
        <v>2,2,2</v>
      </c>
    </row>
    <row r="883" spans="2:12">
      <c r="B883" s="17">
        <v>1182</v>
      </c>
      <c r="C883" s="17">
        <v>2</v>
      </c>
      <c r="D883" s="17">
        <f t="shared" si="41"/>
        <v>0</v>
      </c>
      <c r="E883" s="17">
        <f t="shared" si="40"/>
        <v>1441</v>
      </c>
      <c r="F883" s="17" t="s">
        <v>4813</v>
      </c>
      <c r="G883" s="17">
        <f>MATCH(E883,Arenas!$F$8:$F$15)</f>
        <v>5</v>
      </c>
      <c r="H883" s="29" t="s">
        <v>2253</v>
      </c>
      <c r="I883" s="33" t="s">
        <v>7027</v>
      </c>
      <c r="J883" s="47" t="s">
        <v>7028</v>
      </c>
      <c r="K883" s="61" t="s">
        <v>4779</v>
      </c>
      <c r="L883" s="12" t="str">
        <f t="shared" si="39"/>
        <v>2,2,2</v>
      </c>
    </row>
    <row r="884" spans="2:12">
      <c r="B884" s="17">
        <v>1183</v>
      </c>
      <c r="C884" s="17">
        <v>2</v>
      </c>
      <c r="D884" s="17">
        <f t="shared" si="41"/>
        <v>1</v>
      </c>
      <c r="E884" s="17">
        <f t="shared" si="40"/>
        <v>1442</v>
      </c>
      <c r="F884" s="17" t="s">
        <v>4813</v>
      </c>
      <c r="G884" s="17">
        <f>MATCH(E884,Arenas!$F$8:$F$15)</f>
        <v>5</v>
      </c>
      <c r="H884" s="29" t="s">
        <v>2254</v>
      </c>
      <c r="I884" s="33" t="s">
        <v>7029</v>
      </c>
      <c r="J884" s="47" t="s">
        <v>7030</v>
      </c>
      <c r="K884" s="61" t="s">
        <v>4779</v>
      </c>
      <c r="L884" s="12" t="str">
        <f t="shared" si="39"/>
        <v>2,2,2</v>
      </c>
    </row>
    <row r="885" spans="2:12">
      <c r="B885" s="17">
        <v>1184</v>
      </c>
      <c r="C885" s="17">
        <v>2</v>
      </c>
      <c r="D885" s="17">
        <f t="shared" si="41"/>
        <v>0</v>
      </c>
      <c r="E885" s="17">
        <f t="shared" si="40"/>
        <v>1442</v>
      </c>
      <c r="F885" s="17" t="s">
        <v>4813</v>
      </c>
      <c r="G885" s="17">
        <f>MATCH(E885,Arenas!$F$8:$F$15)</f>
        <v>5</v>
      </c>
      <c r="H885" s="29" t="s">
        <v>2255</v>
      </c>
      <c r="I885" s="33" t="s">
        <v>7031</v>
      </c>
      <c r="J885" s="47" t="s">
        <v>7032</v>
      </c>
      <c r="K885" s="61" t="s">
        <v>4779</v>
      </c>
      <c r="L885" s="12" t="str">
        <f t="shared" si="39"/>
        <v>2,2,2</v>
      </c>
    </row>
    <row r="886" spans="2:12">
      <c r="B886" s="17">
        <v>1185</v>
      </c>
      <c r="C886" s="17">
        <v>2</v>
      </c>
      <c r="D886" s="17">
        <f t="shared" si="41"/>
        <v>0</v>
      </c>
      <c r="E886" s="17">
        <f t="shared" si="40"/>
        <v>1442</v>
      </c>
      <c r="F886" s="17" t="s">
        <v>4813</v>
      </c>
      <c r="G886" s="17">
        <f>MATCH(E886,Arenas!$F$8:$F$15)</f>
        <v>5</v>
      </c>
      <c r="H886" s="29" t="s">
        <v>2256</v>
      </c>
      <c r="I886" s="33" t="s">
        <v>7033</v>
      </c>
      <c r="J886" s="47" t="s">
        <v>7034</v>
      </c>
      <c r="K886" s="61" t="s">
        <v>4779</v>
      </c>
      <c r="L886" s="12" t="str">
        <f t="shared" si="39"/>
        <v>2,2,2</v>
      </c>
    </row>
    <row r="887" spans="2:12">
      <c r="B887" s="17">
        <v>1186</v>
      </c>
      <c r="C887" s="17">
        <v>2</v>
      </c>
      <c r="D887" s="17">
        <f t="shared" si="41"/>
        <v>1</v>
      </c>
      <c r="E887" s="17">
        <f t="shared" si="40"/>
        <v>1443</v>
      </c>
      <c r="F887" s="17" t="s">
        <v>4813</v>
      </c>
      <c r="G887" s="17">
        <f>MATCH(E887,Arenas!$F$8:$F$15)</f>
        <v>5</v>
      </c>
      <c r="H887" s="29" t="s">
        <v>2257</v>
      </c>
      <c r="I887" s="33" t="s">
        <v>7035</v>
      </c>
      <c r="J887" s="47" t="s">
        <v>7036</v>
      </c>
      <c r="K887" s="61" t="s">
        <v>4779</v>
      </c>
      <c r="L887" s="12" t="str">
        <f t="shared" si="39"/>
        <v>2,2,2</v>
      </c>
    </row>
    <row r="888" spans="2:12">
      <c r="B888" s="17">
        <v>1187</v>
      </c>
      <c r="C888" s="17">
        <v>2</v>
      </c>
      <c r="D888" s="17">
        <f t="shared" si="41"/>
        <v>0</v>
      </c>
      <c r="E888" s="17">
        <f t="shared" si="40"/>
        <v>1443</v>
      </c>
      <c r="F888" s="17" t="s">
        <v>4813</v>
      </c>
      <c r="G888" s="17">
        <f>MATCH(E888,Arenas!$F$8:$F$15)</f>
        <v>5</v>
      </c>
      <c r="H888" s="29" t="s">
        <v>2258</v>
      </c>
      <c r="I888" s="33" t="s">
        <v>7037</v>
      </c>
      <c r="J888" s="47" t="s">
        <v>7038</v>
      </c>
      <c r="K888" s="61" t="s">
        <v>4779</v>
      </c>
      <c r="L888" s="12" t="str">
        <f t="shared" si="39"/>
        <v>2,2,2</v>
      </c>
    </row>
    <row r="889" spans="2:12">
      <c r="B889" s="17">
        <v>1188</v>
      </c>
      <c r="C889" s="17">
        <v>2</v>
      </c>
      <c r="D889" s="17">
        <f t="shared" si="41"/>
        <v>0</v>
      </c>
      <c r="E889" s="17">
        <f t="shared" si="40"/>
        <v>1443</v>
      </c>
      <c r="F889" s="17" t="s">
        <v>4813</v>
      </c>
      <c r="G889" s="17">
        <f>MATCH(E889,Arenas!$F$8:$F$15)</f>
        <v>5</v>
      </c>
      <c r="H889" s="29" t="s">
        <v>2259</v>
      </c>
      <c r="I889" s="33" t="s">
        <v>7039</v>
      </c>
      <c r="J889" s="47" t="s">
        <v>7040</v>
      </c>
      <c r="K889" s="61" t="s">
        <v>4779</v>
      </c>
      <c r="L889" s="12" t="str">
        <f t="shared" si="39"/>
        <v>2,2,2</v>
      </c>
    </row>
    <row r="890" spans="2:12">
      <c r="B890" s="17">
        <v>1189</v>
      </c>
      <c r="C890" s="17">
        <v>2</v>
      </c>
      <c r="D890" s="17">
        <f t="shared" si="41"/>
        <v>1</v>
      </c>
      <c r="E890" s="17">
        <f t="shared" si="40"/>
        <v>1444</v>
      </c>
      <c r="F890" s="17" t="s">
        <v>4813</v>
      </c>
      <c r="G890" s="17">
        <f>MATCH(E890,Arenas!$F$8:$F$15)</f>
        <v>5</v>
      </c>
      <c r="H890" s="29" t="s">
        <v>2260</v>
      </c>
      <c r="I890" s="33" t="s">
        <v>7041</v>
      </c>
      <c r="J890" s="47" t="s">
        <v>7042</v>
      </c>
      <c r="K890" s="61" t="s">
        <v>4779</v>
      </c>
      <c r="L890" s="12" t="str">
        <f t="shared" si="39"/>
        <v>2,2,2</v>
      </c>
    </row>
    <row r="891" spans="2:12">
      <c r="B891" s="17">
        <v>1190</v>
      </c>
      <c r="C891" s="17">
        <v>2</v>
      </c>
      <c r="D891" s="17">
        <f t="shared" si="41"/>
        <v>0</v>
      </c>
      <c r="E891" s="17">
        <f t="shared" si="40"/>
        <v>1444</v>
      </c>
      <c r="F891" s="17" t="s">
        <v>4813</v>
      </c>
      <c r="G891" s="17">
        <f>MATCH(E891,Arenas!$F$8:$F$15)</f>
        <v>5</v>
      </c>
      <c r="H891" s="29" t="s">
        <v>2261</v>
      </c>
      <c r="I891" s="33" t="s">
        <v>7043</v>
      </c>
      <c r="J891" s="47" t="s">
        <v>7044</v>
      </c>
      <c r="K891" s="61" t="s">
        <v>4779</v>
      </c>
      <c r="L891" s="12" t="str">
        <f t="shared" si="39"/>
        <v>2,2,2</v>
      </c>
    </row>
    <row r="892" spans="2:12">
      <c r="B892" s="17">
        <v>1191</v>
      </c>
      <c r="C892" s="17">
        <v>2</v>
      </c>
      <c r="D892" s="17">
        <f t="shared" si="41"/>
        <v>0</v>
      </c>
      <c r="E892" s="17">
        <f t="shared" si="40"/>
        <v>1444</v>
      </c>
      <c r="F892" s="17" t="s">
        <v>4813</v>
      </c>
      <c r="G892" s="17">
        <f>MATCH(E892,Arenas!$F$8:$F$15)</f>
        <v>5</v>
      </c>
      <c r="H892" s="29" t="s">
        <v>2262</v>
      </c>
      <c r="I892" s="33" t="s">
        <v>7045</v>
      </c>
      <c r="J892" s="47" t="s">
        <v>7046</v>
      </c>
      <c r="K892" s="61" t="s">
        <v>4779</v>
      </c>
      <c r="L892" s="12" t="str">
        <f t="shared" si="39"/>
        <v>2,2,2</v>
      </c>
    </row>
    <row r="893" spans="2:12">
      <c r="B893" s="17">
        <v>1192</v>
      </c>
      <c r="C893" s="17">
        <v>2</v>
      </c>
      <c r="D893" s="17">
        <f t="shared" si="41"/>
        <v>1</v>
      </c>
      <c r="E893" s="17">
        <f t="shared" si="40"/>
        <v>1445</v>
      </c>
      <c r="F893" s="17" t="s">
        <v>4813</v>
      </c>
      <c r="G893" s="17">
        <f>MATCH(E893,Arenas!$F$8:$F$15)</f>
        <v>5</v>
      </c>
      <c r="H893" s="29" t="s">
        <v>2263</v>
      </c>
      <c r="I893" s="33" t="s">
        <v>7047</v>
      </c>
      <c r="J893" s="47" t="s">
        <v>4691</v>
      </c>
      <c r="K893" s="61" t="s">
        <v>4779</v>
      </c>
      <c r="L893" s="12" t="str">
        <f t="shared" si="39"/>
        <v>2,2,2</v>
      </c>
    </row>
    <row r="894" spans="2:12">
      <c r="B894" s="17">
        <v>1193</v>
      </c>
      <c r="C894" s="17">
        <v>2</v>
      </c>
      <c r="D894" s="17">
        <f t="shared" si="41"/>
        <v>0</v>
      </c>
      <c r="E894" s="17">
        <f t="shared" si="40"/>
        <v>1445</v>
      </c>
      <c r="F894" s="17" t="s">
        <v>4813</v>
      </c>
      <c r="G894" s="17">
        <f>MATCH(E894,Arenas!$F$8:$F$15)</f>
        <v>5</v>
      </c>
      <c r="H894" s="29" t="s">
        <v>2264</v>
      </c>
      <c r="I894" s="33" t="s">
        <v>7048</v>
      </c>
      <c r="J894" s="47" t="s">
        <v>5255</v>
      </c>
      <c r="K894" s="61" t="s">
        <v>4779</v>
      </c>
      <c r="L894" s="12" t="str">
        <f t="shared" si="39"/>
        <v>2,2,2</v>
      </c>
    </row>
    <row r="895" spans="2:12">
      <c r="B895" s="17">
        <v>1194</v>
      </c>
      <c r="C895" s="17">
        <v>2</v>
      </c>
      <c r="D895" s="17">
        <f t="shared" si="41"/>
        <v>0</v>
      </c>
      <c r="E895" s="17">
        <f t="shared" si="40"/>
        <v>1445</v>
      </c>
      <c r="F895" s="17" t="s">
        <v>4813</v>
      </c>
      <c r="G895" s="17">
        <f>MATCH(E895,Arenas!$F$8:$F$15)</f>
        <v>5</v>
      </c>
      <c r="H895" s="29" t="s">
        <v>2265</v>
      </c>
      <c r="I895" s="33" t="s">
        <v>7049</v>
      </c>
      <c r="J895" s="47" t="s">
        <v>7050</v>
      </c>
      <c r="K895" s="61" t="s">
        <v>4779</v>
      </c>
      <c r="L895" s="12" t="str">
        <f t="shared" si="39"/>
        <v>2,2,2</v>
      </c>
    </row>
    <row r="896" spans="2:12">
      <c r="B896" s="17">
        <v>1195</v>
      </c>
      <c r="C896" s="17">
        <v>2</v>
      </c>
      <c r="D896" s="17">
        <f t="shared" si="41"/>
        <v>1</v>
      </c>
      <c r="E896" s="17">
        <f t="shared" si="40"/>
        <v>1446</v>
      </c>
      <c r="F896" s="17" t="s">
        <v>4813</v>
      </c>
      <c r="G896" s="17">
        <f>MATCH(E896,Arenas!$F$8:$F$15)</f>
        <v>5</v>
      </c>
      <c r="H896" s="29" t="s">
        <v>2266</v>
      </c>
      <c r="I896" s="33" t="s">
        <v>7051</v>
      </c>
      <c r="J896" s="47" t="s">
        <v>7052</v>
      </c>
      <c r="K896" s="61" t="s">
        <v>4779</v>
      </c>
      <c r="L896" s="12" t="str">
        <f t="shared" si="39"/>
        <v>2,2,2</v>
      </c>
    </row>
    <row r="897" spans="2:12">
      <c r="B897" s="17">
        <v>1196</v>
      </c>
      <c r="C897" s="17">
        <v>2</v>
      </c>
      <c r="D897" s="17">
        <f t="shared" si="41"/>
        <v>0</v>
      </c>
      <c r="E897" s="17">
        <f t="shared" si="40"/>
        <v>1446</v>
      </c>
      <c r="F897" s="17" t="s">
        <v>4813</v>
      </c>
      <c r="G897" s="17">
        <f>MATCH(E897,Arenas!$F$8:$F$15)</f>
        <v>5</v>
      </c>
      <c r="H897" s="29" t="s">
        <v>2267</v>
      </c>
      <c r="I897" s="33" t="s">
        <v>7053</v>
      </c>
      <c r="J897" s="47" t="s">
        <v>7054</v>
      </c>
      <c r="K897" s="61" t="s">
        <v>4779</v>
      </c>
      <c r="L897" s="12" t="str">
        <f t="shared" si="39"/>
        <v>2,2,2</v>
      </c>
    </row>
    <row r="898" spans="2:12">
      <c r="B898" s="17">
        <v>1197</v>
      </c>
      <c r="C898" s="17">
        <v>2</v>
      </c>
      <c r="D898" s="17">
        <f t="shared" si="41"/>
        <v>0</v>
      </c>
      <c r="E898" s="17">
        <f t="shared" si="40"/>
        <v>1446</v>
      </c>
      <c r="F898" s="17" t="s">
        <v>4813</v>
      </c>
      <c r="G898" s="17">
        <f>MATCH(E898,Arenas!$F$8:$F$15)</f>
        <v>5</v>
      </c>
      <c r="H898" s="29" t="s">
        <v>2268</v>
      </c>
      <c r="I898" s="33" t="s">
        <v>7055</v>
      </c>
      <c r="J898" s="47" t="s">
        <v>7056</v>
      </c>
      <c r="K898" s="61" t="s">
        <v>4779</v>
      </c>
      <c r="L898" s="12" t="str">
        <f t="shared" ref="L898:L961" si="42">C898&amp;","&amp;C898&amp;","&amp;C898</f>
        <v>2,2,2</v>
      </c>
    </row>
    <row r="899" spans="2:12">
      <c r="B899" s="17">
        <v>1198</v>
      </c>
      <c r="C899" s="17">
        <v>2</v>
      </c>
      <c r="D899" s="17">
        <f t="shared" si="41"/>
        <v>1</v>
      </c>
      <c r="E899" s="17">
        <f t="shared" ref="E899:E962" si="43">D899+E898</f>
        <v>1447</v>
      </c>
      <c r="F899" s="17" t="s">
        <v>4813</v>
      </c>
      <c r="G899" s="17">
        <f>MATCH(E899,Arenas!$F$8:$F$15)</f>
        <v>5</v>
      </c>
      <c r="H899" s="29" t="s">
        <v>2269</v>
      </c>
      <c r="I899" s="33" t="s">
        <v>7057</v>
      </c>
      <c r="J899" s="47" t="s">
        <v>7058</v>
      </c>
      <c r="K899" s="61" t="s">
        <v>4779</v>
      </c>
      <c r="L899" s="12" t="str">
        <f t="shared" si="42"/>
        <v>2,2,2</v>
      </c>
    </row>
    <row r="900" spans="2:12">
      <c r="B900" s="17">
        <v>1199</v>
      </c>
      <c r="C900" s="17">
        <v>2</v>
      </c>
      <c r="D900" s="17">
        <f t="shared" si="41"/>
        <v>0</v>
      </c>
      <c r="E900" s="17">
        <f t="shared" si="43"/>
        <v>1447</v>
      </c>
      <c r="F900" s="17" t="s">
        <v>4813</v>
      </c>
      <c r="G900" s="17">
        <f>MATCH(E900,Arenas!$F$8:$F$15)</f>
        <v>5</v>
      </c>
      <c r="H900" s="29" t="s">
        <v>2270</v>
      </c>
      <c r="I900" s="33" t="s">
        <v>7059</v>
      </c>
      <c r="J900" s="47" t="s">
        <v>7060</v>
      </c>
      <c r="K900" s="61" t="s">
        <v>4779</v>
      </c>
      <c r="L900" s="12" t="str">
        <f t="shared" si="42"/>
        <v>2,2,2</v>
      </c>
    </row>
    <row r="901" spans="2:12">
      <c r="B901" s="17">
        <v>1200</v>
      </c>
      <c r="C901" s="17">
        <v>2</v>
      </c>
      <c r="D901" s="17">
        <f t="shared" ref="D901:D964" si="44">D898</f>
        <v>0</v>
      </c>
      <c r="E901" s="17">
        <f t="shared" si="43"/>
        <v>1447</v>
      </c>
      <c r="F901" s="17" t="s">
        <v>4813</v>
      </c>
      <c r="G901" s="17">
        <f>MATCH(E901,Arenas!$F$8:$F$15)</f>
        <v>5</v>
      </c>
      <c r="H901" s="29" t="s">
        <v>2271</v>
      </c>
      <c r="I901" s="33" t="s">
        <v>7061</v>
      </c>
      <c r="J901" s="47" t="s">
        <v>7062</v>
      </c>
      <c r="K901" s="61" t="s">
        <v>4779</v>
      </c>
      <c r="L901" s="12" t="str">
        <f t="shared" si="42"/>
        <v>2,2,2</v>
      </c>
    </row>
    <row r="902" spans="2:12">
      <c r="B902" s="17">
        <v>1201</v>
      </c>
      <c r="C902" s="17">
        <v>2</v>
      </c>
      <c r="D902" s="17">
        <f t="shared" si="44"/>
        <v>1</v>
      </c>
      <c r="E902" s="17">
        <f t="shared" si="43"/>
        <v>1448</v>
      </c>
      <c r="F902" s="17" t="s">
        <v>4813</v>
      </c>
      <c r="G902" s="17">
        <f>MATCH(E902,Arenas!$F$8:$F$15)</f>
        <v>5</v>
      </c>
      <c r="H902" s="29" t="s">
        <v>2272</v>
      </c>
      <c r="I902" s="33" t="s">
        <v>7063</v>
      </c>
      <c r="J902" s="47" t="s">
        <v>7064</v>
      </c>
      <c r="K902" s="61" t="s">
        <v>4779</v>
      </c>
      <c r="L902" s="12" t="str">
        <f t="shared" si="42"/>
        <v>2,2,2</v>
      </c>
    </row>
    <row r="903" spans="2:12">
      <c r="B903" s="17">
        <v>1202</v>
      </c>
      <c r="C903" s="17">
        <v>2</v>
      </c>
      <c r="D903" s="17">
        <f t="shared" si="44"/>
        <v>0</v>
      </c>
      <c r="E903" s="17">
        <f t="shared" si="43"/>
        <v>1448</v>
      </c>
      <c r="F903" s="17" t="s">
        <v>4813</v>
      </c>
      <c r="G903" s="17">
        <f>MATCH(E903,Arenas!$F$8:$F$15)</f>
        <v>5</v>
      </c>
      <c r="H903" s="29" t="s">
        <v>2273</v>
      </c>
      <c r="I903" s="33" t="s">
        <v>7065</v>
      </c>
      <c r="J903" s="47" t="s">
        <v>7066</v>
      </c>
      <c r="K903" s="61" t="s">
        <v>4779</v>
      </c>
      <c r="L903" s="12" t="str">
        <f t="shared" si="42"/>
        <v>2,2,2</v>
      </c>
    </row>
    <row r="904" spans="2:12">
      <c r="B904" s="17">
        <v>1203</v>
      </c>
      <c r="C904" s="17">
        <v>2</v>
      </c>
      <c r="D904" s="17">
        <f t="shared" si="44"/>
        <v>0</v>
      </c>
      <c r="E904" s="17">
        <f t="shared" si="43"/>
        <v>1448</v>
      </c>
      <c r="F904" s="17" t="s">
        <v>4813</v>
      </c>
      <c r="G904" s="17">
        <f>MATCH(E904,Arenas!$F$8:$F$15)</f>
        <v>5</v>
      </c>
      <c r="H904" s="29" t="s">
        <v>2274</v>
      </c>
      <c r="I904" s="33" t="s">
        <v>7067</v>
      </c>
      <c r="J904" s="47" t="s">
        <v>4692</v>
      </c>
      <c r="K904" s="61" t="s">
        <v>4779</v>
      </c>
      <c r="L904" s="12" t="str">
        <f t="shared" si="42"/>
        <v>2,2,2</v>
      </c>
    </row>
    <row r="905" spans="2:12">
      <c r="B905" s="17">
        <v>1204</v>
      </c>
      <c r="C905" s="17">
        <v>2</v>
      </c>
      <c r="D905" s="17">
        <f t="shared" si="44"/>
        <v>1</v>
      </c>
      <c r="E905" s="17">
        <f t="shared" si="43"/>
        <v>1449</v>
      </c>
      <c r="F905" s="17" t="s">
        <v>4813</v>
      </c>
      <c r="G905" s="17">
        <f>MATCH(E905,Arenas!$F$8:$F$15)</f>
        <v>5</v>
      </c>
      <c r="H905" s="29" t="s">
        <v>2275</v>
      </c>
      <c r="I905" s="33" t="s">
        <v>7068</v>
      </c>
      <c r="J905" s="47" t="s">
        <v>7069</v>
      </c>
      <c r="K905" s="61" t="s">
        <v>4779</v>
      </c>
      <c r="L905" s="12" t="str">
        <f t="shared" si="42"/>
        <v>2,2,2</v>
      </c>
    </row>
    <row r="906" spans="2:12">
      <c r="B906" s="17">
        <v>1205</v>
      </c>
      <c r="C906" s="17">
        <v>2</v>
      </c>
      <c r="D906" s="17">
        <f t="shared" si="44"/>
        <v>0</v>
      </c>
      <c r="E906" s="17">
        <f t="shared" si="43"/>
        <v>1449</v>
      </c>
      <c r="F906" s="17" t="s">
        <v>4813</v>
      </c>
      <c r="G906" s="17">
        <f>MATCH(E906,Arenas!$F$8:$F$15)</f>
        <v>5</v>
      </c>
      <c r="H906" s="29" t="s">
        <v>2276</v>
      </c>
      <c r="I906" s="33" t="s">
        <v>7070</v>
      </c>
      <c r="J906" s="47" t="s">
        <v>7071</v>
      </c>
      <c r="K906" s="61" t="s">
        <v>4779</v>
      </c>
      <c r="L906" s="12" t="str">
        <f t="shared" si="42"/>
        <v>2,2,2</v>
      </c>
    </row>
    <row r="907" spans="2:12">
      <c r="B907" s="17">
        <v>1206</v>
      </c>
      <c r="C907" s="17">
        <v>2</v>
      </c>
      <c r="D907" s="17">
        <f t="shared" si="44"/>
        <v>0</v>
      </c>
      <c r="E907" s="17">
        <f t="shared" si="43"/>
        <v>1449</v>
      </c>
      <c r="F907" s="17" t="s">
        <v>4813</v>
      </c>
      <c r="G907" s="17">
        <f>MATCH(E907,Arenas!$F$8:$F$15)</f>
        <v>5</v>
      </c>
      <c r="H907" s="29" t="s">
        <v>2277</v>
      </c>
      <c r="I907" s="33" t="s">
        <v>7072</v>
      </c>
      <c r="J907" s="47" t="s">
        <v>5679</v>
      </c>
      <c r="K907" s="61" t="s">
        <v>4779</v>
      </c>
      <c r="L907" s="12" t="str">
        <f t="shared" si="42"/>
        <v>2,2,2</v>
      </c>
    </row>
    <row r="908" spans="2:12">
      <c r="B908" s="17">
        <v>1207</v>
      </c>
      <c r="C908" s="17">
        <v>2</v>
      </c>
      <c r="D908" s="17">
        <f t="shared" si="44"/>
        <v>1</v>
      </c>
      <c r="E908" s="17">
        <f t="shared" si="43"/>
        <v>1450</v>
      </c>
      <c r="F908" s="17" t="s">
        <v>4813</v>
      </c>
      <c r="G908" s="17">
        <f>MATCH(E908,Arenas!$F$8:$F$15)</f>
        <v>5</v>
      </c>
      <c r="H908" s="29" t="s">
        <v>2278</v>
      </c>
      <c r="I908" s="33" t="s">
        <v>7073</v>
      </c>
      <c r="J908" s="47" t="s">
        <v>4711</v>
      </c>
      <c r="K908" s="61" t="s">
        <v>4779</v>
      </c>
      <c r="L908" s="12" t="str">
        <f t="shared" si="42"/>
        <v>2,2,2</v>
      </c>
    </row>
    <row r="909" spans="2:12">
      <c r="B909" s="17">
        <v>1208</v>
      </c>
      <c r="C909" s="17">
        <v>2</v>
      </c>
      <c r="D909" s="17">
        <f t="shared" si="44"/>
        <v>0</v>
      </c>
      <c r="E909" s="17">
        <f t="shared" si="43"/>
        <v>1450</v>
      </c>
      <c r="F909" s="17" t="s">
        <v>4813</v>
      </c>
      <c r="G909" s="17">
        <f>MATCH(E909,Arenas!$F$8:$F$15)</f>
        <v>5</v>
      </c>
      <c r="H909" s="29" t="s">
        <v>2279</v>
      </c>
      <c r="I909" s="33" t="s">
        <v>7074</v>
      </c>
      <c r="J909" s="47" t="s">
        <v>7075</v>
      </c>
      <c r="K909" s="61" t="s">
        <v>4779</v>
      </c>
      <c r="L909" s="12" t="str">
        <f t="shared" si="42"/>
        <v>2,2,2</v>
      </c>
    </row>
    <row r="910" spans="2:12">
      <c r="B910" s="17">
        <v>1209</v>
      </c>
      <c r="C910" s="17">
        <v>2</v>
      </c>
      <c r="D910" s="17">
        <f t="shared" si="44"/>
        <v>0</v>
      </c>
      <c r="E910" s="17">
        <f t="shared" si="43"/>
        <v>1450</v>
      </c>
      <c r="F910" s="17" t="s">
        <v>4813</v>
      </c>
      <c r="G910" s="17">
        <f>MATCH(E910,Arenas!$F$8:$F$15)</f>
        <v>5</v>
      </c>
      <c r="H910" s="29" t="s">
        <v>2280</v>
      </c>
      <c r="I910" s="33" t="s">
        <v>7076</v>
      </c>
      <c r="J910" s="47" t="s">
        <v>5257</v>
      </c>
      <c r="K910" s="61" t="s">
        <v>4779</v>
      </c>
      <c r="L910" s="12" t="str">
        <f t="shared" si="42"/>
        <v>2,2,2</v>
      </c>
    </row>
    <row r="911" spans="2:12">
      <c r="B911" s="17">
        <v>1210</v>
      </c>
      <c r="C911" s="17">
        <v>2</v>
      </c>
      <c r="D911" s="17">
        <f t="shared" si="44"/>
        <v>1</v>
      </c>
      <c r="E911" s="17">
        <f t="shared" si="43"/>
        <v>1451</v>
      </c>
      <c r="F911" s="17" t="s">
        <v>4813</v>
      </c>
      <c r="G911" s="17">
        <f>MATCH(E911,Arenas!$F$8:$F$15)</f>
        <v>5</v>
      </c>
      <c r="H911" s="29" t="s">
        <v>2281</v>
      </c>
      <c r="I911" s="33" t="s">
        <v>7077</v>
      </c>
      <c r="J911" s="47" t="s">
        <v>7078</v>
      </c>
      <c r="K911" s="61" t="s">
        <v>4779</v>
      </c>
      <c r="L911" s="12" t="str">
        <f t="shared" si="42"/>
        <v>2,2,2</v>
      </c>
    </row>
    <row r="912" spans="2:12">
      <c r="B912" s="17">
        <v>1211</v>
      </c>
      <c r="C912" s="17">
        <v>2</v>
      </c>
      <c r="D912" s="17">
        <f t="shared" si="44"/>
        <v>0</v>
      </c>
      <c r="E912" s="17">
        <f t="shared" si="43"/>
        <v>1451</v>
      </c>
      <c r="F912" s="17" t="s">
        <v>4813</v>
      </c>
      <c r="G912" s="17">
        <f>MATCH(E912,Arenas!$F$8:$F$15)</f>
        <v>5</v>
      </c>
      <c r="H912" s="29" t="s">
        <v>2282</v>
      </c>
      <c r="I912" s="33" t="s">
        <v>7079</v>
      </c>
      <c r="J912" s="47" t="s">
        <v>7080</v>
      </c>
      <c r="K912" s="61" t="s">
        <v>4779</v>
      </c>
      <c r="L912" s="12" t="str">
        <f t="shared" si="42"/>
        <v>2,2,2</v>
      </c>
    </row>
    <row r="913" spans="2:12">
      <c r="B913" s="17">
        <v>1212</v>
      </c>
      <c r="C913" s="17">
        <v>2</v>
      </c>
      <c r="D913" s="17">
        <f t="shared" si="44"/>
        <v>0</v>
      </c>
      <c r="E913" s="17">
        <f t="shared" si="43"/>
        <v>1451</v>
      </c>
      <c r="F913" s="17" t="s">
        <v>4813</v>
      </c>
      <c r="G913" s="17">
        <f>MATCH(E913,Arenas!$F$8:$F$15)</f>
        <v>5</v>
      </c>
      <c r="H913" s="29" t="s">
        <v>2283</v>
      </c>
      <c r="I913" s="33" t="s">
        <v>7081</v>
      </c>
      <c r="J913" s="47" t="s">
        <v>7082</v>
      </c>
      <c r="K913" s="61" t="s">
        <v>4779</v>
      </c>
      <c r="L913" s="12" t="str">
        <f t="shared" si="42"/>
        <v>2,2,2</v>
      </c>
    </row>
    <row r="914" spans="2:12">
      <c r="B914" s="17">
        <v>1213</v>
      </c>
      <c r="C914" s="17">
        <v>2</v>
      </c>
      <c r="D914" s="17">
        <f t="shared" si="44"/>
        <v>1</v>
      </c>
      <c r="E914" s="17">
        <f t="shared" si="43"/>
        <v>1452</v>
      </c>
      <c r="F914" s="17" t="s">
        <v>4813</v>
      </c>
      <c r="G914" s="17">
        <f>MATCH(E914,Arenas!$F$8:$F$15)</f>
        <v>5</v>
      </c>
      <c r="H914" s="29" t="s">
        <v>2284</v>
      </c>
      <c r="I914" s="33" t="s">
        <v>7083</v>
      </c>
      <c r="J914" s="47" t="s">
        <v>7084</v>
      </c>
      <c r="K914" s="61" t="s">
        <v>4779</v>
      </c>
      <c r="L914" s="12" t="str">
        <f t="shared" si="42"/>
        <v>2,2,2</v>
      </c>
    </row>
    <row r="915" spans="2:12">
      <c r="B915" s="17">
        <v>1214</v>
      </c>
      <c r="C915" s="17">
        <v>2</v>
      </c>
      <c r="D915" s="17">
        <f t="shared" si="44"/>
        <v>0</v>
      </c>
      <c r="E915" s="17">
        <f t="shared" si="43"/>
        <v>1452</v>
      </c>
      <c r="F915" s="17" t="s">
        <v>4813</v>
      </c>
      <c r="G915" s="17">
        <f>MATCH(E915,Arenas!$F$8:$F$15)</f>
        <v>5</v>
      </c>
      <c r="H915" s="29" t="s">
        <v>2285</v>
      </c>
      <c r="I915" s="33" t="s">
        <v>7085</v>
      </c>
      <c r="J915" s="47" t="s">
        <v>5310</v>
      </c>
      <c r="K915" s="61" t="s">
        <v>4779</v>
      </c>
      <c r="L915" s="12" t="str">
        <f t="shared" si="42"/>
        <v>2,2,2</v>
      </c>
    </row>
    <row r="916" spans="2:12">
      <c r="B916" s="17">
        <v>1215</v>
      </c>
      <c r="C916" s="17">
        <v>2</v>
      </c>
      <c r="D916" s="17">
        <f t="shared" si="44"/>
        <v>0</v>
      </c>
      <c r="E916" s="17">
        <f t="shared" si="43"/>
        <v>1452</v>
      </c>
      <c r="F916" s="17" t="s">
        <v>4813</v>
      </c>
      <c r="G916" s="17">
        <f>MATCH(E916,Arenas!$F$8:$F$15)</f>
        <v>5</v>
      </c>
      <c r="H916" s="29" t="s">
        <v>2286</v>
      </c>
      <c r="I916" s="33" t="s">
        <v>7086</v>
      </c>
      <c r="J916" s="47" t="s">
        <v>7087</v>
      </c>
      <c r="K916" s="61" t="s">
        <v>4779</v>
      </c>
      <c r="L916" s="12" t="str">
        <f t="shared" si="42"/>
        <v>2,2,2</v>
      </c>
    </row>
    <row r="917" spans="2:12">
      <c r="B917" s="17">
        <v>1216</v>
      </c>
      <c r="C917" s="17">
        <v>2</v>
      </c>
      <c r="D917" s="17">
        <f t="shared" si="44"/>
        <v>1</v>
      </c>
      <c r="E917" s="17">
        <f t="shared" si="43"/>
        <v>1453</v>
      </c>
      <c r="F917" s="17" t="s">
        <v>4813</v>
      </c>
      <c r="G917" s="17">
        <f>MATCH(E917,Arenas!$F$8:$F$15)</f>
        <v>5</v>
      </c>
      <c r="H917" s="29" t="s">
        <v>2287</v>
      </c>
      <c r="I917" s="33" t="s">
        <v>7088</v>
      </c>
      <c r="J917" s="47" t="s">
        <v>7089</v>
      </c>
      <c r="K917" s="61" t="s">
        <v>4779</v>
      </c>
      <c r="L917" s="12" t="str">
        <f t="shared" si="42"/>
        <v>2,2,2</v>
      </c>
    </row>
    <row r="918" spans="2:12">
      <c r="B918" s="17">
        <v>1217</v>
      </c>
      <c r="C918" s="17">
        <v>2</v>
      </c>
      <c r="D918" s="17">
        <f t="shared" si="44"/>
        <v>0</v>
      </c>
      <c r="E918" s="17">
        <f t="shared" si="43"/>
        <v>1453</v>
      </c>
      <c r="F918" s="17" t="s">
        <v>4813</v>
      </c>
      <c r="G918" s="17">
        <f>MATCH(E918,Arenas!$F$8:$F$15)</f>
        <v>5</v>
      </c>
      <c r="H918" s="29" t="s">
        <v>2288</v>
      </c>
      <c r="I918" s="33" t="s">
        <v>7090</v>
      </c>
      <c r="J918" s="47" t="s">
        <v>5816</v>
      </c>
      <c r="K918" s="61" t="s">
        <v>4779</v>
      </c>
      <c r="L918" s="12" t="str">
        <f t="shared" si="42"/>
        <v>2,2,2</v>
      </c>
    </row>
    <row r="919" spans="2:12">
      <c r="B919" s="17">
        <v>1218</v>
      </c>
      <c r="C919" s="17">
        <v>2</v>
      </c>
      <c r="D919" s="17">
        <f t="shared" si="44"/>
        <v>0</v>
      </c>
      <c r="E919" s="17">
        <f t="shared" si="43"/>
        <v>1453</v>
      </c>
      <c r="F919" s="17" t="s">
        <v>4813</v>
      </c>
      <c r="G919" s="17">
        <f>MATCH(E919,Arenas!$F$8:$F$15)</f>
        <v>5</v>
      </c>
      <c r="H919" s="29" t="s">
        <v>2289</v>
      </c>
      <c r="I919" s="33" t="s">
        <v>7091</v>
      </c>
      <c r="J919" s="47" t="s">
        <v>5789</v>
      </c>
      <c r="K919" s="61" t="s">
        <v>4779</v>
      </c>
      <c r="L919" s="12" t="str">
        <f t="shared" si="42"/>
        <v>2,2,2</v>
      </c>
    </row>
    <row r="920" spans="2:12">
      <c r="B920" s="17">
        <v>1219</v>
      </c>
      <c r="C920" s="17">
        <v>2</v>
      </c>
      <c r="D920" s="17">
        <f t="shared" si="44"/>
        <v>1</v>
      </c>
      <c r="E920" s="17">
        <f t="shared" si="43"/>
        <v>1454</v>
      </c>
      <c r="F920" s="17" t="s">
        <v>4813</v>
      </c>
      <c r="G920" s="17">
        <f>MATCH(E920,Arenas!$F$8:$F$15)</f>
        <v>5</v>
      </c>
      <c r="H920" s="29" t="s">
        <v>2290</v>
      </c>
      <c r="I920" s="33" t="s">
        <v>7092</v>
      </c>
      <c r="J920" s="47" t="s">
        <v>7093</v>
      </c>
      <c r="K920" s="61" t="s">
        <v>4779</v>
      </c>
      <c r="L920" s="12" t="str">
        <f t="shared" si="42"/>
        <v>2,2,2</v>
      </c>
    </row>
    <row r="921" spans="2:12">
      <c r="B921" s="17">
        <v>1220</v>
      </c>
      <c r="C921" s="17">
        <v>2</v>
      </c>
      <c r="D921" s="17">
        <f t="shared" si="44"/>
        <v>0</v>
      </c>
      <c r="E921" s="17">
        <f t="shared" si="43"/>
        <v>1454</v>
      </c>
      <c r="F921" s="17" t="s">
        <v>4813</v>
      </c>
      <c r="G921" s="17">
        <f>MATCH(E921,Arenas!$F$8:$F$15)</f>
        <v>5</v>
      </c>
      <c r="H921" s="29" t="s">
        <v>2291</v>
      </c>
      <c r="I921" s="33" t="s">
        <v>7094</v>
      </c>
      <c r="J921" s="47" t="s">
        <v>7095</v>
      </c>
      <c r="K921" s="61" t="s">
        <v>4779</v>
      </c>
      <c r="L921" s="12" t="str">
        <f t="shared" si="42"/>
        <v>2,2,2</v>
      </c>
    </row>
    <row r="922" spans="2:12">
      <c r="B922" s="17">
        <v>1221</v>
      </c>
      <c r="C922" s="17">
        <v>2</v>
      </c>
      <c r="D922" s="17">
        <f t="shared" si="44"/>
        <v>0</v>
      </c>
      <c r="E922" s="17">
        <f t="shared" si="43"/>
        <v>1454</v>
      </c>
      <c r="F922" s="17" t="s">
        <v>4813</v>
      </c>
      <c r="G922" s="17">
        <f>MATCH(E922,Arenas!$F$8:$F$15)</f>
        <v>5</v>
      </c>
      <c r="H922" s="29" t="s">
        <v>2292</v>
      </c>
      <c r="I922" s="33" t="s">
        <v>7096</v>
      </c>
      <c r="J922" s="47" t="s">
        <v>7097</v>
      </c>
      <c r="K922" s="61" t="s">
        <v>4779</v>
      </c>
      <c r="L922" s="12" t="str">
        <f t="shared" si="42"/>
        <v>2,2,2</v>
      </c>
    </row>
    <row r="923" spans="2:12">
      <c r="B923" s="17">
        <v>1222</v>
      </c>
      <c r="C923" s="17">
        <v>2</v>
      </c>
      <c r="D923" s="17">
        <f t="shared" si="44"/>
        <v>1</v>
      </c>
      <c r="E923" s="17">
        <f t="shared" si="43"/>
        <v>1455</v>
      </c>
      <c r="F923" s="17" t="s">
        <v>4813</v>
      </c>
      <c r="G923" s="17">
        <f>MATCH(E923,Arenas!$F$8:$F$15)</f>
        <v>5</v>
      </c>
      <c r="H923" s="29" t="s">
        <v>2293</v>
      </c>
      <c r="I923" s="33" t="s">
        <v>7098</v>
      </c>
      <c r="J923" s="47" t="s">
        <v>6957</v>
      </c>
      <c r="K923" s="61" t="s">
        <v>4779</v>
      </c>
      <c r="L923" s="12" t="str">
        <f t="shared" si="42"/>
        <v>2,2,2</v>
      </c>
    </row>
    <row r="924" spans="2:12">
      <c r="B924" s="17">
        <v>1223</v>
      </c>
      <c r="C924" s="17">
        <v>2</v>
      </c>
      <c r="D924" s="17">
        <f t="shared" si="44"/>
        <v>0</v>
      </c>
      <c r="E924" s="17">
        <f t="shared" si="43"/>
        <v>1455</v>
      </c>
      <c r="F924" s="17" t="s">
        <v>4813</v>
      </c>
      <c r="G924" s="17">
        <f>MATCH(E924,Arenas!$F$8:$F$15)</f>
        <v>5</v>
      </c>
      <c r="H924" s="29" t="s">
        <v>2294</v>
      </c>
      <c r="I924" s="33" t="s">
        <v>7099</v>
      </c>
      <c r="J924" s="47" t="s">
        <v>4850</v>
      </c>
      <c r="K924" s="61" t="s">
        <v>4779</v>
      </c>
      <c r="L924" s="12" t="str">
        <f t="shared" si="42"/>
        <v>2,2,2</v>
      </c>
    </row>
    <row r="925" spans="2:12">
      <c r="B925" s="17">
        <v>1224</v>
      </c>
      <c r="C925" s="17">
        <v>2</v>
      </c>
      <c r="D925" s="17">
        <f t="shared" si="44"/>
        <v>0</v>
      </c>
      <c r="E925" s="17">
        <f t="shared" si="43"/>
        <v>1455</v>
      </c>
      <c r="F925" s="17" t="s">
        <v>4813</v>
      </c>
      <c r="G925" s="17">
        <f>MATCH(E925,Arenas!$F$8:$F$15)</f>
        <v>5</v>
      </c>
      <c r="H925" s="29" t="s">
        <v>2295</v>
      </c>
      <c r="I925" s="33" t="s">
        <v>7100</v>
      </c>
      <c r="J925" s="47" t="s">
        <v>7101</v>
      </c>
      <c r="K925" s="61" t="s">
        <v>4779</v>
      </c>
      <c r="L925" s="12" t="str">
        <f t="shared" si="42"/>
        <v>2,2,2</v>
      </c>
    </row>
    <row r="926" spans="2:12">
      <c r="B926" s="17">
        <v>1225</v>
      </c>
      <c r="C926" s="17">
        <v>2</v>
      </c>
      <c r="D926" s="17">
        <f t="shared" si="44"/>
        <v>1</v>
      </c>
      <c r="E926" s="17">
        <f t="shared" si="43"/>
        <v>1456</v>
      </c>
      <c r="F926" s="17" t="s">
        <v>4813</v>
      </c>
      <c r="G926" s="17">
        <f>MATCH(E926,Arenas!$F$8:$F$15)</f>
        <v>5</v>
      </c>
      <c r="H926" s="29" t="s">
        <v>2296</v>
      </c>
      <c r="I926" s="33" t="s">
        <v>7102</v>
      </c>
      <c r="J926" s="47" t="s">
        <v>7103</v>
      </c>
      <c r="K926" s="61" t="s">
        <v>4779</v>
      </c>
      <c r="L926" s="12" t="str">
        <f t="shared" si="42"/>
        <v>2,2,2</v>
      </c>
    </row>
    <row r="927" spans="2:12">
      <c r="B927" s="17">
        <v>1226</v>
      </c>
      <c r="C927" s="17">
        <v>2</v>
      </c>
      <c r="D927" s="17">
        <f t="shared" si="44"/>
        <v>0</v>
      </c>
      <c r="E927" s="17">
        <f t="shared" si="43"/>
        <v>1456</v>
      </c>
      <c r="F927" s="17" t="s">
        <v>4813</v>
      </c>
      <c r="G927" s="17">
        <f>MATCH(E927,Arenas!$F$8:$F$15)</f>
        <v>5</v>
      </c>
      <c r="H927" s="29" t="s">
        <v>2297</v>
      </c>
      <c r="I927" s="33" t="s">
        <v>7104</v>
      </c>
      <c r="J927" s="47" t="s">
        <v>7105</v>
      </c>
      <c r="K927" s="61" t="s">
        <v>4779</v>
      </c>
      <c r="L927" s="12" t="str">
        <f t="shared" si="42"/>
        <v>2,2,2</v>
      </c>
    </row>
    <row r="928" spans="2:12">
      <c r="B928" s="17">
        <v>1227</v>
      </c>
      <c r="C928" s="17">
        <v>2</v>
      </c>
      <c r="D928" s="17">
        <f t="shared" si="44"/>
        <v>0</v>
      </c>
      <c r="E928" s="17">
        <f t="shared" si="43"/>
        <v>1456</v>
      </c>
      <c r="F928" s="17" t="s">
        <v>4813</v>
      </c>
      <c r="G928" s="17">
        <f>MATCH(E928,Arenas!$F$8:$F$15)</f>
        <v>5</v>
      </c>
      <c r="H928" s="29" t="s">
        <v>2298</v>
      </c>
      <c r="I928" s="33" t="s">
        <v>7106</v>
      </c>
      <c r="J928" s="47" t="s">
        <v>5744</v>
      </c>
      <c r="K928" s="61" t="s">
        <v>4779</v>
      </c>
      <c r="L928" s="12" t="str">
        <f t="shared" si="42"/>
        <v>2,2,2</v>
      </c>
    </row>
    <row r="929" spans="2:12">
      <c r="B929" s="17">
        <v>1228</v>
      </c>
      <c r="C929" s="17">
        <v>2</v>
      </c>
      <c r="D929" s="17">
        <f t="shared" si="44"/>
        <v>1</v>
      </c>
      <c r="E929" s="17">
        <f t="shared" si="43"/>
        <v>1457</v>
      </c>
      <c r="F929" s="17" t="s">
        <v>4813</v>
      </c>
      <c r="G929" s="17">
        <f>MATCH(E929,Arenas!$F$8:$F$15)</f>
        <v>5</v>
      </c>
      <c r="H929" s="29" t="s">
        <v>2299</v>
      </c>
      <c r="I929" s="33" t="s">
        <v>7107</v>
      </c>
      <c r="J929" s="47" t="s">
        <v>7108</v>
      </c>
      <c r="K929" s="61" t="s">
        <v>4779</v>
      </c>
      <c r="L929" s="12" t="str">
        <f t="shared" si="42"/>
        <v>2,2,2</v>
      </c>
    </row>
    <row r="930" spans="2:12">
      <c r="B930" s="17">
        <v>1229</v>
      </c>
      <c r="C930" s="17">
        <v>2</v>
      </c>
      <c r="D930" s="17">
        <f t="shared" si="44"/>
        <v>0</v>
      </c>
      <c r="E930" s="17">
        <f t="shared" si="43"/>
        <v>1457</v>
      </c>
      <c r="F930" s="17" t="s">
        <v>4813</v>
      </c>
      <c r="G930" s="17">
        <f>MATCH(E930,Arenas!$F$8:$F$15)</f>
        <v>5</v>
      </c>
      <c r="H930" s="29" t="s">
        <v>2300</v>
      </c>
      <c r="I930" s="33" t="s">
        <v>7109</v>
      </c>
      <c r="J930" s="47" t="s">
        <v>4644</v>
      </c>
      <c r="K930" s="61" t="s">
        <v>4779</v>
      </c>
      <c r="L930" s="12" t="str">
        <f t="shared" si="42"/>
        <v>2,2,2</v>
      </c>
    </row>
    <row r="931" spans="2:12">
      <c r="B931" s="17">
        <v>1230</v>
      </c>
      <c r="C931" s="17">
        <v>2</v>
      </c>
      <c r="D931" s="17">
        <f t="shared" si="44"/>
        <v>0</v>
      </c>
      <c r="E931" s="17">
        <f t="shared" si="43"/>
        <v>1457</v>
      </c>
      <c r="F931" s="17" t="s">
        <v>4813</v>
      </c>
      <c r="G931" s="17">
        <f>MATCH(E931,Arenas!$F$8:$F$15)</f>
        <v>5</v>
      </c>
      <c r="H931" s="29" t="s">
        <v>2301</v>
      </c>
      <c r="I931" s="33" t="s">
        <v>7110</v>
      </c>
      <c r="J931" s="47" t="s">
        <v>7111</v>
      </c>
      <c r="K931" s="61" t="s">
        <v>4779</v>
      </c>
      <c r="L931" s="12" t="str">
        <f t="shared" si="42"/>
        <v>2,2,2</v>
      </c>
    </row>
    <row r="932" spans="2:12">
      <c r="B932" s="17">
        <v>1231</v>
      </c>
      <c r="C932" s="17">
        <v>2</v>
      </c>
      <c r="D932" s="17">
        <f t="shared" si="44"/>
        <v>1</v>
      </c>
      <c r="E932" s="17">
        <f t="shared" si="43"/>
        <v>1458</v>
      </c>
      <c r="F932" s="17" t="s">
        <v>4813</v>
      </c>
      <c r="G932" s="17">
        <f>MATCH(E932,Arenas!$F$8:$F$15)</f>
        <v>5</v>
      </c>
      <c r="H932" s="29" t="s">
        <v>2302</v>
      </c>
      <c r="I932" s="33" t="s">
        <v>7112</v>
      </c>
      <c r="J932" s="47" t="s">
        <v>7113</v>
      </c>
      <c r="K932" s="61" t="s">
        <v>4779</v>
      </c>
      <c r="L932" s="12" t="str">
        <f t="shared" si="42"/>
        <v>2,2,2</v>
      </c>
    </row>
    <row r="933" spans="2:12">
      <c r="B933" s="17">
        <v>1232</v>
      </c>
      <c r="C933" s="17">
        <v>2</v>
      </c>
      <c r="D933" s="17">
        <f t="shared" si="44"/>
        <v>0</v>
      </c>
      <c r="E933" s="17">
        <f t="shared" si="43"/>
        <v>1458</v>
      </c>
      <c r="F933" s="17" t="s">
        <v>4813</v>
      </c>
      <c r="G933" s="17">
        <f>MATCH(E933,Arenas!$F$8:$F$15)</f>
        <v>5</v>
      </c>
      <c r="H933" s="29" t="s">
        <v>2303</v>
      </c>
      <c r="I933" s="33" t="s">
        <v>7114</v>
      </c>
      <c r="J933" s="47" t="s">
        <v>7115</v>
      </c>
      <c r="K933" s="61" t="s">
        <v>4779</v>
      </c>
      <c r="L933" s="12" t="str">
        <f t="shared" si="42"/>
        <v>2,2,2</v>
      </c>
    </row>
    <row r="934" spans="2:12">
      <c r="B934" s="17">
        <v>1233</v>
      </c>
      <c r="C934" s="17">
        <v>2</v>
      </c>
      <c r="D934" s="17">
        <f t="shared" si="44"/>
        <v>0</v>
      </c>
      <c r="E934" s="17">
        <f t="shared" si="43"/>
        <v>1458</v>
      </c>
      <c r="F934" s="17" t="s">
        <v>4813</v>
      </c>
      <c r="G934" s="17">
        <f>MATCH(E934,Arenas!$F$8:$F$15)</f>
        <v>5</v>
      </c>
      <c r="H934" s="29" t="s">
        <v>2304</v>
      </c>
      <c r="I934" s="33" t="s">
        <v>7116</v>
      </c>
      <c r="J934" s="47" t="s">
        <v>5554</v>
      </c>
      <c r="K934" s="61" t="s">
        <v>4779</v>
      </c>
      <c r="L934" s="12" t="str">
        <f t="shared" si="42"/>
        <v>2,2,2</v>
      </c>
    </row>
    <row r="935" spans="2:12">
      <c r="B935" s="17">
        <v>1234</v>
      </c>
      <c r="C935" s="17">
        <v>2</v>
      </c>
      <c r="D935" s="17">
        <f t="shared" si="44"/>
        <v>1</v>
      </c>
      <c r="E935" s="17">
        <f t="shared" si="43"/>
        <v>1459</v>
      </c>
      <c r="F935" s="17" t="s">
        <v>4813</v>
      </c>
      <c r="G935" s="17">
        <f>MATCH(E935,Arenas!$F$8:$F$15)</f>
        <v>5</v>
      </c>
      <c r="H935" s="29" t="s">
        <v>2305</v>
      </c>
      <c r="I935" s="33" t="s">
        <v>7117</v>
      </c>
      <c r="J935" s="47" t="s">
        <v>7118</v>
      </c>
      <c r="K935" s="61" t="s">
        <v>4779</v>
      </c>
      <c r="L935" s="12" t="str">
        <f t="shared" si="42"/>
        <v>2,2,2</v>
      </c>
    </row>
    <row r="936" spans="2:12">
      <c r="B936" s="17">
        <v>1235</v>
      </c>
      <c r="C936" s="17">
        <v>2</v>
      </c>
      <c r="D936" s="17">
        <f t="shared" si="44"/>
        <v>0</v>
      </c>
      <c r="E936" s="17">
        <f t="shared" si="43"/>
        <v>1459</v>
      </c>
      <c r="F936" s="17" t="s">
        <v>4813</v>
      </c>
      <c r="G936" s="17">
        <f>MATCH(E936,Arenas!$F$8:$F$15)</f>
        <v>5</v>
      </c>
      <c r="H936" s="29" t="s">
        <v>2306</v>
      </c>
      <c r="I936" s="33" t="s">
        <v>7119</v>
      </c>
      <c r="J936" s="47" t="s">
        <v>7120</v>
      </c>
      <c r="K936" s="61" t="s">
        <v>4807</v>
      </c>
      <c r="L936" s="12" t="str">
        <f t="shared" si="42"/>
        <v>2,2,2</v>
      </c>
    </row>
    <row r="937" spans="2:12">
      <c r="B937" s="17">
        <v>1236</v>
      </c>
      <c r="C937" s="17">
        <v>2</v>
      </c>
      <c r="D937" s="17">
        <f t="shared" si="44"/>
        <v>0</v>
      </c>
      <c r="E937" s="17">
        <f t="shared" si="43"/>
        <v>1459</v>
      </c>
      <c r="F937" s="17" t="s">
        <v>4813</v>
      </c>
      <c r="G937" s="17">
        <f>MATCH(E937,Arenas!$F$8:$F$15)</f>
        <v>5</v>
      </c>
      <c r="H937" s="29" t="s">
        <v>2307</v>
      </c>
      <c r="I937" s="33" t="s">
        <v>7121</v>
      </c>
      <c r="J937" s="47" t="s">
        <v>4553</v>
      </c>
      <c r="K937" s="61" t="s">
        <v>4779</v>
      </c>
      <c r="L937" s="12" t="str">
        <f t="shared" si="42"/>
        <v>2,2,2</v>
      </c>
    </row>
    <row r="938" spans="2:12">
      <c r="B938" s="17">
        <v>1237</v>
      </c>
      <c r="C938" s="17">
        <v>2</v>
      </c>
      <c r="D938" s="17">
        <f t="shared" si="44"/>
        <v>1</v>
      </c>
      <c r="E938" s="17">
        <f t="shared" si="43"/>
        <v>1460</v>
      </c>
      <c r="F938" s="17" t="s">
        <v>4813</v>
      </c>
      <c r="G938" s="17">
        <f>MATCH(E938,Arenas!$F$8:$F$15)</f>
        <v>5</v>
      </c>
      <c r="H938" s="29" t="s">
        <v>2308</v>
      </c>
      <c r="I938" s="33" t="s">
        <v>7122</v>
      </c>
      <c r="J938" s="47" t="s">
        <v>7123</v>
      </c>
      <c r="K938" s="61" t="s">
        <v>4779</v>
      </c>
      <c r="L938" s="12" t="str">
        <f t="shared" si="42"/>
        <v>2,2,2</v>
      </c>
    </row>
    <row r="939" spans="2:12">
      <c r="B939" s="17">
        <v>1238</v>
      </c>
      <c r="C939" s="17">
        <v>2</v>
      </c>
      <c r="D939" s="17">
        <f t="shared" si="44"/>
        <v>0</v>
      </c>
      <c r="E939" s="17">
        <f t="shared" si="43"/>
        <v>1460</v>
      </c>
      <c r="F939" s="17" t="s">
        <v>4813</v>
      </c>
      <c r="G939" s="17">
        <f>MATCH(E939,Arenas!$F$8:$F$15)</f>
        <v>5</v>
      </c>
      <c r="H939" s="29" t="s">
        <v>2309</v>
      </c>
      <c r="I939" s="33" t="s">
        <v>7124</v>
      </c>
      <c r="J939" s="47" t="s">
        <v>7125</v>
      </c>
      <c r="K939" s="61" t="s">
        <v>4779</v>
      </c>
      <c r="L939" s="12" t="str">
        <f t="shared" si="42"/>
        <v>2,2,2</v>
      </c>
    </row>
    <row r="940" spans="2:12">
      <c r="B940" s="17">
        <v>1239</v>
      </c>
      <c r="C940" s="17">
        <v>2</v>
      </c>
      <c r="D940" s="17">
        <f t="shared" si="44"/>
        <v>0</v>
      </c>
      <c r="E940" s="17">
        <f t="shared" si="43"/>
        <v>1460</v>
      </c>
      <c r="F940" s="17" t="s">
        <v>4813</v>
      </c>
      <c r="G940" s="17">
        <f>MATCH(E940,Arenas!$F$8:$F$15)</f>
        <v>5</v>
      </c>
      <c r="H940" s="29" t="s">
        <v>2310</v>
      </c>
      <c r="I940" s="33" t="s">
        <v>7126</v>
      </c>
      <c r="J940" s="47" t="s">
        <v>6829</v>
      </c>
      <c r="K940" s="61" t="s">
        <v>4779</v>
      </c>
      <c r="L940" s="12" t="str">
        <f t="shared" si="42"/>
        <v>2,2,2</v>
      </c>
    </row>
    <row r="941" spans="2:12">
      <c r="B941" s="17">
        <v>1240</v>
      </c>
      <c r="C941" s="17">
        <v>2</v>
      </c>
      <c r="D941" s="17">
        <f t="shared" si="44"/>
        <v>1</v>
      </c>
      <c r="E941" s="17">
        <f t="shared" si="43"/>
        <v>1461</v>
      </c>
      <c r="F941" s="17" t="s">
        <v>4813</v>
      </c>
      <c r="G941" s="17">
        <f>MATCH(E941,Arenas!$F$8:$F$15)</f>
        <v>5</v>
      </c>
      <c r="H941" s="29" t="s">
        <v>2311</v>
      </c>
      <c r="I941" s="33" t="s">
        <v>7127</v>
      </c>
      <c r="J941" s="47" t="s">
        <v>7128</v>
      </c>
      <c r="K941" s="61" t="s">
        <v>4779</v>
      </c>
      <c r="L941" s="12" t="str">
        <f t="shared" si="42"/>
        <v>2,2,2</v>
      </c>
    </row>
    <row r="942" spans="2:12">
      <c r="B942" s="17">
        <v>1241</v>
      </c>
      <c r="C942" s="17">
        <v>2</v>
      </c>
      <c r="D942" s="17">
        <f t="shared" si="44"/>
        <v>0</v>
      </c>
      <c r="E942" s="17">
        <f t="shared" si="43"/>
        <v>1461</v>
      </c>
      <c r="F942" s="17" t="s">
        <v>4813</v>
      </c>
      <c r="G942" s="17">
        <f>MATCH(E942,Arenas!$F$8:$F$15)</f>
        <v>5</v>
      </c>
      <c r="H942" s="29" t="s">
        <v>2312</v>
      </c>
      <c r="I942" s="33" t="s">
        <v>7129</v>
      </c>
      <c r="J942" s="47" t="s">
        <v>7130</v>
      </c>
      <c r="K942" s="61" t="s">
        <v>4779</v>
      </c>
      <c r="L942" s="12" t="str">
        <f t="shared" si="42"/>
        <v>2,2,2</v>
      </c>
    </row>
    <row r="943" spans="2:12">
      <c r="B943" s="17">
        <v>1242</v>
      </c>
      <c r="C943" s="17">
        <v>2</v>
      </c>
      <c r="D943" s="17">
        <f t="shared" si="44"/>
        <v>0</v>
      </c>
      <c r="E943" s="17">
        <f t="shared" si="43"/>
        <v>1461</v>
      </c>
      <c r="F943" s="17" t="s">
        <v>4813</v>
      </c>
      <c r="G943" s="17">
        <f>MATCH(E943,Arenas!$F$8:$F$15)</f>
        <v>5</v>
      </c>
      <c r="H943" s="29" t="s">
        <v>2313</v>
      </c>
      <c r="I943" s="33" t="s">
        <v>7131</v>
      </c>
      <c r="J943" s="47" t="s">
        <v>4570</v>
      </c>
      <c r="K943" s="61" t="s">
        <v>4779</v>
      </c>
      <c r="L943" s="12" t="str">
        <f t="shared" si="42"/>
        <v>2,2,2</v>
      </c>
    </row>
    <row r="944" spans="2:12">
      <c r="B944" s="17">
        <v>1243</v>
      </c>
      <c r="C944" s="17">
        <v>2</v>
      </c>
      <c r="D944" s="17">
        <f t="shared" si="44"/>
        <v>1</v>
      </c>
      <c r="E944" s="17">
        <f t="shared" si="43"/>
        <v>1462</v>
      </c>
      <c r="F944" s="17" t="s">
        <v>4813</v>
      </c>
      <c r="G944" s="17">
        <f>MATCH(E944,Arenas!$F$8:$F$15)</f>
        <v>5</v>
      </c>
      <c r="H944" s="29" t="s">
        <v>2314</v>
      </c>
      <c r="I944" s="33" t="s">
        <v>7132</v>
      </c>
      <c r="J944" s="47" t="s">
        <v>7133</v>
      </c>
      <c r="K944" s="61" t="s">
        <v>4779</v>
      </c>
      <c r="L944" s="12" t="str">
        <f t="shared" si="42"/>
        <v>2,2,2</v>
      </c>
    </row>
    <row r="945" spans="2:12">
      <c r="B945" s="17">
        <v>1244</v>
      </c>
      <c r="C945" s="17">
        <v>2</v>
      </c>
      <c r="D945" s="17">
        <f t="shared" si="44"/>
        <v>0</v>
      </c>
      <c r="E945" s="17">
        <f t="shared" si="43"/>
        <v>1462</v>
      </c>
      <c r="F945" s="17" t="s">
        <v>4813</v>
      </c>
      <c r="G945" s="17">
        <f>MATCH(E945,Arenas!$F$8:$F$15)</f>
        <v>5</v>
      </c>
      <c r="H945" s="29" t="s">
        <v>2315</v>
      </c>
      <c r="I945" s="33" t="s">
        <v>7134</v>
      </c>
      <c r="J945" s="47" t="s">
        <v>7135</v>
      </c>
      <c r="K945" s="61" t="s">
        <v>4779</v>
      </c>
      <c r="L945" s="12" t="str">
        <f t="shared" si="42"/>
        <v>2,2,2</v>
      </c>
    </row>
    <row r="946" spans="2:12">
      <c r="B946" s="17">
        <v>1245</v>
      </c>
      <c r="C946" s="17">
        <v>2</v>
      </c>
      <c r="D946" s="17">
        <f t="shared" si="44"/>
        <v>0</v>
      </c>
      <c r="E946" s="17">
        <f t="shared" si="43"/>
        <v>1462</v>
      </c>
      <c r="F946" s="17" t="s">
        <v>4813</v>
      </c>
      <c r="G946" s="17">
        <f>MATCH(E946,Arenas!$F$8:$F$15)</f>
        <v>5</v>
      </c>
      <c r="H946" s="29" t="s">
        <v>2316</v>
      </c>
      <c r="I946" s="33" t="s">
        <v>7136</v>
      </c>
      <c r="J946" s="47" t="s">
        <v>7137</v>
      </c>
      <c r="K946" s="61" t="s">
        <v>4779</v>
      </c>
      <c r="L946" s="12" t="str">
        <f t="shared" si="42"/>
        <v>2,2,2</v>
      </c>
    </row>
    <row r="947" spans="2:12">
      <c r="B947" s="17">
        <v>1246</v>
      </c>
      <c r="C947" s="17">
        <v>2</v>
      </c>
      <c r="D947" s="17">
        <f t="shared" si="44"/>
        <v>1</v>
      </c>
      <c r="E947" s="17">
        <f t="shared" si="43"/>
        <v>1463</v>
      </c>
      <c r="F947" s="17" t="s">
        <v>4813</v>
      </c>
      <c r="G947" s="17">
        <f>MATCH(E947,Arenas!$F$8:$F$15)</f>
        <v>5</v>
      </c>
      <c r="H947" s="29" t="s">
        <v>2317</v>
      </c>
      <c r="I947" s="33" t="s">
        <v>7138</v>
      </c>
      <c r="J947" s="47" t="s">
        <v>7139</v>
      </c>
      <c r="K947" s="61" t="s">
        <v>4779</v>
      </c>
      <c r="L947" s="12" t="str">
        <f t="shared" si="42"/>
        <v>2,2,2</v>
      </c>
    </row>
    <row r="948" spans="2:12">
      <c r="B948" s="17">
        <v>1247</v>
      </c>
      <c r="C948" s="17">
        <v>2</v>
      </c>
      <c r="D948" s="17">
        <f t="shared" si="44"/>
        <v>0</v>
      </c>
      <c r="E948" s="17">
        <f t="shared" si="43"/>
        <v>1463</v>
      </c>
      <c r="F948" s="17" t="s">
        <v>4813</v>
      </c>
      <c r="G948" s="17">
        <f>MATCH(E948,Arenas!$F$8:$F$15)</f>
        <v>5</v>
      </c>
      <c r="H948" s="29" t="s">
        <v>2318</v>
      </c>
      <c r="I948" s="33" t="s">
        <v>7140</v>
      </c>
      <c r="J948" s="47" t="s">
        <v>7141</v>
      </c>
      <c r="K948" s="61" t="s">
        <v>4779</v>
      </c>
      <c r="L948" s="12" t="str">
        <f t="shared" si="42"/>
        <v>2,2,2</v>
      </c>
    </row>
    <row r="949" spans="2:12">
      <c r="B949" s="17">
        <v>1248</v>
      </c>
      <c r="C949" s="17">
        <v>2</v>
      </c>
      <c r="D949" s="17">
        <f t="shared" si="44"/>
        <v>0</v>
      </c>
      <c r="E949" s="17">
        <f t="shared" si="43"/>
        <v>1463</v>
      </c>
      <c r="F949" s="17" t="s">
        <v>4813</v>
      </c>
      <c r="G949" s="17">
        <f>MATCH(E949,Arenas!$F$8:$F$15)</f>
        <v>5</v>
      </c>
      <c r="H949" s="29" t="s">
        <v>2319</v>
      </c>
      <c r="I949" s="33" t="s">
        <v>7142</v>
      </c>
      <c r="J949" s="47" t="s">
        <v>4654</v>
      </c>
      <c r="K949" s="61" t="s">
        <v>4779</v>
      </c>
      <c r="L949" s="12" t="str">
        <f t="shared" si="42"/>
        <v>2,2,2</v>
      </c>
    </row>
    <row r="950" spans="2:12">
      <c r="B950" s="17">
        <v>1249</v>
      </c>
      <c r="C950" s="17">
        <v>2</v>
      </c>
      <c r="D950" s="17">
        <f t="shared" si="44"/>
        <v>1</v>
      </c>
      <c r="E950" s="17">
        <f t="shared" si="43"/>
        <v>1464</v>
      </c>
      <c r="F950" s="17" t="s">
        <v>4813</v>
      </c>
      <c r="G950" s="17">
        <f>MATCH(E950,Arenas!$F$8:$F$15)</f>
        <v>5</v>
      </c>
      <c r="H950" s="29" t="s">
        <v>2320</v>
      </c>
      <c r="I950" s="33" t="s">
        <v>7143</v>
      </c>
      <c r="J950" s="47" t="s">
        <v>5435</v>
      </c>
      <c r="K950" s="61" t="s">
        <v>4779</v>
      </c>
      <c r="L950" s="12" t="str">
        <f t="shared" si="42"/>
        <v>2,2,2</v>
      </c>
    </row>
    <row r="951" spans="2:12">
      <c r="B951" s="17">
        <v>1250</v>
      </c>
      <c r="C951" s="17">
        <v>2</v>
      </c>
      <c r="D951" s="17">
        <f t="shared" si="44"/>
        <v>0</v>
      </c>
      <c r="E951" s="17">
        <f t="shared" si="43"/>
        <v>1464</v>
      </c>
      <c r="F951" s="17" t="s">
        <v>4813</v>
      </c>
      <c r="G951" s="17">
        <f>MATCH(E951,Arenas!$F$8:$F$15)</f>
        <v>5</v>
      </c>
      <c r="H951" s="29" t="s">
        <v>2321</v>
      </c>
      <c r="I951" s="33" t="s">
        <v>7144</v>
      </c>
      <c r="J951" s="47" t="s">
        <v>7145</v>
      </c>
      <c r="K951" s="61" t="s">
        <v>4807</v>
      </c>
      <c r="L951" s="12" t="str">
        <f t="shared" si="42"/>
        <v>2,2,2</v>
      </c>
    </row>
    <row r="952" spans="2:12">
      <c r="B952" s="17">
        <v>1251</v>
      </c>
      <c r="C952" s="17">
        <v>2</v>
      </c>
      <c r="D952" s="17">
        <f t="shared" si="44"/>
        <v>0</v>
      </c>
      <c r="E952" s="17">
        <f t="shared" si="43"/>
        <v>1464</v>
      </c>
      <c r="F952" s="17" t="s">
        <v>4813</v>
      </c>
      <c r="G952" s="17">
        <f>MATCH(E952,Arenas!$F$8:$F$15)</f>
        <v>5</v>
      </c>
      <c r="H952" s="29" t="s">
        <v>2322</v>
      </c>
      <c r="I952" s="33" t="s">
        <v>7146</v>
      </c>
      <c r="J952" s="47" t="s">
        <v>7147</v>
      </c>
      <c r="K952" s="61" t="s">
        <v>4807</v>
      </c>
      <c r="L952" s="12" t="str">
        <f t="shared" si="42"/>
        <v>2,2,2</v>
      </c>
    </row>
    <row r="953" spans="2:12">
      <c r="B953" s="17">
        <v>1252</v>
      </c>
      <c r="C953" s="17">
        <v>2</v>
      </c>
      <c r="D953" s="17">
        <f t="shared" si="44"/>
        <v>1</v>
      </c>
      <c r="E953" s="17">
        <f t="shared" si="43"/>
        <v>1465</v>
      </c>
      <c r="F953" s="17" t="s">
        <v>4813</v>
      </c>
      <c r="G953" s="17">
        <f>MATCH(E953,Arenas!$F$8:$F$15)</f>
        <v>5</v>
      </c>
      <c r="H953" s="29" t="s">
        <v>2323</v>
      </c>
      <c r="I953" s="33" t="s">
        <v>7148</v>
      </c>
      <c r="J953" s="47" t="s">
        <v>5434</v>
      </c>
      <c r="K953" s="61" t="s">
        <v>4779</v>
      </c>
      <c r="L953" s="12" t="str">
        <f t="shared" si="42"/>
        <v>2,2,2</v>
      </c>
    </row>
    <row r="954" spans="2:12">
      <c r="B954" s="17">
        <v>1253</v>
      </c>
      <c r="C954" s="17">
        <v>2</v>
      </c>
      <c r="D954" s="17">
        <f t="shared" si="44"/>
        <v>0</v>
      </c>
      <c r="E954" s="17">
        <f t="shared" si="43"/>
        <v>1465</v>
      </c>
      <c r="F954" s="17" t="s">
        <v>4813</v>
      </c>
      <c r="G954" s="17">
        <f>MATCH(E954,Arenas!$F$8:$F$15)</f>
        <v>5</v>
      </c>
      <c r="H954" s="29" t="s">
        <v>2324</v>
      </c>
      <c r="I954" s="33" t="s">
        <v>7149</v>
      </c>
      <c r="J954" s="47" t="s">
        <v>7150</v>
      </c>
      <c r="K954" s="61" t="s">
        <v>4779</v>
      </c>
      <c r="L954" s="12" t="str">
        <f t="shared" si="42"/>
        <v>2,2,2</v>
      </c>
    </row>
    <row r="955" spans="2:12">
      <c r="B955" s="17">
        <v>1254</v>
      </c>
      <c r="C955" s="17">
        <v>2</v>
      </c>
      <c r="D955" s="17">
        <f t="shared" si="44"/>
        <v>0</v>
      </c>
      <c r="E955" s="17">
        <f t="shared" si="43"/>
        <v>1465</v>
      </c>
      <c r="F955" s="17" t="s">
        <v>4813</v>
      </c>
      <c r="G955" s="17">
        <f>MATCH(E955,Arenas!$F$8:$F$15)</f>
        <v>5</v>
      </c>
      <c r="H955" s="29" t="s">
        <v>2325</v>
      </c>
      <c r="I955" s="33" t="s">
        <v>7151</v>
      </c>
      <c r="J955" s="47" t="s">
        <v>7152</v>
      </c>
      <c r="K955" s="61" t="s">
        <v>4779</v>
      </c>
      <c r="L955" s="12" t="str">
        <f t="shared" si="42"/>
        <v>2,2,2</v>
      </c>
    </row>
    <row r="956" spans="2:12">
      <c r="B956" s="17">
        <v>1255</v>
      </c>
      <c r="C956" s="17">
        <v>2</v>
      </c>
      <c r="D956" s="17">
        <f t="shared" si="44"/>
        <v>1</v>
      </c>
      <c r="E956" s="17">
        <f t="shared" si="43"/>
        <v>1466</v>
      </c>
      <c r="F956" s="17" t="s">
        <v>4813</v>
      </c>
      <c r="G956" s="17">
        <f>MATCH(E956,Arenas!$F$8:$F$15)</f>
        <v>5</v>
      </c>
      <c r="H956" s="29" t="s">
        <v>2326</v>
      </c>
      <c r="I956" s="33" t="s">
        <v>7153</v>
      </c>
      <c r="J956" s="47" t="s">
        <v>5886</v>
      </c>
      <c r="K956" s="61" t="s">
        <v>4779</v>
      </c>
      <c r="L956" s="12" t="str">
        <f t="shared" si="42"/>
        <v>2,2,2</v>
      </c>
    </row>
    <row r="957" spans="2:12">
      <c r="B957" s="17">
        <v>1256</v>
      </c>
      <c r="C957" s="17">
        <v>2</v>
      </c>
      <c r="D957" s="17">
        <f t="shared" si="44"/>
        <v>0</v>
      </c>
      <c r="E957" s="17">
        <f t="shared" si="43"/>
        <v>1466</v>
      </c>
      <c r="F957" s="17" t="s">
        <v>4813</v>
      </c>
      <c r="G957" s="17">
        <f>MATCH(E957,Arenas!$F$8:$F$15)</f>
        <v>5</v>
      </c>
      <c r="H957" s="29" t="s">
        <v>2327</v>
      </c>
      <c r="I957" s="33" t="s">
        <v>7154</v>
      </c>
      <c r="J957" s="47" t="s">
        <v>7155</v>
      </c>
      <c r="K957" s="61" t="s">
        <v>4779</v>
      </c>
      <c r="L957" s="12" t="str">
        <f t="shared" si="42"/>
        <v>2,2,2</v>
      </c>
    </row>
    <row r="958" spans="2:12">
      <c r="B958" s="17">
        <v>1257</v>
      </c>
      <c r="C958" s="17">
        <v>2</v>
      </c>
      <c r="D958" s="17">
        <f t="shared" si="44"/>
        <v>0</v>
      </c>
      <c r="E958" s="17">
        <f t="shared" si="43"/>
        <v>1466</v>
      </c>
      <c r="F958" s="17" t="s">
        <v>4813</v>
      </c>
      <c r="G958" s="17">
        <f>MATCH(E958,Arenas!$F$8:$F$15)</f>
        <v>5</v>
      </c>
      <c r="H958" s="29" t="s">
        <v>2328</v>
      </c>
      <c r="I958" s="33" t="s">
        <v>7156</v>
      </c>
      <c r="J958" s="47" t="s">
        <v>7157</v>
      </c>
      <c r="K958" s="61" t="s">
        <v>4779</v>
      </c>
      <c r="L958" s="12" t="str">
        <f t="shared" si="42"/>
        <v>2,2,2</v>
      </c>
    </row>
    <row r="959" spans="2:12">
      <c r="B959" s="17">
        <v>1258</v>
      </c>
      <c r="C959" s="17">
        <v>2</v>
      </c>
      <c r="D959" s="17">
        <f t="shared" si="44"/>
        <v>1</v>
      </c>
      <c r="E959" s="17">
        <f t="shared" si="43"/>
        <v>1467</v>
      </c>
      <c r="F959" s="17" t="s">
        <v>4813</v>
      </c>
      <c r="G959" s="17">
        <f>MATCH(E959,Arenas!$F$8:$F$15)</f>
        <v>5</v>
      </c>
      <c r="H959" s="29" t="s">
        <v>2329</v>
      </c>
      <c r="I959" s="33" t="s">
        <v>7158</v>
      </c>
      <c r="J959" s="47" t="s">
        <v>7159</v>
      </c>
      <c r="K959" s="61" t="s">
        <v>4779</v>
      </c>
      <c r="L959" s="12" t="str">
        <f t="shared" si="42"/>
        <v>2,2,2</v>
      </c>
    </row>
    <row r="960" spans="2:12">
      <c r="B960" s="17">
        <v>1259</v>
      </c>
      <c r="C960" s="17">
        <v>2</v>
      </c>
      <c r="D960" s="17">
        <f t="shared" si="44"/>
        <v>0</v>
      </c>
      <c r="E960" s="17">
        <f t="shared" si="43"/>
        <v>1467</v>
      </c>
      <c r="F960" s="17" t="s">
        <v>4813</v>
      </c>
      <c r="G960" s="17">
        <f>MATCH(E960,Arenas!$F$8:$F$15)</f>
        <v>5</v>
      </c>
      <c r="H960" s="29" t="s">
        <v>2330</v>
      </c>
      <c r="I960" s="33" t="s">
        <v>7160</v>
      </c>
      <c r="J960" s="47" t="s">
        <v>7161</v>
      </c>
      <c r="K960" s="61" t="s">
        <v>4806</v>
      </c>
      <c r="L960" s="12" t="str">
        <f t="shared" si="42"/>
        <v>2,2,2</v>
      </c>
    </row>
    <row r="961" spans="2:12">
      <c r="B961" s="17">
        <v>1260</v>
      </c>
      <c r="C961" s="17">
        <v>2</v>
      </c>
      <c r="D961" s="17">
        <f t="shared" si="44"/>
        <v>0</v>
      </c>
      <c r="E961" s="17">
        <f t="shared" si="43"/>
        <v>1467</v>
      </c>
      <c r="F961" s="17" t="s">
        <v>4813</v>
      </c>
      <c r="G961" s="17">
        <f>MATCH(E961,Arenas!$F$8:$F$15)</f>
        <v>5</v>
      </c>
      <c r="H961" s="29" t="s">
        <v>2331</v>
      </c>
      <c r="I961" s="33" t="s">
        <v>7162</v>
      </c>
      <c r="J961" s="47" t="s">
        <v>7163</v>
      </c>
      <c r="K961" s="61" t="s">
        <v>4807</v>
      </c>
      <c r="L961" s="12" t="str">
        <f t="shared" si="42"/>
        <v>2,2,2</v>
      </c>
    </row>
    <row r="962" spans="2:12">
      <c r="B962" s="17">
        <v>1261</v>
      </c>
      <c r="C962" s="17">
        <v>2</v>
      </c>
      <c r="D962" s="17">
        <f t="shared" si="44"/>
        <v>1</v>
      </c>
      <c r="E962" s="17">
        <f t="shared" si="43"/>
        <v>1468</v>
      </c>
      <c r="F962" s="17" t="s">
        <v>4813</v>
      </c>
      <c r="G962" s="17">
        <f>MATCH(E962,Arenas!$F$8:$F$15)</f>
        <v>5</v>
      </c>
      <c r="H962" s="29" t="s">
        <v>2332</v>
      </c>
      <c r="I962" s="33" t="s">
        <v>7164</v>
      </c>
      <c r="J962" s="47" t="s">
        <v>5358</v>
      </c>
      <c r="K962" s="61" t="s">
        <v>4779</v>
      </c>
      <c r="L962" s="12" t="str">
        <f t="shared" ref="L962:L1025" si="45">C962&amp;","&amp;C962&amp;","&amp;C962</f>
        <v>2,2,2</v>
      </c>
    </row>
    <row r="963" spans="2:12">
      <c r="B963" s="17">
        <v>1262</v>
      </c>
      <c r="C963" s="17">
        <v>2</v>
      </c>
      <c r="D963" s="17">
        <f t="shared" si="44"/>
        <v>0</v>
      </c>
      <c r="E963" s="17">
        <f t="shared" ref="E963:E1026" si="46">D963+E962</f>
        <v>1468</v>
      </c>
      <c r="F963" s="17" t="s">
        <v>4813</v>
      </c>
      <c r="G963" s="17">
        <f>MATCH(E963,Arenas!$F$8:$F$15)</f>
        <v>5</v>
      </c>
      <c r="H963" s="29" t="s">
        <v>2333</v>
      </c>
      <c r="I963" s="33" t="s">
        <v>7165</v>
      </c>
      <c r="J963" s="47" t="s">
        <v>5929</v>
      </c>
      <c r="K963" s="61" t="s">
        <v>4779</v>
      </c>
      <c r="L963" s="12" t="str">
        <f t="shared" si="45"/>
        <v>2,2,2</v>
      </c>
    </row>
    <row r="964" spans="2:12">
      <c r="B964" s="17">
        <v>1263</v>
      </c>
      <c r="C964" s="17">
        <v>2</v>
      </c>
      <c r="D964" s="17">
        <f t="shared" si="44"/>
        <v>0</v>
      </c>
      <c r="E964" s="17">
        <f t="shared" si="46"/>
        <v>1468</v>
      </c>
      <c r="F964" s="17" t="s">
        <v>4813</v>
      </c>
      <c r="G964" s="17">
        <f>MATCH(E964,Arenas!$F$8:$F$15)</f>
        <v>5</v>
      </c>
      <c r="H964" s="29" t="s">
        <v>2334</v>
      </c>
      <c r="I964" s="33" t="s">
        <v>7166</v>
      </c>
      <c r="J964" s="47" t="s">
        <v>5315</v>
      </c>
      <c r="K964" s="61" t="s">
        <v>4779</v>
      </c>
      <c r="L964" s="12" t="str">
        <f t="shared" si="45"/>
        <v>2,2,2</v>
      </c>
    </row>
    <row r="965" spans="2:12">
      <c r="B965" s="17">
        <v>1264</v>
      </c>
      <c r="C965" s="17">
        <v>2</v>
      </c>
      <c r="D965" s="17">
        <f t="shared" ref="D965:D1028" si="47">D962</f>
        <v>1</v>
      </c>
      <c r="E965" s="17">
        <f t="shared" si="46"/>
        <v>1469</v>
      </c>
      <c r="F965" s="17" t="s">
        <v>4813</v>
      </c>
      <c r="G965" s="17">
        <f>MATCH(E965,Arenas!$F$8:$F$15)</f>
        <v>5</v>
      </c>
      <c r="H965" s="29" t="s">
        <v>2335</v>
      </c>
      <c r="I965" s="33" t="s">
        <v>7167</v>
      </c>
      <c r="J965" s="47" t="s">
        <v>7168</v>
      </c>
      <c r="K965" s="61" t="s">
        <v>4809</v>
      </c>
      <c r="L965" s="12" t="str">
        <f t="shared" si="45"/>
        <v>2,2,2</v>
      </c>
    </row>
    <row r="966" spans="2:12">
      <c r="B966" s="17">
        <v>1265</v>
      </c>
      <c r="C966" s="17">
        <v>2</v>
      </c>
      <c r="D966" s="17">
        <f t="shared" si="47"/>
        <v>0</v>
      </c>
      <c r="E966" s="17">
        <f t="shared" si="46"/>
        <v>1469</v>
      </c>
      <c r="F966" s="17" t="s">
        <v>4813</v>
      </c>
      <c r="G966" s="17">
        <f>MATCH(E966,Arenas!$F$8:$F$15)</f>
        <v>5</v>
      </c>
      <c r="H966" s="29" t="s">
        <v>2336</v>
      </c>
      <c r="I966" s="33" t="s">
        <v>7169</v>
      </c>
      <c r="J966" s="47" t="s">
        <v>7170</v>
      </c>
      <c r="K966" s="61" t="s">
        <v>4779</v>
      </c>
      <c r="L966" s="12" t="str">
        <f t="shared" si="45"/>
        <v>2,2,2</v>
      </c>
    </row>
    <row r="967" spans="2:12">
      <c r="B967" s="17">
        <v>1266</v>
      </c>
      <c r="C967" s="17">
        <v>2</v>
      </c>
      <c r="D967" s="17">
        <f t="shared" si="47"/>
        <v>0</v>
      </c>
      <c r="E967" s="17">
        <f t="shared" si="46"/>
        <v>1469</v>
      </c>
      <c r="F967" s="17" t="s">
        <v>4813</v>
      </c>
      <c r="G967" s="17">
        <f>MATCH(E967,Arenas!$F$8:$F$15)</f>
        <v>5</v>
      </c>
      <c r="H967" s="29" t="s">
        <v>2337</v>
      </c>
      <c r="I967" s="33" t="s">
        <v>7171</v>
      </c>
      <c r="J967" s="47" t="s">
        <v>7172</v>
      </c>
      <c r="K967" s="61" t="s">
        <v>4779</v>
      </c>
      <c r="L967" s="12" t="str">
        <f t="shared" si="45"/>
        <v>2,2,2</v>
      </c>
    </row>
    <row r="968" spans="2:12">
      <c r="B968" s="17">
        <v>1267</v>
      </c>
      <c r="C968" s="17">
        <v>2</v>
      </c>
      <c r="D968" s="17">
        <f t="shared" si="47"/>
        <v>1</v>
      </c>
      <c r="E968" s="17">
        <f t="shared" si="46"/>
        <v>1470</v>
      </c>
      <c r="F968" s="17" t="s">
        <v>4813</v>
      </c>
      <c r="G968" s="17">
        <f>MATCH(E968,Arenas!$F$8:$F$15)</f>
        <v>5</v>
      </c>
      <c r="H968" s="29" t="s">
        <v>2338</v>
      </c>
      <c r="I968" s="33" t="s">
        <v>7173</v>
      </c>
      <c r="J968" s="47" t="s">
        <v>7174</v>
      </c>
      <c r="K968" s="61" t="s">
        <v>4779</v>
      </c>
      <c r="L968" s="12" t="str">
        <f t="shared" si="45"/>
        <v>2,2,2</v>
      </c>
    </row>
    <row r="969" spans="2:12">
      <c r="B969" s="17">
        <v>1268</v>
      </c>
      <c r="C969" s="17">
        <v>2</v>
      </c>
      <c r="D969" s="17">
        <f t="shared" si="47"/>
        <v>0</v>
      </c>
      <c r="E969" s="17">
        <f t="shared" si="46"/>
        <v>1470</v>
      </c>
      <c r="F969" s="17" t="s">
        <v>4813</v>
      </c>
      <c r="G969" s="17">
        <f>MATCH(E969,Arenas!$F$8:$F$15)</f>
        <v>5</v>
      </c>
      <c r="H969" s="29" t="s">
        <v>2339</v>
      </c>
      <c r="I969" s="33" t="s">
        <v>7175</v>
      </c>
      <c r="J969" s="47" t="s">
        <v>4610</v>
      </c>
      <c r="K969" s="61" t="s">
        <v>4779</v>
      </c>
      <c r="L969" s="12" t="str">
        <f t="shared" si="45"/>
        <v>2,2,2</v>
      </c>
    </row>
    <row r="970" spans="2:12">
      <c r="B970" s="17">
        <v>1269</v>
      </c>
      <c r="C970" s="17">
        <v>2</v>
      </c>
      <c r="D970" s="17">
        <f t="shared" si="47"/>
        <v>0</v>
      </c>
      <c r="E970" s="17">
        <f t="shared" si="46"/>
        <v>1470</v>
      </c>
      <c r="F970" s="17" t="s">
        <v>4813</v>
      </c>
      <c r="G970" s="17">
        <f>MATCH(E970,Arenas!$F$8:$F$15)</f>
        <v>5</v>
      </c>
      <c r="H970" s="29" t="s">
        <v>2340</v>
      </c>
      <c r="I970" s="33" t="s">
        <v>7176</v>
      </c>
      <c r="J970" s="47" t="s">
        <v>5491</v>
      </c>
      <c r="K970" s="61" t="s">
        <v>4779</v>
      </c>
      <c r="L970" s="12" t="str">
        <f t="shared" si="45"/>
        <v>2,2,2</v>
      </c>
    </row>
    <row r="971" spans="2:12">
      <c r="B971" s="17">
        <v>1270</v>
      </c>
      <c r="C971" s="17">
        <v>2</v>
      </c>
      <c r="D971" s="17">
        <f t="shared" si="47"/>
        <v>1</v>
      </c>
      <c r="E971" s="17">
        <f t="shared" si="46"/>
        <v>1471</v>
      </c>
      <c r="F971" s="17" t="s">
        <v>4813</v>
      </c>
      <c r="G971" s="17">
        <f>MATCH(E971,Arenas!$F$8:$F$15)</f>
        <v>5</v>
      </c>
      <c r="H971" s="29" t="s">
        <v>2341</v>
      </c>
      <c r="I971" s="33" t="s">
        <v>7177</v>
      </c>
      <c r="J971" s="47" t="s">
        <v>7178</v>
      </c>
      <c r="K971" s="61" t="s">
        <v>4806</v>
      </c>
      <c r="L971" s="12" t="str">
        <f t="shared" si="45"/>
        <v>2,2,2</v>
      </c>
    </row>
    <row r="972" spans="2:12">
      <c r="B972" s="17">
        <v>1271</v>
      </c>
      <c r="C972" s="17">
        <v>2</v>
      </c>
      <c r="D972" s="17">
        <f t="shared" si="47"/>
        <v>0</v>
      </c>
      <c r="E972" s="17">
        <f t="shared" si="46"/>
        <v>1471</v>
      </c>
      <c r="F972" s="17" t="s">
        <v>4813</v>
      </c>
      <c r="G972" s="17">
        <f>MATCH(E972,Arenas!$F$8:$F$15)</f>
        <v>5</v>
      </c>
      <c r="H972" s="29" t="s">
        <v>2342</v>
      </c>
      <c r="I972" s="33" t="s">
        <v>7179</v>
      </c>
      <c r="J972" s="47" t="s">
        <v>5262</v>
      </c>
      <c r="K972" s="61" t="s">
        <v>4779</v>
      </c>
      <c r="L972" s="12" t="str">
        <f t="shared" si="45"/>
        <v>2,2,2</v>
      </c>
    </row>
    <row r="973" spans="2:12">
      <c r="B973" s="17">
        <v>1272</v>
      </c>
      <c r="C973" s="17">
        <v>2</v>
      </c>
      <c r="D973" s="17">
        <f t="shared" si="47"/>
        <v>0</v>
      </c>
      <c r="E973" s="17">
        <f t="shared" si="46"/>
        <v>1471</v>
      </c>
      <c r="F973" s="17" t="s">
        <v>4813</v>
      </c>
      <c r="G973" s="17">
        <f>MATCH(E973,Arenas!$F$8:$F$15)</f>
        <v>5</v>
      </c>
      <c r="H973" s="29" t="s">
        <v>2343</v>
      </c>
      <c r="I973" s="33" t="s">
        <v>7180</v>
      </c>
      <c r="J973" s="47" t="s">
        <v>7181</v>
      </c>
      <c r="K973" s="61" t="s">
        <v>4779</v>
      </c>
      <c r="L973" s="12" t="str">
        <f t="shared" si="45"/>
        <v>2,2,2</v>
      </c>
    </row>
    <row r="974" spans="2:12">
      <c r="B974" s="17">
        <v>1273</v>
      </c>
      <c r="C974" s="17">
        <v>2</v>
      </c>
      <c r="D974" s="17">
        <f t="shared" si="47"/>
        <v>1</v>
      </c>
      <c r="E974" s="17">
        <f t="shared" si="46"/>
        <v>1472</v>
      </c>
      <c r="F974" s="17" t="s">
        <v>4813</v>
      </c>
      <c r="G974" s="17">
        <f>MATCH(E974,Arenas!$F$8:$F$15)</f>
        <v>5</v>
      </c>
      <c r="H974" s="29" t="s">
        <v>2344</v>
      </c>
      <c r="I974" s="33" t="s">
        <v>7182</v>
      </c>
      <c r="J974" s="47" t="s">
        <v>7183</v>
      </c>
      <c r="K974" s="61" t="s">
        <v>4779</v>
      </c>
      <c r="L974" s="12" t="str">
        <f t="shared" si="45"/>
        <v>2,2,2</v>
      </c>
    </row>
    <row r="975" spans="2:12">
      <c r="B975" s="17">
        <v>1274</v>
      </c>
      <c r="C975" s="17">
        <v>2</v>
      </c>
      <c r="D975" s="17">
        <f t="shared" si="47"/>
        <v>0</v>
      </c>
      <c r="E975" s="17">
        <f t="shared" si="46"/>
        <v>1472</v>
      </c>
      <c r="F975" s="17" t="s">
        <v>4813</v>
      </c>
      <c r="G975" s="17">
        <f>MATCH(E975,Arenas!$F$8:$F$15)</f>
        <v>5</v>
      </c>
      <c r="H975" s="29" t="s">
        <v>2345</v>
      </c>
      <c r="I975" s="33" t="s">
        <v>7184</v>
      </c>
      <c r="J975" s="47" t="s">
        <v>7185</v>
      </c>
      <c r="K975" s="61" t="s">
        <v>4779</v>
      </c>
      <c r="L975" s="12" t="str">
        <f t="shared" si="45"/>
        <v>2,2,2</v>
      </c>
    </row>
    <row r="976" spans="2:12">
      <c r="B976" s="17">
        <v>1275</v>
      </c>
      <c r="C976" s="17">
        <v>2</v>
      </c>
      <c r="D976" s="17">
        <f t="shared" si="47"/>
        <v>0</v>
      </c>
      <c r="E976" s="17">
        <f t="shared" si="46"/>
        <v>1472</v>
      </c>
      <c r="F976" s="17" t="s">
        <v>4813</v>
      </c>
      <c r="G976" s="17">
        <f>MATCH(E976,Arenas!$F$8:$F$15)</f>
        <v>5</v>
      </c>
      <c r="H976" s="29" t="s">
        <v>2346</v>
      </c>
      <c r="I976" s="33" t="s">
        <v>7186</v>
      </c>
      <c r="J976" s="47" t="s">
        <v>7187</v>
      </c>
      <c r="K976" s="61" t="s">
        <v>4807</v>
      </c>
      <c r="L976" s="12" t="str">
        <f t="shared" si="45"/>
        <v>2,2,2</v>
      </c>
    </row>
    <row r="977" spans="2:12">
      <c r="B977" s="17">
        <v>1276</v>
      </c>
      <c r="C977" s="17">
        <v>2</v>
      </c>
      <c r="D977" s="17">
        <f t="shared" si="47"/>
        <v>1</v>
      </c>
      <c r="E977" s="17">
        <f t="shared" si="46"/>
        <v>1473</v>
      </c>
      <c r="F977" s="17" t="s">
        <v>4813</v>
      </c>
      <c r="G977" s="17">
        <f>MATCH(E977,Arenas!$F$8:$F$15)</f>
        <v>5</v>
      </c>
      <c r="H977" s="29" t="s">
        <v>2347</v>
      </c>
      <c r="I977" s="33" t="s">
        <v>7188</v>
      </c>
      <c r="J977" s="47" t="s">
        <v>7189</v>
      </c>
      <c r="K977" s="61" t="s">
        <v>4779</v>
      </c>
      <c r="L977" s="12" t="str">
        <f t="shared" si="45"/>
        <v>2,2,2</v>
      </c>
    </row>
    <row r="978" spans="2:12">
      <c r="B978" s="17">
        <v>1277</v>
      </c>
      <c r="C978" s="17">
        <v>2</v>
      </c>
      <c r="D978" s="17">
        <f t="shared" si="47"/>
        <v>0</v>
      </c>
      <c r="E978" s="17">
        <f t="shared" si="46"/>
        <v>1473</v>
      </c>
      <c r="F978" s="17" t="s">
        <v>4813</v>
      </c>
      <c r="G978" s="17">
        <f>MATCH(E978,Arenas!$F$8:$F$15)</f>
        <v>5</v>
      </c>
      <c r="H978" s="29" t="s">
        <v>2348</v>
      </c>
      <c r="I978" s="33" t="s">
        <v>7190</v>
      </c>
      <c r="J978" s="47" t="s">
        <v>7191</v>
      </c>
      <c r="K978" s="61" t="s">
        <v>4779</v>
      </c>
      <c r="L978" s="12" t="str">
        <f t="shared" si="45"/>
        <v>2,2,2</v>
      </c>
    </row>
    <row r="979" spans="2:12">
      <c r="B979" s="17">
        <v>1278</v>
      </c>
      <c r="C979" s="17">
        <v>2</v>
      </c>
      <c r="D979" s="17">
        <f t="shared" si="47"/>
        <v>0</v>
      </c>
      <c r="E979" s="17">
        <f t="shared" si="46"/>
        <v>1473</v>
      </c>
      <c r="F979" s="17" t="s">
        <v>4813</v>
      </c>
      <c r="G979" s="17">
        <f>MATCH(E979,Arenas!$F$8:$F$15)</f>
        <v>5</v>
      </c>
      <c r="H979" s="29" t="s">
        <v>2349</v>
      </c>
      <c r="I979" s="33" t="s">
        <v>7192</v>
      </c>
      <c r="J979" s="47" t="s">
        <v>7193</v>
      </c>
      <c r="K979" s="61" t="s">
        <v>4779</v>
      </c>
      <c r="L979" s="12" t="str">
        <f t="shared" si="45"/>
        <v>2,2,2</v>
      </c>
    </row>
    <row r="980" spans="2:12">
      <c r="B980" s="17">
        <v>1279</v>
      </c>
      <c r="C980" s="17">
        <v>2</v>
      </c>
      <c r="D980" s="17">
        <f t="shared" si="47"/>
        <v>1</v>
      </c>
      <c r="E980" s="17">
        <f t="shared" si="46"/>
        <v>1474</v>
      </c>
      <c r="F980" s="17" t="s">
        <v>4813</v>
      </c>
      <c r="G980" s="17">
        <f>MATCH(E980,Arenas!$F$8:$F$15)</f>
        <v>5</v>
      </c>
      <c r="H980" s="29" t="s">
        <v>2350</v>
      </c>
      <c r="I980" s="33" t="s">
        <v>7194</v>
      </c>
      <c r="J980" s="47" t="s">
        <v>7195</v>
      </c>
      <c r="K980" s="61" t="s">
        <v>4779</v>
      </c>
      <c r="L980" s="12" t="str">
        <f t="shared" si="45"/>
        <v>2,2,2</v>
      </c>
    </row>
    <row r="981" spans="2:12">
      <c r="B981" s="17">
        <v>1280</v>
      </c>
      <c r="C981" s="17">
        <v>2</v>
      </c>
      <c r="D981" s="17">
        <f t="shared" si="47"/>
        <v>0</v>
      </c>
      <c r="E981" s="17">
        <f t="shared" si="46"/>
        <v>1474</v>
      </c>
      <c r="F981" s="17" t="s">
        <v>4813</v>
      </c>
      <c r="G981" s="17">
        <f>MATCH(E981,Arenas!$F$8:$F$15)</f>
        <v>5</v>
      </c>
      <c r="H981" s="29" t="s">
        <v>2351</v>
      </c>
      <c r="I981" s="33" t="s">
        <v>7196</v>
      </c>
      <c r="J981" s="47" t="s">
        <v>7197</v>
      </c>
      <c r="K981" s="61" t="s">
        <v>4779</v>
      </c>
      <c r="L981" s="12" t="str">
        <f t="shared" si="45"/>
        <v>2,2,2</v>
      </c>
    </row>
    <row r="982" spans="2:12">
      <c r="B982" s="17">
        <v>1281</v>
      </c>
      <c r="C982" s="17">
        <v>2</v>
      </c>
      <c r="D982" s="17">
        <f t="shared" si="47"/>
        <v>0</v>
      </c>
      <c r="E982" s="17">
        <f t="shared" si="46"/>
        <v>1474</v>
      </c>
      <c r="F982" s="17" t="s">
        <v>4813</v>
      </c>
      <c r="G982" s="17">
        <f>MATCH(E982,Arenas!$F$8:$F$15)</f>
        <v>5</v>
      </c>
      <c r="H982" s="29" t="s">
        <v>2352</v>
      </c>
      <c r="I982" s="33" t="s">
        <v>7198</v>
      </c>
      <c r="J982" s="47" t="s">
        <v>7199</v>
      </c>
      <c r="K982" s="61" t="s">
        <v>4779</v>
      </c>
      <c r="L982" s="12" t="str">
        <f t="shared" si="45"/>
        <v>2,2,2</v>
      </c>
    </row>
    <row r="983" spans="2:12">
      <c r="B983" s="17">
        <v>1282</v>
      </c>
      <c r="C983" s="17">
        <v>2</v>
      </c>
      <c r="D983" s="17">
        <f t="shared" si="47"/>
        <v>1</v>
      </c>
      <c r="E983" s="17">
        <f t="shared" si="46"/>
        <v>1475</v>
      </c>
      <c r="F983" s="17" t="s">
        <v>4813</v>
      </c>
      <c r="G983" s="17">
        <f>MATCH(E983,Arenas!$F$8:$F$15)</f>
        <v>5</v>
      </c>
      <c r="H983" s="29" t="s">
        <v>2353</v>
      </c>
      <c r="I983" s="33" t="s">
        <v>7200</v>
      </c>
      <c r="J983" s="47" t="s">
        <v>7201</v>
      </c>
      <c r="K983" s="61" t="s">
        <v>4779</v>
      </c>
      <c r="L983" s="12" t="str">
        <f t="shared" si="45"/>
        <v>2,2,2</v>
      </c>
    </row>
    <row r="984" spans="2:12">
      <c r="B984" s="17">
        <v>1283</v>
      </c>
      <c r="C984" s="17">
        <v>2</v>
      </c>
      <c r="D984" s="17">
        <f t="shared" si="47"/>
        <v>0</v>
      </c>
      <c r="E984" s="17">
        <f t="shared" si="46"/>
        <v>1475</v>
      </c>
      <c r="F984" s="17" t="s">
        <v>4813</v>
      </c>
      <c r="G984" s="17">
        <f>MATCH(E984,Arenas!$F$8:$F$15)</f>
        <v>5</v>
      </c>
      <c r="H984" s="29" t="s">
        <v>2354</v>
      </c>
      <c r="I984" s="33" t="s">
        <v>7202</v>
      </c>
      <c r="J984" s="47" t="s">
        <v>7203</v>
      </c>
      <c r="K984" s="61" t="s">
        <v>4779</v>
      </c>
      <c r="L984" s="12" t="str">
        <f t="shared" si="45"/>
        <v>2,2,2</v>
      </c>
    </row>
    <row r="985" spans="2:12">
      <c r="B985" s="17">
        <v>1284</v>
      </c>
      <c r="C985" s="17">
        <v>2</v>
      </c>
      <c r="D985" s="17">
        <f t="shared" si="47"/>
        <v>0</v>
      </c>
      <c r="E985" s="17">
        <f t="shared" si="46"/>
        <v>1475</v>
      </c>
      <c r="F985" s="17" t="s">
        <v>4813</v>
      </c>
      <c r="G985" s="17">
        <f>MATCH(E985,Arenas!$F$8:$F$15)</f>
        <v>5</v>
      </c>
      <c r="H985" s="29" t="s">
        <v>2355</v>
      </c>
      <c r="I985" s="33" t="s">
        <v>7204</v>
      </c>
      <c r="J985" s="47" t="s">
        <v>7205</v>
      </c>
      <c r="K985" s="61" t="s">
        <v>4779</v>
      </c>
      <c r="L985" s="12" t="str">
        <f t="shared" si="45"/>
        <v>2,2,2</v>
      </c>
    </row>
    <row r="986" spans="2:12">
      <c r="B986" s="17">
        <v>1285</v>
      </c>
      <c r="C986" s="17">
        <v>2</v>
      </c>
      <c r="D986" s="17">
        <f t="shared" si="47"/>
        <v>1</v>
      </c>
      <c r="E986" s="17">
        <f t="shared" si="46"/>
        <v>1476</v>
      </c>
      <c r="F986" s="17" t="s">
        <v>4813</v>
      </c>
      <c r="G986" s="17">
        <f>MATCH(E986,Arenas!$F$8:$F$15)</f>
        <v>5</v>
      </c>
      <c r="H986" s="29" t="s">
        <v>2356</v>
      </c>
      <c r="I986" s="33" t="s">
        <v>7206</v>
      </c>
      <c r="J986" s="47" t="s">
        <v>7207</v>
      </c>
      <c r="K986" s="61" t="s">
        <v>4779</v>
      </c>
      <c r="L986" s="12" t="str">
        <f t="shared" si="45"/>
        <v>2,2,2</v>
      </c>
    </row>
    <row r="987" spans="2:12">
      <c r="B987" s="17">
        <v>1286</v>
      </c>
      <c r="C987" s="17">
        <v>2</v>
      </c>
      <c r="D987" s="17">
        <f t="shared" si="47"/>
        <v>0</v>
      </c>
      <c r="E987" s="17">
        <f t="shared" si="46"/>
        <v>1476</v>
      </c>
      <c r="F987" s="17" t="s">
        <v>4813</v>
      </c>
      <c r="G987" s="17">
        <f>MATCH(E987,Arenas!$F$8:$F$15)</f>
        <v>5</v>
      </c>
      <c r="H987" s="29" t="s">
        <v>2357</v>
      </c>
      <c r="I987" s="33" t="s">
        <v>7208</v>
      </c>
      <c r="J987" s="47" t="s">
        <v>7209</v>
      </c>
      <c r="K987" s="61" t="s">
        <v>4779</v>
      </c>
      <c r="L987" s="12" t="str">
        <f t="shared" si="45"/>
        <v>2,2,2</v>
      </c>
    </row>
    <row r="988" spans="2:12">
      <c r="B988" s="17">
        <v>1287</v>
      </c>
      <c r="C988" s="17">
        <v>2</v>
      </c>
      <c r="D988" s="17">
        <f t="shared" si="47"/>
        <v>0</v>
      </c>
      <c r="E988" s="17">
        <f t="shared" si="46"/>
        <v>1476</v>
      </c>
      <c r="F988" s="17" t="s">
        <v>4813</v>
      </c>
      <c r="G988" s="17">
        <f>MATCH(E988,Arenas!$F$8:$F$15)</f>
        <v>5</v>
      </c>
      <c r="H988" s="29" t="s">
        <v>2358</v>
      </c>
      <c r="I988" s="33" t="s">
        <v>7210</v>
      </c>
      <c r="J988" s="47" t="s">
        <v>7211</v>
      </c>
      <c r="K988" s="61" t="s">
        <v>4779</v>
      </c>
      <c r="L988" s="12" t="str">
        <f t="shared" si="45"/>
        <v>2,2,2</v>
      </c>
    </row>
    <row r="989" spans="2:12">
      <c r="B989" s="17">
        <v>1288</v>
      </c>
      <c r="C989" s="17">
        <v>2</v>
      </c>
      <c r="D989" s="17">
        <f t="shared" si="47"/>
        <v>1</v>
      </c>
      <c r="E989" s="17">
        <f t="shared" si="46"/>
        <v>1477</v>
      </c>
      <c r="F989" s="17" t="s">
        <v>4813</v>
      </c>
      <c r="G989" s="17">
        <f>MATCH(E989,Arenas!$F$8:$F$15)</f>
        <v>5</v>
      </c>
      <c r="H989" s="29" t="s">
        <v>2359</v>
      </c>
      <c r="I989" s="33" t="s">
        <v>7212</v>
      </c>
      <c r="J989" s="47" t="s">
        <v>7213</v>
      </c>
      <c r="K989" s="61" t="s">
        <v>4779</v>
      </c>
      <c r="L989" s="12" t="str">
        <f t="shared" si="45"/>
        <v>2,2,2</v>
      </c>
    </row>
    <row r="990" spans="2:12">
      <c r="B990" s="17">
        <v>1289</v>
      </c>
      <c r="C990" s="17">
        <v>2</v>
      </c>
      <c r="D990" s="17">
        <f t="shared" si="47"/>
        <v>0</v>
      </c>
      <c r="E990" s="17">
        <f t="shared" si="46"/>
        <v>1477</v>
      </c>
      <c r="F990" s="17" t="s">
        <v>4813</v>
      </c>
      <c r="G990" s="17">
        <f>MATCH(E990,Arenas!$F$8:$F$15)</f>
        <v>5</v>
      </c>
      <c r="H990" s="29" t="s">
        <v>2360</v>
      </c>
      <c r="I990" s="33" t="s">
        <v>7214</v>
      </c>
      <c r="J990" s="47" t="s">
        <v>7215</v>
      </c>
      <c r="K990" s="61" t="s">
        <v>4779</v>
      </c>
      <c r="L990" s="12" t="str">
        <f t="shared" si="45"/>
        <v>2,2,2</v>
      </c>
    </row>
    <row r="991" spans="2:12">
      <c r="B991" s="17">
        <v>1290</v>
      </c>
      <c r="C991" s="17">
        <v>2</v>
      </c>
      <c r="D991" s="17">
        <f t="shared" si="47"/>
        <v>0</v>
      </c>
      <c r="E991" s="17">
        <f t="shared" si="46"/>
        <v>1477</v>
      </c>
      <c r="F991" s="17" t="s">
        <v>4813</v>
      </c>
      <c r="G991" s="17">
        <f>MATCH(E991,Arenas!$F$8:$F$15)</f>
        <v>5</v>
      </c>
      <c r="H991" s="29" t="s">
        <v>2361</v>
      </c>
      <c r="I991" s="33" t="s">
        <v>7216</v>
      </c>
      <c r="J991" s="47" t="s">
        <v>7217</v>
      </c>
      <c r="K991" s="61" t="s">
        <v>4779</v>
      </c>
      <c r="L991" s="12" t="str">
        <f t="shared" si="45"/>
        <v>2,2,2</v>
      </c>
    </row>
    <row r="992" spans="2:12">
      <c r="B992" s="17">
        <v>1291</v>
      </c>
      <c r="C992" s="17">
        <v>2</v>
      </c>
      <c r="D992" s="17">
        <f t="shared" si="47"/>
        <v>1</v>
      </c>
      <c r="E992" s="17">
        <f t="shared" si="46"/>
        <v>1478</v>
      </c>
      <c r="F992" s="17" t="s">
        <v>4813</v>
      </c>
      <c r="G992" s="17">
        <f>MATCH(E992,Arenas!$F$8:$F$15)</f>
        <v>5</v>
      </c>
      <c r="H992" s="29" t="s">
        <v>2362</v>
      </c>
      <c r="I992" s="33" t="s">
        <v>7218</v>
      </c>
      <c r="J992" s="47" t="s">
        <v>7219</v>
      </c>
      <c r="K992" s="61" t="s">
        <v>4779</v>
      </c>
      <c r="L992" s="12" t="str">
        <f t="shared" si="45"/>
        <v>2,2,2</v>
      </c>
    </row>
    <row r="993" spans="2:12">
      <c r="B993" s="17">
        <v>1292</v>
      </c>
      <c r="C993" s="17">
        <v>2</v>
      </c>
      <c r="D993" s="17">
        <f t="shared" si="47"/>
        <v>0</v>
      </c>
      <c r="E993" s="17">
        <f t="shared" si="46"/>
        <v>1478</v>
      </c>
      <c r="F993" s="17" t="s">
        <v>4813</v>
      </c>
      <c r="G993" s="17">
        <f>MATCH(E993,Arenas!$F$8:$F$15)</f>
        <v>5</v>
      </c>
      <c r="H993" s="29" t="s">
        <v>2363</v>
      </c>
      <c r="I993" s="33" t="s">
        <v>7220</v>
      </c>
      <c r="J993" s="47" t="s">
        <v>5849</v>
      </c>
      <c r="K993" s="61" t="s">
        <v>4779</v>
      </c>
      <c r="L993" s="12" t="str">
        <f t="shared" si="45"/>
        <v>2,2,2</v>
      </c>
    </row>
    <row r="994" spans="2:12">
      <c r="B994" s="17">
        <v>1293</v>
      </c>
      <c r="C994" s="17">
        <v>2</v>
      </c>
      <c r="D994" s="17">
        <f t="shared" si="47"/>
        <v>0</v>
      </c>
      <c r="E994" s="17">
        <f t="shared" si="46"/>
        <v>1478</v>
      </c>
      <c r="F994" s="17" t="s">
        <v>4813</v>
      </c>
      <c r="G994" s="17">
        <f>MATCH(E994,Arenas!$F$8:$F$15)</f>
        <v>5</v>
      </c>
      <c r="H994" s="29" t="s">
        <v>2364</v>
      </c>
      <c r="I994" s="33" t="s">
        <v>7221</v>
      </c>
      <c r="J994" s="47" t="s">
        <v>7222</v>
      </c>
      <c r="K994" s="61" t="s">
        <v>4779</v>
      </c>
      <c r="L994" s="12" t="str">
        <f t="shared" si="45"/>
        <v>2,2,2</v>
      </c>
    </row>
    <row r="995" spans="2:12">
      <c r="B995" s="17">
        <v>1294</v>
      </c>
      <c r="C995" s="17">
        <v>2</v>
      </c>
      <c r="D995" s="17">
        <f t="shared" si="47"/>
        <v>1</v>
      </c>
      <c r="E995" s="17">
        <f t="shared" si="46"/>
        <v>1479</v>
      </c>
      <c r="F995" s="17" t="s">
        <v>4813</v>
      </c>
      <c r="G995" s="17">
        <f>MATCH(E995,Arenas!$F$8:$F$15)</f>
        <v>5</v>
      </c>
      <c r="H995" s="29" t="s">
        <v>2365</v>
      </c>
      <c r="I995" s="33" t="s">
        <v>7223</v>
      </c>
      <c r="J995" s="47" t="s">
        <v>4664</v>
      </c>
      <c r="K995" s="61" t="s">
        <v>4779</v>
      </c>
      <c r="L995" s="12" t="str">
        <f t="shared" si="45"/>
        <v>2,2,2</v>
      </c>
    </row>
    <row r="996" spans="2:12">
      <c r="B996" s="17">
        <v>1295</v>
      </c>
      <c r="C996" s="17">
        <v>2</v>
      </c>
      <c r="D996" s="17">
        <f t="shared" si="47"/>
        <v>0</v>
      </c>
      <c r="E996" s="17">
        <f t="shared" si="46"/>
        <v>1479</v>
      </c>
      <c r="F996" s="17" t="s">
        <v>4813</v>
      </c>
      <c r="G996" s="17">
        <f>MATCH(E996,Arenas!$F$8:$F$15)</f>
        <v>5</v>
      </c>
      <c r="H996" s="29" t="s">
        <v>2366</v>
      </c>
      <c r="I996" s="33" t="s">
        <v>7224</v>
      </c>
      <c r="J996" s="47" t="s">
        <v>7225</v>
      </c>
      <c r="K996" s="61" t="s">
        <v>4779</v>
      </c>
      <c r="L996" s="12" t="str">
        <f t="shared" si="45"/>
        <v>2,2,2</v>
      </c>
    </row>
    <row r="997" spans="2:12">
      <c r="B997" s="17">
        <v>1296</v>
      </c>
      <c r="C997" s="17">
        <v>2</v>
      </c>
      <c r="D997" s="17">
        <f t="shared" si="47"/>
        <v>0</v>
      </c>
      <c r="E997" s="17">
        <f t="shared" si="46"/>
        <v>1479</v>
      </c>
      <c r="F997" s="17" t="s">
        <v>4813</v>
      </c>
      <c r="G997" s="17">
        <f>MATCH(E997,Arenas!$F$8:$F$15)</f>
        <v>5</v>
      </c>
      <c r="H997" s="29" t="s">
        <v>2367</v>
      </c>
      <c r="I997" s="33" t="s">
        <v>7226</v>
      </c>
      <c r="J997" s="47" t="s">
        <v>7227</v>
      </c>
      <c r="K997" s="61" t="s">
        <v>4779</v>
      </c>
      <c r="L997" s="12" t="str">
        <f t="shared" si="45"/>
        <v>2,2,2</v>
      </c>
    </row>
    <row r="998" spans="2:12">
      <c r="B998" s="17">
        <v>1297</v>
      </c>
      <c r="C998" s="17">
        <v>2</v>
      </c>
      <c r="D998" s="17">
        <f t="shared" si="47"/>
        <v>1</v>
      </c>
      <c r="E998" s="17">
        <f t="shared" si="46"/>
        <v>1480</v>
      </c>
      <c r="F998" s="17" t="s">
        <v>4813</v>
      </c>
      <c r="G998" s="17">
        <f>MATCH(E998,Arenas!$F$8:$F$15)</f>
        <v>5</v>
      </c>
      <c r="H998" s="29" t="s">
        <v>2368</v>
      </c>
      <c r="I998" s="33" t="s">
        <v>7228</v>
      </c>
      <c r="J998" s="47" t="s">
        <v>7229</v>
      </c>
      <c r="K998" s="61" t="s">
        <v>4779</v>
      </c>
      <c r="L998" s="12" t="str">
        <f t="shared" si="45"/>
        <v>2,2,2</v>
      </c>
    </row>
    <row r="999" spans="2:12">
      <c r="B999" s="17">
        <v>1298</v>
      </c>
      <c r="C999" s="17">
        <v>2</v>
      </c>
      <c r="D999" s="17">
        <f t="shared" si="47"/>
        <v>0</v>
      </c>
      <c r="E999" s="17">
        <f t="shared" si="46"/>
        <v>1480</v>
      </c>
      <c r="F999" s="17" t="s">
        <v>4813</v>
      </c>
      <c r="G999" s="17">
        <f>MATCH(E999,Arenas!$F$8:$F$15)</f>
        <v>5</v>
      </c>
      <c r="H999" s="29" t="s">
        <v>2369</v>
      </c>
      <c r="I999" s="33" t="s">
        <v>7230</v>
      </c>
      <c r="J999" s="47" t="s">
        <v>7231</v>
      </c>
      <c r="K999" s="61" t="s">
        <v>4779</v>
      </c>
      <c r="L999" s="12" t="str">
        <f t="shared" si="45"/>
        <v>2,2,2</v>
      </c>
    </row>
    <row r="1000" spans="2:12">
      <c r="B1000" s="17">
        <v>1299</v>
      </c>
      <c r="C1000" s="17">
        <v>2</v>
      </c>
      <c r="D1000" s="17">
        <f t="shared" si="47"/>
        <v>0</v>
      </c>
      <c r="E1000" s="17">
        <f t="shared" si="46"/>
        <v>1480</v>
      </c>
      <c r="F1000" s="17" t="s">
        <v>4813</v>
      </c>
      <c r="G1000" s="17">
        <f>MATCH(E1000,Arenas!$F$8:$F$15)</f>
        <v>5</v>
      </c>
      <c r="H1000" s="29" t="s">
        <v>2370</v>
      </c>
      <c r="I1000" s="33" t="s">
        <v>7232</v>
      </c>
      <c r="J1000" s="47" t="s">
        <v>7233</v>
      </c>
      <c r="K1000" s="61" t="s">
        <v>4779</v>
      </c>
      <c r="L1000" s="12" t="str">
        <f t="shared" si="45"/>
        <v>2,2,2</v>
      </c>
    </row>
    <row r="1001" spans="2:12">
      <c r="B1001" s="17">
        <v>1300</v>
      </c>
      <c r="C1001" s="17">
        <v>2</v>
      </c>
      <c r="D1001" s="17">
        <f t="shared" si="47"/>
        <v>1</v>
      </c>
      <c r="E1001" s="17">
        <f t="shared" si="46"/>
        <v>1481</v>
      </c>
      <c r="F1001" s="17" t="s">
        <v>4813</v>
      </c>
      <c r="G1001" s="17">
        <f>MATCH(E1001,Arenas!$F$8:$F$15)</f>
        <v>5</v>
      </c>
      <c r="H1001" s="29" t="s">
        <v>2371</v>
      </c>
      <c r="I1001" s="33" t="s">
        <v>7234</v>
      </c>
      <c r="J1001" s="47" t="s">
        <v>5193</v>
      </c>
      <c r="K1001" s="61" t="s">
        <v>4779</v>
      </c>
      <c r="L1001" s="12" t="str">
        <f t="shared" si="45"/>
        <v>2,2,2</v>
      </c>
    </row>
    <row r="1002" spans="2:12">
      <c r="B1002" s="17">
        <v>1301</v>
      </c>
      <c r="C1002" s="17">
        <v>2</v>
      </c>
      <c r="D1002" s="17">
        <f t="shared" si="47"/>
        <v>0</v>
      </c>
      <c r="E1002" s="17">
        <f t="shared" si="46"/>
        <v>1481</v>
      </c>
      <c r="F1002" s="17" t="s">
        <v>4813</v>
      </c>
      <c r="G1002" s="17">
        <f>MATCH(E1002,Arenas!$F$8:$F$15)</f>
        <v>5</v>
      </c>
      <c r="H1002" s="29" t="s">
        <v>2372</v>
      </c>
      <c r="I1002" s="33" t="s">
        <v>7235</v>
      </c>
      <c r="J1002" s="47" t="s">
        <v>7236</v>
      </c>
      <c r="K1002" s="61" t="s">
        <v>4779</v>
      </c>
      <c r="L1002" s="12" t="str">
        <f t="shared" si="45"/>
        <v>2,2,2</v>
      </c>
    </row>
    <row r="1003" spans="2:12">
      <c r="B1003" s="17">
        <v>1302</v>
      </c>
      <c r="C1003" s="17">
        <v>2</v>
      </c>
      <c r="D1003" s="17">
        <f t="shared" si="47"/>
        <v>0</v>
      </c>
      <c r="E1003" s="17">
        <f t="shared" si="46"/>
        <v>1481</v>
      </c>
      <c r="F1003" s="17" t="s">
        <v>4813</v>
      </c>
      <c r="G1003" s="17">
        <f>MATCH(E1003,Arenas!$F$8:$F$15)</f>
        <v>5</v>
      </c>
      <c r="H1003" s="29" t="s">
        <v>2373</v>
      </c>
      <c r="I1003" s="33" t="s">
        <v>7237</v>
      </c>
      <c r="J1003" s="47" t="s">
        <v>7238</v>
      </c>
      <c r="K1003" s="61" t="s">
        <v>4779</v>
      </c>
      <c r="L1003" s="12" t="str">
        <f t="shared" si="45"/>
        <v>2,2,2</v>
      </c>
    </row>
    <row r="1004" spans="2:12">
      <c r="B1004" s="17">
        <v>1303</v>
      </c>
      <c r="C1004" s="17">
        <v>2</v>
      </c>
      <c r="D1004" s="17">
        <f t="shared" si="47"/>
        <v>1</v>
      </c>
      <c r="E1004" s="17">
        <f t="shared" si="46"/>
        <v>1482</v>
      </c>
      <c r="F1004" s="17" t="s">
        <v>4813</v>
      </c>
      <c r="G1004" s="17">
        <f>MATCH(E1004,Arenas!$F$8:$F$15)</f>
        <v>5</v>
      </c>
      <c r="H1004" s="29" t="s">
        <v>2374</v>
      </c>
      <c r="I1004" s="33" t="s">
        <v>7239</v>
      </c>
      <c r="J1004" s="47" t="s">
        <v>7240</v>
      </c>
      <c r="K1004" s="61" t="s">
        <v>4779</v>
      </c>
      <c r="L1004" s="12" t="str">
        <f t="shared" si="45"/>
        <v>2,2,2</v>
      </c>
    </row>
    <row r="1005" spans="2:12">
      <c r="B1005" s="17">
        <v>1304</v>
      </c>
      <c r="C1005" s="17">
        <v>2</v>
      </c>
      <c r="D1005" s="17">
        <f t="shared" si="47"/>
        <v>0</v>
      </c>
      <c r="E1005" s="17">
        <f t="shared" si="46"/>
        <v>1482</v>
      </c>
      <c r="F1005" s="17" t="s">
        <v>4813</v>
      </c>
      <c r="G1005" s="17">
        <f>MATCH(E1005,Arenas!$F$8:$F$15)</f>
        <v>5</v>
      </c>
      <c r="H1005" s="29" t="s">
        <v>2375</v>
      </c>
      <c r="I1005" s="33" t="s">
        <v>7241</v>
      </c>
      <c r="J1005" s="47" t="s">
        <v>7242</v>
      </c>
      <c r="K1005" s="61" t="s">
        <v>4779</v>
      </c>
      <c r="L1005" s="12" t="str">
        <f t="shared" si="45"/>
        <v>2,2,2</v>
      </c>
    </row>
    <row r="1006" spans="2:12">
      <c r="B1006" s="17">
        <v>1305</v>
      </c>
      <c r="C1006" s="17">
        <v>2</v>
      </c>
      <c r="D1006" s="17">
        <f t="shared" si="47"/>
        <v>0</v>
      </c>
      <c r="E1006" s="17">
        <f t="shared" si="46"/>
        <v>1482</v>
      </c>
      <c r="F1006" s="17" t="s">
        <v>4813</v>
      </c>
      <c r="G1006" s="17">
        <f>MATCH(E1006,Arenas!$F$8:$F$15)</f>
        <v>5</v>
      </c>
      <c r="H1006" s="29" t="s">
        <v>2376</v>
      </c>
      <c r="I1006" s="33" t="s">
        <v>7243</v>
      </c>
      <c r="J1006" s="47" t="s">
        <v>4722</v>
      </c>
      <c r="K1006" s="61" t="s">
        <v>4779</v>
      </c>
      <c r="L1006" s="12" t="str">
        <f t="shared" si="45"/>
        <v>2,2,2</v>
      </c>
    </row>
    <row r="1007" spans="2:12">
      <c r="B1007" s="17">
        <v>1306</v>
      </c>
      <c r="C1007" s="17">
        <v>2</v>
      </c>
      <c r="D1007" s="17">
        <f t="shared" si="47"/>
        <v>1</v>
      </c>
      <c r="E1007" s="17">
        <f t="shared" si="46"/>
        <v>1483</v>
      </c>
      <c r="F1007" s="17" t="s">
        <v>4813</v>
      </c>
      <c r="G1007" s="17">
        <f>MATCH(E1007,Arenas!$F$8:$F$15)</f>
        <v>5</v>
      </c>
      <c r="H1007" s="29" t="s">
        <v>2377</v>
      </c>
      <c r="I1007" s="33" t="s">
        <v>7244</v>
      </c>
      <c r="J1007" s="47" t="s">
        <v>7245</v>
      </c>
      <c r="K1007" s="61" t="s">
        <v>4779</v>
      </c>
      <c r="L1007" s="12" t="str">
        <f t="shared" si="45"/>
        <v>2,2,2</v>
      </c>
    </row>
    <row r="1008" spans="2:12">
      <c r="B1008" s="17">
        <v>1307</v>
      </c>
      <c r="C1008" s="17">
        <v>2</v>
      </c>
      <c r="D1008" s="17">
        <f t="shared" si="47"/>
        <v>0</v>
      </c>
      <c r="E1008" s="17">
        <f t="shared" si="46"/>
        <v>1483</v>
      </c>
      <c r="F1008" s="17" t="s">
        <v>4813</v>
      </c>
      <c r="G1008" s="17">
        <f>MATCH(E1008,Arenas!$F$8:$F$15)</f>
        <v>5</v>
      </c>
      <c r="H1008" s="29" t="s">
        <v>2378</v>
      </c>
      <c r="I1008" s="33" t="s">
        <v>7246</v>
      </c>
      <c r="J1008" s="47" t="s">
        <v>7247</v>
      </c>
      <c r="K1008" s="61" t="s">
        <v>4779</v>
      </c>
      <c r="L1008" s="12" t="str">
        <f t="shared" si="45"/>
        <v>2,2,2</v>
      </c>
    </row>
    <row r="1009" spans="2:12">
      <c r="B1009" s="17">
        <v>1308</v>
      </c>
      <c r="C1009" s="17">
        <v>2</v>
      </c>
      <c r="D1009" s="17">
        <f t="shared" si="47"/>
        <v>0</v>
      </c>
      <c r="E1009" s="17">
        <f t="shared" si="46"/>
        <v>1483</v>
      </c>
      <c r="F1009" s="17" t="s">
        <v>4813</v>
      </c>
      <c r="G1009" s="17">
        <f>MATCH(E1009,Arenas!$F$8:$F$15)</f>
        <v>5</v>
      </c>
      <c r="H1009" s="29" t="s">
        <v>2379</v>
      </c>
      <c r="I1009" s="33" t="s">
        <v>7248</v>
      </c>
      <c r="J1009" s="47" t="s">
        <v>5701</v>
      </c>
      <c r="K1009" s="61" t="s">
        <v>4779</v>
      </c>
      <c r="L1009" s="12" t="str">
        <f t="shared" si="45"/>
        <v>2,2,2</v>
      </c>
    </row>
    <row r="1010" spans="2:12">
      <c r="B1010" s="17">
        <v>1309</v>
      </c>
      <c r="C1010" s="17">
        <v>2</v>
      </c>
      <c r="D1010" s="17">
        <f t="shared" si="47"/>
        <v>1</v>
      </c>
      <c r="E1010" s="17">
        <f t="shared" si="46"/>
        <v>1484</v>
      </c>
      <c r="F1010" s="17" t="s">
        <v>4813</v>
      </c>
      <c r="G1010" s="17">
        <f>MATCH(E1010,Arenas!$F$8:$F$15)</f>
        <v>5</v>
      </c>
      <c r="H1010" s="29" t="s">
        <v>2380</v>
      </c>
      <c r="I1010" s="33" t="s">
        <v>7249</v>
      </c>
      <c r="J1010" s="47" t="s">
        <v>7250</v>
      </c>
      <c r="K1010" s="61" t="s">
        <v>4779</v>
      </c>
      <c r="L1010" s="12" t="str">
        <f t="shared" si="45"/>
        <v>2,2,2</v>
      </c>
    </row>
    <row r="1011" spans="2:12">
      <c r="B1011" s="17">
        <v>1310</v>
      </c>
      <c r="C1011" s="17">
        <v>2</v>
      </c>
      <c r="D1011" s="17">
        <f t="shared" si="47"/>
        <v>0</v>
      </c>
      <c r="E1011" s="17">
        <f t="shared" si="46"/>
        <v>1484</v>
      </c>
      <c r="F1011" s="17" t="s">
        <v>4813</v>
      </c>
      <c r="G1011" s="17">
        <f>MATCH(E1011,Arenas!$F$8:$F$15)</f>
        <v>5</v>
      </c>
      <c r="H1011" s="29" t="s">
        <v>2381</v>
      </c>
      <c r="I1011" s="33" t="s">
        <v>7251</v>
      </c>
      <c r="J1011" s="47" t="s">
        <v>7252</v>
      </c>
      <c r="K1011" s="61" t="s">
        <v>4779</v>
      </c>
      <c r="L1011" s="12" t="str">
        <f t="shared" si="45"/>
        <v>2,2,2</v>
      </c>
    </row>
    <row r="1012" spans="2:12">
      <c r="B1012" s="17">
        <v>1311</v>
      </c>
      <c r="C1012" s="17">
        <v>2</v>
      </c>
      <c r="D1012" s="17">
        <f t="shared" si="47"/>
        <v>0</v>
      </c>
      <c r="E1012" s="17">
        <f t="shared" si="46"/>
        <v>1484</v>
      </c>
      <c r="F1012" s="17" t="s">
        <v>4813</v>
      </c>
      <c r="G1012" s="17">
        <f>MATCH(E1012,Arenas!$F$8:$F$15)</f>
        <v>5</v>
      </c>
      <c r="H1012" s="29" t="s">
        <v>2382</v>
      </c>
      <c r="I1012" s="33" t="s">
        <v>7253</v>
      </c>
      <c r="J1012" s="47" t="s">
        <v>7254</v>
      </c>
      <c r="K1012" s="61" t="s">
        <v>4779</v>
      </c>
      <c r="L1012" s="12" t="str">
        <f t="shared" si="45"/>
        <v>2,2,2</v>
      </c>
    </row>
    <row r="1013" spans="2:12">
      <c r="B1013" s="17">
        <v>1312</v>
      </c>
      <c r="C1013" s="17">
        <v>2</v>
      </c>
      <c r="D1013" s="17">
        <f t="shared" si="47"/>
        <v>1</v>
      </c>
      <c r="E1013" s="17">
        <f t="shared" si="46"/>
        <v>1485</v>
      </c>
      <c r="F1013" s="17" t="s">
        <v>4813</v>
      </c>
      <c r="G1013" s="17">
        <f>MATCH(E1013,Arenas!$F$8:$F$15)</f>
        <v>5</v>
      </c>
      <c r="H1013" s="29" t="s">
        <v>2383</v>
      </c>
      <c r="I1013" s="33" t="s">
        <v>7255</v>
      </c>
      <c r="J1013" s="47" t="s">
        <v>7256</v>
      </c>
      <c r="K1013" s="61" t="s">
        <v>4779</v>
      </c>
      <c r="L1013" s="12" t="str">
        <f t="shared" si="45"/>
        <v>2,2,2</v>
      </c>
    </row>
    <row r="1014" spans="2:12">
      <c r="B1014" s="17">
        <v>1313</v>
      </c>
      <c r="C1014" s="17">
        <v>2</v>
      </c>
      <c r="D1014" s="17">
        <f t="shared" si="47"/>
        <v>0</v>
      </c>
      <c r="E1014" s="17">
        <f t="shared" si="46"/>
        <v>1485</v>
      </c>
      <c r="F1014" s="17" t="s">
        <v>4813</v>
      </c>
      <c r="G1014" s="17">
        <f>MATCH(E1014,Arenas!$F$8:$F$15)</f>
        <v>5</v>
      </c>
      <c r="H1014" s="29" t="s">
        <v>2384</v>
      </c>
      <c r="I1014" s="33" t="s">
        <v>7257</v>
      </c>
      <c r="J1014" s="47" t="s">
        <v>7258</v>
      </c>
      <c r="K1014" s="61" t="s">
        <v>4779</v>
      </c>
      <c r="L1014" s="12" t="str">
        <f t="shared" si="45"/>
        <v>2,2,2</v>
      </c>
    </row>
    <row r="1015" spans="2:12">
      <c r="B1015" s="17">
        <v>1314</v>
      </c>
      <c r="C1015" s="17">
        <v>2</v>
      </c>
      <c r="D1015" s="17">
        <f t="shared" si="47"/>
        <v>0</v>
      </c>
      <c r="E1015" s="17">
        <f t="shared" si="46"/>
        <v>1485</v>
      </c>
      <c r="F1015" s="17" t="s">
        <v>4813</v>
      </c>
      <c r="G1015" s="17">
        <f>MATCH(E1015,Arenas!$F$8:$F$15)</f>
        <v>5</v>
      </c>
      <c r="H1015" s="29" t="s">
        <v>2385</v>
      </c>
      <c r="I1015" s="33" t="s">
        <v>7259</v>
      </c>
      <c r="J1015" s="47" t="s">
        <v>7260</v>
      </c>
      <c r="K1015" s="61" t="s">
        <v>4779</v>
      </c>
      <c r="L1015" s="12" t="str">
        <f t="shared" si="45"/>
        <v>2,2,2</v>
      </c>
    </row>
    <row r="1016" spans="2:12">
      <c r="B1016" s="17">
        <v>1315</v>
      </c>
      <c r="C1016" s="17">
        <v>2</v>
      </c>
      <c r="D1016" s="17">
        <f t="shared" si="47"/>
        <v>1</v>
      </c>
      <c r="E1016" s="17">
        <f t="shared" si="46"/>
        <v>1486</v>
      </c>
      <c r="F1016" s="17" t="s">
        <v>4813</v>
      </c>
      <c r="G1016" s="17">
        <f>MATCH(E1016,Arenas!$F$8:$F$15)</f>
        <v>5</v>
      </c>
      <c r="H1016" s="29" t="s">
        <v>2386</v>
      </c>
      <c r="I1016" s="33" t="s">
        <v>7261</v>
      </c>
      <c r="J1016" s="47" t="s">
        <v>7262</v>
      </c>
      <c r="K1016" s="61" t="s">
        <v>4810</v>
      </c>
      <c r="L1016" s="12" t="str">
        <f t="shared" si="45"/>
        <v>2,2,2</v>
      </c>
    </row>
    <row r="1017" spans="2:12">
      <c r="B1017" s="17">
        <v>1316</v>
      </c>
      <c r="C1017" s="17">
        <v>2</v>
      </c>
      <c r="D1017" s="17">
        <f t="shared" si="47"/>
        <v>0</v>
      </c>
      <c r="E1017" s="17">
        <f t="shared" si="46"/>
        <v>1486</v>
      </c>
      <c r="F1017" s="17" t="s">
        <v>4813</v>
      </c>
      <c r="G1017" s="17">
        <f>MATCH(E1017,Arenas!$F$8:$F$15)</f>
        <v>5</v>
      </c>
      <c r="H1017" s="29" t="s">
        <v>2387</v>
      </c>
      <c r="I1017" s="33" t="s">
        <v>7263</v>
      </c>
      <c r="J1017" s="47" t="s">
        <v>7264</v>
      </c>
      <c r="K1017" s="61" t="s">
        <v>4779</v>
      </c>
      <c r="L1017" s="12" t="str">
        <f t="shared" si="45"/>
        <v>2,2,2</v>
      </c>
    </row>
    <row r="1018" spans="2:12">
      <c r="B1018" s="17">
        <v>1317</v>
      </c>
      <c r="C1018" s="17">
        <v>2</v>
      </c>
      <c r="D1018" s="17">
        <f t="shared" si="47"/>
        <v>0</v>
      </c>
      <c r="E1018" s="17">
        <f t="shared" si="46"/>
        <v>1486</v>
      </c>
      <c r="F1018" s="17" t="s">
        <v>4813</v>
      </c>
      <c r="G1018" s="17">
        <f>MATCH(E1018,Arenas!$F$8:$F$15)</f>
        <v>5</v>
      </c>
      <c r="H1018" s="29" t="s">
        <v>2388</v>
      </c>
      <c r="I1018" s="33" t="s">
        <v>7265</v>
      </c>
      <c r="J1018" s="47" t="s">
        <v>7266</v>
      </c>
      <c r="K1018" s="61" t="s">
        <v>4779</v>
      </c>
      <c r="L1018" s="12" t="str">
        <f t="shared" si="45"/>
        <v>2,2,2</v>
      </c>
    </row>
    <row r="1019" spans="2:12">
      <c r="B1019" s="17">
        <v>1318</v>
      </c>
      <c r="C1019" s="17">
        <v>2</v>
      </c>
      <c r="D1019" s="17">
        <f t="shared" si="47"/>
        <v>1</v>
      </c>
      <c r="E1019" s="17">
        <f t="shared" si="46"/>
        <v>1487</v>
      </c>
      <c r="F1019" s="17" t="s">
        <v>4813</v>
      </c>
      <c r="G1019" s="17">
        <f>MATCH(E1019,Arenas!$F$8:$F$15)</f>
        <v>5</v>
      </c>
      <c r="H1019" s="29" t="s">
        <v>2389</v>
      </c>
      <c r="I1019" s="33" t="s">
        <v>7267</v>
      </c>
      <c r="J1019" s="47" t="s">
        <v>7268</v>
      </c>
      <c r="K1019" s="61" t="s">
        <v>4779</v>
      </c>
      <c r="L1019" s="12" t="str">
        <f t="shared" si="45"/>
        <v>2,2,2</v>
      </c>
    </row>
    <row r="1020" spans="2:12">
      <c r="B1020" s="17">
        <v>1319</v>
      </c>
      <c r="C1020" s="17">
        <v>2</v>
      </c>
      <c r="D1020" s="17">
        <f t="shared" si="47"/>
        <v>0</v>
      </c>
      <c r="E1020" s="17">
        <f t="shared" si="46"/>
        <v>1487</v>
      </c>
      <c r="F1020" s="17" t="s">
        <v>4813</v>
      </c>
      <c r="G1020" s="17">
        <f>MATCH(E1020,Arenas!$F$8:$F$15)</f>
        <v>5</v>
      </c>
      <c r="H1020" s="29" t="s">
        <v>2390</v>
      </c>
      <c r="I1020" s="33" t="s">
        <v>7269</v>
      </c>
      <c r="J1020" s="47" t="s">
        <v>5435</v>
      </c>
      <c r="K1020" s="61" t="s">
        <v>4779</v>
      </c>
      <c r="L1020" s="12" t="str">
        <f t="shared" si="45"/>
        <v>2,2,2</v>
      </c>
    </row>
    <row r="1021" spans="2:12">
      <c r="B1021" s="17">
        <v>1320</v>
      </c>
      <c r="C1021" s="17">
        <v>2</v>
      </c>
      <c r="D1021" s="17">
        <f t="shared" si="47"/>
        <v>0</v>
      </c>
      <c r="E1021" s="17">
        <f t="shared" si="46"/>
        <v>1487</v>
      </c>
      <c r="F1021" s="17" t="s">
        <v>4813</v>
      </c>
      <c r="G1021" s="17">
        <f>MATCH(E1021,Arenas!$F$8:$F$15)</f>
        <v>5</v>
      </c>
      <c r="H1021" s="29" t="s">
        <v>2391</v>
      </c>
      <c r="I1021" s="33" t="s">
        <v>7270</v>
      </c>
      <c r="J1021" s="47" t="s">
        <v>7271</v>
      </c>
      <c r="K1021" s="61" t="s">
        <v>4779</v>
      </c>
      <c r="L1021" s="12" t="str">
        <f t="shared" si="45"/>
        <v>2,2,2</v>
      </c>
    </row>
    <row r="1022" spans="2:12">
      <c r="B1022" s="17">
        <v>1321</v>
      </c>
      <c r="C1022" s="17">
        <v>2</v>
      </c>
      <c r="D1022" s="17">
        <f t="shared" si="47"/>
        <v>1</v>
      </c>
      <c r="E1022" s="17">
        <f t="shared" si="46"/>
        <v>1488</v>
      </c>
      <c r="F1022" s="17" t="s">
        <v>4813</v>
      </c>
      <c r="G1022" s="17">
        <f>MATCH(E1022,Arenas!$F$8:$F$15)</f>
        <v>5</v>
      </c>
      <c r="H1022" s="29" t="s">
        <v>2392</v>
      </c>
      <c r="I1022" s="33" t="s">
        <v>7272</v>
      </c>
      <c r="J1022" s="47" t="s">
        <v>7273</v>
      </c>
      <c r="K1022" s="61" t="s">
        <v>4779</v>
      </c>
      <c r="L1022" s="12" t="str">
        <f t="shared" si="45"/>
        <v>2,2,2</v>
      </c>
    </row>
    <row r="1023" spans="2:12">
      <c r="B1023" s="17">
        <v>1322</v>
      </c>
      <c r="C1023" s="17">
        <v>2</v>
      </c>
      <c r="D1023" s="17">
        <f t="shared" si="47"/>
        <v>0</v>
      </c>
      <c r="E1023" s="17">
        <f t="shared" si="46"/>
        <v>1488</v>
      </c>
      <c r="F1023" s="17" t="s">
        <v>4813</v>
      </c>
      <c r="G1023" s="17">
        <f>MATCH(E1023,Arenas!$F$8:$F$15)</f>
        <v>5</v>
      </c>
      <c r="H1023" s="29" t="s">
        <v>2393</v>
      </c>
      <c r="I1023" s="33" t="s">
        <v>7274</v>
      </c>
      <c r="J1023" s="47" t="s">
        <v>5810</v>
      </c>
      <c r="K1023" s="61" t="s">
        <v>4779</v>
      </c>
      <c r="L1023" s="12" t="str">
        <f t="shared" si="45"/>
        <v>2,2,2</v>
      </c>
    </row>
    <row r="1024" spans="2:12">
      <c r="B1024" s="17">
        <v>1323</v>
      </c>
      <c r="C1024" s="17">
        <v>2</v>
      </c>
      <c r="D1024" s="17">
        <f t="shared" si="47"/>
        <v>0</v>
      </c>
      <c r="E1024" s="17">
        <f t="shared" si="46"/>
        <v>1488</v>
      </c>
      <c r="F1024" s="17" t="s">
        <v>4813</v>
      </c>
      <c r="G1024" s="17">
        <f>MATCH(E1024,Arenas!$F$8:$F$15)</f>
        <v>5</v>
      </c>
      <c r="H1024" s="29" t="s">
        <v>2394</v>
      </c>
      <c r="I1024" s="33" t="s">
        <v>7275</v>
      </c>
      <c r="J1024" s="47" t="s">
        <v>7276</v>
      </c>
      <c r="K1024" s="61" t="s">
        <v>4810</v>
      </c>
      <c r="L1024" s="12" t="str">
        <f t="shared" si="45"/>
        <v>2,2,2</v>
      </c>
    </row>
    <row r="1025" spans="2:12">
      <c r="B1025" s="17">
        <v>1324</v>
      </c>
      <c r="C1025" s="17">
        <v>2</v>
      </c>
      <c r="D1025" s="17">
        <f t="shared" si="47"/>
        <v>1</v>
      </c>
      <c r="E1025" s="17">
        <f t="shared" si="46"/>
        <v>1489</v>
      </c>
      <c r="F1025" s="17" t="s">
        <v>4813</v>
      </c>
      <c r="G1025" s="17">
        <f>MATCH(E1025,Arenas!$F$8:$F$15)</f>
        <v>5</v>
      </c>
      <c r="H1025" s="29" t="s">
        <v>2395</v>
      </c>
      <c r="I1025" s="33" t="s">
        <v>7277</v>
      </c>
      <c r="J1025" s="47" t="s">
        <v>6982</v>
      </c>
      <c r="K1025" s="61" t="s">
        <v>4779</v>
      </c>
      <c r="L1025" s="12" t="str">
        <f t="shared" si="45"/>
        <v>2,2,2</v>
      </c>
    </row>
    <row r="1026" spans="2:12">
      <c r="B1026" s="17">
        <v>1325</v>
      </c>
      <c r="C1026" s="17">
        <v>2</v>
      </c>
      <c r="D1026" s="17">
        <f t="shared" si="47"/>
        <v>0</v>
      </c>
      <c r="E1026" s="17">
        <f t="shared" si="46"/>
        <v>1489</v>
      </c>
      <c r="F1026" s="17" t="s">
        <v>4813</v>
      </c>
      <c r="G1026" s="17">
        <f>MATCH(E1026,Arenas!$F$8:$F$15)</f>
        <v>5</v>
      </c>
      <c r="H1026" s="29" t="s">
        <v>2396</v>
      </c>
      <c r="I1026" s="33" t="s">
        <v>7278</v>
      </c>
      <c r="J1026" s="47" t="s">
        <v>7155</v>
      </c>
      <c r="K1026" s="61" t="s">
        <v>4779</v>
      </c>
      <c r="L1026" s="12" t="str">
        <f t="shared" ref="L1026:L1089" si="48">C1026&amp;","&amp;C1026&amp;","&amp;C1026</f>
        <v>2,2,2</v>
      </c>
    </row>
    <row r="1027" spans="2:12">
      <c r="B1027" s="17">
        <v>1326</v>
      </c>
      <c r="C1027" s="17">
        <v>2</v>
      </c>
      <c r="D1027" s="17">
        <f t="shared" si="47"/>
        <v>0</v>
      </c>
      <c r="E1027" s="17">
        <f t="shared" ref="E1027:E1090" si="49">D1027+E1026</f>
        <v>1489</v>
      </c>
      <c r="F1027" s="17" t="s">
        <v>4813</v>
      </c>
      <c r="G1027" s="17">
        <f>MATCH(E1027,Arenas!$F$8:$F$15)</f>
        <v>5</v>
      </c>
      <c r="H1027" s="29" t="s">
        <v>2397</v>
      </c>
      <c r="I1027" s="33" t="s">
        <v>7279</v>
      </c>
      <c r="J1027" s="47" t="s">
        <v>7280</v>
      </c>
      <c r="K1027" s="61" t="s">
        <v>4779</v>
      </c>
      <c r="L1027" s="12" t="str">
        <f t="shared" si="48"/>
        <v>2,2,2</v>
      </c>
    </row>
    <row r="1028" spans="2:12">
      <c r="B1028" s="17">
        <v>1327</v>
      </c>
      <c r="C1028" s="17">
        <v>2</v>
      </c>
      <c r="D1028" s="17">
        <f t="shared" si="47"/>
        <v>1</v>
      </c>
      <c r="E1028" s="17">
        <f t="shared" si="49"/>
        <v>1490</v>
      </c>
      <c r="F1028" s="17" t="s">
        <v>4813</v>
      </c>
      <c r="G1028" s="17">
        <f>MATCH(E1028,Arenas!$F$8:$F$15)</f>
        <v>5</v>
      </c>
      <c r="H1028" s="29" t="s">
        <v>2398</v>
      </c>
      <c r="I1028" s="33" t="s">
        <v>7281</v>
      </c>
      <c r="J1028" s="47" t="s">
        <v>7282</v>
      </c>
      <c r="K1028" s="61" t="s">
        <v>4779</v>
      </c>
      <c r="L1028" s="12" t="str">
        <f t="shared" si="48"/>
        <v>2,2,2</v>
      </c>
    </row>
    <row r="1029" spans="2:12">
      <c r="B1029" s="17">
        <v>1328</v>
      </c>
      <c r="C1029" s="17">
        <v>2</v>
      </c>
      <c r="D1029" s="17">
        <f t="shared" ref="D1029:D1092" si="50">D1026</f>
        <v>0</v>
      </c>
      <c r="E1029" s="17">
        <f t="shared" si="49"/>
        <v>1490</v>
      </c>
      <c r="F1029" s="17" t="s">
        <v>4813</v>
      </c>
      <c r="G1029" s="17">
        <f>MATCH(E1029,Arenas!$F$8:$F$15)</f>
        <v>5</v>
      </c>
      <c r="H1029" s="29" t="s">
        <v>2399</v>
      </c>
      <c r="I1029" s="33" t="s">
        <v>7283</v>
      </c>
      <c r="J1029" s="47" t="s">
        <v>4908</v>
      </c>
      <c r="K1029" s="61" t="s">
        <v>4779</v>
      </c>
      <c r="L1029" s="12" t="str">
        <f t="shared" si="48"/>
        <v>2,2,2</v>
      </c>
    </row>
    <row r="1030" spans="2:12">
      <c r="B1030" s="17">
        <v>1329</v>
      </c>
      <c r="C1030" s="17">
        <v>2</v>
      </c>
      <c r="D1030" s="17">
        <f t="shared" si="50"/>
        <v>0</v>
      </c>
      <c r="E1030" s="17">
        <f t="shared" si="49"/>
        <v>1490</v>
      </c>
      <c r="F1030" s="17" t="s">
        <v>4813</v>
      </c>
      <c r="G1030" s="17">
        <f>MATCH(E1030,Arenas!$F$8:$F$15)</f>
        <v>5</v>
      </c>
      <c r="H1030" s="29" t="s">
        <v>2400</v>
      </c>
      <c r="I1030" s="33" t="s">
        <v>7284</v>
      </c>
      <c r="J1030" s="47" t="s">
        <v>7285</v>
      </c>
      <c r="K1030" s="61" t="s">
        <v>4779</v>
      </c>
      <c r="L1030" s="12" t="str">
        <f t="shared" si="48"/>
        <v>2,2,2</v>
      </c>
    </row>
    <row r="1031" spans="2:12">
      <c r="B1031" s="17">
        <v>1330</v>
      </c>
      <c r="C1031" s="17">
        <v>2</v>
      </c>
      <c r="D1031" s="17">
        <f t="shared" si="50"/>
        <v>1</v>
      </c>
      <c r="E1031" s="17">
        <f t="shared" si="49"/>
        <v>1491</v>
      </c>
      <c r="F1031" s="17" t="s">
        <v>4813</v>
      </c>
      <c r="G1031" s="17">
        <f>MATCH(E1031,Arenas!$F$8:$F$15)</f>
        <v>5</v>
      </c>
      <c r="H1031" s="29" t="s">
        <v>2401</v>
      </c>
      <c r="I1031" s="33" t="s">
        <v>7286</v>
      </c>
      <c r="J1031" s="47" t="s">
        <v>7287</v>
      </c>
      <c r="K1031" s="61" t="s">
        <v>4779</v>
      </c>
      <c r="L1031" s="12" t="str">
        <f t="shared" si="48"/>
        <v>2,2,2</v>
      </c>
    </row>
    <row r="1032" spans="2:12">
      <c r="B1032" s="17">
        <v>1331</v>
      </c>
      <c r="C1032" s="17">
        <v>2</v>
      </c>
      <c r="D1032" s="17">
        <f t="shared" si="50"/>
        <v>0</v>
      </c>
      <c r="E1032" s="17">
        <f t="shared" si="49"/>
        <v>1491</v>
      </c>
      <c r="F1032" s="17" t="s">
        <v>4813</v>
      </c>
      <c r="G1032" s="17">
        <f>MATCH(E1032,Arenas!$F$8:$F$15)</f>
        <v>5</v>
      </c>
      <c r="H1032" s="29" t="s">
        <v>2402</v>
      </c>
      <c r="I1032" s="33" t="s">
        <v>7288</v>
      </c>
      <c r="J1032" s="47" t="s">
        <v>7289</v>
      </c>
      <c r="K1032" s="61" t="s">
        <v>4779</v>
      </c>
      <c r="L1032" s="12" t="str">
        <f t="shared" si="48"/>
        <v>2,2,2</v>
      </c>
    </row>
    <row r="1033" spans="2:12">
      <c r="B1033" s="17">
        <v>1332</v>
      </c>
      <c r="C1033" s="17">
        <v>2</v>
      </c>
      <c r="D1033" s="17">
        <f t="shared" si="50"/>
        <v>0</v>
      </c>
      <c r="E1033" s="17">
        <f t="shared" si="49"/>
        <v>1491</v>
      </c>
      <c r="F1033" s="17" t="s">
        <v>4813</v>
      </c>
      <c r="G1033" s="17">
        <f>MATCH(E1033,Arenas!$F$8:$F$15)</f>
        <v>5</v>
      </c>
      <c r="H1033" s="29" t="s">
        <v>2403</v>
      </c>
      <c r="I1033" s="33" t="s">
        <v>7290</v>
      </c>
      <c r="J1033" s="47" t="s">
        <v>7291</v>
      </c>
      <c r="K1033" s="61" t="s">
        <v>4779</v>
      </c>
      <c r="L1033" s="12" t="str">
        <f t="shared" si="48"/>
        <v>2,2,2</v>
      </c>
    </row>
    <row r="1034" spans="2:12">
      <c r="B1034" s="17">
        <v>1333</v>
      </c>
      <c r="C1034" s="17">
        <v>2</v>
      </c>
      <c r="D1034" s="17">
        <f t="shared" si="50"/>
        <v>1</v>
      </c>
      <c r="E1034" s="17">
        <f t="shared" si="49"/>
        <v>1492</v>
      </c>
      <c r="F1034" s="17" t="s">
        <v>4813</v>
      </c>
      <c r="G1034" s="17">
        <f>MATCH(E1034,Arenas!$F$8:$F$15)</f>
        <v>5</v>
      </c>
      <c r="H1034" s="29" t="s">
        <v>2404</v>
      </c>
      <c r="I1034" s="33" t="s">
        <v>7292</v>
      </c>
      <c r="J1034" s="47" t="s">
        <v>7293</v>
      </c>
      <c r="K1034" s="61" t="s">
        <v>4779</v>
      </c>
      <c r="L1034" s="12" t="str">
        <f t="shared" si="48"/>
        <v>2,2,2</v>
      </c>
    </row>
    <row r="1035" spans="2:12">
      <c r="B1035" s="17">
        <v>1334</v>
      </c>
      <c r="C1035" s="17">
        <v>2</v>
      </c>
      <c r="D1035" s="17">
        <f t="shared" si="50"/>
        <v>0</v>
      </c>
      <c r="E1035" s="17">
        <f t="shared" si="49"/>
        <v>1492</v>
      </c>
      <c r="F1035" s="17" t="s">
        <v>4813</v>
      </c>
      <c r="G1035" s="17">
        <f>MATCH(E1035,Arenas!$F$8:$F$15)</f>
        <v>5</v>
      </c>
      <c r="H1035" s="29" t="s">
        <v>2405</v>
      </c>
      <c r="I1035" s="33" t="s">
        <v>7294</v>
      </c>
      <c r="J1035" s="47" t="s">
        <v>4704</v>
      </c>
      <c r="K1035" s="61" t="s">
        <v>4779</v>
      </c>
      <c r="L1035" s="12" t="str">
        <f t="shared" si="48"/>
        <v>2,2,2</v>
      </c>
    </row>
    <row r="1036" spans="2:12">
      <c r="B1036" s="17">
        <v>1335</v>
      </c>
      <c r="C1036" s="17">
        <v>2</v>
      </c>
      <c r="D1036" s="17">
        <f t="shared" si="50"/>
        <v>0</v>
      </c>
      <c r="E1036" s="17">
        <f t="shared" si="49"/>
        <v>1492</v>
      </c>
      <c r="F1036" s="17" t="s">
        <v>4813</v>
      </c>
      <c r="G1036" s="17">
        <f>MATCH(E1036,Arenas!$F$8:$F$15)</f>
        <v>5</v>
      </c>
      <c r="H1036" s="29" t="s">
        <v>2406</v>
      </c>
      <c r="I1036" s="33" t="s">
        <v>7295</v>
      </c>
      <c r="J1036" s="47" t="s">
        <v>7296</v>
      </c>
      <c r="K1036" s="61" t="s">
        <v>4779</v>
      </c>
      <c r="L1036" s="12" t="str">
        <f t="shared" si="48"/>
        <v>2,2,2</v>
      </c>
    </row>
    <row r="1037" spans="2:12">
      <c r="B1037" s="17">
        <v>1336</v>
      </c>
      <c r="C1037" s="17">
        <v>2</v>
      </c>
      <c r="D1037" s="17">
        <f t="shared" si="50"/>
        <v>1</v>
      </c>
      <c r="E1037" s="17">
        <f t="shared" si="49"/>
        <v>1493</v>
      </c>
      <c r="F1037" s="17" t="s">
        <v>4813</v>
      </c>
      <c r="G1037" s="17">
        <f>MATCH(E1037,Arenas!$F$8:$F$15)</f>
        <v>5</v>
      </c>
      <c r="H1037" s="29" t="s">
        <v>2407</v>
      </c>
      <c r="I1037" s="33" t="s">
        <v>7297</v>
      </c>
      <c r="J1037" s="47" t="s">
        <v>7285</v>
      </c>
      <c r="K1037" s="61" t="s">
        <v>4779</v>
      </c>
      <c r="L1037" s="12" t="str">
        <f t="shared" si="48"/>
        <v>2,2,2</v>
      </c>
    </row>
    <row r="1038" spans="2:12">
      <c r="B1038" s="17">
        <v>1337</v>
      </c>
      <c r="C1038" s="17">
        <v>2</v>
      </c>
      <c r="D1038" s="17">
        <f t="shared" si="50"/>
        <v>0</v>
      </c>
      <c r="E1038" s="17">
        <f t="shared" si="49"/>
        <v>1493</v>
      </c>
      <c r="F1038" s="17" t="s">
        <v>4813</v>
      </c>
      <c r="G1038" s="17">
        <f>MATCH(E1038,Arenas!$F$8:$F$15)</f>
        <v>5</v>
      </c>
      <c r="H1038" s="29" t="s">
        <v>2408</v>
      </c>
      <c r="I1038" s="33" t="s">
        <v>7298</v>
      </c>
      <c r="J1038" s="47" t="s">
        <v>5878</v>
      </c>
      <c r="K1038" s="61" t="s">
        <v>4779</v>
      </c>
      <c r="L1038" s="12" t="str">
        <f t="shared" si="48"/>
        <v>2,2,2</v>
      </c>
    </row>
    <row r="1039" spans="2:12">
      <c r="B1039" s="17">
        <v>1338</v>
      </c>
      <c r="C1039" s="17">
        <v>2</v>
      </c>
      <c r="D1039" s="17">
        <f t="shared" si="50"/>
        <v>0</v>
      </c>
      <c r="E1039" s="17">
        <f t="shared" si="49"/>
        <v>1493</v>
      </c>
      <c r="F1039" s="17" t="s">
        <v>4813</v>
      </c>
      <c r="G1039" s="17">
        <f>MATCH(E1039,Arenas!$F$8:$F$15)</f>
        <v>5</v>
      </c>
      <c r="H1039" s="29" t="s">
        <v>2409</v>
      </c>
      <c r="I1039" s="33" t="s">
        <v>7299</v>
      </c>
      <c r="J1039" s="47" t="s">
        <v>7300</v>
      </c>
      <c r="K1039" s="61" t="s">
        <v>4779</v>
      </c>
      <c r="L1039" s="12" t="str">
        <f t="shared" si="48"/>
        <v>2,2,2</v>
      </c>
    </row>
    <row r="1040" spans="2:12">
      <c r="B1040" s="17">
        <v>1339</v>
      </c>
      <c r="C1040" s="17">
        <v>2</v>
      </c>
      <c r="D1040" s="17">
        <f t="shared" si="50"/>
        <v>1</v>
      </c>
      <c r="E1040" s="17">
        <f t="shared" si="49"/>
        <v>1494</v>
      </c>
      <c r="F1040" s="17" t="s">
        <v>4813</v>
      </c>
      <c r="G1040" s="17">
        <f>MATCH(E1040,Arenas!$F$8:$F$15)</f>
        <v>5</v>
      </c>
      <c r="H1040" s="29" t="s">
        <v>2410</v>
      </c>
      <c r="I1040" s="33" t="s">
        <v>7301</v>
      </c>
      <c r="J1040" s="47" t="s">
        <v>7302</v>
      </c>
      <c r="K1040" s="61" t="s">
        <v>4779</v>
      </c>
      <c r="L1040" s="12" t="str">
        <f t="shared" si="48"/>
        <v>2,2,2</v>
      </c>
    </row>
    <row r="1041" spans="2:12">
      <c r="B1041" s="17">
        <v>1340</v>
      </c>
      <c r="C1041" s="17">
        <v>2</v>
      </c>
      <c r="D1041" s="17">
        <f t="shared" si="50"/>
        <v>0</v>
      </c>
      <c r="E1041" s="17">
        <f t="shared" si="49"/>
        <v>1494</v>
      </c>
      <c r="F1041" s="17" t="s">
        <v>4813</v>
      </c>
      <c r="G1041" s="17">
        <f>MATCH(E1041,Arenas!$F$8:$F$15)</f>
        <v>5</v>
      </c>
      <c r="H1041" s="29" t="s">
        <v>2411</v>
      </c>
      <c r="I1041" s="33" t="s">
        <v>7303</v>
      </c>
      <c r="J1041" s="47" t="s">
        <v>7304</v>
      </c>
      <c r="K1041" s="61" t="s">
        <v>4779</v>
      </c>
      <c r="L1041" s="12" t="str">
        <f t="shared" si="48"/>
        <v>2,2,2</v>
      </c>
    </row>
    <row r="1042" spans="2:12">
      <c r="B1042" s="17">
        <v>1341</v>
      </c>
      <c r="C1042" s="17">
        <v>2</v>
      </c>
      <c r="D1042" s="17">
        <f t="shared" si="50"/>
        <v>0</v>
      </c>
      <c r="E1042" s="17">
        <f t="shared" si="49"/>
        <v>1494</v>
      </c>
      <c r="F1042" s="17" t="s">
        <v>4813</v>
      </c>
      <c r="G1042" s="17">
        <f>MATCH(E1042,Arenas!$F$8:$F$15)</f>
        <v>5</v>
      </c>
      <c r="H1042" s="29" t="s">
        <v>2412</v>
      </c>
      <c r="I1042" s="33" t="s">
        <v>7305</v>
      </c>
      <c r="J1042" s="47" t="s">
        <v>7306</v>
      </c>
      <c r="K1042" s="61" t="s">
        <v>4779</v>
      </c>
      <c r="L1042" s="12" t="str">
        <f t="shared" si="48"/>
        <v>2,2,2</v>
      </c>
    </row>
    <row r="1043" spans="2:12">
      <c r="B1043" s="17">
        <v>1342</v>
      </c>
      <c r="C1043" s="17">
        <v>2</v>
      </c>
      <c r="D1043" s="17">
        <f t="shared" si="50"/>
        <v>1</v>
      </c>
      <c r="E1043" s="17">
        <f t="shared" si="49"/>
        <v>1495</v>
      </c>
      <c r="F1043" s="17" t="s">
        <v>4813</v>
      </c>
      <c r="G1043" s="17">
        <f>MATCH(E1043,Arenas!$F$8:$F$15)</f>
        <v>5</v>
      </c>
      <c r="H1043" s="29" t="s">
        <v>2413</v>
      </c>
      <c r="I1043" s="33" t="s">
        <v>7307</v>
      </c>
      <c r="J1043" s="47" t="s">
        <v>4701</v>
      </c>
      <c r="K1043" s="61" t="s">
        <v>4779</v>
      </c>
      <c r="L1043" s="12" t="str">
        <f t="shared" si="48"/>
        <v>2,2,2</v>
      </c>
    </row>
    <row r="1044" spans="2:12">
      <c r="B1044" s="17">
        <v>1343</v>
      </c>
      <c r="C1044" s="17">
        <v>2</v>
      </c>
      <c r="D1044" s="17">
        <f t="shared" si="50"/>
        <v>0</v>
      </c>
      <c r="E1044" s="17">
        <f t="shared" si="49"/>
        <v>1495</v>
      </c>
      <c r="F1044" s="17" t="s">
        <v>4813</v>
      </c>
      <c r="G1044" s="17">
        <f>MATCH(E1044,Arenas!$F$8:$F$15)</f>
        <v>5</v>
      </c>
      <c r="H1044" s="29" t="s">
        <v>2414</v>
      </c>
      <c r="I1044" s="33" t="s">
        <v>7308</v>
      </c>
      <c r="J1044" s="47" t="s">
        <v>7225</v>
      </c>
      <c r="K1044" s="61" t="s">
        <v>4779</v>
      </c>
      <c r="L1044" s="12" t="str">
        <f t="shared" si="48"/>
        <v>2,2,2</v>
      </c>
    </row>
    <row r="1045" spans="2:12">
      <c r="B1045" s="17">
        <v>1344</v>
      </c>
      <c r="C1045" s="17">
        <v>2</v>
      </c>
      <c r="D1045" s="17">
        <f t="shared" si="50"/>
        <v>0</v>
      </c>
      <c r="E1045" s="17">
        <f t="shared" si="49"/>
        <v>1495</v>
      </c>
      <c r="F1045" s="17" t="s">
        <v>4813</v>
      </c>
      <c r="G1045" s="17">
        <f>MATCH(E1045,Arenas!$F$8:$F$15)</f>
        <v>5</v>
      </c>
      <c r="H1045" s="29" t="s">
        <v>2415</v>
      </c>
      <c r="I1045" s="33" t="s">
        <v>7309</v>
      </c>
      <c r="J1045" s="47" t="s">
        <v>7310</v>
      </c>
      <c r="K1045" s="61" t="s">
        <v>4779</v>
      </c>
      <c r="L1045" s="12" t="str">
        <f t="shared" si="48"/>
        <v>2,2,2</v>
      </c>
    </row>
    <row r="1046" spans="2:12">
      <c r="B1046" s="17">
        <v>1345</v>
      </c>
      <c r="C1046" s="17">
        <v>2</v>
      </c>
      <c r="D1046" s="17">
        <f t="shared" si="50"/>
        <v>1</v>
      </c>
      <c r="E1046" s="17">
        <f t="shared" si="49"/>
        <v>1496</v>
      </c>
      <c r="F1046" s="17" t="s">
        <v>4813</v>
      </c>
      <c r="G1046" s="17">
        <f>MATCH(E1046,Arenas!$F$8:$F$15)</f>
        <v>5</v>
      </c>
      <c r="H1046" s="29" t="s">
        <v>2416</v>
      </c>
      <c r="I1046" s="33" t="s">
        <v>7311</v>
      </c>
      <c r="J1046" s="47" t="s">
        <v>5280</v>
      </c>
      <c r="K1046" s="61" t="s">
        <v>4779</v>
      </c>
      <c r="L1046" s="12" t="str">
        <f t="shared" si="48"/>
        <v>2,2,2</v>
      </c>
    </row>
    <row r="1047" spans="2:12">
      <c r="B1047" s="17">
        <v>1346</v>
      </c>
      <c r="C1047" s="17">
        <v>2</v>
      </c>
      <c r="D1047" s="17">
        <f t="shared" si="50"/>
        <v>0</v>
      </c>
      <c r="E1047" s="17">
        <f t="shared" si="49"/>
        <v>1496</v>
      </c>
      <c r="F1047" s="17" t="s">
        <v>4813</v>
      </c>
      <c r="G1047" s="17">
        <f>MATCH(E1047,Arenas!$F$8:$F$15)</f>
        <v>5</v>
      </c>
      <c r="H1047" s="29" t="s">
        <v>2417</v>
      </c>
      <c r="I1047" s="33" t="s">
        <v>7312</v>
      </c>
      <c r="J1047" s="47" t="s">
        <v>6925</v>
      </c>
      <c r="K1047" s="61" t="s">
        <v>4779</v>
      </c>
      <c r="L1047" s="12" t="str">
        <f t="shared" si="48"/>
        <v>2,2,2</v>
      </c>
    </row>
    <row r="1048" spans="2:12">
      <c r="B1048" s="17">
        <v>1347</v>
      </c>
      <c r="C1048" s="17">
        <v>2</v>
      </c>
      <c r="D1048" s="17">
        <f t="shared" si="50"/>
        <v>0</v>
      </c>
      <c r="E1048" s="17">
        <f t="shared" si="49"/>
        <v>1496</v>
      </c>
      <c r="F1048" s="17" t="s">
        <v>4813</v>
      </c>
      <c r="G1048" s="17">
        <f>MATCH(E1048,Arenas!$F$8:$F$15)</f>
        <v>5</v>
      </c>
      <c r="H1048" s="29" t="s">
        <v>2418</v>
      </c>
      <c r="I1048" s="33" t="s">
        <v>7313</v>
      </c>
      <c r="J1048" s="47" t="s">
        <v>7314</v>
      </c>
      <c r="K1048" s="61" t="s">
        <v>4779</v>
      </c>
      <c r="L1048" s="12" t="str">
        <f t="shared" si="48"/>
        <v>2,2,2</v>
      </c>
    </row>
    <row r="1049" spans="2:12">
      <c r="B1049" s="17">
        <v>1348</v>
      </c>
      <c r="C1049" s="17">
        <v>2</v>
      </c>
      <c r="D1049" s="17">
        <f t="shared" si="50"/>
        <v>1</v>
      </c>
      <c r="E1049" s="17">
        <f t="shared" si="49"/>
        <v>1497</v>
      </c>
      <c r="F1049" s="17" t="s">
        <v>4813</v>
      </c>
      <c r="G1049" s="17">
        <f>MATCH(E1049,Arenas!$F$8:$F$15)</f>
        <v>5</v>
      </c>
      <c r="H1049" s="29" t="s">
        <v>2419</v>
      </c>
      <c r="I1049" s="33" t="s">
        <v>7315</v>
      </c>
      <c r="J1049" s="47" t="s">
        <v>7316</v>
      </c>
      <c r="K1049" s="61" t="s">
        <v>4779</v>
      </c>
      <c r="L1049" s="12" t="str">
        <f t="shared" si="48"/>
        <v>2,2,2</v>
      </c>
    </row>
    <row r="1050" spans="2:12">
      <c r="B1050" s="17">
        <v>1349</v>
      </c>
      <c r="C1050" s="17">
        <v>2</v>
      </c>
      <c r="D1050" s="17">
        <f t="shared" si="50"/>
        <v>0</v>
      </c>
      <c r="E1050" s="17">
        <f t="shared" si="49"/>
        <v>1497</v>
      </c>
      <c r="F1050" s="17" t="s">
        <v>4813</v>
      </c>
      <c r="G1050" s="17">
        <f>MATCH(E1050,Arenas!$F$8:$F$15)</f>
        <v>5</v>
      </c>
      <c r="H1050" s="29" t="s">
        <v>2420</v>
      </c>
      <c r="I1050" s="33" t="s">
        <v>7317</v>
      </c>
      <c r="J1050" s="47" t="s">
        <v>7318</v>
      </c>
      <c r="K1050" s="61" t="s">
        <v>4779</v>
      </c>
      <c r="L1050" s="12" t="str">
        <f t="shared" si="48"/>
        <v>2,2,2</v>
      </c>
    </row>
    <row r="1051" spans="2:12">
      <c r="B1051" s="17">
        <v>1350</v>
      </c>
      <c r="C1051" s="17">
        <v>2</v>
      </c>
      <c r="D1051" s="17">
        <f t="shared" si="50"/>
        <v>0</v>
      </c>
      <c r="E1051" s="17">
        <f t="shared" si="49"/>
        <v>1497</v>
      </c>
      <c r="F1051" s="17" t="s">
        <v>4813</v>
      </c>
      <c r="G1051" s="17">
        <f>MATCH(E1051,Arenas!$F$8:$F$15)</f>
        <v>5</v>
      </c>
      <c r="H1051" s="29" t="s">
        <v>2421</v>
      </c>
      <c r="I1051" s="33" t="s">
        <v>7319</v>
      </c>
      <c r="J1051" s="47" t="s">
        <v>4956</v>
      </c>
      <c r="K1051" s="61" t="s">
        <v>4779</v>
      </c>
      <c r="L1051" s="12" t="str">
        <f t="shared" si="48"/>
        <v>2,2,2</v>
      </c>
    </row>
    <row r="1052" spans="2:12">
      <c r="B1052" s="17">
        <v>1351</v>
      </c>
      <c r="C1052" s="17">
        <v>2</v>
      </c>
      <c r="D1052" s="17">
        <f t="shared" si="50"/>
        <v>1</v>
      </c>
      <c r="E1052" s="17">
        <f t="shared" si="49"/>
        <v>1498</v>
      </c>
      <c r="F1052" s="17" t="s">
        <v>4813</v>
      </c>
      <c r="G1052" s="17">
        <f>MATCH(E1052,Arenas!$F$8:$F$15)</f>
        <v>5</v>
      </c>
      <c r="H1052" s="29" t="s">
        <v>2422</v>
      </c>
      <c r="I1052" s="33" t="s">
        <v>7320</v>
      </c>
      <c r="J1052" s="47" t="s">
        <v>7321</v>
      </c>
      <c r="K1052" s="61" t="s">
        <v>4779</v>
      </c>
      <c r="L1052" s="12" t="str">
        <f t="shared" si="48"/>
        <v>2,2,2</v>
      </c>
    </row>
    <row r="1053" spans="2:12">
      <c r="B1053" s="17">
        <v>1352</v>
      </c>
      <c r="C1053" s="17">
        <v>2</v>
      </c>
      <c r="D1053" s="17">
        <f t="shared" si="50"/>
        <v>0</v>
      </c>
      <c r="E1053" s="17">
        <f t="shared" si="49"/>
        <v>1498</v>
      </c>
      <c r="F1053" s="17" t="s">
        <v>4813</v>
      </c>
      <c r="G1053" s="17">
        <f>MATCH(E1053,Arenas!$F$8:$F$15)</f>
        <v>5</v>
      </c>
      <c r="H1053" s="29" t="s">
        <v>2423</v>
      </c>
      <c r="I1053" s="33" t="s">
        <v>7322</v>
      </c>
      <c r="J1053" s="47" t="s">
        <v>5245</v>
      </c>
      <c r="K1053" s="61" t="s">
        <v>4808</v>
      </c>
      <c r="L1053" s="12" t="str">
        <f t="shared" si="48"/>
        <v>2,2,2</v>
      </c>
    </row>
    <row r="1054" spans="2:12">
      <c r="B1054" s="17">
        <v>1353</v>
      </c>
      <c r="C1054" s="17">
        <v>2</v>
      </c>
      <c r="D1054" s="17">
        <f t="shared" si="50"/>
        <v>0</v>
      </c>
      <c r="E1054" s="17">
        <f t="shared" si="49"/>
        <v>1498</v>
      </c>
      <c r="F1054" s="17" t="s">
        <v>4813</v>
      </c>
      <c r="G1054" s="17">
        <f>MATCH(E1054,Arenas!$F$8:$F$15)</f>
        <v>5</v>
      </c>
      <c r="H1054" s="29" t="s">
        <v>2424</v>
      </c>
      <c r="I1054" s="33" t="s">
        <v>7323</v>
      </c>
      <c r="J1054" s="47" t="s">
        <v>7324</v>
      </c>
      <c r="K1054" s="61" t="s">
        <v>4779</v>
      </c>
      <c r="L1054" s="12" t="str">
        <f t="shared" si="48"/>
        <v>2,2,2</v>
      </c>
    </row>
    <row r="1055" spans="2:12">
      <c r="B1055" s="17">
        <v>1354</v>
      </c>
      <c r="C1055" s="17">
        <v>2</v>
      </c>
      <c r="D1055" s="17">
        <f t="shared" si="50"/>
        <v>1</v>
      </c>
      <c r="E1055" s="17">
        <f t="shared" si="49"/>
        <v>1499</v>
      </c>
      <c r="F1055" s="17" t="s">
        <v>4813</v>
      </c>
      <c r="G1055" s="17">
        <f>MATCH(E1055,Arenas!$F$8:$F$15)</f>
        <v>5</v>
      </c>
      <c r="H1055" s="29" t="s">
        <v>2425</v>
      </c>
      <c r="I1055" s="33" t="s">
        <v>7325</v>
      </c>
      <c r="J1055" s="47" t="s">
        <v>7326</v>
      </c>
      <c r="K1055" s="61" t="s">
        <v>4779</v>
      </c>
      <c r="L1055" s="12" t="str">
        <f t="shared" si="48"/>
        <v>2,2,2</v>
      </c>
    </row>
    <row r="1056" spans="2:12">
      <c r="B1056" s="17">
        <v>1355</v>
      </c>
      <c r="C1056" s="17">
        <v>2</v>
      </c>
      <c r="D1056" s="17">
        <f t="shared" si="50"/>
        <v>0</v>
      </c>
      <c r="E1056" s="17">
        <f t="shared" si="49"/>
        <v>1499</v>
      </c>
      <c r="F1056" s="17" t="s">
        <v>4813</v>
      </c>
      <c r="G1056" s="17">
        <f>MATCH(E1056,Arenas!$F$8:$F$15)</f>
        <v>5</v>
      </c>
      <c r="H1056" s="29" t="s">
        <v>2426</v>
      </c>
      <c r="I1056" s="33" t="s">
        <v>7327</v>
      </c>
      <c r="J1056" s="47" t="s">
        <v>7328</v>
      </c>
      <c r="K1056" s="61" t="s">
        <v>4779</v>
      </c>
      <c r="L1056" s="12" t="str">
        <f t="shared" si="48"/>
        <v>2,2,2</v>
      </c>
    </row>
    <row r="1057" spans="2:12">
      <c r="B1057" s="17">
        <v>1356</v>
      </c>
      <c r="C1057" s="17">
        <v>2</v>
      </c>
      <c r="D1057" s="17">
        <f t="shared" si="50"/>
        <v>0</v>
      </c>
      <c r="E1057" s="17">
        <f t="shared" si="49"/>
        <v>1499</v>
      </c>
      <c r="F1057" s="17" t="s">
        <v>4813</v>
      </c>
      <c r="G1057" s="17">
        <f>MATCH(E1057,Arenas!$F$8:$F$15)</f>
        <v>5</v>
      </c>
      <c r="H1057" s="29" t="s">
        <v>2427</v>
      </c>
      <c r="I1057" s="33" t="s">
        <v>7329</v>
      </c>
      <c r="J1057" s="47" t="s">
        <v>5690</v>
      </c>
      <c r="K1057" s="61" t="s">
        <v>4807</v>
      </c>
      <c r="L1057" s="12" t="str">
        <f t="shared" si="48"/>
        <v>2,2,2</v>
      </c>
    </row>
    <row r="1058" spans="2:12">
      <c r="B1058" s="17">
        <v>1357</v>
      </c>
      <c r="C1058" s="17">
        <v>2</v>
      </c>
      <c r="D1058" s="17">
        <f t="shared" si="50"/>
        <v>1</v>
      </c>
      <c r="E1058" s="17">
        <f t="shared" si="49"/>
        <v>1500</v>
      </c>
      <c r="F1058" s="17" t="s">
        <v>4813</v>
      </c>
      <c r="G1058" s="17">
        <f>MATCH(E1058,Arenas!$F$8:$F$15)</f>
        <v>5</v>
      </c>
      <c r="H1058" s="29" t="s">
        <v>2428</v>
      </c>
      <c r="I1058" s="33" t="s">
        <v>7330</v>
      </c>
      <c r="J1058" s="47" t="s">
        <v>7331</v>
      </c>
      <c r="K1058" s="61" t="s">
        <v>4779</v>
      </c>
      <c r="L1058" s="12" t="str">
        <f t="shared" si="48"/>
        <v>2,2,2</v>
      </c>
    </row>
    <row r="1059" spans="2:12">
      <c r="B1059" s="17">
        <v>1358</v>
      </c>
      <c r="C1059" s="17">
        <v>2</v>
      </c>
      <c r="D1059" s="17">
        <f t="shared" si="50"/>
        <v>0</v>
      </c>
      <c r="E1059" s="17">
        <f t="shared" si="49"/>
        <v>1500</v>
      </c>
      <c r="F1059" s="17" t="s">
        <v>4813</v>
      </c>
      <c r="G1059" s="17">
        <f>MATCH(E1059,Arenas!$F$8:$F$15)</f>
        <v>5</v>
      </c>
      <c r="H1059" s="29" t="s">
        <v>2429</v>
      </c>
      <c r="I1059" s="33" t="s">
        <v>7332</v>
      </c>
      <c r="J1059" s="47" t="s">
        <v>7333</v>
      </c>
      <c r="K1059" s="61" t="s">
        <v>4779</v>
      </c>
      <c r="L1059" s="12" t="str">
        <f t="shared" si="48"/>
        <v>2,2,2</v>
      </c>
    </row>
    <row r="1060" spans="2:12">
      <c r="B1060" s="17">
        <v>1359</v>
      </c>
      <c r="C1060" s="17">
        <v>2</v>
      </c>
      <c r="D1060" s="17">
        <f t="shared" si="50"/>
        <v>0</v>
      </c>
      <c r="E1060" s="17">
        <f t="shared" si="49"/>
        <v>1500</v>
      </c>
      <c r="F1060" s="17" t="s">
        <v>4813</v>
      </c>
      <c r="G1060" s="17">
        <f>MATCH(E1060,Arenas!$F$8:$F$15)</f>
        <v>5</v>
      </c>
      <c r="H1060" s="29" t="s">
        <v>2430</v>
      </c>
      <c r="I1060" s="33" t="s">
        <v>7334</v>
      </c>
      <c r="J1060" s="47" t="s">
        <v>7335</v>
      </c>
      <c r="K1060" s="61" t="s">
        <v>4779</v>
      </c>
      <c r="L1060" s="12" t="str">
        <f t="shared" si="48"/>
        <v>2,2,2</v>
      </c>
    </row>
    <row r="1061" spans="2:12">
      <c r="B1061" s="17">
        <v>1360</v>
      </c>
      <c r="C1061" s="17">
        <v>2</v>
      </c>
      <c r="D1061" s="17">
        <f t="shared" si="50"/>
        <v>1</v>
      </c>
      <c r="E1061" s="17">
        <f t="shared" si="49"/>
        <v>1501</v>
      </c>
      <c r="F1061" s="17" t="s">
        <v>4813</v>
      </c>
      <c r="G1061" s="17">
        <f>MATCH(E1061,Arenas!$F$8:$F$15)</f>
        <v>5</v>
      </c>
      <c r="H1061" s="29" t="s">
        <v>2431</v>
      </c>
      <c r="I1061" s="33" t="s">
        <v>7336</v>
      </c>
      <c r="J1061" s="47" t="s">
        <v>4577</v>
      </c>
      <c r="K1061" s="61" t="s">
        <v>4779</v>
      </c>
      <c r="L1061" s="12" t="str">
        <f t="shared" si="48"/>
        <v>2,2,2</v>
      </c>
    </row>
    <row r="1062" spans="2:12">
      <c r="B1062" s="17">
        <v>1361</v>
      </c>
      <c r="C1062" s="17">
        <v>2</v>
      </c>
      <c r="D1062" s="17">
        <f t="shared" si="50"/>
        <v>0</v>
      </c>
      <c r="E1062" s="17">
        <f t="shared" si="49"/>
        <v>1501</v>
      </c>
      <c r="F1062" s="17" t="s">
        <v>4813</v>
      </c>
      <c r="G1062" s="17">
        <f>MATCH(E1062,Arenas!$F$8:$F$15)</f>
        <v>5</v>
      </c>
      <c r="H1062" s="29" t="s">
        <v>2432</v>
      </c>
      <c r="I1062" s="33" t="s">
        <v>7337</v>
      </c>
      <c r="J1062" s="47" t="s">
        <v>5759</v>
      </c>
      <c r="K1062" s="61" t="s">
        <v>4779</v>
      </c>
      <c r="L1062" s="12" t="str">
        <f t="shared" si="48"/>
        <v>2,2,2</v>
      </c>
    </row>
    <row r="1063" spans="2:12">
      <c r="B1063" s="17">
        <v>1362</v>
      </c>
      <c r="C1063" s="17">
        <v>2</v>
      </c>
      <c r="D1063" s="17">
        <f t="shared" si="50"/>
        <v>0</v>
      </c>
      <c r="E1063" s="17">
        <f t="shared" si="49"/>
        <v>1501</v>
      </c>
      <c r="F1063" s="17" t="s">
        <v>4813</v>
      </c>
      <c r="G1063" s="17">
        <f>MATCH(E1063,Arenas!$F$8:$F$15)</f>
        <v>5</v>
      </c>
      <c r="H1063" s="29" t="s">
        <v>2433</v>
      </c>
      <c r="I1063" s="33" t="s">
        <v>7338</v>
      </c>
      <c r="J1063" s="47" t="s">
        <v>4694</v>
      </c>
      <c r="K1063" s="61" t="s">
        <v>4779</v>
      </c>
      <c r="L1063" s="12" t="str">
        <f t="shared" si="48"/>
        <v>2,2,2</v>
      </c>
    </row>
    <row r="1064" spans="2:12">
      <c r="B1064" s="17">
        <v>1363</v>
      </c>
      <c r="C1064" s="17">
        <v>2</v>
      </c>
      <c r="D1064" s="17">
        <f t="shared" si="50"/>
        <v>1</v>
      </c>
      <c r="E1064" s="17">
        <f t="shared" si="49"/>
        <v>1502</v>
      </c>
      <c r="F1064" s="17" t="s">
        <v>4813</v>
      </c>
      <c r="G1064" s="17">
        <f>MATCH(E1064,Arenas!$F$8:$F$15)</f>
        <v>5</v>
      </c>
      <c r="H1064" s="29" t="s">
        <v>2434</v>
      </c>
      <c r="I1064" s="33" t="s">
        <v>7339</v>
      </c>
      <c r="J1064" s="47" t="s">
        <v>7340</v>
      </c>
      <c r="K1064" s="61" t="s">
        <v>4779</v>
      </c>
      <c r="L1064" s="12" t="str">
        <f t="shared" si="48"/>
        <v>2,2,2</v>
      </c>
    </row>
    <row r="1065" spans="2:12">
      <c r="B1065" s="17">
        <v>1364</v>
      </c>
      <c r="C1065" s="17">
        <v>2</v>
      </c>
      <c r="D1065" s="17">
        <f t="shared" si="50"/>
        <v>0</v>
      </c>
      <c r="E1065" s="17">
        <f t="shared" si="49"/>
        <v>1502</v>
      </c>
      <c r="F1065" s="17" t="s">
        <v>4813</v>
      </c>
      <c r="G1065" s="17">
        <f>MATCH(E1065,Arenas!$F$8:$F$15)</f>
        <v>5</v>
      </c>
      <c r="H1065" s="29" t="s">
        <v>2435</v>
      </c>
      <c r="I1065" s="33" t="s">
        <v>7341</v>
      </c>
      <c r="J1065" s="47" t="s">
        <v>7095</v>
      </c>
      <c r="K1065" s="61" t="s">
        <v>4779</v>
      </c>
      <c r="L1065" s="12" t="str">
        <f t="shared" si="48"/>
        <v>2,2,2</v>
      </c>
    </row>
    <row r="1066" spans="2:12">
      <c r="B1066" s="17">
        <v>1365</v>
      </c>
      <c r="C1066" s="17">
        <v>2</v>
      </c>
      <c r="D1066" s="17">
        <f t="shared" si="50"/>
        <v>0</v>
      </c>
      <c r="E1066" s="17">
        <f t="shared" si="49"/>
        <v>1502</v>
      </c>
      <c r="F1066" s="17" t="s">
        <v>4813</v>
      </c>
      <c r="G1066" s="17">
        <f>MATCH(E1066,Arenas!$F$8:$F$15)</f>
        <v>5</v>
      </c>
      <c r="H1066" s="29" t="s">
        <v>2436</v>
      </c>
      <c r="I1066" s="33" t="s">
        <v>7342</v>
      </c>
      <c r="J1066" s="47" t="s">
        <v>5692</v>
      </c>
      <c r="K1066" s="61" t="s">
        <v>4779</v>
      </c>
      <c r="L1066" s="12" t="str">
        <f t="shared" si="48"/>
        <v>2,2,2</v>
      </c>
    </row>
    <row r="1067" spans="2:12">
      <c r="B1067" s="17">
        <v>1366</v>
      </c>
      <c r="C1067" s="17">
        <v>2</v>
      </c>
      <c r="D1067" s="17">
        <f t="shared" si="50"/>
        <v>1</v>
      </c>
      <c r="E1067" s="17">
        <f t="shared" si="49"/>
        <v>1503</v>
      </c>
      <c r="F1067" s="17" t="s">
        <v>4813</v>
      </c>
      <c r="G1067" s="17">
        <f>MATCH(E1067,Arenas!$F$8:$F$15)</f>
        <v>5</v>
      </c>
      <c r="H1067" s="29" t="s">
        <v>2437</v>
      </c>
      <c r="I1067" s="33" t="s">
        <v>7343</v>
      </c>
      <c r="J1067" s="47" t="s">
        <v>7344</v>
      </c>
      <c r="K1067" s="61" t="s">
        <v>4779</v>
      </c>
      <c r="L1067" s="12" t="str">
        <f t="shared" si="48"/>
        <v>2,2,2</v>
      </c>
    </row>
    <row r="1068" spans="2:12">
      <c r="B1068" s="17">
        <v>1367</v>
      </c>
      <c r="C1068" s="17">
        <v>2</v>
      </c>
      <c r="D1068" s="17">
        <f t="shared" si="50"/>
        <v>0</v>
      </c>
      <c r="E1068" s="17">
        <f t="shared" si="49"/>
        <v>1503</v>
      </c>
      <c r="F1068" s="17" t="s">
        <v>4813</v>
      </c>
      <c r="G1068" s="17">
        <f>MATCH(E1068,Arenas!$F$8:$F$15)</f>
        <v>5</v>
      </c>
      <c r="H1068" s="29" t="s">
        <v>2438</v>
      </c>
      <c r="I1068" s="33" t="s">
        <v>7345</v>
      </c>
      <c r="J1068" s="47" t="s">
        <v>4906</v>
      </c>
      <c r="K1068" s="61" t="s">
        <v>4779</v>
      </c>
      <c r="L1068" s="12" t="str">
        <f t="shared" si="48"/>
        <v>2,2,2</v>
      </c>
    </row>
    <row r="1069" spans="2:12">
      <c r="B1069" s="17">
        <v>1368</v>
      </c>
      <c r="C1069" s="17">
        <v>2</v>
      </c>
      <c r="D1069" s="17">
        <f t="shared" si="50"/>
        <v>0</v>
      </c>
      <c r="E1069" s="17">
        <f t="shared" si="49"/>
        <v>1503</v>
      </c>
      <c r="F1069" s="17" t="s">
        <v>4813</v>
      </c>
      <c r="G1069" s="17">
        <f>MATCH(E1069,Arenas!$F$8:$F$15)</f>
        <v>5</v>
      </c>
      <c r="H1069" s="29" t="s">
        <v>2439</v>
      </c>
      <c r="I1069" s="33" t="s">
        <v>7346</v>
      </c>
      <c r="J1069" s="47" t="s">
        <v>7347</v>
      </c>
      <c r="K1069" s="61" t="s">
        <v>4779</v>
      </c>
      <c r="L1069" s="12" t="str">
        <f t="shared" si="48"/>
        <v>2,2,2</v>
      </c>
    </row>
    <row r="1070" spans="2:12">
      <c r="B1070" s="17">
        <v>1369</v>
      </c>
      <c r="C1070" s="17">
        <v>2</v>
      </c>
      <c r="D1070" s="17">
        <f t="shared" si="50"/>
        <v>1</v>
      </c>
      <c r="E1070" s="17">
        <f t="shared" si="49"/>
        <v>1504</v>
      </c>
      <c r="F1070" s="17" t="s">
        <v>4813</v>
      </c>
      <c r="G1070" s="17">
        <f>MATCH(E1070,Arenas!$F$8:$F$15)</f>
        <v>5</v>
      </c>
      <c r="H1070" s="29" t="s">
        <v>2440</v>
      </c>
      <c r="I1070" s="33" t="s">
        <v>7348</v>
      </c>
      <c r="J1070" s="47" t="s">
        <v>7349</v>
      </c>
      <c r="K1070" s="61" t="s">
        <v>4779</v>
      </c>
      <c r="L1070" s="12" t="str">
        <f t="shared" si="48"/>
        <v>2,2,2</v>
      </c>
    </row>
    <row r="1071" spans="2:12">
      <c r="B1071" s="17">
        <v>1370</v>
      </c>
      <c r="C1071" s="17">
        <v>2</v>
      </c>
      <c r="D1071" s="17">
        <f t="shared" si="50"/>
        <v>0</v>
      </c>
      <c r="E1071" s="17">
        <f t="shared" si="49"/>
        <v>1504</v>
      </c>
      <c r="F1071" s="17" t="s">
        <v>4813</v>
      </c>
      <c r="G1071" s="17">
        <f>MATCH(E1071,Arenas!$F$8:$F$15)</f>
        <v>5</v>
      </c>
      <c r="H1071" s="29" t="s">
        <v>2441</v>
      </c>
      <c r="I1071" s="33" t="s">
        <v>7350</v>
      </c>
      <c r="J1071" s="47" t="s">
        <v>5586</v>
      </c>
      <c r="K1071" s="61" t="s">
        <v>4779</v>
      </c>
      <c r="L1071" s="12" t="str">
        <f t="shared" si="48"/>
        <v>2,2,2</v>
      </c>
    </row>
    <row r="1072" spans="2:12">
      <c r="B1072" s="17">
        <v>1371</v>
      </c>
      <c r="C1072" s="17">
        <v>2</v>
      </c>
      <c r="D1072" s="17">
        <f t="shared" si="50"/>
        <v>0</v>
      </c>
      <c r="E1072" s="17">
        <f t="shared" si="49"/>
        <v>1504</v>
      </c>
      <c r="F1072" s="17" t="s">
        <v>4813</v>
      </c>
      <c r="G1072" s="17">
        <f>MATCH(E1072,Arenas!$F$8:$F$15)</f>
        <v>5</v>
      </c>
      <c r="H1072" s="29" t="s">
        <v>2442</v>
      </c>
      <c r="I1072" s="33" t="s">
        <v>7351</v>
      </c>
      <c r="J1072" s="47" t="s">
        <v>7352</v>
      </c>
      <c r="K1072" s="61" t="s">
        <v>4779</v>
      </c>
      <c r="L1072" s="12" t="str">
        <f t="shared" si="48"/>
        <v>2,2,2</v>
      </c>
    </row>
    <row r="1073" spans="2:12">
      <c r="B1073" s="17">
        <v>1372</v>
      </c>
      <c r="C1073" s="17">
        <v>2</v>
      </c>
      <c r="D1073" s="17">
        <f t="shared" si="50"/>
        <v>1</v>
      </c>
      <c r="E1073" s="17">
        <f t="shared" si="49"/>
        <v>1505</v>
      </c>
      <c r="F1073" s="17" t="s">
        <v>4813</v>
      </c>
      <c r="G1073" s="17">
        <f>MATCH(E1073,Arenas!$F$8:$F$15)</f>
        <v>5</v>
      </c>
      <c r="H1073" s="29" t="s">
        <v>2443</v>
      </c>
      <c r="I1073" s="33" t="s">
        <v>7353</v>
      </c>
      <c r="J1073" s="47" t="s">
        <v>4611</v>
      </c>
      <c r="K1073" s="61" t="s">
        <v>4779</v>
      </c>
      <c r="L1073" s="12" t="str">
        <f t="shared" si="48"/>
        <v>2,2,2</v>
      </c>
    </row>
    <row r="1074" spans="2:12">
      <c r="B1074" s="17">
        <v>1373</v>
      </c>
      <c r="C1074" s="17">
        <v>2</v>
      </c>
      <c r="D1074" s="17">
        <f t="shared" si="50"/>
        <v>0</v>
      </c>
      <c r="E1074" s="17">
        <f t="shared" si="49"/>
        <v>1505</v>
      </c>
      <c r="F1074" s="17" t="s">
        <v>4813</v>
      </c>
      <c r="G1074" s="17">
        <f>MATCH(E1074,Arenas!$F$8:$F$15)</f>
        <v>5</v>
      </c>
      <c r="H1074" s="29" t="s">
        <v>2444</v>
      </c>
      <c r="I1074" s="33" t="s">
        <v>7354</v>
      </c>
      <c r="J1074" s="47" t="s">
        <v>7355</v>
      </c>
      <c r="K1074" s="61" t="s">
        <v>4779</v>
      </c>
      <c r="L1074" s="12" t="str">
        <f t="shared" si="48"/>
        <v>2,2,2</v>
      </c>
    </row>
    <row r="1075" spans="2:12">
      <c r="B1075" s="17">
        <v>1374</v>
      </c>
      <c r="C1075" s="17">
        <v>2</v>
      </c>
      <c r="D1075" s="17">
        <f t="shared" si="50"/>
        <v>0</v>
      </c>
      <c r="E1075" s="17">
        <f t="shared" si="49"/>
        <v>1505</v>
      </c>
      <c r="F1075" s="17" t="s">
        <v>4813</v>
      </c>
      <c r="G1075" s="17">
        <f>MATCH(E1075,Arenas!$F$8:$F$15)</f>
        <v>5</v>
      </c>
      <c r="H1075" s="29" t="s">
        <v>2445</v>
      </c>
      <c r="I1075" s="33" t="s">
        <v>7356</v>
      </c>
      <c r="J1075" s="47" t="s">
        <v>5284</v>
      </c>
      <c r="K1075" s="61" t="s">
        <v>4779</v>
      </c>
      <c r="L1075" s="12" t="str">
        <f t="shared" si="48"/>
        <v>2,2,2</v>
      </c>
    </row>
    <row r="1076" spans="2:12">
      <c r="B1076" s="17">
        <v>1375</v>
      </c>
      <c r="C1076" s="17">
        <v>2</v>
      </c>
      <c r="D1076" s="17">
        <f t="shared" si="50"/>
        <v>1</v>
      </c>
      <c r="E1076" s="17">
        <f t="shared" si="49"/>
        <v>1506</v>
      </c>
      <c r="F1076" s="17" t="s">
        <v>4813</v>
      </c>
      <c r="G1076" s="17">
        <f>MATCH(E1076,Arenas!$F$8:$F$15)</f>
        <v>5</v>
      </c>
      <c r="H1076" s="29" t="s">
        <v>2446</v>
      </c>
      <c r="I1076" s="33" t="s">
        <v>7357</v>
      </c>
      <c r="J1076" s="47" t="s">
        <v>7358</v>
      </c>
      <c r="K1076" s="61" t="s">
        <v>4779</v>
      </c>
      <c r="L1076" s="12" t="str">
        <f t="shared" si="48"/>
        <v>2,2,2</v>
      </c>
    </row>
    <row r="1077" spans="2:12">
      <c r="B1077" s="17">
        <v>1376</v>
      </c>
      <c r="C1077" s="17">
        <v>2</v>
      </c>
      <c r="D1077" s="17">
        <f t="shared" si="50"/>
        <v>0</v>
      </c>
      <c r="E1077" s="17">
        <f t="shared" si="49"/>
        <v>1506</v>
      </c>
      <c r="F1077" s="17" t="s">
        <v>4813</v>
      </c>
      <c r="G1077" s="17">
        <f>MATCH(E1077,Arenas!$F$8:$F$15)</f>
        <v>5</v>
      </c>
      <c r="H1077" s="29" t="s">
        <v>2447</v>
      </c>
      <c r="I1077" s="33" t="s">
        <v>7359</v>
      </c>
      <c r="J1077" s="47" t="s">
        <v>7360</v>
      </c>
      <c r="K1077" s="61" t="s">
        <v>4779</v>
      </c>
      <c r="L1077" s="12" t="str">
        <f t="shared" si="48"/>
        <v>2,2,2</v>
      </c>
    </row>
    <row r="1078" spans="2:12">
      <c r="B1078" s="17">
        <v>1377</v>
      </c>
      <c r="C1078" s="17">
        <v>2</v>
      </c>
      <c r="D1078" s="17">
        <f t="shared" si="50"/>
        <v>0</v>
      </c>
      <c r="E1078" s="17">
        <f t="shared" si="49"/>
        <v>1506</v>
      </c>
      <c r="F1078" s="17" t="s">
        <v>4813</v>
      </c>
      <c r="G1078" s="17">
        <f>MATCH(E1078,Arenas!$F$8:$F$15)</f>
        <v>5</v>
      </c>
      <c r="H1078" s="29" t="s">
        <v>2448</v>
      </c>
      <c r="I1078" s="33" t="s">
        <v>7361</v>
      </c>
      <c r="J1078" s="47" t="s">
        <v>7362</v>
      </c>
      <c r="K1078" s="61" t="s">
        <v>4779</v>
      </c>
      <c r="L1078" s="12" t="str">
        <f t="shared" si="48"/>
        <v>2,2,2</v>
      </c>
    </row>
    <row r="1079" spans="2:12">
      <c r="B1079" s="17">
        <v>1378</v>
      </c>
      <c r="C1079" s="17">
        <v>2</v>
      </c>
      <c r="D1079" s="17">
        <f t="shared" si="50"/>
        <v>1</v>
      </c>
      <c r="E1079" s="17">
        <f t="shared" si="49"/>
        <v>1507</v>
      </c>
      <c r="F1079" s="17" t="s">
        <v>4813</v>
      </c>
      <c r="G1079" s="17">
        <f>MATCH(E1079,Arenas!$F$8:$F$15)</f>
        <v>5</v>
      </c>
      <c r="H1079" s="29" t="s">
        <v>2449</v>
      </c>
      <c r="I1079" s="33" t="s">
        <v>7363</v>
      </c>
      <c r="J1079" s="47" t="s">
        <v>7364</v>
      </c>
      <c r="K1079" s="61" t="s">
        <v>4779</v>
      </c>
      <c r="L1079" s="12" t="str">
        <f t="shared" si="48"/>
        <v>2,2,2</v>
      </c>
    </row>
    <row r="1080" spans="2:12">
      <c r="B1080" s="17">
        <v>1379</v>
      </c>
      <c r="C1080" s="17">
        <v>2</v>
      </c>
      <c r="D1080" s="17">
        <f t="shared" si="50"/>
        <v>0</v>
      </c>
      <c r="E1080" s="17">
        <f t="shared" si="49"/>
        <v>1507</v>
      </c>
      <c r="F1080" s="17" t="s">
        <v>4813</v>
      </c>
      <c r="G1080" s="17">
        <f>MATCH(E1080,Arenas!$F$8:$F$15)</f>
        <v>5</v>
      </c>
      <c r="H1080" s="29" t="s">
        <v>2450</v>
      </c>
      <c r="I1080" s="33" t="s">
        <v>7365</v>
      </c>
      <c r="J1080" s="47" t="s">
        <v>5838</v>
      </c>
      <c r="K1080" s="61" t="s">
        <v>4779</v>
      </c>
      <c r="L1080" s="12" t="str">
        <f t="shared" si="48"/>
        <v>2,2,2</v>
      </c>
    </row>
    <row r="1081" spans="2:12">
      <c r="B1081" s="17">
        <v>1380</v>
      </c>
      <c r="C1081" s="17">
        <v>2</v>
      </c>
      <c r="D1081" s="17">
        <f t="shared" si="50"/>
        <v>0</v>
      </c>
      <c r="E1081" s="17">
        <f t="shared" si="49"/>
        <v>1507</v>
      </c>
      <c r="F1081" s="17" t="s">
        <v>4813</v>
      </c>
      <c r="G1081" s="17">
        <f>MATCH(E1081,Arenas!$F$8:$F$15)</f>
        <v>5</v>
      </c>
      <c r="H1081" s="29" t="s">
        <v>2451</v>
      </c>
      <c r="I1081" s="33" t="s">
        <v>7366</v>
      </c>
      <c r="J1081" s="47" t="s">
        <v>7367</v>
      </c>
      <c r="K1081" s="61" t="s">
        <v>4779</v>
      </c>
      <c r="L1081" s="12" t="str">
        <f t="shared" si="48"/>
        <v>2,2,2</v>
      </c>
    </row>
    <row r="1082" spans="2:12">
      <c r="B1082" s="17">
        <v>1381</v>
      </c>
      <c r="C1082" s="17">
        <v>2</v>
      </c>
      <c r="D1082" s="17">
        <f t="shared" si="50"/>
        <v>1</v>
      </c>
      <c r="E1082" s="17">
        <f t="shared" si="49"/>
        <v>1508</v>
      </c>
      <c r="F1082" s="17" t="s">
        <v>4813</v>
      </c>
      <c r="G1082" s="17">
        <f>MATCH(E1082,Arenas!$F$8:$F$15)</f>
        <v>5</v>
      </c>
      <c r="H1082" s="29" t="s">
        <v>2452</v>
      </c>
      <c r="I1082" s="33" t="s">
        <v>7368</v>
      </c>
      <c r="J1082" s="47" t="s">
        <v>7369</v>
      </c>
      <c r="K1082" s="61" t="s">
        <v>4779</v>
      </c>
      <c r="L1082" s="12" t="str">
        <f t="shared" si="48"/>
        <v>2,2,2</v>
      </c>
    </row>
    <row r="1083" spans="2:12">
      <c r="B1083" s="17">
        <v>1382</v>
      </c>
      <c r="C1083" s="17">
        <v>2</v>
      </c>
      <c r="D1083" s="17">
        <f t="shared" si="50"/>
        <v>0</v>
      </c>
      <c r="E1083" s="17">
        <f t="shared" si="49"/>
        <v>1508</v>
      </c>
      <c r="F1083" s="17" t="s">
        <v>4813</v>
      </c>
      <c r="G1083" s="17">
        <f>MATCH(E1083,Arenas!$F$8:$F$15)</f>
        <v>5</v>
      </c>
      <c r="H1083" s="29" t="s">
        <v>2453</v>
      </c>
      <c r="I1083" s="33" t="s">
        <v>7370</v>
      </c>
      <c r="J1083" s="47" t="s">
        <v>7371</v>
      </c>
      <c r="K1083" s="61" t="s">
        <v>4779</v>
      </c>
      <c r="L1083" s="12" t="str">
        <f t="shared" si="48"/>
        <v>2,2,2</v>
      </c>
    </row>
    <row r="1084" spans="2:12">
      <c r="B1084" s="17">
        <v>1383</v>
      </c>
      <c r="C1084" s="17">
        <v>2</v>
      </c>
      <c r="D1084" s="17">
        <f t="shared" si="50"/>
        <v>0</v>
      </c>
      <c r="E1084" s="17">
        <f t="shared" si="49"/>
        <v>1508</v>
      </c>
      <c r="F1084" s="17" t="s">
        <v>4813</v>
      </c>
      <c r="G1084" s="17">
        <f>MATCH(E1084,Arenas!$F$8:$F$15)</f>
        <v>5</v>
      </c>
      <c r="H1084" s="29" t="s">
        <v>2454</v>
      </c>
      <c r="I1084" s="33" t="s">
        <v>7372</v>
      </c>
      <c r="J1084" s="47" t="s">
        <v>7373</v>
      </c>
      <c r="K1084" s="61" t="s">
        <v>4808</v>
      </c>
      <c r="L1084" s="12" t="str">
        <f t="shared" si="48"/>
        <v>2,2,2</v>
      </c>
    </row>
    <row r="1085" spans="2:12">
      <c r="B1085" s="17">
        <v>1384</v>
      </c>
      <c r="C1085" s="17">
        <v>2</v>
      </c>
      <c r="D1085" s="17">
        <f t="shared" si="50"/>
        <v>1</v>
      </c>
      <c r="E1085" s="17">
        <f t="shared" si="49"/>
        <v>1509</v>
      </c>
      <c r="F1085" s="17" t="s">
        <v>4813</v>
      </c>
      <c r="G1085" s="17">
        <f>MATCH(E1085,Arenas!$F$8:$F$15)</f>
        <v>5</v>
      </c>
      <c r="H1085" s="29" t="s">
        <v>2455</v>
      </c>
      <c r="I1085" s="33" t="s">
        <v>7374</v>
      </c>
      <c r="J1085" s="47" t="s">
        <v>7375</v>
      </c>
      <c r="K1085" s="61" t="s">
        <v>4779</v>
      </c>
      <c r="L1085" s="12" t="str">
        <f t="shared" si="48"/>
        <v>2,2,2</v>
      </c>
    </row>
    <row r="1086" spans="2:12">
      <c r="B1086" s="17">
        <v>1385</v>
      </c>
      <c r="C1086" s="17">
        <v>2</v>
      </c>
      <c r="D1086" s="17">
        <f t="shared" si="50"/>
        <v>0</v>
      </c>
      <c r="E1086" s="17">
        <f t="shared" si="49"/>
        <v>1509</v>
      </c>
      <c r="F1086" s="17" t="s">
        <v>4813</v>
      </c>
      <c r="G1086" s="17">
        <f>MATCH(E1086,Arenas!$F$8:$F$15)</f>
        <v>5</v>
      </c>
      <c r="H1086" s="29" t="s">
        <v>2456</v>
      </c>
      <c r="I1086" s="33" t="s">
        <v>7376</v>
      </c>
      <c r="J1086" s="47" t="s">
        <v>7377</v>
      </c>
      <c r="K1086" s="61" t="s">
        <v>4779</v>
      </c>
      <c r="L1086" s="12" t="str">
        <f t="shared" si="48"/>
        <v>2,2,2</v>
      </c>
    </row>
    <row r="1087" spans="2:12">
      <c r="B1087" s="17">
        <v>1386</v>
      </c>
      <c r="C1087" s="17">
        <v>2</v>
      </c>
      <c r="D1087" s="17">
        <f t="shared" si="50"/>
        <v>0</v>
      </c>
      <c r="E1087" s="17">
        <f t="shared" si="49"/>
        <v>1509</v>
      </c>
      <c r="F1087" s="17" t="s">
        <v>4813</v>
      </c>
      <c r="G1087" s="17">
        <f>MATCH(E1087,Arenas!$F$8:$F$15)</f>
        <v>5</v>
      </c>
      <c r="H1087" s="29" t="s">
        <v>2457</v>
      </c>
      <c r="I1087" s="33" t="s">
        <v>7378</v>
      </c>
      <c r="J1087" s="47" t="s">
        <v>7379</v>
      </c>
      <c r="K1087" s="61" t="s">
        <v>4779</v>
      </c>
      <c r="L1087" s="12" t="str">
        <f t="shared" si="48"/>
        <v>2,2,2</v>
      </c>
    </row>
    <row r="1088" spans="2:12">
      <c r="B1088" s="17">
        <v>1387</v>
      </c>
      <c r="C1088" s="17">
        <v>2</v>
      </c>
      <c r="D1088" s="17">
        <f t="shared" si="50"/>
        <v>1</v>
      </c>
      <c r="E1088" s="17">
        <f t="shared" si="49"/>
        <v>1510</v>
      </c>
      <c r="F1088" s="17" t="s">
        <v>4813</v>
      </c>
      <c r="G1088" s="17">
        <f>MATCH(E1088,Arenas!$F$8:$F$15)</f>
        <v>5</v>
      </c>
      <c r="H1088" s="29" t="s">
        <v>2458</v>
      </c>
      <c r="I1088" s="33" t="s">
        <v>7380</v>
      </c>
      <c r="J1088" s="47" t="s">
        <v>7381</v>
      </c>
      <c r="K1088" s="61" t="s">
        <v>4779</v>
      </c>
      <c r="L1088" s="12" t="str">
        <f t="shared" si="48"/>
        <v>2,2,2</v>
      </c>
    </row>
    <row r="1089" spans="2:12">
      <c r="B1089" s="17">
        <v>1388</v>
      </c>
      <c r="C1089" s="17">
        <v>2</v>
      </c>
      <c r="D1089" s="17">
        <f t="shared" si="50"/>
        <v>0</v>
      </c>
      <c r="E1089" s="17">
        <f t="shared" si="49"/>
        <v>1510</v>
      </c>
      <c r="F1089" s="17" t="s">
        <v>4813</v>
      </c>
      <c r="G1089" s="17">
        <f>MATCH(E1089,Arenas!$F$8:$F$15)</f>
        <v>5</v>
      </c>
      <c r="H1089" s="29" t="s">
        <v>2459</v>
      </c>
      <c r="I1089" s="33" t="s">
        <v>7382</v>
      </c>
      <c r="J1089" s="47" t="s">
        <v>7383</v>
      </c>
      <c r="K1089" s="61" t="s">
        <v>4779</v>
      </c>
      <c r="L1089" s="12" t="str">
        <f t="shared" si="48"/>
        <v>2,2,2</v>
      </c>
    </row>
    <row r="1090" spans="2:12">
      <c r="B1090" s="17">
        <v>1389</v>
      </c>
      <c r="C1090" s="17">
        <v>2</v>
      </c>
      <c r="D1090" s="17">
        <f t="shared" si="50"/>
        <v>0</v>
      </c>
      <c r="E1090" s="17">
        <f t="shared" si="49"/>
        <v>1510</v>
      </c>
      <c r="F1090" s="17" t="s">
        <v>4813</v>
      </c>
      <c r="G1090" s="17">
        <f>MATCH(E1090,Arenas!$F$8:$F$15)</f>
        <v>5</v>
      </c>
      <c r="H1090" s="29" t="s">
        <v>2460</v>
      </c>
      <c r="I1090" s="33" t="s">
        <v>7384</v>
      </c>
      <c r="J1090" s="47" t="s">
        <v>7385</v>
      </c>
      <c r="K1090" s="61" t="s">
        <v>4779</v>
      </c>
      <c r="L1090" s="12" t="str">
        <f t="shared" ref="L1090:L1153" si="51">C1090&amp;","&amp;C1090&amp;","&amp;C1090</f>
        <v>2,2,2</v>
      </c>
    </row>
    <row r="1091" spans="2:12">
      <c r="B1091" s="17">
        <v>1390</v>
      </c>
      <c r="C1091" s="17">
        <v>2</v>
      </c>
      <c r="D1091" s="17">
        <f t="shared" si="50"/>
        <v>1</v>
      </c>
      <c r="E1091" s="17">
        <f t="shared" ref="E1091:E1154" si="52">D1091+E1090</f>
        <v>1511</v>
      </c>
      <c r="F1091" s="17" t="s">
        <v>4813</v>
      </c>
      <c r="G1091" s="17">
        <f>MATCH(E1091,Arenas!$F$8:$F$15)</f>
        <v>5</v>
      </c>
      <c r="H1091" s="29" t="s">
        <v>2461</v>
      </c>
      <c r="I1091" s="33" t="s">
        <v>7386</v>
      </c>
      <c r="J1091" s="47" t="s">
        <v>5244</v>
      </c>
      <c r="K1091" s="61" t="s">
        <v>4779</v>
      </c>
      <c r="L1091" s="12" t="str">
        <f t="shared" si="51"/>
        <v>2,2,2</v>
      </c>
    </row>
    <row r="1092" spans="2:12">
      <c r="B1092" s="17">
        <v>1391</v>
      </c>
      <c r="C1092" s="17">
        <v>2</v>
      </c>
      <c r="D1092" s="17">
        <f t="shared" si="50"/>
        <v>0</v>
      </c>
      <c r="E1092" s="17">
        <f t="shared" si="52"/>
        <v>1511</v>
      </c>
      <c r="F1092" s="17" t="s">
        <v>4813</v>
      </c>
      <c r="G1092" s="17">
        <f>MATCH(E1092,Arenas!$F$8:$F$15)</f>
        <v>5</v>
      </c>
      <c r="H1092" s="29" t="s">
        <v>2462</v>
      </c>
      <c r="I1092" s="33" t="s">
        <v>7387</v>
      </c>
      <c r="J1092" s="47" t="s">
        <v>7388</v>
      </c>
      <c r="K1092" s="61" t="s">
        <v>4779</v>
      </c>
      <c r="L1092" s="12" t="str">
        <f t="shared" si="51"/>
        <v>2,2,2</v>
      </c>
    </row>
    <row r="1093" spans="2:12">
      <c r="B1093" s="17">
        <v>1392</v>
      </c>
      <c r="C1093" s="17">
        <v>2</v>
      </c>
      <c r="D1093" s="17">
        <f t="shared" ref="D1093:D1156" si="53">D1090</f>
        <v>0</v>
      </c>
      <c r="E1093" s="17">
        <f t="shared" si="52"/>
        <v>1511</v>
      </c>
      <c r="F1093" s="17" t="s">
        <v>4813</v>
      </c>
      <c r="G1093" s="17">
        <f>MATCH(E1093,Arenas!$F$8:$F$15)</f>
        <v>5</v>
      </c>
      <c r="H1093" s="29" t="s">
        <v>2463</v>
      </c>
      <c r="I1093" s="33" t="s">
        <v>7389</v>
      </c>
      <c r="J1093" s="47" t="s">
        <v>7390</v>
      </c>
      <c r="K1093" s="61" t="s">
        <v>4779</v>
      </c>
      <c r="L1093" s="12" t="str">
        <f t="shared" si="51"/>
        <v>2,2,2</v>
      </c>
    </row>
    <row r="1094" spans="2:12">
      <c r="B1094" s="17">
        <v>1393</v>
      </c>
      <c r="C1094" s="17">
        <v>2</v>
      </c>
      <c r="D1094" s="17">
        <f t="shared" si="53"/>
        <v>1</v>
      </c>
      <c r="E1094" s="17">
        <f t="shared" si="52"/>
        <v>1512</v>
      </c>
      <c r="F1094" s="17" t="s">
        <v>4813</v>
      </c>
      <c r="G1094" s="17">
        <f>MATCH(E1094,Arenas!$F$8:$F$15)</f>
        <v>5</v>
      </c>
      <c r="H1094" s="29" t="s">
        <v>2464</v>
      </c>
      <c r="I1094" s="33" t="s">
        <v>7391</v>
      </c>
      <c r="J1094" s="47" t="s">
        <v>7392</v>
      </c>
      <c r="K1094" s="61" t="s">
        <v>4779</v>
      </c>
      <c r="L1094" s="12" t="str">
        <f t="shared" si="51"/>
        <v>2,2,2</v>
      </c>
    </row>
    <row r="1095" spans="2:12">
      <c r="B1095" s="17">
        <v>1394</v>
      </c>
      <c r="C1095" s="17">
        <v>2</v>
      </c>
      <c r="D1095" s="17">
        <f t="shared" si="53"/>
        <v>0</v>
      </c>
      <c r="E1095" s="17">
        <f t="shared" si="52"/>
        <v>1512</v>
      </c>
      <c r="F1095" s="17" t="s">
        <v>4813</v>
      </c>
      <c r="G1095" s="17">
        <f>MATCH(E1095,Arenas!$F$8:$F$15)</f>
        <v>5</v>
      </c>
      <c r="H1095" s="29" t="s">
        <v>2465</v>
      </c>
      <c r="I1095" s="33" t="s">
        <v>7393</v>
      </c>
      <c r="J1095" s="47" t="s">
        <v>7394</v>
      </c>
      <c r="K1095" s="61" t="s">
        <v>4779</v>
      </c>
      <c r="L1095" s="12" t="str">
        <f t="shared" si="51"/>
        <v>2,2,2</v>
      </c>
    </row>
    <row r="1096" spans="2:12">
      <c r="B1096" s="17">
        <v>1395</v>
      </c>
      <c r="C1096" s="17">
        <v>2</v>
      </c>
      <c r="D1096" s="17">
        <f t="shared" si="53"/>
        <v>0</v>
      </c>
      <c r="E1096" s="17">
        <f t="shared" si="52"/>
        <v>1512</v>
      </c>
      <c r="F1096" s="17" t="s">
        <v>4813</v>
      </c>
      <c r="G1096" s="17">
        <f>MATCH(E1096,Arenas!$F$8:$F$15)</f>
        <v>5</v>
      </c>
      <c r="H1096" s="29" t="s">
        <v>2466</v>
      </c>
      <c r="I1096" s="33" t="s">
        <v>7395</v>
      </c>
      <c r="J1096" s="47" t="s">
        <v>7396</v>
      </c>
      <c r="K1096" s="61" t="s">
        <v>4779</v>
      </c>
      <c r="L1096" s="12" t="str">
        <f t="shared" si="51"/>
        <v>2,2,2</v>
      </c>
    </row>
    <row r="1097" spans="2:12">
      <c r="B1097" s="17">
        <v>1396</v>
      </c>
      <c r="C1097" s="17">
        <v>2</v>
      </c>
      <c r="D1097" s="17">
        <f t="shared" si="53"/>
        <v>1</v>
      </c>
      <c r="E1097" s="17">
        <f t="shared" si="52"/>
        <v>1513</v>
      </c>
      <c r="F1097" s="17" t="s">
        <v>4813</v>
      </c>
      <c r="G1097" s="17">
        <f>MATCH(E1097,Arenas!$F$8:$F$15)</f>
        <v>5</v>
      </c>
      <c r="H1097" s="29" t="s">
        <v>2467</v>
      </c>
      <c r="I1097" s="33" t="s">
        <v>7397</v>
      </c>
      <c r="J1097" s="47" t="s">
        <v>7398</v>
      </c>
      <c r="K1097" s="61" t="s">
        <v>4779</v>
      </c>
      <c r="L1097" s="12" t="str">
        <f t="shared" si="51"/>
        <v>2,2,2</v>
      </c>
    </row>
    <row r="1098" spans="2:12">
      <c r="B1098" s="17">
        <v>1397</v>
      </c>
      <c r="C1098" s="17">
        <v>2</v>
      </c>
      <c r="D1098" s="17">
        <f t="shared" si="53"/>
        <v>0</v>
      </c>
      <c r="E1098" s="17">
        <f t="shared" si="52"/>
        <v>1513</v>
      </c>
      <c r="F1098" s="17" t="s">
        <v>4813</v>
      </c>
      <c r="G1098" s="17">
        <f>MATCH(E1098,Arenas!$F$8:$F$15)</f>
        <v>5</v>
      </c>
      <c r="H1098" s="29" t="s">
        <v>2468</v>
      </c>
      <c r="I1098" s="33" t="s">
        <v>7399</v>
      </c>
      <c r="J1098" s="47" t="s">
        <v>7400</v>
      </c>
      <c r="K1098" s="61" t="s">
        <v>4779</v>
      </c>
      <c r="L1098" s="12" t="str">
        <f t="shared" si="51"/>
        <v>2,2,2</v>
      </c>
    </row>
    <row r="1099" spans="2:12">
      <c r="B1099" s="17">
        <v>1398</v>
      </c>
      <c r="C1099" s="17">
        <v>2</v>
      </c>
      <c r="D1099" s="17">
        <f t="shared" si="53"/>
        <v>0</v>
      </c>
      <c r="E1099" s="17">
        <f t="shared" si="52"/>
        <v>1513</v>
      </c>
      <c r="F1099" s="17" t="s">
        <v>4813</v>
      </c>
      <c r="G1099" s="17">
        <f>MATCH(E1099,Arenas!$F$8:$F$15)</f>
        <v>5</v>
      </c>
      <c r="H1099" s="29" t="s">
        <v>2469</v>
      </c>
      <c r="I1099" s="33" t="s">
        <v>7401</v>
      </c>
      <c r="J1099" s="47" t="s">
        <v>5035</v>
      </c>
      <c r="K1099" s="61" t="s">
        <v>4779</v>
      </c>
      <c r="L1099" s="12" t="str">
        <f t="shared" si="51"/>
        <v>2,2,2</v>
      </c>
    </row>
    <row r="1100" spans="2:12">
      <c r="B1100" s="17">
        <v>1399</v>
      </c>
      <c r="C1100" s="17">
        <v>2</v>
      </c>
      <c r="D1100" s="17">
        <f t="shared" si="53"/>
        <v>1</v>
      </c>
      <c r="E1100" s="17">
        <f t="shared" si="52"/>
        <v>1514</v>
      </c>
      <c r="F1100" s="17" t="s">
        <v>4813</v>
      </c>
      <c r="G1100" s="17">
        <f>MATCH(E1100,Arenas!$F$8:$F$15)</f>
        <v>5</v>
      </c>
      <c r="H1100" s="29" t="s">
        <v>2470</v>
      </c>
      <c r="I1100" s="33" t="s">
        <v>7402</v>
      </c>
      <c r="J1100" s="47" t="s">
        <v>5539</v>
      </c>
      <c r="K1100" s="61" t="s">
        <v>4779</v>
      </c>
      <c r="L1100" s="12" t="str">
        <f t="shared" si="51"/>
        <v>2,2,2</v>
      </c>
    </row>
    <row r="1101" spans="2:12">
      <c r="B1101" s="17">
        <v>1400</v>
      </c>
      <c r="C1101" s="17">
        <v>2</v>
      </c>
      <c r="D1101" s="17">
        <f t="shared" si="53"/>
        <v>0</v>
      </c>
      <c r="E1101" s="17">
        <f t="shared" si="52"/>
        <v>1514</v>
      </c>
      <c r="F1101" s="17" t="s">
        <v>4813</v>
      </c>
      <c r="G1101" s="17">
        <f>MATCH(E1101,Arenas!$F$8:$F$15)</f>
        <v>5</v>
      </c>
      <c r="H1101" s="29" t="s">
        <v>2471</v>
      </c>
      <c r="I1101" s="33" t="s">
        <v>7403</v>
      </c>
      <c r="J1101" s="47" t="s">
        <v>7404</v>
      </c>
      <c r="K1101" s="61" t="s">
        <v>4779</v>
      </c>
      <c r="L1101" s="12" t="str">
        <f t="shared" si="51"/>
        <v>2,2,2</v>
      </c>
    </row>
    <row r="1102" spans="2:12">
      <c r="B1102" s="17">
        <v>1401</v>
      </c>
      <c r="C1102" s="17">
        <v>2</v>
      </c>
      <c r="D1102" s="17">
        <f t="shared" si="53"/>
        <v>0</v>
      </c>
      <c r="E1102" s="17">
        <f t="shared" si="52"/>
        <v>1514</v>
      </c>
      <c r="F1102" s="17" t="s">
        <v>4813</v>
      </c>
      <c r="G1102" s="17">
        <f>MATCH(E1102,Arenas!$F$8:$F$15)</f>
        <v>5</v>
      </c>
      <c r="H1102" s="29" t="s">
        <v>2472</v>
      </c>
      <c r="I1102" s="33" t="s">
        <v>7405</v>
      </c>
      <c r="J1102" s="47" t="s">
        <v>5148</v>
      </c>
      <c r="K1102" s="61" t="s">
        <v>4779</v>
      </c>
      <c r="L1102" s="12" t="str">
        <f t="shared" si="51"/>
        <v>2,2,2</v>
      </c>
    </row>
    <row r="1103" spans="2:12">
      <c r="B1103" s="17">
        <v>1402</v>
      </c>
      <c r="C1103" s="17">
        <v>2</v>
      </c>
      <c r="D1103" s="17">
        <f t="shared" si="53"/>
        <v>1</v>
      </c>
      <c r="E1103" s="17">
        <f t="shared" si="52"/>
        <v>1515</v>
      </c>
      <c r="F1103" s="17" t="s">
        <v>4813</v>
      </c>
      <c r="G1103" s="17">
        <f>MATCH(E1103,Arenas!$F$8:$F$15)</f>
        <v>5</v>
      </c>
      <c r="H1103" s="29" t="s">
        <v>2473</v>
      </c>
      <c r="I1103" s="33" t="s">
        <v>7406</v>
      </c>
      <c r="J1103" s="47" t="s">
        <v>7407</v>
      </c>
      <c r="K1103" s="61" t="s">
        <v>4779</v>
      </c>
      <c r="L1103" s="12" t="str">
        <f t="shared" si="51"/>
        <v>2,2,2</v>
      </c>
    </row>
    <row r="1104" spans="2:12">
      <c r="B1104" s="17">
        <v>1403</v>
      </c>
      <c r="C1104" s="17">
        <v>2</v>
      </c>
      <c r="D1104" s="17">
        <f t="shared" si="53"/>
        <v>0</v>
      </c>
      <c r="E1104" s="17">
        <f t="shared" si="52"/>
        <v>1515</v>
      </c>
      <c r="F1104" s="17" t="s">
        <v>4813</v>
      </c>
      <c r="G1104" s="17">
        <f>MATCH(E1104,Arenas!$F$8:$F$15)</f>
        <v>5</v>
      </c>
      <c r="H1104" s="29" t="s">
        <v>2474</v>
      </c>
      <c r="I1104" s="33" t="s">
        <v>7408</v>
      </c>
      <c r="J1104" s="47" t="s">
        <v>5297</v>
      </c>
      <c r="K1104" s="61" t="s">
        <v>4779</v>
      </c>
      <c r="L1104" s="12" t="str">
        <f t="shared" si="51"/>
        <v>2,2,2</v>
      </c>
    </row>
    <row r="1105" spans="2:12">
      <c r="B1105" s="17">
        <v>1404</v>
      </c>
      <c r="C1105" s="17">
        <v>2</v>
      </c>
      <c r="D1105" s="17">
        <f t="shared" si="53"/>
        <v>0</v>
      </c>
      <c r="E1105" s="17">
        <f t="shared" si="52"/>
        <v>1515</v>
      </c>
      <c r="F1105" s="17" t="s">
        <v>4813</v>
      </c>
      <c r="G1105" s="17">
        <f>MATCH(E1105,Arenas!$F$8:$F$15)</f>
        <v>5</v>
      </c>
      <c r="H1105" s="29" t="s">
        <v>2475</v>
      </c>
      <c r="I1105" s="33" t="s">
        <v>7409</v>
      </c>
      <c r="J1105" s="47" t="s">
        <v>7410</v>
      </c>
      <c r="K1105" s="61" t="s">
        <v>4779</v>
      </c>
      <c r="L1105" s="12" t="str">
        <f t="shared" si="51"/>
        <v>2,2,2</v>
      </c>
    </row>
    <row r="1106" spans="2:12">
      <c r="B1106" s="17">
        <v>1405</v>
      </c>
      <c r="C1106" s="17">
        <v>2</v>
      </c>
      <c r="D1106" s="17">
        <f t="shared" si="53"/>
        <v>1</v>
      </c>
      <c r="E1106" s="17">
        <f t="shared" si="52"/>
        <v>1516</v>
      </c>
      <c r="F1106" s="17" t="s">
        <v>4813</v>
      </c>
      <c r="G1106" s="17">
        <f>MATCH(E1106,Arenas!$F$8:$F$15)</f>
        <v>5</v>
      </c>
      <c r="H1106" s="29" t="s">
        <v>2476</v>
      </c>
      <c r="I1106" s="33" t="s">
        <v>7411</v>
      </c>
      <c r="J1106" s="47" t="s">
        <v>7412</v>
      </c>
      <c r="K1106" s="61" t="s">
        <v>4779</v>
      </c>
      <c r="L1106" s="12" t="str">
        <f t="shared" si="51"/>
        <v>2,2,2</v>
      </c>
    </row>
    <row r="1107" spans="2:12">
      <c r="B1107" s="17">
        <v>1406</v>
      </c>
      <c r="C1107" s="17">
        <v>2</v>
      </c>
      <c r="D1107" s="17">
        <f t="shared" si="53"/>
        <v>0</v>
      </c>
      <c r="E1107" s="17">
        <f t="shared" si="52"/>
        <v>1516</v>
      </c>
      <c r="F1107" s="17" t="s">
        <v>4813</v>
      </c>
      <c r="G1107" s="17">
        <f>MATCH(E1107,Arenas!$F$8:$F$15)</f>
        <v>5</v>
      </c>
      <c r="H1107" s="29" t="s">
        <v>2477</v>
      </c>
      <c r="I1107" s="33" t="s">
        <v>7413</v>
      </c>
      <c r="J1107" s="47" t="s">
        <v>7414</v>
      </c>
      <c r="K1107" s="61" t="s">
        <v>4779</v>
      </c>
      <c r="L1107" s="12" t="str">
        <f t="shared" si="51"/>
        <v>2,2,2</v>
      </c>
    </row>
    <row r="1108" spans="2:12">
      <c r="B1108" s="17">
        <v>1407</v>
      </c>
      <c r="C1108" s="17">
        <v>2</v>
      </c>
      <c r="D1108" s="17">
        <f t="shared" si="53"/>
        <v>0</v>
      </c>
      <c r="E1108" s="17">
        <f t="shared" si="52"/>
        <v>1516</v>
      </c>
      <c r="F1108" s="17" t="s">
        <v>4813</v>
      </c>
      <c r="G1108" s="17">
        <f>MATCH(E1108,Arenas!$F$8:$F$15)</f>
        <v>5</v>
      </c>
      <c r="H1108" s="29" t="s">
        <v>2478</v>
      </c>
      <c r="I1108" s="33" t="s">
        <v>7415</v>
      </c>
      <c r="J1108" s="47" t="s">
        <v>7282</v>
      </c>
      <c r="K1108" s="61" t="s">
        <v>4808</v>
      </c>
      <c r="L1108" s="12" t="str">
        <f t="shared" si="51"/>
        <v>2,2,2</v>
      </c>
    </row>
    <row r="1109" spans="2:12">
      <c r="B1109" s="17">
        <v>1408</v>
      </c>
      <c r="C1109" s="17">
        <v>2</v>
      </c>
      <c r="D1109" s="17">
        <f t="shared" si="53"/>
        <v>1</v>
      </c>
      <c r="E1109" s="17">
        <f t="shared" si="52"/>
        <v>1517</v>
      </c>
      <c r="F1109" s="17" t="s">
        <v>4813</v>
      </c>
      <c r="G1109" s="17">
        <f>MATCH(E1109,Arenas!$F$8:$F$15)</f>
        <v>5</v>
      </c>
      <c r="H1109" s="29" t="s">
        <v>2479</v>
      </c>
      <c r="I1109" s="33" t="s">
        <v>7416</v>
      </c>
      <c r="J1109" s="47" t="s">
        <v>5879</v>
      </c>
      <c r="K1109" s="61" t="s">
        <v>4810</v>
      </c>
      <c r="L1109" s="12" t="str">
        <f t="shared" si="51"/>
        <v>2,2,2</v>
      </c>
    </row>
    <row r="1110" spans="2:12">
      <c r="B1110" s="17">
        <v>1409</v>
      </c>
      <c r="C1110" s="17">
        <v>2</v>
      </c>
      <c r="D1110" s="17">
        <f t="shared" si="53"/>
        <v>0</v>
      </c>
      <c r="E1110" s="17">
        <f t="shared" si="52"/>
        <v>1517</v>
      </c>
      <c r="F1110" s="17" t="s">
        <v>4813</v>
      </c>
      <c r="G1110" s="17">
        <f>MATCH(E1110,Arenas!$F$8:$F$15)</f>
        <v>5</v>
      </c>
      <c r="H1110" s="29" t="s">
        <v>2480</v>
      </c>
      <c r="I1110" s="33" t="s">
        <v>7417</v>
      </c>
      <c r="J1110" s="47" t="s">
        <v>5755</v>
      </c>
      <c r="K1110" s="61" t="s">
        <v>4779</v>
      </c>
      <c r="L1110" s="12" t="str">
        <f t="shared" si="51"/>
        <v>2,2,2</v>
      </c>
    </row>
    <row r="1111" spans="2:12">
      <c r="B1111" s="17">
        <v>1410</v>
      </c>
      <c r="C1111" s="17">
        <v>2</v>
      </c>
      <c r="D1111" s="17">
        <f t="shared" si="53"/>
        <v>0</v>
      </c>
      <c r="E1111" s="17">
        <f t="shared" si="52"/>
        <v>1517</v>
      </c>
      <c r="F1111" s="17" t="s">
        <v>4813</v>
      </c>
      <c r="G1111" s="17">
        <f>MATCH(E1111,Arenas!$F$8:$F$15)</f>
        <v>5</v>
      </c>
      <c r="H1111" s="29" t="s">
        <v>2481</v>
      </c>
      <c r="I1111" s="33" t="s">
        <v>7418</v>
      </c>
      <c r="J1111" s="47" t="s">
        <v>5622</v>
      </c>
      <c r="K1111" s="61" t="s">
        <v>4779</v>
      </c>
      <c r="L1111" s="12" t="str">
        <f t="shared" si="51"/>
        <v>2,2,2</v>
      </c>
    </row>
    <row r="1112" spans="2:12">
      <c r="B1112" s="17">
        <v>1411</v>
      </c>
      <c r="C1112" s="17">
        <v>2</v>
      </c>
      <c r="D1112" s="17">
        <f t="shared" si="53"/>
        <v>1</v>
      </c>
      <c r="E1112" s="17">
        <f t="shared" si="52"/>
        <v>1518</v>
      </c>
      <c r="F1112" s="17" t="s">
        <v>4813</v>
      </c>
      <c r="G1112" s="17">
        <f>MATCH(E1112,Arenas!$F$8:$F$15)</f>
        <v>5</v>
      </c>
      <c r="H1112" s="29" t="s">
        <v>2482</v>
      </c>
      <c r="I1112" s="33" t="s">
        <v>7419</v>
      </c>
      <c r="J1112" s="47" t="s">
        <v>5580</v>
      </c>
      <c r="K1112" s="61" t="s">
        <v>4779</v>
      </c>
      <c r="L1112" s="12" t="str">
        <f t="shared" si="51"/>
        <v>2,2,2</v>
      </c>
    </row>
    <row r="1113" spans="2:12">
      <c r="B1113" s="17">
        <v>1412</v>
      </c>
      <c r="C1113" s="17">
        <v>2</v>
      </c>
      <c r="D1113" s="17">
        <f t="shared" si="53"/>
        <v>0</v>
      </c>
      <c r="E1113" s="17">
        <f t="shared" si="52"/>
        <v>1518</v>
      </c>
      <c r="F1113" s="17" t="s">
        <v>4813</v>
      </c>
      <c r="G1113" s="17">
        <f>MATCH(E1113,Arenas!$F$8:$F$15)</f>
        <v>5</v>
      </c>
      <c r="H1113" s="29" t="s">
        <v>2483</v>
      </c>
      <c r="I1113" s="33" t="s">
        <v>7420</v>
      </c>
      <c r="J1113" s="47" t="s">
        <v>7421</v>
      </c>
      <c r="K1113" s="61" t="s">
        <v>4779</v>
      </c>
      <c r="L1113" s="12" t="str">
        <f t="shared" si="51"/>
        <v>2,2,2</v>
      </c>
    </row>
    <row r="1114" spans="2:12">
      <c r="B1114" s="17">
        <v>1413</v>
      </c>
      <c r="C1114" s="17">
        <v>2</v>
      </c>
      <c r="D1114" s="17">
        <f t="shared" si="53"/>
        <v>0</v>
      </c>
      <c r="E1114" s="17">
        <f t="shared" si="52"/>
        <v>1518</v>
      </c>
      <c r="F1114" s="17" t="s">
        <v>4813</v>
      </c>
      <c r="G1114" s="17">
        <f>MATCH(E1114,Arenas!$F$8:$F$15)</f>
        <v>5</v>
      </c>
      <c r="H1114" s="29" t="s">
        <v>2484</v>
      </c>
      <c r="I1114" s="33" t="s">
        <v>7422</v>
      </c>
      <c r="J1114" s="47" t="s">
        <v>7423</v>
      </c>
      <c r="K1114" s="61" t="s">
        <v>4779</v>
      </c>
      <c r="L1114" s="12" t="str">
        <f t="shared" si="51"/>
        <v>2,2,2</v>
      </c>
    </row>
    <row r="1115" spans="2:12">
      <c r="B1115" s="17">
        <v>1414</v>
      </c>
      <c r="C1115" s="17">
        <v>2</v>
      </c>
      <c r="D1115" s="17">
        <f t="shared" si="53"/>
        <v>1</v>
      </c>
      <c r="E1115" s="17">
        <f t="shared" si="52"/>
        <v>1519</v>
      </c>
      <c r="F1115" s="17" t="s">
        <v>4813</v>
      </c>
      <c r="G1115" s="17">
        <f>MATCH(E1115,Arenas!$F$8:$F$15)</f>
        <v>5</v>
      </c>
      <c r="H1115" s="29" t="s">
        <v>2485</v>
      </c>
      <c r="I1115" s="33" t="s">
        <v>7424</v>
      </c>
      <c r="J1115" s="47" t="s">
        <v>5513</v>
      </c>
      <c r="K1115" s="61" t="s">
        <v>4779</v>
      </c>
      <c r="L1115" s="12" t="str">
        <f t="shared" si="51"/>
        <v>2,2,2</v>
      </c>
    </row>
    <row r="1116" spans="2:12">
      <c r="B1116" s="17">
        <v>1415</v>
      </c>
      <c r="C1116" s="17">
        <v>2</v>
      </c>
      <c r="D1116" s="17">
        <f t="shared" si="53"/>
        <v>0</v>
      </c>
      <c r="E1116" s="17">
        <f t="shared" si="52"/>
        <v>1519</v>
      </c>
      <c r="F1116" s="17" t="s">
        <v>4813</v>
      </c>
      <c r="G1116" s="17">
        <f>MATCH(E1116,Arenas!$F$8:$F$15)</f>
        <v>5</v>
      </c>
      <c r="H1116" s="29" t="s">
        <v>2486</v>
      </c>
      <c r="I1116" s="33" t="s">
        <v>7425</v>
      </c>
      <c r="J1116" s="47" t="s">
        <v>7426</v>
      </c>
      <c r="K1116" s="61" t="s">
        <v>4779</v>
      </c>
      <c r="L1116" s="12" t="str">
        <f t="shared" si="51"/>
        <v>2,2,2</v>
      </c>
    </row>
    <row r="1117" spans="2:12">
      <c r="B1117" s="17">
        <v>1416</v>
      </c>
      <c r="C1117" s="17">
        <v>2</v>
      </c>
      <c r="D1117" s="17">
        <f t="shared" si="53"/>
        <v>0</v>
      </c>
      <c r="E1117" s="17">
        <f t="shared" si="52"/>
        <v>1519</v>
      </c>
      <c r="F1117" s="17" t="s">
        <v>4813</v>
      </c>
      <c r="G1117" s="17">
        <f>MATCH(E1117,Arenas!$F$8:$F$15)</f>
        <v>5</v>
      </c>
      <c r="H1117" s="29" t="s">
        <v>2487</v>
      </c>
      <c r="I1117" s="33" t="s">
        <v>7427</v>
      </c>
      <c r="J1117" s="47" t="s">
        <v>5779</v>
      </c>
      <c r="K1117" s="61" t="s">
        <v>4779</v>
      </c>
      <c r="L1117" s="12" t="str">
        <f t="shared" si="51"/>
        <v>2,2,2</v>
      </c>
    </row>
    <row r="1118" spans="2:12">
      <c r="B1118" s="17">
        <v>1417</v>
      </c>
      <c r="C1118" s="17">
        <v>2</v>
      </c>
      <c r="D1118" s="17">
        <f t="shared" si="53"/>
        <v>1</v>
      </c>
      <c r="E1118" s="17">
        <f t="shared" si="52"/>
        <v>1520</v>
      </c>
      <c r="F1118" s="17" t="s">
        <v>4813</v>
      </c>
      <c r="G1118" s="17">
        <f>MATCH(E1118,Arenas!$F$8:$F$15)</f>
        <v>5</v>
      </c>
      <c r="H1118" s="29" t="s">
        <v>2488</v>
      </c>
      <c r="I1118" s="33" t="s">
        <v>7428</v>
      </c>
      <c r="J1118" s="47" t="s">
        <v>5721</v>
      </c>
      <c r="K1118" s="61" t="s">
        <v>4808</v>
      </c>
      <c r="L1118" s="12" t="str">
        <f t="shared" si="51"/>
        <v>2,2,2</v>
      </c>
    </row>
    <row r="1119" spans="2:12">
      <c r="B1119" s="17">
        <v>1418</v>
      </c>
      <c r="C1119" s="17">
        <v>2</v>
      </c>
      <c r="D1119" s="17">
        <f t="shared" si="53"/>
        <v>0</v>
      </c>
      <c r="E1119" s="17">
        <f t="shared" si="52"/>
        <v>1520</v>
      </c>
      <c r="F1119" s="17" t="s">
        <v>4813</v>
      </c>
      <c r="G1119" s="17">
        <f>MATCH(E1119,Arenas!$F$8:$F$15)</f>
        <v>5</v>
      </c>
      <c r="H1119" s="29" t="s">
        <v>2489</v>
      </c>
      <c r="I1119" s="33" t="s">
        <v>7429</v>
      </c>
      <c r="J1119" s="47" t="s">
        <v>5260</v>
      </c>
      <c r="K1119" s="61" t="s">
        <v>4779</v>
      </c>
      <c r="L1119" s="12" t="str">
        <f t="shared" si="51"/>
        <v>2,2,2</v>
      </c>
    </row>
    <row r="1120" spans="2:12">
      <c r="B1120" s="17">
        <v>1419</v>
      </c>
      <c r="C1120" s="17">
        <v>2</v>
      </c>
      <c r="D1120" s="17">
        <f t="shared" si="53"/>
        <v>0</v>
      </c>
      <c r="E1120" s="17">
        <f t="shared" si="52"/>
        <v>1520</v>
      </c>
      <c r="F1120" s="17" t="s">
        <v>4813</v>
      </c>
      <c r="G1120" s="17">
        <f>MATCH(E1120,Arenas!$F$8:$F$15)</f>
        <v>5</v>
      </c>
      <c r="H1120" s="29" t="s">
        <v>2490</v>
      </c>
      <c r="I1120" s="33" t="s">
        <v>7430</v>
      </c>
      <c r="J1120" s="47" t="s">
        <v>7431</v>
      </c>
      <c r="K1120" s="61" t="s">
        <v>4779</v>
      </c>
      <c r="L1120" s="12" t="str">
        <f t="shared" si="51"/>
        <v>2,2,2</v>
      </c>
    </row>
    <row r="1121" spans="2:12">
      <c r="B1121" s="17">
        <v>1420</v>
      </c>
      <c r="C1121" s="17">
        <v>2</v>
      </c>
      <c r="D1121" s="17">
        <f t="shared" si="53"/>
        <v>1</v>
      </c>
      <c r="E1121" s="17">
        <f t="shared" si="52"/>
        <v>1521</v>
      </c>
      <c r="F1121" s="17" t="s">
        <v>4813</v>
      </c>
      <c r="G1121" s="17">
        <f>MATCH(E1121,Arenas!$F$8:$F$15)</f>
        <v>5</v>
      </c>
      <c r="H1121" s="29" t="s">
        <v>2491</v>
      </c>
      <c r="I1121" s="33" t="s">
        <v>7432</v>
      </c>
      <c r="J1121" s="47" t="s">
        <v>7433</v>
      </c>
      <c r="K1121" s="61" t="s">
        <v>4779</v>
      </c>
      <c r="L1121" s="12" t="str">
        <f t="shared" si="51"/>
        <v>2,2,2</v>
      </c>
    </row>
    <row r="1122" spans="2:12">
      <c r="B1122" s="17">
        <v>1421</v>
      </c>
      <c r="C1122" s="17">
        <v>2</v>
      </c>
      <c r="D1122" s="17">
        <f t="shared" si="53"/>
        <v>0</v>
      </c>
      <c r="E1122" s="17">
        <f t="shared" si="52"/>
        <v>1521</v>
      </c>
      <c r="F1122" s="17" t="s">
        <v>4813</v>
      </c>
      <c r="G1122" s="17">
        <f>MATCH(E1122,Arenas!$F$8:$F$15)</f>
        <v>5</v>
      </c>
      <c r="H1122" s="29" t="s">
        <v>2492</v>
      </c>
      <c r="I1122" s="33" t="s">
        <v>7434</v>
      </c>
      <c r="J1122" s="47" t="s">
        <v>5178</v>
      </c>
      <c r="K1122" s="61" t="s">
        <v>4779</v>
      </c>
      <c r="L1122" s="12" t="str">
        <f t="shared" si="51"/>
        <v>2,2,2</v>
      </c>
    </row>
    <row r="1123" spans="2:12">
      <c r="B1123" s="17">
        <v>1422</v>
      </c>
      <c r="C1123" s="17">
        <v>2</v>
      </c>
      <c r="D1123" s="17">
        <f t="shared" si="53"/>
        <v>0</v>
      </c>
      <c r="E1123" s="17">
        <f t="shared" si="52"/>
        <v>1521</v>
      </c>
      <c r="F1123" s="17" t="s">
        <v>4813</v>
      </c>
      <c r="G1123" s="17">
        <f>MATCH(E1123,Arenas!$F$8:$F$15)</f>
        <v>5</v>
      </c>
      <c r="H1123" s="29" t="s">
        <v>2493</v>
      </c>
      <c r="I1123" s="33" t="s">
        <v>7435</v>
      </c>
      <c r="J1123" s="47" t="s">
        <v>7436</v>
      </c>
      <c r="K1123" s="61" t="s">
        <v>4779</v>
      </c>
      <c r="L1123" s="12" t="str">
        <f t="shared" si="51"/>
        <v>2,2,2</v>
      </c>
    </row>
    <row r="1124" spans="2:12">
      <c r="B1124" s="17">
        <v>1423</v>
      </c>
      <c r="C1124" s="17">
        <v>2</v>
      </c>
      <c r="D1124" s="17">
        <f t="shared" si="53"/>
        <v>1</v>
      </c>
      <c r="E1124" s="17">
        <f t="shared" si="52"/>
        <v>1522</v>
      </c>
      <c r="F1124" s="17" t="s">
        <v>4813</v>
      </c>
      <c r="G1124" s="17">
        <f>MATCH(E1124,Arenas!$F$8:$F$15)</f>
        <v>5</v>
      </c>
      <c r="H1124" s="29" t="s">
        <v>2494</v>
      </c>
      <c r="I1124" s="33" t="s">
        <v>7437</v>
      </c>
      <c r="J1124" s="47" t="s">
        <v>5845</v>
      </c>
      <c r="K1124" s="61" t="s">
        <v>4779</v>
      </c>
      <c r="L1124" s="12" t="str">
        <f t="shared" si="51"/>
        <v>2,2,2</v>
      </c>
    </row>
    <row r="1125" spans="2:12">
      <c r="B1125" s="17">
        <v>1424</v>
      </c>
      <c r="C1125" s="17">
        <v>2</v>
      </c>
      <c r="D1125" s="17">
        <f t="shared" si="53"/>
        <v>0</v>
      </c>
      <c r="E1125" s="17">
        <f t="shared" si="52"/>
        <v>1522</v>
      </c>
      <c r="F1125" s="17" t="s">
        <v>4813</v>
      </c>
      <c r="G1125" s="17">
        <f>MATCH(E1125,Arenas!$F$8:$F$15)</f>
        <v>5</v>
      </c>
      <c r="H1125" s="29" t="s">
        <v>2495</v>
      </c>
      <c r="I1125" s="33" t="s">
        <v>7438</v>
      </c>
      <c r="J1125" s="47" t="s">
        <v>5326</v>
      </c>
      <c r="K1125" s="61" t="s">
        <v>4779</v>
      </c>
      <c r="L1125" s="12" t="str">
        <f t="shared" si="51"/>
        <v>2,2,2</v>
      </c>
    </row>
    <row r="1126" spans="2:12">
      <c r="B1126" s="17">
        <v>1425</v>
      </c>
      <c r="C1126" s="17">
        <v>2</v>
      </c>
      <c r="D1126" s="17">
        <f t="shared" si="53"/>
        <v>0</v>
      </c>
      <c r="E1126" s="17">
        <f t="shared" si="52"/>
        <v>1522</v>
      </c>
      <c r="F1126" s="17" t="s">
        <v>4813</v>
      </c>
      <c r="G1126" s="17">
        <f>MATCH(E1126,Arenas!$F$8:$F$15)</f>
        <v>5</v>
      </c>
      <c r="H1126" s="29" t="s">
        <v>2496</v>
      </c>
      <c r="I1126" s="33" t="s">
        <v>7439</v>
      </c>
      <c r="J1126" s="47" t="s">
        <v>7440</v>
      </c>
      <c r="K1126" s="61" t="s">
        <v>4779</v>
      </c>
      <c r="L1126" s="12" t="str">
        <f t="shared" si="51"/>
        <v>2,2,2</v>
      </c>
    </row>
    <row r="1127" spans="2:12">
      <c r="B1127" s="17">
        <v>1426</v>
      </c>
      <c r="C1127" s="17">
        <v>2</v>
      </c>
      <c r="D1127" s="17">
        <f t="shared" si="53"/>
        <v>1</v>
      </c>
      <c r="E1127" s="17">
        <f t="shared" si="52"/>
        <v>1523</v>
      </c>
      <c r="F1127" s="17" t="s">
        <v>4813</v>
      </c>
      <c r="G1127" s="17">
        <f>MATCH(E1127,Arenas!$F$8:$F$15)</f>
        <v>5</v>
      </c>
      <c r="H1127" s="29" t="s">
        <v>2497</v>
      </c>
      <c r="I1127" s="33" t="s">
        <v>7441</v>
      </c>
      <c r="J1127" s="47" t="s">
        <v>7442</v>
      </c>
      <c r="K1127" s="61" t="s">
        <v>4779</v>
      </c>
      <c r="L1127" s="12" t="str">
        <f t="shared" si="51"/>
        <v>2,2,2</v>
      </c>
    </row>
    <row r="1128" spans="2:12">
      <c r="B1128" s="17">
        <v>1427</v>
      </c>
      <c r="C1128" s="17">
        <v>2</v>
      </c>
      <c r="D1128" s="17">
        <f t="shared" si="53"/>
        <v>0</v>
      </c>
      <c r="E1128" s="17">
        <f t="shared" si="52"/>
        <v>1523</v>
      </c>
      <c r="F1128" s="17" t="s">
        <v>4813</v>
      </c>
      <c r="G1128" s="17">
        <f>MATCH(E1128,Arenas!$F$8:$F$15)</f>
        <v>5</v>
      </c>
      <c r="H1128" s="29" t="s">
        <v>2498</v>
      </c>
      <c r="I1128" s="33" t="s">
        <v>7443</v>
      </c>
      <c r="J1128" s="47" t="s">
        <v>5484</v>
      </c>
      <c r="K1128" s="61" t="s">
        <v>4779</v>
      </c>
      <c r="L1128" s="12" t="str">
        <f t="shared" si="51"/>
        <v>2,2,2</v>
      </c>
    </row>
    <row r="1129" spans="2:12">
      <c r="B1129" s="17">
        <v>1428</v>
      </c>
      <c r="C1129" s="17">
        <v>2</v>
      </c>
      <c r="D1129" s="17">
        <f t="shared" si="53"/>
        <v>0</v>
      </c>
      <c r="E1129" s="17">
        <f t="shared" si="52"/>
        <v>1523</v>
      </c>
      <c r="F1129" s="17" t="s">
        <v>4813</v>
      </c>
      <c r="G1129" s="17">
        <f>MATCH(E1129,Arenas!$F$8:$F$15)</f>
        <v>5</v>
      </c>
      <c r="H1129" s="29" t="s">
        <v>2499</v>
      </c>
      <c r="I1129" s="33" t="s">
        <v>7444</v>
      </c>
      <c r="J1129" s="47" t="s">
        <v>7445</v>
      </c>
      <c r="K1129" s="61" t="s">
        <v>4779</v>
      </c>
      <c r="L1129" s="12" t="str">
        <f t="shared" si="51"/>
        <v>2,2,2</v>
      </c>
    </row>
    <row r="1130" spans="2:12">
      <c r="B1130" s="17">
        <v>1429</v>
      </c>
      <c r="C1130" s="17">
        <v>2</v>
      </c>
      <c r="D1130" s="17">
        <f t="shared" si="53"/>
        <v>1</v>
      </c>
      <c r="E1130" s="17">
        <f t="shared" si="52"/>
        <v>1524</v>
      </c>
      <c r="F1130" s="17" t="s">
        <v>4813</v>
      </c>
      <c r="G1130" s="17">
        <f>MATCH(E1130,Arenas!$F$8:$F$15)</f>
        <v>5</v>
      </c>
      <c r="H1130" s="29" t="s">
        <v>2500</v>
      </c>
      <c r="I1130" s="33" t="s">
        <v>7446</v>
      </c>
      <c r="J1130" s="47" t="s">
        <v>7447</v>
      </c>
      <c r="K1130" s="61" t="s">
        <v>4779</v>
      </c>
      <c r="L1130" s="12" t="str">
        <f t="shared" si="51"/>
        <v>2,2,2</v>
      </c>
    </row>
    <row r="1131" spans="2:12">
      <c r="B1131" s="17">
        <v>1430</v>
      </c>
      <c r="C1131" s="17">
        <v>2</v>
      </c>
      <c r="D1131" s="17">
        <f t="shared" si="53"/>
        <v>0</v>
      </c>
      <c r="E1131" s="17">
        <f t="shared" si="52"/>
        <v>1524</v>
      </c>
      <c r="F1131" s="17" t="s">
        <v>4813</v>
      </c>
      <c r="G1131" s="17">
        <f>MATCH(E1131,Arenas!$F$8:$F$15)</f>
        <v>5</v>
      </c>
      <c r="H1131" s="29" t="s">
        <v>2501</v>
      </c>
      <c r="I1131" s="33" t="s">
        <v>7448</v>
      </c>
      <c r="J1131" s="47" t="s">
        <v>5695</v>
      </c>
      <c r="K1131" s="61" t="s">
        <v>4779</v>
      </c>
      <c r="L1131" s="12" t="str">
        <f t="shared" si="51"/>
        <v>2,2,2</v>
      </c>
    </row>
    <row r="1132" spans="2:12">
      <c r="B1132" s="17">
        <v>1431</v>
      </c>
      <c r="C1132" s="17">
        <v>2</v>
      </c>
      <c r="D1132" s="17">
        <f t="shared" si="53"/>
        <v>0</v>
      </c>
      <c r="E1132" s="17">
        <f t="shared" si="52"/>
        <v>1524</v>
      </c>
      <c r="F1132" s="17" t="s">
        <v>4813</v>
      </c>
      <c r="G1132" s="17">
        <f>MATCH(E1132,Arenas!$F$8:$F$15)</f>
        <v>5</v>
      </c>
      <c r="H1132" s="29" t="s">
        <v>2502</v>
      </c>
      <c r="I1132" s="33" t="s">
        <v>7449</v>
      </c>
      <c r="J1132" s="47" t="s">
        <v>7450</v>
      </c>
      <c r="K1132" s="61" t="s">
        <v>4779</v>
      </c>
      <c r="L1132" s="12" t="str">
        <f t="shared" si="51"/>
        <v>2,2,2</v>
      </c>
    </row>
    <row r="1133" spans="2:12">
      <c r="B1133" s="17">
        <v>1432</v>
      </c>
      <c r="C1133" s="17">
        <v>2</v>
      </c>
      <c r="D1133" s="17">
        <f t="shared" si="53"/>
        <v>1</v>
      </c>
      <c r="E1133" s="17">
        <f t="shared" si="52"/>
        <v>1525</v>
      </c>
      <c r="F1133" s="17" t="s">
        <v>4813</v>
      </c>
      <c r="G1133" s="17">
        <f>MATCH(E1133,Arenas!$F$8:$F$15)</f>
        <v>5</v>
      </c>
      <c r="H1133" s="29" t="s">
        <v>2503</v>
      </c>
      <c r="I1133" s="33" t="s">
        <v>7451</v>
      </c>
      <c r="J1133" s="47" t="s">
        <v>5042</v>
      </c>
      <c r="K1133" s="61" t="s">
        <v>4779</v>
      </c>
      <c r="L1133" s="12" t="str">
        <f t="shared" si="51"/>
        <v>2,2,2</v>
      </c>
    </row>
    <row r="1134" spans="2:12">
      <c r="B1134" s="17">
        <v>1433</v>
      </c>
      <c r="C1134" s="17">
        <v>2</v>
      </c>
      <c r="D1134" s="17">
        <f t="shared" si="53"/>
        <v>0</v>
      </c>
      <c r="E1134" s="17">
        <f t="shared" si="52"/>
        <v>1525</v>
      </c>
      <c r="F1134" s="17" t="s">
        <v>4813</v>
      </c>
      <c r="G1134" s="17">
        <f>MATCH(E1134,Arenas!$F$8:$F$15)</f>
        <v>5</v>
      </c>
      <c r="H1134" s="29" t="s">
        <v>2504</v>
      </c>
      <c r="I1134" s="33" t="s">
        <v>7452</v>
      </c>
      <c r="J1134" s="47" t="s">
        <v>4982</v>
      </c>
      <c r="K1134" s="61" t="s">
        <v>4779</v>
      </c>
      <c r="L1134" s="12" t="str">
        <f t="shared" si="51"/>
        <v>2,2,2</v>
      </c>
    </row>
    <row r="1135" spans="2:12">
      <c r="B1135" s="17">
        <v>1434</v>
      </c>
      <c r="C1135" s="17">
        <v>2</v>
      </c>
      <c r="D1135" s="17">
        <f t="shared" si="53"/>
        <v>0</v>
      </c>
      <c r="E1135" s="17">
        <f t="shared" si="52"/>
        <v>1525</v>
      </c>
      <c r="F1135" s="17" t="s">
        <v>4813</v>
      </c>
      <c r="G1135" s="17">
        <f>MATCH(E1135,Arenas!$F$8:$F$15)</f>
        <v>5</v>
      </c>
      <c r="H1135" s="29" t="s">
        <v>2505</v>
      </c>
      <c r="I1135" s="33" t="s">
        <v>7453</v>
      </c>
      <c r="J1135" s="47" t="s">
        <v>5742</v>
      </c>
      <c r="K1135" s="61" t="s">
        <v>4779</v>
      </c>
      <c r="L1135" s="12" t="str">
        <f t="shared" si="51"/>
        <v>2,2,2</v>
      </c>
    </row>
    <row r="1136" spans="2:12">
      <c r="B1136" s="17">
        <v>1435</v>
      </c>
      <c r="C1136" s="17">
        <v>2</v>
      </c>
      <c r="D1136" s="17">
        <f t="shared" si="53"/>
        <v>1</v>
      </c>
      <c r="E1136" s="17">
        <f t="shared" si="52"/>
        <v>1526</v>
      </c>
      <c r="F1136" s="17" t="s">
        <v>4813</v>
      </c>
      <c r="G1136" s="17">
        <f>MATCH(E1136,Arenas!$F$8:$F$15)</f>
        <v>5</v>
      </c>
      <c r="H1136" s="29" t="s">
        <v>2506</v>
      </c>
      <c r="I1136" s="33" t="s">
        <v>7454</v>
      </c>
      <c r="J1136" s="47" t="s">
        <v>5065</v>
      </c>
      <c r="K1136" s="61" t="s">
        <v>4779</v>
      </c>
      <c r="L1136" s="12" t="str">
        <f t="shared" si="51"/>
        <v>2,2,2</v>
      </c>
    </row>
    <row r="1137" spans="2:12">
      <c r="B1137" s="17">
        <v>1436</v>
      </c>
      <c r="C1137" s="17">
        <v>2</v>
      </c>
      <c r="D1137" s="17">
        <f t="shared" si="53"/>
        <v>0</v>
      </c>
      <c r="E1137" s="17">
        <f t="shared" si="52"/>
        <v>1526</v>
      </c>
      <c r="F1137" s="17" t="s">
        <v>4813</v>
      </c>
      <c r="G1137" s="17">
        <f>MATCH(E1137,Arenas!$F$8:$F$15)</f>
        <v>5</v>
      </c>
      <c r="H1137" s="29" t="s">
        <v>2507</v>
      </c>
      <c r="I1137" s="33" t="s">
        <v>7455</v>
      </c>
      <c r="J1137" s="47" t="s">
        <v>7456</v>
      </c>
      <c r="K1137" s="61" t="s">
        <v>4779</v>
      </c>
      <c r="L1137" s="12" t="str">
        <f t="shared" si="51"/>
        <v>2,2,2</v>
      </c>
    </row>
    <row r="1138" spans="2:12">
      <c r="B1138" s="17">
        <v>1437</v>
      </c>
      <c r="C1138" s="17">
        <v>2</v>
      </c>
      <c r="D1138" s="17">
        <f t="shared" si="53"/>
        <v>0</v>
      </c>
      <c r="E1138" s="17">
        <f t="shared" si="52"/>
        <v>1526</v>
      </c>
      <c r="F1138" s="17" t="s">
        <v>4813</v>
      </c>
      <c r="G1138" s="17">
        <f>MATCH(E1138,Arenas!$F$8:$F$15)</f>
        <v>5</v>
      </c>
      <c r="H1138" s="29" t="s">
        <v>2508</v>
      </c>
      <c r="I1138" s="33" t="s">
        <v>7457</v>
      </c>
      <c r="J1138" s="47" t="s">
        <v>7458</v>
      </c>
      <c r="K1138" s="61" t="s">
        <v>4779</v>
      </c>
      <c r="L1138" s="12" t="str">
        <f t="shared" si="51"/>
        <v>2,2,2</v>
      </c>
    </row>
    <row r="1139" spans="2:12">
      <c r="B1139" s="17">
        <v>1438</v>
      </c>
      <c r="C1139" s="17">
        <v>2</v>
      </c>
      <c r="D1139" s="17">
        <f t="shared" si="53"/>
        <v>1</v>
      </c>
      <c r="E1139" s="17">
        <f t="shared" si="52"/>
        <v>1527</v>
      </c>
      <c r="F1139" s="17" t="s">
        <v>4813</v>
      </c>
      <c r="G1139" s="17">
        <f>MATCH(E1139,Arenas!$F$8:$F$15)</f>
        <v>5</v>
      </c>
      <c r="H1139" s="29" t="s">
        <v>2509</v>
      </c>
      <c r="I1139" s="33" t="s">
        <v>7459</v>
      </c>
      <c r="J1139" s="47" t="s">
        <v>7460</v>
      </c>
      <c r="K1139" s="61" t="s">
        <v>4779</v>
      </c>
      <c r="L1139" s="12" t="str">
        <f t="shared" si="51"/>
        <v>2,2,2</v>
      </c>
    </row>
    <row r="1140" spans="2:12">
      <c r="B1140" s="17">
        <v>1439</v>
      </c>
      <c r="C1140" s="17">
        <v>2</v>
      </c>
      <c r="D1140" s="17">
        <f t="shared" si="53"/>
        <v>0</v>
      </c>
      <c r="E1140" s="17">
        <f t="shared" si="52"/>
        <v>1527</v>
      </c>
      <c r="F1140" s="17" t="s">
        <v>4813</v>
      </c>
      <c r="G1140" s="17">
        <f>MATCH(E1140,Arenas!$F$8:$F$15)</f>
        <v>5</v>
      </c>
      <c r="H1140" s="29" t="s">
        <v>2510</v>
      </c>
      <c r="I1140" s="33" t="s">
        <v>7461</v>
      </c>
      <c r="J1140" s="47" t="s">
        <v>5521</v>
      </c>
      <c r="K1140" s="61" t="s">
        <v>4779</v>
      </c>
      <c r="L1140" s="12" t="str">
        <f t="shared" si="51"/>
        <v>2,2,2</v>
      </c>
    </row>
    <row r="1141" spans="2:12">
      <c r="B1141" s="17">
        <v>1440</v>
      </c>
      <c r="C1141" s="17">
        <v>2</v>
      </c>
      <c r="D1141" s="17">
        <f t="shared" si="53"/>
        <v>0</v>
      </c>
      <c r="E1141" s="17">
        <f t="shared" si="52"/>
        <v>1527</v>
      </c>
      <c r="F1141" s="17" t="s">
        <v>4813</v>
      </c>
      <c r="G1141" s="17">
        <f>MATCH(E1141,Arenas!$F$8:$F$15)</f>
        <v>5</v>
      </c>
      <c r="H1141" s="29" t="s">
        <v>2511</v>
      </c>
      <c r="I1141" s="33" t="s">
        <v>7462</v>
      </c>
      <c r="J1141" s="47" t="s">
        <v>4667</v>
      </c>
      <c r="K1141" s="61" t="s">
        <v>4779</v>
      </c>
      <c r="L1141" s="12" t="str">
        <f t="shared" si="51"/>
        <v>2,2,2</v>
      </c>
    </row>
    <row r="1142" spans="2:12">
      <c r="B1142" s="17">
        <v>1441</v>
      </c>
      <c r="C1142" s="17">
        <v>2</v>
      </c>
      <c r="D1142" s="17">
        <f t="shared" si="53"/>
        <v>1</v>
      </c>
      <c r="E1142" s="17">
        <f t="shared" si="52"/>
        <v>1528</v>
      </c>
      <c r="F1142" s="17" t="s">
        <v>4813</v>
      </c>
      <c r="G1142" s="17">
        <f>MATCH(E1142,Arenas!$F$8:$F$15)</f>
        <v>5</v>
      </c>
      <c r="H1142" s="29" t="s">
        <v>2512</v>
      </c>
      <c r="I1142" s="33" t="s">
        <v>7463</v>
      </c>
      <c r="J1142" s="47" t="s">
        <v>7464</v>
      </c>
      <c r="K1142" s="61" t="s">
        <v>4779</v>
      </c>
      <c r="L1142" s="12" t="str">
        <f t="shared" si="51"/>
        <v>2,2,2</v>
      </c>
    </row>
    <row r="1143" spans="2:12">
      <c r="B1143" s="17">
        <v>1442</v>
      </c>
      <c r="C1143" s="17">
        <v>2</v>
      </c>
      <c r="D1143" s="17">
        <f t="shared" si="53"/>
        <v>0</v>
      </c>
      <c r="E1143" s="17">
        <f t="shared" si="52"/>
        <v>1528</v>
      </c>
      <c r="F1143" s="17" t="s">
        <v>4813</v>
      </c>
      <c r="G1143" s="17">
        <f>MATCH(E1143,Arenas!$F$8:$F$15)</f>
        <v>5</v>
      </c>
      <c r="H1143" s="29" t="s">
        <v>2513</v>
      </c>
      <c r="I1143" s="33" t="s">
        <v>7465</v>
      </c>
      <c r="J1143" s="47" t="s">
        <v>5067</v>
      </c>
      <c r="K1143" s="61" t="s">
        <v>4779</v>
      </c>
      <c r="L1143" s="12" t="str">
        <f t="shared" si="51"/>
        <v>2,2,2</v>
      </c>
    </row>
    <row r="1144" spans="2:12">
      <c r="B1144" s="17">
        <v>1443</v>
      </c>
      <c r="C1144" s="17">
        <v>2</v>
      </c>
      <c r="D1144" s="17">
        <f t="shared" si="53"/>
        <v>0</v>
      </c>
      <c r="E1144" s="17">
        <f t="shared" si="52"/>
        <v>1528</v>
      </c>
      <c r="F1144" s="17" t="s">
        <v>4813</v>
      </c>
      <c r="G1144" s="17">
        <f>MATCH(E1144,Arenas!$F$8:$F$15)</f>
        <v>5</v>
      </c>
      <c r="H1144" s="29" t="s">
        <v>2514</v>
      </c>
      <c r="I1144" s="33" t="s">
        <v>7466</v>
      </c>
      <c r="J1144" s="47" t="s">
        <v>5569</v>
      </c>
      <c r="K1144" s="61" t="s">
        <v>4779</v>
      </c>
      <c r="L1144" s="12" t="str">
        <f t="shared" si="51"/>
        <v>2,2,2</v>
      </c>
    </row>
    <row r="1145" spans="2:12">
      <c r="B1145" s="17">
        <v>1444</v>
      </c>
      <c r="C1145" s="17">
        <v>2</v>
      </c>
      <c r="D1145" s="17">
        <f t="shared" si="53"/>
        <v>1</v>
      </c>
      <c r="E1145" s="17">
        <f t="shared" si="52"/>
        <v>1529</v>
      </c>
      <c r="F1145" s="17" t="s">
        <v>4813</v>
      </c>
      <c r="G1145" s="17">
        <f>MATCH(E1145,Arenas!$F$8:$F$15)</f>
        <v>5</v>
      </c>
      <c r="H1145" s="29" t="s">
        <v>2515</v>
      </c>
      <c r="I1145" s="33" t="s">
        <v>7467</v>
      </c>
      <c r="J1145" s="47" t="s">
        <v>7468</v>
      </c>
      <c r="K1145" s="61" t="s">
        <v>4779</v>
      </c>
      <c r="L1145" s="12" t="str">
        <f t="shared" si="51"/>
        <v>2,2,2</v>
      </c>
    </row>
    <row r="1146" spans="2:12">
      <c r="B1146" s="17">
        <v>1445</v>
      </c>
      <c r="C1146" s="17">
        <v>2</v>
      </c>
      <c r="D1146" s="17">
        <f t="shared" si="53"/>
        <v>0</v>
      </c>
      <c r="E1146" s="17">
        <f t="shared" si="52"/>
        <v>1529</v>
      </c>
      <c r="F1146" s="17" t="s">
        <v>4813</v>
      </c>
      <c r="G1146" s="17">
        <f>MATCH(E1146,Arenas!$F$8:$F$15)</f>
        <v>5</v>
      </c>
      <c r="H1146" s="29" t="s">
        <v>2516</v>
      </c>
      <c r="I1146" s="33" t="s">
        <v>7469</v>
      </c>
      <c r="J1146" s="47" t="s">
        <v>7470</v>
      </c>
      <c r="K1146" s="61" t="s">
        <v>4779</v>
      </c>
      <c r="L1146" s="12" t="str">
        <f t="shared" si="51"/>
        <v>2,2,2</v>
      </c>
    </row>
    <row r="1147" spans="2:12">
      <c r="B1147" s="17">
        <v>1446</v>
      </c>
      <c r="C1147" s="17">
        <v>2</v>
      </c>
      <c r="D1147" s="17">
        <f t="shared" si="53"/>
        <v>0</v>
      </c>
      <c r="E1147" s="17">
        <f t="shared" si="52"/>
        <v>1529</v>
      </c>
      <c r="F1147" s="17" t="s">
        <v>4813</v>
      </c>
      <c r="G1147" s="17">
        <f>MATCH(E1147,Arenas!$F$8:$F$15)</f>
        <v>5</v>
      </c>
      <c r="H1147" s="29" t="s">
        <v>2517</v>
      </c>
      <c r="I1147" s="33" t="s">
        <v>7471</v>
      </c>
      <c r="J1147" s="47" t="s">
        <v>5683</v>
      </c>
      <c r="K1147" s="61" t="s">
        <v>4779</v>
      </c>
      <c r="L1147" s="12" t="str">
        <f t="shared" si="51"/>
        <v>2,2,2</v>
      </c>
    </row>
    <row r="1148" spans="2:12">
      <c r="B1148" s="17">
        <v>1447</v>
      </c>
      <c r="C1148" s="17">
        <v>2</v>
      </c>
      <c r="D1148" s="17">
        <f t="shared" si="53"/>
        <v>1</v>
      </c>
      <c r="E1148" s="17">
        <f t="shared" si="52"/>
        <v>1530</v>
      </c>
      <c r="F1148" s="17" t="s">
        <v>4813</v>
      </c>
      <c r="G1148" s="17">
        <f>MATCH(E1148,Arenas!$F$8:$F$15)</f>
        <v>5</v>
      </c>
      <c r="H1148" s="29" t="s">
        <v>2518</v>
      </c>
      <c r="I1148" s="33" t="s">
        <v>7472</v>
      </c>
      <c r="J1148" s="47" t="s">
        <v>7473</v>
      </c>
      <c r="K1148" s="61" t="s">
        <v>4779</v>
      </c>
      <c r="L1148" s="12" t="str">
        <f t="shared" si="51"/>
        <v>2,2,2</v>
      </c>
    </row>
    <row r="1149" spans="2:12">
      <c r="B1149" s="17">
        <v>1448</v>
      </c>
      <c r="C1149" s="17">
        <v>2</v>
      </c>
      <c r="D1149" s="17">
        <f t="shared" si="53"/>
        <v>0</v>
      </c>
      <c r="E1149" s="17">
        <f t="shared" si="52"/>
        <v>1530</v>
      </c>
      <c r="F1149" s="17" t="s">
        <v>4813</v>
      </c>
      <c r="G1149" s="17">
        <f>MATCH(E1149,Arenas!$F$8:$F$15)</f>
        <v>5</v>
      </c>
      <c r="H1149" s="29" t="s">
        <v>2519</v>
      </c>
      <c r="I1149" s="33" t="s">
        <v>7474</v>
      </c>
      <c r="J1149" s="47" t="s">
        <v>7475</v>
      </c>
      <c r="K1149" s="61" t="s">
        <v>4779</v>
      </c>
      <c r="L1149" s="12" t="str">
        <f t="shared" si="51"/>
        <v>2,2,2</v>
      </c>
    </row>
    <row r="1150" spans="2:12">
      <c r="B1150" s="17">
        <v>1449</v>
      </c>
      <c r="C1150" s="17">
        <v>2</v>
      </c>
      <c r="D1150" s="17">
        <f t="shared" si="53"/>
        <v>0</v>
      </c>
      <c r="E1150" s="17">
        <f t="shared" si="52"/>
        <v>1530</v>
      </c>
      <c r="F1150" s="17" t="s">
        <v>4813</v>
      </c>
      <c r="G1150" s="17">
        <f>MATCH(E1150,Arenas!$F$8:$F$15)</f>
        <v>5</v>
      </c>
      <c r="H1150" s="29" t="s">
        <v>2520</v>
      </c>
      <c r="I1150" s="33" t="s">
        <v>7476</v>
      </c>
      <c r="J1150" s="47" t="s">
        <v>5793</v>
      </c>
      <c r="K1150" s="61" t="s">
        <v>4779</v>
      </c>
      <c r="L1150" s="12" t="str">
        <f t="shared" si="51"/>
        <v>2,2,2</v>
      </c>
    </row>
    <row r="1151" spans="2:12">
      <c r="B1151" s="17">
        <v>1450</v>
      </c>
      <c r="C1151" s="17">
        <v>2</v>
      </c>
      <c r="D1151" s="17">
        <f t="shared" si="53"/>
        <v>1</v>
      </c>
      <c r="E1151" s="17">
        <f t="shared" si="52"/>
        <v>1531</v>
      </c>
      <c r="F1151" s="17" t="s">
        <v>4813</v>
      </c>
      <c r="G1151" s="17">
        <f>MATCH(E1151,Arenas!$F$8:$F$15)</f>
        <v>5</v>
      </c>
      <c r="H1151" s="29" t="s">
        <v>2521</v>
      </c>
      <c r="I1151" s="33" t="s">
        <v>7477</v>
      </c>
      <c r="J1151" s="47" t="s">
        <v>7478</v>
      </c>
      <c r="K1151" s="61" t="s">
        <v>4779</v>
      </c>
      <c r="L1151" s="12" t="str">
        <f t="shared" si="51"/>
        <v>2,2,2</v>
      </c>
    </row>
    <row r="1152" spans="2:12">
      <c r="B1152" s="17">
        <v>1451</v>
      </c>
      <c r="C1152" s="17">
        <v>2</v>
      </c>
      <c r="D1152" s="17">
        <f t="shared" si="53"/>
        <v>0</v>
      </c>
      <c r="E1152" s="17">
        <f t="shared" si="52"/>
        <v>1531</v>
      </c>
      <c r="F1152" s="17" t="s">
        <v>4813</v>
      </c>
      <c r="G1152" s="17">
        <f>MATCH(E1152,Arenas!$F$8:$F$15)</f>
        <v>5</v>
      </c>
      <c r="H1152" s="29" t="s">
        <v>2522</v>
      </c>
      <c r="I1152" s="33" t="s">
        <v>7479</v>
      </c>
      <c r="J1152" s="47" t="s">
        <v>7480</v>
      </c>
      <c r="K1152" s="61" t="s">
        <v>4779</v>
      </c>
      <c r="L1152" s="12" t="str">
        <f t="shared" si="51"/>
        <v>2,2,2</v>
      </c>
    </row>
    <row r="1153" spans="2:12">
      <c r="B1153" s="17">
        <v>1452</v>
      </c>
      <c r="C1153" s="17">
        <v>2</v>
      </c>
      <c r="D1153" s="17">
        <f t="shared" si="53"/>
        <v>0</v>
      </c>
      <c r="E1153" s="17">
        <f t="shared" si="52"/>
        <v>1531</v>
      </c>
      <c r="F1153" s="17" t="s">
        <v>4813</v>
      </c>
      <c r="G1153" s="17">
        <f>MATCH(E1153,Arenas!$F$8:$F$15)</f>
        <v>5</v>
      </c>
      <c r="H1153" s="29" t="s">
        <v>2523</v>
      </c>
      <c r="I1153" s="33" t="s">
        <v>7481</v>
      </c>
      <c r="J1153" s="47" t="s">
        <v>5470</v>
      </c>
      <c r="K1153" s="61" t="s">
        <v>4779</v>
      </c>
      <c r="L1153" s="12" t="str">
        <f t="shared" si="51"/>
        <v>2,2,2</v>
      </c>
    </row>
    <row r="1154" spans="2:12">
      <c r="B1154" s="17">
        <v>1453</v>
      </c>
      <c r="C1154" s="17">
        <v>2</v>
      </c>
      <c r="D1154" s="17">
        <f t="shared" si="53"/>
        <v>1</v>
      </c>
      <c r="E1154" s="17">
        <f t="shared" si="52"/>
        <v>1532</v>
      </c>
      <c r="F1154" s="17" t="s">
        <v>4813</v>
      </c>
      <c r="G1154" s="17">
        <f>MATCH(E1154,Arenas!$F$8:$F$15)</f>
        <v>5</v>
      </c>
      <c r="H1154" s="29" t="s">
        <v>2524</v>
      </c>
      <c r="I1154" s="33" t="s">
        <v>7482</v>
      </c>
      <c r="J1154" s="47" t="s">
        <v>5589</v>
      </c>
      <c r="K1154" s="61" t="s">
        <v>4779</v>
      </c>
      <c r="L1154" s="12" t="str">
        <f t="shared" ref="L1154:L1217" si="54">C1154&amp;","&amp;C1154&amp;","&amp;C1154</f>
        <v>2,2,2</v>
      </c>
    </row>
    <row r="1155" spans="2:12">
      <c r="B1155" s="17">
        <v>1454</v>
      </c>
      <c r="C1155" s="17">
        <v>2</v>
      </c>
      <c r="D1155" s="17">
        <f t="shared" si="53"/>
        <v>0</v>
      </c>
      <c r="E1155" s="17">
        <f t="shared" ref="E1155:E1218" si="55">D1155+E1154</f>
        <v>1532</v>
      </c>
      <c r="F1155" s="17" t="s">
        <v>4813</v>
      </c>
      <c r="G1155" s="17">
        <f>MATCH(E1155,Arenas!$F$8:$F$15)</f>
        <v>5</v>
      </c>
      <c r="H1155" s="29" t="s">
        <v>2525</v>
      </c>
      <c r="I1155" s="33" t="s">
        <v>7483</v>
      </c>
      <c r="J1155" s="47" t="s">
        <v>5717</v>
      </c>
      <c r="K1155" s="61" t="s">
        <v>4779</v>
      </c>
      <c r="L1155" s="12" t="str">
        <f t="shared" si="54"/>
        <v>2,2,2</v>
      </c>
    </row>
    <row r="1156" spans="2:12">
      <c r="B1156" s="17">
        <v>1455</v>
      </c>
      <c r="C1156" s="17">
        <v>2</v>
      </c>
      <c r="D1156" s="17">
        <f t="shared" si="53"/>
        <v>0</v>
      </c>
      <c r="E1156" s="17">
        <f t="shared" si="55"/>
        <v>1532</v>
      </c>
      <c r="F1156" s="17" t="s">
        <v>4813</v>
      </c>
      <c r="G1156" s="17">
        <f>MATCH(E1156,Arenas!$F$8:$F$15)</f>
        <v>5</v>
      </c>
      <c r="H1156" s="29" t="s">
        <v>2526</v>
      </c>
      <c r="I1156" s="33" t="s">
        <v>7484</v>
      </c>
      <c r="J1156" s="47" t="s">
        <v>7485</v>
      </c>
      <c r="K1156" s="61" t="s">
        <v>4779</v>
      </c>
      <c r="L1156" s="12" t="str">
        <f t="shared" si="54"/>
        <v>2,2,2</v>
      </c>
    </row>
    <row r="1157" spans="2:12">
      <c r="B1157" s="17">
        <v>1456</v>
      </c>
      <c r="C1157" s="17">
        <v>2</v>
      </c>
      <c r="D1157" s="17">
        <f t="shared" ref="D1157:D1220" si="56">D1154</f>
        <v>1</v>
      </c>
      <c r="E1157" s="17">
        <f t="shared" si="55"/>
        <v>1533</v>
      </c>
      <c r="F1157" s="17" t="s">
        <v>4813</v>
      </c>
      <c r="G1157" s="17">
        <f>MATCH(E1157,Arenas!$F$8:$F$15)</f>
        <v>5</v>
      </c>
      <c r="H1157" s="29" t="s">
        <v>2527</v>
      </c>
      <c r="I1157" s="33" t="s">
        <v>7486</v>
      </c>
      <c r="J1157" s="47" t="s">
        <v>5539</v>
      </c>
      <c r="K1157" s="61" t="s">
        <v>4779</v>
      </c>
      <c r="L1157" s="12" t="str">
        <f t="shared" si="54"/>
        <v>2,2,2</v>
      </c>
    </row>
    <row r="1158" spans="2:12">
      <c r="B1158" s="17">
        <v>1457</v>
      </c>
      <c r="C1158" s="17">
        <v>2</v>
      </c>
      <c r="D1158" s="17">
        <f t="shared" si="56"/>
        <v>0</v>
      </c>
      <c r="E1158" s="17">
        <f t="shared" si="55"/>
        <v>1533</v>
      </c>
      <c r="F1158" s="17" t="s">
        <v>4813</v>
      </c>
      <c r="G1158" s="17">
        <f>MATCH(E1158,Arenas!$F$8:$F$15)</f>
        <v>5</v>
      </c>
      <c r="H1158" s="29" t="s">
        <v>2528</v>
      </c>
      <c r="I1158" s="33" t="s">
        <v>7487</v>
      </c>
      <c r="J1158" s="47" t="s">
        <v>5593</v>
      </c>
      <c r="K1158" s="61" t="s">
        <v>4806</v>
      </c>
      <c r="L1158" s="12" t="str">
        <f t="shared" si="54"/>
        <v>2,2,2</v>
      </c>
    </row>
    <row r="1159" spans="2:12">
      <c r="B1159" s="17">
        <v>1458</v>
      </c>
      <c r="C1159" s="17">
        <v>2</v>
      </c>
      <c r="D1159" s="17">
        <f t="shared" si="56"/>
        <v>0</v>
      </c>
      <c r="E1159" s="17">
        <f t="shared" si="55"/>
        <v>1533</v>
      </c>
      <c r="F1159" s="17" t="s">
        <v>4813</v>
      </c>
      <c r="G1159" s="17">
        <f>MATCH(E1159,Arenas!$F$8:$F$15)</f>
        <v>5</v>
      </c>
      <c r="H1159" s="29" t="s">
        <v>2529</v>
      </c>
      <c r="I1159" s="33" t="s">
        <v>7488</v>
      </c>
      <c r="J1159" s="47" t="s">
        <v>5724</v>
      </c>
      <c r="K1159" s="61" t="s">
        <v>4779</v>
      </c>
      <c r="L1159" s="12" t="str">
        <f t="shared" si="54"/>
        <v>2,2,2</v>
      </c>
    </row>
    <row r="1160" spans="2:12">
      <c r="B1160" s="17">
        <v>1459</v>
      </c>
      <c r="C1160" s="17">
        <v>2</v>
      </c>
      <c r="D1160" s="17">
        <f t="shared" si="56"/>
        <v>1</v>
      </c>
      <c r="E1160" s="17">
        <f t="shared" si="55"/>
        <v>1534</v>
      </c>
      <c r="F1160" s="17" t="s">
        <v>4813</v>
      </c>
      <c r="G1160" s="17">
        <f>MATCH(E1160,Arenas!$F$8:$F$15)</f>
        <v>5</v>
      </c>
      <c r="H1160" s="29" t="s">
        <v>2530</v>
      </c>
      <c r="I1160" s="33" t="s">
        <v>7489</v>
      </c>
      <c r="J1160" s="47" t="s">
        <v>7490</v>
      </c>
      <c r="K1160" s="61" t="s">
        <v>4779</v>
      </c>
      <c r="L1160" s="12" t="str">
        <f t="shared" si="54"/>
        <v>2,2,2</v>
      </c>
    </row>
    <row r="1161" spans="2:12">
      <c r="B1161" s="17">
        <v>1460</v>
      </c>
      <c r="C1161" s="17">
        <v>2</v>
      </c>
      <c r="D1161" s="17">
        <f t="shared" si="56"/>
        <v>0</v>
      </c>
      <c r="E1161" s="17">
        <f t="shared" si="55"/>
        <v>1534</v>
      </c>
      <c r="F1161" s="17" t="s">
        <v>4813</v>
      </c>
      <c r="G1161" s="17">
        <f>MATCH(E1161,Arenas!$F$8:$F$15)</f>
        <v>5</v>
      </c>
      <c r="H1161" s="29" t="s">
        <v>2531</v>
      </c>
      <c r="I1161" s="33" t="s">
        <v>7491</v>
      </c>
      <c r="J1161" s="47" t="s">
        <v>7492</v>
      </c>
      <c r="K1161" s="61" t="s">
        <v>4779</v>
      </c>
      <c r="L1161" s="12" t="str">
        <f t="shared" si="54"/>
        <v>2,2,2</v>
      </c>
    </row>
    <row r="1162" spans="2:12">
      <c r="B1162" s="17">
        <v>1461</v>
      </c>
      <c r="C1162" s="17">
        <v>2</v>
      </c>
      <c r="D1162" s="17">
        <f t="shared" si="56"/>
        <v>0</v>
      </c>
      <c r="E1162" s="17">
        <f t="shared" si="55"/>
        <v>1534</v>
      </c>
      <c r="F1162" s="17" t="s">
        <v>4813</v>
      </c>
      <c r="G1162" s="17">
        <f>MATCH(E1162,Arenas!$F$8:$F$15)</f>
        <v>5</v>
      </c>
      <c r="H1162" s="29" t="s">
        <v>2532</v>
      </c>
      <c r="I1162" s="33" t="s">
        <v>7493</v>
      </c>
      <c r="J1162" s="47" t="s">
        <v>5285</v>
      </c>
      <c r="K1162" s="61" t="s">
        <v>4779</v>
      </c>
      <c r="L1162" s="12" t="str">
        <f t="shared" si="54"/>
        <v>2,2,2</v>
      </c>
    </row>
    <row r="1163" spans="2:12">
      <c r="B1163" s="17">
        <v>1462</v>
      </c>
      <c r="C1163" s="17">
        <v>2</v>
      </c>
      <c r="D1163" s="17">
        <f t="shared" si="56"/>
        <v>1</v>
      </c>
      <c r="E1163" s="17">
        <f t="shared" si="55"/>
        <v>1535</v>
      </c>
      <c r="F1163" s="17" t="s">
        <v>4813</v>
      </c>
      <c r="G1163" s="17">
        <f>MATCH(E1163,Arenas!$F$8:$F$15)</f>
        <v>5</v>
      </c>
      <c r="H1163" s="29" t="s">
        <v>2533</v>
      </c>
      <c r="I1163" s="33" t="s">
        <v>7494</v>
      </c>
      <c r="J1163" s="47" t="s">
        <v>5024</v>
      </c>
      <c r="K1163" s="61" t="s">
        <v>4779</v>
      </c>
      <c r="L1163" s="12" t="str">
        <f t="shared" si="54"/>
        <v>2,2,2</v>
      </c>
    </row>
    <row r="1164" spans="2:12">
      <c r="B1164" s="17">
        <v>1463</v>
      </c>
      <c r="C1164" s="17">
        <v>2</v>
      </c>
      <c r="D1164" s="17">
        <f t="shared" si="56"/>
        <v>0</v>
      </c>
      <c r="E1164" s="17">
        <f t="shared" si="55"/>
        <v>1535</v>
      </c>
      <c r="F1164" s="17" t="s">
        <v>4813</v>
      </c>
      <c r="G1164" s="17">
        <f>MATCH(E1164,Arenas!$F$8:$F$15)</f>
        <v>5</v>
      </c>
      <c r="H1164" s="29" t="s">
        <v>2534</v>
      </c>
      <c r="I1164" s="33" t="s">
        <v>7495</v>
      </c>
      <c r="J1164" s="47" t="s">
        <v>5004</v>
      </c>
      <c r="K1164" s="61" t="s">
        <v>4779</v>
      </c>
      <c r="L1164" s="12" t="str">
        <f t="shared" si="54"/>
        <v>2,2,2</v>
      </c>
    </row>
    <row r="1165" spans="2:12">
      <c r="B1165" s="17">
        <v>1464</v>
      </c>
      <c r="C1165" s="17">
        <v>2</v>
      </c>
      <c r="D1165" s="17">
        <f t="shared" si="56"/>
        <v>0</v>
      </c>
      <c r="E1165" s="17">
        <f t="shared" si="55"/>
        <v>1535</v>
      </c>
      <c r="F1165" s="17" t="s">
        <v>4813</v>
      </c>
      <c r="G1165" s="17">
        <f>MATCH(E1165,Arenas!$F$8:$F$15)</f>
        <v>5</v>
      </c>
      <c r="H1165" s="29" t="s">
        <v>2535</v>
      </c>
      <c r="I1165" s="33" t="s">
        <v>7496</v>
      </c>
      <c r="J1165" s="47" t="s">
        <v>7497</v>
      </c>
      <c r="K1165" s="61" t="s">
        <v>4779</v>
      </c>
      <c r="L1165" s="12" t="str">
        <f t="shared" si="54"/>
        <v>2,2,2</v>
      </c>
    </row>
    <row r="1166" spans="2:12">
      <c r="B1166" s="17">
        <v>1465</v>
      </c>
      <c r="C1166" s="17">
        <v>2</v>
      </c>
      <c r="D1166" s="17">
        <f t="shared" si="56"/>
        <v>1</v>
      </c>
      <c r="E1166" s="17">
        <f t="shared" si="55"/>
        <v>1536</v>
      </c>
      <c r="F1166" s="17" t="s">
        <v>4813</v>
      </c>
      <c r="G1166" s="17">
        <f>MATCH(E1166,Arenas!$F$8:$F$15)</f>
        <v>5</v>
      </c>
      <c r="H1166" s="29" t="s">
        <v>2536</v>
      </c>
      <c r="I1166" s="33" t="s">
        <v>7498</v>
      </c>
      <c r="J1166" s="47" t="s">
        <v>5785</v>
      </c>
      <c r="K1166" s="61" t="s">
        <v>4779</v>
      </c>
      <c r="L1166" s="12" t="str">
        <f t="shared" si="54"/>
        <v>2,2,2</v>
      </c>
    </row>
    <row r="1167" spans="2:12">
      <c r="B1167" s="17">
        <v>1466</v>
      </c>
      <c r="C1167" s="17">
        <v>2</v>
      </c>
      <c r="D1167" s="17">
        <f t="shared" si="56"/>
        <v>0</v>
      </c>
      <c r="E1167" s="17">
        <f t="shared" si="55"/>
        <v>1536</v>
      </c>
      <c r="F1167" s="17" t="s">
        <v>4813</v>
      </c>
      <c r="G1167" s="17">
        <f>MATCH(E1167,Arenas!$F$8:$F$15)</f>
        <v>5</v>
      </c>
      <c r="H1167" s="29" t="s">
        <v>2537</v>
      </c>
      <c r="I1167" s="33" t="s">
        <v>7499</v>
      </c>
      <c r="J1167" s="47" t="s">
        <v>7500</v>
      </c>
      <c r="K1167" s="61" t="s">
        <v>4779</v>
      </c>
      <c r="L1167" s="12" t="str">
        <f t="shared" si="54"/>
        <v>2,2,2</v>
      </c>
    </row>
    <row r="1168" spans="2:12">
      <c r="B1168" s="17">
        <v>1467</v>
      </c>
      <c r="C1168" s="17">
        <v>2</v>
      </c>
      <c r="D1168" s="17">
        <f t="shared" si="56"/>
        <v>0</v>
      </c>
      <c r="E1168" s="17">
        <f t="shared" si="55"/>
        <v>1536</v>
      </c>
      <c r="F1168" s="17" t="s">
        <v>4813</v>
      </c>
      <c r="G1168" s="17">
        <f>MATCH(E1168,Arenas!$F$8:$F$15)</f>
        <v>5</v>
      </c>
      <c r="H1168" s="29" t="s">
        <v>2538</v>
      </c>
      <c r="I1168" s="33" t="s">
        <v>7501</v>
      </c>
      <c r="J1168" s="47" t="s">
        <v>7502</v>
      </c>
      <c r="K1168" s="61" t="s">
        <v>4779</v>
      </c>
      <c r="L1168" s="12" t="str">
        <f t="shared" si="54"/>
        <v>2,2,2</v>
      </c>
    </row>
    <row r="1169" spans="2:12">
      <c r="B1169" s="17">
        <v>1468</v>
      </c>
      <c r="C1169" s="17">
        <v>2</v>
      </c>
      <c r="D1169" s="17">
        <f t="shared" si="56"/>
        <v>1</v>
      </c>
      <c r="E1169" s="17">
        <f t="shared" si="55"/>
        <v>1537</v>
      </c>
      <c r="F1169" s="17" t="s">
        <v>4813</v>
      </c>
      <c r="G1169" s="17">
        <f>MATCH(E1169,Arenas!$F$8:$F$15)</f>
        <v>5</v>
      </c>
      <c r="H1169" s="29" t="s">
        <v>2539</v>
      </c>
      <c r="I1169" s="33" t="s">
        <v>7503</v>
      </c>
      <c r="J1169" s="47" t="s">
        <v>4978</v>
      </c>
      <c r="K1169" s="61" t="s">
        <v>4779</v>
      </c>
      <c r="L1169" s="12" t="str">
        <f t="shared" si="54"/>
        <v>2,2,2</v>
      </c>
    </row>
    <row r="1170" spans="2:12">
      <c r="B1170" s="17">
        <v>1469</v>
      </c>
      <c r="C1170" s="17">
        <v>2</v>
      </c>
      <c r="D1170" s="17">
        <f t="shared" si="56"/>
        <v>0</v>
      </c>
      <c r="E1170" s="17">
        <f t="shared" si="55"/>
        <v>1537</v>
      </c>
      <c r="F1170" s="17" t="s">
        <v>4813</v>
      </c>
      <c r="G1170" s="17">
        <f>MATCH(E1170,Arenas!$F$8:$F$15)</f>
        <v>5</v>
      </c>
      <c r="H1170" s="29" t="s">
        <v>2540</v>
      </c>
      <c r="I1170" s="33" t="s">
        <v>7504</v>
      </c>
      <c r="J1170" s="47" t="s">
        <v>5698</v>
      </c>
      <c r="K1170" s="61" t="s">
        <v>4779</v>
      </c>
      <c r="L1170" s="12" t="str">
        <f t="shared" si="54"/>
        <v>2,2,2</v>
      </c>
    </row>
    <row r="1171" spans="2:12">
      <c r="B1171" s="17">
        <v>1470</v>
      </c>
      <c r="C1171" s="17">
        <v>2</v>
      </c>
      <c r="D1171" s="17">
        <f t="shared" si="56"/>
        <v>0</v>
      </c>
      <c r="E1171" s="17">
        <f t="shared" si="55"/>
        <v>1537</v>
      </c>
      <c r="F1171" s="17" t="s">
        <v>4813</v>
      </c>
      <c r="G1171" s="17">
        <f>MATCH(E1171,Arenas!$F$8:$F$15)</f>
        <v>5</v>
      </c>
      <c r="H1171" s="29" t="s">
        <v>2541</v>
      </c>
      <c r="I1171" s="33" t="s">
        <v>7505</v>
      </c>
      <c r="J1171" s="47" t="s">
        <v>7506</v>
      </c>
      <c r="K1171" s="61" t="s">
        <v>4779</v>
      </c>
      <c r="L1171" s="12" t="str">
        <f t="shared" si="54"/>
        <v>2,2,2</v>
      </c>
    </row>
    <row r="1172" spans="2:12">
      <c r="B1172" s="17">
        <v>1471</v>
      </c>
      <c r="C1172" s="17">
        <v>2</v>
      </c>
      <c r="D1172" s="17">
        <f t="shared" si="56"/>
        <v>1</v>
      </c>
      <c r="E1172" s="17">
        <f t="shared" si="55"/>
        <v>1538</v>
      </c>
      <c r="F1172" s="17" t="s">
        <v>4813</v>
      </c>
      <c r="G1172" s="17">
        <f>MATCH(E1172,Arenas!$F$8:$F$15)</f>
        <v>5</v>
      </c>
      <c r="H1172" s="29" t="s">
        <v>2542</v>
      </c>
      <c r="I1172" s="33" t="s">
        <v>7507</v>
      </c>
      <c r="J1172" s="47" t="s">
        <v>7508</v>
      </c>
      <c r="K1172" s="61" t="s">
        <v>4779</v>
      </c>
      <c r="L1172" s="12" t="str">
        <f t="shared" si="54"/>
        <v>2,2,2</v>
      </c>
    </row>
    <row r="1173" spans="2:12">
      <c r="B1173" s="17">
        <v>1472</v>
      </c>
      <c r="C1173" s="17">
        <v>2</v>
      </c>
      <c r="D1173" s="17">
        <f t="shared" si="56"/>
        <v>0</v>
      </c>
      <c r="E1173" s="17">
        <f t="shared" si="55"/>
        <v>1538</v>
      </c>
      <c r="F1173" s="17" t="s">
        <v>4813</v>
      </c>
      <c r="G1173" s="17">
        <f>MATCH(E1173,Arenas!$F$8:$F$15)</f>
        <v>5</v>
      </c>
      <c r="H1173" s="29" t="s">
        <v>2543</v>
      </c>
      <c r="I1173" s="33" t="s">
        <v>7509</v>
      </c>
      <c r="J1173" s="47" t="s">
        <v>5009</v>
      </c>
      <c r="K1173" s="61" t="s">
        <v>4779</v>
      </c>
      <c r="L1173" s="12" t="str">
        <f t="shared" si="54"/>
        <v>2,2,2</v>
      </c>
    </row>
    <row r="1174" spans="2:12">
      <c r="B1174" s="17">
        <v>1473</v>
      </c>
      <c r="C1174" s="17">
        <v>2</v>
      </c>
      <c r="D1174" s="17">
        <f t="shared" si="56"/>
        <v>0</v>
      </c>
      <c r="E1174" s="17">
        <f t="shared" si="55"/>
        <v>1538</v>
      </c>
      <c r="F1174" s="17" t="s">
        <v>4813</v>
      </c>
      <c r="G1174" s="17">
        <f>MATCH(E1174,Arenas!$F$8:$F$15)</f>
        <v>5</v>
      </c>
      <c r="H1174" s="29" t="s">
        <v>2544</v>
      </c>
      <c r="I1174" s="33" t="s">
        <v>7510</v>
      </c>
      <c r="J1174" s="47" t="s">
        <v>7333</v>
      </c>
      <c r="K1174" s="61" t="s">
        <v>4779</v>
      </c>
      <c r="L1174" s="12" t="str">
        <f t="shared" si="54"/>
        <v>2,2,2</v>
      </c>
    </row>
    <row r="1175" spans="2:12">
      <c r="B1175" s="17">
        <v>1474</v>
      </c>
      <c r="C1175" s="17">
        <v>2</v>
      </c>
      <c r="D1175" s="17">
        <f t="shared" si="56"/>
        <v>1</v>
      </c>
      <c r="E1175" s="17">
        <f t="shared" si="55"/>
        <v>1539</v>
      </c>
      <c r="F1175" s="17" t="s">
        <v>4813</v>
      </c>
      <c r="G1175" s="17">
        <f>MATCH(E1175,Arenas!$F$8:$F$15)</f>
        <v>5</v>
      </c>
      <c r="H1175" s="29" t="s">
        <v>2545</v>
      </c>
      <c r="I1175" s="33" t="s">
        <v>7511</v>
      </c>
      <c r="J1175" s="47" t="s">
        <v>5691</v>
      </c>
      <c r="K1175" s="61" t="s">
        <v>4779</v>
      </c>
      <c r="L1175" s="12" t="str">
        <f t="shared" si="54"/>
        <v>2,2,2</v>
      </c>
    </row>
    <row r="1176" spans="2:12">
      <c r="B1176" s="17">
        <v>1475</v>
      </c>
      <c r="C1176" s="17">
        <v>2</v>
      </c>
      <c r="D1176" s="17">
        <f t="shared" si="56"/>
        <v>0</v>
      </c>
      <c r="E1176" s="17">
        <f t="shared" si="55"/>
        <v>1539</v>
      </c>
      <c r="F1176" s="17" t="s">
        <v>4813</v>
      </c>
      <c r="G1176" s="17">
        <f>MATCH(E1176,Arenas!$F$8:$F$15)</f>
        <v>5</v>
      </c>
      <c r="H1176" s="29" t="s">
        <v>2546</v>
      </c>
      <c r="I1176" s="33" t="s">
        <v>7512</v>
      </c>
      <c r="J1176" s="47" t="s">
        <v>7513</v>
      </c>
      <c r="K1176" s="61" t="s">
        <v>4779</v>
      </c>
      <c r="L1176" s="12" t="str">
        <f t="shared" si="54"/>
        <v>2,2,2</v>
      </c>
    </row>
    <row r="1177" spans="2:12">
      <c r="B1177" s="17">
        <v>1476</v>
      </c>
      <c r="C1177" s="17">
        <v>2</v>
      </c>
      <c r="D1177" s="17">
        <f t="shared" si="56"/>
        <v>0</v>
      </c>
      <c r="E1177" s="17">
        <f t="shared" si="55"/>
        <v>1539</v>
      </c>
      <c r="F1177" s="17" t="s">
        <v>4813</v>
      </c>
      <c r="G1177" s="17">
        <f>MATCH(E1177,Arenas!$F$8:$F$15)</f>
        <v>5</v>
      </c>
      <c r="H1177" s="29" t="s">
        <v>2547</v>
      </c>
      <c r="I1177" s="33" t="s">
        <v>7514</v>
      </c>
      <c r="J1177" s="47" t="s">
        <v>7515</v>
      </c>
      <c r="K1177" s="61" t="s">
        <v>4779</v>
      </c>
      <c r="L1177" s="12" t="str">
        <f t="shared" si="54"/>
        <v>2,2,2</v>
      </c>
    </row>
    <row r="1178" spans="2:12">
      <c r="B1178" s="17">
        <v>1477</v>
      </c>
      <c r="C1178" s="17">
        <v>2</v>
      </c>
      <c r="D1178" s="17">
        <f t="shared" si="56"/>
        <v>1</v>
      </c>
      <c r="E1178" s="17">
        <f t="shared" si="55"/>
        <v>1540</v>
      </c>
      <c r="F1178" s="17" t="s">
        <v>4813</v>
      </c>
      <c r="G1178" s="17">
        <f>MATCH(E1178,Arenas!$F$8:$F$15)</f>
        <v>5</v>
      </c>
      <c r="H1178" s="29" t="s">
        <v>2548</v>
      </c>
      <c r="I1178" s="33" t="s">
        <v>7516</v>
      </c>
      <c r="J1178" s="47" t="s">
        <v>7517</v>
      </c>
      <c r="K1178" s="61" t="s">
        <v>4779</v>
      </c>
      <c r="L1178" s="12" t="str">
        <f t="shared" si="54"/>
        <v>2,2,2</v>
      </c>
    </row>
    <row r="1179" spans="2:12">
      <c r="B1179" s="17">
        <v>1478</v>
      </c>
      <c r="C1179" s="17">
        <v>2</v>
      </c>
      <c r="D1179" s="17">
        <f t="shared" si="56"/>
        <v>0</v>
      </c>
      <c r="E1179" s="17">
        <f t="shared" si="55"/>
        <v>1540</v>
      </c>
      <c r="F1179" s="17" t="s">
        <v>4813</v>
      </c>
      <c r="G1179" s="17">
        <f>MATCH(E1179,Arenas!$F$8:$F$15)</f>
        <v>5</v>
      </c>
      <c r="H1179" s="29" t="s">
        <v>2549</v>
      </c>
      <c r="I1179" s="33" t="s">
        <v>7518</v>
      </c>
      <c r="J1179" s="47" t="s">
        <v>7519</v>
      </c>
      <c r="K1179" s="61" t="s">
        <v>4779</v>
      </c>
      <c r="L1179" s="12" t="str">
        <f t="shared" si="54"/>
        <v>2,2,2</v>
      </c>
    </row>
    <row r="1180" spans="2:12">
      <c r="B1180" s="17">
        <v>1479</v>
      </c>
      <c r="C1180" s="17">
        <v>2</v>
      </c>
      <c r="D1180" s="17">
        <f t="shared" si="56"/>
        <v>0</v>
      </c>
      <c r="E1180" s="17">
        <f t="shared" si="55"/>
        <v>1540</v>
      </c>
      <c r="F1180" s="17" t="s">
        <v>4813</v>
      </c>
      <c r="G1180" s="17">
        <f>MATCH(E1180,Arenas!$F$8:$F$15)</f>
        <v>5</v>
      </c>
      <c r="H1180" s="29" t="s">
        <v>2550</v>
      </c>
      <c r="I1180" s="33" t="s">
        <v>7520</v>
      </c>
      <c r="J1180" s="47" t="s">
        <v>7521</v>
      </c>
      <c r="K1180" s="61" t="s">
        <v>4779</v>
      </c>
      <c r="L1180" s="12" t="str">
        <f t="shared" si="54"/>
        <v>2,2,2</v>
      </c>
    </row>
    <row r="1181" spans="2:12">
      <c r="B1181" s="17">
        <v>1480</v>
      </c>
      <c r="C1181" s="17">
        <v>2</v>
      </c>
      <c r="D1181" s="17">
        <f t="shared" si="56"/>
        <v>1</v>
      </c>
      <c r="E1181" s="17">
        <f t="shared" si="55"/>
        <v>1541</v>
      </c>
      <c r="F1181" s="17" t="s">
        <v>4813</v>
      </c>
      <c r="G1181" s="17">
        <f>MATCH(E1181,Arenas!$F$8:$F$15)</f>
        <v>5</v>
      </c>
      <c r="H1181" s="29" t="s">
        <v>2551</v>
      </c>
      <c r="I1181" s="33" t="s">
        <v>7522</v>
      </c>
      <c r="J1181" s="47" t="s">
        <v>7523</v>
      </c>
      <c r="K1181" s="61" t="s">
        <v>4779</v>
      </c>
      <c r="L1181" s="12" t="str">
        <f t="shared" si="54"/>
        <v>2,2,2</v>
      </c>
    </row>
    <row r="1182" spans="2:12">
      <c r="B1182" s="17">
        <v>1481</v>
      </c>
      <c r="C1182" s="17">
        <v>2</v>
      </c>
      <c r="D1182" s="17">
        <f t="shared" si="56"/>
        <v>0</v>
      </c>
      <c r="E1182" s="17">
        <f t="shared" si="55"/>
        <v>1541</v>
      </c>
      <c r="F1182" s="17" t="s">
        <v>4813</v>
      </c>
      <c r="G1182" s="17">
        <f>MATCH(E1182,Arenas!$F$8:$F$15)</f>
        <v>5</v>
      </c>
      <c r="H1182" s="29" t="s">
        <v>2552</v>
      </c>
      <c r="I1182" s="33" t="s">
        <v>7524</v>
      </c>
      <c r="J1182" s="47" t="s">
        <v>7525</v>
      </c>
      <c r="K1182" s="61" t="s">
        <v>4807</v>
      </c>
      <c r="L1182" s="12" t="str">
        <f t="shared" si="54"/>
        <v>2,2,2</v>
      </c>
    </row>
    <row r="1183" spans="2:12">
      <c r="B1183" s="17">
        <v>1482</v>
      </c>
      <c r="C1183" s="17">
        <v>2</v>
      </c>
      <c r="D1183" s="17">
        <f t="shared" si="56"/>
        <v>0</v>
      </c>
      <c r="E1183" s="17">
        <f t="shared" si="55"/>
        <v>1541</v>
      </c>
      <c r="F1183" s="17" t="s">
        <v>4813</v>
      </c>
      <c r="G1183" s="17">
        <f>MATCH(E1183,Arenas!$F$8:$F$15)</f>
        <v>5</v>
      </c>
      <c r="H1183" s="29" t="s">
        <v>2553</v>
      </c>
      <c r="I1183" s="33" t="s">
        <v>7526</v>
      </c>
      <c r="J1183" s="47" t="s">
        <v>5376</v>
      </c>
      <c r="K1183" s="61" t="s">
        <v>4779</v>
      </c>
      <c r="L1183" s="12" t="str">
        <f t="shared" si="54"/>
        <v>2,2,2</v>
      </c>
    </row>
    <row r="1184" spans="2:12">
      <c r="B1184" s="17">
        <v>1483</v>
      </c>
      <c r="C1184" s="17">
        <v>2</v>
      </c>
      <c r="D1184" s="17">
        <f t="shared" si="56"/>
        <v>1</v>
      </c>
      <c r="E1184" s="17">
        <f t="shared" si="55"/>
        <v>1542</v>
      </c>
      <c r="F1184" s="17" t="s">
        <v>4813</v>
      </c>
      <c r="G1184" s="17">
        <f>MATCH(E1184,Arenas!$F$8:$F$15)</f>
        <v>5</v>
      </c>
      <c r="H1184" s="29" t="s">
        <v>2554</v>
      </c>
      <c r="I1184" s="33" t="s">
        <v>7527</v>
      </c>
      <c r="J1184" s="47" t="s">
        <v>7528</v>
      </c>
      <c r="K1184" s="61" t="s">
        <v>4779</v>
      </c>
      <c r="L1184" s="12" t="str">
        <f t="shared" si="54"/>
        <v>2,2,2</v>
      </c>
    </row>
    <row r="1185" spans="2:12">
      <c r="B1185" s="17">
        <v>1484</v>
      </c>
      <c r="C1185" s="17">
        <v>2</v>
      </c>
      <c r="D1185" s="17">
        <f t="shared" si="56"/>
        <v>0</v>
      </c>
      <c r="E1185" s="17">
        <f t="shared" si="55"/>
        <v>1542</v>
      </c>
      <c r="F1185" s="17" t="s">
        <v>4813</v>
      </c>
      <c r="G1185" s="17">
        <f>MATCH(E1185,Arenas!$F$8:$F$15)</f>
        <v>5</v>
      </c>
      <c r="H1185" s="29" t="s">
        <v>2555</v>
      </c>
      <c r="I1185" s="33" t="s">
        <v>7529</v>
      </c>
      <c r="J1185" s="47" t="s">
        <v>5811</v>
      </c>
      <c r="K1185" s="61" t="s">
        <v>4807</v>
      </c>
      <c r="L1185" s="12" t="str">
        <f t="shared" si="54"/>
        <v>2,2,2</v>
      </c>
    </row>
    <row r="1186" spans="2:12">
      <c r="B1186" s="17">
        <v>1485</v>
      </c>
      <c r="C1186" s="17">
        <v>2</v>
      </c>
      <c r="D1186" s="17">
        <f t="shared" si="56"/>
        <v>0</v>
      </c>
      <c r="E1186" s="17">
        <f t="shared" si="55"/>
        <v>1542</v>
      </c>
      <c r="F1186" s="17" t="s">
        <v>4813</v>
      </c>
      <c r="G1186" s="17">
        <f>MATCH(E1186,Arenas!$F$8:$F$15)</f>
        <v>5</v>
      </c>
      <c r="H1186" s="29" t="s">
        <v>2556</v>
      </c>
      <c r="I1186" s="33" t="s">
        <v>7530</v>
      </c>
      <c r="J1186" s="47" t="s">
        <v>7531</v>
      </c>
      <c r="K1186" s="61" t="s">
        <v>4779</v>
      </c>
      <c r="L1186" s="12" t="str">
        <f t="shared" si="54"/>
        <v>2,2,2</v>
      </c>
    </row>
    <row r="1187" spans="2:12">
      <c r="B1187" s="17">
        <v>1486</v>
      </c>
      <c r="C1187" s="17">
        <v>2</v>
      </c>
      <c r="D1187" s="17">
        <f t="shared" si="56"/>
        <v>1</v>
      </c>
      <c r="E1187" s="17">
        <f t="shared" si="55"/>
        <v>1543</v>
      </c>
      <c r="F1187" s="17" t="s">
        <v>4813</v>
      </c>
      <c r="G1187" s="17">
        <f>MATCH(E1187,Arenas!$F$8:$F$15)</f>
        <v>5</v>
      </c>
      <c r="H1187" s="29" t="s">
        <v>2557</v>
      </c>
      <c r="I1187" s="33" t="s">
        <v>7532</v>
      </c>
      <c r="J1187" s="47" t="s">
        <v>7533</v>
      </c>
      <c r="K1187" s="61" t="s">
        <v>4779</v>
      </c>
      <c r="L1187" s="12" t="str">
        <f t="shared" si="54"/>
        <v>2,2,2</v>
      </c>
    </row>
    <row r="1188" spans="2:12">
      <c r="B1188" s="17">
        <v>1487</v>
      </c>
      <c r="C1188" s="17">
        <v>2</v>
      </c>
      <c r="D1188" s="17">
        <f t="shared" si="56"/>
        <v>0</v>
      </c>
      <c r="E1188" s="17">
        <f t="shared" si="55"/>
        <v>1543</v>
      </c>
      <c r="F1188" s="17" t="s">
        <v>4813</v>
      </c>
      <c r="G1188" s="17">
        <f>MATCH(E1188,Arenas!$F$8:$F$15)</f>
        <v>5</v>
      </c>
      <c r="H1188" s="29" t="s">
        <v>2558</v>
      </c>
      <c r="I1188" s="33" t="s">
        <v>7534</v>
      </c>
      <c r="J1188" s="47" t="s">
        <v>7535</v>
      </c>
      <c r="K1188" s="61" t="s">
        <v>4779</v>
      </c>
      <c r="L1188" s="12" t="str">
        <f t="shared" si="54"/>
        <v>2,2,2</v>
      </c>
    </row>
    <row r="1189" spans="2:12">
      <c r="B1189" s="17">
        <v>1488</v>
      </c>
      <c r="C1189" s="17">
        <v>2</v>
      </c>
      <c r="D1189" s="17">
        <f t="shared" si="56"/>
        <v>0</v>
      </c>
      <c r="E1189" s="17">
        <f t="shared" si="55"/>
        <v>1543</v>
      </c>
      <c r="F1189" s="17" t="s">
        <v>4813</v>
      </c>
      <c r="G1189" s="17">
        <f>MATCH(E1189,Arenas!$F$8:$F$15)</f>
        <v>5</v>
      </c>
      <c r="H1189" s="29" t="s">
        <v>2559</v>
      </c>
      <c r="I1189" s="33" t="s">
        <v>7536</v>
      </c>
      <c r="J1189" s="47" t="s">
        <v>7537</v>
      </c>
      <c r="K1189" s="61" t="s">
        <v>4779</v>
      </c>
      <c r="L1189" s="12" t="str">
        <f t="shared" si="54"/>
        <v>2,2,2</v>
      </c>
    </row>
    <row r="1190" spans="2:12">
      <c r="B1190" s="17">
        <v>1489</v>
      </c>
      <c r="C1190" s="17">
        <v>2</v>
      </c>
      <c r="D1190" s="17">
        <f t="shared" si="56"/>
        <v>1</v>
      </c>
      <c r="E1190" s="17">
        <f t="shared" si="55"/>
        <v>1544</v>
      </c>
      <c r="F1190" s="17" t="s">
        <v>4813</v>
      </c>
      <c r="G1190" s="17">
        <f>MATCH(E1190,Arenas!$F$8:$F$15)</f>
        <v>5</v>
      </c>
      <c r="H1190" s="29" t="s">
        <v>2560</v>
      </c>
      <c r="I1190" s="33" t="s">
        <v>7538</v>
      </c>
      <c r="J1190" s="47" t="s">
        <v>5802</v>
      </c>
      <c r="K1190" s="61" t="s">
        <v>4779</v>
      </c>
      <c r="L1190" s="12" t="str">
        <f t="shared" si="54"/>
        <v>2,2,2</v>
      </c>
    </row>
    <row r="1191" spans="2:12">
      <c r="B1191" s="17">
        <v>1490</v>
      </c>
      <c r="C1191" s="17">
        <v>2</v>
      </c>
      <c r="D1191" s="17">
        <f t="shared" si="56"/>
        <v>0</v>
      </c>
      <c r="E1191" s="17">
        <f t="shared" si="55"/>
        <v>1544</v>
      </c>
      <c r="F1191" s="17" t="s">
        <v>4813</v>
      </c>
      <c r="G1191" s="17">
        <f>MATCH(E1191,Arenas!$F$8:$F$15)</f>
        <v>5</v>
      </c>
      <c r="H1191" s="29" t="s">
        <v>2561</v>
      </c>
      <c r="I1191" s="33" t="s">
        <v>7539</v>
      </c>
      <c r="J1191" s="47" t="s">
        <v>7540</v>
      </c>
      <c r="K1191" s="61" t="s">
        <v>4779</v>
      </c>
      <c r="L1191" s="12" t="str">
        <f t="shared" si="54"/>
        <v>2,2,2</v>
      </c>
    </row>
    <row r="1192" spans="2:12">
      <c r="B1192" s="17">
        <v>1491</v>
      </c>
      <c r="C1192" s="17">
        <v>2</v>
      </c>
      <c r="D1192" s="17">
        <f t="shared" si="56"/>
        <v>0</v>
      </c>
      <c r="E1192" s="17">
        <f t="shared" si="55"/>
        <v>1544</v>
      </c>
      <c r="F1192" s="17" t="s">
        <v>4813</v>
      </c>
      <c r="G1192" s="17">
        <f>MATCH(E1192,Arenas!$F$8:$F$15)</f>
        <v>5</v>
      </c>
      <c r="H1192" s="29" t="s">
        <v>2562</v>
      </c>
      <c r="I1192" s="33" t="s">
        <v>7541</v>
      </c>
      <c r="J1192" s="47" t="s">
        <v>7542</v>
      </c>
      <c r="K1192" s="61" t="s">
        <v>4779</v>
      </c>
      <c r="L1192" s="12" t="str">
        <f t="shared" si="54"/>
        <v>2,2,2</v>
      </c>
    </row>
    <row r="1193" spans="2:12">
      <c r="B1193" s="17">
        <v>1492</v>
      </c>
      <c r="C1193" s="17">
        <v>2</v>
      </c>
      <c r="D1193" s="17">
        <f t="shared" si="56"/>
        <v>1</v>
      </c>
      <c r="E1193" s="17">
        <f t="shared" si="55"/>
        <v>1545</v>
      </c>
      <c r="F1193" s="17" t="s">
        <v>4813</v>
      </c>
      <c r="G1193" s="17">
        <f>MATCH(E1193,Arenas!$F$8:$F$15)</f>
        <v>5</v>
      </c>
      <c r="H1193" s="29" t="s">
        <v>2563</v>
      </c>
      <c r="I1193" s="33" t="s">
        <v>7543</v>
      </c>
      <c r="J1193" s="47" t="s">
        <v>5265</v>
      </c>
      <c r="K1193" s="61" t="s">
        <v>4779</v>
      </c>
      <c r="L1193" s="12" t="str">
        <f t="shared" si="54"/>
        <v>2,2,2</v>
      </c>
    </row>
    <row r="1194" spans="2:12">
      <c r="B1194" s="17">
        <v>1493</v>
      </c>
      <c r="C1194" s="17">
        <v>2</v>
      </c>
      <c r="D1194" s="17">
        <f t="shared" si="56"/>
        <v>0</v>
      </c>
      <c r="E1194" s="17">
        <f t="shared" si="55"/>
        <v>1545</v>
      </c>
      <c r="F1194" s="17" t="s">
        <v>4813</v>
      </c>
      <c r="G1194" s="17">
        <f>MATCH(E1194,Arenas!$F$8:$F$15)</f>
        <v>5</v>
      </c>
      <c r="H1194" s="29" t="s">
        <v>2564</v>
      </c>
      <c r="I1194" s="33" t="s">
        <v>7544</v>
      </c>
      <c r="J1194" s="47" t="s">
        <v>7545</v>
      </c>
      <c r="K1194" s="61" t="s">
        <v>4779</v>
      </c>
      <c r="L1194" s="12" t="str">
        <f t="shared" si="54"/>
        <v>2,2,2</v>
      </c>
    </row>
    <row r="1195" spans="2:12">
      <c r="B1195" s="17">
        <v>1494</v>
      </c>
      <c r="C1195" s="17">
        <v>2</v>
      </c>
      <c r="D1195" s="17">
        <f t="shared" si="56"/>
        <v>0</v>
      </c>
      <c r="E1195" s="17">
        <f t="shared" si="55"/>
        <v>1545</v>
      </c>
      <c r="F1195" s="17" t="s">
        <v>4813</v>
      </c>
      <c r="G1195" s="17">
        <f>MATCH(E1195,Arenas!$F$8:$F$15)</f>
        <v>5</v>
      </c>
      <c r="H1195" s="29" t="s">
        <v>2565</v>
      </c>
      <c r="I1195" s="33" t="s">
        <v>7546</v>
      </c>
      <c r="J1195" s="47" t="s">
        <v>7547</v>
      </c>
      <c r="K1195" s="61" t="s">
        <v>4779</v>
      </c>
      <c r="L1195" s="12" t="str">
        <f t="shared" si="54"/>
        <v>2,2,2</v>
      </c>
    </row>
    <row r="1196" spans="2:12">
      <c r="B1196" s="17">
        <v>1495</v>
      </c>
      <c r="C1196" s="17">
        <v>2</v>
      </c>
      <c r="D1196" s="17">
        <f t="shared" si="56"/>
        <v>1</v>
      </c>
      <c r="E1196" s="17">
        <f t="shared" si="55"/>
        <v>1546</v>
      </c>
      <c r="F1196" s="17" t="s">
        <v>4813</v>
      </c>
      <c r="G1196" s="17">
        <f>MATCH(E1196,Arenas!$F$8:$F$15)</f>
        <v>5</v>
      </c>
      <c r="H1196" s="29" t="s">
        <v>2566</v>
      </c>
      <c r="I1196" s="33" t="s">
        <v>7548</v>
      </c>
      <c r="J1196" s="47" t="s">
        <v>5468</v>
      </c>
      <c r="K1196" s="61" t="s">
        <v>4779</v>
      </c>
      <c r="L1196" s="12" t="str">
        <f t="shared" si="54"/>
        <v>2,2,2</v>
      </c>
    </row>
    <row r="1197" spans="2:12">
      <c r="B1197" s="17">
        <v>1496</v>
      </c>
      <c r="C1197" s="17">
        <v>2</v>
      </c>
      <c r="D1197" s="17">
        <f t="shared" si="56"/>
        <v>0</v>
      </c>
      <c r="E1197" s="17">
        <f t="shared" si="55"/>
        <v>1546</v>
      </c>
      <c r="F1197" s="17" t="s">
        <v>4813</v>
      </c>
      <c r="G1197" s="17">
        <f>MATCH(E1197,Arenas!$F$8:$F$15)</f>
        <v>5</v>
      </c>
      <c r="H1197" s="29" t="s">
        <v>2567</v>
      </c>
      <c r="I1197" s="33" t="s">
        <v>7549</v>
      </c>
      <c r="J1197" s="47" t="s">
        <v>7550</v>
      </c>
      <c r="K1197" s="61" t="s">
        <v>4779</v>
      </c>
      <c r="L1197" s="12" t="str">
        <f t="shared" si="54"/>
        <v>2,2,2</v>
      </c>
    </row>
    <row r="1198" spans="2:12">
      <c r="B1198" s="17">
        <v>1497</v>
      </c>
      <c r="C1198" s="17">
        <v>2</v>
      </c>
      <c r="D1198" s="17">
        <f t="shared" si="56"/>
        <v>0</v>
      </c>
      <c r="E1198" s="17">
        <f t="shared" si="55"/>
        <v>1546</v>
      </c>
      <c r="F1198" s="17" t="s">
        <v>4813</v>
      </c>
      <c r="G1198" s="17">
        <f>MATCH(E1198,Arenas!$F$8:$F$15)</f>
        <v>5</v>
      </c>
      <c r="H1198" s="29" t="s">
        <v>2568</v>
      </c>
      <c r="I1198" s="33" t="s">
        <v>7551</v>
      </c>
      <c r="J1198" s="47" t="s">
        <v>7552</v>
      </c>
      <c r="K1198" s="61" t="s">
        <v>4779</v>
      </c>
      <c r="L1198" s="12" t="str">
        <f t="shared" si="54"/>
        <v>2,2,2</v>
      </c>
    </row>
    <row r="1199" spans="2:12">
      <c r="B1199" s="17">
        <v>1498</v>
      </c>
      <c r="C1199" s="17">
        <v>2</v>
      </c>
      <c r="D1199" s="17">
        <f t="shared" si="56"/>
        <v>1</v>
      </c>
      <c r="E1199" s="17">
        <f t="shared" si="55"/>
        <v>1547</v>
      </c>
      <c r="F1199" s="17" t="s">
        <v>4813</v>
      </c>
      <c r="G1199" s="17">
        <f>MATCH(E1199,Arenas!$F$8:$F$15)</f>
        <v>5</v>
      </c>
      <c r="H1199" s="29" t="s">
        <v>2569</v>
      </c>
      <c r="I1199" s="33" t="s">
        <v>7553</v>
      </c>
      <c r="J1199" s="47" t="s">
        <v>5596</v>
      </c>
      <c r="K1199" s="61" t="s">
        <v>4779</v>
      </c>
      <c r="L1199" s="12" t="str">
        <f t="shared" si="54"/>
        <v>2,2,2</v>
      </c>
    </row>
    <row r="1200" spans="2:12">
      <c r="B1200" s="17">
        <v>1499</v>
      </c>
      <c r="C1200" s="17">
        <v>2</v>
      </c>
      <c r="D1200" s="17">
        <f t="shared" si="56"/>
        <v>0</v>
      </c>
      <c r="E1200" s="17">
        <f t="shared" si="55"/>
        <v>1547</v>
      </c>
      <c r="F1200" s="17" t="s">
        <v>4813</v>
      </c>
      <c r="G1200" s="17">
        <f>MATCH(E1200,Arenas!$F$8:$F$15)</f>
        <v>5</v>
      </c>
      <c r="H1200" s="29" t="s">
        <v>2570</v>
      </c>
      <c r="I1200" s="33" t="s">
        <v>7554</v>
      </c>
      <c r="J1200" s="47" t="s">
        <v>7555</v>
      </c>
      <c r="K1200" s="61" t="s">
        <v>4779</v>
      </c>
      <c r="L1200" s="12" t="str">
        <f t="shared" si="54"/>
        <v>2,2,2</v>
      </c>
    </row>
    <row r="1201" spans="2:12">
      <c r="B1201" s="17">
        <v>1500</v>
      </c>
      <c r="C1201" s="17">
        <v>2</v>
      </c>
      <c r="D1201" s="17">
        <f t="shared" si="56"/>
        <v>0</v>
      </c>
      <c r="E1201" s="17">
        <f t="shared" si="55"/>
        <v>1547</v>
      </c>
      <c r="F1201" s="17" t="s">
        <v>4813</v>
      </c>
      <c r="G1201" s="17">
        <f>MATCH(E1201,Arenas!$F$8:$F$15)</f>
        <v>5</v>
      </c>
      <c r="H1201" s="29" t="s">
        <v>2571</v>
      </c>
      <c r="I1201" s="33" t="s">
        <v>7556</v>
      </c>
      <c r="J1201" s="47" t="s">
        <v>7557</v>
      </c>
      <c r="K1201" s="61" t="s">
        <v>4779</v>
      </c>
      <c r="L1201" s="12" t="str">
        <f t="shared" si="54"/>
        <v>2,2,2</v>
      </c>
    </row>
    <row r="1202" spans="2:12">
      <c r="B1202" s="17">
        <v>1501</v>
      </c>
      <c r="C1202" s="17">
        <v>2</v>
      </c>
      <c r="D1202" s="17">
        <f t="shared" si="56"/>
        <v>1</v>
      </c>
      <c r="E1202" s="17">
        <f t="shared" si="55"/>
        <v>1548</v>
      </c>
      <c r="F1202" s="17" t="s">
        <v>4813</v>
      </c>
      <c r="G1202" s="17">
        <f>MATCH(E1202,Arenas!$F$8:$F$15)</f>
        <v>5</v>
      </c>
      <c r="H1202" s="29" t="s">
        <v>2572</v>
      </c>
      <c r="I1202" s="33" t="s">
        <v>7558</v>
      </c>
      <c r="J1202" s="47" t="s">
        <v>7559</v>
      </c>
      <c r="K1202" s="61" t="s">
        <v>4779</v>
      </c>
      <c r="L1202" s="12" t="str">
        <f t="shared" si="54"/>
        <v>2,2,2</v>
      </c>
    </row>
    <row r="1203" spans="2:12">
      <c r="B1203" s="17">
        <v>1502</v>
      </c>
      <c r="C1203" s="17">
        <v>2</v>
      </c>
      <c r="D1203" s="17">
        <f t="shared" si="56"/>
        <v>0</v>
      </c>
      <c r="E1203" s="17">
        <f t="shared" si="55"/>
        <v>1548</v>
      </c>
      <c r="F1203" s="17" t="s">
        <v>4813</v>
      </c>
      <c r="G1203" s="17">
        <f>MATCH(E1203,Arenas!$F$8:$F$15)</f>
        <v>5</v>
      </c>
      <c r="H1203" s="29" t="s">
        <v>2573</v>
      </c>
      <c r="I1203" s="33" t="s">
        <v>7560</v>
      </c>
      <c r="J1203" s="47" t="s">
        <v>5473</v>
      </c>
      <c r="K1203" s="61" t="s">
        <v>4779</v>
      </c>
      <c r="L1203" s="12" t="str">
        <f t="shared" si="54"/>
        <v>2,2,2</v>
      </c>
    </row>
    <row r="1204" spans="2:12">
      <c r="B1204" s="17">
        <v>1503</v>
      </c>
      <c r="C1204" s="17">
        <v>2</v>
      </c>
      <c r="D1204" s="17">
        <f t="shared" si="56"/>
        <v>0</v>
      </c>
      <c r="E1204" s="17">
        <f t="shared" si="55"/>
        <v>1548</v>
      </c>
      <c r="F1204" s="17" t="s">
        <v>4813</v>
      </c>
      <c r="G1204" s="17">
        <f>MATCH(E1204,Arenas!$F$8:$F$15)</f>
        <v>5</v>
      </c>
      <c r="H1204" s="29" t="s">
        <v>2574</v>
      </c>
      <c r="I1204" s="33" t="s">
        <v>7561</v>
      </c>
      <c r="J1204" s="47" t="s">
        <v>4994</v>
      </c>
      <c r="K1204" s="61" t="s">
        <v>4779</v>
      </c>
      <c r="L1204" s="12" t="str">
        <f t="shared" si="54"/>
        <v>2,2,2</v>
      </c>
    </row>
    <row r="1205" spans="2:12">
      <c r="B1205" s="17">
        <v>1504</v>
      </c>
      <c r="C1205" s="17">
        <v>2</v>
      </c>
      <c r="D1205" s="17">
        <f t="shared" si="56"/>
        <v>1</v>
      </c>
      <c r="E1205" s="17">
        <f t="shared" si="55"/>
        <v>1549</v>
      </c>
      <c r="F1205" s="17" t="s">
        <v>4813</v>
      </c>
      <c r="G1205" s="17">
        <f>MATCH(E1205,Arenas!$F$8:$F$15)</f>
        <v>5</v>
      </c>
      <c r="H1205" s="29" t="s">
        <v>2575</v>
      </c>
      <c r="I1205" s="33" t="s">
        <v>7562</v>
      </c>
      <c r="J1205" s="47" t="s">
        <v>7563</v>
      </c>
      <c r="K1205" s="61" t="s">
        <v>4779</v>
      </c>
      <c r="L1205" s="12" t="str">
        <f t="shared" si="54"/>
        <v>2,2,2</v>
      </c>
    </row>
    <row r="1206" spans="2:12">
      <c r="B1206" s="17">
        <v>1505</v>
      </c>
      <c r="C1206" s="17">
        <v>2</v>
      </c>
      <c r="D1206" s="17">
        <f t="shared" si="56"/>
        <v>0</v>
      </c>
      <c r="E1206" s="17">
        <f t="shared" si="55"/>
        <v>1549</v>
      </c>
      <c r="F1206" s="17" t="s">
        <v>4813</v>
      </c>
      <c r="G1206" s="17">
        <f>MATCH(E1206,Arenas!$F$8:$F$15)</f>
        <v>5</v>
      </c>
      <c r="H1206" s="29" t="s">
        <v>2576</v>
      </c>
      <c r="I1206" s="33" t="s">
        <v>7564</v>
      </c>
      <c r="J1206" s="47" t="s">
        <v>4967</v>
      </c>
      <c r="K1206" s="61" t="s">
        <v>4779</v>
      </c>
      <c r="L1206" s="12" t="str">
        <f t="shared" si="54"/>
        <v>2,2,2</v>
      </c>
    </row>
    <row r="1207" spans="2:12">
      <c r="B1207" s="17">
        <v>1506</v>
      </c>
      <c r="C1207" s="17">
        <v>2</v>
      </c>
      <c r="D1207" s="17">
        <f t="shared" si="56"/>
        <v>0</v>
      </c>
      <c r="E1207" s="17">
        <f t="shared" si="55"/>
        <v>1549</v>
      </c>
      <c r="F1207" s="17" t="s">
        <v>4813</v>
      </c>
      <c r="G1207" s="17">
        <f>MATCH(E1207,Arenas!$F$8:$F$15)</f>
        <v>5</v>
      </c>
      <c r="H1207" s="29" t="s">
        <v>2577</v>
      </c>
      <c r="I1207" s="33" t="s">
        <v>7565</v>
      </c>
      <c r="J1207" s="47" t="s">
        <v>4921</v>
      </c>
      <c r="K1207" s="61" t="s">
        <v>4779</v>
      </c>
      <c r="L1207" s="12" t="str">
        <f t="shared" si="54"/>
        <v>2,2,2</v>
      </c>
    </row>
    <row r="1208" spans="2:12">
      <c r="B1208" s="17">
        <v>1507</v>
      </c>
      <c r="C1208" s="17">
        <v>2</v>
      </c>
      <c r="D1208" s="17">
        <f t="shared" si="56"/>
        <v>1</v>
      </c>
      <c r="E1208" s="17">
        <f t="shared" si="55"/>
        <v>1550</v>
      </c>
      <c r="F1208" s="17" t="s">
        <v>4813</v>
      </c>
      <c r="G1208" s="17">
        <f>MATCH(E1208,Arenas!$F$8:$F$15)</f>
        <v>5</v>
      </c>
      <c r="H1208" s="29" t="s">
        <v>2578</v>
      </c>
      <c r="I1208" s="33" t="s">
        <v>7566</v>
      </c>
      <c r="J1208" s="47" t="s">
        <v>5711</v>
      </c>
      <c r="K1208" s="61" t="s">
        <v>4779</v>
      </c>
      <c r="L1208" s="12" t="str">
        <f t="shared" si="54"/>
        <v>2,2,2</v>
      </c>
    </row>
    <row r="1209" spans="2:12">
      <c r="B1209" s="17">
        <v>1508</v>
      </c>
      <c r="C1209" s="17">
        <v>2</v>
      </c>
      <c r="D1209" s="17">
        <f t="shared" si="56"/>
        <v>0</v>
      </c>
      <c r="E1209" s="17">
        <f t="shared" si="55"/>
        <v>1550</v>
      </c>
      <c r="F1209" s="17" t="s">
        <v>4813</v>
      </c>
      <c r="G1209" s="17">
        <f>MATCH(E1209,Arenas!$F$8:$F$15)</f>
        <v>5</v>
      </c>
      <c r="H1209" s="29" t="s">
        <v>2579</v>
      </c>
      <c r="I1209" s="33" t="s">
        <v>7567</v>
      </c>
      <c r="J1209" s="47" t="s">
        <v>5720</v>
      </c>
      <c r="K1209" s="61" t="s">
        <v>4779</v>
      </c>
      <c r="L1209" s="12" t="str">
        <f t="shared" si="54"/>
        <v>2,2,2</v>
      </c>
    </row>
    <row r="1210" spans="2:12">
      <c r="B1210" s="17">
        <v>1509</v>
      </c>
      <c r="C1210" s="17">
        <v>2</v>
      </c>
      <c r="D1210" s="17">
        <f t="shared" si="56"/>
        <v>0</v>
      </c>
      <c r="E1210" s="17">
        <f t="shared" si="55"/>
        <v>1550</v>
      </c>
      <c r="F1210" s="17" t="s">
        <v>4813</v>
      </c>
      <c r="G1210" s="17">
        <f>MATCH(E1210,Arenas!$F$8:$F$15)</f>
        <v>5</v>
      </c>
      <c r="H1210" s="29" t="s">
        <v>2580</v>
      </c>
      <c r="I1210" s="33" t="s">
        <v>7568</v>
      </c>
      <c r="J1210" s="47" t="s">
        <v>5465</v>
      </c>
      <c r="K1210" s="61" t="s">
        <v>4779</v>
      </c>
      <c r="L1210" s="12" t="str">
        <f t="shared" si="54"/>
        <v>2,2,2</v>
      </c>
    </row>
    <row r="1211" spans="2:12">
      <c r="B1211" s="17">
        <v>1510</v>
      </c>
      <c r="C1211" s="17">
        <v>2</v>
      </c>
      <c r="D1211" s="17">
        <f t="shared" si="56"/>
        <v>1</v>
      </c>
      <c r="E1211" s="17">
        <f t="shared" si="55"/>
        <v>1551</v>
      </c>
      <c r="F1211" s="17" t="s">
        <v>4813</v>
      </c>
      <c r="G1211" s="17">
        <f>MATCH(E1211,Arenas!$F$8:$F$15)</f>
        <v>5</v>
      </c>
      <c r="H1211" s="29" t="s">
        <v>2581</v>
      </c>
      <c r="I1211" s="33" t="s">
        <v>7569</v>
      </c>
      <c r="J1211" s="47" t="s">
        <v>5377</v>
      </c>
      <c r="K1211" s="61" t="s">
        <v>4779</v>
      </c>
      <c r="L1211" s="12" t="str">
        <f t="shared" si="54"/>
        <v>2,2,2</v>
      </c>
    </row>
    <row r="1212" spans="2:12">
      <c r="B1212" s="17">
        <v>1511</v>
      </c>
      <c r="C1212" s="17">
        <v>2</v>
      </c>
      <c r="D1212" s="17">
        <f t="shared" si="56"/>
        <v>0</v>
      </c>
      <c r="E1212" s="17">
        <f t="shared" si="55"/>
        <v>1551</v>
      </c>
      <c r="F1212" s="17" t="s">
        <v>4813</v>
      </c>
      <c r="G1212" s="17">
        <f>MATCH(E1212,Arenas!$F$8:$F$15)</f>
        <v>5</v>
      </c>
      <c r="H1212" s="29" t="s">
        <v>2582</v>
      </c>
      <c r="I1212" s="33" t="s">
        <v>7570</v>
      </c>
      <c r="J1212" s="47" t="s">
        <v>5823</v>
      </c>
      <c r="K1212" s="61" t="s">
        <v>4779</v>
      </c>
      <c r="L1212" s="12" t="str">
        <f t="shared" si="54"/>
        <v>2,2,2</v>
      </c>
    </row>
    <row r="1213" spans="2:12">
      <c r="B1213" s="17">
        <v>1512</v>
      </c>
      <c r="C1213" s="17">
        <v>2</v>
      </c>
      <c r="D1213" s="17">
        <f t="shared" si="56"/>
        <v>0</v>
      </c>
      <c r="E1213" s="17">
        <f t="shared" si="55"/>
        <v>1551</v>
      </c>
      <c r="F1213" s="17" t="s">
        <v>4813</v>
      </c>
      <c r="G1213" s="17">
        <f>MATCH(E1213,Arenas!$F$8:$F$15)</f>
        <v>5</v>
      </c>
      <c r="H1213" s="29" t="s">
        <v>2583</v>
      </c>
      <c r="I1213" s="33" t="s">
        <v>7571</v>
      </c>
      <c r="J1213" s="47" t="s">
        <v>7572</v>
      </c>
      <c r="K1213" s="61" t="s">
        <v>4779</v>
      </c>
      <c r="L1213" s="12" t="str">
        <f t="shared" si="54"/>
        <v>2,2,2</v>
      </c>
    </row>
    <row r="1214" spans="2:12">
      <c r="B1214" s="17">
        <v>1513</v>
      </c>
      <c r="C1214" s="17">
        <v>2</v>
      </c>
      <c r="D1214" s="17">
        <f t="shared" si="56"/>
        <v>1</v>
      </c>
      <c r="E1214" s="17">
        <f t="shared" si="55"/>
        <v>1552</v>
      </c>
      <c r="F1214" s="17" t="s">
        <v>4813</v>
      </c>
      <c r="G1214" s="17">
        <f>MATCH(E1214,Arenas!$F$8:$F$15)</f>
        <v>5</v>
      </c>
      <c r="H1214" s="29" t="s">
        <v>2584</v>
      </c>
      <c r="I1214" s="33" t="s">
        <v>7573</v>
      </c>
      <c r="J1214" s="47" t="s">
        <v>5296</v>
      </c>
      <c r="K1214" s="61" t="s">
        <v>4779</v>
      </c>
      <c r="L1214" s="12" t="str">
        <f t="shared" si="54"/>
        <v>2,2,2</v>
      </c>
    </row>
    <row r="1215" spans="2:12">
      <c r="B1215" s="17">
        <v>1514</v>
      </c>
      <c r="C1215" s="17">
        <v>2</v>
      </c>
      <c r="D1215" s="17">
        <f t="shared" si="56"/>
        <v>0</v>
      </c>
      <c r="E1215" s="17">
        <f t="shared" si="55"/>
        <v>1552</v>
      </c>
      <c r="F1215" s="17" t="s">
        <v>4813</v>
      </c>
      <c r="G1215" s="17">
        <f>MATCH(E1215,Arenas!$F$8:$F$15)</f>
        <v>5</v>
      </c>
      <c r="H1215" s="29" t="s">
        <v>2585</v>
      </c>
      <c r="I1215" s="33" t="s">
        <v>7574</v>
      </c>
      <c r="J1215" s="47" t="s">
        <v>5051</v>
      </c>
      <c r="K1215" s="61" t="s">
        <v>4779</v>
      </c>
      <c r="L1215" s="12" t="str">
        <f t="shared" si="54"/>
        <v>2,2,2</v>
      </c>
    </row>
    <row r="1216" spans="2:12">
      <c r="B1216" s="17">
        <v>1515</v>
      </c>
      <c r="C1216" s="17">
        <v>2</v>
      </c>
      <c r="D1216" s="17">
        <f t="shared" si="56"/>
        <v>0</v>
      </c>
      <c r="E1216" s="17">
        <f t="shared" si="55"/>
        <v>1552</v>
      </c>
      <c r="F1216" s="17" t="s">
        <v>4813</v>
      </c>
      <c r="G1216" s="17">
        <f>MATCH(E1216,Arenas!$F$8:$F$15)</f>
        <v>5</v>
      </c>
      <c r="H1216" s="29" t="s">
        <v>2586</v>
      </c>
      <c r="I1216" s="33" t="s">
        <v>7575</v>
      </c>
      <c r="J1216" s="47" t="s">
        <v>5455</v>
      </c>
      <c r="K1216" s="61" t="s">
        <v>4779</v>
      </c>
      <c r="L1216" s="12" t="str">
        <f t="shared" si="54"/>
        <v>2,2,2</v>
      </c>
    </row>
    <row r="1217" spans="2:12">
      <c r="B1217" s="17">
        <v>1516</v>
      </c>
      <c r="C1217" s="17">
        <v>2</v>
      </c>
      <c r="D1217" s="17">
        <f t="shared" si="56"/>
        <v>1</v>
      </c>
      <c r="E1217" s="17">
        <f t="shared" si="55"/>
        <v>1553</v>
      </c>
      <c r="F1217" s="17" t="s">
        <v>4813</v>
      </c>
      <c r="G1217" s="17">
        <f>MATCH(E1217,Arenas!$F$8:$F$15)</f>
        <v>5</v>
      </c>
      <c r="H1217" s="29" t="s">
        <v>2587</v>
      </c>
      <c r="I1217" s="33" t="s">
        <v>7576</v>
      </c>
      <c r="J1217" s="47" t="s">
        <v>5504</v>
      </c>
      <c r="K1217" s="61" t="s">
        <v>4779</v>
      </c>
      <c r="L1217" s="12" t="str">
        <f t="shared" si="54"/>
        <v>2,2,2</v>
      </c>
    </row>
    <row r="1218" spans="2:12">
      <c r="B1218" s="17">
        <v>1517</v>
      </c>
      <c r="C1218" s="17">
        <v>2</v>
      </c>
      <c r="D1218" s="17">
        <f t="shared" si="56"/>
        <v>0</v>
      </c>
      <c r="E1218" s="17">
        <f t="shared" si="55"/>
        <v>1553</v>
      </c>
      <c r="F1218" s="17" t="s">
        <v>4813</v>
      </c>
      <c r="G1218" s="17">
        <f>MATCH(E1218,Arenas!$F$8:$F$15)</f>
        <v>5</v>
      </c>
      <c r="H1218" s="29" t="s">
        <v>2588</v>
      </c>
      <c r="I1218" s="33" t="s">
        <v>7577</v>
      </c>
      <c r="J1218" s="47" t="s">
        <v>5499</v>
      </c>
      <c r="K1218" s="61" t="s">
        <v>4779</v>
      </c>
      <c r="L1218" s="12" t="str">
        <f t="shared" ref="L1218:L1281" si="57">C1218&amp;","&amp;C1218&amp;","&amp;C1218</f>
        <v>2,2,2</v>
      </c>
    </row>
    <row r="1219" spans="2:12">
      <c r="B1219" s="17">
        <v>1518</v>
      </c>
      <c r="C1219" s="17">
        <v>2</v>
      </c>
      <c r="D1219" s="17">
        <f t="shared" si="56"/>
        <v>0</v>
      </c>
      <c r="E1219" s="17">
        <f t="shared" ref="E1219:E1282" si="58">D1219+E1218</f>
        <v>1553</v>
      </c>
      <c r="F1219" s="17" t="s">
        <v>4813</v>
      </c>
      <c r="G1219" s="17">
        <f>MATCH(E1219,Arenas!$F$8:$F$15)</f>
        <v>5</v>
      </c>
      <c r="H1219" s="29" t="s">
        <v>2589</v>
      </c>
      <c r="I1219" s="33" t="s">
        <v>7578</v>
      </c>
      <c r="J1219" s="47" t="s">
        <v>5106</v>
      </c>
      <c r="K1219" s="61" t="s">
        <v>4779</v>
      </c>
      <c r="L1219" s="12" t="str">
        <f t="shared" si="57"/>
        <v>2,2,2</v>
      </c>
    </row>
    <row r="1220" spans="2:12">
      <c r="B1220" s="17">
        <v>1519</v>
      </c>
      <c r="C1220" s="17">
        <v>2</v>
      </c>
      <c r="D1220" s="17">
        <f t="shared" si="56"/>
        <v>1</v>
      </c>
      <c r="E1220" s="17">
        <f t="shared" si="58"/>
        <v>1554</v>
      </c>
      <c r="F1220" s="17" t="s">
        <v>4813</v>
      </c>
      <c r="G1220" s="17">
        <f>MATCH(E1220,Arenas!$F$8:$F$15)</f>
        <v>5</v>
      </c>
      <c r="H1220" s="29" t="s">
        <v>2590</v>
      </c>
      <c r="I1220" s="33" t="s">
        <v>7579</v>
      </c>
      <c r="J1220" s="47" t="s">
        <v>5735</v>
      </c>
      <c r="K1220" s="61" t="s">
        <v>4808</v>
      </c>
      <c r="L1220" s="12" t="str">
        <f t="shared" si="57"/>
        <v>2,2,2</v>
      </c>
    </row>
    <row r="1221" spans="2:12">
      <c r="B1221" s="17">
        <v>1520</v>
      </c>
      <c r="C1221" s="17">
        <v>2</v>
      </c>
      <c r="D1221" s="17">
        <f t="shared" ref="D1221:D1284" si="59">D1218</f>
        <v>0</v>
      </c>
      <c r="E1221" s="17">
        <f t="shared" si="58"/>
        <v>1554</v>
      </c>
      <c r="F1221" s="17" t="s">
        <v>4813</v>
      </c>
      <c r="G1221" s="17">
        <f>MATCH(E1221,Arenas!$F$8:$F$15)</f>
        <v>5</v>
      </c>
      <c r="H1221" s="29" t="s">
        <v>2591</v>
      </c>
      <c r="I1221" s="33" t="s">
        <v>7580</v>
      </c>
      <c r="J1221" s="47" t="s">
        <v>5283</v>
      </c>
      <c r="K1221" s="61" t="s">
        <v>4779</v>
      </c>
      <c r="L1221" s="12" t="str">
        <f t="shared" si="57"/>
        <v>2,2,2</v>
      </c>
    </row>
    <row r="1222" spans="2:12">
      <c r="B1222" s="17">
        <v>1521</v>
      </c>
      <c r="C1222" s="17">
        <v>2</v>
      </c>
      <c r="D1222" s="17">
        <f t="shared" si="59"/>
        <v>0</v>
      </c>
      <c r="E1222" s="17">
        <f t="shared" si="58"/>
        <v>1554</v>
      </c>
      <c r="F1222" s="17" t="s">
        <v>4813</v>
      </c>
      <c r="G1222" s="17">
        <f>MATCH(E1222,Arenas!$F$8:$F$15)</f>
        <v>5</v>
      </c>
      <c r="H1222" s="29" t="s">
        <v>2592</v>
      </c>
      <c r="I1222" s="33" t="s">
        <v>7581</v>
      </c>
      <c r="J1222" s="47" t="s">
        <v>7582</v>
      </c>
      <c r="K1222" s="61" t="s">
        <v>4779</v>
      </c>
      <c r="L1222" s="12" t="str">
        <f t="shared" si="57"/>
        <v>2,2,2</v>
      </c>
    </row>
    <row r="1223" spans="2:12">
      <c r="B1223" s="17">
        <v>1522</v>
      </c>
      <c r="C1223" s="17">
        <v>2</v>
      </c>
      <c r="D1223" s="17">
        <f t="shared" si="59"/>
        <v>1</v>
      </c>
      <c r="E1223" s="17">
        <f t="shared" si="58"/>
        <v>1555</v>
      </c>
      <c r="F1223" s="17" t="s">
        <v>4813</v>
      </c>
      <c r="G1223" s="17">
        <f>MATCH(E1223,Arenas!$F$8:$F$15)</f>
        <v>5</v>
      </c>
      <c r="H1223" s="29" t="s">
        <v>2593</v>
      </c>
      <c r="I1223" s="33" t="s">
        <v>7583</v>
      </c>
      <c r="J1223" s="47" t="s">
        <v>7584</v>
      </c>
      <c r="K1223" s="61" t="s">
        <v>4779</v>
      </c>
      <c r="L1223" s="12" t="str">
        <f t="shared" si="57"/>
        <v>2,2,2</v>
      </c>
    </row>
    <row r="1224" spans="2:12">
      <c r="B1224" s="17">
        <v>1523</v>
      </c>
      <c r="C1224" s="17">
        <v>2</v>
      </c>
      <c r="D1224" s="17">
        <f t="shared" si="59"/>
        <v>0</v>
      </c>
      <c r="E1224" s="17">
        <f t="shared" si="58"/>
        <v>1555</v>
      </c>
      <c r="F1224" s="17" t="s">
        <v>4813</v>
      </c>
      <c r="G1224" s="17">
        <f>MATCH(E1224,Arenas!$F$8:$F$15)</f>
        <v>5</v>
      </c>
      <c r="H1224" s="29" t="s">
        <v>2594</v>
      </c>
      <c r="I1224" s="33" t="s">
        <v>7585</v>
      </c>
      <c r="J1224" s="47" t="s">
        <v>5702</v>
      </c>
      <c r="K1224" s="61" t="s">
        <v>4779</v>
      </c>
      <c r="L1224" s="12" t="str">
        <f t="shared" si="57"/>
        <v>2,2,2</v>
      </c>
    </row>
    <row r="1225" spans="2:12">
      <c r="B1225" s="17">
        <v>1524</v>
      </c>
      <c r="C1225" s="17">
        <v>2</v>
      </c>
      <c r="D1225" s="17">
        <f t="shared" si="59"/>
        <v>0</v>
      </c>
      <c r="E1225" s="17">
        <f t="shared" si="58"/>
        <v>1555</v>
      </c>
      <c r="F1225" s="17" t="s">
        <v>4813</v>
      </c>
      <c r="G1225" s="17">
        <f>MATCH(E1225,Arenas!$F$8:$F$15)</f>
        <v>5</v>
      </c>
      <c r="H1225" s="29" t="s">
        <v>2595</v>
      </c>
      <c r="I1225" s="33" t="s">
        <v>7586</v>
      </c>
      <c r="J1225" s="47" t="s">
        <v>7587</v>
      </c>
      <c r="K1225" s="61" t="s">
        <v>4779</v>
      </c>
      <c r="L1225" s="12" t="str">
        <f t="shared" si="57"/>
        <v>2,2,2</v>
      </c>
    </row>
    <row r="1226" spans="2:12">
      <c r="B1226" s="17">
        <v>1525</v>
      </c>
      <c r="C1226" s="17">
        <v>2</v>
      </c>
      <c r="D1226" s="17">
        <f t="shared" si="59"/>
        <v>1</v>
      </c>
      <c r="E1226" s="17">
        <f t="shared" si="58"/>
        <v>1556</v>
      </c>
      <c r="F1226" s="17" t="s">
        <v>4813</v>
      </c>
      <c r="G1226" s="17">
        <f>MATCH(E1226,Arenas!$F$8:$F$15)</f>
        <v>5</v>
      </c>
      <c r="H1226" s="29" t="s">
        <v>2596</v>
      </c>
      <c r="I1226" s="33" t="s">
        <v>7588</v>
      </c>
      <c r="J1226" s="47" t="s">
        <v>5005</v>
      </c>
      <c r="K1226" s="61" t="s">
        <v>4779</v>
      </c>
      <c r="L1226" s="12" t="str">
        <f t="shared" si="57"/>
        <v>2,2,2</v>
      </c>
    </row>
    <row r="1227" spans="2:12">
      <c r="B1227" s="17">
        <v>1526</v>
      </c>
      <c r="C1227" s="17">
        <v>2</v>
      </c>
      <c r="D1227" s="17">
        <f t="shared" si="59"/>
        <v>0</v>
      </c>
      <c r="E1227" s="17">
        <f t="shared" si="58"/>
        <v>1556</v>
      </c>
      <c r="F1227" s="17" t="s">
        <v>4813</v>
      </c>
      <c r="G1227" s="17">
        <f>MATCH(E1227,Arenas!$F$8:$F$15)</f>
        <v>5</v>
      </c>
      <c r="H1227" s="29" t="s">
        <v>2597</v>
      </c>
      <c r="I1227" s="33" t="s">
        <v>7589</v>
      </c>
      <c r="J1227" s="47" t="s">
        <v>5147</v>
      </c>
      <c r="K1227" s="61" t="s">
        <v>4779</v>
      </c>
      <c r="L1227" s="12" t="str">
        <f t="shared" si="57"/>
        <v>2,2,2</v>
      </c>
    </row>
    <row r="1228" spans="2:12">
      <c r="B1228" s="17">
        <v>1527</v>
      </c>
      <c r="C1228" s="17">
        <v>2</v>
      </c>
      <c r="D1228" s="17">
        <f t="shared" si="59"/>
        <v>0</v>
      </c>
      <c r="E1228" s="17">
        <f t="shared" si="58"/>
        <v>1556</v>
      </c>
      <c r="F1228" s="17" t="s">
        <v>4813</v>
      </c>
      <c r="G1228" s="17">
        <f>MATCH(E1228,Arenas!$F$8:$F$15)</f>
        <v>5</v>
      </c>
      <c r="H1228" s="29" t="s">
        <v>2598</v>
      </c>
      <c r="I1228" s="33" t="s">
        <v>7590</v>
      </c>
      <c r="J1228" s="47" t="s">
        <v>7591</v>
      </c>
      <c r="K1228" s="61" t="s">
        <v>4779</v>
      </c>
      <c r="L1228" s="12" t="str">
        <f t="shared" si="57"/>
        <v>2,2,2</v>
      </c>
    </row>
    <row r="1229" spans="2:12">
      <c r="B1229" s="17">
        <v>1528</v>
      </c>
      <c r="C1229" s="17">
        <v>2</v>
      </c>
      <c r="D1229" s="17">
        <f t="shared" si="59"/>
        <v>1</v>
      </c>
      <c r="E1229" s="17">
        <f t="shared" si="58"/>
        <v>1557</v>
      </c>
      <c r="F1229" s="17" t="s">
        <v>4813</v>
      </c>
      <c r="G1229" s="17">
        <f>MATCH(E1229,Arenas!$F$8:$F$15)</f>
        <v>5</v>
      </c>
      <c r="H1229" s="29" t="s">
        <v>2599</v>
      </c>
      <c r="I1229" s="33" t="s">
        <v>7592</v>
      </c>
      <c r="J1229" s="47" t="s">
        <v>7593</v>
      </c>
      <c r="K1229" s="61" t="s">
        <v>4779</v>
      </c>
      <c r="L1229" s="12" t="str">
        <f t="shared" si="57"/>
        <v>2,2,2</v>
      </c>
    </row>
    <row r="1230" spans="2:12">
      <c r="B1230" s="17">
        <v>1529</v>
      </c>
      <c r="C1230" s="17">
        <v>2</v>
      </c>
      <c r="D1230" s="17">
        <f t="shared" si="59"/>
        <v>0</v>
      </c>
      <c r="E1230" s="17">
        <f t="shared" si="58"/>
        <v>1557</v>
      </c>
      <c r="F1230" s="17" t="s">
        <v>4813</v>
      </c>
      <c r="G1230" s="17">
        <f>MATCH(E1230,Arenas!$F$8:$F$15)</f>
        <v>5</v>
      </c>
      <c r="H1230" s="29" t="s">
        <v>2600</v>
      </c>
      <c r="I1230" s="33" t="s">
        <v>7594</v>
      </c>
      <c r="J1230" s="47" t="s">
        <v>4979</v>
      </c>
      <c r="K1230" s="61" t="s">
        <v>4779</v>
      </c>
      <c r="L1230" s="12" t="str">
        <f t="shared" si="57"/>
        <v>2,2,2</v>
      </c>
    </row>
    <row r="1231" spans="2:12">
      <c r="B1231" s="17">
        <v>1530</v>
      </c>
      <c r="C1231" s="17">
        <v>2</v>
      </c>
      <c r="D1231" s="17">
        <f t="shared" si="59"/>
        <v>0</v>
      </c>
      <c r="E1231" s="17">
        <f t="shared" si="58"/>
        <v>1557</v>
      </c>
      <c r="F1231" s="17" t="s">
        <v>4813</v>
      </c>
      <c r="G1231" s="17">
        <f>MATCH(E1231,Arenas!$F$8:$F$15)</f>
        <v>5</v>
      </c>
      <c r="H1231" s="29" t="s">
        <v>2601</v>
      </c>
      <c r="I1231" s="33" t="s">
        <v>7595</v>
      </c>
      <c r="J1231" s="47" t="s">
        <v>5332</v>
      </c>
      <c r="K1231" s="61" t="s">
        <v>4779</v>
      </c>
      <c r="L1231" s="12" t="str">
        <f t="shared" si="57"/>
        <v>2,2,2</v>
      </c>
    </row>
    <row r="1232" spans="2:12">
      <c r="B1232" s="17">
        <v>1531</v>
      </c>
      <c r="C1232" s="17">
        <v>2</v>
      </c>
      <c r="D1232" s="17">
        <f t="shared" si="59"/>
        <v>1</v>
      </c>
      <c r="E1232" s="17">
        <f t="shared" si="58"/>
        <v>1558</v>
      </c>
      <c r="F1232" s="17" t="s">
        <v>4813</v>
      </c>
      <c r="G1232" s="17">
        <f>MATCH(E1232,Arenas!$F$8:$F$15)</f>
        <v>5</v>
      </c>
      <c r="H1232" s="29" t="s">
        <v>2602</v>
      </c>
      <c r="I1232" s="33" t="s">
        <v>7596</v>
      </c>
      <c r="J1232" s="47" t="s">
        <v>5596</v>
      </c>
      <c r="K1232" s="61" t="s">
        <v>4779</v>
      </c>
      <c r="L1232" s="12" t="str">
        <f t="shared" si="57"/>
        <v>2,2,2</v>
      </c>
    </row>
    <row r="1233" spans="2:12">
      <c r="B1233" s="17">
        <v>1532</v>
      </c>
      <c r="C1233" s="17">
        <v>2</v>
      </c>
      <c r="D1233" s="17">
        <f t="shared" si="59"/>
        <v>0</v>
      </c>
      <c r="E1233" s="17">
        <f t="shared" si="58"/>
        <v>1558</v>
      </c>
      <c r="F1233" s="17" t="s">
        <v>4813</v>
      </c>
      <c r="G1233" s="17">
        <f>MATCH(E1233,Arenas!$F$8:$F$15)</f>
        <v>5</v>
      </c>
      <c r="H1233" s="29" t="s">
        <v>2603</v>
      </c>
      <c r="I1233" s="33" t="s">
        <v>7597</v>
      </c>
      <c r="J1233" s="47" t="s">
        <v>5475</v>
      </c>
      <c r="K1233" s="61" t="s">
        <v>4779</v>
      </c>
      <c r="L1233" s="12" t="str">
        <f t="shared" si="57"/>
        <v>2,2,2</v>
      </c>
    </row>
    <row r="1234" spans="2:12">
      <c r="B1234" s="17">
        <v>1533</v>
      </c>
      <c r="C1234" s="17">
        <v>2</v>
      </c>
      <c r="D1234" s="17">
        <f t="shared" si="59"/>
        <v>0</v>
      </c>
      <c r="E1234" s="17">
        <f t="shared" si="58"/>
        <v>1558</v>
      </c>
      <c r="F1234" s="17" t="s">
        <v>4813</v>
      </c>
      <c r="G1234" s="17">
        <f>MATCH(E1234,Arenas!$F$8:$F$15)</f>
        <v>5</v>
      </c>
      <c r="H1234" s="29" t="s">
        <v>2604</v>
      </c>
      <c r="I1234" s="33" t="s">
        <v>7598</v>
      </c>
      <c r="J1234" s="47" t="s">
        <v>7599</v>
      </c>
      <c r="K1234" s="61" t="s">
        <v>4779</v>
      </c>
      <c r="L1234" s="12" t="str">
        <f t="shared" si="57"/>
        <v>2,2,2</v>
      </c>
    </row>
    <row r="1235" spans="2:12">
      <c r="B1235" s="17">
        <v>1534</v>
      </c>
      <c r="C1235" s="17">
        <v>2</v>
      </c>
      <c r="D1235" s="17">
        <f t="shared" si="59"/>
        <v>1</v>
      </c>
      <c r="E1235" s="17">
        <f t="shared" si="58"/>
        <v>1559</v>
      </c>
      <c r="F1235" s="17" t="s">
        <v>4813</v>
      </c>
      <c r="G1235" s="17">
        <f>MATCH(E1235,Arenas!$F$8:$F$15)</f>
        <v>5</v>
      </c>
      <c r="H1235" s="29" t="s">
        <v>2605</v>
      </c>
      <c r="I1235" s="33" t="s">
        <v>7600</v>
      </c>
      <c r="J1235" s="47" t="s">
        <v>6945</v>
      </c>
      <c r="K1235" s="61" t="s">
        <v>4779</v>
      </c>
      <c r="L1235" s="12" t="str">
        <f t="shared" si="57"/>
        <v>2,2,2</v>
      </c>
    </row>
    <row r="1236" spans="2:12">
      <c r="B1236" s="17">
        <v>1535</v>
      </c>
      <c r="C1236" s="17">
        <v>2</v>
      </c>
      <c r="D1236" s="17">
        <f t="shared" si="59"/>
        <v>0</v>
      </c>
      <c r="E1236" s="17">
        <f t="shared" si="58"/>
        <v>1559</v>
      </c>
      <c r="F1236" s="17" t="s">
        <v>4813</v>
      </c>
      <c r="G1236" s="17">
        <f>MATCH(E1236,Arenas!$F$8:$F$15)</f>
        <v>5</v>
      </c>
      <c r="H1236" s="29" t="s">
        <v>2606</v>
      </c>
      <c r="I1236" s="33" t="s">
        <v>7601</v>
      </c>
      <c r="J1236" s="47" t="s">
        <v>7602</v>
      </c>
      <c r="K1236" s="61" t="s">
        <v>4779</v>
      </c>
      <c r="L1236" s="12" t="str">
        <f t="shared" si="57"/>
        <v>2,2,2</v>
      </c>
    </row>
    <row r="1237" spans="2:12">
      <c r="B1237" s="17">
        <v>1536</v>
      </c>
      <c r="C1237" s="17">
        <v>2</v>
      </c>
      <c r="D1237" s="17">
        <f t="shared" si="59"/>
        <v>0</v>
      </c>
      <c r="E1237" s="17">
        <f t="shared" si="58"/>
        <v>1559</v>
      </c>
      <c r="F1237" s="17" t="s">
        <v>4813</v>
      </c>
      <c r="G1237" s="17">
        <f>MATCH(E1237,Arenas!$F$8:$F$15)</f>
        <v>5</v>
      </c>
      <c r="H1237" s="29" t="s">
        <v>2607</v>
      </c>
      <c r="I1237" s="33" t="s">
        <v>7603</v>
      </c>
      <c r="J1237" s="47" t="s">
        <v>4715</v>
      </c>
      <c r="K1237" s="61" t="s">
        <v>4779</v>
      </c>
      <c r="L1237" s="12" t="str">
        <f t="shared" si="57"/>
        <v>2,2,2</v>
      </c>
    </row>
    <row r="1238" spans="2:12">
      <c r="B1238" s="17">
        <v>1537</v>
      </c>
      <c r="C1238" s="17">
        <v>2</v>
      </c>
      <c r="D1238" s="17">
        <f t="shared" si="59"/>
        <v>1</v>
      </c>
      <c r="E1238" s="17">
        <f t="shared" si="58"/>
        <v>1560</v>
      </c>
      <c r="F1238" s="17" t="s">
        <v>4813</v>
      </c>
      <c r="G1238" s="17">
        <f>MATCH(E1238,Arenas!$F$8:$F$15)</f>
        <v>5</v>
      </c>
      <c r="H1238" s="29" t="s">
        <v>2608</v>
      </c>
      <c r="I1238" s="33" t="s">
        <v>7604</v>
      </c>
      <c r="J1238" s="47" t="s">
        <v>7605</v>
      </c>
      <c r="K1238" s="61" t="s">
        <v>4806</v>
      </c>
      <c r="L1238" s="12" t="str">
        <f t="shared" si="57"/>
        <v>2,2,2</v>
      </c>
    </row>
    <row r="1239" spans="2:12">
      <c r="B1239" s="17">
        <v>1538</v>
      </c>
      <c r="C1239" s="17">
        <v>2</v>
      </c>
      <c r="D1239" s="17">
        <f t="shared" si="59"/>
        <v>0</v>
      </c>
      <c r="E1239" s="17">
        <f t="shared" si="58"/>
        <v>1560</v>
      </c>
      <c r="F1239" s="17" t="s">
        <v>4813</v>
      </c>
      <c r="G1239" s="17">
        <f>MATCH(E1239,Arenas!$F$8:$F$15)</f>
        <v>5</v>
      </c>
      <c r="H1239" s="29" t="s">
        <v>2609</v>
      </c>
      <c r="I1239" s="33" t="s">
        <v>7606</v>
      </c>
      <c r="J1239" s="47" t="s">
        <v>7607</v>
      </c>
      <c r="K1239" s="61" t="s">
        <v>4779</v>
      </c>
      <c r="L1239" s="12" t="str">
        <f t="shared" si="57"/>
        <v>2,2,2</v>
      </c>
    </row>
    <row r="1240" spans="2:12">
      <c r="B1240" s="17">
        <v>1539</v>
      </c>
      <c r="C1240" s="17">
        <v>2</v>
      </c>
      <c r="D1240" s="17">
        <f t="shared" si="59"/>
        <v>0</v>
      </c>
      <c r="E1240" s="17">
        <f t="shared" si="58"/>
        <v>1560</v>
      </c>
      <c r="F1240" s="17" t="s">
        <v>4813</v>
      </c>
      <c r="G1240" s="17">
        <f>MATCH(E1240,Arenas!$F$8:$F$15)</f>
        <v>5</v>
      </c>
      <c r="H1240" s="29" t="s">
        <v>2610</v>
      </c>
      <c r="I1240" s="33" t="s">
        <v>7608</v>
      </c>
      <c r="J1240" s="47" t="s">
        <v>7609</v>
      </c>
      <c r="K1240" s="61" t="s">
        <v>4779</v>
      </c>
      <c r="L1240" s="12" t="str">
        <f t="shared" si="57"/>
        <v>2,2,2</v>
      </c>
    </row>
    <row r="1241" spans="2:12">
      <c r="B1241" s="17">
        <v>1540</v>
      </c>
      <c r="C1241" s="17">
        <v>2</v>
      </c>
      <c r="D1241" s="17">
        <f t="shared" si="59"/>
        <v>1</v>
      </c>
      <c r="E1241" s="17">
        <f t="shared" si="58"/>
        <v>1561</v>
      </c>
      <c r="F1241" s="17" t="s">
        <v>4813</v>
      </c>
      <c r="G1241" s="17">
        <f>MATCH(E1241,Arenas!$F$8:$F$15)</f>
        <v>5</v>
      </c>
      <c r="H1241" s="29" t="s">
        <v>2611</v>
      </c>
      <c r="I1241" s="33" t="s">
        <v>7610</v>
      </c>
      <c r="J1241" s="47" t="s">
        <v>5044</v>
      </c>
      <c r="K1241" s="61" t="s">
        <v>4810</v>
      </c>
      <c r="L1241" s="12" t="str">
        <f t="shared" si="57"/>
        <v>2,2,2</v>
      </c>
    </row>
    <row r="1242" spans="2:12">
      <c r="B1242" s="17">
        <v>1541</v>
      </c>
      <c r="C1242" s="17">
        <v>2</v>
      </c>
      <c r="D1242" s="17">
        <f t="shared" si="59"/>
        <v>0</v>
      </c>
      <c r="E1242" s="17">
        <f t="shared" si="58"/>
        <v>1561</v>
      </c>
      <c r="F1242" s="17" t="s">
        <v>4813</v>
      </c>
      <c r="G1242" s="17">
        <f>MATCH(E1242,Arenas!$F$8:$F$15)</f>
        <v>5</v>
      </c>
      <c r="H1242" s="29" t="s">
        <v>2612</v>
      </c>
      <c r="I1242" s="33" t="s">
        <v>7611</v>
      </c>
      <c r="J1242" s="47" t="s">
        <v>5916</v>
      </c>
      <c r="K1242" s="61" t="s">
        <v>4779</v>
      </c>
      <c r="L1242" s="12" t="str">
        <f t="shared" si="57"/>
        <v>2,2,2</v>
      </c>
    </row>
    <row r="1243" spans="2:12">
      <c r="B1243" s="17">
        <v>1542</v>
      </c>
      <c r="C1243" s="17">
        <v>2</v>
      </c>
      <c r="D1243" s="17">
        <f t="shared" si="59"/>
        <v>0</v>
      </c>
      <c r="E1243" s="17">
        <f t="shared" si="58"/>
        <v>1561</v>
      </c>
      <c r="F1243" s="17" t="s">
        <v>4813</v>
      </c>
      <c r="G1243" s="17">
        <f>MATCH(E1243,Arenas!$F$8:$F$15)</f>
        <v>5</v>
      </c>
      <c r="H1243" s="29" t="s">
        <v>2613</v>
      </c>
      <c r="I1243" s="33" t="s">
        <v>7612</v>
      </c>
      <c r="J1243" s="47" t="s">
        <v>7613</v>
      </c>
      <c r="K1243" s="61" t="s">
        <v>4779</v>
      </c>
      <c r="L1243" s="12" t="str">
        <f t="shared" si="57"/>
        <v>2,2,2</v>
      </c>
    </row>
    <row r="1244" spans="2:12">
      <c r="B1244" s="17">
        <v>1543</v>
      </c>
      <c r="C1244" s="17">
        <v>2</v>
      </c>
      <c r="D1244" s="17">
        <f t="shared" si="59"/>
        <v>1</v>
      </c>
      <c r="E1244" s="17">
        <f t="shared" si="58"/>
        <v>1562</v>
      </c>
      <c r="F1244" s="17" t="s">
        <v>4813</v>
      </c>
      <c r="G1244" s="17">
        <f>MATCH(E1244,Arenas!$F$8:$F$15)</f>
        <v>5</v>
      </c>
      <c r="H1244" s="29" t="s">
        <v>2614</v>
      </c>
      <c r="I1244" s="33" t="s">
        <v>7614</v>
      </c>
      <c r="J1244" s="47" t="s">
        <v>5570</v>
      </c>
      <c r="K1244" s="61" t="s">
        <v>4779</v>
      </c>
      <c r="L1244" s="12" t="str">
        <f t="shared" si="57"/>
        <v>2,2,2</v>
      </c>
    </row>
    <row r="1245" spans="2:12">
      <c r="B1245" s="17">
        <v>1544</v>
      </c>
      <c r="C1245" s="17">
        <v>2</v>
      </c>
      <c r="D1245" s="17">
        <f t="shared" si="59"/>
        <v>0</v>
      </c>
      <c r="E1245" s="17">
        <f t="shared" si="58"/>
        <v>1562</v>
      </c>
      <c r="F1245" s="17" t="s">
        <v>4813</v>
      </c>
      <c r="G1245" s="17">
        <f>MATCH(E1245,Arenas!$F$8:$F$15)</f>
        <v>5</v>
      </c>
      <c r="H1245" s="29" t="s">
        <v>2615</v>
      </c>
      <c r="I1245" s="33" t="s">
        <v>7615</v>
      </c>
      <c r="J1245" s="47" t="s">
        <v>7616</v>
      </c>
      <c r="K1245" s="61" t="s">
        <v>4779</v>
      </c>
      <c r="L1245" s="12" t="str">
        <f t="shared" si="57"/>
        <v>2,2,2</v>
      </c>
    </row>
    <row r="1246" spans="2:12">
      <c r="B1246" s="17">
        <v>1545</v>
      </c>
      <c r="C1246" s="17">
        <v>2</v>
      </c>
      <c r="D1246" s="17">
        <f t="shared" si="59"/>
        <v>0</v>
      </c>
      <c r="E1246" s="17">
        <f t="shared" si="58"/>
        <v>1562</v>
      </c>
      <c r="F1246" s="17" t="s">
        <v>4813</v>
      </c>
      <c r="G1246" s="17">
        <f>MATCH(E1246,Arenas!$F$8:$F$15)</f>
        <v>5</v>
      </c>
      <c r="H1246" s="29" t="s">
        <v>2616</v>
      </c>
      <c r="I1246" s="33" t="s">
        <v>7617</v>
      </c>
      <c r="J1246" s="47" t="s">
        <v>5797</v>
      </c>
      <c r="K1246" s="61" t="s">
        <v>4779</v>
      </c>
      <c r="L1246" s="12" t="str">
        <f t="shared" si="57"/>
        <v>2,2,2</v>
      </c>
    </row>
    <row r="1247" spans="2:12">
      <c r="B1247" s="17">
        <v>1546</v>
      </c>
      <c r="C1247" s="17">
        <v>2</v>
      </c>
      <c r="D1247" s="17">
        <f t="shared" si="59"/>
        <v>1</v>
      </c>
      <c r="E1247" s="17">
        <f t="shared" si="58"/>
        <v>1563</v>
      </c>
      <c r="F1247" s="17" t="s">
        <v>4813</v>
      </c>
      <c r="G1247" s="17">
        <f>MATCH(E1247,Arenas!$F$8:$F$15)</f>
        <v>5</v>
      </c>
      <c r="H1247" s="29" t="s">
        <v>2617</v>
      </c>
      <c r="I1247" s="33" t="s">
        <v>7618</v>
      </c>
      <c r="J1247" s="47" t="s">
        <v>7619</v>
      </c>
      <c r="K1247" s="61" t="s">
        <v>4779</v>
      </c>
      <c r="L1247" s="12" t="str">
        <f t="shared" si="57"/>
        <v>2,2,2</v>
      </c>
    </row>
    <row r="1248" spans="2:12">
      <c r="B1248" s="17">
        <v>1547</v>
      </c>
      <c r="C1248" s="17">
        <v>2</v>
      </c>
      <c r="D1248" s="17">
        <f t="shared" si="59"/>
        <v>0</v>
      </c>
      <c r="E1248" s="17">
        <f t="shared" si="58"/>
        <v>1563</v>
      </c>
      <c r="F1248" s="17" t="s">
        <v>4813</v>
      </c>
      <c r="G1248" s="17">
        <f>MATCH(E1248,Arenas!$F$8:$F$15)</f>
        <v>5</v>
      </c>
      <c r="H1248" s="29" t="s">
        <v>2618</v>
      </c>
      <c r="I1248" s="33" t="s">
        <v>7620</v>
      </c>
      <c r="J1248" s="47" t="s">
        <v>7621</v>
      </c>
      <c r="K1248" s="61" t="s">
        <v>4779</v>
      </c>
      <c r="L1248" s="12" t="str">
        <f t="shared" si="57"/>
        <v>2,2,2</v>
      </c>
    </row>
    <row r="1249" spans="2:12">
      <c r="B1249" s="17">
        <v>1548</v>
      </c>
      <c r="C1249" s="17">
        <v>2</v>
      </c>
      <c r="D1249" s="17">
        <f t="shared" si="59"/>
        <v>0</v>
      </c>
      <c r="E1249" s="17">
        <f t="shared" si="58"/>
        <v>1563</v>
      </c>
      <c r="F1249" s="17" t="s">
        <v>4813</v>
      </c>
      <c r="G1249" s="17">
        <f>MATCH(E1249,Arenas!$F$8:$F$15)</f>
        <v>5</v>
      </c>
      <c r="H1249" s="29" t="s">
        <v>2619</v>
      </c>
      <c r="I1249" s="33" t="s">
        <v>7622</v>
      </c>
      <c r="J1249" s="47" t="s">
        <v>7623</v>
      </c>
      <c r="K1249" s="61" t="s">
        <v>4779</v>
      </c>
      <c r="L1249" s="12" t="str">
        <f t="shared" si="57"/>
        <v>2,2,2</v>
      </c>
    </row>
    <row r="1250" spans="2:12">
      <c r="B1250" s="17">
        <v>1549</v>
      </c>
      <c r="C1250" s="17">
        <v>2</v>
      </c>
      <c r="D1250" s="17">
        <f t="shared" si="59"/>
        <v>1</v>
      </c>
      <c r="E1250" s="17">
        <f t="shared" si="58"/>
        <v>1564</v>
      </c>
      <c r="F1250" s="17" t="s">
        <v>4813</v>
      </c>
      <c r="G1250" s="17">
        <f>MATCH(E1250,Arenas!$F$8:$F$15)</f>
        <v>5</v>
      </c>
      <c r="H1250" s="29" t="s">
        <v>2620</v>
      </c>
      <c r="I1250" s="33" t="s">
        <v>7624</v>
      </c>
      <c r="J1250" s="47" t="s">
        <v>4650</v>
      </c>
      <c r="K1250" s="61" t="s">
        <v>4779</v>
      </c>
      <c r="L1250" s="12" t="str">
        <f t="shared" si="57"/>
        <v>2,2,2</v>
      </c>
    </row>
    <row r="1251" spans="2:12">
      <c r="B1251" s="17">
        <v>1550</v>
      </c>
      <c r="C1251" s="17">
        <v>2</v>
      </c>
      <c r="D1251" s="17">
        <f t="shared" si="59"/>
        <v>0</v>
      </c>
      <c r="E1251" s="17">
        <f t="shared" si="58"/>
        <v>1564</v>
      </c>
      <c r="F1251" s="17" t="s">
        <v>4813</v>
      </c>
      <c r="G1251" s="17">
        <f>MATCH(E1251,Arenas!$F$8:$F$15)</f>
        <v>5</v>
      </c>
      <c r="H1251" s="29" t="s">
        <v>2621</v>
      </c>
      <c r="I1251" s="33" t="s">
        <v>7625</v>
      </c>
      <c r="J1251" s="47" t="s">
        <v>7626</v>
      </c>
      <c r="K1251" s="61" t="s">
        <v>4779</v>
      </c>
      <c r="L1251" s="12" t="str">
        <f t="shared" si="57"/>
        <v>2,2,2</v>
      </c>
    </row>
    <row r="1252" spans="2:12">
      <c r="B1252" s="17">
        <v>1551</v>
      </c>
      <c r="C1252" s="17">
        <v>2</v>
      </c>
      <c r="D1252" s="17">
        <f t="shared" si="59"/>
        <v>0</v>
      </c>
      <c r="E1252" s="17">
        <f t="shared" si="58"/>
        <v>1564</v>
      </c>
      <c r="F1252" s="17" t="s">
        <v>4813</v>
      </c>
      <c r="G1252" s="17">
        <f>MATCH(E1252,Arenas!$F$8:$F$15)</f>
        <v>5</v>
      </c>
      <c r="H1252" s="29" t="s">
        <v>2622</v>
      </c>
      <c r="I1252" s="33" t="s">
        <v>7627</v>
      </c>
      <c r="J1252" s="47" t="s">
        <v>5726</v>
      </c>
      <c r="K1252" s="61" t="s">
        <v>4809</v>
      </c>
      <c r="L1252" s="12" t="str">
        <f t="shared" si="57"/>
        <v>2,2,2</v>
      </c>
    </row>
    <row r="1253" spans="2:12">
      <c r="B1253" s="17">
        <v>1552</v>
      </c>
      <c r="C1253" s="17">
        <v>2</v>
      </c>
      <c r="D1253" s="17">
        <f t="shared" si="59"/>
        <v>1</v>
      </c>
      <c r="E1253" s="17">
        <f t="shared" si="58"/>
        <v>1565</v>
      </c>
      <c r="F1253" s="17" t="s">
        <v>4813</v>
      </c>
      <c r="G1253" s="17">
        <f>MATCH(E1253,Arenas!$F$8:$F$15)</f>
        <v>5</v>
      </c>
      <c r="H1253" s="29" t="s">
        <v>2623</v>
      </c>
      <c r="I1253" s="33" t="s">
        <v>7628</v>
      </c>
      <c r="J1253" s="47" t="s">
        <v>7629</v>
      </c>
      <c r="K1253" s="61" t="s">
        <v>4779</v>
      </c>
      <c r="L1253" s="12" t="str">
        <f t="shared" si="57"/>
        <v>2,2,2</v>
      </c>
    </row>
    <row r="1254" spans="2:12">
      <c r="B1254" s="17">
        <v>1553</v>
      </c>
      <c r="C1254" s="17">
        <v>2</v>
      </c>
      <c r="D1254" s="17">
        <f t="shared" si="59"/>
        <v>0</v>
      </c>
      <c r="E1254" s="17">
        <f t="shared" si="58"/>
        <v>1565</v>
      </c>
      <c r="F1254" s="17" t="s">
        <v>4813</v>
      </c>
      <c r="G1254" s="17">
        <f>MATCH(E1254,Arenas!$F$8:$F$15)</f>
        <v>5</v>
      </c>
      <c r="H1254" s="29" t="s">
        <v>2624</v>
      </c>
      <c r="I1254" s="33" t="s">
        <v>7630</v>
      </c>
      <c r="J1254" s="47" t="s">
        <v>7631</v>
      </c>
      <c r="K1254" s="61" t="s">
        <v>4779</v>
      </c>
      <c r="L1254" s="12" t="str">
        <f t="shared" si="57"/>
        <v>2,2,2</v>
      </c>
    </row>
    <row r="1255" spans="2:12">
      <c r="B1255" s="17">
        <v>1554</v>
      </c>
      <c r="C1255" s="17">
        <v>2</v>
      </c>
      <c r="D1255" s="17">
        <f t="shared" si="59"/>
        <v>0</v>
      </c>
      <c r="E1255" s="17">
        <f t="shared" si="58"/>
        <v>1565</v>
      </c>
      <c r="F1255" s="17" t="s">
        <v>4813</v>
      </c>
      <c r="G1255" s="17">
        <f>MATCH(E1255,Arenas!$F$8:$F$15)</f>
        <v>5</v>
      </c>
      <c r="H1255" s="29" t="s">
        <v>2625</v>
      </c>
      <c r="I1255" s="33" t="s">
        <v>7632</v>
      </c>
      <c r="J1255" s="47" t="s">
        <v>5565</v>
      </c>
      <c r="K1255" s="61" t="s">
        <v>4779</v>
      </c>
      <c r="L1255" s="12" t="str">
        <f t="shared" si="57"/>
        <v>2,2,2</v>
      </c>
    </row>
    <row r="1256" spans="2:12">
      <c r="B1256" s="17">
        <v>1555</v>
      </c>
      <c r="C1256" s="17">
        <v>2</v>
      </c>
      <c r="D1256" s="17">
        <f t="shared" si="59"/>
        <v>1</v>
      </c>
      <c r="E1256" s="17">
        <f t="shared" si="58"/>
        <v>1566</v>
      </c>
      <c r="F1256" s="17" t="s">
        <v>4813</v>
      </c>
      <c r="G1256" s="17">
        <f>MATCH(E1256,Arenas!$F$8:$F$15)</f>
        <v>5</v>
      </c>
      <c r="H1256" s="29" t="s">
        <v>2626</v>
      </c>
      <c r="I1256" s="33" t="s">
        <v>7633</v>
      </c>
      <c r="J1256" s="47" t="s">
        <v>5010</v>
      </c>
      <c r="K1256" s="61" t="s">
        <v>4779</v>
      </c>
      <c r="L1256" s="12" t="str">
        <f t="shared" si="57"/>
        <v>2,2,2</v>
      </c>
    </row>
    <row r="1257" spans="2:12">
      <c r="B1257" s="17">
        <v>1556</v>
      </c>
      <c r="C1257" s="17">
        <v>2</v>
      </c>
      <c r="D1257" s="17">
        <f t="shared" si="59"/>
        <v>0</v>
      </c>
      <c r="E1257" s="17">
        <f t="shared" si="58"/>
        <v>1566</v>
      </c>
      <c r="F1257" s="17" t="s">
        <v>4813</v>
      </c>
      <c r="G1257" s="17">
        <f>MATCH(E1257,Arenas!$F$8:$F$15)</f>
        <v>5</v>
      </c>
      <c r="H1257" s="29" t="s">
        <v>2627</v>
      </c>
      <c r="I1257" s="33" t="s">
        <v>7634</v>
      </c>
      <c r="J1257" s="47" t="s">
        <v>7635</v>
      </c>
      <c r="K1257" s="61" t="s">
        <v>4779</v>
      </c>
      <c r="L1257" s="12" t="str">
        <f t="shared" si="57"/>
        <v>2,2,2</v>
      </c>
    </row>
    <row r="1258" spans="2:12">
      <c r="B1258" s="17">
        <v>1557</v>
      </c>
      <c r="C1258" s="17">
        <v>2</v>
      </c>
      <c r="D1258" s="17">
        <f t="shared" si="59"/>
        <v>0</v>
      </c>
      <c r="E1258" s="17">
        <f t="shared" si="58"/>
        <v>1566</v>
      </c>
      <c r="F1258" s="17" t="s">
        <v>4813</v>
      </c>
      <c r="G1258" s="17">
        <f>MATCH(E1258,Arenas!$F$8:$F$15)</f>
        <v>5</v>
      </c>
      <c r="H1258" s="29" t="s">
        <v>2628</v>
      </c>
      <c r="I1258" s="33" t="s">
        <v>7636</v>
      </c>
      <c r="J1258" s="47" t="s">
        <v>7637</v>
      </c>
      <c r="K1258" s="61" t="s">
        <v>4779</v>
      </c>
      <c r="L1258" s="12" t="str">
        <f t="shared" si="57"/>
        <v>2,2,2</v>
      </c>
    </row>
    <row r="1259" spans="2:12">
      <c r="B1259" s="17">
        <v>1558</v>
      </c>
      <c r="C1259" s="17">
        <v>2</v>
      </c>
      <c r="D1259" s="17">
        <f t="shared" si="59"/>
        <v>1</v>
      </c>
      <c r="E1259" s="17">
        <f t="shared" si="58"/>
        <v>1567</v>
      </c>
      <c r="F1259" s="17" t="s">
        <v>4813</v>
      </c>
      <c r="G1259" s="17">
        <f>MATCH(E1259,Arenas!$F$8:$F$15)</f>
        <v>5</v>
      </c>
      <c r="H1259" s="29" t="s">
        <v>2629</v>
      </c>
      <c r="I1259" s="33" t="s">
        <v>7638</v>
      </c>
      <c r="J1259" s="47" t="s">
        <v>7639</v>
      </c>
      <c r="K1259" s="61" t="s">
        <v>4779</v>
      </c>
      <c r="L1259" s="12" t="str">
        <f t="shared" si="57"/>
        <v>2,2,2</v>
      </c>
    </row>
    <row r="1260" spans="2:12">
      <c r="B1260" s="17">
        <v>1559</v>
      </c>
      <c r="C1260" s="17">
        <v>2</v>
      </c>
      <c r="D1260" s="17">
        <f t="shared" si="59"/>
        <v>0</v>
      </c>
      <c r="E1260" s="17">
        <f t="shared" si="58"/>
        <v>1567</v>
      </c>
      <c r="F1260" s="17" t="s">
        <v>4813</v>
      </c>
      <c r="G1260" s="17">
        <f>MATCH(E1260,Arenas!$F$8:$F$15)</f>
        <v>5</v>
      </c>
      <c r="H1260" s="29" t="s">
        <v>2630</v>
      </c>
      <c r="I1260" s="33" t="s">
        <v>7640</v>
      </c>
      <c r="J1260" s="47" t="s">
        <v>7321</v>
      </c>
      <c r="K1260" s="61" t="s">
        <v>4779</v>
      </c>
      <c r="L1260" s="12" t="str">
        <f t="shared" si="57"/>
        <v>2,2,2</v>
      </c>
    </row>
    <row r="1261" spans="2:12">
      <c r="B1261" s="17">
        <v>1560</v>
      </c>
      <c r="C1261" s="17">
        <v>2</v>
      </c>
      <c r="D1261" s="17">
        <f t="shared" si="59"/>
        <v>0</v>
      </c>
      <c r="E1261" s="17">
        <f t="shared" si="58"/>
        <v>1567</v>
      </c>
      <c r="F1261" s="17" t="s">
        <v>4813</v>
      </c>
      <c r="G1261" s="17">
        <f>MATCH(E1261,Arenas!$F$8:$F$15)</f>
        <v>5</v>
      </c>
      <c r="H1261" s="29" t="s">
        <v>2631</v>
      </c>
      <c r="I1261" s="33" t="s">
        <v>7641</v>
      </c>
      <c r="J1261" s="47" t="s">
        <v>7642</v>
      </c>
      <c r="K1261" s="61" t="s">
        <v>4779</v>
      </c>
      <c r="L1261" s="12" t="str">
        <f t="shared" si="57"/>
        <v>2,2,2</v>
      </c>
    </row>
    <row r="1262" spans="2:12">
      <c r="B1262" s="17">
        <v>1561</v>
      </c>
      <c r="C1262" s="17">
        <v>2</v>
      </c>
      <c r="D1262" s="17">
        <f t="shared" si="59"/>
        <v>1</v>
      </c>
      <c r="E1262" s="17">
        <f t="shared" si="58"/>
        <v>1568</v>
      </c>
      <c r="F1262" s="17" t="s">
        <v>4813</v>
      </c>
      <c r="G1262" s="17">
        <f>MATCH(E1262,Arenas!$F$8:$F$15)</f>
        <v>5</v>
      </c>
      <c r="H1262" s="29" t="s">
        <v>2632</v>
      </c>
      <c r="I1262" s="33" t="s">
        <v>7643</v>
      </c>
      <c r="J1262" s="47" t="s">
        <v>5305</v>
      </c>
      <c r="K1262" s="61" t="s">
        <v>4779</v>
      </c>
      <c r="L1262" s="12" t="str">
        <f t="shared" si="57"/>
        <v>2,2,2</v>
      </c>
    </row>
    <row r="1263" spans="2:12">
      <c r="B1263" s="17">
        <v>1562</v>
      </c>
      <c r="C1263" s="17">
        <v>2</v>
      </c>
      <c r="D1263" s="17">
        <f t="shared" si="59"/>
        <v>0</v>
      </c>
      <c r="E1263" s="17">
        <f t="shared" si="58"/>
        <v>1568</v>
      </c>
      <c r="F1263" s="17" t="s">
        <v>4813</v>
      </c>
      <c r="G1263" s="17">
        <f>MATCH(E1263,Arenas!$F$8:$F$15)</f>
        <v>5</v>
      </c>
      <c r="H1263" s="29" t="s">
        <v>2633</v>
      </c>
      <c r="I1263" s="33" t="s">
        <v>7644</v>
      </c>
      <c r="J1263" s="47" t="s">
        <v>7645</v>
      </c>
      <c r="K1263" s="61" t="s">
        <v>4779</v>
      </c>
      <c r="L1263" s="12" t="str">
        <f t="shared" si="57"/>
        <v>2,2,2</v>
      </c>
    </row>
    <row r="1264" spans="2:12">
      <c r="B1264" s="17">
        <v>1563</v>
      </c>
      <c r="C1264" s="17">
        <v>2</v>
      </c>
      <c r="D1264" s="17">
        <f t="shared" si="59"/>
        <v>0</v>
      </c>
      <c r="E1264" s="17">
        <f t="shared" si="58"/>
        <v>1568</v>
      </c>
      <c r="F1264" s="17" t="s">
        <v>4813</v>
      </c>
      <c r="G1264" s="17">
        <f>MATCH(E1264,Arenas!$F$8:$F$15)</f>
        <v>5</v>
      </c>
      <c r="H1264" s="29" t="s">
        <v>2634</v>
      </c>
      <c r="I1264" s="33" t="s">
        <v>7646</v>
      </c>
      <c r="J1264" s="47" t="s">
        <v>5630</v>
      </c>
      <c r="K1264" s="61" t="s">
        <v>4779</v>
      </c>
      <c r="L1264" s="12" t="str">
        <f t="shared" si="57"/>
        <v>2,2,2</v>
      </c>
    </row>
    <row r="1265" spans="2:12">
      <c r="B1265" s="17">
        <v>1564</v>
      </c>
      <c r="C1265" s="17">
        <v>2</v>
      </c>
      <c r="D1265" s="17">
        <f t="shared" si="59"/>
        <v>1</v>
      </c>
      <c r="E1265" s="17">
        <f t="shared" si="58"/>
        <v>1569</v>
      </c>
      <c r="F1265" s="17" t="s">
        <v>4813</v>
      </c>
      <c r="G1265" s="17">
        <f>MATCH(E1265,Arenas!$F$8:$F$15)</f>
        <v>5</v>
      </c>
      <c r="H1265" s="29" t="s">
        <v>2635</v>
      </c>
      <c r="I1265" s="33" t="s">
        <v>7647</v>
      </c>
      <c r="J1265" s="47" t="s">
        <v>5501</v>
      </c>
      <c r="K1265" s="61" t="s">
        <v>4779</v>
      </c>
      <c r="L1265" s="12" t="str">
        <f t="shared" si="57"/>
        <v>2,2,2</v>
      </c>
    </row>
    <row r="1266" spans="2:12">
      <c r="B1266" s="17">
        <v>1565</v>
      </c>
      <c r="C1266" s="17">
        <v>2</v>
      </c>
      <c r="D1266" s="17">
        <f t="shared" si="59"/>
        <v>0</v>
      </c>
      <c r="E1266" s="17">
        <f t="shared" si="58"/>
        <v>1569</v>
      </c>
      <c r="F1266" s="17" t="s">
        <v>4813</v>
      </c>
      <c r="G1266" s="17">
        <f>MATCH(E1266,Arenas!$F$8:$F$15)</f>
        <v>5</v>
      </c>
      <c r="H1266" s="29" t="s">
        <v>2636</v>
      </c>
      <c r="I1266" s="33" t="s">
        <v>7648</v>
      </c>
      <c r="J1266" s="47" t="s">
        <v>7602</v>
      </c>
      <c r="K1266" s="61" t="s">
        <v>4779</v>
      </c>
      <c r="L1266" s="12" t="str">
        <f t="shared" si="57"/>
        <v>2,2,2</v>
      </c>
    </row>
    <row r="1267" spans="2:12">
      <c r="B1267" s="17">
        <v>1566</v>
      </c>
      <c r="C1267" s="17">
        <v>2</v>
      </c>
      <c r="D1267" s="17">
        <f t="shared" si="59"/>
        <v>0</v>
      </c>
      <c r="E1267" s="17">
        <f t="shared" si="58"/>
        <v>1569</v>
      </c>
      <c r="F1267" s="17" t="s">
        <v>4813</v>
      </c>
      <c r="G1267" s="17">
        <f>MATCH(E1267,Arenas!$F$8:$F$15)</f>
        <v>5</v>
      </c>
      <c r="H1267" s="29" t="s">
        <v>2637</v>
      </c>
      <c r="I1267" s="33" t="s">
        <v>7649</v>
      </c>
      <c r="J1267" s="47" t="s">
        <v>5632</v>
      </c>
      <c r="K1267" s="61" t="s">
        <v>4779</v>
      </c>
      <c r="L1267" s="12" t="str">
        <f t="shared" si="57"/>
        <v>2,2,2</v>
      </c>
    </row>
    <row r="1268" spans="2:12">
      <c r="B1268" s="17">
        <v>1567</v>
      </c>
      <c r="C1268" s="17">
        <v>2</v>
      </c>
      <c r="D1268" s="17">
        <f t="shared" si="59"/>
        <v>1</v>
      </c>
      <c r="E1268" s="17">
        <f t="shared" si="58"/>
        <v>1570</v>
      </c>
      <c r="F1268" s="17" t="s">
        <v>4813</v>
      </c>
      <c r="G1268" s="17">
        <f>MATCH(E1268,Arenas!$F$8:$F$15)</f>
        <v>5</v>
      </c>
      <c r="H1268" s="29" t="s">
        <v>2638</v>
      </c>
      <c r="I1268" s="33" t="s">
        <v>7650</v>
      </c>
      <c r="J1268" s="47" t="s">
        <v>7651</v>
      </c>
      <c r="K1268" s="61" t="s">
        <v>4779</v>
      </c>
      <c r="L1268" s="12" t="str">
        <f t="shared" si="57"/>
        <v>2,2,2</v>
      </c>
    </row>
    <row r="1269" spans="2:12">
      <c r="B1269" s="17">
        <v>1568</v>
      </c>
      <c r="C1269" s="17">
        <v>2</v>
      </c>
      <c r="D1269" s="17">
        <f t="shared" si="59"/>
        <v>0</v>
      </c>
      <c r="E1269" s="17">
        <f t="shared" si="58"/>
        <v>1570</v>
      </c>
      <c r="F1269" s="17" t="s">
        <v>4813</v>
      </c>
      <c r="G1269" s="17">
        <f>MATCH(E1269,Arenas!$F$8:$F$15)</f>
        <v>5</v>
      </c>
      <c r="H1269" s="29" t="s">
        <v>2639</v>
      </c>
      <c r="I1269" s="33" t="s">
        <v>7652</v>
      </c>
      <c r="J1269" s="47" t="s">
        <v>7653</v>
      </c>
      <c r="K1269" s="61" t="s">
        <v>4779</v>
      </c>
      <c r="L1269" s="12" t="str">
        <f t="shared" si="57"/>
        <v>2,2,2</v>
      </c>
    </row>
    <row r="1270" spans="2:12">
      <c r="B1270" s="17">
        <v>1569</v>
      </c>
      <c r="C1270" s="17">
        <v>2</v>
      </c>
      <c r="D1270" s="17">
        <f t="shared" si="59"/>
        <v>0</v>
      </c>
      <c r="E1270" s="17">
        <f t="shared" si="58"/>
        <v>1570</v>
      </c>
      <c r="F1270" s="17" t="s">
        <v>4813</v>
      </c>
      <c r="G1270" s="17">
        <f>MATCH(E1270,Arenas!$F$8:$F$15)</f>
        <v>5</v>
      </c>
      <c r="H1270" s="29" t="s">
        <v>2640</v>
      </c>
      <c r="I1270" s="33" t="s">
        <v>7654</v>
      </c>
      <c r="J1270" s="47" t="s">
        <v>7655</v>
      </c>
      <c r="K1270" s="61" t="s">
        <v>4779</v>
      </c>
      <c r="L1270" s="12" t="str">
        <f t="shared" si="57"/>
        <v>2,2,2</v>
      </c>
    </row>
    <row r="1271" spans="2:12">
      <c r="B1271" s="17">
        <v>1570</v>
      </c>
      <c r="C1271" s="17">
        <v>2</v>
      </c>
      <c r="D1271" s="17">
        <f t="shared" si="59"/>
        <v>1</v>
      </c>
      <c r="E1271" s="17">
        <f t="shared" si="58"/>
        <v>1571</v>
      </c>
      <c r="F1271" s="17" t="s">
        <v>4813</v>
      </c>
      <c r="G1271" s="17">
        <f>MATCH(E1271,Arenas!$F$8:$F$15)</f>
        <v>5</v>
      </c>
      <c r="H1271" s="29" t="s">
        <v>2641</v>
      </c>
      <c r="I1271" s="33" t="s">
        <v>7656</v>
      </c>
      <c r="J1271" s="47" t="s">
        <v>7657</v>
      </c>
      <c r="K1271" s="61" t="s">
        <v>4779</v>
      </c>
      <c r="L1271" s="12" t="str">
        <f t="shared" si="57"/>
        <v>2,2,2</v>
      </c>
    </row>
    <row r="1272" spans="2:12">
      <c r="B1272" s="17">
        <v>1571</v>
      </c>
      <c r="C1272" s="17">
        <v>2</v>
      </c>
      <c r="D1272" s="17">
        <f t="shared" si="59"/>
        <v>0</v>
      </c>
      <c r="E1272" s="17">
        <f t="shared" si="58"/>
        <v>1571</v>
      </c>
      <c r="F1272" s="17" t="s">
        <v>4813</v>
      </c>
      <c r="G1272" s="17">
        <f>MATCH(E1272,Arenas!$F$8:$F$15)</f>
        <v>5</v>
      </c>
      <c r="H1272" s="29" t="s">
        <v>2642</v>
      </c>
      <c r="I1272" s="33" t="s">
        <v>7658</v>
      </c>
      <c r="J1272" s="47" t="s">
        <v>5694</v>
      </c>
      <c r="K1272" s="61" t="s">
        <v>4779</v>
      </c>
      <c r="L1272" s="12" t="str">
        <f t="shared" si="57"/>
        <v>2,2,2</v>
      </c>
    </row>
    <row r="1273" spans="2:12">
      <c r="B1273" s="17">
        <v>1572</v>
      </c>
      <c r="C1273" s="17">
        <v>2</v>
      </c>
      <c r="D1273" s="17">
        <f t="shared" si="59"/>
        <v>0</v>
      </c>
      <c r="E1273" s="17">
        <f t="shared" si="58"/>
        <v>1571</v>
      </c>
      <c r="F1273" s="17" t="s">
        <v>4813</v>
      </c>
      <c r="G1273" s="17">
        <f>MATCH(E1273,Arenas!$F$8:$F$15)</f>
        <v>5</v>
      </c>
      <c r="H1273" s="29" t="s">
        <v>2643</v>
      </c>
      <c r="I1273" s="33" t="s">
        <v>7659</v>
      </c>
      <c r="J1273" s="47" t="s">
        <v>7660</v>
      </c>
      <c r="K1273" s="61" t="s">
        <v>4779</v>
      </c>
      <c r="L1273" s="12" t="str">
        <f t="shared" si="57"/>
        <v>2,2,2</v>
      </c>
    </row>
    <row r="1274" spans="2:12">
      <c r="B1274" s="17">
        <v>1573</v>
      </c>
      <c r="C1274" s="17">
        <v>2</v>
      </c>
      <c r="D1274" s="17">
        <f t="shared" si="59"/>
        <v>1</v>
      </c>
      <c r="E1274" s="17">
        <f t="shared" si="58"/>
        <v>1572</v>
      </c>
      <c r="F1274" s="17" t="s">
        <v>4813</v>
      </c>
      <c r="G1274" s="17">
        <f>MATCH(E1274,Arenas!$F$8:$F$15)</f>
        <v>5</v>
      </c>
      <c r="H1274" s="29" t="s">
        <v>2644</v>
      </c>
      <c r="I1274" s="33" t="s">
        <v>7661</v>
      </c>
      <c r="J1274" s="47" t="s">
        <v>7662</v>
      </c>
      <c r="K1274" s="61" t="s">
        <v>4779</v>
      </c>
      <c r="L1274" s="12" t="str">
        <f t="shared" si="57"/>
        <v>2,2,2</v>
      </c>
    </row>
    <row r="1275" spans="2:12">
      <c r="B1275" s="17">
        <v>1574</v>
      </c>
      <c r="C1275" s="17">
        <v>2</v>
      </c>
      <c r="D1275" s="17">
        <f t="shared" si="59"/>
        <v>0</v>
      </c>
      <c r="E1275" s="17">
        <f t="shared" si="58"/>
        <v>1572</v>
      </c>
      <c r="F1275" s="17" t="s">
        <v>4813</v>
      </c>
      <c r="G1275" s="17">
        <f>MATCH(E1275,Arenas!$F$8:$F$15)</f>
        <v>5</v>
      </c>
      <c r="H1275" s="29" t="s">
        <v>2645</v>
      </c>
      <c r="I1275" s="33" t="s">
        <v>7663</v>
      </c>
      <c r="J1275" s="47" t="s">
        <v>7664</v>
      </c>
      <c r="K1275" s="61" t="s">
        <v>4779</v>
      </c>
      <c r="L1275" s="12" t="str">
        <f t="shared" si="57"/>
        <v>2,2,2</v>
      </c>
    </row>
    <row r="1276" spans="2:12">
      <c r="B1276" s="17">
        <v>1575</v>
      </c>
      <c r="C1276" s="17">
        <v>2</v>
      </c>
      <c r="D1276" s="17">
        <f t="shared" si="59"/>
        <v>0</v>
      </c>
      <c r="E1276" s="17">
        <f t="shared" si="58"/>
        <v>1572</v>
      </c>
      <c r="F1276" s="17" t="s">
        <v>4813</v>
      </c>
      <c r="G1276" s="17">
        <f>MATCH(E1276,Arenas!$F$8:$F$15)</f>
        <v>5</v>
      </c>
      <c r="H1276" s="29" t="s">
        <v>2646</v>
      </c>
      <c r="I1276" s="33" t="s">
        <v>7665</v>
      </c>
      <c r="J1276" s="47" t="s">
        <v>7666</v>
      </c>
      <c r="K1276" s="61" t="s">
        <v>4779</v>
      </c>
      <c r="L1276" s="12" t="str">
        <f t="shared" si="57"/>
        <v>2,2,2</v>
      </c>
    </row>
    <row r="1277" spans="2:12">
      <c r="B1277" s="17">
        <v>1576</v>
      </c>
      <c r="C1277" s="17">
        <v>2</v>
      </c>
      <c r="D1277" s="17">
        <f t="shared" si="59"/>
        <v>1</v>
      </c>
      <c r="E1277" s="17">
        <f t="shared" si="58"/>
        <v>1573</v>
      </c>
      <c r="F1277" s="17" t="s">
        <v>4813</v>
      </c>
      <c r="G1277" s="17">
        <f>MATCH(E1277,Arenas!$F$8:$F$15)</f>
        <v>5</v>
      </c>
      <c r="H1277" s="29" t="s">
        <v>2647</v>
      </c>
      <c r="I1277" s="33" t="s">
        <v>7667</v>
      </c>
      <c r="J1277" s="47" t="s">
        <v>7668</v>
      </c>
      <c r="K1277" s="61" t="s">
        <v>4779</v>
      </c>
      <c r="L1277" s="12" t="str">
        <f t="shared" si="57"/>
        <v>2,2,2</v>
      </c>
    </row>
    <row r="1278" spans="2:12">
      <c r="B1278" s="17">
        <v>1577</v>
      </c>
      <c r="C1278" s="17">
        <v>2</v>
      </c>
      <c r="D1278" s="17">
        <f t="shared" si="59"/>
        <v>0</v>
      </c>
      <c r="E1278" s="17">
        <f t="shared" si="58"/>
        <v>1573</v>
      </c>
      <c r="F1278" s="17" t="s">
        <v>4813</v>
      </c>
      <c r="G1278" s="17">
        <f>MATCH(E1278,Arenas!$F$8:$F$15)</f>
        <v>5</v>
      </c>
      <c r="H1278" s="29" t="s">
        <v>2648</v>
      </c>
      <c r="I1278" s="33" t="s">
        <v>7669</v>
      </c>
      <c r="J1278" s="47" t="s">
        <v>5137</v>
      </c>
      <c r="K1278" s="61" t="s">
        <v>4779</v>
      </c>
      <c r="L1278" s="12" t="str">
        <f t="shared" si="57"/>
        <v>2,2,2</v>
      </c>
    </row>
    <row r="1279" spans="2:12">
      <c r="B1279" s="17">
        <v>1578</v>
      </c>
      <c r="C1279" s="17">
        <v>2</v>
      </c>
      <c r="D1279" s="17">
        <f t="shared" si="59"/>
        <v>0</v>
      </c>
      <c r="E1279" s="17">
        <f t="shared" si="58"/>
        <v>1573</v>
      </c>
      <c r="F1279" s="17" t="s">
        <v>4813</v>
      </c>
      <c r="G1279" s="17">
        <f>MATCH(E1279,Arenas!$F$8:$F$15)</f>
        <v>5</v>
      </c>
      <c r="H1279" s="29" t="s">
        <v>2649</v>
      </c>
      <c r="I1279" s="33" t="s">
        <v>7670</v>
      </c>
      <c r="J1279" s="47" t="s">
        <v>5378</v>
      </c>
      <c r="K1279" s="61" t="s">
        <v>4808</v>
      </c>
      <c r="L1279" s="12" t="str">
        <f t="shared" si="57"/>
        <v>2,2,2</v>
      </c>
    </row>
    <row r="1280" spans="2:12">
      <c r="B1280" s="17">
        <v>1579</v>
      </c>
      <c r="C1280" s="17">
        <v>2</v>
      </c>
      <c r="D1280" s="17">
        <f t="shared" si="59"/>
        <v>1</v>
      </c>
      <c r="E1280" s="17">
        <f t="shared" si="58"/>
        <v>1574</v>
      </c>
      <c r="F1280" s="17" t="s">
        <v>4813</v>
      </c>
      <c r="G1280" s="17">
        <f>MATCH(E1280,Arenas!$F$8:$F$15)</f>
        <v>5</v>
      </c>
      <c r="H1280" s="29" t="s">
        <v>2650</v>
      </c>
      <c r="I1280" s="33" t="s">
        <v>7671</v>
      </c>
      <c r="J1280" s="47" t="s">
        <v>5472</v>
      </c>
      <c r="K1280" s="61" t="s">
        <v>4779</v>
      </c>
      <c r="L1280" s="12" t="str">
        <f t="shared" si="57"/>
        <v>2,2,2</v>
      </c>
    </row>
    <row r="1281" spans="2:12">
      <c r="B1281" s="17">
        <v>1580</v>
      </c>
      <c r="C1281" s="17">
        <v>2</v>
      </c>
      <c r="D1281" s="17">
        <f t="shared" si="59"/>
        <v>0</v>
      </c>
      <c r="E1281" s="17">
        <f t="shared" si="58"/>
        <v>1574</v>
      </c>
      <c r="F1281" s="17" t="s">
        <v>4813</v>
      </c>
      <c r="G1281" s="17">
        <f>MATCH(E1281,Arenas!$F$8:$F$15)</f>
        <v>5</v>
      </c>
      <c r="H1281" s="29" t="s">
        <v>2651</v>
      </c>
      <c r="I1281" s="33" t="s">
        <v>5967</v>
      </c>
      <c r="J1281" s="47" t="s">
        <v>7672</v>
      </c>
      <c r="K1281" s="61" t="s">
        <v>4779</v>
      </c>
      <c r="L1281" s="12" t="str">
        <f t="shared" si="57"/>
        <v>2,2,2</v>
      </c>
    </row>
    <row r="1282" spans="2:12">
      <c r="B1282" s="17">
        <v>1581</v>
      </c>
      <c r="C1282" s="17">
        <v>2</v>
      </c>
      <c r="D1282" s="17">
        <f t="shared" si="59"/>
        <v>0</v>
      </c>
      <c r="E1282" s="17">
        <f t="shared" si="58"/>
        <v>1574</v>
      </c>
      <c r="F1282" s="17" t="s">
        <v>4813</v>
      </c>
      <c r="G1282" s="17">
        <f>MATCH(E1282,Arenas!$F$8:$F$15)</f>
        <v>5</v>
      </c>
      <c r="H1282" s="29" t="s">
        <v>2652</v>
      </c>
      <c r="I1282" s="33" t="s">
        <v>7673</v>
      </c>
      <c r="J1282" s="47" t="s">
        <v>7674</v>
      </c>
      <c r="K1282" s="61" t="s">
        <v>4779</v>
      </c>
      <c r="L1282" s="12" t="str">
        <f t="shared" ref="L1282:L1345" si="60">C1282&amp;","&amp;C1282&amp;","&amp;C1282</f>
        <v>2,2,2</v>
      </c>
    </row>
    <row r="1283" spans="2:12">
      <c r="B1283" s="17">
        <v>1582</v>
      </c>
      <c r="C1283" s="17">
        <v>2</v>
      </c>
      <c r="D1283" s="17">
        <f t="shared" si="59"/>
        <v>1</v>
      </c>
      <c r="E1283" s="17">
        <f t="shared" ref="E1283:E1346" si="61">D1283+E1282</f>
        <v>1575</v>
      </c>
      <c r="F1283" s="17" t="s">
        <v>4813</v>
      </c>
      <c r="G1283" s="17">
        <f>MATCH(E1283,Arenas!$F$8:$F$15)</f>
        <v>5</v>
      </c>
      <c r="H1283" s="29" t="s">
        <v>2653</v>
      </c>
      <c r="I1283" s="33" t="s">
        <v>7675</v>
      </c>
      <c r="J1283" s="47" t="s">
        <v>5075</v>
      </c>
      <c r="K1283" s="61" t="s">
        <v>4779</v>
      </c>
      <c r="L1283" s="12" t="str">
        <f t="shared" si="60"/>
        <v>2,2,2</v>
      </c>
    </row>
    <row r="1284" spans="2:12">
      <c r="B1284" s="17">
        <v>1583</v>
      </c>
      <c r="C1284" s="17">
        <v>2</v>
      </c>
      <c r="D1284" s="17">
        <f t="shared" si="59"/>
        <v>0</v>
      </c>
      <c r="E1284" s="17">
        <f t="shared" si="61"/>
        <v>1575</v>
      </c>
      <c r="F1284" s="17" t="s">
        <v>4813</v>
      </c>
      <c r="G1284" s="17">
        <f>MATCH(E1284,Arenas!$F$8:$F$15)</f>
        <v>5</v>
      </c>
      <c r="H1284" s="29" t="s">
        <v>2654</v>
      </c>
      <c r="I1284" s="33" t="s">
        <v>7676</v>
      </c>
      <c r="J1284" s="47" t="s">
        <v>7677</v>
      </c>
      <c r="K1284" s="61" t="s">
        <v>4779</v>
      </c>
      <c r="L1284" s="12" t="str">
        <f t="shared" si="60"/>
        <v>2,2,2</v>
      </c>
    </row>
    <row r="1285" spans="2:12">
      <c r="B1285" s="17">
        <v>1584</v>
      </c>
      <c r="C1285" s="17">
        <v>2</v>
      </c>
      <c r="D1285" s="17">
        <f t="shared" ref="D1285:D1348" si="62">D1282</f>
        <v>0</v>
      </c>
      <c r="E1285" s="17">
        <f t="shared" si="61"/>
        <v>1575</v>
      </c>
      <c r="F1285" s="17" t="s">
        <v>4813</v>
      </c>
      <c r="G1285" s="17">
        <f>MATCH(E1285,Arenas!$F$8:$F$15)</f>
        <v>5</v>
      </c>
      <c r="H1285" s="29" t="s">
        <v>2655</v>
      </c>
      <c r="I1285" s="33" t="s">
        <v>7678</v>
      </c>
      <c r="J1285" s="47" t="s">
        <v>7679</v>
      </c>
      <c r="K1285" s="61" t="s">
        <v>4779</v>
      </c>
      <c r="L1285" s="12" t="str">
        <f t="shared" si="60"/>
        <v>2,2,2</v>
      </c>
    </row>
    <row r="1286" spans="2:12">
      <c r="B1286" s="17">
        <v>1585</v>
      </c>
      <c r="C1286" s="17">
        <v>2</v>
      </c>
      <c r="D1286" s="17">
        <f t="shared" si="62"/>
        <v>1</v>
      </c>
      <c r="E1286" s="17">
        <f t="shared" si="61"/>
        <v>1576</v>
      </c>
      <c r="F1286" s="17" t="s">
        <v>4813</v>
      </c>
      <c r="G1286" s="17">
        <f>MATCH(E1286,Arenas!$F$8:$F$15)</f>
        <v>5</v>
      </c>
      <c r="H1286" s="29" t="s">
        <v>2656</v>
      </c>
      <c r="I1286" s="33" t="s">
        <v>7680</v>
      </c>
      <c r="J1286" s="47" t="s">
        <v>5035</v>
      </c>
      <c r="K1286" s="61" t="s">
        <v>4779</v>
      </c>
      <c r="L1286" s="12" t="str">
        <f t="shared" si="60"/>
        <v>2,2,2</v>
      </c>
    </row>
    <row r="1287" spans="2:12">
      <c r="B1287" s="17">
        <v>1586</v>
      </c>
      <c r="C1287" s="17">
        <v>2</v>
      </c>
      <c r="D1287" s="17">
        <f t="shared" si="62"/>
        <v>0</v>
      </c>
      <c r="E1287" s="17">
        <f t="shared" si="61"/>
        <v>1576</v>
      </c>
      <c r="F1287" s="17" t="s">
        <v>4813</v>
      </c>
      <c r="G1287" s="17">
        <f>MATCH(E1287,Arenas!$F$8:$F$15)</f>
        <v>5</v>
      </c>
      <c r="H1287" s="29" t="s">
        <v>2657</v>
      </c>
      <c r="I1287" s="33" t="s">
        <v>7681</v>
      </c>
      <c r="J1287" s="47" t="s">
        <v>7682</v>
      </c>
      <c r="K1287" s="61" t="s">
        <v>4779</v>
      </c>
      <c r="L1287" s="12" t="str">
        <f t="shared" si="60"/>
        <v>2,2,2</v>
      </c>
    </row>
    <row r="1288" spans="2:12">
      <c r="B1288" s="17">
        <v>1587</v>
      </c>
      <c r="C1288" s="17">
        <v>2</v>
      </c>
      <c r="D1288" s="17">
        <f t="shared" si="62"/>
        <v>0</v>
      </c>
      <c r="E1288" s="17">
        <f t="shared" si="61"/>
        <v>1576</v>
      </c>
      <c r="F1288" s="17" t="s">
        <v>4813</v>
      </c>
      <c r="G1288" s="17">
        <f>MATCH(E1288,Arenas!$F$8:$F$15)</f>
        <v>5</v>
      </c>
      <c r="H1288" s="29" t="s">
        <v>2658</v>
      </c>
      <c r="I1288" s="33" t="s">
        <v>7683</v>
      </c>
      <c r="J1288" s="47" t="s">
        <v>5293</v>
      </c>
      <c r="K1288" s="61" t="s">
        <v>4807</v>
      </c>
      <c r="L1288" s="12" t="str">
        <f t="shared" si="60"/>
        <v>2,2,2</v>
      </c>
    </row>
    <row r="1289" spans="2:12">
      <c r="B1289" s="17">
        <v>1588</v>
      </c>
      <c r="C1289" s="17">
        <v>2</v>
      </c>
      <c r="D1289" s="17">
        <f t="shared" si="62"/>
        <v>1</v>
      </c>
      <c r="E1289" s="17">
        <f t="shared" si="61"/>
        <v>1577</v>
      </c>
      <c r="F1289" s="17" t="s">
        <v>4813</v>
      </c>
      <c r="G1289" s="17">
        <f>MATCH(E1289,Arenas!$F$8:$F$15)</f>
        <v>5</v>
      </c>
      <c r="H1289" s="29" t="s">
        <v>2659</v>
      </c>
      <c r="I1289" s="33" t="s">
        <v>7684</v>
      </c>
      <c r="J1289" s="47" t="s">
        <v>5820</v>
      </c>
      <c r="K1289" s="61" t="s">
        <v>4779</v>
      </c>
      <c r="L1289" s="12" t="str">
        <f t="shared" si="60"/>
        <v>2,2,2</v>
      </c>
    </row>
    <row r="1290" spans="2:12">
      <c r="B1290" s="17">
        <v>1589</v>
      </c>
      <c r="C1290" s="17">
        <v>2</v>
      </c>
      <c r="D1290" s="17">
        <f t="shared" si="62"/>
        <v>0</v>
      </c>
      <c r="E1290" s="17">
        <f t="shared" si="61"/>
        <v>1577</v>
      </c>
      <c r="F1290" s="17" t="s">
        <v>4813</v>
      </c>
      <c r="G1290" s="17">
        <f>MATCH(E1290,Arenas!$F$8:$F$15)</f>
        <v>5</v>
      </c>
      <c r="H1290" s="29" t="s">
        <v>2660</v>
      </c>
      <c r="I1290" s="33" t="s">
        <v>7685</v>
      </c>
      <c r="J1290" s="47" t="s">
        <v>7686</v>
      </c>
      <c r="K1290" s="61" t="s">
        <v>4779</v>
      </c>
      <c r="L1290" s="12" t="str">
        <f t="shared" si="60"/>
        <v>2,2,2</v>
      </c>
    </row>
    <row r="1291" spans="2:12">
      <c r="B1291" s="17">
        <v>1590</v>
      </c>
      <c r="C1291" s="17">
        <v>2</v>
      </c>
      <c r="D1291" s="17">
        <f t="shared" si="62"/>
        <v>0</v>
      </c>
      <c r="E1291" s="17">
        <f t="shared" si="61"/>
        <v>1577</v>
      </c>
      <c r="F1291" s="17" t="s">
        <v>4813</v>
      </c>
      <c r="G1291" s="17">
        <f>MATCH(E1291,Arenas!$F$8:$F$15)</f>
        <v>5</v>
      </c>
      <c r="H1291" s="29" t="s">
        <v>2661</v>
      </c>
      <c r="I1291" s="33" t="s">
        <v>7687</v>
      </c>
      <c r="J1291" s="47" t="s">
        <v>5355</v>
      </c>
      <c r="K1291" s="61" t="s">
        <v>4779</v>
      </c>
      <c r="L1291" s="12" t="str">
        <f t="shared" si="60"/>
        <v>2,2,2</v>
      </c>
    </row>
    <row r="1292" spans="2:12">
      <c r="B1292" s="17">
        <v>1591</v>
      </c>
      <c r="C1292" s="17">
        <v>2</v>
      </c>
      <c r="D1292" s="17">
        <f t="shared" si="62"/>
        <v>1</v>
      </c>
      <c r="E1292" s="17">
        <f t="shared" si="61"/>
        <v>1578</v>
      </c>
      <c r="F1292" s="17" t="s">
        <v>4813</v>
      </c>
      <c r="G1292" s="17">
        <f>MATCH(E1292,Arenas!$F$8:$F$15)</f>
        <v>5</v>
      </c>
      <c r="H1292" s="29" t="s">
        <v>2662</v>
      </c>
      <c r="I1292" s="33" t="s">
        <v>7688</v>
      </c>
      <c r="J1292" s="47" t="s">
        <v>5884</v>
      </c>
      <c r="K1292" s="61" t="s">
        <v>4779</v>
      </c>
      <c r="L1292" s="12" t="str">
        <f t="shared" si="60"/>
        <v>2,2,2</v>
      </c>
    </row>
    <row r="1293" spans="2:12">
      <c r="B1293" s="17">
        <v>1592</v>
      </c>
      <c r="C1293" s="17">
        <v>2</v>
      </c>
      <c r="D1293" s="17">
        <f t="shared" si="62"/>
        <v>0</v>
      </c>
      <c r="E1293" s="17">
        <f t="shared" si="61"/>
        <v>1578</v>
      </c>
      <c r="F1293" s="17" t="s">
        <v>4813</v>
      </c>
      <c r="G1293" s="17">
        <f>MATCH(E1293,Arenas!$F$8:$F$15)</f>
        <v>5</v>
      </c>
      <c r="H1293" s="29" t="s">
        <v>2663</v>
      </c>
      <c r="I1293" s="33" t="s">
        <v>7689</v>
      </c>
      <c r="J1293" s="47" t="s">
        <v>7690</v>
      </c>
      <c r="K1293" s="61" t="s">
        <v>4779</v>
      </c>
      <c r="L1293" s="12" t="str">
        <f t="shared" si="60"/>
        <v>2,2,2</v>
      </c>
    </row>
    <row r="1294" spans="2:12">
      <c r="B1294" s="17">
        <v>1593</v>
      </c>
      <c r="C1294" s="17">
        <v>2</v>
      </c>
      <c r="D1294" s="17">
        <f t="shared" si="62"/>
        <v>0</v>
      </c>
      <c r="E1294" s="17">
        <f t="shared" si="61"/>
        <v>1578</v>
      </c>
      <c r="F1294" s="17" t="s">
        <v>4813</v>
      </c>
      <c r="G1294" s="17">
        <f>MATCH(E1294,Arenas!$F$8:$F$15)</f>
        <v>5</v>
      </c>
      <c r="H1294" s="29" t="s">
        <v>2664</v>
      </c>
      <c r="I1294" s="33" t="s">
        <v>7691</v>
      </c>
      <c r="J1294" s="47" t="s">
        <v>5476</v>
      </c>
      <c r="K1294" s="61" t="s">
        <v>4779</v>
      </c>
      <c r="L1294" s="12" t="str">
        <f t="shared" si="60"/>
        <v>2,2,2</v>
      </c>
    </row>
    <row r="1295" spans="2:12">
      <c r="B1295" s="17">
        <v>1594</v>
      </c>
      <c r="C1295" s="17">
        <v>2</v>
      </c>
      <c r="D1295" s="17">
        <f t="shared" si="62"/>
        <v>1</v>
      </c>
      <c r="E1295" s="17">
        <f t="shared" si="61"/>
        <v>1579</v>
      </c>
      <c r="F1295" s="17" t="s">
        <v>4813</v>
      </c>
      <c r="G1295" s="17">
        <f>MATCH(E1295,Arenas!$F$8:$F$15)</f>
        <v>5</v>
      </c>
      <c r="H1295" s="29" t="s">
        <v>2665</v>
      </c>
      <c r="I1295" s="33" t="s">
        <v>7692</v>
      </c>
      <c r="J1295" s="47" t="s">
        <v>7599</v>
      </c>
      <c r="K1295" s="61" t="s">
        <v>4809</v>
      </c>
      <c r="L1295" s="12" t="str">
        <f t="shared" si="60"/>
        <v>2,2,2</v>
      </c>
    </row>
    <row r="1296" spans="2:12">
      <c r="B1296" s="17">
        <v>1595</v>
      </c>
      <c r="C1296" s="17">
        <v>2</v>
      </c>
      <c r="D1296" s="17">
        <f t="shared" si="62"/>
        <v>0</v>
      </c>
      <c r="E1296" s="17">
        <f t="shared" si="61"/>
        <v>1579</v>
      </c>
      <c r="F1296" s="17" t="s">
        <v>4813</v>
      </c>
      <c r="G1296" s="17">
        <f>MATCH(E1296,Arenas!$F$8:$F$15)</f>
        <v>5</v>
      </c>
      <c r="H1296" s="29" t="s">
        <v>2666</v>
      </c>
      <c r="I1296" s="33" t="s">
        <v>7693</v>
      </c>
      <c r="J1296" s="47" t="s">
        <v>5879</v>
      </c>
      <c r="K1296" s="61" t="s">
        <v>4779</v>
      </c>
      <c r="L1296" s="12" t="str">
        <f t="shared" si="60"/>
        <v>2,2,2</v>
      </c>
    </row>
    <row r="1297" spans="2:12">
      <c r="B1297" s="17">
        <v>1596</v>
      </c>
      <c r="C1297" s="17">
        <v>2</v>
      </c>
      <c r="D1297" s="17">
        <f t="shared" si="62"/>
        <v>0</v>
      </c>
      <c r="E1297" s="17">
        <f t="shared" si="61"/>
        <v>1579</v>
      </c>
      <c r="F1297" s="17" t="s">
        <v>4813</v>
      </c>
      <c r="G1297" s="17">
        <f>MATCH(E1297,Arenas!$F$8:$F$15)</f>
        <v>5</v>
      </c>
      <c r="H1297" s="29" t="s">
        <v>2667</v>
      </c>
      <c r="I1297" s="33" t="s">
        <v>7694</v>
      </c>
      <c r="J1297" s="47" t="s">
        <v>7695</v>
      </c>
      <c r="K1297" s="61" t="s">
        <v>4779</v>
      </c>
      <c r="L1297" s="12" t="str">
        <f t="shared" si="60"/>
        <v>2,2,2</v>
      </c>
    </row>
    <row r="1298" spans="2:12">
      <c r="B1298" s="17">
        <v>1597</v>
      </c>
      <c r="C1298" s="17">
        <v>2</v>
      </c>
      <c r="D1298" s="17">
        <f t="shared" si="62"/>
        <v>1</v>
      </c>
      <c r="E1298" s="17">
        <f t="shared" si="61"/>
        <v>1580</v>
      </c>
      <c r="F1298" s="17" t="s">
        <v>4813</v>
      </c>
      <c r="G1298" s="17">
        <f>MATCH(E1298,Arenas!$F$8:$F$15)</f>
        <v>5</v>
      </c>
      <c r="H1298" s="29" t="s">
        <v>2668</v>
      </c>
      <c r="I1298" s="33" t="s">
        <v>7696</v>
      </c>
      <c r="J1298" s="47" t="s">
        <v>5369</v>
      </c>
      <c r="K1298" s="61" t="s">
        <v>4779</v>
      </c>
      <c r="L1298" s="12" t="str">
        <f t="shared" si="60"/>
        <v>2,2,2</v>
      </c>
    </row>
    <row r="1299" spans="2:12">
      <c r="B1299" s="17">
        <v>1598</v>
      </c>
      <c r="C1299" s="17">
        <v>2</v>
      </c>
      <c r="D1299" s="17">
        <f t="shared" si="62"/>
        <v>0</v>
      </c>
      <c r="E1299" s="17">
        <f t="shared" si="61"/>
        <v>1580</v>
      </c>
      <c r="F1299" s="17" t="s">
        <v>4813</v>
      </c>
      <c r="G1299" s="17">
        <f>MATCH(E1299,Arenas!$F$8:$F$15)</f>
        <v>5</v>
      </c>
      <c r="H1299" s="29" t="s">
        <v>2669</v>
      </c>
      <c r="I1299" s="33" t="s">
        <v>7697</v>
      </c>
      <c r="J1299" s="47" t="s">
        <v>5290</v>
      </c>
      <c r="K1299" s="61" t="s">
        <v>4779</v>
      </c>
      <c r="L1299" s="12" t="str">
        <f t="shared" si="60"/>
        <v>2,2,2</v>
      </c>
    </row>
    <row r="1300" spans="2:12">
      <c r="B1300" s="17">
        <v>1599</v>
      </c>
      <c r="C1300" s="17">
        <v>2</v>
      </c>
      <c r="D1300" s="17">
        <f t="shared" si="62"/>
        <v>0</v>
      </c>
      <c r="E1300" s="17">
        <f t="shared" si="61"/>
        <v>1580</v>
      </c>
      <c r="F1300" s="17" t="s">
        <v>4813</v>
      </c>
      <c r="G1300" s="17">
        <f>MATCH(E1300,Arenas!$F$8:$F$15)</f>
        <v>5</v>
      </c>
      <c r="H1300" s="29" t="s">
        <v>2670</v>
      </c>
      <c r="I1300" s="33" t="s">
        <v>7698</v>
      </c>
      <c r="J1300" s="47" t="s">
        <v>5152</v>
      </c>
      <c r="K1300" s="61" t="s">
        <v>4779</v>
      </c>
      <c r="L1300" s="12" t="str">
        <f t="shared" si="60"/>
        <v>2,2,2</v>
      </c>
    </row>
    <row r="1301" spans="2:12">
      <c r="B1301" s="17">
        <v>1600</v>
      </c>
      <c r="C1301" s="17">
        <v>2</v>
      </c>
      <c r="D1301" s="17">
        <f t="shared" si="62"/>
        <v>1</v>
      </c>
      <c r="E1301" s="17">
        <f t="shared" si="61"/>
        <v>1581</v>
      </c>
      <c r="F1301" s="17" t="s">
        <v>4813</v>
      </c>
      <c r="G1301" s="17">
        <f>MATCH(E1301,Arenas!$F$8:$F$15)</f>
        <v>5</v>
      </c>
      <c r="H1301" s="29" t="s">
        <v>2671</v>
      </c>
      <c r="I1301" s="33" t="s">
        <v>7699</v>
      </c>
      <c r="J1301" s="47" t="s">
        <v>5687</v>
      </c>
      <c r="K1301" s="61" t="s">
        <v>4779</v>
      </c>
      <c r="L1301" s="12" t="str">
        <f t="shared" si="60"/>
        <v>2,2,2</v>
      </c>
    </row>
    <row r="1302" spans="2:12">
      <c r="B1302" s="17">
        <v>1601</v>
      </c>
      <c r="C1302" s="17">
        <v>2</v>
      </c>
      <c r="D1302" s="17">
        <f t="shared" si="62"/>
        <v>0</v>
      </c>
      <c r="E1302" s="17">
        <f t="shared" si="61"/>
        <v>1581</v>
      </c>
      <c r="F1302" s="17" t="s">
        <v>4813</v>
      </c>
      <c r="G1302" s="17">
        <f>MATCH(E1302,Arenas!$F$8:$F$15)</f>
        <v>5</v>
      </c>
      <c r="H1302" s="29" t="s">
        <v>2672</v>
      </c>
      <c r="I1302" s="33" t="s">
        <v>7700</v>
      </c>
      <c r="J1302" s="47" t="s">
        <v>7701</v>
      </c>
      <c r="K1302" s="61" t="s">
        <v>4779</v>
      </c>
      <c r="L1302" s="12" t="str">
        <f t="shared" si="60"/>
        <v>2,2,2</v>
      </c>
    </row>
    <row r="1303" spans="2:12">
      <c r="B1303" s="17">
        <v>1602</v>
      </c>
      <c r="C1303" s="17">
        <v>2</v>
      </c>
      <c r="D1303" s="17">
        <f t="shared" si="62"/>
        <v>0</v>
      </c>
      <c r="E1303" s="17">
        <f t="shared" si="61"/>
        <v>1581</v>
      </c>
      <c r="F1303" s="17" t="s">
        <v>4813</v>
      </c>
      <c r="G1303" s="17">
        <f>MATCH(E1303,Arenas!$F$8:$F$15)</f>
        <v>5</v>
      </c>
      <c r="H1303" s="29" t="s">
        <v>2673</v>
      </c>
      <c r="I1303" s="33" t="s">
        <v>7702</v>
      </c>
      <c r="J1303" s="47" t="s">
        <v>5130</v>
      </c>
      <c r="K1303" s="61" t="s">
        <v>4808</v>
      </c>
      <c r="L1303" s="12" t="str">
        <f t="shared" si="60"/>
        <v>2,2,2</v>
      </c>
    </row>
    <row r="1304" spans="2:12">
      <c r="B1304" s="17">
        <v>1603</v>
      </c>
      <c r="C1304" s="17">
        <v>2</v>
      </c>
      <c r="D1304" s="17">
        <f t="shared" si="62"/>
        <v>1</v>
      </c>
      <c r="E1304" s="17">
        <f t="shared" si="61"/>
        <v>1582</v>
      </c>
      <c r="F1304" s="17" t="s">
        <v>4813</v>
      </c>
      <c r="G1304" s="17">
        <f>MATCH(E1304,Arenas!$F$8:$F$15)</f>
        <v>5</v>
      </c>
      <c r="H1304" s="29" t="s">
        <v>2674</v>
      </c>
      <c r="I1304" s="33" t="s">
        <v>7703</v>
      </c>
      <c r="J1304" s="47" t="s">
        <v>7704</v>
      </c>
      <c r="K1304" s="61" t="s">
        <v>4779</v>
      </c>
      <c r="L1304" s="12" t="str">
        <f t="shared" si="60"/>
        <v>2,2,2</v>
      </c>
    </row>
    <row r="1305" spans="2:12">
      <c r="B1305" s="17">
        <v>1604</v>
      </c>
      <c r="C1305" s="17">
        <v>2</v>
      </c>
      <c r="D1305" s="17">
        <f t="shared" si="62"/>
        <v>0</v>
      </c>
      <c r="E1305" s="17">
        <f t="shared" si="61"/>
        <v>1582</v>
      </c>
      <c r="F1305" s="17" t="s">
        <v>4813</v>
      </c>
      <c r="G1305" s="17">
        <f>MATCH(E1305,Arenas!$F$8:$F$15)</f>
        <v>5</v>
      </c>
      <c r="H1305" s="29" t="s">
        <v>2675</v>
      </c>
      <c r="I1305" s="33" t="s">
        <v>7705</v>
      </c>
      <c r="J1305" s="47" t="s">
        <v>5509</v>
      </c>
      <c r="K1305" s="61" t="s">
        <v>4779</v>
      </c>
      <c r="L1305" s="12" t="str">
        <f t="shared" si="60"/>
        <v>2,2,2</v>
      </c>
    </row>
    <row r="1306" spans="2:12">
      <c r="B1306" s="17">
        <v>1605</v>
      </c>
      <c r="C1306" s="17">
        <v>2</v>
      </c>
      <c r="D1306" s="17">
        <f t="shared" si="62"/>
        <v>0</v>
      </c>
      <c r="E1306" s="17">
        <f t="shared" si="61"/>
        <v>1582</v>
      </c>
      <c r="F1306" s="17" t="s">
        <v>4813</v>
      </c>
      <c r="G1306" s="17">
        <f>MATCH(E1306,Arenas!$F$8:$F$15)</f>
        <v>5</v>
      </c>
      <c r="H1306" s="29" t="s">
        <v>2676</v>
      </c>
      <c r="I1306" s="33" t="s">
        <v>7706</v>
      </c>
      <c r="J1306" s="47" t="s">
        <v>5107</v>
      </c>
      <c r="K1306" s="61" t="s">
        <v>4779</v>
      </c>
      <c r="L1306" s="12" t="str">
        <f t="shared" si="60"/>
        <v>2,2,2</v>
      </c>
    </row>
    <row r="1307" spans="2:12">
      <c r="B1307" s="17">
        <v>1606</v>
      </c>
      <c r="C1307" s="17">
        <v>2</v>
      </c>
      <c r="D1307" s="17">
        <f t="shared" si="62"/>
        <v>1</v>
      </c>
      <c r="E1307" s="17">
        <f t="shared" si="61"/>
        <v>1583</v>
      </c>
      <c r="F1307" s="17" t="s">
        <v>4813</v>
      </c>
      <c r="G1307" s="17">
        <f>MATCH(E1307,Arenas!$F$8:$F$15)</f>
        <v>5</v>
      </c>
      <c r="H1307" s="29" t="s">
        <v>2677</v>
      </c>
      <c r="I1307" s="33" t="s">
        <v>7707</v>
      </c>
      <c r="J1307" s="47" t="s">
        <v>7708</v>
      </c>
      <c r="K1307" s="61" t="s">
        <v>4779</v>
      </c>
      <c r="L1307" s="12" t="str">
        <f t="shared" si="60"/>
        <v>2,2,2</v>
      </c>
    </row>
    <row r="1308" spans="2:12">
      <c r="B1308" s="17">
        <v>1607</v>
      </c>
      <c r="C1308" s="17">
        <v>2</v>
      </c>
      <c r="D1308" s="17">
        <f t="shared" si="62"/>
        <v>0</v>
      </c>
      <c r="E1308" s="17">
        <f t="shared" si="61"/>
        <v>1583</v>
      </c>
      <c r="F1308" s="17" t="s">
        <v>4813</v>
      </c>
      <c r="G1308" s="17">
        <f>MATCH(E1308,Arenas!$F$8:$F$15)</f>
        <v>5</v>
      </c>
      <c r="H1308" s="29" t="s">
        <v>2678</v>
      </c>
      <c r="I1308" s="33" t="s">
        <v>7709</v>
      </c>
      <c r="J1308" s="47" t="s">
        <v>7710</v>
      </c>
      <c r="K1308" s="61" t="s">
        <v>4779</v>
      </c>
      <c r="L1308" s="12" t="str">
        <f t="shared" si="60"/>
        <v>2,2,2</v>
      </c>
    </row>
    <row r="1309" spans="2:12">
      <c r="B1309" s="17">
        <v>1608</v>
      </c>
      <c r="C1309" s="17">
        <v>2</v>
      </c>
      <c r="D1309" s="17">
        <f t="shared" si="62"/>
        <v>0</v>
      </c>
      <c r="E1309" s="17">
        <f t="shared" si="61"/>
        <v>1583</v>
      </c>
      <c r="F1309" s="17" t="s">
        <v>4813</v>
      </c>
      <c r="G1309" s="17">
        <f>MATCH(E1309,Arenas!$F$8:$F$15)</f>
        <v>5</v>
      </c>
      <c r="H1309" s="29" t="s">
        <v>2679</v>
      </c>
      <c r="I1309" s="33" t="s">
        <v>7711</v>
      </c>
      <c r="J1309" s="47" t="s">
        <v>7712</v>
      </c>
      <c r="K1309" s="61" t="s">
        <v>4779</v>
      </c>
      <c r="L1309" s="12" t="str">
        <f t="shared" si="60"/>
        <v>2,2,2</v>
      </c>
    </row>
    <row r="1310" spans="2:12">
      <c r="B1310" s="17">
        <v>1609</v>
      </c>
      <c r="C1310" s="17">
        <v>2</v>
      </c>
      <c r="D1310" s="17">
        <f t="shared" si="62"/>
        <v>1</v>
      </c>
      <c r="E1310" s="17">
        <f t="shared" si="61"/>
        <v>1584</v>
      </c>
      <c r="F1310" s="17" t="s">
        <v>4813</v>
      </c>
      <c r="G1310" s="17">
        <f>MATCH(E1310,Arenas!$F$8:$F$15)</f>
        <v>5</v>
      </c>
      <c r="H1310" s="29" t="s">
        <v>2680</v>
      </c>
      <c r="I1310" s="33" t="s">
        <v>7713</v>
      </c>
      <c r="J1310" s="47" t="s">
        <v>7714</v>
      </c>
      <c r="K1310" s="61" t="s">
        <v>4808</v>
      </c>
      <c r="L1310" s="12" t="str">
        <f t="shared" si="60"/>
        <v>2,2,2</v>
      </c>
    </row>
    <row r="1311" spans="2:12">
      <c r="B1311" s="17">
        <v>1610</v>
      </c>
      <c r="C1311" s="17">
        <v>2</v>
      </c>
      <c r="D1311" s="17">
        <f t="shared" si="62"/>
        <v>0</v>
      </c>
      <c r="E1311" s="17">
        <f t="shared" si="61"/>
        <v>1584</v>
      </c>
      <c r="F1311" s="17" t="s">
        <v>4813</v>
      </c>
      <c r="G1311" s="17">
        <f>MATCH(E1311,Arenas!$F$8:$F$15)</f>
        <v>5</v>
      </c>
      <c r="H1311" s="29" t="s">
        <v>2681</v>
      </c>
      <c r="I1311" s="33" t="s">
        <v>7715</v>
      </c>
      <c r="J1311" s="47" t="s">
        <v>7716</v>
      </c>
      <c r="K1311" s="61" t="s">
        <v>4779</v>
      </c>
      <c r="L1311" s="12" t="str">
        <f t="shared" si="60"/>
        <v>2,2,2</v>
      </c>
    </row>
    <row r="1312" spans="2:12">
      <c r="B1312" s="17">
        <v>1611</v>
      </c>
      <c r="C1312" s="17">
        <v>2</v>
      </c>
      <c r="D1312" s="17">
        <f t="shared" si="62"/>
        <v>0</v>
      </c>
      <c r="E1312" s="17">
        <f t="shared" si="61"/>
        <v>1584</v>
      </c>
      <c r="F1312" s="17" t="s">
        <v>4813</v>
      </c>
      <c r="G1312" s="17">
        <f>MATCH(E1312,Arenas!$F$8:$F$15)</f>
        <v>5</v>
      </c>
      <c r="H1312" s="29" t="s">
        <v>2682</v>
      </c>
      <c r="I1312" s="33" t="s">
        <v>7717</v>
      </c>
      <c r="J1312" s="47" t="s">
        <v>7718</v>
      </c>
      <c r="K1312" s="61" t="s">
        <v>4779</v>
      </c>
      <c r="L1312" s="12" t="str">
        <f t="shared" si="60"/>
        <v>2,2,2</v>
      </c>
    </row>
    <row r="1313" spans="2:12">
      <c r="B1313" s="17">
        <v>1612</v>
      </c>
      <c r="C1313" s="17">
        <v>2</v>
      </c>
      <c r="D1313" s="17">
        <f t="shared" si="62"/>
        <v>1</v>
      </c>
      <c r="E1313" s="17">
        <f t="shared" si="61"/>
        <v>1585</v>
      </c>
      <c r="F1313" s="17" t="s">
        <v>4813</v>
      </c>
      <c r="G1313" s="17">
        <f>MATCH(E1313,Arenas!$F$8:$F$15)</f>
        <v>5</v>
      </c>
      <c r="H1313" s="29" t="s">
        <v>2683</v>
      </c>
      <c r="I1313" s="33" t="s">
        <v>7719</v>
      </c>
      <c r="J1313" s="47" t="s">
        <v>7720</v>
      </c>
      <c r="K1313" s="61" t="s">
        <v>4808</v>
      </c>
      <c r="L1313" s="12" t="str">
        <f t="shared" si="60"/>
        <v>2,2,2</v>
      </c>
    </row>
    <row r="1314" spans="2:12">
      <c r="B1314" s="17">
        <v>1613</v>
      </c>
      <c r="C1314" s="17">
        <v>2</v>
      </c>
      <c r="D1314" s="17">
        <f t="shared" si="62"/>
        <v>0</v>
      </c>
      <c r="E1314" s="17">
        <f t="shared" si="61"/>
        <v>1585</v>
      </c>
      <c r="F1314" s="17" t="s">
        <v>4813</v>
      </c>
      <c r="G1314" s="17">
        <f>MATCH(E1314,Arenas!$F$8:$F$15)</f>
        <v>5</v>
      </c>
      <c r="H1314" s="29" t="s">
        <v>2684</v>
      </c>
      <c r="I1314" s="33" t="s">
        <v>7721</v>
      </c>
      <c r="J1314" s="47" t="s">
        <v>7722</v>
      </c>
      <c r="K1314" s="61" t="s">
        <v>4779</v>
      </c>
      <c r="L1314" s="12" t="str">
        <f t="shared" si="60"/>
        <v>2,2,2</v>
      </c>
    </row>
    <row r="1315" spans="2:12">
      <c r="B1315" s="17">
        <v>1614</v>
      </c>
      <c r="C1315" s="17">
        <v>2</v>
      </c>
      <c r="D1315" s="17">
        <f t="shared" si="62"/>
        <v>0</v>
      </c>
      <c r="E1315" s="17">
        <f t="shared" si="61"/>
        <v>1585</v>
      </c>
      <c r="F1315" s="17" t="s">
        <v>4813</v>
      </c>
      <c r="G1315" s="17">
        <f>MATCH(E1315,Arenas!$F$8:$F$15)</f>
        <v>5</v>
      </c>
      <c r="H1315" s="29" t="s">
        <v>2685</v>
      </c>
      <c r="I1315" s="33" t="s">
        <v>7723</v>
      </c>
      <c r="J1315" s="47" t="s">
        <v>5873</v>
      </c>
      <c r="K1315" s="61" t="s">
        <v>4779</v>
      </c>
      <c r="L1315" s="12" t="str">
        <f t="shared" si="60"/>
        <v>2,2,2</v>
      </c>
    </row>
    <row r="1316" spans="2:12">
      <c r="B1316" s="17">
        <v>1615</v>
      </c>
      <c r="C1316" s="17">
        <v>2</v>
      </c>
      <c r="D1316" s="17">
        <f t="shared" si="62"/>
        <v>1</v>
      </c>
      <c r="E1316" s="17">
        <f t="shared" si="61"/>
        <v>1586</v>
      </c>
      <c r="F1316" s="17" t="s">
        <v>4813</v>
      </c>
      <c r="G1316" s="17">
        <f>MATCH(E1316,Arenas!$F$8:$F$15)</f>
        <v>5</v>
      </c>
      <c r="H1316" s="29" t="s">
        <v>2686</v>
      </c>
      <c r="I1316" s="33" t="s">
        <v>7724</v>
      </c>
      <c r="J1316" s="47" t="s">
        <v>5590</v>
      </c>
      <c r="K1316" s="61" t="s">
        <v>4779</v>
      </c>
      <c r="L1316" s="12" t="str">
        <f t="shared" si="60"/>
        <v>2,2,2</v>
      </c>
    </row>
    <row r="1317" spans="2:12">
      <c r="B1317" s="17">
        <v>1616</v>
      </c>
      <c r="C1317" s="17">
        <v>2</v>
      </c>
      <c r="D1317" s="17">
        <f t="shared" si="62"/>
        <v>0</v>
      </c>
      <c r="E1317" s="17">
        <f t="shared" si="61"/>
        <v>1586</v>
      </c>
      <c r="F1317" s="17" t="s">
        <v>4813</v>
      </c>
      <c r="G1317" s="17">
        <f>MATCH(E1317,Arenas!$F$8:$F$15)</f>
        <v>5</v>
      </c>
      <c r="H1317" s="29" t="s">
        <v>2687</v>
      </c>
      <c r="I1317" s="33" t="s">
        <v>7725</v>
      </c>
      <c r="J1317" s="47" t="s">
        <v>7726</v>
      </c>
      <c r="K1317" s="61" t="s">
        <v>4779</v>
      </c>
      <c r="L1317" s="12" t="str">
        <f t="shared" si="60"/>
        <v>2,2,2</v>
      </c>
    </row>
    <row r="1318" spans="2:12">
      <c r="B1318" s="17">
        <v>1617</v>
      </c>
      <c r="C1318" s="17">
        <v>2</v>
      </c>
      <c r="D1318" s="17">
        <f t="shared" si="62"/>
        <v>0</v>
      </c>
      <c r="E1318" s="17">
        <f t="shared" si="61"/>
        <v>1586</v>
      </c>
      <c r="F1318" s="17" t="s">
        <v>4813</v>
      </c>
      <c r="G1318" s="17">
        <f>MATCH(E1318,Arenas!$F$8:$F$15)</f>
        <v>5</v>
      </c>
      <c r="H1318" s="29" t="s">
        <v>2688</v>
      </c>
      <c r="I1318" s="33" t="s">
        <v>7727</v>
      </c>
      <c r="J1318" s="47" t="s">
        <v>5800</v>
      </c>
      <c r="K1318" s="61" t="s">
        <v>4779</v>
      </c>
      <c r="L1318" s="12" t="str">
        <f t="shared" si="60"/>
        <v>2,2,2</v>
      </c>
    </row>
    <row r="1319" spans="2:12">
      <c r="B1319" s="17">
        <v>1618</v>
      </c>
      <c r="C1319" s="17">
        <v>2</v>
      </c>
      <c r="D1319" s="17">
        <f t="shared" si="62"/>
        <v>1</v>
      </c>
      <c r="E1319" s="17">
        <f t="shared" si="61"/>
        <v>1587</v>
      </c>
      <c r="F1319" s="17" t="s">
        <v>4813</v>
      </c>
      <c r="G1319" s="17">
        <f>MATCH(E1319,Arenas!$F$8:$F$15)</f>
        <v>5</v>
      </c>
      <c r="H1319" s="29" t="s">
        <v>2689</v>
      </c>
      <c r="I1319" s="33" t="s">
        <v>7728</v>
      </c>
      <c r="J1319" s="47" t="s">
        <v>5095</v>
      </c>
      <c r="K1319" s="61" t="s">
        <v>4779</v>
      </c>
      <c r="L1319" s="12" t="str">
        <f t="shared" si="60"/>
        <v>2,2,2</v>
      </c>
    </row>
    <row r="1320" spans="2:12">
      <c r="B1320" s="17">
        <v>1619</v>
      </c>
      <c r="C1320" s="17">
        <v>2</v>
      </c>
      <c r="D1320" s="17">
        <f t="shared" si="62"/>
        <v>0</v>
      </c>
      <c r="E1320" s="17">
        <f t="shared" si="61"/>
        <v>1587</v>
      </c>
      <c r="F1320" s="17" t="s">
        <v>4813</v>
      </c>
      <c r="G1320" s="17">
        <f>MATCH(E1320,Arenas!$F$8:$F$15)</f>
        <v>5</v>
      </c>
      <c r="H1320" s="29" t="s">
        <v>2690</v>
      </c>
      <c r="I1320" s="33" t="s">
        <v>7729</v>
      </c>
      <c r="J1320" s="47" t="s">
        <v>7730</v>
      </c>
      <c r="K1320" s="61" t="s">
        <v>4779</v>
      </c>
      <c r="L1320" s="12" t="str">
        <f t="shared" si="60"/>
        <v>2,2,2</v>
      </c>
    </row>
    <row r="1321" spans="2:12">
      <c r="B1321" s="17">
        <v>1620</v>
      </c>
      <c r="C1321" s="17">
        <v>2</v>
      </c>
      <c r="D1321" s="17">
        <f t="shared" si="62"/>
        <v>0</v>
      </c>
      <c r="E1321" s="17">
        <f t="shared" si="61"/>
        <v>1587</v>
      </c>
      <c r="F1321" s="17" t="s">
        <v>4813</v>
      </c>
      <c r="G1321" s="17">
        <f>MATCH(E1321,Arenas!$F$8:$F$15)</f>
        <v>5</v>
      </c>
      <c r="H1321" s="29" t="s">
        <v>2691</v>
      </c>
      <c r="I1321" s="33" t="s">
        <v>7731</v>
      </c>
      <c r="J1321" s="47" t="s">
        <v>5450</v>
      </c>
      <c r="K1321" s="61" t="s">
        <v>4779</v>
      </c>
      <c r="L1321" s="12" t="str">
        <f t="shared" si="60"/>
        <v>2,2,2</v>
      </c>
    </row>
    <row r="1322" spans="2:12">
      <c r="B1322" s="17">
        <v>1621</v>
      </c>
      <c r="C1322" s="17">
        <v>2</v>
      </c>
      <c r="D1322" s="17">
        <f t="shared" si="62"/>
        <v>1</v>
      </c>
      <c r="E1322" s="17">
        <f t="shared" si="61"/>
        <v>1588</v>
      </c>
      <c r="F1322" s="17" t="s">
        <v>4813</v>
      </c>
      <c r="G1322" s="17">
        <f>MATCH(E1322,Arenas!$F$8:$F$15)</f>
        <v>5</v>
      </c>
      <c r="H1322" s="29" t="s">
        <v>2692</v>
      </c>
      <c r="I1322" s="33" t="s">
        <v>7732</v>
      </c>
      <c r="J1322" s="47" t="s">
        <v>7733</v>
      </c>
      <c r="K1322" s="61" t="s">
        <v>4779</v>
      </c>
      <c r="L1322" s="12" t="str">
        <f t="shared" si="60"/>
        <v>2,2,2</v>
      </c>
    </row>
    <row r="1323" spans="2:12">
      <c r="B1323" s="17">
        <v>1622</v>
      </c>
      <c r="C1323" s="17">
        <v>2</v>
      </c>
      <c r="D1323" s="17">
        <f t="shared" si="62"/>
        <v>0</v>
      </c>
      <c r="E1323" s="17">
        <f t="shared" si="61"/>
        <v>1588</v>
      </c>
      <c r="F1323" s="17" t="s">
        <v>4813</v>
      </c>
      <c r="G1323" s="17">
        <f>MATCH(E1323,Arenas!$F$8:$F$15)</f>
        <v>5</v>
      </c>
      <c r="H1323" s="29" t="s">
        <v>2693</v>
      </c>
      <c r="I1323" s="33" t="s">
        <v>7734</v>
      </c>
      <c r="J1323" s="47" t="s">
        <v>7735</v>
      </c>
      <c r="K1323" s="61" t="s">
        <v>4779</v>
      </c>
      <c r="L1323" s="12" t="str">
        <f t="shared" si="60"/>
        <v>2,2,2</v>
      </c>
    </row>
    <row r="1324" spans="2:12">
      <c r="B1324" s="17">
        <v>1623</v>
      </c>
      <c r="C1324" s="17">
        <v>2</v>
      </c>
      <c r="D1324" s="17">
        <f t="shared" si="62"/>
        <v>0</v>
      </c>
      <c r="E1324" s="17">
        <f t="shared" si="61"/>
        <v>1588</v>
      </c>
      <c r="F1324" s="17" t="s">
        <v>4813</v>
      </c>
      <c r="G1324" s="17">
        <f>MATCH(E1324,Arenas!$F$8:$F$15)</f>
        <v>5</v>
      </c>
      <c r="H1324" s="29" t="s">
        <v>2694</v>
      </c>
      <c r="I1324" s="33" t="s">
        <v>7736</v>
      </c>
      <c r="J1324" s="47" t="s">
        <v>7737</v>
      </c>
      <c r="K1324" s="61" t="s">
        <v>4779</v>
      </c>
      <c r="L1324" s="12" t="str">
        <f t="shared" si="60"/>
        <v>2,2,2</v>
      </c>
    </row>
    <row r="1325" spans="2:12">
      <c r="B1325" s="17">
        <v>1624</v>
      </c>
      <c r="C1325" s="17">
        <v>2</v>
      </c>
      <c r="D1325" s="17">
        <f t="shared" si="62"/>
        <v>1</v>
      </c>
      <c r="E1325" s="17">
        <f t="shared" si="61"/>
        <v>1589</v>
      </c>
      <c r="F1325" s="17" t="s">
        <v>4813</v>
      </c>
      <c r="G1325" s="17">
        <f>MATCH(E1325,Arenas!$F$8:$F$15)</f>
        <v>5</v>
      </c>
      <c r="H1325" s="29" t="s">
        <v>2695</v>
      </c>
      <c r="I1325" s="33" t="s">
        <v>7738</v>
      </c>
      <c r="J1325" s="47" t="s">
        <v>5453</v>
      </c>
      <c r="K1325" s="61" t="s">
        <v>4779</v>
      </c>
      <c r="L1325" s="12" t="str">
        <f t="shared" si="60"/>
        <v>2,2,2</v>
      </c>
    </row>
    <row r="1326" spans="2:12">
      <c r="B1326" s="17">
        <v>1625</v>
      </c>
      <c r="C1326" s="17">
        <v>2</v>
      </c>
      <c r="D1326" s="17">
        <f t="shared" si="62"/>
        <v>0</v>
      </c>
      <c r="E1326" s="17">
        <f t="shared" si="61"/>
        <v>1589</v>
      </c>
      <c r="F1326" s="17" t="s">
        <v>4813</v>
      </c>
      <c r="G1326" s="17">
        <f>MATCH(E1326,Arenas!$F$8:$F$15)</f>
        <v>5</v>
      </c>
      <c r="H1326" s="29" t="s">
        <v>2696</v>
      </c>
      <c r="I1326" s="33" t="s">
        <v>7739</v>
      </c>
      <c r="J1326" s="47" t="s">
        <v>5345</v>
      </c>
      <c r="K1326" s="61" t="s">
        <v>4779</v>
      </c>
      <c r="L1326" s="12" t="str">
        <f t="shared" si="60"/>
        <v>2,2,2</v>
      </c>
    </row>
    <row r="1327" spans="2:12">
      <c r="B1327" s="17">
        <v>1626</v>
      </c>
      <c r="C1327" s="17">
        <v>2</v>
      </c>
      <c r="D1327" s="17">
        <f t="shared" si="62"/>
        <v>0</v>
      </c>
      <c r="E1327" s="17">
        <f t="shared" si="61"/>
        <v>1589</v>
      </c>
      <c r="F1327" s="17" t="s">
        <v>4813</v>
      </c>
      <c r="G1327" s="17">
        <f>MATCH(E1327,Arenas!$F$8:$F$15)</f>
        <v>5</v>
      </c>
      <c r="H1327" s="29" t="s">
        <v>2697</v>
      </c>
      <c r="I1327" s="33" t="s">
        <v>7740</v>
      </c>
      <c r="J1327" s="47" t="s">
        <v>7557</v>
      </c>
      <c r="K1327" s="61" t="s">
        <v>4779</v>
      </c>
      <c r="L1327" s="12" t="str">
        <f t="shared" si="60"/>
        <v>2,2,2</v>
      </c>
    </row>
    <row r="1328" spans="2:12">
      <c r="B1328" s="17">
        <v>1627</v>
      </c>
      <c r="C1328" s="17">
        <v>2</v>
      </c>
      <c r="D1328" s="17">
        <f t="shared" si="62"/>
        <v>1</v>
      </c>
      <c r="E1328" s="17">
        <f t="shared" si="61"/>
        <v>1590</v>
      </c>
      <c r="F1328" s="17" t="s">
        <v>4813</v>
      </c>
      <c r="G1328" s="17">
        <f>MATCH(E1328,Arenas!$F$8:$F$15)</f>
        <v>5</v>
      </c>
      <c r="H1328" s="29" t="s">
        <v>2698</v>
      </c>
      <c r="I1328" s="33" t="s">
        <v>7741</v>
      </c>
      <c r="J1328" s="47" t="s">
        <v>7742</v>
      </c>
      <c r="K1328" s="61" t="s">
        <v>4808</v>
      </c>
      <c r="L1328" s="12" t="str">
        <f t="shared" si="60"/>
        <v>2,2,2</v>
      </c>
    </row>
    <row r="1329" spans="2:12">
      <c r="B1329" s="17">
        <v>1628</v>
      </c>
      <c r="C1329" s="17">
        <v>2</v>
      </c>
      <c r="D1329" s="17">
        <f t="shared" si="62"/>
        <v>0</v>
      </c>
      <c r="E1329" s="17">
        <f t="shared" si="61"/>
        <v>1590</v>
      </c>
      <c r="F1329" s="17" t="s">
        <v>4813</v>
      </c>
      <c r="G1329" s="17">
        <f>MATCH(E1329,Arenas!$F$8:$F$15)</f>
        <v>5</v>
      </c>
      <c r="H1329" s="29" t="s">
        <v>2699</v>
      </c>
      <c r="I1329" s="33" t="s">
        <v>7743</v>
      </c>
      <c r="J1329" s="47" t="s">
        <v>7744</v>
      </c>
      <c r="K1329" s="61" t="s">
        <v>4779</v>
      </c>
      <c r="L1329" s="12" t="str">
        <f t="shared" si="60"/>
        <v>2,2,2</v>
      </c>
    </row>
    <row r="1330" spans="2:12">
      <c r="B1330" s="17">
        <v>1629</v>
      </c>
      <c r="C1330" s="17">
        <v>2</v>
      </c>
      <c r="D1330" s="17">
        <f t="shared" si="62"/>
        <v>0</v>
      </c>
      <c r="E1330" s="17">
        <f t="shared" si="61"/>
        <v>1590</v>
      </c>
      <c r="F1330" s="17" t="s">
        <v>4813</v>
      </c>
      <c r="G1330" s="17">
        <f>MATCH(E1330,Arenas!$F$8:$F$15)</f>
        <v>5</v>
      </c>
      <c r="H1330" s="29" t="s">
        <v>2700</v>
      </c>
      <c r="I1330" s="33" t="s">
        <v>7745</v>
      </c>
      <c r="J1330" s="47" t="s">
        <v>7746</v>
      </c>
      <c r="K1330" s="61" t="s">
        <v>4779</v>
      </c>
      <c r="L1330" s="12" t="str">
        <f t="shared" si="60"/>
        <v>2,2,2</v>
      </c>
    </row>
    <row r="1331" spans="2:12">
      <c r="B1331" s="17">
        <v>1630</v>
      </c>
      <c r="C1331" s="17">
        <v>2</v>
      </c>
      <c r="D1331" s="17">
        <f t="shared" si="62"/>
        <v>1</v>
      </c>
      <c r="E1331" s="17">
        <f t="shared" si="61"/>
        <v>1591</v>
      </c>
      <c r="F1331" s="17" t="s">
        <v>4813</v>
      </c>
      <c r="G1331" s="17">
        <f>MATCH(E1331,Arenas!$F$8:$F$15)</f>
        <v>5</v>
      </c>
      <c r="H1331" s="29" t="s">
        <v>2701</v>
      </c>
      <c r="I1331" s="33" t="s">
        <v>7747</v>
      </c>
      <c r="J1331" s="47" t="s">
        <v>4698</v>
      </c>
      <c r="K1331" s="61" t="s">
        <v>4779</v>
      </c>
      <c r="L1331" s="12" t="str">
        <f t="shared" si="60"/>
        <v>2,2,2</v>
      </c>
    </row>
    <row r="1332" spans="2:12">
      <c r="B1332" s="17">
        <v>1631</v>
      </c>
      <c r="C1332" s="17">
        <v>2</v>
      </c>
      <c r="D1332" s="17">
        <f t="shared" si="62"/>
        <v>0</v>
      </c>
      <c r="E1332" s="17">
        <f t="shared" si="61"/>
        <v>1591</v>
      </c>
      <c r="F1332" s="17" t="s">
        <v>4813</v>
      </c>
      <c r="G1332" s="17">
        <f>MATCH(E1332,Arenas!$F$8:$F$15)</f>
        <v>5</v>
      </c>
      <c r="H1332" s="29" t="s">
        <v>2702</v>
      </c>
      <c r="I1332" s="33" t="s">
        <v>7748</v>
      </c>
      <c r="J1332" s="47" t="s">
        <v>5025</v>
      </c>
      <c r="K1332" s="61" t="s">
        <v>4779</v>
      </c>
      <c r="L1332" s="12" t="str">
        <f t="shared" si="60"/>
        <v>2,2,2</v>
      </c>
    </row>
    <row r="1333" spans="2:12">
      <c r="B1333" s="17">
        <v>1632</v>
      </c>
      <c r="C1333" s="17">
        <v>2</v>
      </c>
      <c r="D1333" s="17">
        <f t="shared" si="62"/>
        <v>0</v>
      </c>
      <c r="E1333" s="17">
        <f t="shared" si="61"/>
        <v>1591</v>
      </c>
      <c r="F1333" s="17" t="s">
        <v>4813</v>
      </c>
      <c r="G1333" s="17">
        <f>MATCH(E1333,Arenas!$F$8:$F$15)</f>
        <v>5</v>
      </c>
      <c r="H1333" s="29" t="s">
        <v>2703</v>
      </c>
      <c r="I1333" s="33" t="s">
        <v>7749</v>
      </c>
      <c r="J1333" s="47" t="s">
        <v>5125</v>
      </c>
      <c r="K1333" s="61" t="s">
        <v>4779</v>
      </c>
      <c r="L1333" s="12" t="str">
        <f t="shared" si="60"/>
        <v>2,2,2</v>
      </c>
    </row>
    <row r="1334" spans="2:12">
      <c r="B1334" s="17">
        <v>1633</v>
      </c>
      <c r="C1334" s="17">
        <v>2</v>
      </c>
      <c r="D1334" s="17">
        <f t="shared" si="62"/>
        <v>1</v>
      </c>
      <c r="E1334" s="17">
        <f t="shared" si="61"/>
        <v>1592</v>
      </c>
      <c r="F1334" s="17" t="s">
        <v>4813</v>
      </c>
      <c r="G1334" s="17">
        <f>MATCH(E1334,Arenas!$F$8:$F$15)</f>
        <v>5</v>
      </c>
      <c r="H1334" s="29" t="s">
        <v>2704</v>
      </c>
      <c r="I1334" s="33" t="s">
        <v>7750</v>
      </c>
      <c r="J1334" s="47" t="s">
        <v>7751</v>
      </c>
      <c r="K1334" s="61" t="s">
        <v>4779</v>
      </c>
      <c r="L1334" s="12" t="str">
        <f t="shared" si="60"/>
        <v>2,2,2</v>
      </c>
    </row>
    <row r="1335" spans="2:12">
      <c r="B1335" s="17">
        <v>1634</v>
      </c>
      <c r="C1335" s="17">
        <v>2</v>
      </c>
      <c r="D1335" s="17">
        <f t="shared" si="62"/>
        <v>0</v>
      </c>
      <c r="E1335" s="17">
        <f t="shared" si="61"/>
        <v>1592</v>
      </c>
      <c r="F1335" s="17" t="s">
        <v>4813</v>
      </c>
      <c r="G1335" s="17">
        <f>MATCH(E1335,Arenas!$F$8:$F$15)</f>
        <v>5</v>
      </c>
      <c r="H1335" s="29" t="s">
        <v>2705</v>
      </c>
      <c r="I1335" s="33" t="s">
        <v>7752</v>
      </c>
      <c r="J1335" s="47" t="s">
        <v>7753</v>
      </c>
      <c r="K1335" s="61" t="s">
        <v>4779</v>
      </c>
      <c r="L1335" s="12" t="str">
        <f t="shared" si="60"/>
        <v>2,2,2</v>
      </c>
    </row>
    <row r="1336" spans="2:12">
      <c r="B1336" s="17">
        <v>1635</v>
      </c>
      <c r="C1336" s="17">
        <v>2</v>
      </c>
      <c r="D1336" s="17">
        <f t="shared" si="62"/>
        <v>0</v>
      </c>
      <c r="E1336" s="17">
        <f t="shared" si="61"/>
        <v>1592</v>
      </c>
      <c r="F1336" s="17" t="s">
        <v>4813</v>
      </c>
      <c r="G1336" s="17">
        <f>MATCH(E1336,Arenas!$F$8:$F$15)</f>
        <v>5</v>
      </c>
      <c r="H1336" s="29" t="s">
        <v>2706</v>
      </c>
      <c r="I1336" s="33" t="s">
        <v>7754</v>
      </c>
      <c r="J1336" s="47" t="s">
        <v>7593</v>
      </c>
      <c r="K1336" s="61" t="s">
        <v>4779</v>
      </c>
      <c r="L1336" s="12" t="str">
        <f t="shared" si="60"/>
        <v>2,2,2</v>
      </c>
    </row>
    <row r="1337" spans="2:12">
      <c r="B1337" s="17">
        <v>1636</v>
      </c>
      <c r="C1337" s="17">
        <v>2</v>
      </c>
      <c r="D1337" s="17">
        <f t="shared" si="62"/>
        <v>1</v>
      </c>
      <c r="E1337" s="17">
        <f t="shared" si="61"/>
        <v>1593</v>
      </c>
      <c r="F1337" s="17" t="s">
        <v>4813</v>
      </c>
      <c r="G1337" s="17">
        <f>MATCH(E1337,Arenas!$F$8:$F$15)</f>
        <v>5</v>
      </c>
      <c r="H1337" s="29" t="s">
        <v>2707</v>
      </c>
      <c r="I1337" s="33" t="s">
        <v>7755</v>
      </c>
      <c r="J1337" s="47" t="s">
        <v>7756</v>
      </c>
      <c r="K1337" s="61" t="s">
        <v>4779</v>
      </c>
      <c r="L1337" s="12" t="str">
        <f t="shared" si="60"/>
        <v>2,2,2</v>
      </c>
    </row>
    <row r="1338" spans="2:12">
      <c r="B1338" s="17">
        <v>1637</v>
      </c>
      <c r="C1338" s="17">
        <v>2</v>
      </c>
      <c r="D1338" s="17">
        <f t="shared" si="62"/>
        <v>0</v>
      </c>
      <c r="E1338" s="17">
        <f t="shared" si="61"/>
        <v>1593</v>
      </c>
      <c r="F1338" s="17" t="s">
        <v>4813</v>
      </c>
      <c r="G1338" s="17">
        <f>MATCH(E1338,Arenas!$F$8:$F$15)</f>
        <v>5</v>
      </c>
      <c r="H1338" s="29" t="s">
        <v>2708</v>
      </c>
      <c r="I1338" s="33" t="s">
        <v>7757</v>
      </c>
      <c r="J1338" s="47" t="s">
        <v>5178</v>
      </c>
      <c r="K1338" s="61" t="s">
        <v>4779</v>
      </c>
      <c r="L1338" s="12" t="str">
        <f t="shared" si="60"/>
        <v>2,2,2</v>
      </c>
    </row>
    <row r="1339" spans="2:12">
      <c r="B1339" s="17">
        <v>1638</v>
      </c>
      <c r="C1339" s="17">
        <v>2</v>
      </c>
      <c r="D1339" s="17">
        <f t="shared" si="62"/>
        <v>0</v>
      </c>
      <c r="E1339" s="17">
        <f t="shared" si="61"/>
        <v>1593</v>
      </c>
      <c r="F1339" s="17" t="s">
        <v>4813</v>
      </c>
      <c r="G1339" s="17">
        <f>MATCH(E1339,Arenas!$F$8:$F$15)</f>
        <v>5</v>
      </c>
      <c r="H1339" s="29" t="s">
        <v>2709</v>
      </c>
      <c r="I1339" s="33" t="s">
        <v>7758</v>
      </c>
      <c r="J1339" s="47" t="s">
        <v>5450</v>
      </c>
      <c r="K1339" s="61" t="s">
        <v>4779</v>
      </c>
      <c r="L1339" s="12" t="str">
        <f t="shared" si="60"/>
        <v>2,2,2</v>
      </c>
    </row>
    <row r="1340" spans="2:12">
      <c r="B1340" s="17">
        <v>1639</v>
      </c>
      <c r="C1340" s="17">
        <v>2</v>
      </c>
      <c r="D1340" s="17">
        <f t="shared" si="62"/>
        <v>1</v>
      </c>
      <c r="E1340" s="17">
        <f t="shared" si="61"/>
        <v>1594</v>
      </c>
      <c r="F1340" s="17" t="s">
        <v>4813</v>
      </c>
      <c r="G1340" s="17">
        <f>MATCH(E1340,Arenas!$F$8:$F$15)</f>
        <v>5</v>
      </c>
      <c r="H1340" s="29" t="s">
        <v>2710</v>
      </c>
      <c r="I1340" s="33" t="s">
        <v>7759</v>
      </c>
      <c r="J1340" s="47" t="s">
        <v>7760</v>
      </c>
      <c r="K1340" s="61" t="s">
        <v>4779</v>
      </c>
      <c r="L1340" s="12" t="str">
        <f t="shared" si="60"/>
        <v>2,2,2</v>
      </c>
    </row>
    <row r="1341" spans="2:12">
      <c r="B1341" s="17">
        <v>1640</v>
      </c>
      <c r="C1341" s="17">
        <v>2</v>
      </c>
      <c r="D1341" s="17">
        <f t="shared" si="62"/>
        <v>0</v>
      </c>
      <c r="E1341" s="17">
        <f t="shared" si="61"/>
        <v>1594</v>
      </c>
      <c r="F1341" s="17" t="s">
        <v>4813</v>
      </c>
      <c r="G1341" s="17">
        <f>MATCH(E1341,Arenas!$F$8:$F$15)</f>
        <v>5</v>
      </c>
      <c r="H1341" s="29" t="s">
        <v>2711</v>
      </c>
      <c r="I1341" s="33" t="s">
        <v>7761</v>
      </c>
      <c r="J1341" s="47" t="s">
        <v>5567</v>
      </c>
      <c r="K1341" s="61" t="s">
        <v>4779</v>
      </c>
      <c r="L1341" s="12" t="str">
        <f t="shared" si="60"/>
        <v>2,2,2</v>
      </c>
    </row>
    <row r="1342" spans="2:12">
      <c r="B1342" s="17">
        <v>1641</v>
      </c>
      <c r="C1342" s="17">
        <v>2</v>
      </c>
      <c r="D1342" s="17">
        <f t="shared" si="62"/>
        <v>0</v>
      </c>
      <c r="E1342" s="17">
        <f t="shared" si="61"/>
        <v>1594</v>
      </c>
      <c r="F1342" s="17" t="s">
        <v>4813</v>
      </c>
      <c r="G1342" s="17">
        <f>MATCH(E1342,Arenas!$F$8:$F$15)</f>
        <v>5</v>
      </c>
      <c r="H1342" s="29" t="s">
        <v>2712</v>
      </c>
      <c r="I1342" s="33" t="s">
        <v>7762</v>
      </c>
      <c r="J1342" s="47" t="s">
        <v>7763</v>
      </c>
      <c r="K1342" s="61" t="s">
        <v>4779</v>
      </c>
      <c r="L1342" s="12" t="str">
        <f t="shared" si="60"/>
        <v>2,2,2</v>
      </c>
    </row>
    <row r="1343" spans="2:12">
      <c r="B1343" s="17">
        <v>1642</v>
      </c>
      <c r="C1343" s="17">
        <v>2</v>
      </c>
      <c r="D1343" s="17">
        <f t="shared" si="62"/>
        <v>1</v>
      </c>
      <c r="E1343" s="17">
        <f t="shared" si="61"/>
        <v>1595</v>
      </c>
      <c r="F1343" s="17" t="s">
        <v>4813</v>
      </c>
      <c r="G1343" s="17">
        <f>MATCH(E1343,Arenas!$F$8:$F$15)</f>
        <v>5</v>
      </c>
      <c r="H1343" s="29" t="s">
        <v>2713</v>
      </c>
      <c r="I1343" s="33" t="s">
        <v>7764</v>
      </c>
      <c r="J1343" s="47" t="s">
        <v>4700</v>
      </c>
      <c r="K1343" s="61" t="s">
        <v>4810</v>
      </c>
      <c r="L1343" s="12" t="str">
        <f t="shared" si="60"/>
        <v>2,2,2</v>
      </c>
    </row>
    <row r="1344" spans="2:12">
      <c r="B1344" s="17">
        <v>1643</v>
      </c>
      <c r="C1344" s="17">
        <v>2</v>
      </c>
      <c r="D1344" s="17">
        <f t="shared" si="62"/>
        <v>0</v>
      </c>
      <c r="E1344" s="17">
        <f t="shared" si="61"/>
        <v>1595</v>
      </c>
      <c r="F1344" s="17" t="s">
        <v>4813</v>
      </c>
      <c r="G1344" s="17">
        <f>MATCH(E1344,Arenas!$F$8:$F$15)</f>
        <v>5</v>
      </c>
      <c r="H1344" s="29" t="s">
        <v>2714</v>
      </c>
      <c r="I1344" s="33" t="s">
        <v>7765</v>
      </c>
      <c r="J1344" s="47" t="s">
        <v>7766</v>
      </c>
      <c r="K1344" s="61" t="s">
        <v>4779</v>
      </c>
      <c r="L1344" s="12" t="str">
        <f t="shared" si="60"/>
        <v>2,2,2</v>
      </c>
    </row>
    <row r="1345" spans="2:12">
      <c r="B1345" s="17">
        <v>1644</v>
      </c>
      <c r="C1345" s="17">
        <v>2</v>
      </c>
      <c r="D1345" s="17">
        <f t="shared" si="62"/>
        <v>0</v>
      </c>
      <c r="E1345" s="17">
        <f t="shared" si="61"/>
        <v>1595</v>
      </c>
      <c r="F1345" s="17" t="s">
        <v>4813</v>
      </c>
      <c r="G1345" s="17">
        <f>MATCH(E1345,Arenas!$F$8:$F$15)</f>
        <v>5</v>
      </c>
      <c r="H1345" s="29" t="s">
        <v>2715</v>
      </c>
      <c r="I1345" s="33" t="s">
        <v>7767</v>
      </c>
      <c r="J1345" s="47" t="s">
        <v>5831</v>
      </c>
      <c r="K1345" s="61" t="s">
        <v>4779</v>
      </c>
      <c r="L1345" s="12" t="str">
        <f t="shared" si="60"/>
        <v>2,2,2</v>
      </c>
    </row>
    <row r="1346" spans="2:12">
      <c r="B1346" s="17">
        <v>1645</v>
      </c>
      <c r="C1346" s="17">
        <v>2</v>
      </c>
      <c r="D1346" s="17">
        <f t="shared" si="62"/>
        <v>1</v>
      </c>
      <c r="E1346" s="17">
        <f t="shared" si="61"/>
        <v>1596</v>
      </c>
      <c r="F1346" s="17" t="s">
        <v>4813</v>
      </c>
      <c r="G1346" s="17">
        <f>MATCH(E1346,Arenas!$F$8:$F$15)</f>
        <v>5</v>
      </c>
      <c r="H1346" s="29" t="s">
        <v>2716</v>
      </c>
      <c r="I1346" s="33" t="s">
        <v>7768</v>
      </c>
      <c r="J1346" s="47" t="s">
        <v>5836</v>
      </c>
      <c r="K1346" s="61" t="s">
        <v>4779</v>
      </c>
      <c r="L1346" s="12" t="str">
        <f t="shared" ref="L1346:L1409" si="63">C1346&amp;","&amp;C1346&amp;","&amp;C1346</f>
        <v>2,2,2</v>
      </c>
    </row>
    <row r="1347" spans="2:12">
      <c r="B1347" s="17">
        <v>1646</v>
      </c>
      <c r="C1347" s="17">
        <v>2</v>
      </c>
      <c r="D1347" s="17">
        <f t="shared" si="62"/>
        <v>0</v>
      </c>
      <c r="E1347" s="17">
        <f t="shared" ref="E1347:E1410" si="64">D1347+E1346</f>
        <v>1596</v>
      </c>
      <c r="F1347" s="17" t="s">
        <v>4813</v>
      </c>
      <c r="G1347" s="17">
        <f>MATCH(E1347,Arenas!$F$8:$F$15)</f>
        <v>5</v>
      </c>
      <c r="H1347" s="29" t="s">
        <v>2717</v>
      </c>
      <c r="I1347" s="33" t="s">
        <v>7769</v>
      </c>
      <c r="J1347" s="47" t="s">
        <v>5697</v>
      </c>
      <c r="K1347" s="61" t="s">
        <v>4779</v>
      </c>
      <c r="L1347" s="12" t="str">
        <f t="shared" si="63"/>
        <v>2,2,2</v>
      </c>
    </row>
    <row r="1348" spans="2:12">
      <c r="B1348" s="17">
        <v>1647</v>
      </c>
      <c r="C1348" s="17">
        <v>2</v>
      </c>
      <c r="D1348" s="17">
        <f t="shared" si="62"/>
        <v>0</v>
      </c>
      <c r="E1348" s="17">
        <f t="shared" si="64"/>
        <v>1596</v>
      </c>
      <c r="F1348" s="17" t="s">
        <v>4813</v>
      </c>
      <c r="G1348" s="17">
        <f>MATCH(E1348,Arenas!$F$8:$F$15)</f>
        <v>5</v>
      </c>
      <c r="H1348" s="29" t="s">
        <v>2718</v>
      </c>
      <c r="I1348" s="33" t="s">
        <v>7770</v>
      </c>
      <c r="J1348" s="47" t="s">
        <v>7771</v>
      </c>
      <c r="K1348" s="61" t="s">
        <v>4779</v>
      </c>
      <c r="L1348" s="12" t="str">
        <f t="shared" si="63"/>
        <v>2,2,2</v>
      </c>
    </row>
    <row r="1349" spans="2:12">
      <c r="B1349" s="17">
        <v>1648</v>
      </c>
      <c r="C1349" s="17">
        <v>2</v>
      </c>
      <c r="D1349" s="17">
        <f t="shared" ref="D1349:D1412" si="65">D1346</f>
        <v>1</v>
      </c>
      <c r="E1349" s="17">
        <f t="shared" si="64"/>
        <v>1597</v>
      </c>
      <c r="F1349" s="17" t="s">
        <v>4813</v>
      </c>
      <c r="G1349" s="17">
        <f>MATCH(E1349,Arenas!$F$8:$F$15)</f>
        <v>5</v>
      </c>
      <c r="H1349" s="29" t="s">
        <v>2719</v>
      </c>
      <c r="I1349" s="33" t="s">
        <v>7772</v>
      </c>
      <c r="J1349" s="47" t="s">
        <v>5319</v>
      </c>
      <c r="K1349" s="61" t="s">
        <v>4779</v>
      </c>
      <c r="L1349" s="12" t="str">
        <f t="shared" si="63"/>
        <v>2,2,2</v>
      </c>
    </row>
    <row r="1350" spans="2:12">
      <c r="B1350" s="17">
        <v>1649</v>
      </c>
      <c r="C1350" s="17">
        <v>2</v>
      </c>
      <c r="D1350" s="17">
        <f t="shared" si="65"/>
        <v>0</v>
      </c>
      <c r="E1350" s="17">
        <f t="shared" si="64"/>
        <v>1597</v>
      </c>
      <c r="F1350" s="17" t="s">
        <v>4813</v>
      </c>
      <c r="G1350" s="17">
        <f>MATCH(E1350,Arenas!$F$8:$F$15)</f>
        <v>5</v>
      </c>
      <c r="H1350" s="29" t="s">
        <v>2720</v>
      </c>
      <c r="I1350" s="33" t="s">
        <v>7773</v>
      </c>
      <c r="J1350" s="47" t="s">
        <v>7774</v>
      </c>
      <c r="K1350" s="61" t="s">
        <v>4779</v>
      </c>
      <c r="L1350" s="12" t="str">
        <f t="shared" si="63"/>
        <v>2,2,2</v>
      </c>
    </row>
    <row r="1351" spans="2:12">
      <c r="B1351" s="17">
        <v>1650</v>
      </c>
      <c r="C1351" s="17">
        <v>2</v>
      </c>
      <c r="D1351" s="17">
        <f t="shared" si="65"/>
        <v>0</v>
      </c>
      <c r="E1351" s="17">
        <f t="shared" si="64"/>
        <v>1597</v>
      </c>
      <c r="F1351" s="17" t="s">
        <v>4813</v>
      </c>
      <c r="G1351" s="17">
        <f>MATCH(E1351,Arenas!$F$8:$F$15)</f>
        <v>5</v>
      </c>
      <c r="H1351" s="29" t="s">
        <v>2721</v>
      </c>
      <c r="I1351" s="33" t="s">
        <v>7775</v>
      </c>
      <c r="J1351" s="47" t="s">
        <v>5886</v>
      </c>
      <c r="K1351" s="61" t="s">
        <v>4779</v>
      </c>
      <c r="L1351" s="12" t="str">
        <f t="shared" si="63"/>
        <v>2,2,2</v>
      </c>
    </row>
    <row r="1352" spans="2:12">
      <c r="B1352" s="17">
        <v>1651</v>
      </c>
      <c r="C1352" s="17">
        <v>2</v>
      </c>
      <c r="D1352" s="17">
        <f t="shared" si="65"/>
        <v>1</v>
      </c>
      <c r="E1352" s="17">
        <f t="shared" si="64"/>
        <v>1598</v>
      </c>
      <c r="F1352" s="17" t="s">
        <v>4813</v>
      </c>
      <c r="G1352" s="17">
        <f>MATCH(E1352,Arenas!$F$8:$F$15)</f>
        <v>5</v>
      </c>
      <c r="H1352" s="29" t="s">
        <v>2722</v>
      </c>
      <c r="I1352" s="33" t="s">
        <v>7776</v>
      </c>
      <c r="J1352" s="47" t="s">
        <v>7777</v>
      </c>
      <c r="K1352" s="61" t="s">
        <v>4779</v>
      </c>
      <c r="L1352" s="12" t="str">
        <f t="shared" si="63"/>
        <v>2,2,2</v>
      </c>
    </row>
    <row r="1353" spans="2:12">
      <c r="B1353" s="17">
        <v>1652</v>
      </c>
      <c r="C1353" s="17">
        <v>2</v>
      </c>
      <c r="D1353" s="17">
        <f t="shared" si="65"/>
        <v>0</v>
      </c>
      <c r="E1353" s="17">
        <f t="shared" si="64"/>
        <v>1598</v>
      </c>
      <c r="F1353" s="17" t="s">
        <v>4813</v>
      </c>
      <c r="G1353" s="17">
        <f>MATCH(E1353,Arenas!$F$8:$F$15)</f>
        <v>5</v>
      </c>
      <c r="H1353" s="29" t="s">
        <v>2723</v>
      </c>
      <c r="I1353" s="33" t="s">
        <v>7778</v>
      </c>
      <c r="J1353" s="47" t="s">
        <v>5066</v>
      </c>
      <c r="K1353" s="61" t="s">
        <v>4779</v>
      </c>
      <c r="L1353" s="12" t="str">
        <f t="shared" si="63"/>
        <v>2,2,2</v>
      </c>
    </row>
    <row r="1354" spans="2:12">
      <c r="B1354" s="17">
        <v>1653</v>
      </c>
      <c r="C1354" s="17">
        <v>2</v>
      </c>
      <c r="D1354" s="17">
        <f t="shared" si="65"/>
        <v>0</v>
      </c>
      <c r="E1354" s="17">
        <f t="shared" si="64"/>
        <v>1598</v>
      </c>
      <c r="F1354" s="17" t="s">
        <v>4813</v>
      </c>
      <c r="G1354" s="17">
        <f>MATCH(E1354,Arenas!$F$8:$F$15)</f>
        <v>5</v>
      </c>
      <c r="H1354" s="29" t="s">
        <v>2724</v>
      </c>
      <c r="I1354" s="33" t="s">
        <v>7779</v>
      </c>
      <c r="J1354" s="47" t="s">
        <v>7780</v>
      </c>
      <c r="K1354" s="61" t="s">
        <v>4779</v>
      </c>
      <c r="L1354" s="12" t="str">
        <f t="shared" si="63"/>
        <v>2,2,2</v>
      </c>
    </row>
    <row r="1355" spans="2:12">
      <c r="B1355" s="17">
        <v>1654</v>
      </c>
      <c r="C1355" s="17">
        <v>2</v>
      </c>
      <c r="D1355" s="17">
        <f t="shared" si="65"/>
        <v>1</v>
      </c>
      <c r="E1355" s="17">
        <f t="shared" si="64"/>
        <v>1599</v>
      </c>
      <c r="F1355" s="17" t="s">
        <v>4813</v>
      </c>
      <c r="G1355" s="17">
        <f>MATCH(E1355,Arenas!$F$8:$F$15)</f>
        <v>5</v>
      </c>
      <c r="H1355" s="29" t="s">
        <v>2725</v>
      </c>
      <c r="I1355" s="33" t="s">
        <v>7781</v>
      </c>
      <c r="J1355" s="47" t="s">
        <v>7782</v>
      </c>
      <c r="K1355" s="61" t="s">
        <v>4779</v>
      </c>
      <c r="L1355" s="12" t="str">
        <f t="shared" si="63"/>
        <v>2,2,2</v>
      </c>
    </row>
    <row r="1356" spans="2:12">
      <c r="B1356" s="17">
        <v>1655</v>
      </c>
      <c r="C1356" s="17">
        <v>2</v>
      </c>
      <c r="D1356" s="17">
        <f t="shared" si="65"/>
        <v>0</v>
      </c>
      <c r="E1356" s="17">
        <f t="shared" si="64"/>
        <v>1599</v>
      </c>
      <c r="F1356" s="17" t="s">
        <v>4813</v>
      </c>
      <c r="G1356" s="17">
        <f>MATCH(E1356,Arenas!$F$8:$F$15)</f>
        <v>5</v>
      </c>
      <c r="H1356" s="29" t="s">
        <v>2726</v>
      </c>
      <c r="I1356" s="33" t="s">
        <v>7783</v>
      </c>
      <c r="J1356" s="47" t="s">
        <v>5916</v>
      </c>
      <c r="K1356" s="61" t="s">
        <v>4810</v>
      </c>
      <c r="L1356" s="12" t="str">
        <f t="shared" si="63"/>
        <v>2,2,2</v>
      </c>
    </row>
    <row r="1357" spans="2:12">
      <c r="B1357" s="17">
        <v>1656</v>
      </c>
      <c r="C1357" s="17">
        <v>2</v>
      </c>
      <c r="D1357" s="17">
        <f t="shared" si="65"/>
        <v>0</v>
      </c>
      <c r="E1357" s="17">
        <f t="shared" si="64"/>
        <v>1599</v>
      </c>
      <c r="F1357" s="17" t="s">
        <v>4813</v>
      </c>
      <c r="G1357" s="17">
        <f>MATCH(E1357,Arenas!$F$8:$F$15)</f>
        <v>5</v>
      </c>
      <c r="H1357" s="29" t="s">
        <v>2727</v>
      </c>
      <c r="I1357" s="33" t="s">
        <v>7784</v>
      </c>
      <c r="J1357" s="47" t="s">
        <v>5511</v>
      </c>
      <c r="K1357" s="61" t="s">
        <v>4779</v>
      </c>
      <c r="L1357" s="12" t="str">
        <f t="shared" si="63"/>
        <v>2,2,2</v>
      </c>
    </row>
    <row r="1358" spans="2:12">
      <c r="B1358" s="17">
        <v>1657</v>
      </c>
      <c r="C1358" s="17">
        <v>2</v>
      </c>
      <c r="D1358" s="17">
        <f t="shared" si="65"/>
        <v>1</v>
      </c>
      <c r="E1358" s="17">
        <f t="shared" si="64"/>
        <v>1600</v>
      </c>
      <c r="F1358" s="17" t="s">
        <v>4813</v>
      </c>
      <c r="G1358" s="17">
        <f>MATCH(E1358,Arenas!$F$8:$F$15)</f>
        <v>5</v>
      </c>
      <c r="H1358" s="29" t="s">
        <v>2728</v>
      </c>
      <c r="I1358" s="33" t="s">
        <v>7785</v>
      </c>
      <c r="J1358" s="47" t="s">
        <v>5681</v>
      </c>
      <c r="K1358" s="61" t="s">
        <v>4779</v>
      </c>
      <c r="L1358" s="12" t="str">
        <f t="shared" si="63"/>
        <v>2,2,2</v>
      </c>
    </row>
    <row r="1359" spans="2:12">
      <c r="B1359" s="17">
        <v>1658</v>
      </c>
      <c r="C1359" s="17">
        <v>2</v>
      </c>
      <c r="D1359" s="17">
        <f t="shared" si="65"/>
        <v>0</v>
      </c>
      <c r="E1359" s="17">
        <f t="shared" si="64"/>
        <v>1600</v>
      </c>
      <c r="F1359" s="17" t="s">
        <v>4813</v>
      </c>
      <c r="G1359" s="17">
        <f>MATCH(E1359,Arenas!$F$8:$F$15)</f>
        <v>5</v>
      </c>
      <c r="H1359" s="29" t="s">
        <v>2729</v>
      </c>
      <c r="I1359" s="33" t="s">
        <v>7786</v>
      </c>
      <c r="J1359" s="47" t="s">
        <v>7787</v>
      </c>
      <c r="K1359" s="61" t="s">
        <v>4807</v>
      </c>
      <c r="L1359" s="12" t="str">
        <f t="shared" si="63"/>
        <v>2,2,2</v>
      </c>
    </row>
    <row r="1360" spans="2:12">
      <c r="B1360" s="17">
        <v>1659</v>
      </c>
      <c r="C1360" s="17">
        <v>2</v>
      </c>
      <c r="D1360" s="17">
        <f t="shared" si="65"/>
        <v>0</v>
      </c>
      <c r="E1360" s="17">
        <f t="shared" si="64"/>
        <v>1600</v>
      </c>
      <c r="F1360" s="17" t="s">
        <v>4813</v>
      </c>
      <c r="G1360" s="17">
        <f>MATCH(E1360,Arenas!$F$8:$F$15)</f>
        <v>5</v>
      </c>
      <c r="H1360" s="29" t="s">
        <v>2730</v>
      </c>
      <c r="I1360" s="33" t="s">
        <v>7788</v>
      </c>
      <c r="J1360" s="47" t="s">
        <v>7789</v>
      </c>
      <c r="K1360" s="61" t="s">
        <v>4779</v>
      </c>
      <c r="L1360" s="12" t="str">
        <f t="shared" si="63"/>
        <v>2,2,2</v>
      </c>
    </row>
    <row r="1361" spans="2:12">
      <c r="B1361" s="17">
        <v>1660</v>
      </c>
      <c r="C1361" s="17">
        <v>2</v>
      </c>
      <c r="D1361" s="17">
        <f t="shared" si="65"/>
        <v>1</v>
      </c>
      <c r="E1361" s="17">
        <f t="shared" si="64"/>
        <v>1601</v>
      </c>
      <c r="F1361" s="17" t="s">
        <v>4813</v>
      </c>
      <c r="G1361" s="17">
        <f>MATCH(E1361,Arenas!$F$8:$F$15)</f>
        <v>5</v>
      </c>
      <c r="H1361" s="29" t="s">
        <v>2731</v>
      </c>
      <c r="I1361" s="33" t="s">
        <v>7790</v>
      </c>
      <c r="J1361" s="47" t="s">
        <v>5817</v>
      </c>
      <c r="K1361" s="61" t="s">
        <v>4779</v>
      </c>
      <c r="L1361" s="12" t="str">
        <f t="shared" si="63"/>
        <v>2,2,2</v>
      </c>
    </row>
    <row r="1362" spans="2:12">
      <c r="B1362" s="17">
        <v>1661</v>
      </c>
      <c r="C1362" s="17">
        <v>2</v>
      </c>
      <c r="D1362" s="17">
        <f t="shared" si="65"/>
        <v>0</v>
      </c>
      <c r="E1362" s="17">
        <f t="shared" si="64"/>
        <v>1601</v>
      </c>
      <c r="F1362" s="17" t="s">
        <v>4813</v>
      </c>
      <c r="G1362" s="17">
        <f>MATCH(E1362,Arenas!$F$8:$F$15)</f>
        <v>5</v>
      </c>
      <c r="H1362" s="29" t="s">
        <v>2732</v>
      </c>
      <c r="I1362" s="33" t="s">
        <v>7791</v>
      </c>
      <c r="J1362" s="47" t="s">
        <v>5116</v>
      </c>
      <c r="K1362" s="61" t="s">
        <v>4779</v>
      </c>
      <c r="L1362" s="12" t="str">
        <f t="shared" si="63"/>
        <v>2,2,2</v>
      </c>
    </row>
    <row r="1363" spans="2:12">
      <c r="B1363" s="17">
        <v>1662</v>
      </c>
      <c r="C1363" s="17">
        <v>2</v>
      </c>
      <c r="D1363" s="17">
        <f t="shared" si="65"/>
        <v>0</v>
      </c>
      <c r="E1363" s="17">
        <f t="shared" si="64"/>
        <v>1601</v>
      </c>
      <c r="F1363" s="17" t="s">
        <v>4813</v>
      </c>
      <c r="G1363" s="17">
        <f>MATCH(E1363,Arenas!$F$8:$F$15)</f>
        <v>5</v>
      </c>
      <c r="H1363" s="29" t="s">
        <v>2733</v>
      </c>
      <c r="I1363" s="33" t="s">
        <v>7792</v>
      </c>
      <c r="J1363" s="47" t="s">
        <v>5350</v>
      </c>
      <c r="K1363" s="61" t="s">
        <v>4779</v>
      </c>
      <c r="L1363" s="12" t="str">
        <f t="shared" si="63"/>
        <v>2,2,2</v>
      </c>
    </row>
    <row r="1364" spans="2:12">
      <c r="B1364" s="17">
        <v>1663</v>
      </c>
      <c r="C1364" s="17">
        <v>2</v>
      </c>
      <c r="D1364" s="17">
        <f t="shared" si="65"/>
        <v>1</v>
      </c>
      <c r="E1364" s="17">
        <f t="shared" si="64"/>
        <v>1602</v>
      </c>
      <c r="F1364" s="17" t="s">
        <v>4813</v>
      </c>
      <c r="G1364" s="17">
        <f>MATCH(E1364,Arenas!$F$8:$F$15)</f>
        <v>5</v>
      </c>
      <c r="H1364" s="29" t="s">
        <v>2734</v>
      </c>
      <c r="I1364" s="33" t="s">
        <v>7793</v>
      </c>
      <c r="J1364" s="47" t="s">
        <v>7794</v>
      </c>
      <c r="K1364" s="61" t="s">
        <v>4779</v>
      </c>
      <c r="L1364" s="12" t="str">
        <f t="shared" si="63"/>
        <v>2,2,2</v>
      </c>
    </row>
    <row r="1365" spans="2:12">
      <c r="B1365" s="17">
        <v>1664</v>
      </c>
      <c r="C1365" s="17">
        <v>2</v>
      </c>
      <c r="D1365" s="17">
        <f t="shared" si="65"/>
        <v>0</v>
      </c>
      <c r="E1365" s="17">
        <f t="shared" si="64"/>
        <v>1602</v>
      </c>
      <c r="F1365" s="17" t="s">
        <v>4813</v>
      </c>
      <c r="G1365" s="17">
        <f>MATCH(E1365,Arenas!$F$8:$F$15)</f>
        <v>5</v>
      </c>
      <c r="H1365" s="29" t="s">
        <v>2735</v>
      </c>
      <c r="I1365" s="33" t="s">
        <v>7795</v>
      </c>
      <c r="J1365" s="47" t="s">
        <v>7796</v>
      </c>
      <c r="K1365" s="61" t="s">
        <v>4779</v>
      </c>
      <c r="L1365" s="12" t="str">
        <f t="shared" si="63"/>
        <v>2,2,2</v>
      </c>
    </row>
    <row r="1366" spans="2:12">
      <c r="B1366" s="17">
        <v>1665</v>
      </c>
      <c r="C1366" s="17">
        <v>2</v>
      </c>
      <c r="D1366" s="17">
        <f t="shared" si="65"/>
        <v>0</v>
      </c>
      <c r="E1366" s="17">
        <f t="shared" si="64"/>
        <v>1602</v>
      </c>
      <c r="F1366" s="17" t="s">
        <v>4813</v>
      </c>
      <c r="G1366" s="17">
        <f>MATCH(E1366,Arenas!$F$8:$F$15)</f>
        <v>5</v>
      </c>
      <c r="H1366" s="29" t="s">
        <v>2736</v>
      </c>
      <c r="I1366" s="33" t="s">
        <v>7797</v>
      </c>
      <c r="J1366" s="47" t="s">
        <v>5532</v>
      </c>
      <c r="K1366" s="61" t="s">
        <v>4779</v>
      </c>
      <c r="L1366" s="12" t="str">
        <f t="shared" si="63"/>
        <v>2,2,2</v>
      </c>
    </row>
    <row r="1367" spans="2:12">
      <c r="B1367" s="17">
        <v>1666</v>
      </c>
      <c r="C1367" s="17">
        <v>2</v>
      </c>
      <c r="D1367" s="17">
        <f t="shared" si="65"/>
        <v>1</v>
      </c>
      <c r="E1367" s="17">
        <f t="shared" si="64"/>
        <v>1603</v>
      </c>
      <c r="F1367" s="17" t="s">
        <v>4813</v>
      </c>
      <c r="G1367" s="17">
        <f>MATCH(E1367,Arenas!$F$8:$F$15)</f>
        <v>5</v>
      </c>
      <c r="H1367" s="29" t="s">
        <v>2737</v>
      </c>
      <c r="I1367" s="33" t="s">
        <v>7798</v>
      </c>
      <c r="J1367" s="47" t="s">
        <v>5807</v>
      </c>
      <c r="K1367" s="61" t="s">
        <v>4779</v>
      </c>
      <c r="L1367" s="12" t="str">
        <f t="shared" si="63"/>
        <v>2,2,2</v>
      </c>
    </row>
    <row r="1368" spans="2:12">
      <c r="B1368" s="17">
        <v>1667</v>
      </c>
      <c r="C1368" s="17">
        <v>2</v>
      </c>
      <c r="D1368" s="17">
        <f t="shared" si="65"/>
        <v>0</v>
      </c>
      <c r="E1368" s="17">
        <f t="shared" si="64"/>
        <v>1603</v>
      </c>
      <c r="F1368" s="17" t="s">
        <v>4813</v>
      </c>
      <c r="G1368" s="17">
        <f>MATCH(E1368,Arenas!$F$8:$F$15)</f>
        <v>5</v>
      </c>
      <c r="H1368" s="29" t="s">
        <v>2738</v>
      </c>
      <c r="I1368" s="33" t="s">
        <v>7799</v>
      </c>
      <c r="J1368" s="47" t="s">
        <v>5581</v>
      </c>
      <c r="K1368" s="61" t="s">
        <v>4779</v>
      </c>
      <c r="L1368" s="12" t="str">
        <f t="shared" si="63"/>
        <v>2,2,2</v>
      </c>
    </row>
    <row r="1369" spans="2:12">
      <c r="B1369" s="17">
        <v>1668</v>
      </c>
      <c r="C1369" s="17">
        <v>2</v>
      </c>
      <c r="D1369" s="17">
        <f t="shared" si="65"/>
        <v>0</v>
      </c>
      <c r="E1369" s="17">
        <f t="shared" si="64"/>
        <v>1603</v>
      </c>
      <c r="F1369" s="17" t="s">
        <v>4813</v>
      </c>
      <c r="G1369" s="17">
        <f>MATCH(E1369,Arenas!$F$8:$F$15)</f>
        <v>5</v>
      </c>
      <c r="H1369" s="29" t="s">
        <v>2739</v>
      </c>
      <c r="I1369" s="33" t="s">
        <v>7800</v>
      </c>
      <c r="J1369" s="47" t="s">
        <v>7801</v>
      </c>
      <c r="K1369" s="61" t="s">
        <v>4779</v>
      </c>
      <c r="L1369" s="12" t="str">
        <f t="shared" si="63"/>
        <v>2,2,2</v>
      </c>
    </row>
    <row r="1370" spans="2:12">
      <c r="B1370" s="17">
        <v>1669</v>
      </c>
      <c r="C1370" s="17">
        <v>2</v>
      </c>
      <c r="D1370" s="17">
        <f t="shared" si="65"/>
        <v>1</v>
      </c>
      <c r="E1370" s="17">
        <f t="shared" si="64"/>
        <v>1604</v>
      </c>
      <c r="F1370" s="17" t="s">
        <v>4813</v>
      </c>
      <c r="G1370" s="17">
        <f>MATCH(E1370,Arenas!$F$8:$F$15)</f>
        <v>5</v>
      </c>
      <c r="H1370" s="29" t="s">
        <v>2740</v>
      </c>
      <c r="I1370" s="33" t="s">
        <v>7802</v>
      </c>
      <c r="J1370" s="47" t="s">
        <v>7803</v>
      </c>
      <c r="K1370" s="61" t="s">
        <v>4779</v>
      </c>
      <c r="L1370" s="12" t="str">
        <f t="shared" si="63"/>
        <v>2,2,2</v>
      </c>
    </row>
    <row r="1371" spans="2:12">
      <c r="B1371" s="17">
        <v>1670</v>
      </c>
      <c r="C1371" s="17">
        <v>2</v>
      </c>
      <c r="D1371" s="17">
        <f t="shared" si="65"/>
        <v>0</v>
      </c>
      <c r="E1371" s="17">
        <f t="shared" si="64"/>
        <v>1604</v>
      </c>
      <c r="F1371" s="17" t="s">
        <v>4813</v>
      </c>
      <c r="G1371" s="17">
        <f>MATCH(E1371,Arenas!$F$8:$F$15)</f>
        <v>5</v>
      </c>
      <c r="H1371" s="29" t="s">
        <v>2741</v>
      </c>
      <c r="I1371" s="33" t="s">
        <v>7804</v>
      </c>
      <c r="J1371" s="47" t="s">
        <v>7805</v>
      </c>
      <c r="K1371" s="61" t="s">
        <v>4779</v>
      </c>
      <c r="L1371" s="12" t="str">
        <f t="shared" si="63"/>
        <v>2,2,2</v>
      </c>
    </row>
    <row r="1372" spans="2:12">
      <c r="B1372" s="17">
        <v>1671</v>
      </c>
      <c r="C1372" s="17">
        <v>2</v>
      </c>
      <c r="D1372" s="17">
        <f t="shared" si="65"/>
        <v>0</v>
      </c>
      <c r="E1372" s="17">
        <f t="shared" si="64"/>
        <v>1604</v>
      </c>
      <c r="F1372" s="17" t="s">
        <v>4813</v>
      </c>
      <c r="G1372" s="17">
        <f>MATCH(E1372,Arenas!$F$8:$F$15)</f>
        <v>5</v>
      </c>
      <c r="H1372" s="29" t="s">
        <v>2742</v>
      </c>
      <c r="I1372" s="33" t="s">
        <v>7806</v>
      </c>
      <c r="J1372" s="47" t="s">
        <v>7807</v>
      </c>
      <c r="K1372" s="61" t="s">
        <v>4779</v>
      </c>
      <c r="L1372" s="12" t="str">
        <f t="shared" si="63"/>
        <v>2,2,2</v>
      </c>
    </row>
    <row r="1373" spans="2:12">
      <c r="B1373" s="17">
        <v>1672</v>
      </c>
      <c r="C1373" s="17">
        <v>2</v>
      </c>
      <c r="D1373" s="17">
        <f t="shared" si="65"/>
        <v>1</v>
      </c>
      <c r="E1373" s="17">
        <f t="shared" si="64"/>
        <v>1605</v>
      </c>
      <c r="F1373" s="17" t="s">
        <v>4813</v>
      </c>
      <c r="G1373" s="17">
        <f>MATCH(E1373,Arenas!$F$8:$F$15)</f>
        <v>5</v>
      </c>
      <c r="H1373" s="29" t="s">
        <v>2743</v>
      </c>
      <c r="I1373" s="33" t="s">
        <v>7808</v>
      </c>
      <c r="J1373" s="47" t="s">
        <v>7809</v>
      </c>
      <c r="K1373" s="61" t="s">
        <v>4779</v>
      </c>
      <c r="L1373" s="12" t="str">
        <f t="shared" si="63"/>
        <v>2,2,2</v>
      </c>
    </row>
    <row r="1374" spans="2:12">
      <c r="B1374" s="17">
        <v>1673</v>
      </c>
      <c r="C1374" s="17">
        <v>2</v>
      </c>
      <c r="D1374" s="17">
        <f t="shared" si="65"/>
        <v>0</v>
      </c>
      <c r="E1374" s="17">
        <f t="shared" si="64"/>
        <v>1605</v>
      </c>
      <c r="F1374" s="17" t="s">
        <v>4813</v>
      </c>
      <c r="G1374" s="17">
        <f>MATCH(E1374,Arenas!$F$8:$F$15)</f>
        <v>5</v>
      </c>
      <c r="H1374" s="29" t="s">
        <v>2744</v>
      </c>
      <c r="I1374" s="33" t="s">
        <v>7810</v>
      </c>
      <c r="J1374" s="47" t="s">
        <v>7811</v>
      </c>
      <c r="K1374" s="61" t="s">
        <v>4779</v>
      </c>
      <c r="L1374" s="12" t="str">
        <f t="shared" si="63"/>
        <v>2,2,2</v>
      </c>
    </row>
    <row r="1375" spans="2:12">
      <c r="B1375" s="17">
        <v>1674</v>
      </c>
      <c r="C1375" s="17">
        <v>2</v>
      </c>
      <c r="D1375" s="17">
        <f t="shared" si="65"/>
        <v>0</v>
      </c>
      <c r="E1375" s="17">
        <f t="shared" si="64"/>
        <v>1605</v>
      </c>
      <c r="F1375" s="17" t="s">
        <v>4813</v>
      </c>
      <c r="G1375" s="17">
        <f>MATCH(E1375,Arenas!$F$8:$F$15)</f>
        <v>5</v>
      </c>
      <c r="H1375" s="29" t="s">
        <v>2745</v>
      </c>
      <c r="I1375" s="33" t="s">
        <v>7812</v>
      </c>
      <c r="J1375" s="47" t="s">
        <v>5322</v>
      </c>
      <c r="K1375" s="61" t="s">
        <v>4779</v>
      </c>
      <c r="L1375" s="12" t="str">
        <f t="shared" si="63"/>
        <v>2,2,2</v>
      </c>
    </row>
    <row r="1376" spans="2:12">
      <c r="B1376" s="17">
        <v>1675</v>
      </c>
      <c r="C1376" s="17">
        <v>2</v>
      </c>
      <c r="D1376" s="17">
        <f t="shared" si="65"/>
        <v>1</v>
      </c>
      <c r="E1376" s="17">
        <f t="shared" si="64"/>
        <v>1606</v>
      </c>
      <c r="F1376" s="17" t="s">
        <v>4813</v>
      </c>
      <c r="G1376" s="17">
        <f>MATCH(E1376,Arenas!$F$8:$F$15)</f>
        <v>5</v>
      </c>
      <c r="H1376" s="29" t="s">
        <v>2746</v>
      </c>
      <c r="I1376" s="33" t="s">
        <v>7813</v>
      </c>
      <c r="J1376" s="47" t="s">
        <v>5436</v>
      </c>
      <c r="K1376" s="61" t="s">
        <v>4807</v>
      </c>
      <c r="L1376" s="12" t="str">
        <f t="shared" si="63"/>
        <v>2,2,2</v>
      </c>
    </row>
    <row r="1377" spans="2:12">
      <c r="B1377" s="17">
        <v>1676</v>
      </c>
      <c r="C1377" s="17">
        <v>2</v>
      </c>
      <c r="D1377" s="17">
        <f t="shared" si="65"/>
        <v>0</v>
      </c>
      <c r="E1377" s="17">
        <f t="shared" si="64"/>
        <v>1606</v>
      </c>
      <c r="F1377" s="17" t="s">
        <v>4813</v>
      </c>
      <c r="G1377" s="17">
        <f>MATCH(E1377,Arenas!$F$8:$F$15)</f>
        <v>5</v>
      </c>
      <c r="H1377" s="29" t="s">
        <v>2747</v>
      </c>
      <c r="I1377" s="33" t="s">
        <v>7814</v>
      </c>
      <c r="J1377" s="47" t="s">
        <v>7815</v>
      </c>
      <c r="K1377" s="61" t="s">
        <v>4779</v>
      </c>
      <c r="L1377" s="12" t="str">
        <f t="shared" si="63"/>
        <v>2,2,2</v>
      </c>
    </row>
    <row r="1378" spans="2:12">
      <c r="B1378" s="17">
        <v>1677</v>
      </c>
      <c r="C1378" s="17">
        <v>2</v>
      </c>
      <c r="D1378" s="17">
        <f t="shared" si="65"/>
        <v>0</v>
      </c>
      <c r="E1378" s="17">
        <f t="shared" si="64"/>
        <v>1606</v>
      </c>
      <c r="F1378" s="17" t="s">
        <v>4813</v>
      </c>
      <c r="G1378" s="17">
        <f>MATCH(E1378,Arenas!$F$8:$F$15)</f>
        <v>5</v>
      </c>
      <c r="H1378" s="29" t="s">
        <v>2748</v>
      </c>
      <c r="I1378" s="33" t="s">
        <v>7816</v>
      </c>
      <c r="J1378" s="47" t="s">
        <v>5575</v>
      </c>
      <c r="K1378" s="61" t="s">
        <v>4779</v>
      </c>
      <c r="L1378" s="12" t="str">
        <f t="shared" si="63"/>
        <v>2,2,2</v>
      </c>
    </row>
    <row r="1379" spans="2:12">
      <c r="B1379" s="17">
        <v>1678</v>
      </c>
      <c r="C1379" s="17">
        <v>2</v>
      </c>
      <c r="D1379" s="17">
        <f t="shared" si="65"/>
        <v>1</v>
      </c>
      <c r="E1379" s="17">
        <f t="shared" si="64"/>
        <v>1607</v>
      </c>
      <c r="F1379" s="17" t="s">
        <v>4813</v>
      </c>
      <c r="G1379" s="17">
        <f>MATCH(E1379,Arenas!$F$8:$F$15)</f>
        <v>5</v>
      </c>
      <c r="H1379" s="29" t="s">
        <v>2749</v>
      </c>
      <c r="I1379" s="33" t="s">
        <v>7817</v>
      </c>
      <c r="J1379" s="47" t="s">
        <v>7818</v>
      </c>
      <c r="K1379" s="61" t="s">
        <v>4779</v>
      </c>
      <c r="L1379" s="12" t="str">
        <f t="shared" si="63"/>
        <v>2,2,2</v>
      </c>
    </row>
    <row r="1380" spans="2:12">
      <c r="B1380" s="17">
        <v>1679</v>
      </c>
      <c r="C1380" s="17">
        <v>2</v>
      </c>
      <c r="D1380" s="17">
        <f t="shared" si="65"/>
        <v>0</v>
      </c>
      <c r="E1380" s="17">
        <f t="shared" si="64"/>
        <v>1607</v>
      </c>
      <c r="F1380" s="17" t="s">
        <v>4813</v>
      </c>
      <c r="G1380" s="17">
        <f>MATCH(E1380,Arenas!$F$8:$F$15)</f>
        <v>5</v>
      </c>
      <c r="H1380" s="29" t="s">
        <v>2750</v>
      </c>
      <c r="I1380" s="33" t="s">
        <v>7819</v>
      </c>
      <c r="J1380" s="47" t="s">
        <v>7820</v>
      </c>
      <c r="K1380" s="61" t="s">
        <v>4779</v>
      </c>
      <c r="L1380" s="12" t="str">
        <f t="shared" si="63"/>
        <v>2,2,2</v>
      </c>
    </row>
    <row r="1381" spans="2:12">
      <c r="B1381" s="17">
        <v>1680</v>
      </c>
      <c r="C1381" s="17">
        <v>2</v>
      </c>
      <c r="D1381" s="17">
        <f t="shared" si="65"/>
        <v>0</v>
      </c>
      <c r="E1381" s="17">
        <f t="shared" si="64"/>
        <v>1607</v>
      </c>
      <c r="F1381" s="17" t="s">
        <v>4813</v>
      </c>
      <c r="G1381" s="17">
        <f>MATCH(E1381,Arenas!$F$8:$F$15)</f>
        <v>5</v>
      </c>
      <c r="H1381" s="29" t="s">
        <v>2751</v>
      </c>
      <c r="I1381" s="33" t="s">
        <v>7821</v>
      </c>
      <c r="J1381" s="47" t="s">
        <v>5337</v>
      </c>
      <c r="K1381" s="61" t="s">
        <v>4779</v>
      </c>
      <c r="L1381" s="12" t="str">
        <f t="shared" si="63"/>
        <v>2,2,2</v>
      </c>
    </row>
    <row r="1382" spans="2:12">
      <c r="B1382" s="17">
        <v>1681</v>
      </c>
      <c r="C1382" s="17">
        <v>2</v>
      </c>
      <c r="D1382" s="17">
        <f t="shared" si="65"/>
        <v>1</v>
      </c>
      <c r="E1382" s="17">
        <f t="shared" si="64"/>
        <v>1608</v>
      </c>
      <c r="F1382" s="17" t="s">
        <v>4813</v>
      </c>
      <c r="G1382" s="17">
        <f>MATCH(E1382,Arenas!$F$8:$F$15)</f>
        <v>5</v>
      </c>
      <c r="H1382" s="29" t="s">
        <v>2752</v>
      </c>
      <c r="I1382" s="33" t="s">
        <v>7822</v>
      </c>
      <c r="J1382" s="47" t="s">
        <v>7823</v>
      </c>
      <c r="K1382" s="61" t="s">
        <v>4779</v>
      </c>
      <c r="L1382" s="12" t="str">
        <f t="shared" si="63"/>
        <v>2,2,2</v>
      </c>
    </row>
    <row r="1383" spans="2:12">
      <c r="B1383" s="17">
        <v>1682</v>
      </c>
      <c r="C1383" s="17">
        <v>2</v>
      </c>
      <c r="D1383" s="17">
        <f t="shared" si="65"/>
        <v>0</v>
      </c>
      <c r="E1383" s="17">
        <f t="shared" si="64"/>
        <v>1608</v>
      </c>
      <c r="F1383" s="17" t="s">
        <v>4813</v>
      </c>
      <c r="G1383" s="17">
        <f>MATCH(E1383,Arenas!$F$8:$F$15)</f>
        <v>5</v>
      </c>
      <c r="H1383" s="29" t="s">
        <v>2753</v>
      </c>
      <c r="I1383" s="33" t="s">
        <v>7824</v>
      </c>
      <c r="J1383" s="47" t="s">
        <v>7825</v>
      </c>
      <c r="K1383" s="61" t="s">
        <v>4779</v>
      </c>
      <c r="L1383" s="12" t="str">
        <f t="shared" si="63"/>
        <v>2,2,2</v>
      </c>
    </row>
    <row r="1384" spans="2:12">
      <c r="B1384" s="17">
        <v>1683</v>
      </c>
      <c r="C1384" s="17">
        <v>2</v>
      </c>
      <c r="D1384" s="17">
        <f t="shared" si="65"/>
        <v>0</v>
      </c>
      <c r="E1384" s="17">
        <f t="shared" si="64"/>
        <v>1608</v>
      </c>
      <c r="F1384" s="17" t="s">
        <v>4813</v>
      </c>
      <c r="G1384" s="17">
        <f>MATCH(E1384,Arenas!$F$8:$F$15)</f>
        <v>5</v>
      </c>
      <c r="H1384" s="29" t="s">
        <v>2754</v>
      </c>
      <c r="I1384" s="33" t="s">
        <v>7826</v>
      </c>
      <c r="J1384" s="47" t="s">
        <v>5056</v>
      </c>
      <c r="K1384" s="61" t="s">
        <v>4779</v>
      </c>
      <c r="L1384" s="12" t="str">
        <f t="shared" si="63"/>
        <v>2,2,2</v>
      </c>
    </row>
    <row r="1385" spans="2:12">
      <c r="B1385" s="17">
        <v>1684</v>
      </c>
      <c r="C1385" s="17">
        <v>2</v>
      </c>
      <c r="D1385" s="17">
        <f t="shared" si="65"/>
        <v>1</v>
      </c>
      <c r="E1385" s="17">
        <f t="shared" si="64"/>
        <v>1609</v>
      </c>
      <c r="F1385" s="17" t="s">
        <v>4813</v>
      </c>
      <c r="G1385" s="17">
        <f>MATCH(E1385,Arenas!$F$8:$F$15)</f>
        <v>5</v>
      </c>
      <c r="H1385" s="29" t="s">
        <v>2755</v>
      </c>
      <c r="I1385" s="33" t="s">
        <v>7827</v>
      </c>
      <c r="J1385" s="47" t="s">
        <v>5134</v>
      </c>
      <c r="K1385" s="61" t="s">
        <v>4779</v>
      </c>
      <c r="L1385" s="12" t="str">
        <f t="shared" si="63"/>
        <v>2,2,2</v>
      </c>
    </row>
    <row r="1386" spans="2:12">
      <c r="B1386" s="17">
        <v>1685</v>
      </c>
      <c r="C1386" s="17">
        <v>2</v>
      </c>
      <c r="D1386" s="17">
        <f t="shared" si="65"/>
        <v>0</v>
      </c>
      <c r="E1386" s="17">
        <f t="shared" si="64"/>
        <v>1609</v>
      </c>
      <c r="F1386" s="17" t="s">
        <v>4813</v>
      </c>
      <c r="G1386" s="17">
        <f>MATCH(E1386,Arenas!$F$8:$F$15)</f>
        <v>5</v>
      </c>
      <c r="H1386" s="29" t="s">
        <v>2756</v>
      </c>
      <c r="I1386" s="33" t="s">
        <v>7828</v>
      </c>
      <c r="J1386" s="47" t="s">
        <v>7829</v>
      </c>
      <c r="K1386" s="61" t="s">
        <v>4779</v>
      </c>
      <c r="L1386" s="12" t="str">
        <f t="shared" si="63"/>
        <v>2,2,2</v>
      </c>
    </row>
    <row r="1387" spans="2:12">
      <c r="B1387" s="17">
        <v>1686</v>
      </c>
      <c r="C1387" s="17">
        <v>2</v>
      </c>
      <c r="D1387" s="17">
        <f t="shared" si="65"/>
        <v>0</v>
      </c>
      <c r="E1387" s="17">
        <f t="shared" si="64"/>
        <v>1609</v>
      </c>
      <c r="F1387" s="17" t="s">
        <v>4813</v>
      </c>
      <c r="G1387" s="17">
        <f>MATCH(E1387,Arenas!$F$8:$F$15)</f>
        <v>5</v>
      </c>
      <c r="H1387" s="29" t="s">
        <v>2757</v>
      </c>
      <c r="I1387" s="33" t="s">
        <v>7830</v>
      </c>
      <c r="J1387" s="47" t="s">
        <v>7831</v>
      </c>
      <c r="K1387" s="61" t="s">
        <v>4779</v>
      </c>
      <c r="L1387" s="12" t="str">
        <f t="shared" si="63"/>
        <v>2,2,2</v>
      </c>
    </row>
    <row r="1388" spans="2:12">
      <c r="B1388" s="17">
        <v>1687</v>
      </c>
      <c r="C1388" s="17">
        <v>2</v>
      </c>
      <c r="D1388" s="17">
        <f t="shared" si="65"/>
        <v>1</v>
      </c>
      <c r="E1388" s="17">
        <f t="shared" si="64"/>
        <v>1610</v>
      </c>
      <c r="F1388" s="17" t="s">
        <v>4813</v>
      </c>
      <c r="G1388" s="17">
        <f>MATCH(E1388,Arenas!$F$8:$F$15)</f>
        <v>5</v>
      </c>
      <c r="H1388" s="29" t="s">
        <v>2758</v>
      </c>
      <c r="I1388" s="33" t="s">
        <v>7832</v>
      </c>
      <c r="J1388" s="47" t="s">
        <v>7833</v>
      </c>
      <c r="K1388" s="61" t="s">
        <v>4779</v>
      </c>
      <c r="L1388" s="12" t="str">
        <f t="shared" si="63"/>
        <v>2,2,2</v>
      </c>
    </row>
    <row r="1389" spans="2:12">
      <c r="B1389" s="17">
        <v>1688</v>
      </c>
      <c r="C1389" s="17">
        <v>2</v>
      </c>
      <c r="D1389" s="17">
        <f t="shared" si="65"/>
        <v>0</v>
      </c>
      <c r="E1389" s="17">
        <f t="shared" si="64"/>
        <v>1610</v>
      </c>
      <c r="F1389" s="17" t="s">
        <v>4813</v>
      </c>
      <c r="G1389" s="17">
        <f>MATCH(E1389,Arenas!$F$8:$F$15)</f>
        <v>5</v>
      </c>
      <c r="H1389" s="29" t="s">
        <v>2759</v>
      </c>
      <c r="I1389" s="33" t="s">
        <v>7834</v>
      </c>
      <c r="J1389" s="47" t="s">
        <v>7835</v>
      </c>
      <c r="K1389" s="61" t="s">
        <v>4779</v>
      </c>
      <c r="L1389" s="12" t="str">
        <f t="shared" si="63"/>
        <v>2,2,2</v>
      </c>
    </row>
    <row r="1390" spans="2:12">
      <c r="B1390" s="17">
        <v>1689</v>
      </c>
      <c r="C1390" s="17">
        <v>2</v>
      </c>
      <c r="D1390" s="17">
        <f t="shared" si="65"/>
        <v>0</v>
      </c>
      <c r="E1390" s="17">
        <f t="shared" si="64"/>
        <v>1610</v>
      </c>
      <c r="F1390" s="17" t="s">
        <v>4813</v>
      </c>
      <c r="G1390" s="17">
        <f>MATCH(E1390,Arenas!$F$8:$F$15)</f>
        <v>5</v>
      </c>
      <c r="H1390" s="29" t="s">
        <v>2760</v>
      </c>
      <c r="I1390" s="33" t="s">
        <v>7836</v>
      </c>
      <c r="J1390" s="47" t="s">
        <v>7837</v>
      </c>
      <c r="K1390" s="61" t="s">
        <v>4779</v>
      </c>
      <c r="L1390" s="12" t="str">
        <f t="shared" si="63"/>
        <v>2,2,2</v>
      </c>
    </row>
    <row r="1391" spans="2:12">
      <c r="B1391" s="17">
        <v>1690</v>
      </c>
      <c r="C1391" s="17">
        <v>2</v>
      </c>
      <c r="D1391" s="17">
        <f t="shared" si="65"/>
        <v>1</v>
      </c>
      <c r="E1391" s="17">
        <f t="shared" si="64"/>
        <v>1611</v>
      </c>
      <c r="F1391" s="17" t="s">
        <v>4813</v>
      </c>
      <c r="G1391" s="17">
        <f>MATCH(E1391,Arenas!$F$8:$F$15)</f>
        <v>5</v>
      </c>
      <c r="H1391" s="29" t="s">
        <v>2761</v>
      </c>
      <c r="I1391" s="33" t="s">
        <v>7838</v>
      </c>
      <c r="J1391" s="47" t="s">
        <v>5503</v>
      </c>
      <c r="K1391" s="61" t="s">
        <v>4779</v>
      </c>
      <c r="L1391" s="12" t="str">
        <f t="shared" si="63"/>
        <v>2,2,2</v>
      </c>
    </row>
    <row r="1392" spans="2:12">
      <c r="B1392" s="17">
        <v>1691</v>
      </c>
      <c r="C1392" s="17">
        <v>2</v>
      </c>
      <c r="D1392" s="17">
        <f t="shared" si="65"/>
        <v>0</v>
      </c>
      <c r="E1392" s="17">
        <f t="shared" si="64"/>
        <v>1611</v>
      </c>
      <c r="F1392" s="17" t="s">
        <v>4813</v>
      </c>
      <c r="G1392" s="17">
        <f>MATCH(E1392,Arenas!$F$8:$F$15)</f>
        <v>5</v>
      </c>
      <c r="H1392" s="29" t="s">
        <v>2762</v>
      </c>
      <c r="I1392" s="33" t="s">
        <v>7839</v>
      </c>
      <c r="J1392" s="47" t="s">
        <v>5090</v>
      </c>
      <c r="K1392" s="61" t="s">
        <v>4779</v>
      </c>
      <c r="L1392" s="12" t="str">
        <f t="shared" si="63"/>
        <v>2,2,2</v>
      </c>
    </row>
    <row r="1393" spans="2:12">
      <c r="B1393" s="17">
        <v>1692</v>
      </c>
      <c r="C1393" s="17">
        <v>2</v>
      </c>
      <c r="D1393" s="17">
        <f t="shared" si="65"/>
        <v>0</v>
      </c>
      <c r="E1393" s="17">
        <f t="shared" si="64"/>
        <v>1611</v>
      </c>
      <c r="F1393" s="17" t="s">
        <v>4813</v>
      </c>
      <c r="G1393" s="17">
        <f>MATCH(E1393,Arenas!$F$8:$F$15)</f>
        <v>5</v>
      </c>
      <c r="H1393" s="29" t="s">
        <v>2763</v>
      </c>
      <c r="I1393" s="33" t="s">
        <v>7840</v>
      </c>
      <c r="J1393" s="47" t="s">
        <v>7841</v>
      </c>
      <c r="K1393" s="61" t="s">
        <v>4779</v>
      </c>
      <c r="L1393" s="12" t="str">
        <f t="shared" si="63"/>
        <v>2,2,2</v>
      </c>
    </row>
    <row r="1394" spans="2:12">
      <c r="B1394" s="17">
        <v>1693</v>
      </c>
      <c r="C1394" s="17">
        <v>2</v>
      </c>
      <c r="D1394" s="17">
        <f t="shared" si="65"/>
        <v>1</v>
      </c>
      <c r="E1394" s="17">
        <f t="shared" si="64"/>
        <v>1612</v>
      </c>
      <c r="F1394" s="17" t="s">
        <v>4813</v>
      </c>
      <c r="G1394" s="17">
        <f>MATCH(E1394,Arenas!$F$8:$F$15)</f>
        <v>5</v>
      </c>
      <c r="H1394" s="29" t="s">
        <v>2764</v>
      </c>
      <c r="I1394" s="33" t="s">
        <v>7842</v>
      </c>
      <c r="J1394" s="47" t="s">
        <v>5907</v>
      </c>
      <c r="K1394" s="61" t="s">
        <v>4779</v>
      </c>
      <c r="L1394" s="12" t="str">
        <f t="shared" si="63"/>
        <v>2,2,2</v>
      </c>
    </row>
    <row r="1395" spans="2:12">
      <c r="B1395" s="17">
        <v>1694</v>
      </c>
      <c r="C1395" s="17">
        <v>2</v>
      </c>
      <c r="D1395" s="17">
        <f t="shared" si="65"/>
        <v>0</v>
      </c>
      <c r="E1395" s="17">
        <f t="shared" si="64"/>
        <v>1612</v>
      </c>
      <c r="F1395" s="17" t="s">
        <v>4813</v>
      </c>
      <c r="G1395" s="17">
        <f>MATCH(E1395,Arenas!$F$8:$F$15)</f>
        <v>5</v>
      </c>
      <c r="H1395" s="29" t="s">
        <v>2765</v>
      </c>
      <c r="I1395" s="33" t="s">
        <v>7843</v>
      </c>
      <c r="J1395" s="47" t="s">
        <v>5544</v>
      </c>
      <c r="K1395" s="61" t="s">
        <v>4779</v>
      </c>
      <c r="L1395" s="12" t="str">
        <f t="shared" si="63"/>
        <v>2,2,2</v>
      </c>
    </row>
    <row r="1396" spans="2:12">
      <c r="B1396" s="17">
        <v>1695</v>
      </c>
      <c r="C1396" s="17">
        <v>2</v>
      </c>
      <c r="D1396" s="17">
        <f t="shared" si="65"/>
        <v>0</v>
      </c>
      <c r="E1396" s="17">
        <f t="shared" si="64"/>
        <v>1612</v>
      </c>
      <c r="F1396" s="17" t="s">
        <v>4813</v>
      </c>
      <c r="G1396" s="17">
        <f>MATCH(E1396,Arenas!$F$8:$F$15)</f>
        <v>5</v>
      </c>
      <c r="H1396" s="29" t="s">
        <v>2766</v>
      </c>
      <c r="I1396" s="33" t="s">
        <v>7844</v>
      </c>
      <c r="J1396" s="47" t="s">
        <v>7845</v>
      </c>
      <c r="K1396" s="61" t="s">
        <v>4779</v>
      </c>
      <c r="L1396" s="12" t="str">
        <f t="shared" si="63"/>
        <v>2,2,2</v>
      </c>
    </row>
    <row r="1397" spans="2:12">
      <c r="B1397" s="17">
        <v>1696</v>
      </c>
      <c r="C1397" s="17">
        <v>2</v>
      </c>
      <c r="D1397" s="17">
        <f t="shared" si="65"/>
        <v>1</v>
      </c>
      <c r="E1397" s="17">
        <f t="shared" si="64"/>
        <v>1613</v>
      </c>
      <c r="F1397" s="17" t="s">
        <v>4813</v>
      </c>
      <c r="G1397" s="17">
        <f>MATCH(E1397,Arenas!$F$8:$F$15)</f>
        <v>5</v>
      </c>
      <c r="H1397" s="29" t="s">
        <v>2767</v>
      </c>
      <c r="I1397" s="33" t="s">
        <v>7846</v>
      </c>
      <c r="J1397" s="47" t="s">
        <v>7847</v>
      </c>
      <c r="K1397" s="61" t="s">
        <v>4779</v>
      </c>
      <c r="L1397" s="12" t="str">
        <f t="shared" si="63"/>
        <v>2,2,2</v>
      </c>
    </row>
    <row r="1398" spans="2:12">
      <c r="B1398" s="17">
        <v>1697</v>
      </c>
      <c r="C1398" s="17">
        <v>2</v>
      </c>
      <c r="D1398" s="17">
        <f t="shared" si="65"/>
        <v>0</v>
      </c>
      <c r="E1398" s="17">
        <f t="shared" si="64"/>
        <v>1613</v>
      </c>
      <c r="F1398" s="17" t="s">
        <v>4813</v>
      </c>
      <c r="G1398" s="17">
        <f>MATCH(E1398,Arenas!$F$8:$F$15)</f>
        <v>5</v>
      </c>
      <c r="H1398" s="29" t="s">
        <v>2768</v>
      </c>
      <c r="I1398" s="33" t="s">
        <v>7848</v>
      </c>
      <c r="J1398" s="47" t="s">
        <v>7849</v>
      </c>
      <c r="K1398" s="61" t="s">
        <v>4779</v>
      </c>
      <c r="L1398" s="12" t="str">
        <f t="shared" si="63"/>
        <v>2,2,2</v>
      </c>
    </row>
    <row r="1399" spans="2:12">
      <c r="B1399" s="17">
        <v>1698</v>
      </c>
      <c r="C1399" s="17">
        <v>2</v>
      </c>
      <c r="D1399" s="17">
        <f t="shared" si="65"/>
        <v>0</v>
      </c>
      <c r="E1399" s="17">
        <f t="shared" si="64"/>
        <v>1613</v>
      </c>
      <c r="F1399" s="17" t="s">
        <v>4813</v>
      </c>
      <c r="G1399" s="17">
        <f>MATCH(E1399,Arenas!$F$8:$F$15)</f>
        <v>5</v>
      </c>
      <c r="H1399" s="29" t="s">
        <v>2769</v>
      </c>
      <c r="I1399" s="33" t="s">
        <v>7850</v>
      </c>
      <c r="J1399" s="47" t="s">
        <v>7851</v>
      </c>
      <c r="K1399" s="61" t="s">
        <v>4779</v>
      </c>
      <c r="L1399" s="12" t="str">
        <f t="shared" si="63"/>
        <v>2,2,2</v>
      </c>
    </row>
    <row r="1400" spans="2:12">
      <c r="B1400" s="17">
        <v>1699</v>
      </c>
      <c r="C1400" s="17">
        <v>2</v>
      </c>
      <c r="D1400" s="17">
        <f t="shared" si="65"/>
        <v>1</v>
      </c>
      <c r="E1400" s="17">
        <f t="shared" si="64"/>
        <v>1614</v>
      </c>
      <c r="F1400" s="17" t="s">
        <v>4813</v>
      </c>
      <c r="G1400" s="17">
        <f>MATCH(E1400,Arenas!$F$8:$F$15)</f>
        <v>5</v>
      </c>
      <c r="H1400" s="29" t="s">
        <v>2770</v>
      </c>
      <c r="I1400" s="33" t="s">
        <v>7852</v>
      </c>
      <c r="J1400" s="47" t="s">
        <v>5535</v>
      </c>
      <c r="K1400" s="61" t="s">
        <v>4779</v>
      </c>
      <c r="L1400" s="12" t="str">
        <f t="shared" si="63"/>
        <v>2,2,2</v>
      </c>
    </row>
    <row r="1401" spans="2:12">
      <c r="B1401" s="17">
        <v>1700</v>
      </c>
      <c r="C1401" s="17">
        <v>2</v>
      </c>
      <c r="D1401" s="17">
        <f t="shared" si="65"/>
        <v>0</v>
      </c>
      <c r="E1401" s="17">
        <f t="shared" si="64"/>
        <v>1614</v>
      </c>
      <c r="F1401" s="17" t="s">
        <v>4813</v>
      </c>
      <c r="G1401" s="17">
        <f>MATCH(E1401,Arenas!$F$8:$F$15)</f>
        <v>5</v>
      </c>
      <c r="H1401" s="29" t="s">
        <v>2771</v>
      </c>
      <c r="I1401" s="33" t="s">
        <v>7853</v>
      </c>
      <c r="J1401" s="47" t="s">
        <v>5749</v>
      </c>
      <c r="K1401" s="61" t="s">
        <v>4779</v>
      </c>
      <c r="L1401" s="12" t="str">
        <f t="shared" si="63"/>
        <v>2,2,2</v>
      </c>
    </row>
    <row r="1402" spans="2:12">
      <c r="B1402" s="17">
        <v>1701</v>
      </c>
      <c r="C1402" s="17">
        <v>2</v>
      </c>
      <c r="D1402" s="17">
        <f t="shared" si="65"/>
        <v>0</v>
      </c>
      <c r="E1402" s="17">
        <f t="shared" si="64"/>
        <v>1614</v>
      </c>
      <c r="F1402" s="17" t="s">
        <v>4813</v>
      </c>
      <c r="G1402" s="17">
        <f>MATCH(E1402,Arenas!$F$8:$F$15)</f>
        <v>5</v>
      </c>
      <c r="H1402" s="29" t="s">
        <v>2772</v>
      </c>
      <c r="I1402" s="33" t="s">
        <v>7854</v>
      </c>
      <c r="J1402" s="47" t="s">
        <v>7855</v>
      </c>
      <c r="K1402" s="61" t="s">
        <v>4779</v>
      </c>
      <c r="L1402" s="12" t="str">
        <f t="shared" si="63"/>
        <v>2,2,2</v>
      </c>
    </row>
    <row r="1403" spans="2:12">
      <c r="B1403" s="17">
        <v>1702</v>
      </c>
      <c r="C1403" s="17">
        <v>2</v>
      </c>
      <c r="D1403" s="17">
        <f t="shared" si="65"/>
        <v>1</v>
      </c>
      <c r="E1403" s="17">
        <f t="shared" si="64"/>
        <v>1615</v>
      </c>
      <c r="F1403" s="17" t="s">
        <v>4813</v>
      </c>
      <c r="G1403" s="17">
        <f>MATCH(E1403,Arenas!$F$8:$F$15)</f>
        <v>5</v>
      </c>
      <c r="H1403" s="29" t="s">
        <v>2773</v>
      </c>
      <c r="I1403" s="33" t="s">
        <v>7856</v>
      </c>
      <c r="J1403" s="47" t="s">
        <v>5560</v>
      </c>
      <c r="K1403" s="61" t="s">
        <v>4779</v>
      </c>
      <c r="L1403" s="12" t="str">
        <f t="shared" si="63"/>
        <v>2,2,2</v>
      </c>
    </row>
    <row r="1404" spans="2:12">
      <c r="B1404" s="17">
        <v>1703</v>
      </c>
      <c r="C1404" s="17">
        <v>2</v>
      </c>
      <c r="D1404" s="17">
        <f t="shared" si="65"/>
        <v>0</v>
      </c>
      <c r="E1404" s="17">
        <f t="shared" si="64"/>
        <v>1615</v>
      </c>
      <c r="F1404" s="17" t="s">
        <v>4813</v>
      </c>
      <c r="G1404" s="17">
        <f>MATCH(E1404,Arenas!$F$8:$F$15)</f>
        <v>5</v>
      </c>
      <c r="H1404" s="29" t="s">
        <v>2774</v>
      </c>
      <c r="I1404" s="33" t="s">
        <v>7857</v>
      </c>
      <c r="J1404" s="47" t="s">
        <v>5366</v>
      </c>
      <c r="K1404" s="61" t="s">
        <v>4779</v>
      </c>
      <c r="L1404" s="12" t="str">
        <f t="shared" si="63"/>
        <v>2,2,2</v>
      </c>
    </row>
    <row r="1405" spans="2:12">
      <c r="B1405" s="17">
        <v>1704</v>
      </c>
      <c r="C1405" s="17">
        <v>2</v>
      </c>
      <c r="D1405" s="17">
        <f t="shared" si="65"/>
        <v>0</v>
      </c>
      <c r="E1405" s="17">
        <f t="shared" si="64"/>
        <v>1615</v>
      </c>
      <c r="F1405" s="17" t="s">
        <v>4813</v>
      </c>
      <c r="G1405" s="17">
        <f>MATCH(E1405,Arenas!$F$8:$F$15)</f>
        <v>5</v>
      </c>
      <c r="H1405" s="29" t="s">
        <v>2775</v>
      </c>
      <c r="I1405" s="33" t="s">
        <v>7858</v>
      </c>
      <c r="J1405" s="47" t="s">
        <v>7859</v>
      </c>
      <c r="K1405" s="61" t="s">
        <v>4779</v>
      </c>
      <c r="L1405" s="12" t="str">
        <f t="shared" si="63"/>
        <v>2,2,2</v>
      </c>
    </row>
    <row r="1406" spans="2:12">
      <c r="B1406" s="17">
        <v>1705</v>
      </c>
      <c r="C1406" s="17">
        <v>2</v>
      </c>
      <c r="D1406" s="17">
        <f t="shared" si="65"/>
        <v>1</v>
      </c>
      <c r="E1406" s="17">
        <f t="shared" si="64"/>
        <v>1616</v>
      </c>
      <c r="F1406" s="17" t="s">
        <v>4813</v>
      </c>
      <c r="G1406" s="17">
        <f>MATCH(E1406,Arenas!$F$8:$F$15)</f>
        <v>5</v>
      </c>
      <c r="H1406" s="29" t="s">
        <v>2776</v>
      </c>
      <c r="I1406" s="33" t="s">
        <v>7860</v>
      </c>
      <c r="J1406" s="47" t="s">
        <v>7861</v>
      </c>
      <c r="K1406" s="61" t="s">
        <v>4779</v>
      </c>
      <c r="L1406" s="12" t="str">
        <f t="shared" si="63"/>
        <v>2,2,2</v>
      </c>
    </row>
    <row r="1407" spans="2:12">
      <c r="B1407" s="17">
        <v>1706</v>
      </c>
      <c r="C1407" s="17">
        <v>2</v>
      </c>
      <c r="D1407" s="17">
        <f t="shared" si="65"/>
        <v>0</v>
      </c>
      <c r="E1407" s="17">
        <f t="shared" si="64"/>
        <v>1616</v>
      </c>
      <c r="F1407" s="17" t="s">
        <v>4813</v>
      </c>
      <c r="G1407" s="17">
        <f>MATCH(E1407,Arenas!$F$8:$F$15)</f>
        <v>5</v>
      </c>
      <c r="H1407" s="29" t="s">
        <v>2777</v>
      </c>
      <c r="I1407" s="33" t="s">
        <v>7862</v>
      </c>
      <c r="J1407" s="47" t="s">
        <v>7863</v>
      </c>
      <c r="K1407" s="61" t="s">
        <v>4810</v>
      </c>
      <c r="L1407" s="12" t="str">
        <f t="shared" si="63"/>
        <v>2,2,2</v>
      </c>
    </row>
    <row r="1408" spans="2:12">
      <c r="B1408" s="17">
        <v>1707</v>
      </c>
      <c r="C1408" s="17">
        <v>2</v>
      </c>
      <c r="D1408" s="17">
        <f t="shared" si="65"/>
        <v>0</v>
      </c>
      <c r="E1408" s="17">
        <f t="shared" si="64"/>
        <v>1616</v>
      </c>
      <c r="F1408" s="17" t="s">
        <v>4813</v>
      </c>
      <c r="G1408" s="17">
        <f>MATCH(E1408,Arenas!$F$8:$F$15)</f>
        <v>5</v>
      </c>
      <c r="H1408" s="29" t="s">
        <v>2778</v>
      </c>
      <c r="I1408" s="33" t="s">
        <v>7864</v>
      </c>
      <c r="J1408" s="47" t="s">
        <v>5106</v>
      </c>
      <c r="K1408" s="61" t="s">
        <v>4779</v>
      </c>
      <c r="L1408" s="12" t="str">
        <f t="shared" si="63"/>
        <v>2,2,2</v>
      </c>
    </row>
    <row r="1409" spans="2:12">
      <c r="B1409" s="17">
        <v>1708</v>
      </c>
      <c r="C1409" s="17">
        <v>2</v>
      </c>
      <c r="D1409" s="17">
        <f t="shared" si="65"/>
        <v>1</v>
      </c>
      <c r="E1409" s="17">
        <f t="shared" si="64"/>
        <v>1617</v>
      </c>
      <c r="F1409" s="17" t="s">
        <v>4813</v>
      </c>
      <c r="G1409" s="17">
        <f>MATCH(E1409,Arenas!$F$8:$F$15)</f>
        <v>5</v>
      </c>
      <c r="H1409" s="29" t="s">
        <v>2779</v>
      </c>
      <c r="I1409" s="33" t="s">
        <v>7865</v>
      </c>
      <c r="J1409" s="47" t="s">
        <v>5747</v>
      </c>
      <c r="K1409" s="61" t="s">
        <v>4779</v>
      </c>
      <c r="L1409" s="12" t="str">
        <f t="shared" si="63"/>
        <v>2,2,2</v>
      </c>
    </row>
    <row r="1410" spans="2:12">
      <c r="B1410" s="17">
        <v>1709</v>
      </c>
      <c r="C1410" s="17">
        <v>2</v>
      </c>
      <c r="D1410" s="17">
        <f t="shared" si="65"/>
        <v>0</v>
      </c>
      <c r="E1410" s="17">
        <f t="shared" si="64"/>
        <v>1617</v>
      </c>
      <c r="F1410" s="17" t="s">
        <v>4813</v>
      </c>
      <c r="G1410" s="17">
        <f>MATCH(E1410,Arenas!$F$8:$F$15)</f>
        <v>5</v>
      </c>
      <c r="H1410" s="29" t="s">
        <v>2780</v>
      </c>
      <c r="I1410" s="33" t="s">
        <v>7866</v>
      </c>
      <c r="J1410" s="47" t="s">
        <v>5743</v>
      </c>
      <c r="K1410" s="61" t="s">
        <v>4779</v>
      </c>
      <c r="L1410" s="12" t="str">
        <f t="shared" ref="L1410:L1473" si="66">C1410&amp;","&amp;C1410&amp;","&amp;C1410</f>
        <v>2,2,2</v>
      </c>
    </row>
    <row r="1411" spans="2:12">
      <c r="B1411" s="17">
        <v>1710</v>
      </c>
      <c r="C1411" s="17">
        <v>2</v>
      </c>
      <c r="D1411" s="17">
        <f t="shared" si="65"/>
        <v>0</v>
      </c>
      <c r="E1411" s="17">
        <f t="shared" ref="E1411:E1474" si="67">D1411+E1410</f>
        <v>1617</v>
      </c>
      <c r="F1411" s="17" t="s">
        <v>4813</v>
      </c>
      <c r="G1411" s="17">
        <f>MATCH(E1411,Arenas!$F$8:$F$15)</f>
        <v>5</v>
      </c>
      <c r="H1411" s="29" t="s">
        <v>2781</v>
      </c>
      <c r="I1411" s="33" t="s">
        <v>7867</v>
      </c>
      <c r="J1411" s="47" t="s">
        <v>4667</v>
      </c>
      <c r="K1411" s="61" t="s">
        <v>4806</v>
      </c>
      <c r="L1411" s="12" t="str">
        <f t="shared" si="66"/>
        <v>2,2,2</v>
      </c>
    </row>
    <row r="1412" spans="2:12">
      <c r="B1412" s="17">
        <v>1711</v>
      </c>
      <c r="C1412" s="17">
        <v>2</v>
      </c>
      <c r="D1412" s="17">
        <f t="shared" si="65"/>
        <v>1</v>
      </c>
      <c r="E1412" s="17">
        <f t="shared" si="67"/>
        <v>1618</v>
      </c>
      <c r="F1412" s="17" t="s">
        <v>4813</v>
      </c>
      <c r="G1412" s="17">
        <f>MATCH(E1412,Arenas!$F$8:$F$15)</f>
        <v>5</v>
      </c>
      <c r="H1412" s="29" t="s">
        <v>2782</v>
      </c>
      <c r="I1412" s="33" t="s">
        <v>7868</v>
      </c>
      <c r="J1412" s="47" t="s">
        <v>7869</v>
      </c>
      <c r="K1412" s="61" t="s">
        <v>4779</v>
      </c>
      <c r="L1412" s="12" t="str">
        <f t="shared" si="66"/>
        <v>2,2,2</v>
      </c>
    </row>
    <row r="1413" spans="2:12">
      <c r="B1413" s="17">
        <v>1712</v>
      </c>
      <c r="C1413" s="17">
        <v>2</v>
      </c>
      <c r="D1413" s="17">
        <f t="shared" ref="D1413:D1476" si="68">D1410</f>
        <v>0</v>
      </c>
      <c r="E1413" s="17">
        <f t="shared" si="67"/>
        <v>1618</v>
      </c>
      <c r="F1413" s="17" t="s">
        <v>4813</v>
      </c>
      <c r="G1413" s="17">
        <f>MATCH(E1413,Arenas!$F$8:$F$15)</f>
        <v>5</v>
      </c>
      <c r="H1413" s="29" t="s">
        <v>2783</v>
      </c>
      <c r="I1413" s="33" t="s">
        <v>7870</v>
      </c>
      <c r="J1413" s="47" t="s">
        <v>7552</v>
      </c>
      <c r="K1413" s="61" t="s">
        <v>4779</v>
      </c>
      <c r="L1413" s="12" t="str">
        <f t="shared" si="66"/>
        <v>2,2,2</v>
      </c>
    </row>
    <row r="1414" spans="2:12">
      <c r="B1414" s="17">
        <v>1713</v>
      </c>
      <c r="C1414" s="17">
        <v>2</v>
      </c>
      <c r="D1414" s="17">
        <f t="shared" si="68"/>
        <v>0</v>
      </c>
      <c r="E1414" s="17">
        <f t="shared" si="67"/>
        <v>1618</v>
      </c>
      <c r="F1414" s="17" t="s">
        <v>4813</v>
      </c>
      <c r="G1414" s="17">
        <f>MATCH(E1414,Arenas!$F$8:$F$15)</f>
        <v>5</v>
      </c>
      <c r="H1414" s="29" t="s">
        <v>2784</v>
      </c>
      <c r="I1414" s="33" t="s">
        <v>7871</v>
      </c>
      <c r="J1414" s="47" t="s">
        <v>7872</v>
      </c>
      <c r="K1414" s="61" t="s">
        <v>4779</v>
      </c>
      <c r="L1414" s="12" t="str">
        <f t="shared" si="66"/>
        <v>2,2,2</v>
      </c>
    </row>
    <row r="1415" spans="2:12">
      <c r="B1415" s="17">
        <v>1714</v>
      </c>
      <c r="C1415" s="17">
        <v>2</v>
      </c>
      <c r="D1415" s="17">
        <f t="shared" si="68"/>
        <v>1</v>
      </c>
      <c r="E1415" s="17">
        <f t="shared" si="67"/>
        <v>1619</v>
      </c>
      <c r="F1415" s="17" t="s">
        <v>4813</v>
      </c>
      <c r="G1415" s="17">
        <f>MATCH(E1415,Arenas!$F$8:$F$15)</f>
        <v>5</v>
      </c>
      <c r="H1415" s="29" t="s">
        <v>2785</v>
      </c>
      <c r="I1415" s="33" t="s">
        <v>7873</v>
      </c>
      <c r="J1415" s="47" t="s">
        <v>5474</v>
      </c>
      <c r="K1415" s="61" t="s">
        <v>4779</v>
      </c>
      <c r="L1415" s="12" t="str">
        <f t="shared" si="66"/>
        <v>2,2,2</v>
      </c>
    </row>
    <row r="1416" spans="2:12">
      <c r="B1416" s="17">
        <v>1715</v>
      </c>
      <c r="C1416" s="17">
        <v>2</v>
      </c>
      <c r="D1416" s="17">
        <f t="shared" si="68"/>
        <v>0</v>
      </c>
      <c r="E1416" s="17">
        <f t="shared" si="67"/>
        <v>1619</v>
      </c>
      <c r="F1416" s="17" t="s">
        <v>4813</v>
      </c>
      <c r="G1416" s="17">
        <f>MATCH(E1416,Arenas!$F$8:$F$15)</f>
        <v>5</v>
      </c>
      <c r="H1416" s="29" t="s">
        <v>2786</v>
      </c>
      <c r="I1416" s="33" t="s">
        <v>7874</v>
      </c>
      <c r="J1416" s="47" t="s">
        <v>5689</v>
      </c>
      <c r="K1416" s="61" t="s">
        <v>4779</v>
      </c>
      <c r="L1416" s="12" t="str">
        <f t="shared" si="66"/>
        <v>2,2,2</v>
      </c>
    </row>
    <row r="1417" spans="2:12">
      <c r="B1417" s="17">
        <v>1716</v>
      </c>
      <c r="C1417" s="17">
        <v>2</v>
      </c>
      <c r="D1417" s="17">
        <f t="shared" si="68"/>
        <v>0</v>
      </c>
      <c r="E1417" s="17">
        <f t="shared" si="67"/>
        <v>1619</v>
      </c>
      <c r="F1417" s="17" t="s">
        <v>4813</v>
      </c>
      <c r="G1417" s="17">
        <f>MATCH(E1417,Arenas!$F$8:$F$15)</f>
        <v>5</v>
      </c>
      <c r="H1417" s="29" t="s">
        <v>2787</v>
      </c>
      <c r="I1417" s="33" t="s">
        <v>7875</v>
      </c>
      <c r="J1417" s="47" t="s">
        <v>7876</v>
      </c>
      <c r="K1417" s="61" t="s">
        <v>4806</v>
      </c>
      <c r="L1417" s="12" t="str">
        <f t="shared" si="66"/>
        <v>2,2,2</v>
      </c>
    </row>
    <row r="1418" spans="2:12">
      <c r="B1418" s="17">
        <v>1717</v>
      </c>
      <c r="C1418" s="17">
        <v>2</v>
      </c>
      <c r="D1418" s="17">
        <f t="shared" si="68"/>
        <v>1</v>
      </c>
      <c r="E1418" s="17">
        <f t="shared" si="67"/>
        <v>1620</v>
      </c>
      <c r="F1418" s="17" t="s">
        <v>4813</v>
      </c>
      <c r="G1418" s="17">
        <f>MATCH(E1418,Arenas!$F$8:$F$15)</f>
        <v>5</v>
      </c>
      <c r="H1418" s="29" t="s">
        <v>2788</v>
      </c>
      <c r="I1418" s="33" t="s">
        <v>7877</v>
      </c>
      <c r="J1418" s="47" t="s">
        <v>7878</v>
      </c>
      <c r="K1418" s="61" t="s">
        <v>4779</v>
      </c>
      <c r="L1418" s="12" t="str">
        <f t="shared" si="66"/>
        <v>2,2,2</v>
      </c>
    </row>
    <row r="1419" spans="2:12">
      <c r="B1419" s="17">
        <v>1718</v>
      </c>
      <c r="C1419" s="17">
        <v>2</v>
      </c>
      <c r="D1419" s="17">
        <f t="shared" si="68"/>
        <v>0</v>
      </c>
      <c r="E1419" s="17">
        <f t="shared" si="67"/>
        <v>1620</v>
      </c>
      <c r="F1419" s="17" t="s">
        <v>4813</v>
      </c>
      <c r="G1419" s="17">
        <f>MATCH(E1419,Arenas!$F$8:$F$15)</f>
        <v>5</v>
      </c>
      <c r="H1419" s="29" t="s">
        <v>2789</v>
      </c>
      <c r="I1419" s="33" t="s">
        <v>7879</v>
      </c>
      <c r="J1419" s="47" t="s">
        <v>7880</v>
      </c>
      <c r="K1419" s="61" t="s">
        <v>4779</v>
      </c>
      <c r="L1419" s="12" t="str">
        <f t="shared" si="66"/>
        <v>2,2,2</v>
      </c>
    </row>
    <row r="1420" spans="2:12">
      <c r="B1420" s="17">
        <v>1719</v>
      </c>
      <c r="C1420" s="17">
        <v>2</v>
      </c>
      <c r="D1420" s="17">
        <f t="shared" si="68"/>
        <v>0</v>
      </c>
      <c r="E1420" s="17">
        <f t="shared" si="67"/>
        <v>1620</v>
      </c>
      <c r="F1420" s="17" t="s">
        <v>4813</v>
      </c>
      <c r="G1420" s="17">
        <f>MATCH(E1420,Arenas!$F$8:$F$15)</f>
        <v>5</v>
      </c>
      <c r="H1420" s="29" t="s">
        <v>2790</v>
      </c>
      <c r="I1420" s="33" t="s">
        <v>7881</v>
      </c>
      <c r="J1420" s="47" t="s">
        <v>7882</v>
      </c>
      <c r="K1420" s="61" t="s">
        <v>4779</v>
      </c>
      <c r="L1420" s="12" t="str">
        <f t="shared" si="66"/>
        <v>2,2,2</v>
      </c>
    </row>
    <row r="1421" spans="2:12">
      <c r="B1421" s="17">
        <v>1720</v>
      </c>
      <c r="C1421" s="17">
        <v>2</v>
      </c>
      <c r="D1421" s="17">
        <f t="shared" si="68"/>
        <v>1</v>
      </c>
      <c r="E1421" s="17">
        <f t="shared" si="67"/>
        <v>1621</v>
      </c>
      <c r="F1421" s="17" t="s">
        <v>4813</v>
      </c>
      <c r="G1421" s="17">
        <f>MATCH(E1421,Arenas!$F$8:$F$15)</f>
        <v>5</v>
      </c>
      <c r="H1421" s="29" t="s">
        <v>2791</v>
      </c>
      <c r="I1421" s="33" t="s">
        <v>7883</v>
      </c>
      <c r="J1421" s="47" t="s">
        <v>7884</v>
      </c>
      <c r="K1421" s="61" t="s">
        <v>4779</v>
      </c>
      <c r="L1421" s="12" t="str">
        <f t="shared" si="66"/>
        <v>2,2,2</v>
      </c>
    </row>
    <row r="1422" spans="2:12">
      <c r="B1422" s="17">
        <v>1721</v>
      </c>
      <c r="C1422" s="17">
        <v>2</v>
      </c>
      <c r="D1422" s="17">
        <f t="shared" si="68"/>
        <v>0</v>
      </c>
      <c r="E1422" s="17">
        <f t="shared" si="67"/>
        <v>1621</v>
      </c>
      <c r="F1422" s="17" t="s">
        <v>4813</v>
      </c>
      <c r="G1422" s="17">
        <f>MATCH(E1422,Arenas!$F$8:$F$15)</f>
        <v>5</v>
      </c>
      <c r="H1422" s="29" t="s">
        <v>2792</v>
      </c>
      <c r="I1422" s="33" t="s">
        <v>7885</v>
      </c>
      <c r="J1422" s="47" t="s">
        <v>7886</v>
      </c>
      <c r="K1422" s="61" t="s">
        <v>4779</v>
      </c>
      <c r="L1422" s="12" t="str">
        <f t="shared" si="66"/>
        <v>2,2,2</v>
      </c>
    </row>
    <row r="1423" spans="2:12">
      <c r="B1423" s="17">
        <v>1722</v>
      </c>
      <c r="C1423" s="17">
        <v>2</v>
      </c>
      <c r="D1423" s="17">
        <f t="shared" si="68"/>
        <v>0</v>
      </c>
      <c r="E1423" s="17">
        <f t="shared" si="67"/>
        <v>1621</v>
      </c>
      <c r="F1423" s="17" t="s">
        <v>4813</v>
      </c>
      <c r="G1423" s="17">
        <f>MATCH(E1423,Arenas!$F$8:$F$15)</f>
        <v>5</v>
      </c>
      <c r="H1423" s="29" t="s">
        <v>2793</v>
      </c>
      <c r="I1423" s="33" t="s">
        <v>7887</v>
      </c>
      <c r="J1423" s="47" t="s">
        <v>7888</v>
      </c>
      <c r="K1423" s="61" t="s">
        <v>4779</v>
      </c>
      <c r="L1423" s="12" t="str">
        <f t="shared" si="66"/>
        <v>2,2,2</v>
      </c>
    </row>
    <row r="1424" spans="2:12">
      <c r="B1424" s="17">
        <v>1723</v>
      </c>
      <c r="C1424" s="17">
        <v>2</v>
      </c>
      <c r="D1424" s="17">
        <f t="shared" si="68"/>
        <v>1</v>
      </c>
      <c r="E1424" s="17">
        <f t="shared" si="67"/>
        <v>1622</v>
      </c>
      <c r="F1424" s="17" t="s">
        <v>4813</v>
      </c>
      <c r="G1424" s="17">
        <f>MATCH(E1424,Arenas!$F$8:$F$15)</f>
        <v>5</v>
      </c>
      <c r="H1424" s="29" t="s">
        <v>2794</v>
      </c>
      <c r="I1424" s="33" t="s">
        <v>7889</v>
      </c>
      <c r="J1424" s="47" t="s">
        <v>7890</v>
      </c>
      <c r="K1424" s="61" t="s">
        <v>4779</v>
      </c>
      <c r="L1424" s="12" t="str">
        <f t="shared" si="66"/>
        <v>2,2,2</v>
      </c>
    </row>
    <row r="1425" spans="2:12">
      <c r="B1425" s="17">
        <v>1724</v>
      </c>
      <c r="C1425" s="17">
        <v>2</v>
      </c>
      <c r="D1425" s="17">
        <f t="shared" si="68"/>
        <v>0</v>
      </c>
      <c r="E1425" s="17">
        <f t="shared" si="67"/>
        <v>1622</v>
      </c>
      <c r="F1425" s="17" t="s">
        <v>4813</v>
      </c>
      <c r="G1425" s="17">
        <f>MATCH(E1425,Arenas!$F$8:$F$15)</f>
        <v>5</v>
      </c>
      <c r="H1425" s="29" t="s">
        <v>2795</v>
      </c>
      <c r="I1425" s="33" t="s">
        <v>7891</v>
      </c>
      <c r="J1425" s="47" t="s">
        <v>5863</v>
      </c>
      <c r="K1425" s="61" t="s">
        <v>4779</v>
      </c>
      <c r="L1425" s="12" t="str">
        <f t="shared" si="66"/>
        <v>2,2,2</v>
      </c>
    </row>
    <row r="1426" spans="2:12">
      <c r="B1426" s="17">
        <v>1725</v>
      </c>
      <c r="C1426" s="17">
        <v>2</v>
      </c>
      <c r="D1426" s="17">
        <f t="shared" si="68"/>
        <v>0</v>
      </c>
      <c r="E1426" s="17">
        <f t="shared" si="67"/>
        <v>1622</v>
      </c>
      <c r="F1426" s="17" t="s">
        <v>4813</v>
      </c>
      <c r="G1426" s="17">
        <f>MATCH(E1426,Arenas!$F$8:$F$15)</f>
        <v>5</v>
      </c>
      <c r="H1426" s="29" t="s">
        <v>2796</v>
      </c>
      <c r="I1426" s="33" t="s">
        <v>7892</v>
      </c>
      <c r="J1426" s="47" t="s">
        <v>5605</v>
      </c>
      <c r="K1426" s="61" t="s">
        <v>4779</v>
      </c>
      <c r="L1426" s="12" t="str">
        <f t="shared" si="66"/>
        <v>2,2,2</v>
      </c>
    </row>
    <row r="1427" spans="2:12">
      <c r="B1427" s="17">
        <v>1726</v>
      </c>
      <c r="C1427" s="17">
        <v>2</v>
      </c>
      <c r="D1427" s="17">
        <f t="shared" si="68"/>
        <v>1</v>
      </c>
      <c r="E1427" s="17">
        <f t="shared" si="67"/>
        <v>1623</v>
      </c>
      <c r="F1427" s="17" t="s">
        <v>4813</v>
      </c>
      <c r="G1427" s="17">
        <f>MATCH(E1427,Arenas!$F$8:$F$15)</f>
        <v>5</v>
      </c>
      <c r="H1427" s="29" t="s">
        <v>2797</v>
      </c>
      <c r="I1427" s="33" t="s">
        <v>7893</v>
      </c>
      <c r="J1427" s="47" t="s">
        <v>7894</v>
      </c>
      <c r="K1427" s="61" t="s">
        <v>4779</v>
      </c>
      <c r="L1427" s="12" t="str">
        <f t="shared" si="66"/>
        <v>2,2,2</v>
      </c>
    </row>
    <row r="1428" spans="2:12">
      <c r="B1428" s="17">
        <v>1727</v>
      </c>
      <c r="C1428" s="17">
        <v>2</v>
      </c>
      <c r="D1428" s="17">
        <f t="shared" si="68"/>
        <v>0</v>
      </c>
      <c r="E1428" s="17">
        <f t="shared" si="67"/>
        <v>1623</v>
      </c>
      <c r="F1428" s="17" t="s">
        <v>4813</v>
      </c>
      <c r="G1428" s="17">
        <f>MATCH(E1428,Arenas!$F$8:$F$15)</f>
        <v>5</v>
      </c>
      <c r="H1428" s="29" t="s">
        <v>2798</v>
      </c>
      <c r="I1428" s="33" t="s">
        <v>7895</v>
      </c>
      <c r="J1428" s="47" t="s">
        <v>5314</v>
      </c>
      <c r="K1428" s="61" t="s">
        <v>4779</v>
      </c>
      <c r="L1428" s="12" t="str">
        <f t="shared" si="66"/>
        <v>2,2,2</v>
      </c>
    </row>
    <row r="1429" spans="2:12">
      <c r="B1429" s="17">
        <v>1728</v>
      </c>
      <c r="C1429" s="17">
        <v>2</v>
      </c>
      <c r="D1429" s="17">
        <f t="shared" si="68"/>
        <v>0</v>
      </c>
      <c r="E1429" s="17">
        <f t="shared" si="67"/>
        <v>1623</v>
      </c>
      <c r="F1429" s="17" t="s">
        <v>4813</v>
      </c>
      <c r="G1429" s="17">
        <f>MATCH(E1429,Arenas!$F$8:$F$15)</f>
        <v>5</v>
      </c>
      <c r="H1429" s="29" t="s">
        <v>2799</v>
      </c>
      <c r="I1429" s="33" t="s">
        <v>7896</v>
      </c>
      <c r="J1429" s="47" t="s">
        <v>5534</v>
      </c>
      <c r="K1429" s="61" t="s">
        <v>4779</v>
      </c>
      <c r="L1429" s="12" t="str">
        <f t="shared" si="66"/>
        <v>2,2,2</v>
      </c>
    </row>
    <row r="1430" spans="2:12">
      <c r="B1430" s="17">
        <v>1729</v>
      </c>
      <c r="C1430" s="17">
        <v>2</v>
      </c>
      <c r="D1430" s="17">
        <f t="shared" si="68"/>
        <v>1</v>
      </c>
      <c r="E1430" s="17">
        <f t="shared" si="67"/>
        <v>1624</v>
      </c>
      <c r="F1430" s="17" t="s">
        <v>4813</v>
      </c>
      <c r="G1430" s="17">
        <f>MATCH(E1430,Arenas!$F$8:$F$15)</f>
        <v>5</v>
      </c>
      <c r="H1430" s="29" t="s">
        <v>2800</v>
      </c>
      <c r="I1430" s="33" t="s">
        <v>7897</v>
      </c>
      <c r="J1430" s="47" t="s">
        <v>5031</v>
      </c>
      <c r="K1430" s="61" t="s">
        <v>4779</v>
      </c>
      <c r="L1430" s="12" t="str">
        <f t="shared" si="66"/>
        <v>2,2,2</v>
      </c>
    </row>
    <row r="1431" spans="2:12">
      <c r="B1431" s="17">
        <v>1730</v>
      </c>
      <c r="C1431" s="17">
        <v>2</v>
      </c>
      <c r="D1431" s="17">
        <f t="shared" si="68"/>
        <v>0</v>
      </c>
      <c r="E1431" s="17">
        <f t="shared" si="67"/>
        <v>1624</v>
      </c>
      <c r="F1431" s="17" t="s">
        <v>4813</v>
      </c>
      <c r="G1431" s="17">
        <f>MATCH(E1431,Arenas!$F$8:$F$15)</f>
        <v>5</v>
      </c>
      <c r="H1431" s="29" t="s">
        <v>2801</v>
      </c>
      <c r="I1431" s="33" t="s">
        <v>7898</v>
      </c>
      <c r="J1431" s="47" t="s">
        <v>5054</v>
      </c>
      <c r="K1431" s="61" t="s">
        <v>4779</v>
      </c>
      <c r="L1431" s="12" t="str">
        <f t="shared" si="66"/>
        <v>2,2,2</v>
      </c>
    </row>
    <row r="1432" spans="2:12">
      <c r="B1432" s="17">
        <v>1731</v>
      </c>
      <c r="C1432" s="17">
        <v>2</v>
      </c>
      <c r="D1432" s="17">
        <f t="shared" si="68"/>
        <v>0</v>
      </c>
      <c r="E1432" s="17">
        <f t="shared" si="67"/>
        <v>1624</v>
      </c>
      <c r="F1432" s="17" t="s">
        <v>4813</v>
      </c>
      <c r="G1432" s="17">
        <f>MATCH(E1432,Arenas!$F$8:$F$15)</f>
        <v>5</v>
      </c>
      <c r="H1432" s="29" t="s">
        <v>2802</v>
      </c>
      <c r="I1432" s="33" t="s">
        <v>7899</v>
      </c>
      <c r="J1432" s="47" t="s">
        <v>5725</v>
      </c>
      <c r="K1432" s="61" t="s">
        <v>4779</v>
      </c>
      <c r="L1432" s="12" t="str">
        <f t="shared" si="66"/>
        <v>2,2,2</v>
      </c>
    </row>
    <row r="1433" spans="2:12">
      <c r="B1433" s="17">
        <v>1732</v>
      </c>
      <c r="C1433" s="17">
        <v>2</v>
      </c>
      <c r="D1433" s="17">
        <f t="shared" si="68"/>
        <v>1</v>
      </c>
      <c r="E1433" s="17">
        <f t="shared" si="67"/>
        <v>1625</v>
      </c>
      <c r="F1433" s="17" t="s">
        <v>4813</v>
      </c>
      <c r="G1433" s="17">
        <f>MATCH(E1433,Arenas!$F$8:$F$15)</f>
        <v>5</v>
      </c>
      <c r="H1433" s="29" t="s">
        <v>2803</v>
      </c>
      <c r="I1433" s="33" t="s">
        <v>7900</v>
      </c>
      <c r="J1433" s="47" t="s">
        <v>7901</v>
      </c>
      <c r="K1433" s="61" t="s">
        <v>4779</v>
      </c>
      <c r="L1433" s="12" t="str">
        <f t="shared" si="66"/>
        <v>2,2,2</v>
      </c>
    </row>
    <row r="1434" spans="2:12">
      <c r="B1434" s="17">
        <v>1733</v>
      </c>
      <c r="C1434" s="17">
        <v>2</v>
      </c>
      <c r="D1434" s="17">
        <f t="shared" si="68"/>
        <v>0</v>
      </c>
      <c r="E1434" s="17">
        <f t="shared" si="67"/>
        <v>1625</v>
      </c>
      <c r="F1434" s="17" t="s">
        <v>4813</v>
      </c>
      <c r="G1434" s="17">
        <f>MATCH(E1434,Arenas!$F$8:$F$15)</f>
        <v>5</v>
      </c>
      <c r="H1434" s="29" t="s">
        <v>2804</v>
      </c>
      <c r="I1434" s="33" t="s">
        <v>7902</v>
      </c>
      <c r="J1434" s="47" t="s">
        <v>5375</v>
      </c>
      <c r="K1434" s="61" t="s">
        <v>4779</v>
      </c>
      <c r="L1434" s="12" t="str">
        <f t="shared" si="66"/>
        <v>2,2,2</v>
      </c>
    </row>
    <row r="1435" spans="2:12">
      <c r="B1435" s="17">
        <v>1734</v>
      </c>
      <c r="C1435" s="17">
        <v>2</v>
      </c>
      <c r="D1435" s="17">
        <f t="shared" si="68"/>
        <v>0</v>
      </c>
      <c r="E1435" s="17">
        <f t="shared" si="67"/>
        <v>1625</v>
      </c>
      <c r="F1435" s="17" t="s">
        <v>4813</v>
      </c>
      <c r="G1435" s="17">
        <f>MATCH(E1435,Arenas!$F$8:$F$15)</f>
        <v>5</v>
      </c>
      <c r="H1435" s="29" t="s">
        <v>2805</v>
      </c>
      <c r="I1435" s="33" t="s">
        <v>7903</v>
      </c>
      <c r="J1435" s="47" t="s">
        <v>5510</v>
      </c>
      <c r="K1435" s="61" t="s">
        <v>4779</v>
      </c>
      <c r="L1435" s="12" t="str">
        <f t="shared" si="66"/>
        <v>2,2,2</v>
      </c>
    </row>
    <row r="1436" spans="2:12">
      <c r="B1436" s="17">
        <v>1735</v>
      </c>
      <c r="C1436" s="17">
        <v>2</v>
      </c>
      <c r="D1436" s="17">
        <f t="shared" si="68"/>
        <v>1</v>
      </c>
      <c r="E1436" s="17">
        <f t="shared" si="67"/>
        <v>1626</v>
      </c>
      <c r="F1436" s="17" t="s">
        <v>4813</v>
      </c>
      <c r="G1436" s="17">
        <f>MATCH(E1436,Arenas!$F$8:$F$15)</f>
        <v>5</v>
      </c>
      <c r="H1436" s="29" t="s">
        <v>2806</v>
      </c>
      <c r="I1436" s="33" t="s">
        <v>7904</v>
      </c>
      <c r="J1436" s="47" t="s">
        <v>7621</v>
      </c>
      <c r="K1436" s="61" t="s">
        <v>4779</v>
      </c>
      <c r="L1436" s="12" t="str">
        <f t="shared" si="66"/>
        <v>2,2,2</v>
      </c>
    </row>
    <row r="1437" spans="2:12">
      <c r="B1437" s="17">
        <v>1736</v>
      </c>
      <c r="C1437" s="17">
        <v>2</v>
      </c>
      <c r="D1437" s="17">
        <f t="shared" si="68"/>
        <v>0</v>
      </c>
      <c r="E1437" s="17">
        <f t="shared" si="67"/>
        <v>1626</v>
      </c>
      <c r="F1437" s="17" t="s">
        <v>4813</v>
      </c>
      <c r="G1437" s="17">
        <f>MATCH(E1437,Arenas!$F$8:$F$15)</f>
        <v>5</v>
      </c>
      <c r="H1437" s="29" t="s">
        <v>2807</v>
      </c>
      <c r="I1437" s="33" t="s">
        <v>7905</v>
      </c>
      <c r="J1437" s="47" t="s">
        <v>5436</v>
      </c>
      <c r="K1437" s="61" t="s">
        <v>4779</v>
      </c>
      <c r="L1437" s="12" t="str">
        <f t="shared" si="66"/>
        <v>2,2,2</v>
      </c>
    </row>
    <row r="1438" spans="2:12">
      <c r="B1438" s="17">
        <v>1737</v>
      </c>
      <c r="C1438" s="17">
        <v>2</v>
      </c>
      <c r="D1438" s="17">
        <f t="shared" si="68"/>
        <v>0</v>
      </c>
      <c r="E1438" s="17">
        <f t="shared" si="67"/>
        <v>1626</v>
      </c>
      <c r="F1438" s="17" t="s">
        <v>4813</v>
      </c>
      <c r="G1438" s="17">
        <f>MATCH(E1438,Arenas!$F$8:$F$15)</f>
        <v>5</v>
      </c>
      <c r="H1438" s="29" t="s">
        <v>2808</v>
      </c>
      <c r="I1438" s="33" t="s">
        <v>7906</v>
      </c>
      <c r="J1438" s="47" t="s">
        <v>5916</v>
      </c>
      <c r="K1438" s="61" t="s">
        <v>4779</v>
      </c>
      <c r="L1438" s="12" t="str">
        <f t="shared" si="66"/>
        <v>2,2,2</v>
      </c>
    </row>
    <row r="1439" spans="2:12">
      <c r="B1439" s="17">
        <v>1738</v>
      </c>
      <c r="C1439" s="17">
        <v>2</v>
      </c>
      <c r="D1439" s="17">
        <f t="shared" si="68"/>
        <v>1</v>
      </c>
      <c r="E1439" s="17">
        <f t="shared" si="67"/>
        <v>1627</v>
      </c>
      <c r="F1439" s="17" t="s">
        <v>4813</v>
      </c>
      <c r="G1439" s="17">
        <f>MATCH(E1439,Arenas!$F$8:$F$15)</f>
        <v>5</v>
      </c>
      <c r="H1439" s="29" t="s">
        <v>2809</v>
      </c>
      <c r="I1439" s="33" t="s">
        <v>7907</v>
      </c>
      <c r="J1439" s="47" t="s">
        <v>7908</v>
      </c>
      <c r="K1439" s="61" t="s">
        <v>4807</v>
      </c>
      <c r="L1439" s="12" t="str">
        <f t="shared" si="66"/>
        <v>2,2,2</v>
      </c>
    </row>
    <row r="1440" spans="2:12">
      <c r="B1440" s="17">
        <v>1739</v>
      </c>
      <c r="C1440" s="17">
        <v>2</v>
      </c>
      <c r="D1440" s="17">
        <f t="shared" si="68"/>
        <v>0</v>
      </c>
      <c r="E1440" s="17">
        <f t="shared" si="67"/>
        <v>1627</v>
      </c>
      <c r="F1440" s="17" t="s">
        <v>4813</v>
      </c>
      <c r="G1440" s="17">
        <f>MATCH(E1440,Arenas!$F$8:$F$15)</f>
        <v>5</v>
      </c>
      <c r="H1440" s="29" t="s">
        <v>2810</v>
      </c>
      <c r="I1440" s="33" t="s">
        <v>7909</v>
      </c>
      <c r="J1440" s="47" t="s">
        <v>5523</v>
      </c>
      <c r="K1440" s="61" t="s">
        <v>4779</v>
      </c>
      <c r="L1440" s="12" t="str">
        <f t="shared" si="66"/>
        <v>2,2,2</v>
      </c>
    </row>
    <row r="1441" spans="2:12">
      <c r="B1441" s="17">
        <v>1740</v>
      </c>
      <c r="C1441" s="17">
        <v>2</v>
      </c>
      <c r="D1441" s="17">
        <f t="shared" si="68"/>
        <v>0</v>
      </c>
      <c r="E1441" s="17">
        <f t="shared" si="67"/>
        <v>1627</v>
      </c>
      <c r="F1441" s="17" t="s">
        <v>4813</v>
      </c>
      <c r="G1441" s="17">
        <f>MATCH(E1441,Arenas!$F$8:$F$15)</f>
        <v>5</v>
      </c>
      <c r="H1441" s="29" t="s">
        <v>2811</v>
      </c>
      <c r="I1441" s="33" t="s">
        <v>7910</v>
      </c>
      <c r="J1441" s="47" t="s">
        <v>7911</v>
      </c>
      <c r="K1441" s="61" t="s">
        <v>4779</v>
      </c>
      <c r="L1441" s="12" t="str">
        <f t="shared" si="66"/>
        <v>2,2,2</v>
      </c>
    </row>
    <row r="1442" spans="2:12">
      <c r="B1442" s="17">
        <v>1741</v>
      </c>
      <c r="C1442" s="17">
        <v>2</v>
      </c>
      <c r="D1442" s="17">
        <f t="shared" si="68"/>
        <v>1</v>
      </c>
      <c r="E1442" s="17">
        <f t="shared" si="67"/>
        <v>1628</v>
      </c>
      <c r="F1442" s="17" t="s">
        <v>4813</v>
      </c>
      <c r="G1442" s="17">
        <f>MATCH(E1442,Arenas!$F$8:$F$15)</f>
        <v>5</v>
      </c>
      <c r="H1442" s="29" t="s">
        <v>2812</v>
      </c>
      <c r="I1442" s="33" t="s">
        <v>7912</v>
      </c>
      <c r="J1442" s="47" t="s">
        <v>7913</v>
      </c>
      <c r="K1442" s="61" t="s">
        <v>4779</v>
      </c>
      <c r="L1442" s="12" t="str">
        <f t="shared" si="66"/>
        <v>2,2,2</v>
      </c>
    </row>
    <row r="1443" spans="2:12">
      <c r="B1443" s="17">
        <v>1742</v>
      </c>
      <c r="C1443" s="17">
        <v>2</v>
      </c>
      <c r="D1443" s="17">
        <f t="shared" si="68"/>
        <v>0</v>
      </c>
      <c r="E1443" s="17">
        <f t="shared" si="67"/>
        <v>1628</v>
      </c>
      <c r="F1443" s="17" t="s">
        <v>4813</v>
      </c>
      <c r="G1443" s="17">
        <f>MATCH(E1443,Arenas!$F$8:$F$15)</f>
        <v>5</v>
      </c>
      <c r="H1443" s="29" t="s">
        <v>2813</v>
      </c>
      <c r="I1443" s="33" t="s">
        <v>7914</v>
      </c>
      <c r="J1443" s="47" t="s">
        <v>5037</v>
      </c>
      <c r="K1443" s="61" t="s">
        <v>4779</v>
      </c>
      <c r="L1443" s="12" t="str">
        <f t="shared" si="66"/>
        <v>2,2,2</v>
      </c>
    </row>
    <row r="1444" spans="2:12">
      <c r="B1444" s="17">
        <v>1743</v>
      </c>
      <c r="C1444" s="17">
        <v>2</v>
      </c>
      <c r="D1444" s="17">
        <f t="shared" si="68"/>
        <v>0</v>
      </c>
      <c r="E1444" s="17">
        <f t="shared" si="67"/>
        <v>1628</v>
      </c>
      <c r="F1444" s="17" t="s">
        <v>4813</v>
      </c>
      <c r="G1444" s="17">
        <f>MATCH(E1444,Arenas!$F$8:$F$15)</f>
        <v>5</v>
      </c>
      <c r="H1444" s="29" t="s">
        <v>2814</v>
      </c>
      <c r="I1444" s="33" t="s">
        <v>7915</v>
      </c>
      <c r="J1444" s="47" t="s">
        <v>4917</v>
      </c>
      <c r="K1444" s="61" t="s">
        <v>4779</v>
      </c>
      <c r="L1444" s="12" t="str">
        <f t="shared" si="66"/>
        <v>2,2,2</v>
      </c>
    </row>
    <row r="1445" spans="2:12">
      <c r="B1445" s="17">
        <v>1744</v>
      </c>
      <c r="C1445" s="17">
        <v>2</v>
      </c>
      <c r="D1445" s="17">
        <f t="shared" si="68"/>
        <v>1</v>
      </c>
      <c r="E1445" s="17">
        <f t="shared" si="67"/>
        <v>1629</v>
      </c>
      <c r="F1445" s="17" t="s">
        <v>4813</v>
      </c>
      <c r="G1445" s="17">
        <f>MATCH(E1445,Arenas!$F$8:$F$15)</f>
        <v>5</v>
      </c>
      <c r="H1445" s="29" t="s">
        <v>2815</v>
      </c>
      <c r="I1445" s="33" t="s">
        <v>7916</v>
      </c>
      <c r="J1445" s="47" t="s">
        <v>7917</v>
      </c>
      <c r="K1445" s="61" t="s">
        <v>4779</v>
      </c>
      <c r="L1445" s="12" t="str">
        <f t="shared" si="66"/>
        <v>2,2,2</v>
      </c>
    </row>
    <row r="1446" spans="2:12">
      <c r="B1446" s="17">
        <v>1745</v>
      </c>
      <c r="C1446" s="17">
        <v>2</v>
      </c>
      <c r="D1446" s="17">
        <f t="shared" si="68"/>
        <v>0</v>
      </c>
      <c r="E1446" s="17">
        <f t="shared" si="67"/>
        <v>1629</v>
      </c>
      <c r="F1446" s="17" t="s">
        <v>4813</v>
      </c>
      <c r="G1446" s="17">
        <f>MATCH(E1446,Arenas!$F$8:$F$15)</f>
        <v>5</v>
      </c>
      <c r="H1446" s="29" t="s">
        <v>2816</v>
      </c>
      <c r="I1446" s="33" t="s">
        <v>7918</v>
      </c>
      <c r="J1446" s="47" t="s">
        <v>5490</v>
      </c>
      <c r="K1446" s="61" t="s">
        <v>4779</v>
      </c>
      <c r="L1446" s="12" t="str">
        <f t="shared" si="66"/>
        <v>2,2,2</v>
      </c>
    </row>
    <row r="1447" spans="2:12">
      <c r="B1447" s="17">
        <v>1746</v>
      </c>
      <c r="C1447" s="17">
        <v>2</v>
      </c>
      <c r="D1447" s="17">
        <f t="shared" si="68"/>
        <v>0</v>
      </c>
      <c r="E1447" s="17">
        <f t="shared" si="67"/>
        <v>1629</v>
      </c>
      <c r="F1447" s="17" t="s">
        <v>4813</v>
      </c>
      <c r="G1447" s="17">
        <f>MATCH(E1447,Arenas!$F$8:$F$15)</f>
        <v>5</v>
      </c>
      <c r="H1447" s="29" t="s">
        <v>2817</v>
      </c>
      <c r="I1447" s="33" t="s">
        <v>7919</v>
      </c>
      <c r="J1447" s="47" t="s">
        <v>7920</v>
      </c>
      <c r="K1447" s="61" t="s">
        <v>4779</v>
      </c>
      <c r="L1447" s="12" t="str">
        <f t="shared" si="66"/>
        <v>2,2,2</v>
      </c>
    </row>
    <row r="1448" spans="2:12">
      <c r="B1448" s="17">
        <v>1747</v>
      </c>
      <c r="C1448" s="17">
        <v>2</v>
      </c>
      <c r="D1448" s="17">
        <f t="shared" si="68"/>
        <v>1</v>
      </c>
      <c r="E1448" s="17">
        <f t="shared" si="67"/>
        <v>1630</v>
      </c>
      <c r="F1448" s="17" t="s">
        <v>4813</v>
      </c>
      <c r="G1448" s="17">
        <f>MATCH(E1448,Arenas!$F$8:$F$15)</f>
        <v>5</v>
      </c>
      <c r="H1448" s="29" t="s">
        <v>2818</v>
      </c>
      <c r="I1448" s="33" t="s">
        <v>7921</v>
      </c>
      <c r="J1448" s="47" t="s">
        <v>7922</v>
      </c>
      <c r="K1448" s="61" t="s">
        <v>4779</v>
      </c>
      <c r="L1448" s="12" t="str">
        <f t="shared" si="66"/>
        <v>2,2,2</v>
      </c>
    </row>
    <row r="1449" spans="2:12">
      <c r="B1449" s="17">
        <v>1748</v>
      </c>
      <c r="C1449" s="17">
        <v>2</v>
      </c>
      <c r="D1449" s="17">
        <f t="shared" si="68"/>
        <v>0</v>
      </c>
      <c r="E1449" s="17">
        <f t="shared" si="67"/>
        <v>1630</v>
      </c>
      <c r="F1449" s="17" t="s">
        <v>4813</v>
      </c>
      <c r="G1449" s="17">
        <f>MATCH(E1449,Arenas!$F$8:$F$15)</f>
        <v>5</v>
      </c>
      <c r="H1449" s="29" t="s">
        <v>2819</v>
      </c>
      <c r="I1449" s="33" t="s">
        <v>7923</v>
      </c>
      <c r="J1449" s="47" t="s">
        <v>4727</v>
      </c>
      <c r="K1449" s="61" t="s">
        <v>4779</v>
      </c>
      <c r="L1449" s="12" t="str">
        <f t="shared" si="66"/>
        <v>2,2,2</v>
      </c>
    </row>
    <row r="1450" spans="2:12">
      <c r="B1450" s="17">
        <v>1749</v>
      </c>
      <c r="C1450" s="17">
        <v>2</v>
      </c>
      <c r="D1450" s="17">
        <f t="shared" si="68"/>
        <v>0</v>
      </c>
      <c r="E1450" s="17">
        <f t="shared" si="67"/>
        <v>1630</v>
      </c>
      <c r="F1450" s="17" t="s">
        <v>4813</v>
      </c>
      <c r="G1450" s="17">
        <f>MATCH(E1450,Arenas!$F$8:$F$15)</f>
        <v>5</v>
      </c>
      <c r="H1450" s="29" t="s">
        <v>2820</v>
      </c>
      <c r="I1450" s="33" t="s">
        <v>7924</v>
      </c>
      <c r="J1450" s="47" t="s">
        <v>7925</v>
      </c>
      <c r="K1450" s="61" t="s">
        <v>4779</v>
      </c>
      <c r="L1450" s="12" t="str">
        <f t="shared" si="66"/>
        <v>2,2,2</v>
      </c>
    </row>
    <row r="1451" spans="2:12">
      <c r="B1451" s="17">
        <v>1750</v>
      </c>
      <c r="C1451" s="17">
        <v>2</v>
      </c>
      <c r="D1451" s="17">
        <f t="shared" si="68"/>
        <v>1</v>
      </c>
      <c r="E1451" s="17">
        <f t="shared" si="67"/>
        <v>1631</v>
      </c>
      <c r="F1451" s="17" t="s">
        <v>4813</v>
      </c>
      <c r="G1451" s="17">
        <f>MATCH(E1451,Arenas!$F$8:$F$15)</f>
        <v>5</v>
      </c>
      <c r="H1451" s="29" t="s">
        <v>2821</v>
      </c>
      <c r="I1451" s="33" t="s">
        <v>7926</v>
      </c>
      <c r="J1451" s="47" t="s">
        <v>5143</v>
      </c>
      <c r="K1451" s="61" t="s">
        <v>4779</v>
      </c>
      <c r="L1451" s="12" t="str">
        <f t="shared" si="66"/>
        <v>2,2,2</v>
      </c>
    </row>
    <row r="1452" spans="2:12">
      <c r="B1452" s="17">
        <v>1751</v>
      </c>
      <c r="C1452" s="17">
        <v>2</v>
      </c>
      <c r="D1452" s="17">
        <f t="shared" si="68"/>
        <v>0</v>
      </c>
      <c r="E1452" s="17">
        <f t="shared" si="67"/>
        <v>1631</v>
      </c>
      <c r="F1452" s="17" t="s">
        <v>4813</v>
      </c>
      <c r="G1452" s="17">
        <f>MATCH(E1452,Arenas!$F$8:$F$15)</f>
        <v>5</v>
      </c>
      <c r="H1452" s="29" t="s">
        <v>2822</v>
      </c>
      <c r="I1452" s="33" t="s">
        <v>7927</v>
      </c>
      <c r="J1452" s="47" t="s">
        <v>5021</v>
      </c>
      <c r="K1452" s="61" t="s">
        <v>4779</v>
      </c>
      <c r="L1452" s="12" t="str">
        <f t="shared" si="66"/>
        <v>2,2,2</v>
      </c>
    </row>
    <row r="1453" spans="2:12">
      <c r="B1453" s="17">
        <v>1752</v>
      </c>
      <c r="C1453" s="17">
        <v>2</v>
      </c>
      <c r="D1453" s="17">
        <f t="shared" si="68"/>
        <v>0</v>
      </c>
      <c r="E1453" s="17">
        <f t="shared" si="67"/>
        <v>1631</v>
      </c>
      <c r="F1453" s="17" t="s">
        <v>4813</v>
      </c>
      <c r="G1453" s="17">
        <f>MATCH(E1453,Arenas!$F$8:$F$15)</f>
        <v>5</v>
      </c>
      <c r="H1453" s="29" t="s">
        <v>2823</v>
      </c>
      <c r="I1453" s="33" t="s">
        <v>7928</v>
      </c>
      <c r="J1453" s="47" t="s">
        <v>5102</v>
      </c>
      <c r="K1453" s="61" t="s">
        <v>4779</v>
      </c>
      <c r="L1453" s="12" t="str">
        <f t="shared" si="66"/>
        <v>2,2,2</v>
      </c>
    </row>
    <row r="1454" spans="2:12">
      <c r="B1454" s="17">
        <v>1753</v>
      </c>
      <c r="C1454" s="17">
        <v>2</v>
      </c>
      <c r="D1454" s="17">
        <f t="shared" si="68"/>
        <v>1</v>
      </c>
      <c r="E1454" s="17">
        <f t="shared" si="67"/>
        <v>1632</v>
      </c>
      <c r="F1454" s="17" t="s">
        <v>4813</v>
      </c>
      <c r="G1454" s="17">
        <f>MATCH(E1454,Arenas!$F$8:$F$15)</f>
        <v>5</v>
      </c>
      <c r="H1454" s="29" t="s">
        <v>2824</v>
      </c>
      <c r="I1454" s="33" t="s">
        <v>7929</v>
      </c>
      <c r="J1454" s="47" t="s">
        <v>7930</v>
      </c>
      <c r="K1454" s="61" t="s">
        <v>4779</v>
      </c>
      <c r="L1454" s="12" t="str">
        <f t="shared" si="66"/>
        <v>2,2,2</v>
      </c>
    </row>
    <row r="1455" spans="2:12">
      <c r="B1455" s="17">
        <v>1754</v>
      </c>
      <c r="C1455" s="17">
        <v>2</v>
      </c>
      <c r="D1455" s="17">
        <f t="shared" si="68"/>
        <v>0</v>
      </c>
      <c r="E1455" s="17">
        <f t="shared" si="67"/>
        <v>1632</v>
      </c>
      <c r="F1455" s="17" t="s">
        <v>4813</v>
      </c>
      <c r="G1455" s="17">
        <f>MATCH(E1455,Arenas!$F$8:$F$15)</f>
        <v>5</v>
      </c>
      <c r="H1455" s="29" t="s">
        <v>2825</v>
      </c>
      <c r="I1455" s="33" t="s">
        <v>7931</v>
      </c>
      <c r="J1455" s="47" t="s">
        <v>4992</v>
      </c>
      <c r="K1455" s="61" t="s">
        <v>4779</v>
      </c>
      <c r="L1455" s="12" t="str">
        <f t="shared" si="66"/>
        <v>2,2,2</v>
      </c>
    </row>
    <row r="1456" spans="2:12">
      <c r="B1456" s="17">
        <v>1755</v>
      </c>
      <c r="C1456" s="17">
        <v>2</v>
      </c>
      <c r="D1456" s="17">
        <f t="shared" si="68"/>
        <v>0</v>
      </c>
      <c r="E1456" s="17">
        <f t="shared" si="67"/>
        <v>1632</v>
      </c>
      <c r="F1456" s="17" t="s">
        <v>4813</v>
      </c>
      <c r="G1456" s="17">
        <f>MATCH(E1456,Arenas!$F$8:$F$15)</f>
        <v>5</v>
      </c>
      <c r="H1456" s="29" t="s">
        <v>2826</v>
      </c>
      <c r="I1456" s="33" t="s">
        <v>7932</v>
      </c>
      <c r="J1456" s="47" t="s">
        <v>7933</v>
      </c>
      <c r="K1456" s="61" t="s">
        <v>4779</v>
      </c>
      <c r="L1456" s="12" t="str">
        <f t="shared" si="66"/>
        <v>2,2,2</v>
      </c>
    </row>
    <row r="1457" spans="2:12">
      <c r="B1457" s="17">
        <v>1756</v>
      </c>
      <c r="C1457" s="17">
        <v>2</v>
      </c>
      <c r="D1457" s="17">
        <f t="shared" si="68"/>
        <v>1</v>
      </c>
      <c r="E1457" s="17">
        <f t="shared" si="67"/>
        <v>1633</v>
      </c>
      <c r="F1457" s="17" t="s">
        <v>4813</v>
      </c>
      <c r="G1457" s="17">
        <f>MATCH(E1457,Arenas!$F$8:$F$15)</f>
        <v>5</v>
      </c>
      <c r="H1457" s="29" t="s">
        <v>2827</v>
      </c>
      <c r="I1457" s="33" t="s">
        <v>7934</v>
      </c>
      <c r="J1457" s="47" t="s">
        <v>7935</v>
      </c>
      <c r="K1457" s="61" t="s">
        <v>4779</v>
      </c>
      <c r="L1457" s="12" t="str">
        <f t="shared" si="66"/>
        <v>2,2,2</v>
      </c>
    </row>
    <row r="1458" spans="2:12">
      <c r="B1458" s="17">
        <v>1757</v>
      </c>
      <c r="C1458" s="17">
        <v>2</v>
      </c>
      <c r="D1458" s="17">
        <f t="shared" si="68"/>
        <v>0</v>
      </c>
      <c r="E1458" s="17">
        <f t="shared" si="67"/>
        <v>1633</v>
      </c>
      <c r="F1458" s="17" t="s">
        <v>4813</v>
      </c>
      <c r="G1458" s="17">
        <f>MATCH(E1458,Arenas!$F$8:$F$15)</f>
        <v>5</v>
      </c>
      <c r="H1458" s="29" t="s">
        <v>2828</v>
      </c>
      <c r="I1458" s="33" t="s">
        <v>7936</v>
      </c>
      <c r="J1458" s="47" t="s">
        <v>4941</v>
      </c>
      <c r="K1458" s="61" t="s">
        <v>4779</v>
      </c>
      <c r="L1458" s="12" t="str">
        <f t="shared" si="66"/>
        <v>2,2,2</v>
      </c>
    </row>
    <row r="1459" spans="2:12">
      <c r="B1459" s="17">
        <v>1758</v>
      </c>
      <c r="C1459" s="17">
        <v>2</v>
      </c>
      <c r="D1459" s="17">
        <f t="shared" si="68"/>
        <v>0</v>
      </c>
      <c r="E1459" s="17">
        <f t="shared" si="67"/>
        <v>1633</v>
      </c>
      <c r="F1459" s="17" t="s">
        <v>4813</v>
      </c>
      <c r="G1459" s="17">
        <f>MATCH(E1459,Arenas!$F$8:$F$15)</f>
        <v>5</v>
      </c>
      <c r="H1459" s="29" t="s">
        <v>2829</v>
      </c>
      <c r="I1459" s="33" t="s">
        <v>7937</v>
      </c>
      <c r="J1459" s="47" t="s">
        <v>7938</v>
      </c>
      <c r="K1459" s="61" t="s">
        <v>4779</v>
      </c>
      <c r="L1459" s="12" t="str">
        <f t="shared" si="66"/>
        <v>2,2,2</v>
      </c>
    </row>
    <row r="1460" spans="2:12">
      <c r="B1460" s="17">
        <v>1759</v>
      </c>
      <c r="C1460" s="17">
        <v>2</v>
      </c>
      <c r="D1460" s="17">
        <f t="shared" si="68"/>
        <v>1</v>
      </c>
      <c r="E1460" s="17">
        <f t="shared" si="67"/>
        <v>1634</v>
      </c>
      <c r="F1460" s="17" t="s">
        <v>4813</v>
      </c>
      <c r="G1460" s="17">
        <f>MATCH(E1460,Arenas!$F$8:$F$15)</f>
        <v>5</v>
      </c>
      <c r="H1460" s="29" t="s">
        <v>2830</v>
      </c>
      <c r="I1460" s="33" t="s">
        <v>7939</v>
      </c>
      <c r="J1460" s="47" t="s">
        <v>5820</v>
      </c>
      <c r="K1460" s="61" t="s">
        <v>4779</v>
      </c>
      <c r="L1460" s="12" t="str">
        <f t="shared" si="66"/>
        <v>2,2,2</v>
      </c>
    </row>
    <row r="1461" spans="2:12">
      <c r="B1461" s="17">
        <v>1760</v>
      </c>
      <c r="C1461" s="17">
        <v>2</v>
      </c>
      <c r="D1461" s="17">
        <f t="shared" si="68"/>
        <v>0</v>
      </c>
      <c r="E1461" s="17">
        <f t="shared" si="67"/>
        <v>1634</v>
      </c>
      <c r="F1461" s="17" t="s">
        <v>4813</v>
      </c>
      <c r="G1461" s="17">
        <f>MATCH(E1461,Arenas!$F$8:$F$15)</f>
        <v>5</v>
      </c>
      <c r="H1461" s="29" t="s">
        <v>2831</v>
      </c>
      <c r="I1461" s="33" t="s">
        <v>7940</v>
      </c>
      <c r="J1461" s="47" t="s">
        <v>7941</v>
      </c>
      <c r="K1461" s="61" t="s">
        <v>4779</v>
      </c>
      <c r="L1461" s="12" t="str">
        <f t="shared" si="66"/>
        <v>2,2,2</v>
      </c>
    </row>
    <row r="1462" spans="2:12">
      <c r="B1462" s="17">
        <v>1761</v>
      </c>
      <c r="C1462" s="17">
        <v>2</v>
      </c>
      <c r="D1462" s="17">
        <f t="shared" si="68"/>
        <v>0</v>
      </c>
      <c r="E1462" s="17">
        <f t="shared" si="67"/>
        <v>1634</v>
      </c>
      <c r="F1462" s="17" t="s">
        <v>4813</v>
      </c>
      <c r="G1462" s="17">
        <f>MATCH(E1462,Arenas!$F$8:$F$15)</f>
        <v>5</v>
      </c>
      <c r="H1462" s="29" t="s">
        <v>2832</v>
      </c>
      <c r="I1462" s="33" t="s">
        <v>7942</v>
      </c>
      <c r="J1462" s="47" t="s">
        <v>4880</v>
      </c>
      <c r="K1462" s="61" t="s">
        <v>4779</v>
      </c>
      <c r="L1462" s="12" t="str">
        <f t="shared" si="66"/>
        <v>2,2,2</v>
      </c>
    </row>
    <row r="1463" spans="2:12">
      <c r="B1463" s="17">
        <v>1762</v>
      </c>
      <c r="C1463" s="17">
        <v>2</v>
      </c>
      <c r="D1463" s="17">
        <f t="shared" si="68"/>
        <v>1</v>
      </c>
      <c r="E1463" s="17">
        <f t="shared" si="67"/>
        <v>1635</v>
      </c>
      <c r="F1463" s="17" t="s">
        <v>4813</v>
      </c>
      <c r="G1463" s="17">
        <f>MATCH(E1463,Arenas!$F$8:$F$15)</f>
        <v>5</v>
      </c>
      <c r="H1463" s="29" t="s">
        <v>2833</v>
      </c>
      <c r="I1463" s="33" t="s">
        <v>7943</v>
      </c>
      <c r="J1463" s="47" t="s">
        <v>7944</v>
      </c>
      <c r="K1463" s="61" t="s">
        <v>4779</v>
      </c>
      <c r="L1463" s="12" t="str">
        <f t="shared" si="66"/>
        <v>2,2,2</v>
      </c>
    </row>
    <row r="1464" spans="2:12">
      <c r="B1464" s="17">
        <v>1763</v>
      </c>
      <c r="C1464" s="17">
        <v>2</v>
      </c>
      <c r="D1464" s="17">
        <f t="shared" si="68"/>
        <v>0</v>
      </c>
      <c r="E1464" s="17">
        <f t="shared" si="67"/>
        <v>1635</v>
      </c>
      <c r="F1464" s="17" t="s">
        <v>4813</v>
      </c>
      <c r="G1464" s="17">
        <f>MATCH(E1464,Arenas!$F$8:$F$15)</f>
        <v>5</v>
      </c>
      <c r="H1464" s="29" t="s">
        <v>2834</v>
      </c>
      <c r="I1464" s="33" t="s">
        <v>7945</v>
      </c>
      <c r="J1464" s="47" t="s">
        <v>5113</v>
      </c>
      <c r="K1464" s="61" t="s">
        <v>4779</v>
      </c>
      <c r="L1464" s="12" t="str">
        <f t="shared" si="66"/>
        <v>2,2,2</v>
      </c>
    </row>
    <row r="1465" spans="2:12">
      <c r="B1465" s="17">
        <v>1764</v>
      </c>
      <c r="C1465" s="17">
        <v>2</v>
      </c>
      <c r="D1465" s="17">
        <f t="shared" si="68"/>
        <v>0</v>
      </c>
      <c r="E1465" s="17">
        <f t="shared" si="67"/>
        <v>1635</v>
      </c>
      <c r="F1465" s="17" t="s">
        <v>4813</v>
      </c>
      <c r="G1465" s="17">
        <f>MATCH(E1465,Arenas!$F$8:$F$15)</f>
        <v>5</v>
      </c>
      <c r="H1465" s="29" t="s">
        <v>2835</v>
      </c>
      <c r="I1465" s="33" t="s">
        <v>7946</v>
      </c>
      <c r="J1465" s="47" t="s">
        <v>5909</v>
      </c>
      <c r="K1465" s="61" t="s">
        <v>4779</v>
      </c>
      <c r="L1465" s="12" t="str">
        <f t="shared" si="66"/>
        <v>2,2,2</v>
      </c>
    </row>
    <row r="1466" spans="2:12">
      <c r="B1466" s="17">
        <v>1765</v>
      </c>
      <c r="C1466" s="17">
        <v>2</v>
      </c>
      <c r="D1466" s="17">
        <f t="shared" si="68"/>
        <v>1</v>
      </c>
      <c r="E1466" s="17">
        <f t="shared" si="67"/>
        <v>1636</v>
      </c>
      <c r="F1466" s="17" t="s">
        <v>4813</v>
      </c>
      <c r="G1466" s="17">
        <f>MATCH(E1466,Arenas!$F$8:$F$15)</f>
        <v>5</v>
      </c>
      <c r="H1466" s="29" t="s">
        <v>2836</v>
      </c>
      <c r="I1466" s="33" t="s">
        <v>7947</v>
      </c>
      <c r="J1466" s="47" t="s">
        <v>4709</v>
      </c>
      <c r="K1466" s="61" t="s">
        <v>4779</v>
      </c>
      <c r="L1466" s="12" t="str">
        <f t="shared" si="66"/>
        <v>2,2,2</v>
      </c>
    </row>
    <row r="1467" spans="2:12">
      <c r="B1467" s="17">
        <v>1766</v>
      </c>
      <c r="C1467" s="17">
        <v>2</v>
      </c>
      <c r="D1467" s="17">
        <f t="shared" si="68"/>
        <v>0</v>
      </c>
      <c r="E1467" s="17">
        <f t="shared" si="67"/>
        <v>1636</v>
      </c>
      <c r="F1467" s="17" t="s">
        <v>4813</v>
      </c>
      <c r="G1467" s="17">
        <f>MATCH(E1467,Arenas!$F$8:$F$15)</f>
        <v>5</v>
      </c>
      <c r="H1467" s="29" t="s">
        <v>2837</v>
      </c>
      <c r="I1467" s="33" t="s">
        <v>7948</v>
      </c>
      <c r="J1467" s="47" t="s">
        <v>7949</v>
      </c>
      <c r="K1467" s="61" t="s">
        <v>4779</v>
      </c>
      <c r="L1467" s="12" t="str">
        <f t="shared" si="66"/>
        <v>2,2,2</v>
      </c>
    </row>
    <row r="1468" spans="2:12">
      <c r="B1468" s="17">
        <v>1767</v>
      </c>
      <c r="C1468" s="17">
        <v>2</v>
      </c>
      <c r="D1468" s="17">
        <f t="shared" si="68"/>
        <v>0</v>
      </c>
      <c r="E1468" s="17">
        <f t="shared" si="67"/>
        <v>1636</v>
      </c>
      <c r="F1468" s="17" t="s">
        <v>4813</v>
      </c>
      <c r="G1468" s="17">
        <f>MATCH(E1468,Arenas!$F$8:$F$15)</f>
        <v>5</v>
      </c>
      <c r="H1468" s="29" t="s">
        <v>2838</v>
      </c>
      <c r="I1468" s="33" t="s">
        <v>7950</v>
      </c>
      <c r="J1468" s="47" t="s">
        <v>7951</v>
      </c>
      <c r="K1468" s="61" t="s">
        <v>4779</v>
      </c>
      <c r="L1468" s="12" t="str">
        <f t="shared" si="66"/>
        <v>2,2,2</v>
      </c>
    </row>
    <row r="1469" spans="2:12">
      <c r="B1469" s="17">
        <v>1768</v>
      </c>
      <c r="C1469" s="17">
        <v>2</v>
      </c>
      <c r="D1469" s="17">
        <f t="shared" si="68"/>
        <v>1</v>
      </c>
      <c r="E1469" s="17">
        <f t="shared" si="67"/>
        <v>1637</v>
      </c>
      <c r="F1469" s="17" t="s">
        <v>4813</v>
      </c>
      <c r="G1469" s="17">
        <f>MATCH(E1469,Arenas!$F$8:$F$15)</f>
        <v>5</v>
      </c>
      <c r="H1469" s="29" t="s">
        <v>2839</v>
      </c>
      <c r="I1469" s="33" t="s">
        <v>7952</v>
      </c>
      <c r="J1469" s="47" t="s">
        <v>5317</v>
      </c>
      <c r="K1469" s="61" t="s">
        <v>4779</v>
      </c>
      <c r="L1469" s="12" t="str">
        <f t="shared" si="66"/>
        <v>2,2,2</v>
      </c>
    </row>
    <row r="1470" spans="2:12">
      <c r="B1470" s="17">
        <v>1769</v>
      </c>
      <c r="C1470" s="17">
        <v>2</v>
      </c>
      <c r="D1470" s="17">
        <f t="shared" si="68"/>
        <v>0</v>
      </c>
      <c r="E1470" s="17">
        <f t="shared" si="67"/>
        <v>1637</v>
      </c>
      <c r="F1470" s="17" t="s">
        <v>4813</v>
      </c>
      <c r="G1470" s="17">
        <f>MATCH(E1470,Arenas!$F$8:$F$15)</f>
        <v>5</v>
      </c>
      <c r="H1470" s="29" t="s">
        <v>2840</v>
      </c>
      <c r="I1470" s="33" t="s">
        <v>7953</v>
      </c>
      <c r="J1470" s="47" t="s">
        <v>7655</v>
      </c>
      <c r="K1470" s="61" t="s">
        <v>4810</v>
      </c>
      <c r="L1470" s="12" t="str">
        <f t="shared" si="66"/>
        <v>2,2,2</v>
      </c>
    </row>
    <row r="1471" spans="2:12">
      <c r="B1471" s="17">
        <v>1770</v>
      </c>
      <c r="C1471" s="17">
        <v>2</v>
      </c>
      <c r="D1471" s="17">
        <f t="shared" si="68"/>
        <v>0</v>
      </c>
      <c r="E1471" s="17">
        <f t="shared" si="67"/>
        <v>1637</v>
      </c>
      <c r="F1471" s="17" t="s">
        <v>4813</v>
      </c>
      <c r="G1471" s="17">
        <f>MATCH(E1471,Arenas!$F$8:$F$15)</f>
        <v>5</v>
      </c>
      <c r="H1471" s="29" t="s">
        <v>2841</v>
      </c>
      <c r="I1471" s="33" t="s">
        <v>7954</v>
      </c>
      <c r="J1471" s="47" t="s">
        <v>7955</v>
      </c>
      <c r="K1471" s="61" t="s">
        <v>4779</v>
      </c>
      <c r="L1471" s="12" t="str">
        <f t="shared" si="66"/>
        <v>2,2,2</v>
      </c>
    </row>
    <row r="1472" spans="2:12">
      <c r="B1472" s="17">
        <v>1771</v>
      </c>
      <c r="C1472" s="17">
        <v>2</v>
      </c>
      <c r="D1472" s="17">
        <f t="shared" si="68"/>
        <v>1</v>
      </c>
      <c r="E1472" s="17">
        <f t="shared" si="67"/>
        <v>1638</v>
      </c>
      <c r="F1472" s="17" t="s">
        <v>4813</v>
      </c>
      <c r="G1472" s="17">
        <f>MATCH(E1472,Arenas!$F$8:$F$15)</f>
        <v>5</v>
      </c>
      <c r="H1472" s="29" t="s">
        <v>2842</v>
      </c>
      <c r="I1472" s="33" t="s">
        <v>7956</v>
      </c>
      <c r="J1472" s="47" t="s">
        <v>5746</v>
      </c>
      <c r="K1472" s="61" t="s">
        <v>4779</v>
      </c>
      <c r="L1472" s="12" t="str">
        <f t="shared" si="66"/>
        <v>2,2,2</v>
      </c>
    </row>
    <row r="1473" spans="2:12">
      <c r="B1473" s="17">
        <v>1772</v>
      </c>
      <c r="C1473" s="17">
        <v>2</v>
      </c>
      <c r="D1473" s="17">
        <f t="shared" si="68"/>
        <v>0</v>
      </c>
      <c r="E1473" s="17">
        <f t="shared" si="67"/>
        <v>1638</v>
      </c>
      <c r="F1473" s="17" t="s">
        <v>4813</v>
      </c>
      <c r="G1473" s="17">
        <f>MATCH(E1473,Arenas!$F$8:$F$15)</f>
        <v>5</v>
      </c>
      <c r="H1473" s="29" t="s">
        <v>2843</v>
      </c>
      <c r="I1473" s="33" t="s">
        <v>7957</v>
      </c>
      <c r="J1473" s="47" t="s">
        <v>5306</v>
      </c>
      <c r="K1473" s="61" t="s">
        <v>4779</v>
      </c>
      <c r="L1473" s="12" t="str">
        <f t="shared" si="66"/>
        <v>2,2,2</v>
      </c>
    </row>
    <row r="1474" spans="2:12">
      <c r="B1474" s="17">
        <v>1773</v>
      </c>
      <c r="C1474" s="17">
        <v>2</v>
      </c>
      <c r="D1474" s="17">
        <f t="shared" si="68"/>
        <v>0</v>
      </c>
      <c r="E1474" s="17">
        <f t="shared" si="67"/>
        <v>1638</v>
      </c>
      <c r="F1474" s="17" t="s">
        <v>4813</v>
      </c>
      <c r="G1474" s="17">
        <f>MATCH(E1474,Arenas!$F$8:$F$15)</f>
        <v>5</v>
      </c>
      <c r="H1474" s="29" t="s">
        <v>2844</v>
      </c>
      <c r="I1474" s="33" t="s">
        <v>7958</v>
      </c>
      <c r="J1474" s="47" t="s">
        <v>5716</v>
      </c>
      <c r="K1474" s="61" t="s">
        <v>4779</v>
      </c>
      <c r="L1474" s="12" t="str">
        <f t="shared" ref="L1474:L1537" si="69">C1474&amp;","&amp;C1474&amp;","&amp;C1474</f>
        <v>2,2,2</v>
      </c>
    </row>
    <row r="1475" spans="2:12">
      <c r="B1475" s="17">
        <v>1774</v>
      </c>
      <c r="C1475" s="17">
        <v>2</v>
      </c>
      <c r="D1475" s="17">
        <f t="shared" si="68"/>
        <v>1</v>
      </c>
      <c r="E1475" s="17">
        <f t="shared" ref="E1475:E1538" si="70">D1475+E1474</f>
        <v>1639</v>
      </c>
      <c r="F1475" s="17" t="s">
        <v>4813</v>
      </c>
      <c r="G1475" s="17">
        <f>MATCH(E1475,Arenas!$F$8:$F$15)</f>
        <v>5</v>
      </c>
      <c r="H1475" s="29" t="s">
        <v>2845</v>
      </c>
      <c r="I1475" s="33" t="s">
        <v>7959</v>
      </c>
      <c r="J1475" s="47" t="s">
        <v>5721</v>
      </c>
      <c r="K1475" s="61" t="s">
        <v>4779</v>
      </c>
      <c r="L1475" s="12" t="str">
        <f t="shared" si="69"/>
        <v>2,2,2</v>
      </c>
    </row>
    <row r="1476" spans="2:12">
      <c r="B1476" s="17">
        <v>1775</v>
      </c>
      <c r="C1476" s="17">
        <v>2</v>
      </c>
      <c r="D1476" s="17">
        <f t="shared" si="68"/>
        <v>0</v>
      </c>
      <c r="E1476" s="17">
        <f t="shared" si="70"/>
        <v>1639</v>
      </c>
      <c r="F1476" s="17" t="s">
        <v>4813</v>
      </c>
      <c r="G1476" s="17">
        <f>MATCH(E1476,Arenas!$F$8:$F$15)</f>
        <v>5</v>
      </c>
      <c r="H1476" s="29" t="s">
        <v>2846</v>
      </c>
      <c r="I1476" s="33" t="s">
        <v>7960</v>
      </c>
      <c r="J1476" s="47" t="s">
        <v>4954</v>
      </c>
      <c r="K1476" s="61" t="s">
        <v>4779</v>
      </c>
      <c r="L1476" s="12" t="str">
        <f t="shared" si="69"/>
        <v>2,2,2</v>
      </c>
    </row>
    <row r="1477" spans="2:12">
      <c r="B1477" s="17">
        <v>1776</v>
      </c>
      <c r="C1477" s="17">
        <v>2</v>
      </c>
      <c r="D1477" s="17">
        <f t="shared" ref="D1477:D1540" si="71">D1474</f>
        <v>0</v>
      </c>
      <c r="E1477" s="17">
        <f t="shared" si="70"/>
        <v>1639</v>
      </c>
      <c r="F1477" s="17" t="s">
        <v>4813</v>
      </c>
      <c r="G1477" s="17">
        <f>MATCH(E1477,Arenas!$F$8:$F$15)</f>
        <v>5</v>
      </c>
      <c r="H1477" s="29" t="s">
        <v>2847</v>
      </c>
      <c r="I1477" s="33" t="s">
        <v>7961</v>
      </c>
      <c r="J1477" s="47" t="s">
        <v>4667</v>
      </c>
      <c r="K1477" s="61" t="s">
        <v>4779</v>
      </c>
      <c r="L1477" s="12" t="str">
        <f t="shared" si="69"/>
        <v>2,2,2</v>
      </c>
    </row>
    <row r="1478" spans="2:12">
      <c r="B1478" s="17">
        <v>1777</v>
      </c>
      <c r="C1478" s="17">
        <v>2</v>
      </c>
      <c r="D1478" s="17">
        <f t="shared" si="71"/>
        <v>1</v>
      </c>
      <c r="E1478" s="17">
        <f t="shared" si="70"/>
        <v>1640</v>
      </c>
      <c r="F1478" s="17" t="s">
        <v>4813</v>
      </c>
      <c r="G1478" s="17">
        <f>MATCH(E1478,Arenas!$F$8:$F$15)</f>
        <v>5</v>
      </c>
      <c r="H1478" s="29" t="s">
        <v>2848</v>
      </c>
      <c r="I1478" s="33" t="s">
        <v>7962</v>
      </c>
      <c r="J1478" s="47" t="s">
        <v>5756</v>
      </c>
      <c r="K1478" s="61" t="s">
        <v>4779</v>
      </c>
      <c r="L1478" s="12" t="str">
        <f t="shared" si="69"/>
        <v>2,2,2</v>
      </c>
    </row>
    <row r="1479" spans="2:12">
      <c r="B1479" s="17">
        <v>1778</v>
      </c>
      <c r="C1479" s="17">
        <v>2</v>
      </c>
      <c r="D1479" s="17">
        <f t="shared" si="71"/>
        <v>0</v>
      </c>
      <c r="E1479" s="17">
        <f t="shared" si="70"/>
        <v>1640</v>
      </c>
      <c r="F1479" s="17" t="s">
        <v>4813</v>
      </c>
      <c r="G1479" s="17">
        <f>MATCH(E1479,Arenas!$F$8:$F$15)</f>
        <v>5</v>
      </c>
      <c r="H1479" s="29" t="s">
        <v>2849</v>
      </c>
      <c r="I1479" s="33" t="s">
        <v>7963</v>
      </c>
      <c r="J1479" s="47" t="s">
        <v>7964</v>
      </c>
      <c r="K1479" s="61" t="s">
        <v>4779</v>
      </c>
      <c r="L1479" s="12" t="str">
        <f t="shared" si="69"/>
        <v>2,2,2</v>
      </c>
    </row>
    <row r="1480" spans="2:12">
      <c r="B1480" s="17">
        <v>1779</v>
      </c>
      <c r="C1480" s="17">
        <v>2</v>
      </c>
      <c r="D1480" s="17">
        <f t="shared" si="71"/>
        <v>0</v>
      </c>
      <c r="E1480" s="17">
        <f t="shared" si="70"/>
        <v>1640</v>
      </c>
      <c r="F1480" s="17" t="s">
        <v>4813</v>
      </c>
      <c r="G1480" s="17">
        <f>MATCH(E1480,Arenas!$F$8:$F$15)</f>
        <v>5</v>
      </c>
      <c r="H1480" s="29" t="s">
        <v>2850</v>
      </c>
      <c r="I1480" s="33" t="s">
        <v>7965</v>
      </c>
      <c r="J1480" s="47" t="s">
        <v>7966</v>
      </c>
      <c r="K1480" s="61" t="s">
        <v>4779</v>
      </c>
      <c r="L1480" s="12" t="str">
        <f t="shared" si="69"/>
        <v>2,2,2</v>
      </c>
    </row>
    <row r="1481" spans="2:12">
      <c r="B1481" s="17">
        <v>1780</v>
      </c>
      <c r="C1481" s="17">
        <v>2</v>
      </c>
      <c r="D1481" s="17">
        <f t="shared" si="71"/>
        <v>1</v>
      </c>
      <c r="E1481" s="17">
        <f t="shared" si="70"/>
        <v>1641</v>
      </c>
      <c r="F1481" s="17" t="s">
        <v>4813</v>
      </c>
      <c r="G1481" s="17">
        <f>MATCH(E1481,Arenas!$F$8:$F$15)</f>
        <v>5</v>
      </c>
      <c r="H1481" s="29" t="s">
        <v>2851</v>
      </c>
      <c r="I1481" s="33" t="s">
        <v>7967</v>
      </c>
      <c r="J1481" s="47" t="s">
        <v>7642</v>
      </c>
      <c r="K1481" s="61" t="s">
        <v>4779</v>
      </c>
      <c r="L1481" s="12" t="str">
        <f t="shared" si="69"/>
        <v>2,2,2</v>
      </c>
    </row>
    <row r="1482" spans="2:12">
      <c r="B1482" s="17">
        <v>1781</v>
      </c>
      <c r="C1482" s="17">
        <v>2</v>
      </c>
      <c r="D1482" s="17">
        <f t="shared" si="71"/>
        <v>0</v>
      </c>
      <c r="E1482" s="17">
        <f t="shared" si="70"/>
        <v>1641</v>
      </c>
      <c r="F1482" s="17" t="s">
        <v>4813</v>
      </c>
      <c r="G1482" s="17">
        <f>MATCH(E1482,Arenas!$F$8:$F$15)</f>
        <v>5</v>
      </c>
      <c r="H1482" s="29" t="s">
        <v>2852</v>
      </c>
      <c r="I1482" s="33" t="s">
        <v>7968</v>
      </c>
      <c r="J1482" s="47" t="s">
        <v>5881</v>
      </c>
      <c r="K1482" s="61" t="s">
        <v>4779</v>
      </c>
      <c r="L1482" s="12" t="str">
        <f t="shared" si="69"/>
        <v>2,2,2</v>
      </c>
    </row>
    <row r="1483" spans="2:12">
      <c r="B1483" s="17">
        <v>1782</v>
      </c>
      <c r="C1483" s="17">
        <v>2</v>
      </c>
      <c r="D1483" s="17">
        <f t="shared" si="71"/>
        <v>0</v>
      </c>
      <c r="E1483" s="17">
        <f t="shared" si="70"/>
        <v>1641</v>
      </c>
      <c r="F1483" s="17" t="s">
        <v>4813</v>
      </c>
      <c r="G1483" s="17">
        <f>MATCH(E1483,Arenas!$F$8:$F$15)</f>
        <v>5</v>
      </c>
      <c r="H1483" s="29" t="s">
        <v>2853</v>
      </c>
      <c r="I1483" s="33" t="s">
        <v>7969</v>
      </c>
      <c r="J1483" s="47" t="s">
        <v>7970</v>
      </c>
      <c r="K1483" s="61" t="s">
        <v>4779</v>
      </c>
      <c r="L1483" s="12" t="str">
        <f t="shared" si="69"/>
        <v>2,2,2</v>
      </c>
    </row>
    <row r="1484" spans="2:12">
      <c r="B1484" s="17">
        <v>1783</v>
      </c>
      <c r="C1484" s="17">
        <v>2</v>
      </c>
      <c r="D1484" s="17">
        <f t="shared" si="71"/>
        <v>1</v>
      </c>
      <c r="E1484" s="17">
        <f t="shared" si="70"/>
        <v>1642</v>
      </c>
      <c r="F1484" s="17" t="s">
        <v>4813</v>
      </c>
      <c r="G1484" s="17">
        <f>MATCH(E1484,Arenas!$F$8:$F$15)</f>
        <v>5</v>
      </c>
      <c r="H1484" s="29" t="s">
        <v>2854</v>
      </c>
      <c r="I1484" s="33" t="s">
        <v>7971</v>
      </c>
      <c r="J1484" s="47" t="s">
        <v>7972</v>
      </c>
      <c r="K1484" s="61" t="s">
        <v>4779</v>
      </c>
      <c r="L1484" s="12" t="str">
        <f t="shared" si="69"/>
        <v>2,2,2</v>
      </c>
    </row>
    <row r="1485" spans="2:12">
      <c r="B1485" s="17">
        <v>1784</v>
      </c>
      <c r="C1485" s="17">
        <v>2</v>
      </c>
      <c r="D1485" s="17">
        <f t="shared" si="71"/>
        <v>0</v>
      </c>
      <c r="E1485" s="17">
        <f t="shared" si="70"/>
        <v>1642</v>
      </c>
      <c r="F1485" s="17" t="s">
        <v>4813</v>
      </c>
      <c r="G1485" s="17">
        <f>MATCH(E1485,Arenas!$F$8:$F$15)</f>
        <v>5</v>
      </c>
      <c r="H1485" s="29" t="s">
        <v>2855</v>
      </c>
      <c r="I1485" s="33" t="s">
        <v>7973</v>
      </c>
      <c r="J1485" s="47" t="s">
        <v>5762</v>
      </c>
      <c r="K1485" s="61" t="s">
        <v>4779</v>
      </c>
      <c r="L1485" s="12" t="str">
        <f t="shared" si="69"/>
        <v>2,2,2</v>
      </c>
    </row>
    <row r="1486" spans="2:12">
      <c r="B1486" s="17">
        <v>1785</v>
      </c>
      <c r="C1486" s="17">
        <v>2</v>
      </c>
      <c r="D1486" s="17">
        <f t="shared" si="71"/>
        <v>0</v>
      </c>
      <c r="E1486" s="17">
        <f t="shared" si="70"/>
        <v>1642</v>
      </c>
      <c r="F1486" s="17" t="s">
        <v>4813</v>
      </c>
      <c r="G1486" s="17">
        <f>MATCH(E1486,Arenas!$F$8:$F$15)</f>
        <v>5</v>
      </c>
      <c r="H1486" s="29" t="s">
        <v>2856</v>
      </c>
      <c r="I1486" s="33" t="s">
        <v>7974</v>
      </c>
      <c r="J1486" s="47" t="s">
        <v>7975</v>
      </c>
      <c r="K1486" s="61" t="s">
        <v>4779</v>
      </c>
      <c r="L1486" s="12" t="str">
        <f t="shared" si="69"/>
        <v>2,2,2</v>
      </c>
    </row>
    <row r="1487" spans="2:12">
      <c r="B1487" s="17">
        <v>1786</v>
      </c>
      <c r="C1487" s="17">
        <v>2</v>
      </c>
      <c r="D1487" s="17">
        <f t="shared" si="71"/>
        <v>1</v>
      </c>
      <c r="E1487" s="17">
        <f t="shared" si="70"/>
        <v>1643</v>
      </c>
      <c r="F1487" s="17" t="s">
        <v>4813</v>
      </c>
      <c r="G1487" s="17">
        <f>MATCH(E1487,Arenas!$F$8:$F$15)</f>
        <v>5</v>
      </c>
      <c r="H1487" s="29" t="s">
        <v>2857</v>
      </c>
      <c r="I1487" s="33" t="s">
        <v>7976</v>
      </c>
      <c r="J1487" s="47" t="s">
        <v>5146</v>
      </c>
      <c r="K1487" s="61" t="s">
        <v>4779</v>
      </c>
      <c r="L1487" s="12" t="str">
        <f t="shared" si="69"/>
        <v>2,2,2</v>
      </c>
    </row>
    <row r="1488" spans="2:12">
      <c r="B1488" s="17">
        <v>1787</v>
      </c>
      <c r="C1488" s="17">
        <v>2</v>
      </c>
      <c r="D1488" s="17">
        <f t="shared" si="71"/>
        <v>0</v>
      </c>
      <c r="E1488" s="17">
        <f t="shared" si="70"/>
        <v>1643</v>
      </c>
      <c r="F1488" s="17" t="s">
        <v>4813</v>
      </c>
      <c r="G1488" s="17">
        <f>MATCH(E1488,Arenas!$F$8:$F$15)</f>
        <v>5</v>
      </c>
      <c r="H1488" s="29" t="s">
        <v>2858</v>
      </c>
      <c r="I1488" s="33" t="s">
        <v>7977</v>
      </c>
      <c r="J1488" s="47" t="s">
        <v>5741</v>
      </c>
      <c r="K1488" s="61" t="s">
        <v>4779</v>
      </c>
      <c r="L1488" s="12" t="str">
        <f t="shared" si="69"/>
        <v>2,2,2</v>
      </c>
    </row>
    <row r="1489" spans="2:12">
      <c r="B1489" s="17">
        <v>1788</v>
      </c>
      <c r="C1489" s="17">
        <v>2</v>
      </c>
      <c r="D1489" s="17">
        <f t="shared" si="71"/>
        <v>0</v>
      </c>
      <c r="E1489" s="17">
        <f t="shared" si="70"/>
        <v>1643</v>
      </c>
      <c r="F1489" s="17" t="s">
        <v>4813</v>
      </c>
      <c r="G1489" s="17">
        <f>MATCH(E1489,Arenas!$F$8:$F$15)</f>
        <v>5</v>
      </c>
      <c r="H1489" s="29" t="s">
        <v>2859</v>
      </c>
      <c r="I1489" s="33" t="s">
        <v>7978</v>
      </c>
      <c r="J1489" s="47" t="s">
        <v>4609</v>
      </c>
      <c r="K1489" s="61" t="s">
        <v>4779</v>
      </c>
      <c r="L1489" s="12" t="str">
        <f t="shared" si="69"/>
        <v>2,2,2</v>
      </c>
    </row>
    <row r="1490" spans="2:12">
      <c r="B1490" s="17">
        <v>1789</v>
      </c>
      <c r="C1490" s="17">
        <v>2</v>
      </c>
      <c r="D1490" s="17">
        <f t="shared" si="71"/>
        <v>1</v>
      </c>
      <c r="E1490" s="17">
        <f t="shared" si="70"/>
        <v>1644</v>
      </c>
      <c r="F1490" s="17" t="s">
        <v>4813</v>
      </c>
      <c r="G1490" s="17">
        <f>MATCH(E1490,Arenas!$F$8:$F$15)</f>
        <v>5</v>
      </c>
      <c r="H1490" s="29" t="s">
        <v>2860</v>
      </c>
      <c r="I1490" s="33" t="s">
        <v>7979</v>
      </c>
      <c r="J1490" s="47" t="s">
        <v>5859</v>
      </c>
      <c r="K1490" s="61" t="s">
        <v>4779</v>
      </c>
      <c r="L1490" s="12" t="str">
        <f t="shared" si="69"/>
        <v>2,2,2</v>
      </c>
    </row>
    <row r="1491" spans="2:12">
      <c r="B1491" s="17">
        <v>1790</v>
      </c>
      <c r="C1491" s="17">
        <v>2</v>
      </c>
      <c r="D1491" s="17">
        <f t="shared" si="71"/>
        <v>0</v>
      </c>
      <c r="E1491" s="17">
        <f t="shared" si="70"/>
        <v>1644</v>
      </c>
      <c r="F1491" s="17" t="s">
        <v>4813</v>
      </c>
      <c r="G1491" s="17">
        <f>MATCH(E1491,Arenas!$F$8:$F$15)</f>
        <v>5</v>
      </c>
      <c r="H1491" s="29" t="s">
        <v>2861</v>
      </c>
      <c r="I1491" s="33" t="s">
        <v>7980</v>
      </c>
      <c r="J1491" s="47" t="s">
        <v>7981</v>
      </c>
      <c r="K1491" s="61" t="s">
        <v>4779</v>
      </c>
      <c r="L1491" s="12" t="str">
        <f t="shared" si="69"/>
        <v>2,2,2</v>
      </c>
    </row>
    <row r="1492" spans="2:12">
      <c r="B1492" s="17">
        <v>1791</v>
      </c>
      <c r="C1492" s="17">
        <v>2</v>
      </c>
      <c r="D1492" s="17">
        <f t="shared" si="71"/>
        <v>0</v>
      </c>
      <c r="E1492" s="17">
        <f t="shared" si="70"/>
        <v>1644</v>
      </c>
      <c r="F1492" s="17" t="s">
        <v>4813</v>
      </c>
      <c r="G1492" s="17">
        <f>MATCH(E1492,Arenas!$F$8:$F$15)</f>
        <v>5</v>
      </c>
      <c r="H1492" s="29" t="s">
        <v>2862</v>
      </c>
      <c r="I1492" s="33" t="s">
        <v>7982</v>
      </c>
      <c r="J1492" s="47" t="s">
        <v>5136</v>
      </c>
      <c r="K1492" s="61" t="s">
        <v>4779</v>
      </c>
      <c r="L1492" s="12" t="str">
        <f t="shared" si="69"/>
        <v>2,2,2</v>
      </c>
    </row>
    <row r="1493" spans="2:12">
      <c r="B1493" s="17">
        <v>1792</v>
      </c>
      <c r="C1493" s="17">
        <v>2</v>
      </c>
      <c r="D1493" s="17">
        <f t="shared" si="71"/>
        <v>1</v>
      </c>
      <c r="E1493" s="17">
        <f t="shared" si="70"/>
        <v>1645</v>
      </c>
      <c r="F1493" s="17" t="s">
        <v>4813</v>
      </c>
      <c r="G1493" s="17">
        <f>MATCH(E1493,Arenas!$F$8:$F$15)</f>
        <v>5</v>
      </c>
      <c r="H1493" s="29" t="s">
        <v>2863</v>
      </c>
      <c r="I1493" s="33" t="s">
        <v>7983</v>
      </c>
      <c r="J1493" s="47" t="s">
        <v>7984</v>
      </c>
      <c r="K1493" s="61" t="s">
        <v>4779</v>
      </c>
      <c r="L1493" s="12" t="str">
        <f t="shared" si="69"/>
        <v>2,2,2</v>
      </c>
    </row>
    <row r="1494" spans="2:12">
      <c r="B1494" s="17">
        <v>1793</v>
      </c>
      <c r="C1494" s="17">
        <v>2</v>
      </c>
      <c r="D1494" s="17">
        <f t="shared" si="71"/>
        <v>0</v>
      </c>
      <c r="E1494" s="17">
        <f t="shared" si="70"/>
        <v>1645</v>
      </c>
      <c r="F1494" s="17" t="s">
        <v>4813</v>
      </c>
      <c r="G1494" s="17">
        <f>MATCH(E1494,Arenas!$F$8:$F$15)</f>
        <v>5</v>
      </c>
      <c r="H1494" s="29" t="s">
        <v>2864</v>
      </c>
      <c r="I1494" s="33" t="s">
        <v>7985</v>
      </c>
      <c r="J1494" s="47" t="s">
        <v>5518</v>
      </c>
      <c r="K1494" s="61" t="s">
        <v>4779</v>
      </c>
      <c r="L1494" s="12" t="str">
        <f t="shared" si="69"/>
        <v>2,2,2</v>
      </c>
    </row>
    <row r="1495" spans="2:12">
      <c r="B1495" s="17">
        <v>1794</v>
      </c>
      <c r="C1495" s="17">
        <v>2</v>
      </c>
      <c r="D1495" s="17">
        <f t="shared" si="71"/>
        <v>0</v>
      </c>
      <c r="E1495" s="17">
        <f t="shared" si="70"/>
        <v>1645</v>
      </c>
      <c r="F1495" s="17" t="s">
        <v>4813</v>
      </c>
      <c r="G1495" s="17">
        <f>MATCH(E1495,Arenas!$F$8:$F$15)</f>
        <v>5</v>
      </c>
      <c r="H1495" s="29" t="s">
        <v>2865</v>
      </c>
      <c r="I1495" s="33" t="s">
        <v>7986</v>
      </c>
      <c r="J1495" s="47" t="s">
        <v>4976</v>
      </c>
      <c r="K1495" s="61" t="s">
        <v>4779</v>
      </c>
      <c r="L1495" s="12" t="str">
        <f t="shared" si="69"/>
        <v>2,2,2</v>
      </c>
    </row>
    <row r="1496" spans="2:12">
      <c r="B1496" s="17">
        <v>1795</v>
      </c>
      <c r="C1496" s="17">
        <v>2</v>
      </c>
      <c r="D1496" s="17">
        <f t="shared" si="71"/>
        <v>1</v>
      </c>
      <c r="E1496" s="17">
        <f t="shared" si="70"/>
        <v>1646</v>
      </c>
      <c r="F1496" s="17" t="s">
        <v>4813</v>
      </c>
      <c r="G1496" s="17">
        <f>MATCH(E1496,Arenas!$F$8:$F$15)</f>
        <v>5</v>
      </c>
      <c r="H1496" s="29" t="s">
        <v>2866</v>
      </c>
      <c r="I1496" s="33" t="s">
        <v>7987</v>
      </c>
      <c r="J1496" s="47" t="s">
        <v>7988</v>
      </c>
      <c r="K1496" s="61" t="s">
        <v>4779</v>
      </c>
      <c r="L1496" s="12" t="str">
        <f t="shared" si="69"/>
        <v>2,2,2</v>
      </c>
    </row>
    <row r="1497" spans="2:12">
      <c r="B1497" s="17">
        <v>1796</v>
      </c>
      <c r="C1497" s="17">
        <v>2</v>
      </c>
      <c r="D1497" s="17">
        <f t="shared" si="71"/>
        <v>0</v>
      </c>
      <c r="E1497" s="17">
        <f t="shared" si="70"/>
        <v>1646</v>
      </c>
      <c r="F1497" s="17" t="s">
        <v>4813</v>
      </c>
      <c r="G1497" s="17">
        <f>MATCH(E1497,Arenas!$F$8:$F$15)</f>
        <v>5</v>
      </c>
      <c r="H1497" s="29" t="s">
        <v>2867</v>
      </c>
      <c r="I1497" s="33" t="s">
        <v>7989</v>
      </c>
      <c r="J1497" s="47" t="s">
        <v>5289</v>
      </c>
      <c r="K1497" s="61" t="s">
        <v>4779</v>
      </c>
      <c r="L1497" s="12" t="str">
        <f t="shared" si="69"/>
        <v>2,2,2</v>
      </c>
    </row>
    <row r="1498" spans="2:12">
      <c r="B1498" s="17">
        <v>1797</v>
      </c>
      <c r="C1498" s="17">
        <v>2</v>
      </c>
      <c r="D1498" s="17">
        <f t="shared" si="71"/>
        <v>0</v>
      </c>
      <c r="E1498" s="17">
        <f t="shared" si="70"/>
        <v>1646</v>
      </c>
      <c r="F1498" s="17" t="s">
        <v>4813</v>
      </c>
      <c r="G1498" s="17">
        <f>MATCH(E1498,Arenas!$F$8:$F$15)</f>
        <v>5</v>
      </c>
      <c r="H1498" s="29" t="s">
        <v>2868</v>
      </c>
      <c r="I1498" s="33" t="s">
        <v>7990</v>
      </c>
      <c r="J1498" s="47" t="s">
        <v>7991</v>
      </c>
      <c r="K1498" s="61" t="s">
        <v>4779</v>
      </c>
      <c r="L1498" s="12" t="str">
        <f t="shared" si="69"/>
        <v>2,2,2</v>
      </c>
    </row>
    <row r="1499" spans="2:12">
      <c r="B1499" s="17">
        <v>1798</v>
      </c>
      <c r="C1499" s="17">
        <v>2</v>
      </c>
      <c r="D1499" s="17">
        <f t="shared" si="71"/>
        <v>1</v>
      </c>
      <c r="E1499" s="17">
        <f t="shared" si="70"/>
        <v>1647</v>
      </c>
      <c r="F1499" s="17" t="s">
        <v>4813</v>
      </c>
      <c r="G1499" s="17">
        <f>MATCH(E1499,Arenas!$F$8:$F$15)</f>
        <v>5</v>
      </c>
      <c r="H1499" s="29" t="s">
        <v>2869</v>
      </c>
      <c r="I1499" s="33" t="s">
        <v>7992</v>
      </c>
      <c r="J1499" s="47" t="s">
        <v>7993</v>
      </c>
      <c r="K1499" s="61" t="s">
        <v>4779</v>
      </c>
      <c r="L1499" s="12" t="str">
        <f t="shared" si="69"/>
        <v>2,2,2</v>
      </c>
    </row>
    <row r="1500" spans="2:12">
      <c r="B1500" s="17">
        <v>1799</v>
      </c>
      <c r="C1500" s="17">
        <v>2</v>
      </c>
      <c r="D1500" s="17">
        <f t="shared" si="71"/>
        <v>0</v>
      </c>
      <c r="E1500" s="17">
        <f t="shared" si="70"/>
        <v>1647</v>
      </c>
      <c r="F1500" s="17" t="s">
        <v>4813</v>
      </c>
      <c r="G1500" s="17">
        <f>MATCH(E1500,Arenas!$F$8:$F$15)</f>
        <v>5</v>
      </c>
      <c r="H1500" s="29" t="s">
        <v>2870</v>
      </c>
      <c r="I1500" s="33" t="s">
        <v>7994</v>
      </c>
      <c r="J1500" s="47" t="s">
        <v>7995</v>
      </c>
      <c r="K1500" s="61" t="s">
        <v>4779</v>
      </c>
      <c r="L1500" s="12" t="str">
        <f t="shared" si="69"/>
        <v>2,2,2</v>
      </c>
    </row>
    <row r="1501" spans="2:12">
      <c r="B1501" s="17">
        <v>1800</v>
      </c>
      <c r="C1501" s="17">
        <v>2</v>
      </c>
      <c r="D1501" s="17">
        <f t="shared" si="71"/>
        <v>0</v>
      </c>
      <c r="E1501" s="17">
        <f t="shared" si="70"/>
        <v>1647</v>
      </c>
      <c r="F1501" s="17" t="s">
        <v>4813</v>
      </c>
      <c r="G1501" s="17">
        <f>MATCH(E1501,Arenas!$F$8:$F$15)</f>
        <v>5</v>
      </c>
      <c r="H1501" s="29" t="s">
        <v>2871</v>
      </c>
      <c r="I1501" s="33" t="s">
        <v>7996</v>
      </c>
      <c r="J1501" s="47" t="s">
        <v>7997</v>
      </c>
      <c r="K1501" s="61" t="s">
        <v>4779</v>
      </c>
      <c r="L1501" s="12" t="str">
        <f t="shared" si="69"/>
        <v>2,2,2</v>
      </c>
    </row>
    <row r="1502" spans="2:12">
      <c r="B1502" s="17">
        <v>1801</v>
      </c>
      <c r="C1502" s="17">
        <v>2</v>
      </c>
      <c r="D1502" s="17">
        <f t="shared" si="71"/>
        <v>1</v>
      </c>
      <c r="E1502" s="17">
        <f t="shared" si="70"/>
        <v>1648</v>
      </c>
      <c r="F1502" s="17" t="s">
        <v>4813</v>
      </c>
      <c r="G1502" s="17">
        <f>MATCH(E1502,Arenas!$F$8:$F$15)</f>
        <v>5</v>
      </c>
      <c r="H1502" s="29" t="s">
        <v>2872</v>
      </c>
      <c r="I1502" s="33" t="s">
        <v>7998</v>
      </c>
      <c r="J1502" s="47" t="s">
        <v>7999</v>
      </c>
      <c r="K1502" s="61" t="s">
        <v>4806</v>
      </c>
      <c r="L1502" s="12" t="str">
        <f t="shared" si="69"/>
        <v>2,2,2</v>
      </c>
    </row>
    <row r="1503" spans="2:12">
      <c r="B1503" s="17">
        <v>1802</v>
      </c>
      <c r="C1503" s="17">
        <v>2</v>
      </c>
      <c r="D1503" s="17">
        <f t="shared" si="71"/>
        <v>0</v>
      </c>
      <c r="E1503" s="17">
        <f t="shared" si="70"/>
        <v>1648</v>
      </c>
      <c r="F1503" s="17" t="s">
        <v>4813</v>
      </c>
      <c r="G1503" s="17">
        <f>MATCH(E1503,Arenas!$F$8:$F$15)</f>
        <v>5</v>
      </c>
      <c r="H1503" s="29" t="s">
        <v>2873</v>
      </c>
      <c r="I1503" s="33" t="s">
        <v>8000</v>
      </c>
      <c r="J1503" s="47" t="s">
        <v>8001</v>
      </c>
      <c r="K1503" s="61" t="s">
        <v>4779</v>
      </c>
      <c r="L1503" s="12" t="str">
        <f t="shared" si="69"/>
        <v>2,2,2</v>
      </c>
    </row>
    <row r="1504" spans="2:12">
      <c r="B1504" s="17">
        <v>1803</v>
      </c>
      <c r="C1504" s="17">
        <v>2</v>
      </c>
      <c r="D1504" s="17">
        <f t="shared" si="71"/>
        <v>0</v>
      </c>
      <c r="E1504" s="17">
        <f t="shared" si="70"/>
        <v>1648</v>
      </c>
      <c r="F1504" s="17" t="s">
        <v>4813</v>
      </c>
      <c r="G1504" s="17">
        <f>MATCH(E1504,Arenas!$F$8:$F$15)</f>
        <v>5</v>
      </c>
      <c r="H1504" s="29" t="s">
        <v>2874</v>
      </c>
      <c r="I1504" s="33" t="s">
        <v>8002</v>
      </c>
      <c r="J1504" s="47" t="s">
        <v>8003</v>
      </c>
      <c r="K1504" s="61" t="s">
        <v>4779</v>
      </c>
      <c r="L1504" s="12" t="str">
        <f t="shared" si="69"/>
        <v>2,2,2</v>
      </c>
    </row>
    <row r="1505" spans="2:12">
      <c r="B1505" s="17">
        <v>1804</v>
      </c>
      <c r="C1505" s="17">
        <v>2</v>
      </c>
      <c r="D1505" s="17">
        <f t="shared" si="71"/>
        <v>1</v>
      </c>
      <c r="E1505" s="17">
        <f t="shared" si="70"/>
        <v>1649</v>
      </c>
      <c r="F1505" s="17" t="s">
        <v>4813</v>
      </c>
      <c r="G1505" s="17">
        <f>MATCH(E1505,Arenas!$F$8:$F$15)</f>
        <v>5</v>
      </c>
      <c r="H1505" s="29" t="s">
        <v>2875</v>
      </c>
      <c r="I1505" s="33" t="s">
        <v>8004</v>
      </c>
      <c r="J1505" s="47" t="s">
        <v>8005</v>
      </c>
      <c r="K1505" s="61" t="s">
        <v>4779</v>
      </c>
      <c r="L1505" s="12" t="str">
        <f t="shared" si="69"/>
        <v>2,2,2</v>
      </c>
    </row>
    <row r="1506" spans="2:12">
      <c r="B1506" s="17">
        <v>1805</v>
      </c>
      <c r="C1506" s="17">
        <v>2</v>
      </c>
      <c r="D1506" s="17">
        <f t="shared" si="71"/>
        <v>0</v>
      </c>
      <c r="E1506" s="17">
        <f t="shared" si="70"/>
        <v>1649</v>
      </c>
      <c r="F1506" s="17" t="s">
        <v>4813</v>
      </c>
      <c r="G1506" s="17">
        <f>MATCH(E1506,Arenas!$F$8:$F$15)</f>
        <v>5</v>
      </c>
      <c r="H1506" s="29" t="s">
        <v>2876</v>
      </c>
      <c r="I1506" s="33" t="s">
        <v>8006</v>
      </c>
      <c r="J1506" s="47" t="s">
        <v>5739</v>
      </c>
      <c r="K1506" s="61" t="s">
        <v>4779</v>
      </c>
      <c r="L1506" s="12" t="str">
        <f t="shared" si="69"/>
        <v>2,2,2</v>
      </c>
    </row>
    <row r="1507" spans="2:12">
      <c r="B1507" s="17">
        <v>1806</v>
      </c>
      <c r="C1507" s="17">
        <v>2</v>
      </c>
      <c r="D1507" s="17">
        <f t="shared" si="71"/>
        <v>0</v>
      </c>
      <c r="E1507" s="17">
        <f t="shared" si="70"/>
        <v>1649</v>
      </c>
      <c r="F1507" s="17" t="s">
        <v>4813</v>
      </c>
      <c r="G1507" s="17">
        <f>MATCH(E1507,Arenas!$F$8:$F$15)</f>
        <v>5</v>
      </c>
      <c r="H1507" s="29" t="s">
        <v>2877</v>
      </c>
      <c r="I1507" s="33" t="s">
        <v>8007</v>
      </c>
      <c r="J1507" s="47" t="s">
        <v>8008</v>
      </c>
      <c r="K1507" s="61" t="s">
        <v>4779</v>
      </c>
      <c r="L1507" s="12" t="str">
        <f t="shared" si="69"/>
        <v>2,2,2</v>
      </c>
    </row>
    <row r="1508" spans="2:12">
      <c r="B1508" s="17">
        <v>1807</v>
      </c>
      <c r="C1508" s="17">
        <v>2</v>
      </c>
      <c r="D1508" s="17">
        <f t="shared" si="71"/>
        <v>1</v>
      </c>
      <c r="E1508" s="17">
        <f t="shared" si="70"/>
        <v>1650</v>
      </c>
      <c r="F1508" s="17" t="s">
        <v>4813</v>
      </c>
      <c r="G1508" s="17">
        <f>MATCH(E1508,Arenas!$F$8:$F$15)</f>
        <v>5</v>
      </c>
      <c r="H1508" s="29" t="s">
        <v>2878</v>
      </c>
      <c r="I1508" s="33" t="s">
        <v>8009</v>
      </c>
      <c r="J1508" s="47" t="s">
        <v>8010</v>
      </c>
      <c r="K1508" s="61" t="s">
        <v>4779</v>
      </c>
      <c r="L1508" s="12" t="str">
        <f t="shared" si="69"/>
        <v>2,2,2</v>
      </c>
    </row>
    <row r="1509" spans="2:12">
      <c r="B1509" s="17">
        <v>1808</v>
      </c>
      <c r="C1509" s="17">
        <v>2</v>
      </c>
      <c r="D1509" s="17">
        <f t="shared" si="71"/>
        <v>0</v>
      </c>
      <c r="E1509" s="17">
        <f t="shared" si="70"/>
        <v>1650</v>
      </c>
      <c r="F1509" s="17" t="s">
        <v>4813</v>
      </c>
      <c r="G1509" s="17">
        <f>MATCH(E1509,Arenas!$F$8:$F$15)</f>
        <v>5</v>
      </c>
      <c r="H1509" s="29" t="s">
        <v>2879</v>
      </c>
      <c r="I1509" s="33" t="s">
        <v>8011</v>
      </c>
      <c r="J1509" s="47" t="s">
        <v>8012</v>
      </c>
      <c r="K1509" s="61" t="s">
        <v>4779</v>
      </c>
      <c r="L1509" s="12" t="str">
        <f t="shared" si="69"/>
        <v>2,2,2</v>
      </c>
    </row>
    <row r="1510" spans="2:12">
      <c r="B1510" s="17">
        <v>1809</v>
      </c>
      <c r="C1510" s="17">
        <v>2</v>
      </c>
      <c r="D1510" s="17">
        <f t="shared" si="71"/>
        <v>0</v>
      </c>
      <c r="E1510" s="17">
        <f t="shared" si="70"/>
        <v>1650</v>
      </c>
      <c r="F1510" s="17" t="s">
        <v>4813</v>
      </c>
      <c r="G1510" s="17">
        <f>MATCH(E1510,Arenas!$F$8:$F$15)</f>
        <v>5</v>
      </c>
      <c r="H1510" s="29" t="s">
        <v>2880</v>
      </c>
      <c r="I1510" s="33" t="s">
        <v>8013</v>
      </c>
      <c r="J1510" s="47" t="s">
        <v>5551</v>
      </c>
      <c r="K1510" s="61" t="s">
        <v>4806</v>
      </c>
      <c r="L1510" s="12" t="str">
        <f t="shared" si="69"/>
        <v>2,2,2</v>
      </c>
    </row>
    <row r="1511" spans="2:12">
      <c r="B1511" s="17">
        <v>1810</v>
      </c>
      <c r="C1511" s="17">
        <v>2</v>
      </c>
      <c r="D1511" s="17">
        <f t="shared" si="71"/>
        <v>1</v>
      </c>
      <c r="E1511" s="17">
        <f t="shared" si="70"/>
        <v>1651</v>
      </c>
      <c r="F1511" s="17" t="s">
        <v>4813</v>
      </c>
      <c r="G1511" s="17">
        <f>MATCH(E1511,Arenas!$F$8:$F$15)</f>
        <v>5</v>
      </c>
      <c r="H1511" s="29" t="s">
        <v>2881</v>
      </c>
      <c r="I1511" s="33" t="s">
        <v>8014</v>
      </c>
      <c r="J1511" s="47" t="s">
        <v>5347</v>
      </c>
      <c r="K1511" s="61" t="s">
        <v>4779</v>
      </c>
      <c r="L1511" s="12" t="str">
        <f t="shared" si="69"/>
        <v>2,2,2</v>
      </c>
    </row>
    <row r="1512" spans="2:12">
      <c r="B1512" s="17">
        <v>1811</v>
      </c>
      <c r="C1512" s="17">
        <v>2</v>
      </c>
      <c r="D1512" s="17">
        <f t="shared" si="71"/>
        <v>0</v>
      </c>
      <c r="E1512" s="17">
        <f t="shared" si="70"/>
        <v>1651</v>
      </c>
      <c r="F1512" s="17" t="s">
        <v>4813</v>
      </c>
      <c r="G1512" s="17">
        <f>MATCH(E1512,Arenas!$F$8:$F$15)</f>
        <v>5</v>
      </c>
      <c r="H1512" s="29" t="s">
        <v>2882</v>
      </c>
      <c r="I1512" s="33" t="s">
        <v>8015</v>
      </c>
      <c r="J1512" s="47" t="s">
        <v>7593</v>
      </c>
      <c r="K1512" s="61" t="s">
        <v>4779</v>
      </c>
      <c r="L1512" s="12" t="str">
        <f t="shared" si="69"/>
        <v>2,2,2</v>
      </c>
    </row>
    <row r="1513" spans="2:12">
      <c r="B1513" s="17">
        <v>1812</v>
      </c>
      <c r="C1513" s="17">
        <v>2</v>
      </c>
      <c r="D1513" s="17">
        <f t="shared" si="71"/>
        <v>0</v>
      </c>
      <c r="E1513" s="17">
        <f t="shared" si="70"/>
        <v>1651</v>
      </c>
      <c r="F1513" s="17" t="s">
        <v>4813</v>
      </c>
      <c r="G1513" s="17">
        <f>MATCH(E1513,Arenas!$F$8:$F$15)</f>
        <v>5</v>
      </c>
      <c r="H1513" s="29" t="s">
        <v>2883</v>
      </c>
      <c r="I1513" s="33" t="s">
        <v>8016</v>
      </c>
      <c r="J1513" s="47" t="s">
        <v>5396</v>
      </c>
      <c r="K1513" s="61" t="s">
        <v>4779</v>
      </c>
      <c r="L1513" s="12" t="str">
        <f t="shared" si="69"/>
        <v>2,2,2</v>
      </c>
    </row>
    <row r="1514" spans="2:12">
      <c r="B1514" s="17">
        <v>1813</v>
      </c>
      <c r="C1514" s="17">
        <v>2</v>
      </c>
      <c r="D1514" s="17">
        <f t="shared" si="71"/>
        <v>1</v>
      </c>
      <c r="E1514" s="17">
        <f t="shared" si="70"/>
        <v>1652</v>
      </c>
      <c r="F1514" s="17" t="s">
        <v>4813</v>
      </c>
      <c r="G1514" s="17">
        <f>MATCH(E1514,Arenas!$F$8:$F$15)</f>
        <v>5</v>
      </c>
      <c r="H1514" s="29" t="s">
        <v>2884</v>
      </c>
      <c r="I1514" s="33" t="s">
        <v>8017</v>
      </c>
      <c r="J1514" s="47" t="s">
        <v>8018</v>
      </c>
      <c r="K1514" s="61" t="s">
        <v>4779</v>
      </c>
      <c r="L1514" s="12" t="str">
        <f t="shared" si="69"/>
        <v>2,2,2</v>
      </c>
    </row>
    <row r="1515" spans="2:12">
      <c r="B1515" s="17">
        <v>1814</v>
      </c>
      <c r="C1515" s="17">
        <v>2</v>
      </c>
      <c r="D1515" s="17">
        <f t="shared" si="71"/>
        <v>0</v>
      </c>
      <c r="E1515" s="17">
        <f t="shared" si="70"/>
        <v>1652</v>
      </c>
      <c r="F1515" s="17" t="s">
        <v>4813</v>
      </c>
      <c r="G1515" s="17">
        <f>MATCH(E1515,Arenas!$F$8:$F$15)</f>
        <v>5</v>
      </c>
      <c r="H1515" s="29" t="s">
        <v>2885</v>
      </c>
      <c r="I1515" s="33" t="s">
        <v>8019</v>
      </c>
      <c r="J1515" s="47" t="s">
        <v>8020</v>
      </c>
      <c r="K1515" s="61" t="s">
        <v>4779</v>
      </c>
      <c r="L1515" s="12" t="str">
        <f t="shared" si="69"/>
        <v>2,2,2</v>
      </c>
    </row>
    <row r="1516" spans="2:12">
      <c r="B1516" s="17">
        <v>1815</v>
      </c>
      <c r="C1516" s="17">
        <v>2</v>
      </c>
      <c r="D1516" s="17">
        <f t="shared" si="71"/>
        <v>0</v>
      </c>
      <c r="E1516" s="17">
        <f t="shared" si="70"/>
        <v>1652</v>
      </c>
      <c r="F1516" s="17" t="s">
        <v>4813</v>
      </c>
      <c r="G1516" s="17">
        <f>MATCH(E1516,Arenas!$F$8:$F$15)</f>
        <v>5</v>
      </c>
      <c r="H1516" s="29" t="s">
        <v>2886</v>
      </c>
      <c r="I1516" s="33" t="s">
        <v>8021</v>
      </c>
      <c r="J1516" s="47" t="s">
        <v>8022</v>
      </c>
      <c r="K1516" s="61" t="s">
        <v>4779</v>
      </c>
      <c r="L1516" s="12" t="str">
        <f t="shared" si="69"/>
        <v>2,2,2</v>
      </c>
    </row>
    <row r="1517" spans="2:12">
      <c r="B1517" s="17">
        <v>1816</v>
      </c>
      <c r="C1517" s="17">
        <v>2</v>
      </c>
      <c r="D1517" s="17">
        <f t="shared" si="71"/>
        <v>1</v>
      </c>
      <c r="E1517" s="17">
        <f t="shared" si="70"/>
        <v>1653</v>
      </c>
      <c r="F1517" s="17" t="s">
        <v>4813</v>
      </c>
      <c r="G1517" s="17">
        <f>MATCH(E1517,Arenas!$F$8:$F$15)</f>
        <v>5</v>
      </c>
      <c r="H1517" s="29" t="s">
        <v>2887</v>
      </c>
      <c r="I1517" s="33" t="s">
        <v>8023</v>
      </c>
      <c r="J1517" s="47" t="s">
        <v>8024</v>
      </c>
      <c r="K1517" s="61" t="s">
        <v>4779</v>
      </c>
      <c r="L1517" s="12" t="str">
        <f t="shared" si="69"/>
        <v>2,2,2</v>
      </c>
    </row>
    <row r="1518" spans="2:12">
      <c r="B1518" s="17">
        <v>1817</v>
      </c>
      <c r="C1518" s="17">
        <v>2</v>
      </c>
      <c r="D1518" s="17">
        <f t="shared" si="71"/>
        <v>0</v>
      </c>
      <c r="E1518" s="17">
        <f t="shared" si="70"/>
        <v>1653</v>
      </c>
      <c r="F1518" s="17" t="s">
        <v>4813</v>
      </c>
      <c r="G1518" s="17">
        <f>MATCH(E1518,Arenas!$F$8:$F$15)</f>
        <v>5</v>
      </c>
      <c r="H1518" s="29" t="s">
        <v>2888</v>
      </c>
      <c r="I1518" s="33" t="s">
        <v>8025</v>
      </c>
      <c r="J1518" s="47" t="s">
        <v>8026</v>
      </c>
      <c r="K1518" s="61" t="s">
        <v>4806</v>
      </c>
      <c r="L1518" s="12" t="str">
        <f t="shared" si="69"/>
        <v>2,2,2</v>
      </c>
    </row>
    <row r="1519" spans="2:12">
      <c r="B1519" s="17">
        <v>1818</v>
      </c>
      <c r="C1519" s="17">
        <v>2</v>
      </c>
      <c r="D1519" s="17">
        <f t="shared" si="71"/>
        <v>0</v>
      </c>
      <c r="E1519" s="17">
        <f t="shared" si="70"/>
        <v>1653</v>
      </c>
      <c r="F1519" s="17" t="s">
        <v>4813</v>
      </c>
      <c r="G1519" s="17">
        <f>MATCH(E1519,Arenas!$F$8:$F$15)</f>
        <v>5</v>
      </c>
      <c r="H1519" s="29" t="s">
        <v>2889</v>
      </c>
      <c r="I1519" s="33" t="s">
        <v>8027</v>
      </c>
      <c r="J1519" s="47" t="s">
        <v>8028</v>
      </c>
      <c r="K1519" s="61" t="s">
        <v>4779</v>
      </c>
      <c r="L1519" s="12" t="str">
        <f t="shared" si="69"/>
        <v>2,2,2</v>
      </c>
    </row>
    <row r="1520" spans="2:12">
      <c r="B1520" s="17">
        <v>1819</v>
      </c>
      <c r="C1520" s="17">
        <v>2</v>
      </c>
      <c r="D1520" s="17">
        <f t="shared" si="71"/>
        <v>1</v>
      </c>
      <c r="E1520" s="17">
        <f t="shared" si="70"/>
        <v>1654</v>
      </c>
      <c r="F1520" s="17" t="s">
        <v>4813</v>
      </c>
      <c r="G1520" s="17">
        <f>MATCH(E1520,Arenas!$F$8:$F$15)</f>
        <v>5</v>
      </c>
      <c r="H1520" s="29" t="s">
        <v>2890</v>
      </c>
      <c r="I1520" s="33" t="s">
        <v>8029</v>
      </c>
      <c r="J1520" s="47" t="s">
        <v>8030</v>
      </c>
      <c r="K1520" s="61" t="s">
        <v>4779</v>
      </c>
      <c r="L1520" s="12" t="str">
        <f t="shared" si="69"/>
        <v>2,2,2</v>
      </c>
    </row>
    <row r="1521" spans="2:12">
      <c r="B1521" s="17">
        <v>1820</v>
      </c>
      <c r="C1521" s="17">
        <v>2</v>
      </c>
      <c r="D1521" s="17">
        <f t="shared" si="71"/>
        <v>0</v>
      </c>
      <c r="E1521" s="17">
        <f t="shared" si="70"/>
        <v>1654</v>
      </c>
      <c r="F1521" s="17" t="s">
        <v>4813</v>
      </c>
      <c r="G1521" s="17">
        <f>MATCH(E1521,Arenas!$F$8:$F$15)</f>
        <v>5</v>
      </c>
      <c r="H1521" s="29" t="s">
        <v>2891</v>
      </c>
      <c r="I1521" s="33" t="s">
        <v>8031</v>
      </c>
      <c r="J1521" s="47" t="s">
        <v>5721</v>
      </c>
      <c r="K1521" s="61" t="s">
        <v>4779</v>
      </c>
      <c r="L1521" s="12" t="str">
        <f t="shared" si="69"/>
        <v>2,2,2</v>
      </c>
    </row>
    <row r="1522" spans="2:12">
      <c r="B1522" s="17">
        <v>1821</v>
      </c>
      <c r="C1522" s="17">
        <v>2</v>
      </c>
      <c r="D1522" s="17">
        <f t="shared" si="71"/>
        <v>0</v>
      </c>
      <c r="E1522" s="17">
        <f t="shared" si="70"/>
        <v>1654</v>
      </c>
      <c r="F1522" s="17" t="s">
        <v>4813</v>
      </c>
      <c r="G1522" s="17">
        <f>MATCH(E1522,Arenas!$F$8:$F$15)</f>
        <v>5</v>
      </c>
      <c r="H1522" s="29" t="s">
        <v>2892</v>
      </c>
      <c r="I1522" s="33" t="s">
        <v>8032</v>
      </c>
      <c r="J1522" s="47" t="s">
        <v>5846</v>
      </c>
      <c r="K1522" s="61" t="s">
        <v>4779</v>
      </c>
      <c r="L1522" s="12" t="str">
        <f t="shared" si="69"/>
        <v>2,2,2</v>
      </c>
    </row>
    <row r="1523" spans="2:12">
      <c r="B1523" s="17">
        <v>1822</v>
      </c>
      <c r="C1523" s="17">
        <v>2</v>
      </c>
      <c r="D1523" s="17">
        <f t="shared" si="71"/>
        <v>1</v>
      </c>
      <c r="E1523" s="17">
        <f t="shared" si="70"/>
        <v>1655</v>
      </c>
      <c r="F1523" s="17" t="s">
        <v>4813</v>
      </c>
      <c r="G1523" s="17">
        <f>MATCH(E1523,Arenas!$F$8:$F$15)</f>
        <v>5</v>
      </c>
      <c r="H1523" s="29" t="s">
        <v>2893</v>
      </c>
      <c r="I1523" s="33" t="s">
        <v>8033</v>
      </c>
      <c r="J1523" s="47" t="s">
        <v>8034</v>
      </c>
      <c r="K1523" s="61" t="s">
        <v>4779</v>
      </c>
      <c r="L1523" s="12" t="str">
        <f t="shared" si="69"/>
        <v>2,2,2</v>
      </c>
    </row>
    <row r="1524" spans="2:12">
      <c r="B1524" s="17">
        <v>1823</v>
      </c>
      <c r="C1524" s="17">
        <v>2</v>
      </c>
      <c r="D1524" s="17">
        <f t="shared" si="71"/>
        <v>0</v>
      </c>
      <c r="E1524" s="17">
        <f t="shared" si="70"/>
        <v>1655</v>
      </c>
      <c r="F1524" s="17" t="s">
        <v>4813</v>
      </c>
      <c r="G1524" s="17">
        <f>MATCH(E1524,Arenas!$F$8:$F$15)</f>
        <v>5</v>
      </c>
      <c r="H1524" s="29" t="s">
        <v>2894</v>
      </c>
      <c r="I1524" s="33" t="s">
        <v>8035</v>
      </c>
      <c r="J1524" s="47" t="s">
        <v>5082</v>
      </c>
      <c r="K1524" s="61" t="s">
        <v>4779</v>
      </c>
      <c r="L1524" s="12" t="str">
        <f t="shared" si="69"/>
        <v>2,2,2</v>
      </c>
    </row>
    <row r="1525" spans="2:12">
      <c r="B1525" s="17">
        <v>1824</v>
      </c>
      <c r="C1525" s="17">
        <v>2</v>
      </c>
      <c r="D1525" s="17">
        <f t="shared" si="71"/>
        <v>0</v>
      </c>
      <c r="E1525" s="17">
        <f t="shared" si="70"/>
        <v>1655</v>
      </c>
      <c r="F1525" s="17" t="s">
        <v>4813</v>
      </c>
      <c r="G1525" s="17">
        <f>MATCH(E1525,Arenas!$F$8:$F$15)</f>
        <v>5</v>
      </c>
      <c r="H1525" s="29" t="s">
        <v>2895</v>
      </c>
      <c r="I1525" s="33" t="s">
        <v>8036</v>
      </c>
      <c r="J1525" s="47" t="s">
        <v>5525</v>
      </c>
      <c r="K1525" s="61" t="s">
        <v>4779</v>
      </c>
      <c r="L1525" s="12" t="str">
        <f t="shared" si="69"/>
        <v>2,2,2</v>
      </c>
    </row>
    <row r="1526" spans="2:12">
      <c r="B1526" s="17">
        <v>1825</v>
      </c>
      <c r="C1526" s="17">
        <v>2</v>
      </c>
      <c r="D1526" s="17">
        <f t="shared" si="71"/>
        <v>1</v>
      </c>
      <c r="E1526" s="17">
        <f t="shared" si="70"/>
        <v>1656</v>
      </c>
      <c r="F1526" s="17" t="s">
        <v>4813</v>
      </c>
      <c r="G1526" s="17">
        <f>MATCH(E1526,Arenas!$F$8:$F$15)</f>
        <v>5</v>
      </c>
      <c r="H1526" s="29" t="s">
        <v>2896</v>
      </c>
      <c r="I1526" s="33" t="s">
        <v>8037</v>
      </c>
      <c r="J1526" s="47" t="s">
        <v>5469</v>
      </c>
      <c r="K1526" s="61" t="s">
        <v>4779</v>
      </c>
      <c r="L1526" s="12" t="str">
        <f t="shared" si="69"/>
        <v>2,2,2</v>
      </c>
    </row>
    <row r="1527" spans="2:12">
      <c r="B1527" s="17">
        <v>1826</v>
      </c>
      <c r="C1527" s="17">
        <v>2</v>
      </c>
      <c r="D1527" s="17">
        <f t="shared" si="71"/>
        <v>0</v>
      </c>
      <c r="E1527" s="17">
        <f t="shared" si="70"/>
        <v>1656</v>
      </c>
      <c r="F1527" s="17" t="s">
        <v>4813</v>
      </c>
      <c r="G1527" s="17">
        <f>MATCH(E1527,Arenas!$F$8:$F$15)</f>
        <v>5</v>
      </c>
      <c r="H1527" s="29" t="s">
        <v>2897</v>
      </c>
      <c r="I1527" s="33" t="s">
        <v>8038</v>
      </c>
      <c r="J1527" s="47" t="s">
        <v>4613</v>
      </c>
      <c r="K1527" s="61" t="s">
        <v>4779</v>
      </c>
      <c r="L1527" s="12" t="str">
        <f t="shared" si="69"/>
        <v>2,2,2</v>
      </c>
    </row>
    <row r="1528" spans="2:12">
      <c r="B1528" s="17">
        <v>1827</v>
      </c>
      <c r="C1528" s="17">
        <v>2</v>
      </c>
      <c r="D1528" s="17">
        <f t="shared" si="71"/>
        <v>0</v>
      </c>
      <c r="E1528" s="17">
        <f t="shared" si="70"/>
        <v>1656</v>
      </c>
      <c r="F1528" s="17" t="s">
        <v>4813</v>
      </c>
      <c r="G1528" s="17">
        <f>MATCH(E1528,Arenas!$F$8:$F$15)</f>
        <v>5</v>
      </c>
      <c r="H1528" s="29" t="s">
        <v>2898</v>
      </c>
      <c r="I1528" s="33" t="s">
        <v>8039</v>
      </c>
      <c r="J1528" s="47" t="s">
        <v>8040</v>
      </c>
      <c r="K1528" s="61" t="s">
        <v>4779</v>
      </c>
      <c r="L1528" s="12" t="str">
        <f t="shared" si="69"/>
        <v>2,2,2</v>
      </c>
    </row>
    <row r="1529" spans="2:12">
      <c r="B1529" s="17">
        <v>1828</v>
      </c>
      <c r="C1529" s="17">
        <v>2</v>
      </c>
      <c r="D1529" s="17">
        <f t="shared" si="71"/>
        <v>1</v>
      </c>
      <c r="E1529" s="17">
        <f t="shared" si="70"/>
        <v>1657</v>
      </c>
      <c r="F1529" s="17" t="s">
        <v>4813</v>
      </c>
      <c r="G1529" s="17">
        <f>MATCH(E1529,Arenas!$F$8:$F$15)</f>
        <v>5</v>
      </c>
      <c r="H1529" s="29" t="s">
        <v>2899</v>
      </c>
      <c r="I1529" s="33" t="s">
        <v>8041</v>
      </c>
      <c r="J1529" s="47" t="s">
        <v>5349</v>
      </c>
      <c r="K1529" s="61" t="s">
        <v>4779</v>
      </c>
      <c r="L1529" s="12" t="str">
        <f t="shared" si="69"/>
        <v>2,2,2</v>
      </c>
    </row>
    <row r="1530" spans="2:12">
      <c r="B1530" s="17">
        <v>1829</v>
      </c>
      <c r="C1530" s="17">
        <v>2</v>
      </c>
      <c r="D1530" s="17">
        <f t="shared" si="71"/>
        <v>0</v>
      </c>
      <c r="E1530" s="17">
        <f t="shared" si="70"/>
        <v>1657</v>
      </c>
      <c r="F1530" s="17" t="s">
        <v>4813</v>
      </c>
      <c r="G1530" s="17">
        <f>MATCH(E1530,Arenas!$F$8:$F$15)</f>
        <v>5</v>
      </c>
      <c r="H1530" s="29" t="s">
        <v>2900</v>
      </c>
      <c r="I1530" s="33" t="s">
        <v>8042</v>
      </c>
      <c r="J1530" s="47" t="s">
        <v>4671</v>
      </c>
      <c r="K1530" s="61" t="s">
        <v>4779</v>
      </c>
      <c r="L1530" s="12" t="str">
        <f t="shared" si="69"/>
        <v>2,2,2</v>
      </c>
    </row>
    <row r="1531" spans="2:12">
      <c r="B1531" s="17">
        <v>1830</v>
      </c>
      <c r="C1531" s="17">
        <v>2</v>
      </c>
      <c r="D1531" s="17">
        <f t="shared" si="71"/>
        <v>0</v>
      </c>
      <c r="E1531" s="17">
        <f t="shared" si="70"/>
        <v>1657</v>
      </c>
      <c r="F1531" s="17" t="s">
        <v>4813</v>
      </c>
      <c r="G1531" s="17">
        <f>MATCH(E1531,Arenas!$F$8:$F$15)</f>
        <v>5</v>
      </c>
      <c r="H1531" s="29" t="s">
        <v>2901</v>
      </c>
      <c r="I1531" s="33" t="s">
        <v>8043</v>
      </c>
      <c r="J1531" s="47" t="s">
        <v>8044</v>
      </c>
      <c r="K1531" s="61" t="s">
        <v>4779</v>
      </c>
      <c r="L1531" s="12" t="str">
        <f t="shared" si="69"/>
        <v>2,2,2</v>
      </c>
    </row>
    <row r="1532" spans="2:12">
      <c r="B1532" s="17">
        <v>1831</v>
      </c>
      <c r="C1532" s="17">
        <v>2</v>
      </c>
      <c r="D1532" s="17">
        <f t="shared" si="71"/>
        <v>1</v>
      </c>
      <c r="E1532" s="17">
        <f t="shared" si="70"/>
        <v>1658</v>
      </c>
      <c r="F1532" s="17" t="s">
        <v>4813</v>
      </c>
      <c r="G1532" s="17">
        <f>MATCH(E1532,Arenas!$F$8:$F$15)</f>
        <v>5</v>
      </c>
      <c r="H1532" s="29" t="s">
        <v>2902</v>
      </c>
      <c r="I1532" s="33" t="s">
        <v>8045</v>
      </c>
      <c r="J1532" s="47" t="s">
        <v>8046</v>
      </c>
      <c r="K1532" s="61" t="s">
        <v>4809</v>
      </c>
      <c r="L1532" s="12" t="str">
        <f t="shared" si="69"/>
        <v>2,2,2</v>
      </c>
    </row>
    <row r="1533" spans="2:12">
      <c r="B1533" s="17">
        <v>1832</v>
      </c>
      <c r="C1533" s="17">
        <v>2</v>
      </c>
      <c r="D1533" s="17">
        <f t="shared" si="71"/>
        <v>0</v>
      </c>
      <c r="E1533" s="17">
        <f t="shared" si="70"/>
        <v>1658</v>
      </c>
      <c r="F1533" s="17" t="s">
        <v>4813</v>
      </c>
      <c r="G1533" s="17">
        <f>MATCH(E1533,Arenas!$F$8:$F$15)</f>
        <v>5</v>
      </c>
      <c r="H1533" s="29" t="s">
        <v>2903</v>
      </c>
      <c r="I1533" s="33" t="s">
        <v>8047</v>
      </c>
      <c r="J1533" s="47" t="s">
        <v>5486</v>
      </c>
      <c r="K1533" s="61" t="s">
        <v>4779</v>
      </c>
      <c r="L1533" s="12" t="str">
        <f t="shared" si="69"/>
        <v>2,2,2</v>
      </c>
    </row>
    <row r="1534" spans="2:12">
      <c r="B1534" s="17">
        <v>1833</v>
      </c>
      <c r="C1534" s="17">
        <v>2</v>
      </c>
      <c r="D1534" s="17">
        <f t="shared" si="71"/>
        <v>0</v>
      </c>
      <c r="E1534" s="17">
        <f t="shared" si="70"/>
        <v>1658</v>
      </c>
      <c r="F1534" s="17" t="s">
        <v>4813</v>
      </c>
      <c r="G1534" s="17">
        <f>MATCH(E1534,Arenas!$F$8:$F$15)</f>
        <v>5</v>
      </c>
      <c r="H1534" s="29" t="s">
        <v>2904</v>
      </c>
      <c r="I1534" s="33" t="s">
        <v>8048</v>
      </c>
      <c r="J1534" s="47" t="s">
        <v>8040</v>
      </c>
      <c r="K1534" s="61" t="s">
        <v>4779</v>
      </c>
      <c r="L1534" s="12" t="str">
        <f t="shared" si="69"/>
        <v>2,2,2</v>
      </c>
    </row>
    <row r="1535" spans="2:12">
      <c r="B1535" s="17">
        <v>1834</v>
      </c>
      <c r="C1535" s="17">
        <v>2</v>
      </c>
      <c r="D1535" s="17">
        <f t="shared" si="71"/>
        <v>1</v>
      </c>
      <c r="E1535" s="17">
        <f t="shared" si="70"/>
        <v>1659</v>
      </c>
      <c r="F1535" s="17" t="s">
        <v>4813</v>
      </c>
      <c r="G1535" s="17">
        <f>MATCH(E1535,Arenas!$F$8:$F$15)</f>
        <v>5</v>
      </c>
      <c r="H1535" s="29" t="s">
        <v>2905</v>
      </c>
      <c r="I1535" s="33" t="s">
        <v>8049</v>
      </c>
      <c r="J1535" s="47" t="s">
        <v>5041</v>
      </c>
      <c r="K1535" s="61" t="s">
        <v>4810</v>
      </c>
      <c r="L1535" s="12" t="str">
        <f t="shared" si="69"/>
        <v>2,2,2</v>
      </c>
    </row>
    <row r="1536" spans="2:12">
      <c r="B1536" s="17">
        <v>1835</v>
      </c>
      <c r="C1536" s="17">
        <v>2</v>
      </c>
      <c r="D1536" s="17">
        <f t="shared" si="71"/>
        <v>0</v>
      </c>
      <c r="E1536" s="17">
        <f t="shared" si="70"/>
        <v>1659</v>
      </c>
      <c r="F1536" s="17" t="s">
        <v>4813</v>
      </c>
      <c r="G1536" s="17">
        <f>MATCH(E1536,Arenas!$F$8:$F$15)</f>
        <v>5</v>
      </c>
      <c r="H1536" s="29" t="s">
        <v>2906</v>
      </c>
      <c r="I1536" s="33" t="s">
        <v>8050</v>
      </c>
      <c r="J1536" s="47" t="s">
        <v>8051</v>
      </c>
      <c r="K1536" s="61" t="s">
        <v>4779</v>
      </c>
      <c r="L1536" s="12" t="str">
        <f t="shared" si="69"/>
        <v>2,2,2</v>
      </c>
    </row>
    <row r="1537" spans="2:12">
      <c r="B1537" s="17">
        <v>1836</v>
      </c>
      <c r="C1537" s="17">
        <v>2</v>
      </c>
      <c r="D1537" s="17">
        <f t="shared" si="71"/>
        <v>0</v>
      </c>
      <c r="E1537" s="17">
        <f t="shared" si="70"/>
        <v>1659</v>
      </c>
      <c r="F1537" s="17" t="s">
        <v>4813</v>
      </c>
      <c r="G1537" s="17">
        <f>MATCH(E1537,Arenas!$F$8:$F$15)</f>
        <v>5</v>
      </c>
      <c r="H1537" s="29" t="s">
        <v>2907</v>
      </c>
      <c r="I1537" s="33" t="s">
        <v>8052</v>
      </c>
      <c r="J1537" s="47" t="s">
        <v>8053</v>
      </c>
      <c r="K1537" s="61" t="s">
        <v>4779</v>
      </c>
      <c r="L1537" s="12" t="str">
        <f t="shared" si="69"/>
        <v>2,2,2</v>
      </c>
    </row>
    <row r="1538" spans="2:12">
      <c r="B1538" s="17">
        <v>1837</v>
      </c>
      <c r="C1538" s="17">
        <v>2</v>
      </c>
      <c r="D1538" s="17">
        <f t="shared" si="71"/>
        <v>1</v>
      </c>
      <c r="E1538" s="17">
        <f t="shared" si="70"/>
        <v>1660</v>
      </c>
      <c r="F1538" s="17" t="s">
        <v>4813</v>
      </c>
      <c r="G1538" s="17">
        <f>MATCH(E1538,Arenas!$F$8:$F$15)</f>
        <v>5</v>
      </c>
      <c r="H1538" s="29" t="s">
        <v>2908</v>
      </c>
      <c r="I1538" s="33" t="s">
        <v>8054</v>
      </c>
      <c r="J1538" s="47" t="s">
        <v>8055</v>
      </c>
      <c r="K1538" s="61" t="s">
        <v>4779</v>
      </c>
      <c r="L1538" s="12" t="str">
        <f t="shared" ref="L1538:L1601" si="72">C1538&amp;","&amp;C1538&amp;","&amp;C1538</f>
        <v>2,2,2</v>
      </c>
    </row>
    <row r="1539" spans="2:12">
      <c r="B1539" s="17">
        <v>1838</v>
      </c>
      <c r="C1539" s="17">
        <v>2</v>
      </c>
      <c r="D1539" s="17">
        <f t="shared" si="71"/>
        <v>0</v>
      </c>
      <c r="E1539" s="17">
        <f t="shared" ref="E1539:E1602" si="73">D1539+E1538</f>
        <v>1660</v>
      </c>
      <c r="F1539" s="17" t="s">
        <v>4813</v>
      </c>
      <c r="G1539" s="17">
        <f>MATCH(E1539,Arenas!$F$8:$F$15)</f>
        <v>5</v>
      </c>
      <c r="H1539" s="29" t="s">
        <v>2909</v>
      </c>
      <c r="I1539" s="33" t="s">
        <v>8056</v>
      </c>
      <c r="J1539" s="47" t="s">
        <v>8057</v>
      </c>
      <c r="K1539" s="61" t="s">
        <v>4779</v>
      </c>
      <c r="L1539" s="12" t="str">
        <f t="shared" si="72"/>
        <v>2,2,2</v>
      </c>
    </row>
    <row r="1540" spans="2:12">
      <c r="B1540" s="17">
        <v>1839</v>
      </c>
      <c r="C1540" s="17">
        <v>2</v>
      </c>
      <c r="D1540" s="17">
        <f t="shared" si="71"/>
        <v>0</v>
      </c>
      <c r="E1540" s="17">
        <f t="shared" si="73"/>
        <v>1660</v>
      </c>
      <c r="F1540" s="17" t="s">
        <v>4813</v>
      </c>
      <c r="G1540" s="17">
        <f>MATCH(E1540,Arenas!$F$8:$F$15)</f>
        <v>5</v>
      </c>
      <c r="H1540" s="29" t="s">
        <v>2910</v>
      </c>
      <c r="I1540" s="33" t="s">
        <v>8058</v>
      </c>
      <c r="J1540" s="47" t="s">
        <v>8059</v>
      </c>
      <c r="K1540" s="61" t="s">
        <v>4809</v>
      </c>
      <c r="L1540" s="12" t="str">
        <f t="shared" si="72"/>
        <v>2,2,2</v>
      </c>
    </row>
    <row r="1541" spans="2:12">
      <c r="B1541" s="17">
        <v>1840</v>
      </c>
      <c r="C1541" s="17">
        <v>2</v>
      </c>
      <c r="D1541" s="17">
        <f t="shared" ref="D1541:D1604" si="74">D1538</f>
        <v>1</v>
      </c>
      <c r="E1541" s="17">
        <f t="shared" si="73"/>
        <v>1661</v>
      </c>
      <c r="F1541" s="17" t="s">
        <v>4813</v>
      </c>
      <c r="G1541" s="17">
        <f>MATCH(E1541,Arenas!$F$8:$F$15)</f>
        <v>5</v>
      </c>
      <c r="H1541" s="29" t="s">
        <v>2911</v>
      </c>
      <c r="I1541" s="33" t="s">
        <v>8060</v>
      </c>
      <c r="J1541" s="47" t="s">
        <v>5556</v>
      </c>
      <c r="K1541" s="61" t="s">
        <v>4779</v>
      </c>
      <c r="L1541" s="12" t="str">
        <f t="shared" si="72"/>
        <v>2,2,2</v>
      </c>
    </row>
    <row r="1542" spans="2:12">
      <c r="B1542" s="17">
        <v>1841</v>
      </c>
      <c r="C1542" s="17">
        <v>2</v>
      </c>
      <c r="D1542" s="17">
        <f t="shared" si="74"/>
        <v>0</v>
      </c>
      <c r="E1542" s="17">
        <f t="shared" si="73"/>
        <v>1661</v>
      </c>
      <c r="F1542" s="17" t="s">
        <v>4813</v>
      </c>
      <c r="G1542" s="17">
        <f>MATCH(E1542,Arenas!$F$8:$F$15)</f>
        <v>5</v>
      </c>
      <c r="H1542" s="29" t="s">
        <v>2912</v>
      </c>
      <c r="I1542" s="33" t="s">
        <v>8061</v>
      </c>
      <c r="J1542" s="47" t="s">
        <v>5140</v>
      </c>
      <c r="K1542" s="61" t="s">
        <v>4779</v>
      </c>
      <c r="L1542" s="12" t="str">
        <f t="shared" si="72"/>
        <v>2,2,2</v>
      </c>
    </row>
    <row r="1543" spans="2:12">
      <c r="B1543" s="17">
        <v>1842</v>
      </c>
      <c r="C1543" s="17">
        <v>2</v>
      </c>
      <c r="D1543" s="17">
        <f t="shared" si="74"/>
        <v>0</v>
      </c>
      <c r="E1543" s="17">
        <f t="shared" si="73"/>
        <v>1661</v>
      </c>
      <c r="F1543" s="17" t="s">
        <v>4813</v>
      </c>
      <c r="G1543" s="17">
        <f>MATCH(E1543,Arenas!$F$8:$F$15)</f>
        <v>5</v>
      </c>
      <c r="H1543" s="29" t="s">
        <v>2913</v>
      </c>
      <c r="I1543" s="33" t="s">
        <v>8062</v>
      </c>
      <c r="J1543" s="47" t="s">
        <v>8063</v>
      </c>
      <c r="K1543" s="61" t="s">
        <v>4779</v>
      </c>
      <c r="L1543" s="12" t="str">
        <f t="shared" si="72"/>
        <v>2,2,2</v>
      </c>
    </row>
    <row r="1544" spans="2:12">
      <c r="B1544" s="17">
        <v>1843</v>
      </c>
      <c r="C1544" s="17">
        <v>2</v>
      </c>
      <c r="D1544" s="17">
        <f t="shared" si="74"/>
        <v>1</v>
      </c>
      <c r="E1544" s="17">
        <f t="shared" si="73"/>
        <v>1662</v>
      </c>
      <c r="F1544" s="17" t="s">
        <v>4813</v>
      </c>
      <c r="G1544" s="17">
        <f>MATCH(E1544,Arenas!$F$8:$F$15)</f>
        <v>5</v>
      </c>
      <c r="H1544" s="29" t="s">
        <v>2914</v>
      </c>
      <c r="I1544" s="33" t="s">
        <v>8064</v>
      </c>
      <c r="J1544" s="47" t="s">
        <v>8065</v>
      </c>
      <c r="K1544" s="61" t="s">
        <v>4807</v>
      </c>
      <c r="L1544" s="12" t="str">
        <f t="shared" si="72"/>
        <v>2,2,2</v>
      </c>
    </row>
    <row r="1545" spans="2:12">
      <c r="B1545" s="17">
        <v>1844</v>
      </c>
      <c r="C1545" s="17">
        <v>2</v>
      </c>
      <c r="D1545" s="17">
        <f t="shared" si="74"/>
        <v>0</v>
      </c>
      <c r="E1545" s="17">
        <f t="shared" si="73"/>
        <v>1662</v>
      </c>
      <c r="F1545" s="17" t="s">
        <v>4813</v>
      </c>
      <c r="G1545" s="17">
        <f>MATCH(E1545,Arenas!$F$8:$F$15)</f>
        <v>5</v>
      </c>
      <c r="H1545" s="29" t="s">
        <v>2915</v>
      </c>
      <c r="I1545" s="33" t="s">
        <v>8066</v>
      </c>
      <c r="J1545" s="47" t="s">
        <v>5144</v>
      </c>
      <c r="K1545" s="61" t="s">
        <v>4779</v>
      </c>
      <c r="L1545" s="12" t="str">
        <f t="shared" si="72"/>
        <v>2,2,2</v>
      </c>
    </row>
    <row r="1546" spans="2:12">
      <c r="B1546" s="17">
        <v>1845</v>
      </c>
      <c r="C1546" s="17">
        <v>2</v>
      </c>
      <c r="D1546" s="17">
        <f t="shared" si="74"/>
        <v>0</v>
      </c>
      <c r="E1546" s="17">
        <f t="shared" si="73"/>
        <v>1662</v>
      </c>
      <c r="F1546" s="17" t="s">
        <v>4813</v>
      </c>
      <c r="G1546" s="17">
        <f>MATCH(E1546,Arenas!$F$8:$F$15)</f>
        <v>5</v>
      </c>
      <c r="H1546" s="29" t="s">
        <v>2916</v>
      </c>
      <c r="I1546" s="33" t="s">
        <v>8067</v>
      </c>
      <c r="J1546" s="47" t="s">
        <v>8068</v>
      </c>
      <c r="K1546" s="61" t="s">
        <v>4779</v>
      </c>
      <c r="L1546" s="12" t="str">
        <f t="shared" si="72"/>
        <v>2,2,2</v>
      </c>
    </row>
    <row r="1547" spans="2:12">
      <c r="B1547" s="17">
        <v>1846</v>
      </c>
      <c r="C1547" s="17">
        <v>2</v>
      </c>
      <c r="D1547" s="17">
        <f t="shared" si="74"/>
        <v>1</v>
      </c>
      <c r="E1547" s="17">
        <f t="shared" si="73"/>
        <v>1663</v>
      </c>
      <c r="F1547" s="17" t="s">
        <v>4813</v>
      </c>
      <c r="G1547" s="17">
        <f>MATCH(E1547,Arenas!$F$8:$F$15)</f>
        <v>5</v>
      </c>
      <c r="H1547" s="29" t="s">
        <v>2917</v>
      </c>
      <c r="I1547" s="33" t="s">
        <v>8069</v>
      </c>
      <c r="J1547" s="47" t="s">
        <v>5578</v>
      </c>
      <c r="K1547" s="61" t="s">
        <v>4779</v>
      </c>
      <c r="L1547" s="12" t="str">
        <f t="shared" si="72"/>
        <v>2,2,2</v>
      </c>
    </row>
    <row r="1548" spans="2:12">
      <c r="B1548" s="17">
        <v>1847</v>
      </c>
      <c r="C1548" s="17">
        <v>2</v>
      </c>
      <c r="D1548" s="17">
        <f t="shared" si="74"/>
        <v>0</v>
      </c>
      <c r="E1548" s="17">
        <f t="shared" si="73"/>
        <v>1663</v>
      </c>
      <c r="F1548" s="17" t="s">
        <v>4813</v>
      </c>
      <c r="G1548" s="17">
        <f>MATCH(E1548,Arenas!$F$8:$F$15)</f>
        <v>5</v>
      </c>
      <c r="H1548" s="29" t="s">
        <v>2918</v>
      </c>
      <c r="I1548" s="33" t="s">
        <v>8070</v>
      </c>
      <c r="J1548" s="47" t="s">
        <v>8071</v>
      </c>
      <c r="K1548" s="61" t="s">
        <v>4779</v>
      </c>
      <c r="L1548" s="12" t="str">
        <f t="shared" si="72"/>
        <v>2,2,2</v>
      </c>
    </row>
    <row r="1549" spans="2:12">
      <c r="B1549" s="17">
        <v>1848</v>
      </c>
      <c r="C1549" s="17">
        <v>2</v>
      </c>
      <c r="D1549" s="17">
        <f t="shared" si="74"/>
        <v>0</v>
      </c>
      <c r="E1549" s="17">
        <f t="shared" si="73"/>
        <v>1663</v>
      </c>
      <c r="F1549" s="17" t="s">
        <v>4813</v>
      </c>
      <c r="G1549" s="17">
        <f>MATCH(E1549,Arenas!$F$8:$F$15)</f>
        <v>5</v>
      </c>
      <c r="H1549" s="29" t="s">
        <v>2919</v>
      </c>
      <c r="I1549" s="33" t="s">
        <v>8072</v>
      </c>
      <c r="J1549" s="47" t="s">
        <v>5605</v>
      </c>
      <c r="K1549" s="61" t="s">
        <v>4779</v>
      </c>
      <c r="L1549" s="12" t="str">
        <f t="shared" si="72"/>
        <v>2,2,2</v>
      </c>
    </row>
    <row r="1550" spans="2:12">
      <c r="B1550" s="17">
        <v>1849</v>
      </c>
      <c r="C1550" s="17">
        <v>2</v>
      </c>
      <c r="D1550" s="17">
        <f t="shared" si="74"/>
        <v>1</v>
      </c>
      <c r="E1550" s="17">
        <f t="shared" si="73"/>
        <v>1664</v>
      </c>
      <c r="F1550" s="17" t="s">
        <v>4813</v>
      </c>
      <c r="G1550" s="17">
        <f>MATCH(E1550,Arenas!$F$8:$F$15)</f>
        <v>5</v>
      </c>
      <c r="H1550" s="29" t="s">
        <v>2920</v>
      </c>
      <c r="I1550" s="33" t="s">
        <v>8073</v>
      </c>
      <c r="J1550" s="47" t="s">
        <v>8074</v>
      </c>
      <c r="K1550" s="61" t="s">
        <v>4779</v>
      </c>
      <c r="L1550" s="12" t="str">
        <f t="shared" si="72"/>
        <v>2,2,2</v>
      </c>
    </row>
    <row r="1551" spans="2:12">
      <c r="B1551" s="17">
        <v>1850</v>
      </c>
      <c r="C1551" s="17">
        <v>2</v>
      </c>
      <c r="D1551" s="17">
        <f t="shared" si="74"/>
        <v>0</v>
      </c>
      <c r="E1551" s="17">
        <f t="shared" si="73"/>
        <v>1664</v>
      </c>
      <c r="F1551" s="17" t="s">
        <v>4813</v>
      </c>
      <c r="G1551" s="17">
        <f>MATCH(E1551,Arenas!$F$8:$F$15)</f>
        <v>5</v>
      </c>
      <c r="H1551" s="29" t="s">
        <v>2921</v>
      </c>
      <c r="I1551" s="33" t="s">
        <v>8075</v>
      </c>
      <c r="J1551" s="47" t="s">
        <v>8076</v>
      </c>
      <c r="K1551" s="61" t="s">
        <v>4779</v>
      </c>
      <c r="L1551" s="12" t="str">
        <f t="shared" si="72"/>
        <v>2,2,2</v>
      </c>
    </row>
    <row r="1552" spans="2:12">
      <c r="B1552" s="17">
        <v>1851</v>
      </c>
      <c r="C1552" s="17">
        <v>2</v>
      </c>
      <c r="D1552" s="17">
        <f t="shared" si="74"/>
        <v>0</v>
      </c>
      <c r="E1552" s="17">
        <f t="shared" si="73"/>
        <v>1664</v>
      </c>
      <c r="F1552" s="17" t="s">
        <v>4813</v>
      </c>
      <c r="G1552" s="17">
        <f>MATCH(E1552,Arenas!$F$8:$F$15)</f>
        <v>5</v>
      </c>
      <c r="H1552" s="29" t="s">
        <v>2922</v>
      </c>
      <c r="I1552" s="33" t="s">
        <v>8077</v>
      </c>
      <c r="J1552" s="47" t="s">
        <v>5272</v>
      </c>
      <c r="K1552" s="61" t="s">
        <v>4779</v>
      </c>
      <c r="L1552" s="12" t="str">
        <f t="shared" si="72"/>
        <v>2,2,2</v>
      </c>
    </row>
    <row r="1553" spans="2:12">
      <c r="B1553" s="17">
        <v>1852</v>
      </c>
      <c r="C1553" s="17">
        <v>2</v>
      </c>
      <c r="D1553" s="17">
        <f t="shared" si="74"/>
        <v>1</v>
      </c>
      <c r="E1553" s="17">
        <f t="shared" si="73"/>
        <v>1665</v>
      </c>
      <c r="F1553" s="17" t="s">
        <v>4813</v>
      </c>
      <c r="G1553" s="17">
        <f>MATCH(E1553,Arenas!$F$8:$F$15)</f>
        <v>5</v>
      </c>
      <c r="H1553" s="29" t="s">
        <v>2923</v>
      </c>
      <c r="I1553" s="33" t="s">
        <v>8078</v>
      </c>
      <c r="J1553" s="47" t="s">
        <v>8079</v>
      </c>
      <c r="K1553" s="61" t="s">
        <v>4779</v>
      </c>
      <c r="L1553" s="12" t="str">
        <f t="shared" si="72"/>
        <v>2,2,2</v>
      </c>
    </row>
    <row r="1554" spans="2:12">
      <c r="B1554" s="17">
        <v>1853</v>
      </c>
      <c r="C1554" s="17">
        <v>2</v>
      </c>
      <c r="D1554" s="17">
        <f t="shared" si="74"/>
        <v>0</v>
      </c>
      <c r="E1554" s="17">
        <f t="shared" si="73"/>
        <v>1665</v>
      </c>
      <c r="F1554" s="17" t="s">
        <v>4813</v>
      </c>
      <c r="G1554" s="17">
        <f>MATCH(E1554,Arenas!$F$8:$F$15)</f>
        <v>5</v>
      </c>
      <c r="H1554" s="29" t="s">
        <v>2924</v>
      </c>
      <c r="I1554" s="33" t="s">
        <v>8080</v>
      </c>
      <c r="J1554" s="47" t="s">
        <v>8081</v>
      </c>
      <c r="K1554" s="61" t="s">
        <v>4779</v>
      </c>
      <c r="L1554" s="12" t="str">
        <f t="shared" si="72"/>
        <v>2,2,2</v>
      </c>
    </row>
    <row r="1555" spans="2:12">
      <c r="B1555" s="17">
        <v>1854</v>
      </c>
      <c r="C1555" s="17">
        <v>2</v>
      </c>
      <c r="D1555" s="17">
        <f t="shared" si="74"/>
        <v>0</v>
      </c>
      <c r="E1555" s="17">
        <f t="shared" si="73"/>
        <v>1665</v>
      </c>
      <c r="F1555" s="17" t="s">
        <v>4813</v>
      </c>
      <c r="G1555" s="17">
        <f>MATCH(E1555,Arenas!$F$8:$F$15)</f>
        <v>5</v>
      </c>
      <c r="H1555" s="29" t="s">
        <v>2925</v>
      </c>
      <c r="I1555" s="33" t="s">
        <v>8082</v>
      </c>
      <c r="J1555" s="47" t="s">
        <v>5779</v>
      </c>
      <c r="K1555" s="61" t="s">
        <v>4779</v>
      </c>
      <c r="L1555" s="12" t="str">
        <f t="shared" si="72"/>
        <v>2,2,2</v>
      </c>
    </row>
    <row r="1556" spans="2:12">
      <c r="B1556" s="17">
        <v>1855</v>
      </c>
      <c r="C1556" s="17">
        <v>2</v>
      </c>
      <c r="D1556" s="17">
        <f t="shared" si="74"/>
        <v>1</v>
      </c>
      <c r="E1556" s="17">
        <f t="shared" si="73"/>
        <v>1666</v>
      </c>
      <c r="F1556" s="17" t="s">
        <v>4813</v>
      </c>
      <c r="G1556" s="17">
        <f>MATCH(E1556,Arenas!$F$8:$F$15)</f>
        <v>5</v>
      </c>
      <c r="H1556" s="29" t="s">
        <v>2926</v>
      </c>
      <c r="I1556" s="33" t="s">
        <v>8083</v>
      </c>
      <c r="J1556" s="47" t="s">
        <v>5008</v>
      </c>
      <c r="K1556" s="61" t="s">
        <v>4779</v>
      </c>
      <c r="L1556" s="12" t="str">
        <f t="shared" si="72"/>
        <v>2,2,2</v>
      </c>
    </row>
    <row r="1557" spans="2:12">
      <c r="B1557" s="17">
        <v>1856</v>
      </c>
      <c r="C1557" s="17">
        <v>2</v>
      </c>
      <c r="D1557" s="17">
        <f t="shared" si="74"/>
        <v>0</v>
      </c>
      <c r="E1557" s="17">
        <f t="shared" si="73"/>
        <v>1666</v>
      </c>
      <c r="F1557" s="17" t="s">
        <v>4813</v>
      </c>
      <c r="G1557" s="17">
        <f>MATCH(E1557,Arenas!$F$8:$F$15)</f>
        <v>5</v>
      </c>
      <c r="H1557" s="29" t="s">
        <v>2927</v>
      </c>
      <c r="I1557" s="33" t="s">
        <v>8084</v>
      </c>
      <c r="J1557" s="47" t="s">
        <v>8085</v>
      </c>
      <c r="K1557" s="61" t="s">
        <v>4779</v>
      </c>
      <c r="L1557" s="12" t="str">
        <f t="shared" si="72"/>
        <v>2,2,2</v>
      </c>
    </row>
    <row r="1558" spans="2:12">
      <c r="B1558" s="17">
        <v>1857</v>
      </c>
      <c r="C1558" s="17">
        <v>2</v>
      </c>
      <c r="D1558" s="17">
        <f t="shared" si="74"/>
        <v>0</v>
      </c>
      <c r="E1558" s="17">
        <f t="shared" si="73"/>
        <v>1666</v>
      </c>
      <c r="F1558" s="17" t="s">
        <v>4813</v>
      </c>
      <c r="G1558" s="17">
        <f>MATCH(E1558,Arenas!$F$8:$F$15)</f>
        <v>5</v>
      </c>
      <c r="H1558" s="29" t="s">
        <v>2928</v>
      </c>
      <c r="I1558" s="33" t="s">
        <v>8086</v>
      </c>
      <c r="J1558" s="47" t="s">
        <v>5019</v>
      </c>
      <c r="K1558" s="61" t="s">
        <v>4779</v>
      </c>
      <c r="L1558" s="12" t="str">
        <f t="shared" si="72"/>
        <v>2,2,2</v>
      </c>
    </row>
    <row r="1559" spans="2:12">
      <c r="B1559" s="17">
        <v>1858</v>
      </c>
      <c r="C1559" s="17">
        <v>2</v>
      </c>
      <c r="D1559" s="17">
        <f t="shared" si="74"/>
        <v>1</v>
      </c>
      <c r="E1559" s="17">
        <f t="shared" si="73"/>
        <v>1667</v>
      </c>
      <c r="F1559" s="17" t="s">
        <v>4813</v>
      </c>
      <c r="G1559" s="17">
        <f>MATCH(E1559,Arenas!$F$8:$F$15)</f>
        <v>5</v>
      </c>
      <c r="H1559" s="29" t="s">
        <v>2929</v>
      </c>
      <c r="I1559" s="33" t="s">
        <v>8087</v>
      </c>
      <c r="J1559" s="47" t="s">
        <v>5351</v>
      </c>
      <c r="K1559" s="61" t="s">
        <v>4779</v>
      </c>
      <c r="L1559" s="12" t="str">
        <f t="shared" si="72"/>
        <v>2,2,2</v>
      </c>
    </row>
    <row r="1560" spans="2:12">
      <c r="B1560" s="17">
        <v>1859</v>
      </c>
      <c r="C1560" s="17">
        <v>2</v>
      </c>
      <c r="D1560" s="17">
        <f t="shared" si="74"/>
        <v>0</v>
      </c>
      <c r="E1560" s="17">
        <f t="shared" si="73"/>
        <v>1667</v>
      </c>
      <c r="F1560" s="17" t="s">
        <v>4813</v>
      </c>
      <c r="G1560" s="17">
        <f>MATCH(E1560,Arenas!$F$8:$F$15)</f>
        <v>5</v>
      </c>
      <c r="H1560" s="29" t="s">
        <v>2930</v>
      </c>
      <c r="I1560" s="33" t="s">
        <v>8088</v>
      </c>
      <c r="J1560" s="47" t="s">
        <v>5694</v>
      </c>
      <c r="K1560" s="61" t="s">
        <v>4779</v>
      </c>
      <c r="L1560" s="12" t="str">
        <f t="shared" si="72"/>
        <v>2,2,2</v>
      </c>
    </row>
    <row r="1561" spans="2:12">
      <c r="B1561" s="17">
        <v>1860</v>
      </c>
      <c r="C1561" s="17">
        <v>2</v>
      </c>
      <c r="D1561" s="17">
        <f t="shared" si="74"/>
        <v>0</v>
      </c>
      <c r="E1561" s="17">
        <f t="shared" si="73"/>
        <v>1667</v>
      </c>
      <c r="F1561" s="17" t="s">
        <v>4813</v>
      </c>
      <c r="G1561" s="17">
        <f>MATCH(E1561,Arenas!$F$8:$F$15)</f>
        <v>5</v>
      </c>
      <c r="H1561" s="29" t="s">
        <v>2931</v>
      </c>
      <c r="I1561" s="33" t="s">
        <v>8089</v>
      </c>
      <c r="J1561" s="47" t="s">
        <v>4878</v>
      </c>
      <c r="K1561" s="61" t="s">
        <v>4779</v>
      </c>
      <c r="L1561" s="12" t="str">
        <f t="shared" si="72"/>
        <v>2,2,2</v>
      </c>
    </row>
    <row r="1562" spans="2:12">
      <c r="B1562" s="17">
        <v>1861</v>
      </c>
      <c r="C1562" s="17">
        <v>2</v>
      </c>
      <c r="D1562" s="17">
        <f t="shared" si="74"/>
        <v>1</v>
      </c>
      <c r="E1562" s="17">
        <f t="shared" si="73"/>
        <v>1668</v>
      </c>
      <c r="F1562" s="17" t="s">
        <v>4813</v>
      </c>
      <c r="G1562" s="17">
        <f>MATCH(E1562,Arenas!$F$8:$F$15)</f>
        <v>5</v>
      </c>
      <c r="H1562" s="29" t="s">
        <v>2932</v>
      </c>
      <c r="I1562" s="33" t="s">
        <v>8090</v>
      </c>
      <c r="J1562" s="47" t="s">
        <v>5745</v>
      </c>
      <c r="K1562" s="61" t="s">
        <v>4779</v>
      </c>
      <c r="L1562" s="12" t="str">
        <f t="shared" si="72"/>
        <v>2,2,2</v>
      </c>
    </row>
    <row r="1563" spans="2:12">
      <c r="B1563" s="17">
        <v>1862</v>
      </c>
      <c r="C1563" s="17">
        <v>2</v>
      </c>
      <c r="D1563" s="17">
        <f t="shared" si="74"/>
        <v>0</v>
      </c>
      <c r="E1563" s="17">
        <f t="shared" si="73"/>
        <v>1668</v>
      </c>
      <c r="F1563" s="17" t="s">
        <v>4813</v>
      </c>
      <c r="G1563" s="17">
        <f>MATCH(E1563,Arenas!$F$8:$F$15)</f>
        <v>5</v>
      </c>
      <c r="H1563" s="29" t="s">
        <v>2933</v>
      </c>
      <c r="I1563" s="33" t="s">
        <v>8091</v>
      </c>
      <c r="J1563" s="47" t="s">
        <v>5822</v>
      </c>
      <c r="K1563" s="61" t="s">
        <v>4779</v>
      </c>
      <c r="L1563" s="12" t="str">
        <f t="shared" si="72"/>
        <v>2,2,2</v>
      </c>
    </row>
    <row r="1564" spans="2:12">
      <c r="B1564" s="17">
        <v>1863</v>
      </c>
      <c r="C1564" s="17">
        <v>2</v>
      </c>
      <c r="D1564" s="17">
        <f t="shared" si="74"/>
        <v>0</v>
      </c>
      <c r="E1564" s="17">
        <f t="shared" si="73"/>
        <v>1668</v>
      </c>
      <c r="F1564" s="17" t="s">
        <v>4813</v>
      </c>
      <c r="G1564" s="17">
        <f>MATCH(E1564,Arenas!$F$8:$F$15)</f>
        <v>5</v>
      </c>
      <c r="H1564" s="29" t="s">
        <v>2934</v>
      </c>
      <c r="I1564" s="33" t="s">
        <v>8092</v>
      </c>
      <c r="J1564" s="47" t="s">
        <v>5714</v>
      </c>
      <c r="K1564" s="61" t="s">
        <v>4779</v>
      </c>
      <c r="L1564" s="12" t="str">
        <f t="shared" si="72"/>
        <v>2,2,2</v>
      </c>
    </row>
    <row r="1565" spans="2:12">
      <c r="B1565" s="17">
        <v>1864</v>
      </c>
      <c r="C1565" s="17">
        <v>2</v>
      </c>
      <c r="D1565" s="17">
        <f t="shared" si="74"/>
        <v>1</v>
      </c>
      <c r="E1565" s="17">
        <f t="shared" si="73"/>
        <v>1669</v>
      </c>
      <c r="F1565" s="17" t="s">
        <v>4813</v>
      </c>
      <c r="G1565" s="17">
        <f>MATCH(E1565,Arenas!$F$8:$F$15)</f>
        <v>5</v>
      </c>
      <c r="H1565" s="29" t="s">
        <v>2935</v>
      </c>
      <c r="I1565" s="33" t="s">
        <v>8093</v>
      </c>
      <c r="J1565" s="47" t="s">
        <v>5012</v>
      </c>
      <c r="K1565" s="61" t="s">
        <v>4779</v>
      </c>
      <c r="L1565" s="12" t="str">
        <f t="shared" si="72"/>
        <v>2,2,2</v>
      </c>
    </row>
    <row r="1566" spans="2:12">
      <c r="B1566" s="17">
        <v>1865</v>
      </c>
      <c r="C1566" s="17">
        <v>2</v>
      </c>
      <c r="D1566" s="17">
        <f t="shared" si="74"/>
        <v>0</v>
      </c>
      <c r="E1566" s="17">
        <f t="shared" si="73"/>
        <v>1669</v>
      </c>
      <c r="F1566" s="17" t="s">
        <v>4813</v>
      </c>
      <c r="G1566" s="17">
        <f>MATCH(E1566,Arenas!$F$8:$F$15)</f>
        <v>5</v>
      </c>
      <c r="H1566" s="29" t="s">
        <v>2936</v>
      </c>
      <c r="I1566" s="33" t="s">
        <v>8094</v>
      </c>
      <c r="J1566" s="47" t="s">
        <v>8095</v>
      </c>
      <c r="K1566" s="61" t="s">
        <v>4779</v>
      </c>
      <c r="L1566" s="12" t="str">
        <f t="shared" si="72"/>
        <v>2,2,2</v>
      </c>
    </row>
    <row r="1567" spans="2:12">
      <c r="B1567" s="17">
        <v>1866</v>
      </c>
      <c r="C1567" s="17">
        <v>2</v>
      </c>
      <c r="D1567" s="17">
        <f t="shared" si="74"/>
        <v>0</v>
      </c>
      <c r="E1567" s="17">
        <f t="shared" si="73"/>
        <v>1669</v>
      </c>
      <c r="F1567" s="17" t="s">
        <v>4813</v>
      </c>
      <c r="G1567" s="17">
        <f>MATCH(E1567,Arenas!$F$8:$F$15)</f>
        <v>5</v>
      </c>
      <c r="H1567" s="29" t="s">
        <v>2937</v>
      </c>
      <c r="I1567" s="33" t="s">
        <v>8096</v>
      </c>
      <c r="J1567" s="47" t="s">
        <v>8097</v>
      </c>
      <c r="K1567" s="61" t="s">
        <v>4779</v>
      </c>
      <c r="L1567" s="12" t="str">
        <f t="shared" si="72"/>
        <v>2,2,2</v>
      </c>
    </row>
    <row r="1568" spans="2:12">
      <c r="B1568" s="17">
        <v>1867</v>
      </c>
      <c r="C1568" s="17">
        <v>2</v>
      </c>
      <c r="D1568" s="17">
        <f t="shared" si="74"/>
        <v>1</v>
      </c>
      <c r="E1568" s="17">
        <f t="shared" si="73"/>
        <v>1670</v>
      </c>
      <c r="F1568" s="17" t="s">
        <v>4813</v>
      </c>
      <c r="G1568" s="17">
        <f>MATCH(E1568,Arenas!$F$8:$F$15)</f>
        <v>5</v>
      </c>
      <c r="H1568" s="29" t="s">
        <v>2938</v>
      </c>
      <c r="I1568" s="33" t="s">
        <v>8098</v>
      </c>
      <c r="J1568" s="47" t="s">
        <v>5797</v>
      </c>
      <c r="K1568" s="61" t="s">
        <v>4779</v>
      </c>
      <c r="L1568" s="12" t="str">
        <f t="shared" si="72"/>
        <v>2,2,2</v>
      </c>
    </row>
    <row r="1569" spans="2:12">
      <c r="B1569" s="17">
        <v>1868</v>
      </c>
      <c r="C1569" s="17">
        <v>2</v>
      </c>
      <c r="D1569" s="17">
        <f t="shared" si="74"/>
        <v>0</v>
      </c>
      <c r="E1569" s="17">
        <f t="shared" si="73"/>
        <v>1670</v>
      </c>
      <c r="F1569" s="17" t="s">
        <v>4813</v>
      </c>
      <c r="G1569" s="17">
        <f>MATCH(E1569,Arenas!$F$8:$F$15)</f>
        <v>5</v>
      </c>
      <c r="H1569" s="29" t="s">
        <v>2939</v>
      </c>
      <c r="I1569" s="33" t="s">
        <v>8099</v>
      </c>
      <c r="J1569" s="47" t="s">
        <v>8100</v>
      </c>
      <c r="K1569" s="61" t="s">
        <v>4779</v>
      </c>
      <c r="L1569" s="12" t="str">
        <f t="shared" si="72"/>
        <v>2,2,2</v>
      </c>
    </row>
    <row r="1570" spans="2:12">
      <c r="B1570" s="17">
        <v>1869</v>
      </c>
      <c r="C1570" s="17">
        <v>2</v>
      </c>
      <c r="D1570" s="17">
        <f t="shared" si="74"/>
        <v>0</v>
      </c>
      <c r="E1570" s="17">
        <f t="shared" si="73"/>
        <v>1670</v>
      </c>
      <c r="F1570" s="17" t="s">
        <v>4813</v>
      </c>
      <c r="G1570" s="17">
        <f>MATCH(E1570,Arenas!$F$8:$F$15)</f>
        <v>5</v>
      </c>
      <c r="H1570" s="29" t="s">
        <v>2940</v>
      </c>
      <c r="I1570" s="33" t="s">
        <v>8101</v>
      </c>
      <c r="J1570" s="47" t="s">
        <v>8102</v>
      </c>
      <c r="K1570" s="61" t="s">
        <v>4779</v>
      </c>
      <c r="L1570" s="12" t="str">
        <f t="shared" si="72"/>
        <v>2,2,2</v>
      </c>
    </row>
    <row r="1571" spans="2:12">
      <c r="B1571" s="17">
        <v>1870</v>
      </c>
      <c r="C1571" s="17">
        <v>2</v>
      </c>
      <c r="D1571" s="17">
        <f t="shared" si="74"/>
        <v>1</v>
      </c>
      <c r="E1571" s="17">
        <f t="shared" si="73"/>
        <v>1671</v>
      </c>
      <c r="F1571" s="17" t="s">
        <v>4813</v>
      </c>
      <c r="G1571" s="17">
        <f>MATCH(E1571,Arenas!$F$8:$F$15)</f>
        <v>5</v>
      </c>
      <c r="H1571" s="29" t="s">
        <v>2941</v>
      </c>
      <c r="I1571" s="33" t="s">
        <v>8103</v>
      </c>
      <c r="J1571" s="47" t="s">
        <v>8104</v>
      </c>
      <c r="K1571" s="61" t="s">
        <v>4779</v>
      </c>
      <c r="L1571" s="12" t="str">
        <f t="shared" si="72"/>
        <v>2,2,2</v>
      </c>
    </row>
    <row r="1572" spans="2:12">
      <c r="B1572" s="17">
        <v>1871</v>
      </c>
      <c r="C1572" s="17">
        <v>2</v>
      </c>
      <c r="D1572" s="17">
        <f t="shared" si="74"/>
        <v>0</v>
      </c>
      <c r="E1572" s="17">
        <f t="shared" si="73"/>
        <v>1671</v>
      </c>
      <c r="F1572" s="17" t="s">
        <v>4813</v>
      </c>
      <c r="G1572" s="17">
        <f>MATCH(E1572,Arenas!$F$8:$F$15)</f>
        <v>5</v>
      </c>
      <c r="H1572" s="29" t="s">
        <v>2942</v>
      </c>
      <c r="I1572" s="33" t="s">
        <v>8105</v>
      </c>
      <c r="J1572" s="47" t="s">
        <v>8106</v>
      </c>
      <c r="K1572" s="61" t="s">
        <v>4779</v>
      </c>
      <c r="L1572" s="12" t="str">
        <f t="shared" si="72"/>
        <v>2,2,2</v>
      </c>
    </row>
    <row r="1573" spans="2:12">
      <c r="B1573" s="17">
        <v>1872</v>
      </c>
      <c r="C1573" s="17">
        <v>2</v>
      </c>
      <c r="D1573" s="17">
        <f t="shared" si="74"/>
        <v>0</v>
      </c>
      <c r="E1573" s="17">
        <f t="shared" si="73"/>
        <v>1671</v>
      </c>
      <c r="F1573" s="17" t="s">
        <v>4813</v>
      </c>
      <c r="G1573" s="17">
        <f>MATCH(E1573,Arenas!$F$8:$F$15)</f>
        <v>5</v>
      </c>
      <c r="H1573" s="29" t="s">
        <v>2943</v>
      </c>
      <c r="I1573" s="33" t="s">
        <v>8107</v>
      </c>
      <c r="J1573" s="47" t="s">
        <v>8108</v>
      </c>
      <c r="K1573" s="61" t="s">
        <v>4779</v>
      </c>
      <c r="L1573" s="12" t="str">
        <f t="shared" si="72"/>
        <v>2,2,2</v>
      </c>
    </row>
    <row r="1574" spans="2:12">
      <c r="B1574" s="17">
        <v>1873</v>
      </c>
      <c r="C1574" s="17">
        <v>2</v>
      </c>
      <c r="D1574" s="17">
        <f t="shared" si="74"/>
        <v>1</v>
      </c>
      <c r="E1574" s="17">
        <f t="shared" si="73"/>
        <v>1672</v>
      </c>
      <c r="F1574" s="17" t="s">
        <v>4813</v>
      </c>
      <c r="G1574" s="17">
        <f>MATCH(E1574,Arenas!$F$8:$F$15)</f>
        <v>5</v>
      </c>
      <c r="H1574" s="29" t="s">
        <v>2944</v>
      </c>
      <c r="I1574" s="33" t="s">
        <v>8109</v>
      </c>
      <c r="J1574" s="47" t="s">
        <v>5487</v>
      </c>
      <c r="K1574" s="61" t="s">
        <v>4779</v>
      </c>
      <c r="L1574" s="12" t="str">
        <f t="shared" si="72"/>
        <v>2,2,2</v>
      </c>
    </row>
    <row r="1575" spans="2:12">
      <c r="B1575" s="17">
        <v>1874</v>
      </c>
      <c r="C1575" s="17">
        <v>2</v>
      </c>
      <c r="D1575" s="17">
        <f t="shared" si="74"/>
        <v>0</v>
      </c>
      <c r="E1575" s="17">
        <f t="shared" si="73"/>
        <v>1672</v>
      </c>
      <c r="F1575" s="17" t="s">
        <v>4813</v>
      </c>
      <c r="G1575" s="17">
        <f>MATCH(E1575,Arenas!$F$8:$F$15)</f>
        <v>5</v>
      </c>
      <c r="H1575" s="29" t="s">
        <v>2945</v>
      </c>
      <c r="I1575" s="33" t="s">
        <v>8110</v>
      </c>
      <c r="J1575" s="47" t="s">
        <v>7753</v>
      </c>
      <c r="K1575" s="61" t="s">
        <v>4779</v>
      </c>
      <c r="L1575" s="12" t="str">
        <f t="shared" si="72"/>
        <v>2,2,2</v>
      </c>
    </row>
    <row r="1576" spans="2:12">
      <c r="B1576" s="17">
        <v>1875</v>
      </c>
      <c r="C1576" s="17">
        <v>2</v>
      </c>
      <c r="D1576" s="17">
        <f t="shared" si="74"/>
        <v>0</v>
      </c>
      <c r="E1576" s="17">
        <f t="shared" si="73"/>
        <v>1672</v>
      </c>
      <c r="F1576" s="17" t="s">
        <v>4813</v>
      </c>
      <c r="G1576" s="17">
        <f>MATCH(E1576,Arenas!$F$8:$F$15)</f>
        <v>5</v>
      </c>
      <c r="H1576" s="29" t="s">
        <v>2946</v>
      </c>
      <c r="I1576" s="33" t="s">
        <v>8111</v>
      </c>
      <c r="J1576" s="47" t="s">
        <v>5327</v>
      </c>
      <c r="K1576" s="61" t="s">
        <v>4808</v>
      </c>
      <c r="L1576" s="12" t="str">
        <f t="shared" si="72"/>
        <v>2,2,2</v>
      </c>
    </row>
    <row r="1577" spans="2:12">
      <c r="B1577" s="17">
        <v>1876</v>
      </c>
      <c r="C1577" s="17">
        <v>2</v>
      </c>
      <c r="D1577" s="17">
        <f t="shared" si="74"/>
        <v>1</v>
      </c>
      <c r="E1577" s="17">
        <f t="shared" si="73"/>
        <v>1673</v>
      </c>
      <c r="F1577" s="17" t="s">
        <v>4813</v>
      </c>
      <c r="G1577" s="17">
        <f>MATCH(E1577,Arenas!$F$8:$F$15)</f>
        <v>5</v>
      </c>
      <c r="H1577" s="29" t="s">
        <v>2947</v>
      </c>
      <c r="I1577" s="33" t="s">
        <v>8112</v>
      </c>
      <c r="J1577" s="47" t="s">
        <v>8113</v>
      </c>
      <c r="K1577" s="61" t="s">
        <v>4779</v>
      </c>
      <c r="L1577" s="12" t="str">
        <f t="shared" si="72"/>
        <v>2,2,2</v>
      </c>
    </row>
    <row r="1578" spans="2:12">
      <c r="B1578" s="17">
        <v>1877</v>
      </c>
      <c r="C1578" s="17">
        <v>2</v>
      </c>
      <c r="D1578" s="17">
        <f t="shared" si="74"/>
        <v>0</v>
      </c>
      <c r="E1578" s="17">
        <f t="shared" si="73"/>
        <v>1673</v>
      </c>
      <c r="F1578" s="17" t="s">
        <v>4813</v>
      </c>
      <c r="G1578" s="17">
        <f>MATCH(E1578,Arenas!$F$8:$F$15)</f>
        <v>5</v>
      </c>
      <c r="H1578" s="29" t="s">
        <v>2948</v>
      </c>
      <c r="I1578" s="33" t="s">
        <v>8114</v>
      </c>
      <c r="J1578" s="47" t="s">
        <v>4671</v>
      </c>
      <c r="K1578" s="61" t="s">
        <v>4779</v>
      </c>
      <c r="L1578" s="12" t="str">
        <f t="shared" si="72"/>
        <v>2,2,2</v>
      </c>
    </row>
    <row r="1579" spans="2:12">
      <c r="B1579" s="17">
        <v>1878</v>
      </c>
      <c r="C1579" s="17">
        <v>2</v>
      </c>
      <c r="D1579" s="17">
        <f t="shared" si="74"/>
        <v>0</v>
      </c>
      <c r="E1579" s="17">
        <f t="shared" si="73"/>
        <v>1673</v>
      </c>
      <c r="F1579" s="17" t="s">
        <v>4813</v>
      </c>
      <c r="G1579" s="17">
        <f>MATCH(E1579,Arenas!$F$8:$F$15)</f>
        <v>5</v>
      </c>
      <c r="H1579" s="29" t="s">
        <v>2949</v>
      </c>
      <c r="I1579" s="33" t="s">
        <v>8115</v>
      </c>
      <c r="J1579" s="47" t="s">
        <v>8116</v>
      </c>
      <c r="K1579" s="61" t="s">
        <v>4779</v>
      </c>
      <c r="L1579" s="12" t="str">
        <f t="shared" si="72"/>
        <v>2,2,2</v>
      </c>
    </row>
    <row r="1580" spans="2:12">
      <c r="B1580" s="17">
        <v>1879</v>
      </c>
      <c r="C1580" s="17">
        <v>2</v>
      </c>
      <c r="D1580" s="17">
        <f t="shared" si="74"/>
        <v>1</v>
      </c>
      <c r="E1580" s="17">
        <f t="shared" si="73"/>
        <v>1674</v>
      </c>
      <c r="F1580" s="17" t="s">
        <v>4813</v>
      </c>
      <c r="G1580" s="17">
        <f>MATCH(E1580,Arenas!$F$8:$F$15)</f>
        <v>5</v>
      </c>
      <c r="H1580" s="29" t="s">
        <v>2950</v>
      </c>
      <c r="I1580" s="33" t="s">
        <v>8117</v>
      </c>
      <c r="J1580" s="47" t="s">
        <v>5123</v>
      </c>
      <c r="K1580" s="61" t="s">
        <v>4779</v>
      </c>
      <c r="L1580" s="12" t="str">
        <f t="shared" si="72"/>
        <v>2,2,2</v>
      </c>
    </row>
    <row r="1581" spans="2:12">
      <c r="B1581" s="17">
        <v>1880</v>
      </c>
      <c r="C1581" s="17">
        <v>2</v>
      </c>
      <c r="D1581" s="17">
        <f t="shared" si="74"/>
        <v>0</v>
      </c>
      <c r="E1581" s="17">
        <f t="shared" si="73"/>
        <v>1674</v>
      </c>
      <c r="F1581" s="17" t="s">
        <v>4813</v>
      </c>
      <c r="G1581" s="17">
        <f>MATCH(E1581,Arenas!$F$8:$F$15)</f>
        <v>5</v>
      </c>
      <c r="H1581" s="29" t="s">
        <v>2951</v>
      </c>
      <c r="I1581" s="33" t="s">
        <v>8118</v>
      </c>
      <c r="J1581" s="47" t="s">
        <v>8119</v>
      </c>
      <c r="K1581" s="61" t="s">
        <v>4779</v>
      </c>
      <c r="L1581" s="12" t="str">
        <f t="shared" si="72"/>
        <v>2,2,2</v>
      </c>
    </row>
    <row r="1582" spans="2:12">
      <c r="B1582" s="17">
        <v>1881</v>
      </c>
      <c r="C1582" s="17">
        <v>2</v>
      </c>
      <c r="D1582" s="17">
        <f t="shared" si="74"/>
        <v>0</v>
      </c>
      <c r="E1582" s="17">
        <f t="shared" si="73"/>
        <v>1674</v>
      </c>
      <c r="F1582" s="17" t="s">
        <v>4813</v>
      </c>
      <c r="G1582" s="17">
        <f>MATCH(E1582,Arenas!$F$8:$F$15)</f>
        <v>5</v>
      </c>
      <c r="H1582" s="29" t="s">
        <v>2952</v>
      </c>
      <c r="I1582" s="33" t="s">
        <v>8120</v>
      </c>
      <c r="J1582" s="47" t="s">
        <v>4948</v>
      </c>
      <c r="K1582" s="61" t="s">
        <v>4779</v>
      </c>
      <c r="L1582" s="12" t="str">
        <f t="shared" si="72"/>
        <v>2,2,2</v>
      </c>
    </row>
    <row r="1583" spans="2:12">
      <c r="B1583" s="17">
        <v>1882</v>
      </c>
      <c r="C1583" s="17">
        <v>2</v>
      </c>
      <c r="D1583" s="17">
        <f t="shared" si="74"/>
        <v>1</v>
      </c>
      <c r="E1583" s="17">
        <f t="shared" si="73"/>
        <v>1675</v>
      </c>
      <c r="F1583" s="17" t="s">
        <v>4813</v>
      </c>
      <c r="G1583" s="17">
        <f>MATCH(E1583,Arenas!$F$8:$F$15)</f>
        <v>5</v>
      </c>
      <c r="H1583" s="29" t="s">
        <v>2953</v>
      </c>
      <c r="I1583" s="33" t="s">
        <v>8121</v>
      </c>
      <c r="J1583" s="47" t="s">
        <v>5431</v>
      </c>
      <c r="K1583" s="61" t="s">
        <v>4779</v>
      </c>
      <c r="L1583" s="12" t="str">
        <f t="shared" si="72"/>
        <v>2,2,2</v>
      </c>
    </row>
    <row r="1584" spans="2:12">
      <c r="B1584" s="17">
        <v>1883</v>
      </c>
      <c r="C1584" s="17">
        <v>2</v>
      </c>
      <c r="D1584" s="17">
        <f t="shared" si="74"/>
        <v>0</v>
      </c>
      <c r="E1584" s="17">
        <f t="shared" si="73"/>
        <v>1675</v>
      </c>
      <c r="F1584" s="17" t="s">
        <v>4813</v>
      </c>
      <c r="G1584" s="17">
        <f>MATCH(E1584,Arenas!$F$8:$F$15)</f>
        <v>5</v>
      </c>
      <c r="H1584" s="29" t="s">
        <v>2954</v>
      </c>
      <c r="I1584" s="33" t="s">
        <v>8122</v>
      </c>
      <c r="J1584" s="47" t="s">
        <v>8123</v>
      </c>
      <c r="K1584" s="61" t="s">
        <v>4779</v>
      </c>
      <c r="L1584" s="12" t="str">
        <f t="shared" si="72"/>
        <v>2,2,2</v>
      </c>
    </row>
    <row r="1585" spans="2:12">
      <c r="B1585" s="17">
        <v>1884</v>
      </c>
      <c r="C1585" s="17">
        <v>2</v>
      </c>
      <c r="D1585" s="17">
        <f t="shared" si="74"/>
        <v>0</v>
      </c>
      <c r="E1585" s="17">
        <f t="shared" si="73"/>
        <v>1675</v>
      </c>
      <c r="F1585" s="17" t="s">
        <v>4813</v>
      </c>
      <c r="G1585" s="17">
        <f>MATCH(E1585,Arenas!$F$8:$F$15)</f>
        <v>5</v>
      </c>
      <c r="H1585" s="29" t="s">
        <v>2955</v>
      </c>
      <c r="I1585" s="33" t="s">
        <v>8124</v>
      </c>
      <c r="J1585" s="47" t="s">
        <v>8125</v>
      </c>
      <c r="K1585" s="61" t="s">
        <v>4779</v>
      </c>
      <c r="L1585" s="12" t="str">
        <f t="shared" si="72"/>
        <v>2,2,2</v>
      </c>
    </row>
    <row r="1586" spans="2:12">
      <c r="B1586" s="17">
        <v>1885</v>
      </c>
      <c r="C1586" s="17">
        <v>2</v>
      </c>
      <c r="D1586" s="17">
        <f t="shared" si="74"/>
        <v>1</v>
      </c>
      <c r="E1586" s="17">
        <f t="shared" si="73"/>
        <v>1676</v>
      </c>
      <c r="F1586" s="17" t="s">
        <v>4813</v>
      </c>
      <c r="G1586" s="17">
        <f>MATCH(E1586,Arenas!$F$8:$F$15)</f>
        <v>5</v>
      </c>
      <c r="H1586" s="29" t="s">
        <v>2956</v>
      </c>
      <c r="I1586" s="33" t="s">
        <v>8126</v>
      </c>
      <c r="J1586" s="47" t="s">
        <v>5119</v>
      </c>
      <c r="K1586" s="61" t="s">
        <v>4779</v>
      </c>
      <c r="L1586" s="12" t="str">
        <f t="shared" si="72"/>
        <v>2,2,2</v>
      </c>
    </row>
    <row r="1587" spans="2:12">
      <c r="B1587" s="17">
        <v>1886</v>
      </c>
      <c r="C1587" s="17">
        <v>2</v>
      </c>
      <c r="D1587" s="17">
        <f t="shared" si="74"/>
        <v>0</v>
      </c>
      <c r="E1587" s="17">
        <f t="shared" si="73"/>
        <v>1676</v>
      </c>
      <c r="F1587" s="17" t="s">
        <v>4813</v>
      </c>
      <c r="G1587" s="17">
        <f>MATCH(E1587,Arenas!$F$8:$F$15)</f>
        <v>5</v>
      </c>
      <c r="H1587" s="29" t="s">
        <v>2957</v>
      </c>
      <c r="I1587" s="33" t="s">
        <v>8127</v>
      </c>
      <c r="J1587" s="47" t="s">
        <v>8128</v>
      </c>
      <c r="K1587" s="61" t="s">
        <v>4779</v>
      </c>
      <c r="L1587" s="12" t="str">
        <f t="shared" si="72"/>
        <v>2,2,2</v>
      </c>
    </row>
    <row r="1588" spans="2:12">
      <c r="B1588" s="17">
        <v>1887</v>
      </c>
      <c r="C1588" s="17">
        <v>2</v>
      </c>
      <c r="D1588" s="17">
        <f t="shared" si="74"/>
        <v>0</v>
      </c>
      <c r="E1588" s="17">
        <f t="shared" si="73"/>
        <v>1676</v>
      </c>
      <c r="F1588" s="17" t="s">
        <v>4813</v>
      </c>
      <c r="G1588" s="17">
        <f>MATCH(E1588,Arenas!$F$8:$F$15)</f>
        <v>5</v>
      </c>
      <c r="H1588" s="29" t="s">
        <v>2958</v>
      </c>
      <c r="I1588" s="33" t="s">
        <v>8129</v>
      </c>
      <c r="J1588" s="47" t="s">
        <v>5584</v>
      </c>
      <c r="K1588" s="61" t="s">
        <v>4779</v>
      </c>
      <c r="L1588" s="12" t="str">
        <f t="shared" si="72"/>
        <v>2,2,2</v>
      </c>
    </row>
    <row r="1589" spans="2:12">
      <c r="B1589" s="17">
        <v>1888</v>
      </c>
      <c r="C1589" s="17">
        <v>2</v>
      </c>
      <c r="D1589" s="17">
        <f t="shared" si="74"/>
        <v>1</v>
      </c>
      <c r="E1589" s="17">
        <f t="shared" si="73"/>
        <v>1677</v>
      </c>
      <c r="F1589" s="17" t="s">
        <v>4813</v>
      </c>
      <c r="G1589" s="17">
        <f>MATCH(E1589,Arenas!$F$8:$F$15)</f>
        <v>5</v>
      </c>
      <c r="H1589" s="29" t="s">
        <v>2959</v>
      </c>
      <c r="I1589" s="33" t="s">
        <v>8130</v>
      </c>
      <c r="J1589" s="47" t="s">
        <v>7655</v>
      </c>
      <c r="K1589" s="61" t="s">
        <v>4779</v>
      </c>
      <c r="L1589" s="12" t="str">
        <f t="shared" si="72"/>
        <v>2,2,2</v>
      </c>
    </row>
    <row r="1590" spans="2:12">
      <c r="B1590" s="17">
        <v>1889</v>
      </c>
      <c r="C1590" s="17">
        <v>2</v>
      </c>
      <c r="D1590" s="17">
        <f t="shared" si="74"/>
        <v>0</v>
      </c>
      <c r="E1590" s="17">
        <f t="shared" si="73"/>
        <v>1677</v>
      </c>
      <c r="F1590" s="17" t="s">
        <v>4813</v>
      </c>
      <c r="G1590" s="17">
        <f>MATCH(E1590,Arenas!$F$8:$F$15)</f>
        <v>5</v>
      </c>
      <c r="H1590" s="29" t="s">
        <v>2960</v>
      </c>
      <c r="I1590" s="33" t="s">
        <v>8131</v>
      </c>
      <c r="J1590" s="47" t="s">
        <v>8132</v>
      </c>
      <c r="K1590" s="61" t="s">
        <v>4779</v>
      </c>
      <c r="L1590" s="12" t="str">
        <f t="shared" si="72"/>
        <v>2,2,2</v>
      </c>
    </row>
    <row r="1591" spans="2:12">
      <c r="B1591" s="17">
        <v>1890</v>
      </c>
      <c r="C1591" s="17">
        <v>2</v>
      </c>
      <c r="D1591" s="17">
        <f t="shared" si="74"/>
        <v>0</v>
      </c>
      <c r="E1591" s="17">
        <f t="shared" si="73"/>
        <v>1677</v>
      </c>
      <c r="F1591" s="17" t="s">
        <v>4813</v>
      </c>
      <c r="G1591" s="17">
        <f>MATCH(E1591,Arenas!$F$8:$F$15)</f>
        <v>5</v>
      </c>
      <c r="H1591" s="29" t="s">
        <v>2961</v>
      </c>
      <c r="I1591" s="33" t="s">
        <v>8133</v>
      </c>
      <c r="J1591" s="47" t="s">
        <v>8134</v>
      </c>
      <c r="K1591" s="61" t="s">
        <v>4779</v>
      </c>
      <c r="L1591" s="12" t="str">
        <f t="shared" si="72"/>
        <v>2,2,2</v>
      </c>
    </row>
    <row r="1592" spans="2:12">
      <c r="B1592" s="17">
        <v>1891</v>
      </c>
      <c r="C1592" s="17">
        <v>2</v>
      </c>
      <c r="D1592" s="17">
        <f t="shared" si="74"/>
        <v>1</v>
      </c>
      <c r="E1592" s="17">
        <f t="shared" si="73"/>
        <v>1678</v>
      </c>
      <c r="F1592" s="17" t="s">
        <v>4813</v>
      </c>
      <c r="G1592" s="17">
        <f>MATCH(E1592,Arenas!$F$8:$F$15)</f>
        <v>5</v>
      </c>
      <c r="H1592" s="29" t="s">
        <v>2962</v>
      </c>
      <c r="I1592" s="33" t="s">
        <v>8135</v>
      </c>
      <c r="J1592" s="47" t="s">
        <v>8136</v>
      </c>
      <c r="K1592" s="61" t="s">
        <v>4779</v>
      </c>
      <c r="L1592" s="12" t="str">
        <f t="shared" si="72"/>
        <v>2,2,2</v>
      </c>
    </row>
    <row r="1593" spans="2:12">
      <c r="B1593" s="17">
        <v>1892</v>
      </c>
      <c r="C1593" s="17">
        <v>2</v>
      </c>
      <c r="D1593" s="17">
        <f t="shared" si="74"/>
        <v>0</v>
      </c>
      <c r="E1593" s="17">
        <f t="shared" si="73"/>
        <v>1678</v>
      </c>
      <c r="F1593" s="17" t="s">
        <v>4813</v>
      </c>
      <c r="G1593" s="17">
        <f>MATCH(E1593,Arenas!$F$8:$F$15)</f>
        <v>5</v>
      </c>
      <c r="H1593" s="29" t="s">
        <v>2963</v>
      </c>
      <c r="I1593" s="33" t="s">
        <v>8137</v>
      </c>
      <c r="J1593" s="47" t="s">
        <v>5520</v>
      </c>
      <c r="K1593" s="61" t="s">
        <v>4779</v>
      </c>
      <c r="L1593" s="12" t="str">
        <f t="shared" si="72"/>
        <v>2,2,2</v>
      </c>
    </row>
    <row r="1594" spans="2:12">
      <c r="B1594" s="17">
        <v>1893</v>
      </c>
      <c r="C1594" s="17">
        <v>2</v>
      </c>
      <c r="D1594" s="17">
        <f t="shared" si="74"/>
        <v>0</v>
      </c>
      <c r="E1594" s="17">
        <f t="shared" si="73"/>
        <v>1678</v>
      </c>
      <c r="F1594" s="17" t="s">
        <v>4813</v>
      </c>
      <c r="G1594" s="17">
        <f>MATCH(E1594,Arenas!$F$8:$F$15)</f>
        <v>5</v>
      </c>
      <c r="H1594" s="29" t="s">
        <v>2964</v>
      </c>
      <c r="I1594" s="33" t="s">
        <v>8138</v>
      </c>
      <c r="J1594" s="47" t="s">
        <v>8139</v>
      </c>
      <c r="K1594" s="61" t="s">
        <v>4779</v>
      </c>
      <c r="L1594" s="12" t="str">
        <f t="shared" si="72"/>
        <v>2,2,2</v>
      </c>
    </row>
    <row r="1595" spans="2:12">
      <c r="B1595" s="17">
        <v>1894</v>
      </c>
      <c r="C1595" s="17">
        <v>2</v>
      </c>
      <c r="D1595" s="17">
        <f t="shared" si="74"/>
        <v>1</v>
      </c>
      <c r="E1595" s="17">
        <f t="shared" si="73"/>
        <v>1679</v>
      </c>
      <c r="F1595" s="17" t="s">
        <v>4813</v>
      </c>
      <c r="G1595" s="17">
        <f>MATCH(E1595,Arenas!$F$8:$F$15)</f>
        <v>5</v>
      </c>
      <c r="H1595" s="29" t="s">
        <v>2965</v>
      </c>
      <c r="I1595" s="33" t="s">
        <v>8140</v>
      </c>
      <c r="J1595" s="47" t="s">
        <v>5344</v>
      </c>
      <c r="K1595" s="61" t="s">
        <v>4779</v>
      </c>
      <c r="L1595" s="12" t="str">
        <f t="shared" si="72"/>
        <v>2,2,2</v>
      </c>
    </row>
    <row r="1596" spans="2:12">
      <c r="B1596" s="17">
        <v>1895</v>
      </c>
      <c r="C1596" s="17">
        <v>2</v>
      </c>
      <c r="D1596" s="17">
        <f t="shared" si="74"/>
        <v>0</v>
      </c>
      <c r="E1596" s="17">
        <f t="shared" si="73"/>
        <v>1679</v>
      </c>
      <c r="F1596" s="17" t="s">
        <v>4813</v>
      </c>
      <c r="G1596" s="17">
        <f>MATCH(E1596,Arenas!$F$8:$F$15)</f>
        <v>5</v>
      </c>
      <c r="H1596" s="29" t="s">
        <v>2966</v>
      </c>
      <c r="I1596" s="33" t="s">
        <v>8141</v>
      </c>
      <c r="J1596" s="47" t="s">
        <v>4996</v>
      </c>
      <c r="K1596" s="61" t="s">
        <v>4779</v>
      </c>
      <c r="L1596" s="12" t="str">
        <f t="shared" si="72"/>
        <v>2,2,2</v>
      </c>
    </row>
    <row r="1597" spans="2:12">
      <c r="B1597" s="17">
        <v>1896</v>
      </c>
      <c r="C1597" s="17">
        <v>2</v>
      </c>
      <c r="D1597" s="17">
        <f t="shared" si="74"/>
        <v>0</v>
      </c>
      <c r="E1597" s="17">
        <f t="shared" si="73"/>
        <v>1679</v>
      </c>
      <c r="F1597" s="17" t="s">
        <v>4813</v>
      </c>
      <c r="G1597" s="17">
        <f>MATCH(E1597,Arenas!$F$8:$F$15)</f>
        <v>5</v>
      </c>
      <c r="H1597" s="29" t="s">
        <v>2967</v>
      </c>
      <c r="I1597" s="33" t="s">
        <v>8142</v>
      </c>
      <c r="J1597" s="47" t="s">
        <v>8143</v>
      </c>
      <c r="K1597" s="61" t="s">
        <v>4779</v>
      </c>
      <c r="L1597" s="12" t="str">
        <f t="shared" si="72"/>
        <v>2,2,2</v>
      </c>
    </row>
    <row r="1598" spans="2:12">
      <c r="B1598" s="17">
        <v>1897</v>
      </c>
      <c r="C1598" s="17">
        <v>2</v>
      </c>
      <c r="D1598" s="17">
        <f t="shared" si="74"/>
        <v>1</v>
      </c>
      <c r="E1598" s="17">
        <f t="shared" si="73"/>
        <v>1680</v>
      </c>
      <c r="F1598" s="17" t="s">
        <v>4813</v>
      </c>
      <c r="G1598" s="17">
        <f>MATCH(E1598,Arenas!$F$8:$F$15)</f>
        <v>5</v>
      </c>
      <c r="H1598" s="29" t="s">
        <v>2968</v>
      </c>
      <c r="I1598" s="33" t="s">
        <v>8144</v>
      </c>
      <c r="J1598" s="47" t="s">
        <v>4722</v>
      </c>
      <c r="K1598" s="61" t="s">
        <v>4779</v>
      </c>
      <c r="L1598" s="12" t="str">
        <f t="shared" si="72"/>
        <v>2,2,2</v>
      </c>
    </row>
    <row r="1599" spans="2:12">
      <c r="B1599" s="17">
        <v>1898</v>
      </c>
      <c r="C1599" s="17">
        <v>2</v>
      </c>
      <c r="D1599" s="17">
        <f t="shared" si="74"/>
        <v>0</v>
      </c>
      <c r="E1599" s="17">
        <f t="shared" si="73"/>
        <v>1680</v>
      </c>
      <c r="F1599" s="17" t="s">
        <v>4813</v>
      </c>
      <c r="G1599" s="17">
        <f>MATCH(E1599,Arenas!$F$8:$F$15)</f>
        <v>5</v>
      </c>
      <c r="H1599" s="29" t="s">
        <v>2969</v>
      </c>
      <c r="I1599" s="33" t="s">
        <v>8145</v>
      </c>
      <c r="J1599" s="47" t="s">
        <v>8146</v>
      </c>
      <c r="K1599" s="61" t="s">
        <v>4779</v>
      </c>
      <c r="L1599" s="12" t="str">
        <f t="shared" si="72"/>
        <v>2,2,2</v>
      </c>
    </row>
    <row r="1600" spans="2:12">
      <c r="B1600" s="17">
        <v>1899</v>
      </c>
      <c r="C1600" s="17">
        <v>2</v>
      </c>
      <c r="D1600" s="17">
        <f t="shared" si="74"/>
        <v>0</v>
      </c>
      <c r="E1600" s="17">
        <f t="shared" si="73"/>
        <v>1680</v>
      </c>
      <c r="F1600" s="17" t="s">
        <v>4813</v>
      </c>
      <c r="G1600" s="17">
        <f>MATCH(E1600,Arenas!$F$8:$F$15)</f>
        <v>5</v>
      </c>
      <c r="H1600" s="29" t="s">
        <v>2970</v>
      </c>
      <c r="I1600" s="33" t="s">
        <v>8147</v>
      </c>
      <c r="J1600" s="47" t="s">
        <v>8148</v>
      </c>
      <c r="K1600" s="61" t="s">
        <v>4807</v>
      </c>
      <c r="L1600" s="12" t="str">
        <f t="shared" si="72"/>
        <v>2,2,2</v>
      </c>
    </row>
    <row r="1601" spans="2:12">
      <c r="B1601" s="17">
        <v>1900</v>
      </c>
      <c r="C1601" s="17">
        <v>2</v>
      </c>
      <c r="D1601" s="17">
        <f t="shared" si="74"/>
        <v>1</v>
      </c>
      <c r="E1601" s="17">
        <f t="shared" si="73"/>
        <v>1681</v>
      </c>
      <c r="F1601" s="17" t="s">
        <v>4813</v>
      </c>
      <c r="G1601" s="17">
        <f>MATCH(E1601,Arenas!$F$8:$F$15)</f>
        <v>5</v>
      </c>
      <c r="H1601" s="29" t="s">
        <v>2971</v>
      </c>
      <c r="I1601" s="33" t="s">
        <v>8149</v>
      </c>
      <c r="J1601" s="47" t="s">
        <v>5700</v>
      </c>
      <c r="K1601" s="61" t="s">
        <v>4779</v>
      </c>
      <c r="L1601" s="12" t="str">
        <f t="shared" si="72"/>
        <v>2,2,2</v>
      </c>
    </row>
    <row r="1602" spans="2:12">
      <c r="B1602" s="17">
        <v>1901</v>
      </c>
      <c r="C1602" s="17">
        <v>2</v>
      </c>
      <c r="D1602" s="17">
        <f t="shared" si="74"/>
        <v>0</v>
      </c>
      <c r="E1602" s="17">
        <f t="shared" si="73"/>
        <v>1681</v>
      </c>
      <c r="F1602" s="17" t="s">
        <v>4813</v>
      </c>
      <c r="G1602" s="17">
        <f>MATCH(E1602,Arenas!$F$8:$F$15)</f>
        <v>5</v>
      </c>
      <c r="H1602" s="29" t="s">
        <v>2972</v>
      </c>
      <c r="I1602" s="33" t="s">
        <v>8150</v>
      </c>
      <c r="J1602" s="47" t="s">
        <v>8151</v>
      </c>
      <c r="K1602" s="61" t="s">
        <v>4779</v>
      </c>
      <c r="L1602" s="12" t="str">
        <f t="shared" ref="L1602:L1665" si="75">C1602&amp;","&amp;C1602&amp;","&amp;C1602</f>
        <v>2,2,2</v>
      </c>
    </row>
    <row r="1603" spans="2:12">
      <c r="B1603" s="17">
        <v>1902</v>
      </c>
      <c r="C1603" s="17">
        <v>2</v>
      </c>
      <c r="D1603" s="17">
        <f t="shared" si="74"/>
        <v>0</v>
      </c>
      <c r="E1603" s="17">
        <f t="shared" ref="E1603:E1666" si="76">D1603+E1602</f>
        <v>1681</v>
      </c>
      <c r="F1603" s="17" t="s">
        <v>4813</v>
      </c>
      <c r="G1603" s="17">
        <f>MATCH(E1603,Arenas!$F$8:$F$15)</f>
        <v>5</v>
      </c>
      <c r="H1603" s="29" t="s">
        <v>2973</v>
      </c>
      <c r="I1603" s="33" t="s">
        <v>8152</v>
      </c>
      <c r="J1603" s="47" t="s">
        <v>8153</v>
      </c>
      <c r="K1603" s="61" t="s">
        <v>4779</v>
      </c>
      <c r="L1603" s="12" t="str">
        <f t="shared" si="75"/>
        <v>2,2,2</v>
      </c>
    </row>
    <row r="1604" spans="2:12">
      <c r="B1604" s="17">
        <v>1903</v>
      </c>
      <c r="C1604" s="17">
        <v>2</v>
      </c>
      <c r="D1604" s="17">
        <f t="shared" si="74"/>
        <v>1</v>
      </c>
      <c r="E1604" s="17">
        <f t="shared" si="76"/>
        <v>1682</v>
      </c>
      <c r="F1604" s="17" t="s">
        <v>4813</v>
      </c>
      <c r="G1604" s="17">
        <f>MATCH(E1604,Arenas!$F$8:$F$15)</f>
        <v>5</v>
      </c>
      <c r="H1604" s="29" t="s">
        <v>2974</v>
      </c>
      <c r="I1604" s="33" t="s">
        <v>8154</v>
      </c>
      <c r="J1604" s="47" t="s">
        <v>5207</v>
      </c>
      <c r="K1604" s="61" t="s">
        <v>4779</v>
      </c>
      <c r="L1604" s="12" t="str">
        <f t="shared" si="75"/>
        <v>2,2,2</v>
      </c>
    </row>
    <row r="1605" spans="2:12">
      <c r="B1605" s="17">
        <v>1904</v>
      </c>
      <c r="C1605" s="17">
        <v>2</v>
      </c>
      <c r="D1605" s="17">
        <f t="shared" ref="D1605:D1668" si="77">D1602</f>
        <v>0</v>
      </c>
      <c r="E1605" s="17">
        <f t="shared" si="76"/>
        <v>1682</v>
      </c>
      <c r="F1605" s="17" t="s">
        <v>4813</v>
      </c>
      <c r="G1605" s="17">
        <f>MATCH(E1605,Arenas!$F$8:$F$15)</f>
        <v>5</v>
      </c>
      <c r="H1605" s="29" t="s">
        <v>2975</v>
      </c>
      <c r="I1605" s="33" t="s">
        <v>8155</v>
      </c>
      <c r="J1605" s="47" t="s">
        <v>4982</v>
      </c>
      <c r="K1605" s="61" t="s">
        <v>4779</v>
      </c>
      <c r="L1605" s="12" t="str">
        <f t="shared" si="75"/>
        <v>2,2,2</v>
      </c>
    </row>
    <row r="1606" spans="2:12">
      <c r="B1606" s="17">
        <v>1905</v>
      </c>
      <c r="C1606" s="17">
        <v>2</v>
      </c>
      <c r="D1606" s="17">
        <f t="shared" si="77"/>
        <v>0</v>
      </c>
      <c r="E1606" s="17">
        <f t="shared" si="76"/>
        <v>1682</v>
      </c>
      <c r="F1606" s="17" t="s">
        <v>4813</v>
      </c>
      <c r="G1606" s="17">
        <f>MATCH(E1606,Arenas!$F$8:$F$15)</f>
        <v>5</v>
      </c>
      <c r="H1606" s="29" t="s">
        <v>2976</v>
      </c>
      <c r="I1606" s="33" t="s">
        <v>8156</v>
      </c>
      <c r="J1606" s="47" t="s">
        <v>5756</v>
      </c>
      <c r="K1606" s="61" t="s">
        <v>4779</v>
      </c>
      <c r="L1606" s="12" t="str">
        <f t="shared" si="75"/>
        <v>2,2,2</v>
      </c>
    </row>
    <row r="1607" spans="2:12">
      <c r="B1607" s="17">
        <v>1906</v>
      </c>
      <c r="C1607" s="17">
        <v>2</v>
      </c>
      <c r="D1607" s="17">
        <f t="shared" si="77"/>
        <v>1</v>
      </c>
      <c r="E1607" s="17">
        <f t="shared" si="76"/>
        <v>1683</v>
      </c>
      <c r="F1607" s="17" t="s">
        <v>4813</v>
      </c>
      <c r="G1607" s="17">
        <f>MATCH(E1607,Arenas!$F$8:$F$15)</f>
        <v>5</v>
      </c>
      <c r="H1607" s="29" t="s">
        <v>2977</v>
      </c>
      <c r="I1607" s="33" t="s">
        <v>8157</v>
      </c>
      <c r="J1607" s="47" t="s">
        <v>8158</v>
      </c>
      <c r="K1607" s="61" t="s">
        <v>4779</v>
      </c>
      <c r="L1607" s="12" t="str">
        <f t="shared" si="75"/>
        <v>2,2,2</v>
      </c>
    </row>
    <row r="1608" spans="2:12">
      <c r="B1608" s="17">
        <v>1907</v>
      </c>
      <c r="C1608" s="17">
        <v>2</v>
      </c>
      <c r="D1608" s="17">
        <f t="shared" si="77"/>
        <v>0</v>
      </c>
      <c r="E1608" s="17">
        <f t="shared" si="76"/>
        <v>1683</v>
      </c>
      <c r="F1608" s="17" t="s">
        <v>4813</v>
      </c>
      <c r="G1608" s="17">
        <f>MATCH(E1608,Arenas!$F$8:$F$15)</f>
        <v>5</v>
      </c>
      <c r="H1608" s="29" t="s">
        <v>2978</v>
      </c>
      <c r="I1608" s="33" t="s">
        <v>8159</v>
      </c>
      <c r="J1608" s="47" t="s">
        <v>5514</v>
      </c>
      <c r="K1608" s="61" t="s">
        <v>4779</v>
      </c>
      <c r="L1608" s="12" t="str">
        <f t="shared" si="75"/>
        <v>2,2,2</v>
      </c>
    </row>
    <row r="1609" spans="2:12">
      <c r="B1609" s="17">
        <v>1908</v>
      </c>
      <c r="C1609" s="17">
        <v>2</v>
      </c>
      <c r="D1609" s="17">
        <f t="shared" si="77"/>
        <v>0</v>
      </c>
      <c r="E1609" s="17">
        <f t="shared" si="76"/>
        <v>1683</v>
      </c>
      <c r="F1609" s="17" t="s">
        <v>4813</v>
      </c>
      <c r="G1609" s="17">
        <f>MATCH(E1609,Arenas!$F$8:$F$15)</f>
        <v>5</v>
      </c>
      <c r="H1609" s="29" t="s">
        <v>2979</v>
      </c>
      <c r="I1609" s="33" t="s">
        <v>8160</v>
      </c>
      <c r="J1609" s="47" t="s">
        <v>8161</v>
      </c>
      <c r="K1609" s="61" t="s">
        <v>4779</v>
      </c>
      <c r="L1609" s="12" t="str">
        <f t="shared" si="75"/>
        <v>2,2,2</v>
      </c>
    </row>
    <row r="1610" spans="2:12">
      <c r="B1610" s="17">
        <v>1909</v>
      </c>
      <c r="C1610" s="17">
        <v>2</v>
      </c>
      <c r="D1610" s="17">
        <f t="shared" si="77"/>
        <v>1</v>
      </c>
      <c r="E1610" s="17">
        <f t="shared" si="76"/>
        <v>1684</v>
      </c>
      <c r="F1610" s="17" t="s">
        <v>4813</v>
      </c>
      <c r="G1610" s="17">
        <f>MATCH(E1610,Arenas!$F$8:$F$15)</f>
        <v>5</v>
      </c>
      <c r="H1610" s="29" t="s">
        <v>2980</v>
      </c>
      <c r="I1610" s="33" t="s">
        <v>8162</v>
      </c>
      <c r="J1610" s="47" t="s">
        <v>8163</v>
      </c>
      <c r="K1610" s="61" t="s">
        <v>4779</v>
      </c>
      <c r="L1610" s="12" t="str">
        <f t="shared" si="75"/>
        <v>2,2,2</v>
      </c>
    </row>
    <row r="1611" spans="2:12">
      <c r="B1611" s="17">
        <v>1910</v>
      </c>
      <c r="C1611" s="17">
        <v>2</v>
      </c>
      <c r="D1611" s="17">
        <f t="shared" si="77"/>
        <v>0</v>
      </c>
      <c r="E1611" s="17">
        <f t="shared" si="76"/>
        <v>1684</v>
      </c>
      <c r="F1611" s="17" t="s">
        <v>4813</v>
      </c>
      <c r="G1611" s="17">
        <f>MATCH(E1611,Arenas!$F$8:$F$15)</f>
        <v>5</v>
      </c>
      <c r="H1611" s="29" t="s">
        <v>2981</v>
      </c>
      <c r="I1611" s="33" t="s">
        <v>8164</v>
      </c>
      <c r="J1611" s="47" t="s">
        <v>8165</v>
      </c>
      <c r="K1611" s="61" t="s">
        <v>4779</v>
      </c>
      <c r="L1611" s="12" t="str">
        <f t="shared" si="75"/>
        <v>2,2,2</v>
      </c>
    </row>
    <row r="1612" spans="2:12">
      <c r="B1612" s="17">
        <v>1911</v>
      </c>
      <c r="C1612" s="17">
        <v>2</v>
      </c>
      <c r="D1612" s="17">
        <f t="shared" si="77"/>
        <v>0</v>
      </c>
      <c r="E1612" s="17">
        <f t="shared" si="76"/>
        <v>1684</v>
      </c>
      <c r="F1612" s="17" t="s">
        <v>4813</v>
      </c>
      <c r="G1612" s="17">
        <f>MATCH(E1612,Arenas!$F$8:$F$15)</f>
        <v>5</v>
      </c>
      <c r="H1612" s="29" t="s">
        <v>2982</v>
      </c>
      <c r="I1612" s="33" t="s">
        <v>8166</v>
      </c>
      <c r="J1612" s="47" t="s">
        <v>5229</v>
      </c>
      <c r="K1612" s="61" t="s">
        <v>4808</v>
      </c>
      <c r="L1612" s="12" t="str">
        <f t="shared" si="75"/>
        <v>2,2,2</v>
      </c>
    </row>
    <row r="1613" spans="2:12">
      <c r="B1613" s="17">
        <v>1912</v>
      </c>
      <c r="C1613" s="17">
        <v>2</v>
      </c>
      <c r="D1613" s="17">
        <f t="shared" si="77"/>
        <v>1</v>
      </c>
      <c r="E1613" s="17">
        <f t="shared" si="76"/>
        <v>1685</v>
      </c>
      <c r="F1613" s="17" t="s">
        <v>4813</v>
      </c>
      <c r="G1613" s="17">
        <f>MATCH(E1613,Arenas!$F$8:$F$15)</f>
        <v>5</v>
      </c>
      <c r="H1613" s="29" t="s">
        <v>2983</v>
      </c>
      <c r="I1613" s="33" t="s">
        <v>8167</v>
      </c>
      <c r="J1613" s="47" t="s">
        <v>8168</v>
      </c>
      <c r="K1613" s="61" t="s">
        <v>4779</v>
      </c>
      <c r="L1613" s="12" t="str">
        <f t="shared" si="75"/>
        <v>2,2,2</v>
      </c>
    </row>
    <row r="1614" spans="2:12">
      <c r="B1614" s="17">
        <v>1913</v>
      </c>
      <c r="C1614" s="17">
        <v>2</v>
      </c>
      <c r="D1614" s="17">
        <f t="shared" si="77"/>
        <v>0</v>
      </c>
      <c r="E1614" s="17">
        <f t="shared" si="76"/>
        <v>1685</v>
      </c>
      <c r="F1614" s="17" t="s">
        <v>4813</v>
      </c>
      <c r="G1614" s="17">
        <f>MATCH(E1614,Arenas!$F$8:$F$15)</f>
        <v>5</v>
      </c>
      <c r="H1614" s="29" t="s">
        <v>2984</v>
      </c>
      <c r="I1614" s="33" t="s">
        <v>8169</v>
      </c>
      <c r="J1614" s="47" t="s">
        <v>5548</v>
      </c>
      <c r="K1614" s="61" t="s">
        <v>4779</v>
      </c>
      <c r="L1614" s="12" t="str">
        <f t="shared" si="75"/>
        <v>2,2,2</v>
      </c>
    </row>
    <row r="1615" spans="2:12">
      <c r="B1615" s="17">
        <v>1914</v>
      </c>
      <c r="C1615" s="17">
        <v>2</v>
      </c>
      <c r="D1615" s="17">
        <f t="shared" si="77"/>
        <v>0</v>
      </c>
      <c r="E1615" s="17">
        <f t="shared" si="76"/>
        <v>1685</v>
      </c>
      <c r="F1615" s="17" t="s">
        <v>4813</v>
      </c>
      <c r="G1615" s="17">
        <f>MATCH(E1615,Arenas!$F$8:$F$15)</f>
        <v>5</v>
      </c>
      <c r="H1615" s="29" t="s">
        <v>2985</v>
      </c>
      <c r="I1615" s="33" t="s">
        <v>8170</v>
      </c>
      <c r="J1615" s="47" t="s">
        <v>5262</v>
      </c>
      <c r="K1615" s="61" t="s">
        <v>4810</v>
      </c>
      <c r="L1615" s="12" t="str">
        <f t="shared" si="75"/>
        <v>2,2,2</v>
      </c>
    </row>
    <row r="1616" spans="2:12">
      <c r="B1616" s="17">
        <v>1915</v>
      </c>
      <c r="C1616" s="17">
        <v>2</v>
      </c>
      <c r="D1616" s="17">
        <f t="shared" si="77"/>
        <v>1</v>
      </c>
      <c r="E1616" s="17">
        <f t="shared" si="76"/>
        <v>1686</v>
      </c>
      <c r="F1616" s="17" t="s">
        <v>4813</v>
      </c>
      <c r="G1616" s="17">
        <f>MATCH(E1616,Arenas!$F$8:$F$15)</f>
        <v>5</v>
      </c>
      <c r="H1616" s="29" t="s">
        <v>2986</v>
      </c>
      <c r="I1616" s="33" t="s">
        <v>8171</v>
      </c>
      <c r="J1616" s="47" t="s">
        <v>5749</v>
      </c>
      <c r="K1616" s="61" t="s">
        <v>4779</v>
      </c>
      <c r="L1616" s="12" t="str">
        <f t="shared" si="75"/>
        <v>2,2,2</v>
      </c>
    </row>
    <row r="1617" spans="2:12">
      <c r="B1617" s="17">
        <v>1916</v>
      </c>
      <c r="C1617" s="17">
        <v>2</v>
      </c>
      <c r="D1617" s="17">
        <f t="shared" si="77"/>
        <v>0</v>
      </c>
      <c r="E1617" s="17">
        <f t="shared" si="76"/>
        <v>1686</v>
      </c>
      <c r="F1617" s="17" t="s">
        <v>4813</v>
      </c>
      <c r="G1617" s="17">
        <f>MATCH(E1617,Arenas!$F$8:$F$15)</f>
        <v>5</v>
      </c>
      <c r="H1617" s="29" t="s">
        <v>2987</v>
      </c>
      <c r="I1617" s="33" t="s">
        <v>8172</v>
      </c>
      <c r="J1617" s="47" t="s">
        <v>5098</v>
      </c>
      <c r="K1617" s="61" t="s">
        <v>4779</v>
      </c>
      <c r="L1617" s="12" t="str">
        <f t="shared" si="75"/>
        <v>2,2,2</v>
      </c>
    </row>
    <row r="1618" spans="2:12">
      <c r="B1618" s="17">
        <v>1917</v>
      </c>
      <c r="C1618" s="17">
        <v>2</v>
      </c>
      <c r="D1618" s="17">
        <f t="shared" si="77"/>
        <v>0</v>
      </c>
      <c r="E1618" s="17">
        <f t="shared" si="76"/>
        <v>1686</v>
      </c>
      <c r="F1618" s="17" t="s">
        <v>4813</v>
      </c>
      <c r="G1618" s="17">
        <f>MATCH(E1618,Arenas!$F$8:$F$15)</f>
        <v>5</v>
      </c>
      <c r="H1618" s="29" t="s">
        <v>2988</v>
      </c>
      <c r="I1618" s="33" t="s">
        <v>8173</v>
      </c>
      <c r="J1618" s="47" t="s">
        <v>8174</v>
      </c>
      <c r="K1618" s="61" t="s">
        <v>4779</v>
      </c>
      <c r="L1618" s="12" t="str">
        <f t="shared" si="75"/>
        <v>2,2,2</v>
      </c>
    </row>
    <row r="1619" spans="2:12">
      <c r="B1619" s="17">
        <v>1918</v>
      </c>
      <c r="C1619" s="17">
        <v>2</v>
      </c>
      <c r="D1619" s="17">
        <f t="shared" si="77"/>
        <v>1</v>
      </c>
      <c r="E1619" s="17">
        <f t="shared" si="76"/>
        <v>1687</v>
      </c>
      <c r="F1619" s="17" t="s">
        <v>4813</v>
      </c>
      <c r="G1619" s="17">
        <f>MATCH(E1619,Arenas!$F$8:$F$15)</f>
        <v>5</v>
      </c>
      <c r="H1619" s="29" t="s">
        <v>2989</v>
      </c>
      <c r="I1619" s="33" t="s">
        <v>8175</v>
      </c>
      <c r="J1619" s="47" t="s">
        <v>5463</v>
      </c>
      <c r="K1619" s="61" t="s">
        <v>4779</v>
      </c>
      <c r="L1619" s="12" t="str">
        <f t="shared" si="75"/>
        <v>2,2,2</v>
      </c>
    </row>
    <row r="1620" spans="2:12">
      <c r="B1620" s="17">
        <v>1919</v>
      </c>
      <c r="C1620" s="17">
        <v>2</v>
      </c>
      <c r="D1620" s="17">
        <f t="shared" si="77"/>
        <v>0</v>
      </c>
      <c r="E1620" s="17">
        <f t="shared" si="76"/>
        <v>1687</v>
      </c>
      <c r="F1620" s="17" t="s">
        <v>4813</v>
      </c>
      <c r="G1620" s="17">
        <f>MATCH(E1620,Arenas!$F$8:$F$15)</f>
        <v>5</v>
      </c>
      <c r="H1620" s="29" t="s">
        <v>2990</v>
      </c>
      <c r="I1620" s="33" t="s">
        <v>8176</v>
      </c>
      <c r="J1620" s="47" t="s">
        <v>8177</v>
      </c>
      <c r="K1620" s="61" t="s">
        <v>4779</v>
      </c>
      <c r="L1620" s="12" t="str">
        <f t="shared" si="75"/>
        <v>2,2,2</v>
      </c>
    </row>
    <row r="1621" spans="2:12">
      <c r="B1621" s="17">
        <v>1920</v>
      </c>
      <c r="C1621" s="17">
        <v>2</v>
      </c>
      <c r="D1621" s="17">
        <f t="shared" si="77"/>
        <v>0</v>
      </c>
      <c r="E1621" s="17">
        <f t="shared" si="76"/>
        <v>1687</v>
      </c>
      <c r="F1621" s="17" t="s">
        <v>4813</v>
      </c>
      <c r="G1621" s="17">
        <f>MATCH(E1621,Arenas!$F$8:$F$15)</f>
        <v>5</v>
      </c>
      <c r="H1621" s="29" t="s">
        <v>2991</v>
      </c>
      <c r="I1621" s="33" t="s">
        <v>8178</v>
      </c>
      <c r="J1621" s="47" t="s">
        <v>5322</v>
      </c>
      <c r="K1621" s="61" t="s">
        <v>4779</v>
      </c>
      <c r="L1621" s="12" t="str">
        <f t="shared" si="75"/>
        <v>2,2,2</v>
      </c>
    </row>
    <row r="1622" spans="2:12">
      <c r="B1622" s="17">
        <v>1921</v>
      </c>
      <c r="C1622" s="17">
        <v>2</v>
      </c>
      <c r="D1622" s="17">
        <f t="shared" si="77"/>
        <v>1</v>
      </c>
      <c r="E1622" s="17">
        <f t="shared" si="76"/>
        <v>1688</v>
      </c>
      <c r="F1622" s="17" t="s">
        <v>4813</v>
      </c>
      <c r="G1622" s="17">
        <f>MATCH(E1622,Arenas!$F$8:$F$15)</f>
        <v>5</v>
      </c>
      <c r="H1622" s="29" t="s">
        <v>2992</v>
      </c>
      <c r="I1622" s="33" t="s">
        <v>8179</v>
      </c>
      <c r="J1622" s="47" t="s">
        <v>5495</v>
      </c>
      <c r="K1622" s="61" t="s">
        <v>4779</v>
      </c>
      <c r="L1622" s="12" t="str">
        <f t="shared" si="75"/>
        <v>2,2,2</v>
      </c>
    </row>
    <row r="1623" spans="2:12">
      <c r="B1623" s="17">
        <v>1922</v>
      </c>
      <c r="C1623" s="17">
        <v>2</v>
      </c>
      <c r="D1623" s="17">
        <f t="shared" si="77"/>
        <v>0</v>
      </c>
      <c r="E1623" s="17">
        <f t="shared" si="76"/>
        <v>1688</v>
      </c>
      <c r="F1623" s="17" t="s">
        <v>4813</v>
      </c>
      <c r="G1623" s="17">
        <f>MATCH(E1623,Arenas!$F$8:$F$15)</f>
        <v>5</v>
      </c>
      <c r="H1623" s="29" t="s">
        <v>2993</v>
      </c>
      <c r="I1623" s="33" t="s">
        <v>8180</v>
      </c>
      <c r="J1623" s="47" t="s">
        <v>5851</v>
      </c>
      <c r="K1623" s="61" t="s">
        <v>4779</v>
      </c>
      <c r="L1623" s="12" t="str">
        <f t="shared" si="75"/>
        <v>2,2,2</v>
      </c>
    </row>
    <row r="1624" spans="2:12">
      <c r="B1624" s="17">
        <v>1923</v>
      </c>
      <c r="C1624" s="17">
        <v>2</v>
      </c>
      <c r="D1624" s="17">
        <f t="shared" si="77"/>
        <v>0</v>
      </c>
      <c r="E1624" s="17">
        <f t="shared" si="76"/>
        <v>1688</v>
      </c>
      <c r="F1624" s="17" t="s">
        <v>4813</v>
      </c>
      <c r="G1624" s="17">
        <f>MATCH(E1624,Arenas!$F$8:$F$15)</f>
        <v>5</v>
      </c>
      <c r="H1624" s="29" t="s">
        <v>2994</v>
      </c>
      <c r="I1624" s="33" t="s">
        <v>8181</v>
      </c>
      <c r="J1624" s="47" t="s">
        <v>5051</v>
      </c>
      <c r="K1624" s="61" t="s">
        <v>4779</v>
      </c>
      <c r="L1624" s="12" t="str">
        <f t="shared" si="75"/>
        <v>2,2,2</v>
      </c>
    </row>
    <row r="1625" spans="2:12">
      <c r="B1625" s="17">
        <v>1924</v>
      </c>
      <c r="C1625" s="17">
        <v>2</v>
      </c>
      <c r="D1625" s="17">
        <f t="shared" si="77"/>
        <v>1</v>
      </c>
      <c r="E1625" s="17">
        <f t="shared" si="76"/>
        <v>1689</v>
      </c>
      <c r="F1625" s="17" t="s">
        <v>4813</v>
      </c>
      <c r="G1625" s="17">
        <f>MATCH(E1625,Arenas!$F$8:$F$15)</f>
        <v>5</v>
      </c>
      <c r="H1625" s="29" t="s">
        <v>2995</v>
      </c>
      <c r="I1625" s="33" t="s">
        <v>8182</v>
      </c>
      <c r="J1625" s="47" t="s">
        <v>8183</v>
      </c>
      <c r="K1625" s="61" t="s">
        <v>4779</v>
      </c>
      <c r="L1625" s="12" t="str">
        <f t="shared" si="75"/>
        <v>2,2,2</v>
      </c>
    </row>
    <row r="1626" spans="2:12">
      <c r="B1626" s="17">
        <v>1925</v>
      </c>
      <c r="C1626" s="17">
        <v>2</v>
      </c>
      <c r="D1626" s="17">
        <f t="shared" si="77"/>
        <v>0</v>
      </c>
      <c r="E1626" s="17">
        <f t="shared" si="76"/>
        <v>1689</v>
      </c>
      <c r="F1626" s="17" t="s">
        <v>4813</v>
      </c>
      <c r="G1626" s="17">
        <f>MATCH(E1626,Arenas!$F$8:$F$15)</f>
        <v>5</v>
      </c>
      <c r="H1626" s="29" t="s">
        <v>2996</v>
      </c>
      <c r="I1626" s="33" t="s">
        <v>8184</v>
      </c>
      <c r="J1626" s="47" t="s">
        <v>5807</v>
      </c>
      <c r="K1626" s="61" t="s">
        <v>4779</v>
      </c>
      <c r="L1626" s="12" t="str">
        <f t="shared" si="75"/>
        <v>2,2,2</v>
      </c>
    </row>
    <row r="1627" spans="2:12">
      <c r="B1627" s="17">
        <v>1926</v>
      </c>
      <c r="C1627" s="17">
        <v>2</v>
      </c>
      <c r="D1627" s="17">
        <f t="shared" si="77"/>
        <v>0</v>
      </c>
      <c r="E1627" s="17">
        <f t="shared" si="76"/>
        <v>1689</v>
      </c>
      <c r="F1627" s="17" t="s">
        <v>4813</v>
      </c>
      <c r="G1627" s="17">
        <f>MATCH(E1627,Arenas!$F$8:$F$15)</f>
        <v>5</v>
      </c>
      <c r="H1627" s="29" t="s">
        <v>2997</v>
      </c>
      <c r="I1627" s="33" t="s">
        <v>8185</v>
      </c>
      <c r="J1627" s="47" t="s">
        <v>8186</v>
      </c>
      <c r="K1627" s="61" t="s">
        <v>4779</v>
      </c>
      <c r="L1627" s="12" t="str">
        <f t="shared" si="75"/>
        <v>2,2,2</v>
      </c>
    </row>
    <row r="1628" spans="2:12">
      <c r="B1628" s="17">
        <v>1927</v>
      </c>
      <c r="C1628" s="17">
        <v>2</v>
      </c>
      <c r="D1628" s="17">
        <f t="shared" si="77"/>
        <v>1</v>
      </c>
      <c r="E1628" s="17">
        <f t="shared" si="76"/>
        <v>1690</v>
      </c>
      <c r="F1628" s="17" t="s">
        <v>4813</v>
      </c>
      <c r="G1628" s="17">
        <f>MATCH(E1628,Arenas!$F$8:$F$15)</f>
        <v>5</v>
      </c>
      <c r="H1628" s="29" t="s">
        <v>2998</v>
      </c>
      <c r="I1628" s="33" t="s">
        <v>8187</v>
      </c>
      <c r="J1628" s="47" t="s">
        <v>5733</v>
      </c>
      <c r="K1628" s="61" t="s">
        <v>4779</v>
      </c>
      <c r="L1628" s="12" t="str">
        <f t="shared" si="75"/>
        <v>2,2,2</v>
      </c>
    </row>
    <row r="1629" spans="2:12">
      <c r="B1629" s="17">
        <v>1928</v>
      </c>
      <c r="C1629" s="17">
        <v>2</v>
      </c>
      <c r="D1629" s="17">
        <f t="shared" si="77"/>
        <v>0</v>
      </c>
      <c r="E1629" s="17">
        <f t="shared" si="76"/>
        <v>1690</v>
      </c>
      <c r="F1629" s="17" t="s">
        <v>4813</v>
      </c>
      <c r="G1629" s="17">
        <f>MATCH(E1629,Arenas!$F$8:$F$15)</f>
        <v>5</v>
      </c>
      <c r="H1629" s="29" t="s">
        <v>2999</v>
      </c>
      <c r="I1629" s="33" t="s">
        <v>8188</v>
      </c>
      <c r="J1629" s="47" t="s">
        <v>4974</v>
      </c>
      <c r="K1629" s="61" t="s">
        <v>4807</v>
      </c>
      <c r="L1629" s="12" t="str">
        <f t="shared" si="75"/>
        <v>2,2,2</v>
      </c>
    </row>
    <row r="1630" spans="2:12">
      <c r="B1630" s="17">
        <v>1929</v>
      </c>
      <c r="C1630" s="17">
        <v>2</v>
      </c>
      <c r="D1630" s="17">
        <f t="shared" si="77"/>
        <v>0</v>
      </c>
      <c r="E1630" s="17">
        <f t="shared" si="76"/>
        <v>1690</v>
      </c>
      <c r="F1630" s="17" t="s">
        <v>4813</v>
      </c>
      <c r="G1630" s="17">
        <f>MATCH(E1630,Arenas!$F$8:$F$15)</f>
        <v>5</v>
      </c>
      <c r="H1630" s="29" t="s">
        <v>3000</v>
      </c>
      <c r="I1630" s="33" t="s">
        <v>8189</v>
      </c>
      <c r="J1630" s="47" t="s">
        <v>4667</v>
      </c>
      <c r="K1630" s="61" t="s">
        <v>4779</v>
      </c>
      <c r="L1630" s="12" t="str">
        <f t="shared" si="75"/>
        <v>2,2,2</v>
      </c>
    </row>
    <row r="1631" spans="2:12">
      <c r="B1631" s="17">
        <v>1930</v>
      </c>
      <c r="C1631" s="17">
        <v>2</v>
      </c>
      <c r="D1631" s="17">
        <f t="shared" si="77"/>
        <v>1</v>
      </c>
      <c r="E1631" s="17">
        <f t="shared" si="76"/>
        <v>1691</v>
      </c>
      <c r="F1631" s="17" t="s">
        <v>4813</v>
      </c>
      <c r="G1631" s="17">
        <f>MATCH(E1631,Arenas!$F$8:$F$15)</f>
        <v>5</v>
      </c>
      <c r="H1631" s="29" t="s">
        <v>3001</v>
      </c>
      <c r="I1631" s="33" t="s">
        <v>8190</v>
      </c>
      <c r="J1631" s="47" t="s">
        <v>8191</v>
      </c>
      <c r="K1631" s="61" t="s">
        <v>4779</v>
      </c>
      <c r="L1631" s="12" t="str">
        <f t="shared" si="75"/>
        <v>2,2,2</v>
      </c>
    </row>
    <row r="1632" spans="2:12">
      <c r="B1632" s="17">
        <v>1931</v>
      </c>
      <c r="C1632" s="17">
        <v>2</v>
      </c>
      <c r="D1632" s="17">
        <f t="shared" si="77"/>
        <v>0</v>
      </c>
      <c r="E1632" s="17">
        <f t="shared" si="76"/>
        <v>1691</v>
      </c>
      <c r="F1632" s="17" t="s">
        <v>4813</v>
      </c>
      <c r="G1632" s="17">
        <f>MATCH(E1632,Arenas!$F$8:$F$15)</f>
        <v>5</v>
      </c>
      <c r="H1632" s="29" t="s">
        <v>3002</v>
      </c>
      <c r="I1632" s="33" t="s">
        <v>8192</v>
      </c>
      <c r="J1632" s="47" t="s">
        <v>5728</v>
      </c>
      <c r="K1632" s="61" t="s">
        <v>4779</v>
      </c>
      <c r="L1632" s="12" t="str">
        <f t="shared" si="75"/>
        <v>2,2,2</v>
      </c>
    </row>
    <row r="1633" spans="2:12">
      <c r="B1633" s="17">
        <v>1932</v>
      </c>
      <c r="C1633" s="17">
        <v>2</v>
      </c>
      <c r="D1633" s="17">
        <f t="shared" si="77"/>
        <v>0</v>
      </c>
      <c r="E1633" s="17">
        <f t="shared" si="76"/>
        <v>1691</v>
      </c>
      <c r="F1633" s="17" t="s">
        <v>4813</v>
      </c>
      <c r="G1633" s="17">
        <f>MATCH(E1633,Arenas!$F$8:$F$15)</f>
        <v>5</v>
      </c>
      <c r="H1633" s="29" t="s">
        <v>3003</v>
      </c>
      <c r="I1633" s="33" t="s">
        <v>8193</v>
      </c>
      <c r="J1633" s="47" t="s">
        <v>8194</v>
      </c>
      <c r="K1633" s="61" t="s">
        <v>4779</v>
      </c>
      <c r="L1633" s="12" t="str">
        <f t="shared" si="75"/>
        <v>2,2,2</v>
      </c>
    </row>
    <row r="1634" spans="2:12">
      <c r="B1634" s="17">
        <v>1933</v>
      </c>
      <c r="C1634" s="17">
        <v>2</v>
      </c>
      <c r="D1634" s="17">
        <f t="shared" si="77"/>
        <v>1</v>
      </c>
      <c r="E1634" s="17">
        <f t="shared" si="76"/>
        <v>1692</v>
      </c>
      <c r="F1634" s="17" t="s">
        <v>4813</v>
      </c>
      <c r="G1634" s="17">
        <f>MATCH(E1634,Arenas!$F$8:$F$15)</f>
        <v>5</v>
      </c>
      <c r="H1634" s="29" t="s">
        <v>3004</v>
      </c>
      <c r="I1634" s="33" t="s">
        <v>8195</v>
      </c>
      <c r="J1634" s="47" t="s">
        <v>5474</v>
      </c>
      <c r="K1634" s="61" t="s">
        <v>4779</v>
      </c>
      <c r="L1634" s="12" t="str">
        <f t="shared" si="75"/>
        <v>2,2,2</v>
      </c>
    </row>
    <row r="1635" spans="2:12">
      <c r="B1635" s="17">
        <v>1934</v>
      </c>
      <c r="C1635" s="17">
        <v>2</v>
      </c>
      <c r="D1635" s="17">
        <f t="shared" si="77"/>
        <v>0</v>
      </c>
      <c r="E1635" s="17">
        <f t="shared" si="76"/>
        <v>1692</v>
      </c>
      <c r="F1635" s="17" t="s">
        <v>4813</v>
      </c>
      <c r="G1635" s="17">
        <f>MATCH(E1635,Arenas!$F$8:$F$15)</f>
        <v>5</v>
      </c>
      <c r="H1635" s="29" t="s">
        <v>3005</v>
      </c>
      <c r="I1635" s="33" t="s">
        <v>8196</v>
      </c>
      <c r="J1635" s="47" t="s">
        <v>5798</v>
      </c>
      <c r="K1635" s="61" t="s">
        <v>4779</v>
      </c>
      <c r="L1635" s="12" t="str">
        <f t="shared" si="75"/>
        <v>2,2,2</v>
      </c>
    </row>
    <row r="1636" spans="2:12">
      <c r="B1636" s="17">
        <v>1935</v>
      </c>
      <c r="C1636" s="17">
        <v>2</v>
      </c>
      <c r="D1636" s="17">
        <f t="shared" si="77"/>
        <v>0</v>
      </c>
      <c r="E1636" s="17">
        <f t="shared" si="76"/>
        <v>1692</v>
      </c>
      <c r="F1636" s="17" t="s">
        <v>4813</v>
      </c>
      <c r="G1636" s="17">
        <f>MATCH(E1636,Arenas!$F$8:$F$15)</f>
        <v>5</v>
      </c>
      <c r="H1636" s="29" t="s">
        <v>3006</v>
      </c>
      <c r="I1636" s="33" t="s">
        <v>8197</v>
      </c>
      <c r="J1636" s="47" t="s">
        <v>8198</v>
      </c>
      <c r="K1636" s="61" t="s">
        <v>4807</v>
      </c>
      <c r="L1636" s="12" t="str">
        <f t="shared" si="75"/>
        <v>2,2,2</v>
      </c>
    </row>
    <row r="1637" spans="2:12">
      <c r="B1637" s="17">
        <v>1936</v>
      </c>
      <c r="C1637" s="17">
        <v>2</v>
      </c>
      <c r="D1637" s="17">
        <f t="shared" si="77"/>
        <v>1</v>
      </c>
      <c r="E1637" s="17">
        <f t="shared" si="76"/>
        <v>1693</v>
      </c>
      <c r="F1637" s="17" t="s">
        <v>4813</v>
      </c>
      <c r="G1637" s="17">
        <f>MATCH(E1637,Arenas!$F$8:$F$15)</f>
        <v>5</v>
      </c>
      <c r="H1637" s="29" t="s">
        <v>3007</v>
      </c>
      <c r="I1637" s="33" t="s">
        <v>8199</v>
      </c>
      <c r="J1637" s="47" t="s">
        <v>8200</v>
      </c>
      <c r="K1637" s="61" t="s">
        <v>4779</v>
      </c>
      <c r="L1637" s="12" t="str">
        <f t="shared" si="75"/>
        <v>2,2,2</v>
      </c>
    </row>
    <row r="1638" spans="2:12">
      <c r="B1638" s="17">
        <v>1937</v>
      </c>
      <c r="C1638" s="17">
        <v>2</v>
      </c>
      <c r="D1638" s="17">
        <f t="shared" si="77"/>
        <v>0</v>
      </c>
      <c r="E1638" s="17">
        <f t="shared" si="76"/>
        <v>1693</v>
      </c>
      <c r="F1638" s="17" t="s">
        <v>4813</v>
      </c>
      <c r="G1638" s="17">
        <f>MATCH(E1638,Arenas!$F$8:$F$15)</f>
        <v>5</v>
      </c>
      <c r="H1638" s="29" t="s">
        <v>3008</v>
      </c>
      <c r="I1638" s="33" t="s">
        <v>8201</v>
      </c>
      <c r="J1638" s="47" t="s">
        <v>8202</v>
      </c>
      <c r="K1638" s="61" t="s">
        <v>4779</v>
      </c>
      <c r="L1638" s="12" t="str">
        <f t="shared" si="75"/>
        <v>2,2,2</v>
      </c>
    </row>
    <row r="1639" spans="2:12">
      <c r="B1639" s="17">
        <v>1938</v>
      </c>
      <c r="C1639" s="17">
        <v>2</v>
      </c>
      <c r="D1639" s="17">
        <f t="shared" si="77"/>
        <v>0</v>
      </c>
      <c r="E1639" s="17">
        <f t="shared" si="76"/>
        <v>1693</v>
      </c>
      <c r="F1639" s="17" t="s">
        <v>4813</v>
      </c>
      <c r="G1639" s="17">
        <f>MATCH(E1639,Arenas!$F$8:$F$15)</f>
        <v>5</v>
      </c>
      <c r="H1639" s="29" t="s">
        <v>3009</v>
      </c>
      <c r="I1639" s="33" t="s">
        <v>8203</v>
      </c>
      <c r="J1639" s="47" t="s">
        <v>8204</v>
      </c>
      <c r="K1639" s="61" t="s">
        <v>4779</v>
      </c>
      <c r="L1639" s="12" t="str">
        <f t="shared" si="75"/>
        <v>2,2,2</v>
      </c>
    </row>
    <row r="1640" spans="2:12">
      <c r="B1640" s="17">
        <v>1939</v>
      </c>
      <c r="C1640" s="17">
        <v>2</v>
      </c>
      <c r="D1640" s="17">
        <f t="shared" si="77"/>
        <v>1</v>
      </c>
      <c r="E1640" s="17">
        <f t="shared" si="76"/>
        <v>1694</v>
      </c>
      <c r="F1640" s="17" t="s">
        <v>4813</v>
      </c>
      <c r="G1640" s="17">
        <f>MATCH(E1640,Arenas!$F$8:$F$15)</f>
        <v>5</v>
      </c>
      <c r="H1640" s="29" t="s">
        <v>3010</v>
      </c>
      <c r="I1640" s="33" t="s">
        <v>8205</v>
      </c>
      <c r="J1640" s="47" t="s">
        <v>8206</v>
      </c>
      <c r="K1640" s="61" t="s">
        <v>4779</v>
      </c>
      <c r="L1640" s="12" t="str">
        <f t="shared" si="75"/>
        <v>2,2,2</v>
      </c>
    </row>
    <row r="1641" spans="2:12">
      <c r="B1641" s="17">
        <v>1940</v>
      </c>
      <c r="C1641" s="17">
        <v>2</v>
      </c>
      <c r="D1641" s="17">
        <f t="shared" si="77"/>
        <v>0</v>
      </c>
      <c r="E1641" s="17">
        <f t="shared" si="76"/>
        <v>1694</v>
      </c>
      <c r="F1641" s="17" t="s">
        <v>4813</v>
      </c>
      <c r="G1641" s="17">
        <f>MATCH(E1641,Arenas!$F$8:$F$15)</f>
        <v>5</v>
      </c>
      <c r="H1641" s="29" t="s">
        <v>3011</v>
      </c>
      <c r="I1641" s="33" t="s">
        <v>8207</v>
      </c>
      <c r="J1641" s="47" t="s">
        <v>8208</v>
      </c>
      <c r="K1641" s="61" t="s">
        <v>4779</v>
      </c>
      <c r="L1641" s="12" t="str">
        <f t="shared" si="75"/>
        <v>2,2,2</v>
      </c>
    </row>
    <row r="1642" spans="2:12">
      <c r="B1642" s="17">
        <v>1941</v>
      </c>
      <c r="C1642" s="17">
        <v>2</v>
      </c>
      <c r="D1642" s="17">
        <f t="shared" si="77"/>
        <v>0</v>
      </c>
      <c r="E1642" s="17">
        <f t="shared" si="76"/>
        <v>1694</v>
      </c>
      <c r="F1642" s="17" t="s">
        <v>4813</v>
      </c>
      <c r="G1642" s="17">
        <f>MATCH(E1642,Arenas!$F$8:$F$15)</f>
        <v>5</v>
      </c>
      <c r="H1642" s="29" t="s">
        <v>3012</v>
      </c>
      <c r="I1642" s="33" t="s">
        <v>8209</v>
      </c>
      <c r="J1642" s="47" t="s">
        <v>5325</v>
      </c>
      <c r="K1642" s="61" t="s">
        <v>4779</v>
      </c>
      <c r="L1642" s="12" t="str">
        <f t="shared" si="75"/>
        <v>2,2,2</v>
      </c>
    </row>
    <row r="1643" spans="2:12">
      <c r="B1643" s="17">
        <v>1942</v>
      </c>
      <c r="C1643" s="17">
        <v>2</v>
      </c>
      <c r="D1643" s="17">
        <f t="shared" si="77"/>
        <v>1</v>
      </c>
      <c r="E1643" s="17">
        <f t="shared" si="76"/>
        <v>1695</v>
      </c>
      <c r="F1643" s="17" t="s">
        <v>4813</v>
      </c>
      <c r="G1643" s="17">
        <f>MATCH(E1643,Arenas!$F$8:$F$15)</f>
        <v>5</v>
      </c>
      <c r="H1643" s="29" t="s">
        <v>3013</v>
      </c>
      <c r="I1643" s="33" t="s">
        <v>8210</v>
      </c>
      <c r="J1643" s="47" t="s">
        <v>5814</v>
      </c>
      <c r="K1643" s="61" t="s">
        <v>4779</v>
      </c>
      <c r="L1643" s="12" t="str">
        <f t="shared" si="75"/>
        <v>2,2,2</v>
      </c>
    </row>
    <row r="1644" spans="2:12">
      <c r="B1644" s="17">
        <v>1943</v>
      </c>
      <c r="C1644" s="17">
        <v>2</v>
      </c>
      <c r="D1644" s="17">
        <f t="shared" si="77"/>
        <v>0</v>
      </c>
      <c r="E1644" s="17">
        <f t="shared" si="76"/>
        <v>1695</v>
      </c>
      <c r="F1644" s="17" t="s">
        <v>4813</v>
      </c>
      <c r="G1644" s="17">
        <f>MATCH(E1644,Arenas!$F$8:$F$15)</f>
        <v>5</v>
      </c>
      <c r="H1644" s="29" t="s">
        <v>3014</v>
      </c>
      <c r="I1644" s="33" t="s">
        <v>8211</v>
      </c>
      <c r="J1644" s="47" t="s">
        <v>5153</v>
      </c>
      <c r="K1644" s="61" t="s">
        <v>4779</v>
      </c>
      <c r="L1644" s="12" t="str">
        <f t="shared" si="75"/>
        <v>2,2,2</v>
      </c>
    </row>
    <row r="1645" spans="2:12">
      <c r="B1645" s="17">
        <v>1944</v>
      </c>
      <c r="C1645" s="17">
        <v>2</v>
      </c>
      <c r="D1645" s="17">
        <f t="shared" si="77"/>
        <v>0</v>
      </c>
      <c r="E1645" s="17">
        <f t="shared" si="76"/>
        <v>1695</v>
      </c>
      <c r="F1645" s="17" t="s">
        <v>4813</v>
      </c>
      <c r="G1645" s="17">
        <f>MATCH(E1645,Arenas!$F$8:$F$15)</f>
        <v>5</v>
      </c>
      <c r="H1645" s="29" t="s">
        <v>3015</v>
      </c>
      <c r="I1645" s="33" t="s">
        <v>8212</v>
      </c>
      <c r="J1645" s="47" t="s">
        <v>8213</v>
      </c>
      <c r="K1645" s="61" t="s">
        <v>4807</v>
      </c>
      <c r="L1645" s="12" t="str">
        <f t="shared" si="75"/>
        <v>2,2,2</v>
      </c>
    </row>
    <row r="1646" spans="2:12">
      <c r="B1646" s="17">
        <v>1945</v>
      </c>
      <c r="C1646" s="17">
        <v>2</v>
      </c>
      <c r="D1646" s="17">
        <f t="shared" si="77"/>
        <v>1</v>
      </c>
      <c r="E1646" s="17">
        <f t="shared" si="76"/>
        <v>1696</v>
      </c>
      <c r="F1646" s="17" t="s">
        <v>4813</v>
      </c>
      <c r="G1646" s="17">
        <f>MATCH(E1646,Arenas!$F$8:$F$15)</f>
        <v>5</v>
      </c>
      <c r="H1646" s="29" t="s">
        <v>3016</v>
      </c>
      <c r="I1646" s="33" t="s">
        <v>8214</v>
      </c>
      <c r="J1646" s="47" t="s">
        <v>8215</v>
      </c>
      <c r="K1646" s="61" t="s">
        <v>4807</v>
      </c>
      <c r="L1646" s="12" t="str">
        <f t="shared" si="75"/>
        <v>2,2,2</v>
      </c>
    </row>
    <row r="1647" spans="2:12">
      <c r="B1647" s="17">
        <v>1946</v>
      </c>
      <c r="C1647" s="17">
        <v>2</v>
      </c>
      <c r="D1647" s="17">
        <f t="shared" si="77"/>
        <v>0</v>
      </c>
      <c r="E1647" s="17">
        <f t="shared" si="76"/>
        <v>1696</v>
      </c>
      <c r="F1647" s="17" t="s">
        <v>4813</v>
      </c>
      <c r="G1647" s="17">
        <f>MATCH(E1647,Arenas!$F$8:$F$15)</f>
        <v>5</v>
      </c>
      <c r="H1647" s="29" t="s">
        <v>3017</v>
      </c>
      <c r="I1647" s="33" t="s">
        <v>8216</v>
      </c>
      <c r="J1647" s="47" t="s">
        <v>8217</v>
      </c>
      <c r="K1647" s="61" t="s">
        <v>4779</v>
      </c>
      <c r="L1647" s="12" t="str">
        <f t="shared" si="75"/>
        <v>2,2,2</v>
      </c>
    </row>
    <row r="1648" spans="2:12">
      <c r="B1648" s="17">
        <v>1947</v>
      </c>
      <c r="C1648" s="17">
        <v>2</v>
      </c>
      <c r="D1648" s="17">
        <f t="shared" si="77"/>
        <v>0</v>
      </c>
      <c r="E1648" s="17">
        <f t="shared" si="76"/>
        <v>1696</v>
      </c>
      <c r="F1648" s="17" t="s">
        <v>4813</v>
      </c>
      <c r="G1648" s="17">
        <f>MATCH(E1648,Arenas!$F$8:$F$15)</f>
        <v>5</v>
      </c>
      <c r="H1648" s="29" t="s">
        <v>3018</v>
      </c>
      <c r="I1648" s="33" t="s">
        <v>8218</v>
      </c>
      <c r="J1648" s="47" t="s">
        <v>5680</v>
      </c>
      <c r="K1648" s="61" t="s">
        <v>4809</v>
      </c>
      <c r="L1648" s="12" t="str">
        <f t="shared" si="75"/>
        <v>2,2,2</v>
      </c>
    </row>
    <row r="1649" spans="2:12">
      <c r="B1649" s="17">
        <v>1948</v>
      </c>
      <c r="C1649" s="17">
        <v>2</v>
      </c>
      <c r="D1649" s="17">
        <f t="shared" si="77"/>
        <v>1</v>
      </c>
      <c r="E1649" s="17">
        <f t="shared" si="76"/>
        <v>1697</v>
      </c>
      <c r="F1649" s="17" t="s">
        <v>4813</v>
      </c>
      <c r="G1649" s="17">
        <f>MATCH(E1649,Arenas!$F$8:$F$15)</f>
        <v>5</v>
      </c>
      <c r="H1649" s="29" t="s">
        <v>3019</v>
      </c>
      <c r="I1649" s="33" t="s">
        <v>8219</v>
      </c>
      <c r="J1649" s="47" t="s">
        <v>5679</v>
      </c>
      <c r="K1649" s="61" t="s">
        <v>4779</v>
      </c>
      <c r="L1649" s="12" t="str">
        <f t="shared" si="75"/>
        <v>2,2,2</v>
      </c>
    </row>
    <row r="1650" spans="2:12">
      <c r="B1650" s="17">
        <v>1949</v>
      </c>
      <c r="C1650" s="17">
        <v>2</v>
      </c>
      <c r="D1650" s="17">
        <f t="shared" si="77"/>
        <v>0</v>
      </c>
      <c r="E1650" s="17">
        <f t="shared" si="76"/>
        <v>1697</v>
      </c>
      <c r="F1650" s="17" t="s">
        <v>4813</v>
      </c>
      <c r="G1650" s="17">
        <f>MATCH(E1650,Arenas!$F$8:$F$15)</f>
        <v>5</v>
      </c>
      <c r="H1650" s="29" t="s">
        <v>3020</v>
      </c>
      <c r="I1650" s="33" t="s">
        <v>8220</v>
      </c>
      <c r="J1650" s="47" t="s">
        <v>8221</v>
      </c>
      <c r="K1650" s="61" t="s">
        <v>4779</v>
      </c>
      <c r="L1650" s="12" t="str">
        <f t="shared" si="75"/>
        <v>2,2,2</v>
      </c>
    </row>
    <row r="1651" spans="2:12">
      <c r="B1651" s="17">
        <v>1950</v>
      </c>
      <c r="C1651" s="17">
        <v>2</v>
      </c>
      <c r="D1651" s="17">
        <f t="shared" si="77"/>
        <v>0</v>
      </c>
      <c r="E1651" s="17">
        <f t="shared" si="76"/>
        <v>1697</v>
      </c>
      <c r="F1651" s="17" t="s">
        <v>4813</v>
      </c>
      <c r="G1651" s="17">
        <f>MATCH(E1651,Arenas!$F$8:$F$15)</f>
        <v>5</v>
      </c>
      <c r="H1651" s="29" t="s">
        <v>3021</v>
      </c>
      <c r="I1651" s="33" t="s">
        <v>8222</v>
      </c>
      <c r="J1651" s="47" t="s">
        <v>5372</v>
      </c>
      <c r="K1651" s="61" t="s">
        <v>4779</v>
      </c>
      <c r="L1651" s="12" t="str">
        <f t="shared" si="75"/>
        <v>2,2,2</v>
      </c>
    </row>
    <row r="1652" spans="2:12">
      <c r="B1652" s="17">
        <v>1951</v>
      </c>
      <c r="C1652" s="17">
        <v>2</v>
      </c>
      <c r="D1652" s="17">
        <f t="shared" si="77"/>
        <v>1</v>
      </c>
      <c r="E1652" s="17">
        <f t="shared" si="76"/>
        <v>1698</v>
      </c>
      <c r="F1652" s="17" t="s">
        <v>4813</v>
      </c>
      <c r="G1652" s="17">
        <f>MATCH(E1652,Arenas!$F$8:$F$15)</f>
        <v>5</v>
      </c>
      <c r="H1652" s="29" t="s">
        <v>3022</v>
      </c>
      <c r="I1652" s="33" t="s">
        <v>8223</v>
      </c>
      <c r="J1652" s="47" t="s">
        <v>8224</v>
      </c>
      <c r="K1652" s="61" t="s">
        <v>4779</v>
      </c>
      <c r="L1652" s="12" t="str">
        <f t="shared" si="75"/>
        <v>2,2,2</v>
      </c>
    </row>
    <row r="1653" spans="2:12">
      <c r="B1653" s="17">
        <v>1952</v>
      </c>
      <c r="C1653" s="17">
        <v>2</v>
      </c>
      <c r="D1653" s="17">
        <f t="shared" si="77"/>
        <v>0</v>
      </c>
      <c r="E1653" s="17">
        <f t="shared" si="76"/>
        <v>1698</v>
      </c>
      <c r="F1653" s="17" t="s">
        <v>4813</v>
      </c>
      <c r="G1653" s="17">
        <f>MATCH(E1653,Arenas!$F$8:$F$15)</f>
        <v>5</v>
      </c>
      <c r="H1653" s="29" t="s">
        <v>3023</v>
      </c>
      <c r="I1653" s="33" t="s">
        <v>8225</v>
      </c>
      <c r="J1653" s="47" t="s">
        <v>5153</v>
      </c>
      <c r="K1653" s="61" t="s">
        <v>4779</v>
      </c>
      <c r="L1653" s="12" t="str">
        <f t="shared" si="75"/>
        <v>2,2,2</v>
      </c>
    </row>
    <row r="1654" spans="2:12">
      <c r="B1654" s="17">
        <v>1953</v>
      </c>
      <c r="C1654" s="17">
        <v>2</v>
      </c>
      <c r="D1654" s="17">
        <f t="shared" si="77"/>
        <v>0</v>
      </c>
      <c r="E1654" s="17">
        <f t="shared" si="76"/>
        <v>1698</v>
      </c>
      <c r="F1654" s="17" t="s">
        <v>4813</v>
      </c>
      <c r="G1654" s="17">
        <f>MATCH(E1654,Arenas!$F$8:$F$15)</f>
        <v>5</v>
      </c>
      <c r="H1654" s="29" t="s">
        <v>3024</v>
      </c>
      <c r="I1654" s="33" t="s">
        <v>8226</v>
      </c>
      <c r="J1654" s="47" t="s">
        <v>4990</v>
      </c>
      <c r="K1654" s="61" t="s">
        <v>4779</v>
      </c>
      <c r="L1654" s="12" t="str">
        <f t="shared" si="75"/>
        <v>2,2,2</v>
      </c>
    </row>
    <row r="1655" spans="2:12">
      <c r="B1655" s="17">
        <v>1954</v>
      </c>
      <c r="C1655" s="17">
        <v>2</v>
      </c>
      <c r="D1655" s="17">
        <f t="shared" si="77"/>
        <v>1</v>
      </c>
      <c r="E1655" s="17">
        <f t="shared" si="76"/>
        <v>1699</v>
      </c>
      <c r="F1655" s="17" t="s">
        <v>4813</v>
      </c>
      <c r="G1655" s="17">
        <f>MATCH(E1655,Arenas!$F$8:$F$15)</f>
        <v>5</v>
      </c>
      <c r="H1655" s="29" t="s">
        <v>3025</v>
      </c>
      <c r="I1655" s="33" t="s">
        <v>8227</v>
      </c>
      <c r="J1655" s="47" t="s">
        <v>5011</v>
      </c>
      <c r="K1655" s="61" t="s">
        <v>4779</v>
      </c>
      <c r="L1655" s="12" t="str">
        <f t="shared" si="75"/>
        <v>2,2,2</v>
      </c>
    </row>
    <row r="1656" spans="2:12">
      <c r="B1656" s="17">
        <v>1955</v>
      </c>
      <c r="C1656" s="17">
        <v>2</v>
      </c>
      <c r="D1656" s="17">
        <f t="shared" si="77"/>
        <v>0</v>
      </c>
      <c r="E1656" s="17">
        <f t="shared" si="76"/>
        <v>1699</v>
      </c>
      <c r="F1656" s="17" t="s">
        <v>4813</v>
      </c>
      <c r="G1656" s="17">
        <f>MATCH(E1656,Arenas!$F$8:$F$15)</f>
        <v>5</v>
      </c>
      <c r="H1656" s="29" t="s">
        <v>3026</v>
      </c>
      <c r="I1656" s="33" t="s">
        <v>8228</v>
      </c>
      <c r="J1656" s="47" t="s">
        <v>4959</v>
      </c>
      <c r="K1656" s="61" t="s">
        <v>4779</v>
      </c>
      <c r="L1656" s="12" t="str">
        <f t="shared" si="75"/>
        <v>2,2,2</v>
      </c>
    </row>
    <row r="1657" spans="2:12">
      <c r="B1657" s="17">
        <v>1956</v>
      </c>
      <c r="C1657" s="17">
        <v>2</v>
      </c>
      <c r="D1657" s="17">
        <f t="shared" si="77"/>
        <v>0</v>
      </c>
      <c r="E1657" s="17">
        <f t="shared" si="76"/>
        <v>1699</v>
      </c>
      <c r="F1657" s="17" t="s">
        <v>4813</v>
      </c>
      <c r="G1657" s="17">
        <f>MATCH(E1657,Arenas!$F$8:$F$15)</f>
        <v>5</v>
      </c>
      <c r="H1657" s="29" t="s">
        <v>3027</v>
      </c>
      <c r="I1657" s="33" t="s">
        <v>8229</v>
      </c>
      <c r="J1657" s="47" t="s">
        <v>5507</v>
      </c>
      <c r="K1657" s="61" t="s">
        <v>4806</v>
      </c>
      <c r="L1657" s="12" t="str">
        <f t="shared" si="75"/>
        <v>2,2,2</v>
      </c>
    </row>
    <row r="1658" spans="2:12">
      <c r="B1658" s="17">
        <v>1957</v>
      </c>
      <c r="C1658" s="17">
        <v>2</v>
      </c>
      <c r="D1658" s="17">
        <f t="shared" si="77"/>
        <v>1</v>
      </c>
      <c r="E1658" s="17">
        <f t="shared" si="76"/>
        <v>1700</v>
      </c>
      <c r="F1658" s="17" t="s">
        <v>4813</v>
      </c>
      <c r="G1658" s="17">
        <f>MATCH(E1658,Arenas!$F$8:$F$15)</f>
        <v>6</v>
      </c>
      <c r="H1658" s="29" t="s">
        <v>3028</v>
      </c>
      <c r="I1658" s="33" t="s">
        <v>8230</v>
      </c>
      <c r="J1658" s="47" t="s">
        <v>5104</v>
      </c>
      <c r="K1658" s="61" t="s">
        <v>4779</v>
      </c>
      <c r="L1658" s="12" t="str">
        <f t="shared" si="75"/>
        <v>2,2,2</v>
      </c>
    </row>
    <row r="1659" spans="2:12">
      <c r="B1659" s="17">
        <v>1958</v>
      </c>
      <c r="C1659" s="17">
        <v>2</v>
      </c>
      <c r="D1659" s="17">
        <f t="shared" si="77"/>
        <v>0</v>
      </c>
      <c r="E1659" s="17">
        <f t="shared" si="76"/>
        <v>1700</v>
      </c>
      <c r="F1659" s="17" t="s">
        <v>4813</v>
      </c>
      <c r="G1659" s="17">
        <f>MATCH(E1659,Arenas!$F$8:$F$15)</f>
        <v>6</v>
      </c>
      <c r="H1659" s="29" t="s">
        <v>3029</v>
      </c>
      <c r="I1659" s="33" t="s">
        <v>8231</v>
      </c>
      <c r="J1659" s="47" t="s">
        <v>5056</v>
      </c>
      <c r="K1659" s="61" t="s">
        <v>4779</v>
      </c>
      <c r="L1659" s="12" t="str">
        <f t="shared" si="75"/>
        <v>2,2,2</v>
      </c>
    </row>
    <row r="1660" spans="2:12">
      <c r="B1660" s="17">
        <v>1959</v>
      </c>
      <c r="C1660" s="17">
        <v>2</v>
      </c>
      <c r="D1660" s="17">
        <f t="shared" si="77"/>
        <v>0</v>
      </c>
      <c r="E1660" s="17">
        <f t="shared" si="76"/>
        <v>1700</v>
      </c>
      <c r="F1660" s="17" t="s">
        <v>4813</v>
      </c>
      <c r="G1660" s="17">
        <f>MATCH(E1660,Arenas!$F$8:$F$15)</f>
        <v>6</v>
      </c>
      <c r="H1660" s="29" t="s">
        <v>3030</v>
      </c>
      <c r="I1660" s="33" t="s">
        <v>8232</v>
      </c>
      <c r="J1660" s="47" t="s">
        <v>8233</v>
      </c>
      <c r="K1660" s="61" t="s">
        <v>4779</v>
      </c>
      <c r="L1660" s="12" t="str">
        <f t="shared" si="75"/>
        <v>2,2,2</v>
      </c>
    </row>
    <row r="1661" spans="2:12">
      <c r="B1661" s="17">
        <v>1960</v>
      </c>
      <c r="C1661" s="17">
        <v>2</v>
      </c>
      <c r="D1661" s="17">
        <f t="shared" si="77"/>
        <v>1</v>
      </c>
      <c r="E1661" s="17">
        <f t="shared" si="76"/>
        <v>1701</v>
      </c>
      <c r="F1661" s="17" t="s">
        <v>4813</v>
      </c>
      <c r="G1661" s="17">
        <f>MATCH(E1661,Arenas!$F$8:$F$15)</f>
        <v>6</v>
      </c>
      <c r="H1661" s="29" t="s">
        <v>3031</v>
      </c>
      <c r="I1661" s="33" t="s">
        <v>8234</v>
      </c>
      <c r="J1661" s="47" t="s">
        <v>8235</v>
      </c>
      <c r="K1661" s="61" t="s">
        <v>4779</v>
      </c>
      <c r="L1661" s="12" t="str">
        <f t="shared" si="75"/>
        <v>2,2,2</v>
      </c>
    </row>
    <row r="1662" spans="2:12">
      <c r="B1662" s="17">
        <v>1961</v>
      </c>
      <c r="C1662" s="17">
        <v>2</v>
      </c>
      <c r="D1662" s="17">
        <f t="shared" si="77"/>
        <v>0</v>
      </c>
      <c r="E1662" s="17">
        <f t="shared" si="76"/>
        <v>1701</v>
      </c>
      <c r="F1662" s="17" t="s">
        <v>4813</v>
      </c>
      <c r="G1662" s="17">
        <f>MATCH(E1662,Arenas!$F$8:$F$15)</f>
        <v>6</v>
      </c>
      <c r="H1662" s="29" t="s">
        <v>3032</v>
      </c>
      <c r="I1662" s="33" t="s">
        <v>8236</v>
      </c>
      <c r="J1662" s="47" t="s">
        <v>4650</v>
      </c>
      <c r="K1662" s="61" t="s">
        <v>4779</v>
      </c>
      <c r="L1662" s="12" t="str">
        <f t="shared" si="75"/>
        <v>2,2,2</v>
      </c>
    </row>
    <row r="1663" spans="2:12">
      <c r="B1663" s="17">
        <v>1962</v>
      </c>
      <c r="C1663" s="17">
        <v>2</v>
      </c>
      <c r="D1663" s="17">
        <f t="shared" si="77"/>
        <v>0</v>
      </c>
      <c r="E1663" s="17">
        <f t="shared" si="76"/>
        <v>1701</v>
      </c>
      <c r="F1663" s="17" t="s">
        <v>4813</v>
      </c>
      <c r="G1663" s="17">
        <f>MATCH(E1663,Arenas!$F$8:$F$15)</f>
        <v>6</v>
      </c>
      <c r="H1663" s="29" t="s">
        <v>3033</v>
      </c>
      <c r="I1663" s="33" t="s">
        <v>8237</v>
      </c>
      <c r="J1663" s="47" t="s">
        <v>5341</v>
      </c>
      <c r="K1663" s="61" t="s">
        <v>4779</v>
      </c>
      <c r="L1663" s="12" t="str">
        <f t="shared" si="75"/>
        <v>2,2,2</v>
      </c>
    </row>
    <row r="1664" spans="2:12">
      <c r="B1664" s="17">
        <v>1963</v>
      </c>
      <c r="C1664" s="17">
        <v>2</v>
      </c>
      <c r="D1664" s="17">
        <f t="shared" si="77"/>
        <v>1</v>
      </c>
      <c r="E1664" s="17">
        <f t="shared" si="76"/>
        <v>1702</v>
      </c>
      <c r="F1664" s="17" t="s">
        <v>4813</v>
      </c>
      <c r="G1664" s="17">
        <f>MATCH(E1664,Arenas!$F$8:$F$15)</f>
        <v>6</v>
      </c>
      <c r="H1664" s="29" t="s">
        <v>3034</v>
      </c>
      <c r="I1664" s="33" t="s">
        <v>8238</v>
      </c>
      <c r="J1664" s="47" t="s">
        <v>8239</v>
      </c>
      <c r="K1664" s="61" t="s">
        <v>4779</v>
      </c>
      <c r="L1664" s="12" t="str">
        <f t="shared" si="75"/>
        <v>2,2,2</v>
      </c>
    </row>
    <row r="1665" spans="2:12">
      <c r="B1665" s="17">
        <v>1964</v>
      </c>
      <c r="C1665" s="17">
        <v>2</v>
      </c>
      <c r="D1665" s="17">
        <f t="shared" si="77"/>
        <v>0</v>
      </c>
      <c r="E1665" s="17">
        <f t="shared" si="76"/>
        <v>1702</v>
      </c>
      <c r="F1665" s="17" t="s">
        <v>4813</v>
      </c>
      <c r="G1665" s="17">
        <f>MATCH(E1665,Arenas!$F$8:$F$15)</f>
        <v>6</v>
      </c>
      <c r="H1665" s="29" t="s">
        <v>3035</v>
      </c>
      <c r="I1665" s="33" t="s">
        <v>8240</v>
      </c>
      <c r="J1665" s="47" t="s">
        <v>8241</v>
      </c>
      <c r="K1665" s="61" t="s">
        <v>4779</v>
      </c>
      <c r="L1665" s="12" t="str">
        <f t="shared" si="75"/>
        <v>2,2,2</v>
      </c>
    </row>
    <row r="1666" spans="2:12">
      <c r="B1666" s="17">
        <v>1965</v>
      </c>
      <c r="C1666" s="17">
        <v>2</v>
      </c>
      <c r="D1666" s="17">
        <f t="shared" si="77"/>
        <v>0</v>
      </c>
      <c r="E1666" s="17">
        <f t="shared" si="76"/>
        <v>1702</v>
      </c>
      <c r="F1666" s="17" t="s">
        <v>4813</v>
      </c>
      <c r="G1666" s="17">
        <f>MATCH(E1666,Arenas!$F$8:$F$15)</f>
        <v>6</v>
      </c>
      <c r="H1666" s="29" t="s">
        <v>3036</v>
      </c>
      <c r="I1666" s="33" t="s">
        <v>8242</v>
      </c>
      <c r="J1666" s="47" t="s">
        <v>8243</v>
      </c>
      <c r="K1666" s="61" t="s">
        <v>4779</v>
      </c>
      <c r="L1666" s="12" t="str">
        <f t="shared" ref="L1666:L1729" si="78">C1666&amp;","&amp;C1666&amp;","&amp;C1666</f>
        <v>2,2,2</v>
      </c>
    </row>
    <row r="1667" spans="2:12">
      <c r="B1667" s="17">
        <v>1966</v>
      </c>
      <c r="C1667" s="17">
        <v>2</v>
      </c>
      <c r="D1667" s="17">
        <f t="shared" si="77"/>
        <v>1</v>
      </c>
      <c r="E1667" s="17">
        <f t="shared" ref="E1667:E1730" si="79">D1667+E1666</f>
        <v>1703</v>
      </c>
      <c r="F1667" s="17" t="s">
        <v>4813</v>
      </c>
      <c r="G1667" s="17">
        <f>MATCH(E1667,Arenas!$F$8:$F$15)</f>
        <v>6</v>
      </c>
      <c r="H1667" s="29" t="s">
        <v>3037</v>
      </c>
      <c r="I1667" s="33" t="s">
        <v>8244</v>
      </c>
      <c r="J1667" s="47" t="s">
        <v>8245</v>
      </c>
      <c r="K1667" s="61" t="s">
        <v>4779</v>
      </c>
      <c r="L1667" s="12" t="str">
        <f t="shared" si="78"/>
        <v>2,2,2</v>
      </c>
    </row>
    <row r="1668" spans="2:12">
      <c r="B1668" s="17">
        <v>1967</v>
      </c>
      <c r="C1668" s="17">
        <v>2</v>
      </c>
      <c r="D1668" s="17">
        <f t="shared" si="77"/>
        <v>0</v>
      </c>
      <c r="E1668" s="17">
        <f t="shared" si="79"/>
        <v>1703</v>
      </c>
      <c r="F1668" s="17" t="s">
        <v>4813</v>
      </c>
      <c r="G1668" s="17">
        <f>MATCH(E1668,Arenas!$F$8:$F$15)</f>
        <v>6</v>
      </c>
      <c r="H1668" s="29" t="s">
        <v>3038</v>
      </c>
      <c r="I1668" s="33" t="s">
        <v>8246</v>
      </c>
      <c r="J1668" s="47" t="s">
        <v>5546</v>
      </c>
      <c r="K1668" s="61" t="s">
        <v>4779</v>
      </c>
      <c r="L1668" s="12" t="str">
        <f t="shared" si="78"/>
        <v>2,2,2</v>
      </c>
    </row>
    <row r="1669" spans="2:12">
      <c r="B1669" s="17">
        <v>1968</v>
      </c>
      <c r="C1669" s="17">
        <v>2</v>
      </c>
      <c r="D1669" s="17">
        <f t="shared" ref="D1669:D1732" si="80">D1666</f>
        <v>0</v>
      </c>
      <c r="E1669" s="17">
        <f t="shared" si="79"/>
        <v>1703</v>
      </c>
      <c r="F1669" s="17" t="s">
        <v>4813</v>
      </c>
      <c r="G1669" s="17">
        <f>MATCH(E1669,Arenas!$F$8:$F$15)</f>
        <v>6</v>
      </c>
      <c r="H1669" s="29" t="s">
        <v>3039</v>
      </c>
      <c r="I1669" s="33" t="s">
        <v>8247</v>
      </c>
      <c r="J1669" s="47" t="s">
        <v>5564</v>
      </c>
      <c r="K1669" s="61" t="s">
        <v>4779</v>
      </c>
      <c r="L1669" s="12" t="str">
        <f t="shared" si="78"/>
        <v>2,2,2</v>
      </c>
    </row>
    <row r="1670" spans="2:12">
      <c r="B1670" s="17">
        <v>1969</v>
      </c>
      <c r="C1670" s="17">
        <v>2</v>
      </c>
      <c r="D1670" s="17">
        <f t="shared" si="80"/>
        <v>1</v>
      </c>
      <c r="E1670" s="17">
        <f t="shared" si="79"/>
        <v>1704</v>
      </c>
      <c r="F1670" s="17" t="s">
        <v>4813</v>
      </c>
      <c r="G1670" s="17">
        <f>MATCH(E1670,Arenas!$F$8:$F$15)</f>
        <v>6</v>
      </c>
      <c r="H1670" s="29" t="s">
        <v>3040</v>
      </c>
      <c r="I1670" s="33" t="s">
        <v>8248</v>
      </c>
      <c r="J1670" s="47" t="s">
        <v>5363</v>
      </c>
      <c r="K1670" s="61" t="s">
        <v>4779</v>
      </c>
      <c r="L1670" s="12" t="str">
        <f t="shared" si="78"/>
        <v>2,2,2</v>
      </c>
    </row>
    <row r="1671" spans="2:12">
      <c r="B1671" s="17">
        <v>1970</v>
      </c>
      <c r="C1671" s="17">
        <v>2</v>
      </c>
      <c r="D1671" s="17">
        <f t="shared" si="80"/>
        <v>0</v>
      </c>
      <c r="E1671" s="17">
        <f t="shared" si="79"/>
        <v>1704</v>
      </c>
      <c r="F1671" s="17" t="s">
        <v>4813</v>
      </c>
      <c r="G1671" s="17">
        <f>MATCH(E1671,Arenas!$F$8:$F$15)</f>
        <v>6</v>
      </c>
      <c r="H1671" s="29" t="s">
        <v>3041</v>
      </c>
      <c r="I1671" s="33" t="s">
        <v>8249</v>
      </c>
      <c r="J1671" s="47" t="s">
        <v>8250</v>
      </c>
      <c r="K1671" s="61" t="s">
        <v>4779</v>
      </c>
      <c r="L1671" s="12" t="str">
        <f t="shared" si="78"/>
        <v>2,2,2</v>
      </c>
    </row>
    <row r="1672" spans="2:12">
      <c r="B1672" s="17">
        <v>1971</v>
      </c>
      <c r="C1672" s="17">
        <v>2</v>
      </c>
      <c r="D1672" s="17">
        <f t="shared" si="80"/>
        <v>0</v>
      </c>
      <c r="E1672" s="17">
        <f t="shared" si="79"/>
        <v>1704</v>
      </c>
      <c r="F1672" s="17" t="s">
        <v>4813</v>
      </c>
      <c r="G1672" s="17">
        <f>MATCH(E1672,Arenas!$F$8:$F$15)</f>
        <v>6</v>
      </c>
      <c r="H1672" s="29" t="s">
        <v>3042</v>
      </c>
      <c r="I1672" s="33" t="s">
        <v>8251</v>
      </c>
      <c r="J1672" s="47" t="s">
        <v>8252</v>
      </c>
      <c r="K1672" s="61" t="s">
        <v>4810</v>
      </c>
      <c r="L1672" s="12" t="str">
        <f t="shared" si="78"/>
        <v>2,2,2</v>
      </c>
    </row>
    <row r="1673" spans="2:12">
      <c r="B1673" s="17">
        <v>1972</v>
      </c>
      <c r="C1673" s="17">
        <v>2</v>
      </c>
      <c r="D1673" s="17">
        <f t="shared" si="80"/>
        <v>1</v>
      </c>
      <c r="E1673" s="17">
        <f t="shared" si="79"/>
        <v>1705</v>
      </c>
      <c r="F1673" s="17" t="s">
        <v>4813</v>
      </c>
      <c r="G1673" s="17">
        <f>MATCH(E1673,Arenas!$F$8:$F$15)</f>
        <v>6</v>
      </c>
      <c r="H1673" s="29" t="s">
        <v>3043</v>
      </c>
      <c r="I1673" s="33" t="s">
        <v>8253</v>
      </c>
      <c r="J1673" s="47" t="s">
        <v>8254</v>
      </c>
      <c r="K1673" s="61" t="s">
        <v>4779</v>
      </c>
      <c r="L1673" s="12" t="str">
        <f t="shared" si="78"/>
        <v>2,2,2</v>
      </c>
    </row>
    <row r="1674" spans="2:12">
      <c r="B1674" s="17">
        <v>1973</v>
      </c>
      <c r="C1674" s="17">
        <v>2</v>
      </c>
      <c r="D1674" s="17">
        <f t="shared" si="80"/>
        <v>0</v>
      </c>
      <c r="E1674" s="17">
        <f t="shared" si="79"/>
        <v>1705</v>
      </c>
      <c r="F1674" s="17" t="s">
        <v>4813</v>
      </c>
      <c r="G1674" s="17">
        <f>MATCH(E1674,Arenas!$F$8:$F$15)</f>
        <v>6</v>
      </c>
      <c r="H1674" s="29" t="s">
        <v>3044</v>
      </c>
      <c r="I1674" s="33" t="s">
        <v>8255</v>
      </c>
      <c r="J1674" s="47" t="s">
        <v>5540</v>
      </c>
      <c r="K1674" s="61" t="s">
        <v>4779</v>
      </c>
      <c r="L1674" s="12" t="str">
        <f t="shared" si="78"/>
        <v>2,2,2</v>
      </c>
    </row>
    <row r="1675" spans="2:12">
      <c r="B1675" s="17">
        <v>1974</v>
      </c>
      <c r="C1675" s="17">
        <v>2</v>
      </c>
      <c r="D1675" s="17">
        <f t="shared" si="80"/>
        <v>0</v>
      </c>
      <c r="E1675" s="17">
        <f t="shared" si="79"/>
        <v>1705</v>
      </c>
      <c r="F1675" s="17" t="s">
        <v>4813</v>
      </c>
      <c r="G1675" s="17">
        <f>MATCH(E1675,Arenas!$F$8:$F$15)</f>
        <v>6</v>
      </c>
      <c r="H1675" s="29" t="s">
        <v>3045</v>
      </c>
      <c r="I1675" s="33" t="s">
        <v>8256</v>
      </c>
      <c r="J1675" s="47" t="s">
        <v>5750</v>
      </c>
      <c r="K1675" s="61" t="s">
        <v>4779</v>
      </c>
      <c r="L1675" s="12" t="str">
        <f t="shared" si="78"/>
        <v>2,2,2</v>
      </c>
    </row>
    <row r="1676" spans="2:12">
      <c r="B1676" s="17">
        <v>1975</v>
      </c>
      <c r="C1676" s="17">
        <v>2</v>
      </c>
      <c r="D1676" s="17">
        <f t="shared" si="80"/>
        <v>1</v>
      </c>
      <c r="E1676" s="17">
        <f t="shared" si="79"/>
        <v>1706</v>
      </c>
      <c r="F1676" s="17" t="s">
        <v>4813</v>
      </c>
      <c r="G1676" s="17">
        <f>MATCH(E1676,Arenas!$F$8:$F$15)</f>
        <v>6</v>
      </c>
      <c r="H1676" s="29" t="s">
        <v>3046</v>
      </c>
      <c r="I1676" s="33" t="s">
        <v>8257</v>
      </c>
      <c r="J1676" s="47" t="s">
        <v>8258</v>
      </c>
      <c r="K1676" s="61" t="s">
        <v>4779</v>
      </c>
      <c r="L1676" s="12" t="str">
        <f t="shared" si="78"/>
        <v>2,2,2</v>
      </c>
    </row>
    <row r="1677" spans="2:12">
      <c r="B1677" s="17">
        <v>1976</v>
      </c>
      <c r="C1677" s="17">
        <v>2</v>
      </c>
      <c r="D1677" s="17">
        <f t="shared" si="80"/>
        <v>0</v>
      </c>
      <c r="E1677" s="17">
        <f t="shared" si="79"/>
        <v>1706</v>
      </c>
      <c r="F1677" s="17" t="s">
        <v>4813</v>
      </c>
      <c r="G1677" s="17">
        <f>MATCH(E1677,Arenas!$F$8:$F$15)</f>
        <v>6</v>
      </c>
      <c r="H1677" s="29" t="s">
        <v>3047</v>
      </c>
      <c r="I1677" s="33" t="s">
        <v>8259</v>
      </c>
      <c r="J1677" s="47" t="s">
        <v>5100</v>
      </c>
      <c r="K1677" s="61" t="s">
        <v>4779</v>
      </c>
      <c r="L1677" s="12" t="str">
        <f t="shared" si="78"/>
        <v>2,2,2</v>
      </c>
    </row>
    <row r="1678" spans="2:12">
      <c r="B1678" s="17">
        <v>1977</v>
      </c>
      <c r="C1678" s="17">
        <v>2</v>
      </c>
      <c r="D1678" s="17">
        <f t="shared" si="80"/>
        <v>0</v>
      </c>
      <c r="E1678" s="17">
        <f t="shared" si="79"/>
        <v>1706</v>
      </c>
      <c r="F1678" s="17" t="s">
        <v>4813</v>
      </c>
      <c r="G1678" s="17">
        <f>MATCH(E1678,Arenas!$F$8:$F$15)</f>
        <v>6</v>
      </c>
      <c r="H1678" s="29" t="s">
        <v>3048</v>
      </c>
      <c r="I1678" s="33" t="s">
        <v>8260</v>
      </c>
      <c r="J1678" s="47" t="s">
        <v>8261</v>
      </c>
      <c r="K1678" s="61" t="s">
        <v>4779</v>
      </c>
      <c r="L1678" s="12" t="str">
        <f t="shared" si="78"/>
        <v>2,2,2</v>
      </c>
    </row>
    <row r="1679" spans="2:12">
      <c r="B1679" s="17">
        <v>1978</v>
      </c>
      <c r="C1679" s="17">
        <v>2</v>
      </c>
      <c r="D1679" s="17">
        <f t="shared" si="80"/>
        <v>1</v>
      </c>
      <c r="E1679" s="17">
        <f t="shared" si="79"/>
        <v>1707</v>
      </c>
      <c r="F1679" s="17" t="s">
        <v>4813</v>
      </c>
      <c r="G1679" s="17">
        <f>MATCH(E1679,Arenas!$F$8:$F$15)</f>
        <v>6</v>
      </c>
      <c r="H1679" s="29" t="s">
        <v>3049</v>
      </c>
      <c r="I1679" s="33" t="s">
        <v>8262</v>
      </c>
      <c r="J1679" s="47" t="s">
        <v>5519</v>
      </c>
      <c r="K1679" s="61" t="s">
        <v>4779</v>
      </c>
      <c r="L1679" s="12" t="str">
        <f t="shared" si="78"/>
        <v>2,2,2</v>
      </c>
    </row>
    <row r="1680" spans="2:12">
      <c r="B1680" s="17">
        <v>1979</v>
      </c>
      <c r="C1680" s="17">
        <v>2</v>
      </c>
      <c r="D1680" s="17">
        <f t="shared" si="80"/>
        <v>0</v>
      </c>
      <c r="E1680" s="17">
        <f t="shared" si="79"/>
        <v>1707</v>
      </c>
      <c r="F1680" s="17" t="s">
        <v>4813</v>
      </c>
      <c r="G1680" s="17">
        <f>MATCH(E1680,Arenas!$F$8:$F$15)</f>
        <v>6</v>
      </c>
      <c r="H1680" s="29" t="s">
        <v>3050</v>
      </c>
      <c r="I1680" s="33" t="s">
        <v>8263</v>
      </c>
      <c r="J1680" s="47" t="s">
        <v>8264</v>
      </c>
      <c r="K1680" s="61" t="s">
        <v>4779</v>
      </c>
      <c r="L1680" s="12" t="str">
        <f t="shared" si="78"/>
        <v>2,2,2</v>
      </c>
    </row>
    <row r="1681" spans="2:12">
      <c r="B1681" s="17">
        <v>1980</v>
      </c>
      <c r="C1681" s="17">
        <v>2</v>
      </c>
      <c r="D1681" s="17">
        <f t="shared" si="80"/>
        <v>0</v>
      </c>
      <c r="E1681" s="17">
        <f t="shared" si="79"/>
        <v>1707</v>
      </c>
      <c r="F1681" s="17" t="s">
        <v>4813</v>
      </c>
      <c r="G1681" s="17">
        <f>MATCH(E1681,Arenas!$F$8:$F$15)</f>
        <v>6</v>
      </c>
      <c r="H1681" s="29" t="s">
        <v>3051</v>
      </c>
      <c r="I1681" s="33" t="s">
        <v>8265</v>
      </c>
      <c r="J1681" s="47" t="s">
        <v>5456</v>
      </c>
      <c r="K1681" s="61" t="s">
        <v>4779</v>
      </c>
      <c r="L1681" s="12" t="str">
        <f t="shared" si="78"/>
        <v>2,2,2</v>
      </c>
    </row>
    <row r="1682" spans="2:12">
      <c r="B1682" s="17">
        <v>1981</v>
      </c>
      <c r="C1682" s="17">
        <v>2</v>
      </c>
      <c r="D1682" s="17">
        <f t="shared" si="80"/>
        <v>1</v>
      </c>
      <c r="E1682" s="17">
        <f t="shared" si="79"/>
        <v>1708</v>
      </c>
      <c r="F1682" s="17" t="s">
        <v>4813</v>
      </c>
      <c r="G1682" s="17">
        <f>MATCH(E1682,Arenas!$F$8:$F$15)</f>
        <v>6</v>
      </c>
      <c r="H1682" s="29" t="s">
        <v>3052</v>
      </c>
      <c r="I1682" s="33" t="s">
        <v>8266</v>
      </c>
      <c r="J1682" s="47" t="s">
        <v>5131</v>
      </c>
      <c r="K1682" s="61" t="s">
        <v>4779</v>
      </c>
      <c r="L1682" s="12" t="str">
        <f t="shared" si="78"/>
        <v>2,2,2</v>
      </c>
    </row>
    <row r="1683" spans="2:12">
      <c r="B1683" s="17">
        <v>1982</v>
      </c>
      <c r="C1683" s="17">
        <v>2</v>
      </c>
      <c r="D1683" s="17">
        <f t="shared" si="80"/>
        <v>0</v>
      </c>
      <c r="E1683" s="17">
        <f t="shared" si="79"/>
        <v>1708</v>
      </c>
      <c r="F1683" s="17" t="s">
        <v>4813</v>
      </c>
      <c r="G1683" s="17">
        <f>MATCH(E1683,Arenas!$F$8:$F$15)</f>
        <v>6</v>
      </c>
      <c r="H1683" s="29" t="s">
        <v>3053</v>
      </c>
      <c r="I1683" s="33" t="s">
        <v>8267</v>
      </c>
      <c r="J1683" s="47" t="s">
        <v>5346</v>
      </c>
      <c r="K1683" s="61" t="s">
        <v>4779</v>
      </c>
      <c r="L1683" s="12" t="str">
        <f t="shared" si="78"/>
        <v>2,2,2</v>
      </c>
    </row>
    <row r="1684" spans="2:12">
      <c r="B1684" s="17">
        <v>1983</v>
      </c>
      <c r="C1684" s="17">
        <v>2</v>
      </c>
      <c r="D1684" s="17">
        <f t="shared" si="80"/>
        <v>0</v>
      </c>
      <c r="E1684" s="17">
        <f t="shared" si="79"/>
        <v>1708</v>
      </c>
      <c r="F1684" s="17" t="s">
        <v>4813</v>
      </c>
      <c r="G1684" s="17">
        <f>MATCH(E1684,Arenas!$F$8:$F$15)</f>
        <v>6</v>
      </c>
      <c r="H1684" s="29" t="s">
        <v>3054</v>
      </c>
      <c r="I1684" s="33" t="s">
        <v>8268</v>
      </c>
      <c r="J1684" s="47" t="s">
        <v>8269</v>
      </c>
      <c r="K1684" s="61" t="s">
        <v>4779</v>
      </c>
      <c r="L1684" s="12" t="str">
        <f t="shared" si="78"/>
        <v>2,2,2</v>
      </c>
    </row>
    <row r="1685" spans="2:12">
      <c r="B1685" s="17">
        <v>1984</v>
      </c>
      <c r="C1685" s="17">
        <v>2</v>
      </c>
      <c r="D1685" s="17">
        <f t="shared" si="80"/>
        <v>1</v>
      </c>
      <c r="E1685" s="17">
        <f t="shared" si="79"/>
        <v>1709</v>
      </c>
      <c r="F1685" s="17" t="s">
        <v>4813</v>
      </c>
      <c r="G1685" s="17">
        <f>MATCH(E1685,Arenas!$F$8:$F$15)</f>
        <v>6</v>
      </c>
      <c r="H1685" s="29" t="s">
        <v>3055</v>
      </c>
      <c r="I1685" s="33" t="s">
        <v>8270</v>
      </c>
      <c r="J1685" s="47" t="s">
        <v>5734</v>
      </c>
      <c r="K1685" s="61" t="s">
        <v>4779</v>
      </c>
      <c r="L1685" s="12" t="str">
        <f t="shared" si="78"/>
        <v>2,2,2</v>
      </c>
    </row>
    <row r="1686" spans="2:12">
      <c r="B1686" s="17">
        <v>1985</v>
      </c>
      <c r="C1686" s="17">
        <v>2</v>
      </c>
      <c r="D1686" s="17">
        <f t="shared" si="80"/>
        <v>0</v>
      </c>
      <c r="E1686" s="17">
        <f t="shared" si="79"/>
        <v>1709</v>
      </c>
      <c r="F1686" s="17" t="s">
        <v>4813</v>
      </c>
      <c r="G1686" s="17">
        <f>MATCH(E1686,Arenas!$F$8:$F$15)</f>
        <v>6</v>
      </c>
      <c r="H1686" s="29" t="s">
        <v>3056</v>
      </c>
      <c r="I1686" s="33" t="s">
        <v>8271</v>
      </c>
      <c r="J1686" s="47" t="s">
        <v>5077</v>
      </c>
      <c r="K1686" s="61" t="s">
        <v>4779</v>
      </c>
      <c r="L1686" s="12" t="str">
        <f t="shared" si="78"/>
        <v>2,2,2</v>
      </c>
    </row>
    <row r="1687" spans="2:12">
      <c r="B1687" s="17">
        <v>1986</v>
      </c>
      <c r="C1687" s="17">
        <v>2</v>
      </c>
      <c r="D1687" s="17">
        <f t="shared" si="80"/>
        <v>0</v>
      </c>
      <c r="E1687" s="17">
        <f t="shared" si="79"/>
        <v>1709</v>
      </c>
      <c r="F1687" s="17" t="s">
        <v>4813</v>
      </c>
      <c r="G1687" s="17">
        <f>MATCH(E1687,Arenas!$F$8:$F$15)</f>
        <v>6</v>
      </c>
      <c r="H1687" s="29" t="s">
        <v>3057</v>
      </c>
      <c r="I1687" s="33" t="s">
        <v>8272</v>
      </c>
      <c r="J1687" s="47" t="s">
        <v>5713</v>
      </c>
      <c r="K1687" s="61" t="s">
        <v>4806</v>
      </c>
      <c r="L1687" s="12" t="str">
        <f t="shared" si="78"/>
        <v>2,2,2</v>
      </c>
    </row>
    <row r="1688" spans="2:12">
      <c r="B1688" s="17">
        <v>1987</v>
      </c>
      <c r="C1688" s="17">
        <v>2</v>
      </c>
      <c r="D1688" s="17">
        <f t="shared" si="80"/>
        <v>1</v>
      </c>
      <c r="E1688" s="17">
        <f t="shared" si="79"/>
        <v>1710</v>
      </c>
      <c r="F1688" s="17" t="s">
        <v>4813</v>
      </c>
      <c r="G1688" s="17">
        <f>MATCH(E1688,Arenas!$F$8:$F$15)</f>
        <v>6</v>
      </c>
      <c r="H1688" s="29" t="s">
        <v>3058</v>
      </c>
      <c r="I1688" s="33" t="s">
        <v>8273</v>
      </c>
      <c r="J1688" s="47" t="s">
        <v>8274</v>
      </c>
      <c r="K1688" s="61" t="s">
        <v>4779</v>
      </c>
      <c r="L1688" s="12" t="str">
        <f t="shared" si="78"/>
        <v>2,2,2</v>
      </c>
    </row>
    <row r="1689" spans="2:12">
      <c r="B1689" s="17">
        <v>1988</v>
      </c>
      <c r="C1689" s="17">
        <v>2</v>
      </c>
      <c r="D1689" s="17">
        <f t="shared" si="80"/>
        <v>0</v>
      </c>
      <c r="E1689" s="17">
        <f t="shared" si="79"/>
        <v>1710</v>
      </c>
      <c r="F1689" s="17" t="s">
        <v>4813</v>
      </c>
      <c r="G1689" s="17">
        <f>MATCH(E1689,Arenas!$F$8:$F$15)</f>
        <v>6</v>
      </c>
      <c r="H1689" s="29" t="s">
        <v>3059</v>
      </c>
      <c r="I1689" s="33" t="s">
        <v>8275</v>
      </c>
      <c r="J1689" s="47" t="s">
        <v>8276</v>
      </c>
      <c r="K1689" s="61" t="s">
        <v>4779</v>
      </c>
      <c r="L1689" s="12" t="str">
        <f t="shared" si="78"/>
        <v>2,2,2</v>
      </c>
    </row>
    <row r="1690" spans="2:12">
      <c r="B1690" s="17">
        <v>1989</v>
      </c>
      <c r="C1690" s="17">
        <v>2</v>
      </c>
      <c r="D1690" s="17">
        <f t="shared" si="80"/>
        <v>0</v>
      </c>
      <c r="E1690" s="17">
        <f t="shared" si="79"/>
        <v>1710</v>
      </c>
      <c r="F1690" s="17" t="s">
        <v>4813</v>
      </c>
      <c r="G1690" s="17">
        <f>MATCH(E1690,Arenas!$F$8:$F$15)</f>
        <v>6</v>
      </c>
      <c r="H1690" s="29" t="s">
        <v>3060</v>
      </c>
      <c r="I1690" s="33" t="s">
        <v>8277</v>
      </c>
      <c r="J1690" s="47" t="s">
        <v>5070</v>
      </c>
      <c r="K1690" s="61" t="s">
        <v>4779</v>
      </c>
      <c r="L1690" s="12" t="str">
        <f t="shared" si="78"/>
        <v>2,2,2</v>
      </c>
    </row>
    <row r="1691" spans="2:12">
      <c r="B1691" s="17">
        <v>1990</v>
      </c>
      <c r="C1691" s="17">
        <v>2</v>
      </c>
      <c r="D1691" s="17">
        <f t="shared" si="80"/>
        <v>1</v>
      </c>
      <c r="E1691" s="17">
        <f t="shared" si="79"/>
        <v>1711</v>
      </c>
      <c r="F1691" s="17" t="s">
        <v>4813</v>
      </c>
      <c r="G1691" s="17">
        <f>MATCH(E1691,Arenas!$F$8:$F$15)</f>
        <v>6</v>
      </c>
      <c r="H1691" s="29" t="s">
        <v>3061</v>
      </c>
      <c r="I1691" s="33" t="s">
        <v>8278</v>
      </c>
      <c r="J1691" s="47" t="s">
        <v>5348</v>
      </c>
      <c r="K1691" s="61" t="s">
        <v>4779</v>
      </c>
      <c r="L1691" s="12" t="str">
        <f t="shared" si="78"/>
        <v>2,2,2</v>
      </c>
    </row>
    <row r="1692" spans="2:12">
      <c r="B1692" s="17">
        <v>1991</v>
      </c>
      <c r="C1692" s="17">
        <v>2</v>
      </c>
      <c r="D1692" s="17">
        <f t="shared" si="80"/>
        <v>0</v>
      </c>
      <c r="E1692" s="17">
        <f t="shared" si="79"/>
        <v>1711</v>
      </c>
      <c r="F1692" s="17" t="s">
        <v>4813</v>
      </c>
      <c r="G1692" s="17">
        <f>MATCH(E1692,Arenas!$F$8:$F$15)</f>
        <v>6</v>
      </c>
      <c r="H1692" s="29" t="s">
        <v>3062</v>
      </c>
      <c r="I1692" s="33" t="s">
        <v>8279</v>
      </c>
      <c r="J1692" s="47" t="s">
        <v>5058</v>
      </c>
      <c r="K1692" s="61" t="s">
        <v>4779</v>
      </c>
      <c r="L1692" s="12" t="str">
        <f t="shared" si="78"/>
        <v>2,2,2</v>
      </c>
    </row>
    <row r="1693" spans="2:12">
      <c r="B1693" s="17">
        <v>1992</v>
      </c>
      <c r="C1693" s="17">
        <v>2</v>
      </c>
      <c r="D1693" s="17">
        <f t="shared" si="80"/>
        <v>0</v>
      </c>
      <c r="E1693" s="17">
        <f t="shared" si="79"/>
        <v>1711</v>
      </c>
      <c r="F1693" s="17" t="s">
        <v>4813</v>
      </c>
      <c r="G1693" s="17">
        <f>MATCH(E1693,Arenas!$F$8:$F$15)</f>
        <v>6</v>
      </c>
      <c r="H1693" s="29" t="s">
        <v>3063</v>
      </c>
      <c r="I1693" s="33" t="s">
        <v>8280</v>
      </c>
      <c r="J1693" s="47" t="s">
        <v>8281</v>
      </c>
      <c r="K1693" s="61" t="s">
        <v>4779</v>
      </c>
      <c r="L1693" s="12" t="str">
        <f t="shared" si="78"/>
        <v>2,2,2</v>
      </c>
    </row>
    <row r="1694" spans="2:12">
      <c r="B1694" s="17">
        <v>1993</v>
      </c>
      <c r="C1694" s="17">
        <v>2</v>
      </c>
      <c r="D1694" s="17">
        <f t="shared" si="80"/>
        <v>1</v>
      </c>
      <c r="E1694" s="17">
        <f t="shared" si="79"/>
        <v>1712</v>
      </c>
      <c r="F1694" s="17" t="s">
        <v>4813</v>
      </c>
      <c r="G1694" s="17">
        <f>MATCH(E1694,Arenas!$F$8:$F$15)</f>
        <v>6</v>
      </c>
      <c r="H1694" s="29" t="s">
        <v>3064</v>
      </c>
      <c r="I1694" s="33" t="s">
        <v>8282</v>
      </c>
      <c r="J1694" s="47" t="s">
        <v>8283</v>
      </c>
      <c r="K1694" s="61" t="s">
        <v>4779</v>
      </c>
      <c r="L1694" s="12" t="str">
        <f t="shared" si="78"/>
        <v>2,2,2</v>
      </c>
    </row>
    <row r="1695" spans="2:12">
      <c r="B1695" s="17">
        <v>1994</v>
      </c>
      <c r="C1695" s="17">
        <v>2</v>
      </c>
      <c r="D1695" s="17">
        <f t="shared" si="80"/>
        <v>0</v>
      </c>
      <c r="E1695" s="17">
        <f t="shared" si="79"/>
        <v>1712</v>
      </c>
      <c r="F1695" s="17" t="s">
        <v>4813</v>
      </c>
      <c r="G1695" s="17">
        <f>MATCH(E1695,Arenas!$F$8:$F$15)</f>
        <v>6</v>
      </c>
      <c r="H1695" s="29" t="s">
        <v>3065</v>
      </c>
      <c r="I1695" s="33" t="s">
        <v>8284</v>
      </c>
      <c r="J1695" s="47" t="s">
        <v>5685</v>
      </c>
      <c r="K1695" s="61" t="s">
        <v>4779</v>
      </c>
      <c r="L1695" s="12" t="str">
        <f t="shared" si="78"/>
        <v>2,2,2</v>
      </c>
    </row>
    <row r="1696" spans="2:12">
      <c r="B1696" s="17">
        <v>1995</v>
      </c>
      <c r="C1696" s="17">
        <v>2</v>
      </c>
      <c r="D1696" s="17">
        <f t="shared" si="80"/>
        <v>0</v>
      </c>
      <c r="E1696" s="17">
        <f t="shared" si="79"/>
        <v>1712</v>
      </c>
      <c r="F1696" s="17" t="s">
        <v>4813</v>
      </c>
      <c r="G1696" s="17">
        <f>MATCH(E1696,Arenas!$F$8:$F$15)</f>
        <v>6</v>
      </c>
      <c r="H1696" s="29" t="s">
        <v>3066</v>
      </c>
      <c r="I1696" s="33" t="s">
        <v>8285</v>
      </c>
      <c r="J1696" s="47" t="s">
        <v>5480</v>
      </c>
      <c r="K1696" s="61" t="s">
        <v>4779</v>
      </c>
      <c r="L1696" s="12" t="str">
        <f t="shared" si="78"/>
        <v>2,2,2</v>
      </c>
    </row>
    <row r="1697" spans="2:12">
      <c r="B1697" s="17">
        <v>1996</v>
      </c>
      <c r="C1697" s="17">
        <v>2</v>
      </c>
      <c r="D1697" s="17">
        <f t="shared" si="80"/>
        <v>1</v>
      </c>
      <c r="E1697" s="17">
        <f t="shared" si="79"/>
        <v>1713</v>
      </c>
      <c r="F1697" s="17" t="s">
        <v>4813</v>
      </c>
      <c r="G1697" s="17">
        <f>MATCH(E1697,Arenas!$F$8:$F$15)</f>
        <v>6</v>
      </c>
      <c r="H1697" s="29" t="s">
        <v>3067</v>
      </c>
      <c r="I1697" s="33" t="s">
        <v>8286</v>
      </c>
      <c r="J1697" s="47" t="s">
        <v>5786</v>
      </c>
      <c r="K1697" s="61" t="s">
        <v>4779</v>
      </c>
      <c r="L1697" s="12" t="str">
        <f t="shared" si="78"/>
        <v>2,2,2</v>
      </c>
    </row>
    <row r="1698" spans="2:12">
      <c r="B1698" s="17">
        <v>1997</v>
      </c>
      <c r="C1698" s="17">
        <v>2</v>
      </c>
      <c r="D1698" s="17">
        <f t="shared" si="80"/>
        <v>0</v>
      </c>
      <c r="E1698" s="17">
        <f t="shared" si="79"/>
        <v>1713</v>
      </c>
      <c r="F1698" s="17" t="s">
        <v>4813</v>
      </c>
      <c r="G1698" s="17">
        <f>MATCH(E1698,Arenas!$F$8:$F$15)</f>
        <v>6</v>
      </c>
      <c r="H1698" s="29" t="s">
        <v>3068</v>
      </c>
      <c r="I1698" s="33" t="s">
        <v>8287</v>
      </c>
      <c r="J1698" s="47" t="s">
        <v>8288</v>
      </c>
      <c r="K1698" s="61" t="s">
        <v>4779</v>
      </c>
      <c r="L1698" s="12" t="str">
        <f t="shared" si="78"/>
        <v>2,2,2</v>
      </c>
    </row>
    <row r="1699" spans="2:12">
      <c r="B1699" s="17">
        <v>1998</v>
      </c>
      <c r="C1699" s="17">
        <v>2</v>
      </c>
      <c r="D1699" s="17">
        <f t="shared" si="80"/>
        <v>0</v>
      </c>
      <c r="E1699" s="17">
        <f t="shared" si="79"/>
        <v>1713</v>
      </c>
      <c r="F1699" s="17" t="s">
        <v>4813</v>
      </c>
      <c r="G1699" s="17">
        <f>MATCH(E1699,Arenas!$F$8:$F$15)</f>
        <v>6</v>
      </c>
      <c r="H1699" s="29" t="s">
        <v>3069</v>
      </c>
      <c r="I1699" s="33" t="s">
        <v>8289</v>
      </c>
      <c r="J1699" s="47" t="s">
        <v>8290</v>
      </c>
      <c r="K1699" s="61" t="s">
        <v>4779</v>
      </c>
      <c r="L1699" s="12" t="str">
        <f t="shared" si="78"/>
        <v>2,2,2</v>
      </c>
    </row>
    <row r="1700" spans="2:12">
      <c r="B1700" s="17">
        <v>1999</v>
      </c>
      <c r="C1700" s="17">
        <v>2</v>
      </c>
      <c r="D1700" s="17">
        <f t="shared" si="80"/>
        <v>1</v>
      </c>
      <c r="E1700" s="17">
        <f t="shared" si="79"/>
        <v>1714</v>
      </c>
      <c r="F1700" s="17" t="s">
        <v>4813</v>
      </c>
      <c r="G1700" s="17">
        <f>MATCH(E1700,Arenas!$F$8:$F$15)</f>
        <v>6</v>
      </c>
      <c r="H1700" s="29" t="s">
        <v>3070</v>
      </c>
      <c r="I1700" s="33" t="s">
        <v>8291</v>
      </c>
      <c r="J1700" s="47" t="s">
        <v>8292</v>
      </c>
      <c r="K1700" s="61" t="s">
        <v>4779</v>
      </c>
      <c r="L1700" s="12" t="str">
        <f t="shared" si="78"/>
        <v>2,2,2</v>
      </c>
    </row>
    <row r="1701" spans="2:12">
      <c r="B1701" s="17">
        <v>2000</v>
      </c>
      <c r="C1701" s="17">
        <v>2</v>
      </c>
      <c r="D1701" s="17">
        <f t="shared" si="80"/>
        <v>0</v>
      </c>
      <c r="E1701" s="17">
        <f t="shared" si="79"/>
        <v>1714</v>
      </c>
      <c r="F1701" s="17" t="s">
        <v>4813</v>
      </c>
      <c r="G1701" s="17">
        <f>MATCH(E1701,Arenas!$F$8:$F$15)</f>
        <v>6</v>
      </c>
      <c r="H1701" s="29" t="s">
        <v>3071</v>
      </c>
      <c r="I1701" s="33" t="s">
        <v>8293</v>
      </c>
      <c r="J1701" s="47" t="s">
        <v>5579</v>
      </c>
      <c r="K1701" s="61" t="s">
        <v>4779</v>
      </c>
      <c r="L1701" s="12" t="str">
        <f t="shared" si="78"/>
        <v>2,2,2</v>
      </c>
    </row>
    <row r="1702" spans="2:12">
      <c r="B1702" s="17">
        <v>2001</v>
      </c>
      <c r="C1702" s="17">
        <v>2</v>
      </c>
      <c r="D1702" s="17">
        <f t="shared" si="80"/>
        <v>0</v>
      </c>
      <c r="E1702" s="17">
        <f t="shared" si="79"/>
        <v>1714</v>
      </c>
      <c r="F1702" s="17" t="s">
        <v>4813</v>
      </c>
      <c r="G1702" s="17">
        <f>MATCH(E1702,Arenas!$F$8:$F$15)</f>
        <v>6</v>
      </c>
      <c r="H1702" s="29" t="s">
        <v>3072</v>
      </c>
      <c r="I1702" s="33" t="s">
        <v>8294</v>
      </c>
      <c r="J1702" s="47" t="s">
        <v>5551</v>
      </c>
      <c r="K1702" s="61" t="s">
        <v>4779</v>
      </c>
      <c r="L1702" s="12" t="str">
        <f t="shared" si="78"/>
        <v>2,2,2</v>
      </c>
    </row>
    <row r="1703" spans="2:12">
      <c r="B1703" s="17">
        <v>2002</v>
      </c>
      <c r="C1703" s="17">
        <v>2</v>
      </c>
      <c r="D1703" s="17">
        <f t="shared" si="80"/>
        <v>1</v>
      </c>
      <c r="E1703" s="17">
        <f t="shared" si="79"/>
        <v>1715</v>
      </c>
      <c r="F1703" s="17" t="s">
        <v>4813</v>
      </c>
      <c r="G1703" s="17">
        <f>MATCH(E1703,Arenas!$F$8:$F$15)</f>
        <v>6</v>
      </c>
      <c r="H1703" s="29" t="s">
        <v>3073</v>
      </c>
      <c r="I1703" s="33" t="s">
        <v>8295</v>
      </c>
      <c r="J1703" s="47" t="s">
        <v>8296</v>
      </c>
      <c r="K1703" s="61" t="s">
        <v>4779</v>
      </c>
      <c r="L1703" s="12" t="str">
        <f t="shared" si="78"/>
        <v>2,2,2</v>
      </c>
    </row>
    <row r="1704" spans="2:12">
      <c r="B1704" s="17">
        <v>2003</v>
      </c>
      <c r="C1704" s="17">
        <v>2</v>
      </c>
      <c r="D1704" s="17">
        <f t="shared" si="80"/>
        <v>0</v>
      </c>
      <c r="E1704" s="17">
        <f t="shared" si="79"/>
        <v>1715</v>
      </c>
      <c r="F1704" s="17" t="s">
        <v>4813</v>
      </c>
      <c r="G1704" s="17">
        <f>MATCH(E1704,Arenas!$F$8:$F$15)</f>
        <v>6</v>
      </c>
      <c r="H1704" s="29" t="s">
        <v>3074</v>
      </c>
      <c r="I1704" s="33" t="s">
        <v>8297</v>
      </c>
      <c r="J1704" s="47" t="s">
        <v>8298</v>
      </c>
      <c r="K1704" s="61" t="s">
        <v>4806</v>
      </c>
      <c r="L1704" s="12" t="str">
        <f t="shared" si="78"/>
        <v>2,2,2</v>
      </c>
    </row>
    <row r="1705" spans="2:12">
      <c r="B1705" s="17">
        <v>2004</v>
      </c>
      <c r="C1705" s="17">
        <v>2</v>
      </c>
      <c r="D1705" s="17">
        <f t="shared" si="80"/>
        <v>0</v>
      </c>
      <c r="E1705" s="17">
        <f t="shared" si="79"/>
        <v>1715</v>
      </c>
      <c r="F1705" s="17" t="s">
        <v>4813</v>
      </c>
      <c r="G1705" s="17">
        <f>MATCH(E1705,Arenas!$F$8:$F$15)</f>
        <v>6</v>
      </c>
      <c r="H1705" s="29" t="s">
        <v>3075</v>
      </c>
      <c r="I1705" s="33" t="s">
        <v>8299</v>
      </c>
      <c r="J1705" s="47" t="s">
        <v>7282</v>
      </c>
      <c r="K1705" s="61" t="s">
        <v>4779</v>
      </c>
      <c r="L1705" s="12" t="str">
        <f t="shared" si="78"/>
        <v>2,2,2</v>
      </c>
    </row>
    <row r="1706" spans="2:12">
      <c r="B1706" s="17">
        <v>2005</v>
      </c>
      <c r="C1706" s="17">
        <v>2</v>
      </c>
      <c r="D1706" s="17">
        <f t="shared" si="80"/>
        <v>1</v>
      </c>
      <c r="E1706" s="17">
        <f t="shared" si="79"/>
        <v>1716</v>
      </c>
      <c r="F1706" s="17" t="s">
        <v>4813</v>
      </c>
      <c r="G1706" s="17">
        <f>MATCH(E1706,Arenas!$F$8:$F$15)</f>
        <v>6</v>
      </c>
      <c r="H1706" s="29" t="s">
        <v>3076</v>
      </c>
      <c r="I1706" s="33" t="s">
        <v>8300</v>
      </c>
      <c r="J1706" s="47" t="s">
        <v>5279</v>
      </c>
      <c r="K1706" s="61" t="s">
        <v>4779</v>
      </c>
      <c r="L1706" s="12" t="str">
        <f t="shared" si="78"/>
        <v>2,2,2</v>
      </c>
    </row>
    <row r="1707" spans="2:12">
      <c r="B1707" s="17">
        <v>2006</v>
      </c>
      <c r="C1707" s="17">
        <v>2</v>
      </c>
      <c r="D1707" s="17">
        <f t="shared" si="80"/>
        <v>0</v>
      </c>
      <c r="E1707" s="17">
        <f t="shared" si="79"/>
        <v>1716</v>
      </c>
      <c r="F1707" s="17" t="s">
        <v>4813</v>
      </c>
      <c r="G1707" s="17">
        <f>MATCH(E1707,Arenas!$F$8:$F$15)</f>
        <v>6</v>
      </c>
      <c r="H1707" s="29" t="s">
        <v>3077</v>
      </c>
      <c r="I1707" s="33" t="s">
        <v>8301</v>
      </c>
      <c r="J1707" s="47" t="s">
        <v>5315</v>
      </c>
      <c r="K1707" s="61" t="s">
        <v>4779</v>
      </c>
      <c r="L1707" s="12" t="str">
        <f t="shared" si="78"/>
        <v>2,2,2</v>
      </c>
    </row>
    <row r="1708" spans="2:12">
      <c r="B1708" s="17">
        <v>2007</v>
      </c>
      <c r="C1708" s="17">
        <v>2</v>
      </c>
      <c r="D1708" s="17">
        <f t="shared" si="80"/>
        <v>0</v>
      </c>
      <c r="E1708" s="17">
        <f t="shared" si="79"/>
        <v>1716</v>
      </c>
      <c r="F1708" s="17" t="s">
        <v>4813</v>
      </c>
      <c r="G1708" s="17">
        <f>MATCH(E1708,Arenas!$F$8:$F$15)</f>
        <v>6</v>
      </c>
      <c r="H1708" s="29" t="s">
        <v>3078</v>
      </c>
      <c r="I1708" s="33" t="s">
        <v>8302</v>
      </c>
      <c r="J1708" s="47" t="s">
        <v>8303</v>
      </c>
      <c r="K1708" s="61" t="s">
        <v>4779</v>
      </c>
      <c r="L1708" s="12" t="str">
        <f t="shared" si="78"/>
        <v>2,2,2</v>
      </c>
    </row>
    <row r="1709" spans="2:12">
      <c r="B1709" s="17">
        <v>2008</v>
      </c>
      <c r="C1709" s="17">
        <v>2</v>
      </c>
      <c r="D1709" s="17">
        <f t="shared" si="80"/>
        <v>1</v>
      </c>
      <c r="E1709" s="17">
        <f t="shared" si="79"/>
        <v>1717</v>
      </c>
      <c r="F1709" s="17" t="s">
        <v>4813</v>
      </c>
      <c r="G1709" s="17">
        <f>MATCH(E1709,Arenas!$F$8:$F$15)</f>
        <v>6</v>
      </c>
      <c r="H1709" s="29" t="s">
        <v>3079</v>
      </c>
      <c r="I1709" s="33" t="s">
        <v>8304</v>
      </c>
      <c r="J1709" s="47" t="s">
        <v>8305</v>
      </c>
      <c r="K1709" s="61" t="s">
        <v>4779</v>
      </c>
      <c r="L1709" s="12" t="str">
        <f t="shared" si="78"/>
        <v>2,2,2</v>
      </c>
    </row>
    <row r="1710" spans="2:12">
      <c r="B1710" s="17">
        <v>2009</v>
      </c>
      <c r="C1710" s="17">
        <v>2</v>
      </c>
      <c r="D1710" s="17">
        <f t="shared" si="80"/>
        <v>0</v>
      </c>
      <c r="E1710" s="17">
        <f t="shared" si="79"/>
        <v>1717</v>
      </c>
      <c r="F1710" s="17" t="s">
        <v>4813</v>
      </c>
      <c r="G1710" s="17">
        <f>MATCH(E1710,Arenas!$F$8:$F$15)</f>
        <v>6</v>
      </c>
      <c r="H1710" s="29" t="s">
        <v>3080</v>
      </c>
      <c r="I1710" s="33" t="s">
        <v>8306</v>
      </c>
      <c r="J1710" s="47" t="s">
        <v>5135</v>
      </c>
      <c r="K1710" s="61" t="s">
        <v>4806</v>
      </c>
      <c r="L1710" s="12" t="str">
        <f t="shared" si="78"/>
        <v>2,2,2</v>
      </c>
    </row>
    <row r="1711" spans="2:12">
      <c r="B1711" s="17">
        <v>2010</v>
      </c>
      <c r="C1711" s="17">
        <v>2</v>
      </c>
      <c r="D1711" s="17">
        <f t="shared" si="80"/>
        <v>0</v>
      </c>
      <c r="E1711" s="17">
        <f t="shared" si="79"/>
        <v>1717</v>
      </c>
      <c r="F1711" s="17" t="s">
        <v>4813</v>
      </c>
      <c r="G1711" s="17">
        <f>MATCH(E1711,Arenas!$F$8:$F$15)</f>
        <v>6</v>
      </c>
      <c r="H1711" s="29" t="s">
        <v>3081</v>
      </c>
      <c r="I1711" s="33" t="s">
        <v>8307</v>
      </c>
      <c r="J1711" s="47" t="s">
        <v>5603</v>
      </c>
      <c r="K1711" s="61" t="s">
        <v>4779</v>
      </c>
      <c r="L1711" s="12" t="str">
        <f t="shared" si="78"/>
        <v>2,2,2</v>
      </c>
    </row>
    <row r="1712" spans="2:12">
      <c r="B1712" s="17">
        <v>2011</v>
      </c>
      <c r="C1712" s="17">
        <v>2</v>
      </c>
      <c r="D1712" s="17">
        <f t="shared" si="80"/>
        <v>1</v>
      </c>
      <c r="E1712" s="17">
        <f t="shared" si="79"/>
        <v>1718</v>
      </c>
      <c r="F1712" s="17" t="s">
        <v>4813</v>
      </c>
      <c r="G1712" s="17">
        <f>MATCH(E1712,Arenas!$F$8:$F$15)</f>
        <v>6</v>
      </c>
      <c r="H1712" s="29" t="s">
        <v>3082</v>
      </c>
      <c r="I1712" s="33" t="s">
        <v>8308</v>
      </c>
      <c r="J1712" s="47" t="s">
        <v>8309</v>
      </c>
      <c r="K1712" s="61" t="s">
        <v>4779</v>
      </c>
      <c r="L1712" s="12" t="str">
        <f t="shared" si="78"/>
        <v>2,2,2</v>
      </c>
    </row>
    <row r="1713" spans="2:12">
      <c r="B1713" s="17">
        <v>2012</v>
      </c>
      <c r="C1713" s="17">
        <v>2</v>
      </c>
      <c r="D1713" s="17">
        <f t="shared" si="80"/>
        <v>0</v>
      </c>
      <c r="E1713" s="17">
        <f t="shared" si="79"/>
        <v>1718</v>
      </c>
      <c r="F1713" s="17" t="s">
        <v>4813</v>
      </c>
      <c r="G1713" s="17">
        <f>MATCH(E1713,Arenas!$F$8:$F$15)</f>
        <v>6</v>
      </c>
      <c r="H1713" s="29" t="s">
        <v>3083</v>
      </c>
      <c r="I1713" s="33" t="s">
        <v>8310</v>
      </c>
      <c r="J1713" s="47" t="s">
        <v>5280</v>
      </c>
      <c r="K1713" s="61" t="s">
        <v>4779</v>
      </c>
      <c r="L1713" s="12" t="str">
        <f t="shared" si="78"/>
        <v>2,2,2</v>
      </c>
    </row>
    <row r="1714" spans="2:12">
      <c r="B1714" s="17">
        <v>2013</v>
      </c>
      <c r="C1714" s="17">
        <v>2</v>
      </c>
      <c r="D1714" s="17">
        <f t="shared" si="80"/>
        <v>0</v>
      </c>
      <c r="E1714" s="17">
        <f t="shared" si="79"/>
        <v>1718</v>
      </c>
      <c r="F1714" s="17" t="s">
        <v>4813</v>
      </c>
      <c r="G1714" s="17">
        <f>MATCH(E1714,Arenas!$F$8:$F$15)</f>
        <v>6</v>
      </c>
      <c r="H1714" s="29" t="s">
        <v>3084</v>
      </c>
      <c r="I1714" s="33" t="s">
        <v>8311</v>
      </c>
      <c r="J1714" s="47" t="s">
        <v>8312</v>
      </c>
      <c r="K1714" s="61" t="s">
        <v>4779</v>
      </c>
      <c r="L1714" s="12" t="str">
        <f t="shared" si="78"/>
        <v>2,2,2</v>
      </c>
    </row>
    <row r="1715" spans="2:12">
      <c r="B1715" s="17">
        <v>2014</v>
      </c>
      <c r="C1715" s="17">
        <v>2</v>
      </c>
      <c r="D1715" s="17">
        <f t="shared" si="80"/>
        <v>1</v>
      </c>
      <c r="E1715" s="17">
        <f t="shared" si="79"/>
        <v>1719</v>
      </c>
      <c r="F1715" s="17" t="s">
        <v>4813</v>
      </c>
      <c r="G1715" s="17">
        <f>MATCH(E1715,Arenas!$F$8:$F$15)</f>
        <v>6</v>
      </c>
      <c r="H1715" s="29" t="s">
        <v>3085</v>
      </c>
      <c r="I1715" s="33" t="s">
        <v>8313</v>
      </c>
      <c r="J1715" s="47" t="s">
        <v>5865</v>
      </c>
      <c r="K1715" s="61" t="s">
        <v>4779</v>
      </c>
      <c r="L1715" s="12" t="str">
        <f t="shared" si="78"/>
        <v>2,2,2</v>
      </c>
    </row>
    <row r="1716" spans="2:12">
      <c r="B1716" s="17">
        <v>2015</v>
      </c>
      <c r="C1716" s="17">
        <v>2</v>
      </c>
      <c r="D1716" s="17">
        <f t="shared" si="80"/>
        <v>0</v>
      </c>
      <c r="E1716" s="17">
        <f t="shared" si="79"/>
        <v>1719</v>
      </c>
      <c r="F1716" s="17" t="s">
        <v>4813</v>
      </c>
      <c r="G1716" s="17">
        <f>MATCH(E1716,Arenas!$F$8:$F$15)</f>
        <v>6</v>
      </c>
      <c r="H1716" s="29" t="s">
        <v>3086</v>
      </c>
      <c r="I1716" s="33" t="s">
        <v>8314</v>
      </c>
      <c r="J1716" s="47" t="s">
        <v>8315</v>
      </c>
      <c r="K1716" s="61" t="s">
        <v>4779</v>
      </c>
      <c r="L1716" s="12" t="str">
        <f t="shared" si="78"/>
        <v>2,2,2</v>
      </c>
    </row>
    <row r="1717" spans="2:12">
      <c r="B1717" s="17">
        <v>2016</v>
      </c>
      <c r="C1717" s="17">
        <v>2</v>
      </c>
      <c r="D1717" s="17">
        <f t="shared" si="80"/>
        <v>0</v>
      </c>
      <c r="E1717" s="17">
        <f t="shared" si="79"/>
        <v>1719</v>
      </c>
      <c r="F1717" s="17" t="s">
        <v>4813</v>
      </c>
      <c r="G1717" s="17">
        <f>MATCH(E1717,Arenas!$F$8:$F$15)</f>
        <v>6</v>
      </c>
      <c r="H1717" s="29" t="s">
        <v>3087</v>
      </c>
      <c r="I1717" s="33" t="s">
        <v>8316</v>
      </c>
      <c r="J1717" s="47" t="s">
        <v>5101</v>
      </c>
      <c r="K1717" s="61" t="s">
        <v>4779</v>
      </c>
      <c r="L1717" s="12" t="str">
        <f t="shared" si="78"/>
        <v>2,2,2</v>
      </c>
    </row>
    <row r="1718" spans="2:12">
      <c r="B1718" s="17">
        <v>2017</v>
      </c>
      <c r="C1718" s="17">
        <v>2</v>
      </c>
      <c r="D1718" s="17">
        <f t="shared" si="80"/>
        <v>1</v>
      </c>
      <c r="E1718" s="17">
        <f t="shared" si="79"/>
        <v>1720</v>
      </c>
      <c r="F1718" s="17" t="s">
        <v>4813</v>
      </c>
      <c r="G1718" s="17">
        <f>MATCH(E1718,Arenas!$F$8:$F$15)</f>
        <v>6</v>
      </c>
      <c r="H1718" s="29" t="s">
        <v>3088</v>
      </c>
      <c r="I1718" s="33" t="s">
        <v>8317</v>
      </c>
      <c r="J1718" s="47" t="s">
        <v>5093</v>
      </c>
      <c r="K1718" s="61" t="s">
        <v>4779</v>
      </c>
      <c r="L1718" s="12" t="str">
        <f t="shared" si="78"/>
        <v>2,2,2</v>
      </c>
    </row>
    <row r="1719" spans="2:12">
      <c r="B1719" s="17">
        <v>2018</v>
      </c>
      <c r="C1719" s="17">
        <v>2</v>
      </c>
      <c r="D1719" s="17">
        <f t="shared" si="80"/>
        <v>0</v>
      </c>
      <c r="E1719" s="17">
        <f t="shared" si="79"/>
        <v>1720</v>
      </c>
      <c r="F1719" s="17" t="s">
        <v>4813</v>
      </c>
      <c r="G1719" s="17">
        <f>MATCH(E1719,Arenas!$F$8:$F$15)</f>
        <v>6</v>
      </c>
      <c r="H1719" s="29" t="s">
        <v>3089</v>
      </c>
      <c r="I1719" s="33" t="s">
        <v>8318</v>
      </c>
      <c r="J1719" s="47" t="s">
        <v>8319</v>
      </c>
      <c r="K1719" s="61" t="s">
        <v>4779</v>
      </c>
      <c r="L1719" s="12" t="str">
        <f t="shared" si="78"/>
        <v>2,2,2</v>
      </c>
    </row>
    <row r="1720" spans="2:12">
      <c r="B1720" s="17">
        <v>2019</v>
      </c>
      <c r="C1720" s="17">
        <v>2</v>
      </c>
      <c r="D1720" s="17">
        <f t="shared" si="80"/>
        <v>0</v>
      </c>
      <c r="E1720" s="17">
        <f t="shared" si="79"/>
        <v>1720</v>
      </c>
      <c r="F1720" s="17" t="s">
        <v>4813</v>
      </c>
      <c r="G1720" s="17">
        <f>MATCH(E1720,Arenas!$F$8:$F$15)</f>
        <v>6</v>
      </c>
      <c r="H1720" s="29" t="s">
        <v>3090</v>
      </c>
      <c r="I1720" s="33" t="s">
        <v>8320</v>
      </c>
      <c r="J1720" s="47" t="s">
        <v>8321</v>
      </c>
      <c r="K1720" s="61" t="s">
        <v>4779</v>
      </c>
      <c r="L1720" s="12" t="str">
        <f t="shared" si="78"/>
        <v>2,2,2</v>
      </c>
    </row>
    <row r="1721" spans="2:12">
      <c r="B1721" s="17">
        <v>2020</v>
      </c>
      <c r="C1721" s="17">
        <v>2</v>
      </c>
      <c r="D1721" s="17">
        <f t="shared" si="80"/>
        <v>1</v>
      </c>
      <c r="E1721" s="17">
        <f t="shared" si="79"/>
        <v>1721</v>
      </c>
      <c r="F1721" s="17" t="s">
        <v>4813</v>
      </c>
      <c r="G1721" s="17">
        <f>MATCH(E1721,Arenas!$F$8:$F$15)</f>
        <v>6</v>
      </c>
      <c r="H1721" s="29" t="s">
        <v>3091</v>
      </c>
      <c r="I1721" s="33" t="s">
        <v>8322</v>
      </c>
      <c r="J1721" s="47" t="s">
        <v>5329</v>
      </c>
      <c r="K1721" s="61" t="s">
        <v>4779</v>
      </c>
      <c r="L1721" s="12" t="str">
        <f t="shared" si="78"/>
        <v>2,2,2</v>
      </c>
    </row>
    <row r="1722" spans="2:12">
      <c r="B1722" s="17">
        <v>2021</v>
      </c>
      <c r="C1722" s="17">
        <v>2</v>
      </c>
      <c r="D1722" s="17">
        <f t="shared" si="80"/>
        <v>0</v>
      </c>
      <c r="E1722" s="17">
        <f t="shared" si="79"/>
        <v>1721</v>
      </c>
      <c r="F1722" s="17" t="s">
        <v>4813</v>
      </c>
      <c r="G1722" s="17">
        <f>MATCH(E1722,Arenas!$F$8:$F$15)</f>
        <v>6</v>
      </c>
      <c r="H1722" s="29" t="s">
        <v>3092</v>
      </c>
      <c r="I1722" s="33" t="s">
        <v>8323</v>
      </c>
      <c r="J1722" s="47" t="s">
        <v>5080</v>
      </c>
      <c r="K1722" s="61" t="s">
        <v>4779</v>
      </c>
      <c r="L1722" s="12" t="str">
        <f t="shared" si="78"/>
        <v>2,2,2</v>
      </c>
    </row>
    <row r="1723" spans="2:12">
      <c r="B1723" s="17">
        <v>2022</v>
      </c>
      <c r="C1723" s="17">
        <v>2</v>
      </c>
      <c r="D1723" s="17">
        <f t="shared" si="80"/>
        <v>0</v>
      </c>
      <c r="E1723" s="17">
        <f t="shared" si="79"/>
        <v>1721</v>
      </c>
      <c r="F1723" s="17" t="s">
        <v>4813</v>
      </c>
      <c r="G1723" s="17">
        <f>MATCH(E1723,Arenas!$F$8:$F$15)</f>
        <v>6</v>
      </c>
      <c r="H1723" s="29" t="s">
        <v>3093</v>
      </c>
      <c r="I1723" s="33" t="s">
        <v>8324</v>
      </c>
      <c r="J1723" s="47" t="s">
        <v>5854</v>
      </c>
      <c r="K1723" s="61" t="s">
        <v>4779</v>
      </c>
      <c r="L1723" s="12" t="str">
        <f t="shared" si="78"/>
        <v>2,2,2</v>
      </c>
    </row>
    <row r="1724" spans="2:12">
      <c r="B1724" s="17">
        <v>2023</v>
      </c>
      <c r="C1724" s="17">
        <v>2</v>
      </c>
      <c r="D1724" s="17">
        <f t="shared" si="80"/>
        <v>1</v>
      </c>
      <c r="E1724" s="17">
        <f t="shared" si="79"/>
        <v>1722</v>
      </c>
      <c r="F1724" s="17" t="s">
        <v>4813</v>
      </c>
      <c r="G1724" s="17">
        <f>MATCH(E1724,Arenas!$F$8:$F$15)</f>
        <v>6</v>
      </c>
      <c r="H1724" s="29" t="s">
        <v>3094</v>
      </c>
      <c r="I1724" s="33" t="s">
        <v>8325</v>
      </c>
      <c r="J1724" s="47" t="s">
        <v>5813</v>
      </c>
      <c r="K1724" s="61" t="s">
        <v>4779</v>
      </c>
      <c r="L1724" s="12" t="str">
        <f t="shared" si="78"/>
        <v>2,2,2</v>
      </c>
    </row>
    <row r="1725" spans="2:12">
      <c r="B1725" s="17">
        <v>2024</v>
      </c>
      <c r="C1725" s="17">
        <v>2</v>
      </c>
      <c r="D1725" s="17">
        <f t="shared" si="80"/>
        <v>0</v>
      </c>
      <c r="E1725" s="17">
        <f t="shared" si="79"/>
        <v>1722</v>
      </c>
      <c r="F1725" s="17" t="s">
        <v>4813</v>
      </c>
      <c r="G1725" s="17">
        <f>MATCH(E1725,Arenas!$F$8:$F$15)</f>
        <v>6</v>
      </c>
      <c r="H1725" s="29" t="s">
        <v>3095</v>
      </c>
      <c r="I1725" s="33" t="s">
        <v>8326</v>
      </c>
      <c r="J1725" s="47" t="s">
        <v>5773</v>
      </c>
      <c r="K1725" s="61" t="s">
        <v>4779</v>
      </c>
      <c r="L1725" s="12" t="str">
        <f t="shared" si="78"/>
        <v>2,2,2</v>
      </c>
    </row>
    <row r="1726" spans="2:12">
      <c r="B1726" s="17">
        <v>2025</v>
      </c>
      <c r="C1726" s="17">
        <v>2</v>
      </c>
      <c r="D1726" s="17">
        <f t="shared" si="80"/>
        <v>0</v>
      </c>
      <c r="E1726" s="17">
        <f t="shared" si="79"/>
        <v>1722</v>
      </c>
      <c r="F1726" s="17" t="s">
        <v>4813</v>
      </c>
      <c r="G1726" s="17">
        <f>MATCH(E1726,Arenas!$F$8:$F$15)</f>
        <v>6</v>
      </c>
      <c r="H1726" s="29" t="s">
        <v>3096</v>
      </c>
      <c r="I1726" s="33" t="s">
        <v>8327</v>
      </c>
      <c r="J1726" s="47" t="s">
        <v>8328</v>
      </c>
      <c r="K1726" s="61" t="s">
        <v>4779</v>
      </c>
      <c r="L1726" s="12" t="str">
        <f t="shared" si="78"/>
        <v>2,2,2</v>
      </c>
    </row>
    <row r="1727" spans="2:12">
      <c r="B1727" s="17">
        <v>2026</v>
      </c>
      <c r="C1727" s="17">
        <v>2</v>
      </c>
      <c r="D1727" s="17">
        <f t="shared" si="80"/>
        <v>1</v>
      </c>
      <c r="E1727" s="17">
        <f t="shared" si="79"/>
        <v>1723</v>
      </c>
      <c r="F1727" s="17" t="s">
        <v>4813</v>
      </c>
      <c r="G1727" s="17">
        <f>MATCH(E1727,Arenas!$F$8:$F$15)</f>
        <v>6</v>
      </c>
      <c r="H1727" s="29" t="s">
        <v>3097</v>
      </c>
      <c r="I1727" s="33" t="s">
        <v>8329</v>
      </c>
      <c r="J1727" s="47" t="s">
        <v>5600</v>
      </c>
      <c r="K1727" s="61" t="s">
        <v>4779</v>
      </c>
      <c r="L1727" s="12" t="str">
        <f t="shared" si="78"/>
        <v>2,2,2</v>
      </c>
    </row>
    <row r="1728" spans="2:12">
      <c r="B1728" s="17">
        <v>2027</v>
      </c>
      <c r="C1728" s="17">
        <v>2</v>
      </c>
      <c r="D1728" s="17">
        <f t="shared" si="80"/>
        <v>0</v>
      </c>
      <c r="E1728" s="17">
        <f t="shared" si="79"/>
        <v>1723</v>
      </c>
      <c r="F1728" s="17" t="s">
        <v>4813</v>
      </c>
      <c r="G1728" s="17">
        <f>MATCH(E1728,Arenas!$F$8:$F$15)</f>
        <v>6</v>
      </c>
      <c r="H1728" s="29" t="s">
        <v>3098</v>
      </c>
      <c r="I1728" s="33" t="s">
        <v>8330</v>
      </c>
      <c r="J1728" s="47" t="s">
        <v>8331</v>
      </c>
      <c r="K1728" s="61" t="s">
        <v>4779</v>
      </c>
      <c r="L1728" s="12" t="str">
        <f t="shared" si="78"/>
        <v>2,2,2</v>
      </c>
    </row>
    <row r="1729" spans="2:12">
      <c r="B1729" s="17">
        <v>2028</v>
      </c>
      <c r="C1729" s="17">
        <v>2</v>
      </c>
      <c r="D1729" s="17">
        <f t="shared" si="80"/>
        <v>0</v>
      </c>
      <c r="E1729" s="17">
        <f t="shared" si="79"/>
        <v>1723</v>
      </c>
      <c r="F1729" s="17" t="s">
        <v>4813</v>
      </c>
      <c r="G1729" s="17">
        <f>MATCH(E1729,Arenas!$F$8:$F$15)</f>
        <v>6</v>
      </c>
      <c r="H1729" s="29" t="s">
        <v>3099</v>
      </c>
      <c r="I1729" s="33" t="s">
        <v>8332</v>
      </c>
      <c r="J1729" s="47" t="s">
        <v>8333</v>
      </c>
      <c r="K1729" s="61" t="s">
        <v>4779</v>
      </c>
      <c r="L1729" s="12" t="str">
        <f t="shared" si="78"/>
        <v>2,2,2</v>
      </c>
    </row>
    <row r="1730" spans="2:12">
      <c r="B1730" s="17">
        <v>2029</v>
      </c>
      <c r="C1730" s="17">
        <v>2</v>
      </c>
      <c r="D1730" s="17">
        <f t="shared" si="80"/>
        <v>1</v>
      </c>
      <c r="E1730" s="17">
        <f t="shared" si="79"/>
        <v>1724</v>
      </c>
      <c r="F1730" s="17" t="s">
        <v>4813</v>
      </c>
      <c r="G1730" s="17">
        <f>MATCH(E1730,Arenas!$F$8:$F$15)</f>
        <v>6</v>
      </c>
      <c r="H1730" s="29" t="s">
        <v>3100</v>
      </c>
      <c r="I1730" s="33" t="s">
        <v>8334</v>
      </c>
      <c r="J1730" s="47" t="s">
        <v>5737</v>
      </c>
      <c r="K1730" s="61" t="s">
        <v>4779</v>
      </c>
      <c r="L1730" s="12" t="str">
        <f t="shared" ref="L1730:L1793" si="81">C1730&amp;","&amp;C1730&amp;","&amp;C1730</f>
        <v>2,2,2</v>
      </c>
    </row>
    <row r="1731" spans="2:12">
      <c r="B1731" s="17">
        <v>2030</v>
      </c>
      <c r="C1731" s="17">
        <v>2</v>
      </c>
      <c r="D1731" s="17">
        <f t="shared" si="80"/>
        <v>0</v>
      </c>
      <c r="E1731" s="17">
        <f t="shared" ref="E1731:E1794" si="82">D1731+E1730</f>
        <v>1724</v>
      </c>
      <c r="F1731" s="17" t="s">
        <v>4813</v>
      </c>
      <c r="G1731" s="17">
        <f>MATCH(E1731,Arenas!$F$8:$F$15)</f>
        <v>6</v>
      </c>
      <c r="H1731" s="29" t="s">
        <v>3101</v>
      </c>
      <c r="I1731" s="33" t="s">
        <v>8335</v>
      </c>
      <c r="J1731" s="47" t="s">
        <v>5142</v>
      </c>
      <c r="K1731" s="61" t="s">
        <v>4779</v>
      </c>
      <c r="L1731" s="12" t="str">
        <f t="shared" si="81"/>
        <v>2,2,2</v>
      </c>
    </row>
    <row r="1732" spans="2:12">
      <c r="B1732" s="17">
        <v>2031</v>
      </c>
      <c r="C1732" s="17">
        <v>2</v>
      </c>
      <c r="D1732" s="17">
        <f t="shared" si="80"/>
        <v>0</v>
      </c>
      <c r="E1732" s="17">
        <f t="shared" si="82"/>
        <v>1724</v>
      </c>
      <c r="F1732" s="17" t="s">
        <v>4813</v>
      </c>
      <c r="G1732" s="17">
        <f>MATCH(E1732,Arenas!$F$8:$F$15)</f>
        <v>6</v>
      </c>
      <c r="H1732" s="29" t="s">
        <v>3102</v>
      </c>
      <c r="I1732" s="33" t="s">
        <v>8336</v>
      </c>
      <c r="J1732" s="47" t="s">
        <v>8337</v>
      </c>
      <c r="K1732" s="61" t="s">
        <v>4779</v>
      </c>
      <c r="L1732" s="12" t="str">
        <f t="shared" si="81"/>
        <v>2,2,2</v>
      </c>
    </row>
    <row r="1733" spans="2:12">
      <c r="B1733" s="17">
        <v>2032</v>
      </c>
      <c r="C1733" s="17">
        <v>2</v>
      </c>
      <c r="D1733" s="17">
        <f t="shared" ref="D1733:D1796" si="83">D1730</f>
        <v>1</v>
      </c>
      <c r="E1733" s="17">
        <f t="shared" si="82"/>
        <v>1725</v>
      </c>
      <c r="F1733" s="17" t="s">
        <v>4813</v>
      </c>
      <c r="G1733" s="17">
        <f>MATCH(E1733,Arenas!$F$8:$F$15)</f>
        <v>6</v>
      </c>
      <c r="H1733" s="29" t="s">
        <v>3103</v>
      </c>
      <c r="I1733" s="33" t="s">
        <v>8338</v>
      </c>
      <c r="J1733" s="47" t="s">
        <v>5715</v>
      </c>
      <c r="K1733" s="61" t="s">
        <v>4779</v>
      </c>
      <c r="L1733" s="12" t="str">
        <f t="shared" si="81"/>
        <v>2,2,2</v>
      </c>
    </row>
    <row r="1734" spans="2:12">
      <c r="B1734" s="17">
        <v>2033</v>
      </c>
      <c r="C1734" s="17">
        <v>2</v>
      </c>
      <c r="D1734" s="17">
        <f t="shared" si="83"/>
        <v>0</v>
      </c>
      <c r="E1734" s="17">
        <f t="shared" si="82"/>
        <v>1725</v>
      </c>
      <c r="F1734" s="17" t="s">
        <v>4813</v>
      </c>
      <c r="G1734" s="17">
        <f>MATCH(E1734,Arenas!$F$8:$F$15)</f>
        <v>6</v>
      </c>
      <c r="H1734" s="29" t="s">
        <v>3104</v>
      </c>
      <c r="I1734" s="33" t="s">
        <v>8339</v>
      </c>
      <c r="J1734" s="47" t="s">
        <v>5083</v>
      </c>
      <c r="K1734" s="61" t="s">
        <v>4779</v>
      </c>
      <c r="L1734" s="12" t="str">
        <f t="shared" si="81"/>
        <v>2,2,2</v>
      </c>
    </row>
    <row r="1735" spans="2:12">
      <c r="B1735" s="17">
        <v>2034</v>
      </c>
      <c r="C1735" s="17">
        <v>2</v>
      </c>
      <c r="D1735" s="17">
        <f t="shared" si="83"/>
        <v>0</v>
      </c>
      <c r="E1735" s="17">
        <f t="shared" si="82"/>
        <v>1725</v>
      </c>
      <c r="F1735" s="17" t="s">
        <v>4813</v>
      </c>
      <c r="G1735" s="17">
        <f>MATCH(E1735,Arenas!$F$8:$F$15)</f>
        <v>6</v>
      </c>
      <c r="H1735" s="29" t="s">
        <v>3105</v>
      </c>
      <c r="I1735" s="33" t="s">
        <v>8340</v>
      </c>
      <c r="J1735" s="47" t="s">
        <v>5317</v>
      </c>
      <c r="K1735" s="61" t="s">
        <v>4779</v>
      </c>
      <c r="L1735" s="12" t="str">
        <f t="shared" si="81"/>
        <v>2,2,2</v>
      </c>
    </row>
    <row r="1736" spans="2:12">
      <c r="B1736" s="17">
        <v>2035</v>
      </c>
      <c r="C1736" s="17">
        <v>2</v>
      </c>
      <c r="D1736" s="17">
        <f t="shared" si="83"/>
        <v>1</v>
      </c>
      <c r="E1736" s="17">
        <f t="shared" si="82"/>
        <v>1726</v>
      </c>
      <c r="F1736" s="17" t="s">
        <v>4813</v>
      </c>
      <c r="G1736" s="17">
        <f>MATCH(E1736,Arenas!$F$8:$F$15)</f>
        <v>6</v>
      </c>
      <c r="H1736" s="29" t="s">
        <v>3106</v>
      </c>
      <c r="I1736" s="33" t="s">
        <v>8341</v>
      </c>
      <c r="J1736" s="47" t="s">
        <v>8342</v>
      </c>
      <c r="K1736" s="61" t="s">
        <v>4779</v>
      </c>
      <c r="L1736" s="12" t="str">
        <f t="shared" si="81"/>
        <v>2,2,2</v>
      </c>
    </row>
    <row r="1737" spans="2:12">
      <c r="B1737" s="17">
        <v>2036</v>
      </c>
      <c r="C1737" s="17">
        <v>2</v>
      </c>
      <c r="D1737" s="17">
        <f t="shared" si="83"/>
        <v>0</v>
      </c>
      <c r="E1737" s="17">
        <f t="shared" si="82"/>
        <v>1726</v>
      </c>
      <c r="F1737" s="17" t="s">
        <v>4813</v>
      </c>
      <c r="G1737" s="17">
        <f>MATCH(E1737,Arenas!$F$8:$F$15)</f>
        <v>6</v>
      </c>
      <c r="H1737" s="29" t="s">
        <v>3107</v>
      </c>
      <c r="I1737" s="33" t="s">
        <v>8343</v>
      </c>
      <c r="J1737" s="47" t="s">
        <v>7458</v>
      </c>
      <c r="K1737" s="61" t="s">
        <v>4779</v>
      </c>
      <c r="L1737" s="12" t="str">
        <f t="shared" si="81"/>
        <v>2,2,2</v>
      </c>
    </row>
    <row r="1738" spans="2:12">
      <c r="B1738" s="17">
        <v>2037</v>
      </c>
      <c r="C1738" s="17">
        <v>2</v>
      </c>
      <c r="D1738" s="17">
        <f t="shared" si="83"/>
        <v>0</v>
      </c>
      <c r="E1738" s="17">
        <f t="shared" si="82"/>
        <v>1726</v>
      </c>
      <c r="F1738" s="17" t="s">
        <v>4813</v>
      </c>
      <c r="G1738" s="17">
        <f>MATCH(E1738,Arenas!$F$8:$F$15)</f>
        <v>6</v>
      </c>
      <c r="H1738" s="29" t="s">
        <v>3108</v>
      </c>
      <c r="I1738" s="33" t="s">
        <v>8344</v>
      </c>
      <c r="J1738" s="47" t="s">
        <v>8345</v>
      </c>
      <c r="K1738" s="61" t="s">
        <v>4807</v>
      </c>
      <c r="L1738" s="12" t="str">
        <f t="shared" si="81"/>
        <v>2,2,2</v>
      </c>
    </row>
    <row r="1739" spans="2:12">
      <c r="B1739" s="17">
        <v>2038</v>
      </c>
      <c r="C1739" s="17">
        <v>2</v>
      </c>
      <c r="D1739" s="17">
        <f t="shared" si="83"/>
        <v>1</v>
      </c>
      <c r="E1739" s="17">
        <f t="shared" si="82"/>
        <v>1727</v>
      </c>
      <c r="F1739" s="17" t="s">
        <v>4813</v>
      </c>
      <c r="G1739" s="17">
        <f>MATCH(E1739,Arenas!$F$8:$F$15)</f>
        <v>6</v>
      </c>
      <c r="H1739" s="29" t="s">
        <v>3109</v>
      </c>
      <c r="I1739" s="33" t="s">
        <v>8346</v>
      </c>
      <c r="J1739" s="47" t="s">
        <v>5801</v>
      </c>
      <c r="K1739" s="61" t="s">
        <v>4779</v>
      </c>
      <c r="L1739" s="12" t="str">
        <f t="shared" si="81"/>
        <v>2,2,2</v>
      </c>
    </row>
    <row r="1740" spans="2:12">
      <c r="B1740" s="17">
        <v>2039</v>
      </c>
      <c r="C1740" s="17">
        <v>2</v>
      </c>
      <c r="D1740" s="17">
        <f t="shared" si="83"/>
        <v>0</v>
      </c>
      <c r="E1740" s="17">
        <f t="shared" si="82"/>
        <v>1727</v>
      </c>
      <c r="F1740" s="17" t="s">
        <v>4813</v>
      </c>
      <c r="G1740" s="17">
        <f>MATCH(E1740,Arenas!$F$8:$F$15)</f>
        <v>6</v>
      </c>
      <c r="H1740" s="29" t="s">
        <v>3110</v>
      </c>
      <c r="I1740" s="33" t="s">
        <v>8347</v>
      </c>
      <c r="J1740" s="47" t="s">
        <v>5522</v>
      </c>
      <c r="K1740" s="61" t="s">
        <v>4779</v>
      </c>
      <c r="L1740" s="12" t="str">
        <f t="shared" si="81"/>
        <v>2,2,2</v>
      </c>
    </row>
    <row r="1741" spans="2:12">
      <c r="B1741" s="17">
        <v>2040</v>
      </c>
      <c r="C1741" s="17">
        <v>2</v>
      </c>
      <c r="D1741" s="17">
        <f t="shared" si="83"/>
        <v>0</v>
      </c>
      <c r="E1741" s="17">
        <f t="shared" si="82"/>
        <v>1727</v>
      </c>
      <c r="F1741" s="17" t="s">
        <v>4813</v>
      </c>
      <c r="G1741" s="17">
        <f>MATCH(E1741,Arenas!$F$8:$F$15)</f>
        <v>6</v>
      </c>
      <c r="H1741" s="29" t="s">
        <v>3111</v>
      </c>
      <c r="I1741" s="33" t="s">
        <v>8348</v>
      </c>
      <c r="J1741" s="47" t="s">
        <v>5593</v>
      </c>
      <c r="K1741" s="61" t="s">
        <v>4810</v>
      </c>
      <c r="L1741" s="12" t="str">
        <f t="shared" si="81"/>
        <v>2,2,2</v>
      </c>
    </row>
    <row r="1742" spans="2:12">
      <c r="B1742" s="17">
        <v>2041</v>
      </c>
      <c r="C1742" s="17">
        <v>2</v>
      </c>
      <c r="D1742" s="17">
        <f t="shared" si="83"/>
        <v>1</v>
      </c>
      <c r="E1742" s="17">
        <f t="shared" si="82"/>
        <v>1728</v>
      </c>
      <c r="F1742" s="17" t="s">
        <v>4813</v>
      </c>
      <c r="G1742" s="17">
        <f>MATCH(E1742,Arenas!$F$8:$F$15)</f>
        <v>6</v>
      </c>
      <c r="H1742" s="29" t="s">
        <v>3112</v>
      </c>
      <c r="I1742" s="33" t="s">
        <v>8349</v>
      </c>
      <c r="J1742" s="47" t="s">
        <v>8350</v>
      </c>
      <c r="K1742" s="61" t="s">
        <v>4809</v>
      </c>
      <c r="L1742" s="12" t="str">
        <f t="shared" si="81"/>
        <v>2,2,2</v>
      </c>
    </row>
    <row r="1743" spans="2:12">
      <c r="B1743" s="17">
        <v>2042</v>
      </c>
      <c r="C1743" s="17">
        <v>2</v>
      </c>
      <c r="D1743" s="17">
        <f t="shared" si="83"/>
        <v>0</v>
      </c>
      <c r="E1743" s="17">
        <f t="shared" si="82"/>
        <v>1728</v>
      </c>
      <c r="F1743" s="17" t="s">
        <v>4813</v>
      </c>
      <c r="G1743" s="17">
        <f>MATCH(E1743,Arenas!$F$8:$F$15)</f>
        <v>6</v>
      </c>
      <c r="H1743" s="29" t="s">
        <v>3113</v>
      </c>
      <c r="I1743" s="33" t="s">
        <v>8351</v>
      </c>
      <c r="J1743" s="47" t="s">
        <v>5489</v>
      </c>
      <c r="K1743" s="61" t="s">
        <v>4779</v>
      </c>
      <c r="L1743" s="12" t="str">
        <f t="shared" si="81"/>
        <v>2,2,2</v>
      </c>
    </row>
    <row r="1744" spans="2:12">
      <c r="B1744" s="17">
        <v>2043</v>
      </c>
      <c r="C1744" s="17">
        <v>2</v>
      </c>
      <c r="D1744" s="17">
        <f t="shared" si="83"/>
        <v>0</v>
      </c>
      <c r="E1744" s="17">
        <f t="shared" si="82"/>
        <v>1728</v>
      </c>
      <c r="F1744" s="17" t="s">
        <v>4813</v>
      </c>
      <c r="G1744" s="17">
        <f>MATCH(E1744,Arenas!$F$8:$F$15)</f>
        <v>6</v>
      </c>
      <c r="H1744" s="29" t="s">
        <v>3114</v>
      </c>
      <c r="I1744" s="33" t="s">
        <v>8352</v>
      </c>
      <c r="J1744" s="47" t="s">
        <v>8353</v>
      </c>
      <c r="K1744" s="61" t="s">
        <v>4779</v>
      </c>
      <c r="L1744" s="12" t="str">
        <f t="shared" si="81"/>
        <v>2,2,2</v>
      </c>
    </row>
    <row r="1745" spans="2:12">
      <c r="B1745" s="17">
        <v>2044</v>
      </c>
      <c r="C1745" s="17">
        <v>2</v>
      </c>
      <c r="D1745" s="17">
        <f t="shared" si="83"/>
        <v>1</v>
      </c>
      <c r="E1745" s="17">
        <f t="shared" si="82"/>
        <v>1729</v>
      </c>
      <c r="F1745" s="17" t="s">
        <v>4813</v>
      </c>
      <c r="G1745" s="17">
        <f>MATCH(E1745,Arenas!$F$8:$F$15)</f>
        <v>6</v>
      </c>
      <c r="H1745" s="29" t="s">
        <v>3115</v>
      </c>
      <c r="I1745" s="33" t="s">
        <v>8354</v>
      </c>
      <c r="J1745" s="47" t="s">
        <v>8355</v>
      </c>
      <c r="K1745" s="61" t="s">
        <v>4779</v>
      </c>
      <c r="L1745" s="12" t="str">
        <f t="shared" si="81"/>
        <v>2,2,2</v>
      </c>
    </row>
    <row r="1746" spans="2:12">
      <c r="B1746" s="17">
        <v>2045</v>
      </c>
      <c r="C1746" s="17">
        <v>2</v>
      </c>
      <c r="D1746" s="17">
        <f t="shared" si="83"/>
        <v>0</v>
      </c>
      <c r="E1746" s="17">
        <f t="shared" si="82"/>
        <v>1729</v>
      </c>
      <c r="F1746" s="17" t="s">
        <v>4813</v>
      </c>
      <c r="G1746" s="17">
        <f>MATCH(E1746,Arenas!$F$8:$F$15)</f>
        <v>6</v>
      </c>
      <c r="H1746" s="29" t="s">
        <v>3116</v>
      </c>
      <c r="I1746" s="33" t="s">
        <v>8356</v>
      </c>
      <c r="J1746" s="47" t="s">
        <v>5323</v>
      </c>
      <c r="K1746" s="61" t="s">
        <v>4779</v>
      </c>
      <c r="L1746" s="12" t="str">
        <f t="shared" si="81"/>
        <v>2,2,2</v>
      </c>
    </row>
    <row r="1747" spans="2:12">
      <c r="B1747" s="17">
        <v>2046</v>
      </c>
      <c r="C1747" s="17">
        <v>2</v>
      </c>
      <c r="D1747" s="17">
        <f t="shared" si="83"/>
        <v>0</v>
      </c>
      <c r="E1747" s="17">
        <f t="shared" si="82"/>
        <v>1729</v>
      </c>
      <c r="F1747" s="17" t="s">
        <v>4813</v>
      </c>
      <c r="G1747" s="17">
        <f>MATCH(E1747,Arenas!$F$8:$F$15)</f>
        <v>6</v>
      </c>
      <c r="H1747" s="29" t="s">
        <v>3117</v>
      </c>
      <c r="I1747" s="33" t="s">
        <v>8357</v>
      </c>
      <c r="J1747" s="47" t="s">
        <v>5111</v>
      </c>
      <c r="K1747" s="61" t="s">
        <v>4779</v>
      </c>
      <c r="L1747" s="12" t="str">
        <f t="shared" si="81"/>
        <v>2,2,2</v>
      </c>
    </row>
    <row r="1748" spans="2:12">
      <c r="B1748" s="17">
        <v>2047</v>
      </c>
      <c r="C1748" s="17">
        <v>2</v>
      </c>
      <c r="D1748" s="17">
        <f t="shared" si="83"/>
        <v>1</v>
      </c>
      <c r="E1748" s="17">
        <f t="shared" si="82"/>
        <v>1730</v>
      </c>
      <c r="F1748" s="17" t="s">
        <v>4813</v>
      </c>
      <c r="G1748" s="17">
        <f>MATCH(E1748,Arenas!$F$8:$F$15)</f>
        <v>6</v>
      </c>
      <c r="H1748" s="29" t="s">
        <v>3118</v>
      </c>
      <c r="I1748" s="33" t="s">
        <v>8358</v>
      </c>
      <c r="J1748" s="47" t="s">
        <v>5308</v>
      </c>
      <c r="K1748" s="61" t="s">
        <v>4779</v>
      </c>
      <c r="L1748" s="12" t="str">
        <f t="shared" si="81"/>
        <v>2,2,2</v>
      </c>
    </row>
    <row r="1749" spans="2:12">
      <c r="B1749" s="17">
        <v>2048</v>
      </c>
      <c r="C1749" s="17">
        <v>2</v>
      </c>
      <c r="D1749" s="17">
        <f t="shared" si="83"/>
        <v>0</v>
      </c>
      <c r="E1749" s="17">
        <f t="shared" si="82"/>
        <v>1730</v>
      </c>
      <c r="F1749" s="17" t="s">
        <v>4813</v>
      </c>
      <c r="G1749" s="17">
        <f>MATCH(E1749,Arenas!$F$8:$F$15)</f>
        <v>6</v>
      </c>
      <c r="H1749" s="29" t="s">
        <v>3119</v>
      </c>
      <c r="I1749" s="33" t="s">
        <v>8359</v>
      </c>
      <c r="J1749" s="47" t="s">
        <v>5321</v>
      </c>
      <c r="K1749" s="61" t="s">
        <v>4779</v>
      </c>
      <c r="L1749" s="12" t="str">
        <f t="shared" si="81"/>
        <v>2,2,2</v>
      </c>
    </row>
    <row r="1750" spans="2:12">
      <c r="B1750" s="17">
        <v>2049</v>
      </c>
      <c r="C1750" s="17">
        <v>2</v>
      </c>
      <c r="D1750" s="17">
        <f t="shared" si="83"/>
        <v>0</v>
      </c>
      <c r="E1750" s="17">
        <f t="shared" si="82"/>
        <v>1730</v>
      </c>
      <c r="F1750" s="17" t="s">
        <v>4813</v>
      </c>
      <c r="G1750" s="17">
        <f>MATCH(E1750,Arenas!$F$8:$F$15)</f>
        <v>6</v>
      </c>
      <c r="H1750" s="29" t="s">
        <v>3120</v>
      </c>
      <c r="I1750" s="33" t="s">
        <v>8360</v>
      </c>
      <c r="J1750" s="47" t="s">
        <v>5704</v>
      </c>
      <c r="K1750" s="61" t="s">
        <v>4779</v>
      </c>
      <c r="L1750" s="12" t="str">
        <f t="shared" si="81"/>
        <v>2,2,2</v>
      </c>
    </row>
    <row r="1751" spans="2:12">
      <c r="B1751" s="17">
        <v>2050</v>
      </c>
      <c r="C1751" s="17">
        <v>2</v>
      </c>
      <c r="D1751" s="17">
        <f t="shared" si="83"/>
        <v>1</v>
      </c>
      <c r="E1751" s="17">
        <f t="shared" si="82"/>
        <v>1731</v>
      </c>
      <c r="F1751" s="17" t="s">
        <v>4813</v>
      </c>
      <c r="G1751" s="17">
        <f>MATCH(E1751,Arenas!$F$8:$F$15)</f>
        <v>6</v>
      </c>
      <c r="H1751" s="29" t="s">
        <v>3121</v>
      </c>
      <c r="I1751" s="33" t="s">
        <v>8361</v>
      </c>
      <c r="J1751" s="47" t="s">
        <v>5143</v>
      </c>
      <c r="K1751" s="61" t="s">
        <v>4779</v>
      </c>
      <c r="L1751" s="12" t="str">
        <f t="shared" si="81"/>
        <v>2,2,2</v>
      </c>
    </row>
    <row r="1752" spans="2:12">
      <c r="B1752" s="17">
        <v>2051</v>
      </c>
      <c r="C1752" s="17">
        <v>2</v>
      </c>
      <c r="D1752" s="17">
        <f t="shared" si="83"/>
        <v>0</v>
      </c>
      <c r="E1752" s="17">
        <f t="shared" si="82"/>
        <v>1731</v>
      </c>
      <c r="F1752" s="17" t="s">
        <v>4813</v>
      </c>
      <c r="G1752" s="17">
        <f>MATCH(E1752,Arenas!$F$8:$F$15)</f>
        <v>6</v>
      </c>
      <c r="H1752" s="29" t="s">
        <v>3122</v>
      </c>
      <c r="I1752" s="33" t="s">
        <v>8362</v>
      </c>
      <c r="J1752" s="47" t="s">
        <v>4997</v>
      </c>
      <c r="K1752" s="61" t="s">
        <v>4779</v>
      </c>
      <c r="L1752" s="12" t="str">
        <f t="shared" si="81"/>
        <v>2,2,2</v>
      </c>
    </row>
    <row r="1753" spans="2:12">
      <c r="B1753" s="17">
        <v>2052</v>
      </c>
      <c r="C1753" s="17">
        <v>2</v>
      </c>
      <c r="D1753" s="17">
        <f t="shared" si="83"/>
        <v>0</v>
      </c>
      <c r="E1753" s="17">
        <f t="shared" si="82"/>
        <v>1731</v>
      </c>
      <c r="F1753" s="17" t="s">
        <v>4813</v>
      </c>
      <c r="G1753" s="17">
        <f>MATCH(E1753,Arenas!$F$8:$F$15)</f>
        <v>6</v>
      </c>
      <c r="H1753" s="29" t="s">
        <v>3123</v>
      </c>
      <c r="I1753" s="33" t="s">
        <v>8363</v>
      </c>
      <c r="J1753" s="47" t="s">
        <v>5305</v>
      </c>
      <c r="K1753" s="61" t="s">
        <v>4779</v>
      </c>
      <c r="L1753" s="12" t="str">
        <f t="shared" si="81"/>
        <v>2,2,2</v>
      </c>
    </row>
    <row r="1754" spans="2:12">
      <c r="B1754" s="17">
        <v>2053</v>
      </c>
      <c r="C1754" s="17">
        <v>2</v>
      </c>
      <c r="D1754" s="17">
        <f t="shared" si="83"/>
        <v>1</v>
      </c>
      <c r="E1754" s="17">
        <f t="shared" si="82"/>
        <v>1732</v>
      </c>
      <c r="F1754" s="17" t="s">
        <v>4813</v>
      </c>
      <c r="G1754" s="17">
        <f>MATCH(E1754,Arenas!$F$8:$F$15)</f>
        <v>6</v>
      </c>
      <c r="H1754" s="29" t="s">
        <v>3124</v>
      </c>
      <c r="I1754" s="33" t="s">
        <v>8364</v>
      </c>
      <c r="J1754" s="47" t="s">
        <v>5263</v>
      </c>
      <c r="K1754" s="61" t="s">
        <v>4807</v>
      </c>
      <c r="L1754" s="12" t="str">
        <f t="shared" si="81"/>
        <v>2,2,2</v>
      </c>
    </row>
    <row r="1755" spans="2:12">
      <c r="B1755" s="17">
        <v>2054</v>
      </c>
      <c r="C1755" s="17">
        <v>2</v>
      </c>
      <c r="D1755" s="17">
        <f t="shared" si="83"/>
        <v>0</v>
      </c>
      <c r="E1755" s="17">
        <f t="shared" si="82"/>
        <v>1732</v>
      </c>
      <c r="F1755" s="17" t="s">
        <v>4813</v>
      </c>
      <c r="G1755" s="17">
        <f>MATCH(E1755,Arenas!$F$8:$F$15)</f>
        <v>6</v>
      </c>
      <c r="H1755" s="29" t="s">
        <v>3125</v>
      </c>
      <c r="I1755" s="33" t="s">
        <v>8365</v>
      </c>
      <c r="J1755" s="47" t="s">
        <v>5347</v>
      </c>
      <c r="K1755" s="61" t="s">
        <v>4779</v>
      </c>
      <c r="L1755" s="12" t="str">
        <f t="shared" si="81"/>
        <v>2,2,2</v>
      </c>
    </row>
    <row r="1756" spans="2:12">
      <c r="B1756" s="17">
        <v>2055</v>
      </c>
      <c r="C1756" s="17">
        <v>2</v>
      </c>
      <c r="D1756" s="17">
        <f t="shared" si="83"/>
        <v>0</v>
      </c>
      <c r="E1756" s="17">
        <f t="shared" si="82"/>
        <v>1732</v>
      </c>
      <c r="F1756" s="17" t="s">
        <v>4813</v>
      </c>
      <c r="G1756" s="17">
        <f>MATCH(E1756,Arenas!$F$8:$F$15)</f>
        <v>6</v>
      </c>
      <c r="H1756" s="29" t="s">
        <v>3126</v>
      </c>
      <c r="I1756" s="33" t="s">
        <v>8366</v>
      </c>
      <c r="J1756" s="47" t="s">
        <v>8367</v>
      </c>
      <c r="K1756" s="61" t="s">
        <v>4779</v>
      </c>
      <c r="L1756" s="12" t="str">
        <f t="shared" si="81"/>
        <v>2,2,2</v>
      </c>
    </row>
    <row r="1757" spans="2:12">
      <c r="B1757" s="17">
        <v>2056</v>
      </c>
      <c r="C1757" s="17">
        <v>2</v>
      </c>
      <c r="D1757" s="17">
        <f t="shared" si="83"/>
        <v>1</v>
      </c>
      <c r="E1757" s="17">
        <f t="shared" si="82"/>
        <v>1733</v>
      </c>
      <c r="F1757" s="17" t="s">
        <v>4813</v>
      </c>
      <c r="G1757" s="17">
        <f>MATCH(E1757,Arenas!$F$8:$F$15)</f>
        <v>6</v>
      </c>
      <c r="H1757" s="29" t="s">
        <v>3127</v>
      </c>
      <c r="I1757" s="33" t="s">
        <v>8368</v>
      </c>
      <c r="J1757" s="47" t="s">
        <v>8369</v>
      </c>
      <c r="K1757" s="61" t="s">
        <v>4779</v>
      </c>
      <c r="L1757" s="12" t="str">
        <f t="shared" si="81"/>
        <v>2,2,2</v>
      </c>
    </row>
    <row r="1758" spans="2:12">
      <c r="B1758" s="17">
        <v>2057</v>
      </c>
      <c r="C1758" s="17">
        <v>2</v>
      </c>
      <c r="D1758" s="17">
        <f t="shared" si="83"/>
        <v>0</v>
      </c>
      <c r="E1758" s="17">
        <f t="shared" si="82"/>
        <v>1733</v>
      </c>
      <c r="F1758" s="17" t="s">
        <v>4813</v>
      </c>
      <c r="G1758" s="17">
        <f>MATCH(E1758,Arenas!$F$8:$F$15)</f>
        <v>6</v>
      </c>
      <c r="H1758" s="29" t="s">
        <v>3128</v>
      </c>
      <c r="I1758" s="33" t="s">
        <v>8370</v>
      </c>
      <c r="J1758" s="47" t="s">
        <v>5624</v>
      </c>
      <c r="K1758" s="61" t="s">
        <v>4779</v>
      </c>
      <c r="L1758" s="12" t="str">
        <f t="shared" si="81"/>
        <v>2,2,2</v>
      </c>
    </row>
    <row r="1759" spans="2:12">
      <c r="B1759" s="17">
        <v>2058</v>
      </c>
      <c r="C1759" s="17">
        <v>2</v>
      </c>
      <c r="D1759" s="17">
        <f t="shared" si="83"/>
        <v>0</v>
      </c>
      <c r="E1759" s="17">
        <f t="shared" si="82"/>
        <v>1733</v>
      </c>
      <c r="F1759" s="17" t="s">
        <v>4813</v>
      </c>
      <c r="G1759" s="17">
        <f>MATCH(E1759,Arenas!$F$8:$F$15)</f>
        <v>6</v>
      </c>
      <c r="H1759" s="29" t="s">
        <v>3129</v>
      </c>
      <c r="I1759" s="33" t="s">
        <v>8371</v>
      </c>
      <c r="J1759" s="47" t="s">
        <v>5721</v>
      </c>
      <c r="K1759" s="61" t="s">
        <v>4779</v>
      </c>
      <c r="L1759" s="12" t="str">
        <f t="shared" si="81"/>
        <v>2,2,2</v>
      </c>
    </row>
    <row r="1760" spans="2:12">
      <c r="B1760" s="17">
        <v>2059</v>
      </c>
      <c r="C1760" s="17">
        <v>2</v>
      </c>
      <c r="D1760" s="17">
        <f t="shared" si="83"/>
        <v>1</v>
      </c>
      <c r="E1760" s="17">
        <f t="shared" si="82"/>
        <v>1734</v>
      </c>
      <c r="F1760" s="17" t="s">
        <v>4813</v>
      </c>
      <c r="G1760" s="17">
        <f>MATCH(E1760,Arenas!$F$8:$F$15)</f>
        <v>6</v>
      </c>
      <c r="H1760" s="29" t="s">
        <v>3130</v>
      </c>
      <c r="I1760" s="33" t="s">
        <v>8372</v>
      </c>
      <c r="J1760" s="47" t="s">
        <v>8373</v>
      </c>
      <c r="K1760" s="61" t="s">
        <v>4779</v>
      </c>
      <c r="L1760" s="12" t="str">
        <f t="shared" si="81"/>
        <v>2,2,2</v>
      </c>
    </row>
    <row r="1761" spans="2:12">
      <c r="B1761" s="17">
        <v>2060</v>
      </c>
      <c r="C1761" s="17">
        <v>2</v>
      </c>
      <c r="D1761" s="17">
        <f t="shared" si="83"/>
        <v>0</v>
      </c>
      <c r="E1761" s="17">
        <f t="shared" si="82"/>
        <v>1734</v>
      </c>
      <c r="F1761" s="17" t="s">
        <v>4813</v>
      </c>
      <c r="G1761" s="17">
        <f>MATCH(E1761,Arenas!$F$8:$F$15)</f>
        <v>6</v>
      </c>
      <c r="H1761" s="29" t="s">
        <v>3131</v>
      </c>
      <c r="I1761" s="33" t="s">
        <v>8374</v>
      </c>
      <c r="J1761" s="47" t="s">
        <v>5564</v>
      </c>
      <c r="K1761" s="61" t="s">
        <v>4779</v>
      </c>
      <c r="L1761" s="12" t="str">
        <f t="shared" si="81"/>
        <v>2,2,2</v>
      </c>
    </row>
    <row r="1762" spans="2:12">
      <c r="B1762" s="17">
        <v>2061</v>
      </c>
      <c r="C1762" s="17">
        <v>2</v>
      </c>
      <c r="D1762" s="17">
        <f t="shared" si="83"/>
        <v>0</v>
      </c>
      <c r="E1762" s="17">
        <f t="shared" si="82"/>
        <v>1734</v>
      </c>
      <c r="F1762" s="17" t="s">
        <v>4813</v>
      </c>
      <c r="G1762" s="17">
        <f>MATCH(E1762,Arenas!$F$8:$F$15)</f>
        <v>6</v>
      </c>
      <c r="H1762" s="29" t="s">
        <v>3132</v>
      </c>
      <c r="I1762" s="33" t="s">
        <v>8375</v>
      </c>
      <c r="J1762" s="47" t="s">
        <v>8376</v>
      </c>
      <c r="K1762" s="61" t="s">
        <v>4779</v>
      </c>
      <c r="L1762" s="12" t="str">
        <f t="shared" si="81"/>
        <v>2,2,2</v>
      </c>
    </row>
    <row r="1763" spans="2:12">
      <c r="B1763" s="17">
        <v>2062</v>
      </c>
      <c r="C1763" s="17">
        <v>2</v>
      </c>
      <c r="D1763" s="17">
        <f t="shared" si="83"/>
        <v>1</v>
      </c>
      <c r="E1763" s="17">
        <f t="shared" si="82"/>
        <v>1735</v>
      </c>
      <c r="F1763" s="17" t="s">
        <v>4813</v>
      </c>
      <c r="G1763" s="17">
        <f>MATCH(E1763,Arenas!$F$8:$F$15)</f>
        <v>6</v>
      </c>
      <c r="H1763" s="29" t="s">
        <v>3133</v>
      </c>
      <c r="I1763" s="33" t="s">
        <v>8377</v>
      </c>
      <c r="J1763" s="47" t="s">
        <v>8378</v>
      </c>
      <c r="K1763" s="61" t="s">
        <v>4779</v>
      </c>
      <c r="L1763" s="12" t="str">
        <f t="shared" si="81"/>
        <v>2,2,2</v>
      </c>
    </row>
    <row r="1764" spans="2:12">
      <c r="B1764" s="17">
        <v>2063</v>
      </c>
      <c r="C1764" s="17">
        <v>2</v>
      </c>
      <c r="D1764" s="17">
        <f t="shared" si="83"/>
        <v>0</v>
      </c>
      <c r="E1764" s="17">
        <f t="shared" si="82"/>
        <v>1735</v>
      </c>
      <c r="F1764" s="17" t="s">
        <v>4813</v>
      </c>
      <c r="G1764" s="17">
        <f>MATCH(E1764,Arenas!$F$8:$F$15)</f>
        <v>6</v>
      </c>
      <c r="H1764" s="29" t="s">
        <v>3134</v>
      </c>
      <c r="I1764" s="33" t="s">
        <v>8379</v>
      </c>
      <c r="J1764" s="47" t="s">
        <v>5796</v>
      </c>
      <c r="K1764" s="61" t="s">
        <v>4779</v>
      </c>
      <c r="L1764" s="12" t="str">
        <f t="shared" si="81"/>
        <v>2,2,2</v>
      </c>
    </row>
    <row r="1765" spans="2:12">
      <c r="B1765" s="17">
        <v>2064</v>
      </c>
      <c r="C1765" s="17">
        <v>2</v>
      </c>
      <c r="D1765" s="17">
        <f t="shared" si="83"/>
        <v>0</v>
      </c>
      <c r="E1765" s="17">
        <f t="shared" si="82"/>
        <v>1735</v>
      </c>
      <c r="F1765" s="17" t="s">
        <v>4813</v>
      </c>
      <c r="G1765" s="17">
        <f>MATCH(E1765,Arenas!$F$8:$F$15)</f>
        <v>6</v>
      </c>
      <c r="H1765" s="29" t="s">
        <v>3135</v>
      </c>
      <c r="I1765" s="33" t="s">
        <v>8380</v>
      </c>
      <c r="J1765" s="47" t="s">
        <v>5687</v>
      </c>
      <c r="K1765" s="61" t="s">
        <v>4779</v>
      </c>
      <c r="L1765" s="12" t="str">
        <f t="shared" si="81"/>
        <v>2,2,2</v>
      </c>
    </row>
    <row r="1766" spans="2:12">
      <c r="B1766" s="17">
        <v>2065</v>
      </c>
      <c r="C1766" s="17">
        <v>2</v>
      </c>
      <c r="D1766" s="17">
        <f t="shared" si="83"/>
        <v>1</v>
      </c>
      <c r="E1766" s="17">
        <f t="shared" si="82"/>
        <v>1736</v>
      </c>
      <c r="F1766" s="17" t="s">
        <v>4813</v>
      </c>
      <c r="G1766" s="17">
        <f>MATCH(E1766,Arenas!$F$8:$F$15)</f>
        <v>6</v>
      </c>
      <c r="H1766" s="29" t="s">
        <v>3136</v>
      </c>
      <c r="I1766" s="33" t="s">
        <v>8381</v>
      </c>
      <c r="J1766" s="47" t="s">
        <v>8382</v>
      </c>
      <c r="K1766" s="61" t="s">
        <v>4779</v>
      </c>
      <c r="L1766" s="12" t="str">
        <f t="shared" si="81"/>
        <v>2,2,2</v>
      </c>
    </row>
    <row r="1767" spans="2:12">
      <c r="B1767" s="17">
        <v>2066</v>
      </c>
      <c r="C1767" s="17">
        <v>2</v>
      </c>
      <c r="D1767" s="17">
        <f t="shared" si="83"/>
        <v>0</v>
      </c>
      <c r="E1767" s="17">
        <f t="shared" si="82"/>
        <v>1736</v>
      </c>
      <c r="F1767" s="17" t="s">
        <v>4813</v>
      </c>
      <c r="G1767" s="17">
        <f>MATCH(E1767,Arenas!$F$8:$F$15)</f>
        <v>6</v>
      </c>
      <c r="H1767" s="29" t="s">
        <v>3137</v>
      </c>
      <c r="I1767" s="33" t="s">
        <v>8383</v>
      </c>
      <c r="J1767" s="47" t="s">
        <v>5302</v>
      </c>
      <c r="K1767" s="61" t="s">
        <v>4779</v>
      </c>
      <c r="L1767" s="12" t="str">
        <f t="shared" si="81"/>
        <v>2,2,2</v>
      </c>
    </row>
    <row r="1768" spans="2:12">
      <c r="B1768" s="17">
        <v>2067</v>
      </c>
      <c r="C1768" s="17">
        <v>2</v>
      </c>
      <c r="D1768" s="17">
        <f t="shared" si="83"/>
        <v>0</v>
      </c>
      <c r="E1768" s="17">
        <f t="shared" si="82"/>
        <v>1736</v>
      </c>
      <c r="F1768" s="17" t="s">
        <v>4813</v>
      </c>
      <c r="G1768" s="17">
        <f>MATCH(E1768,Arenas!$F$8:$F$15)</f>
        <v>6</v>
      </c>
      <c r="H1768" s="29" t="s">
        <v>3138</v>
      </c>
      <c r="I1768" s="33" t="s">
        <v>8384</v>
      </c>
      <c r="J1768" s="47" t="s">
        <v>8385</v>
      </c>
      <c r="K1768" s="61" t="s">
        <v>4779</v>
      </c>
      <c r="L1768" s="12" t="str">
        <f t="shared" si="81"/>
        <v>2,2,2</v>
      </c>
    </row>
    <row r="1769" spans="2:12">
      <c r="B1769" s="17">
        <v>2068</v>
      </c>
      <c r="C1769" s="17">
        <v>2</v>
      </c>
      <c r="D1769" s="17">
        <f t="shared" si="83"/>
        <v>1</v>
      </c>
      <c r="E1769" s="17">
        <f t="shared" si="82"/>
        <v>1737</v>
      </c>
      <c r="F1769" s="17" t="s">
        <v>4813</v>
      </c>
      <c r="G1769" s="17">
        <f>MATCH(E1769,Arenas!$F$8:$F$15)</f>
        <v>6</v>
      </c>
      <c r="H1769" s="29" t="s">
        <v>3139</v>
      </c>
      <c r="I1769" s="33" t="s">
        <v>8386</v>
      </c>
      <c r="J1769" s="47" t="s">
        <v>5768</v>
      </c>
      <c r="K1769" s="61" t="s">
        <v>4779</v>
      </c>
      <c r="L1769" s="12" t="str">
        <f t="shared" si="81"/>
        <v>2,2,2</v>
      </c>
    </row>
    <row r="1770" spans="2:12">
      <c r="B1770" s="17">
        <v>2069</v>
      </c>
      <c r="C1770" s="17">
        <v>2</v>
      </c>
      <c r="D1770" s="17">
        <f t="shared" si="83"/>
        <v>0</v>
      </c>
      <c r="E1770" s="17">
        <f t="shared" si="82"/>
        <v>1737</v>
      </c>
      <c r="F1770" s="17" t="s">
        <v>4813</v>
      </c>
      <c r="G1770" s="17">
        <f>MATCH(E1770,Arenas!$F$8:$F$15)</f>
        <v>6</v>
      </c>
      <c r="H1770" s="29" t="s">
        <v>3140</v>
      </c>
      <c r="I1770" s="33" t="s">
        <v>8387</v>
      </c>
      <c r="J1770" s="47" t="s">
        <v>5454</v>
      </c>
      <c r="K1770" s="61" t="s">
        <v>4779</v>
      </c>
      <c r="L1770" s="12" t="str">
        <f t="shared" si="81"/>
        <v>2,2,2</v>
      </c>
    </row>
    <row r="1771" spans="2:12">
      <c r="B1771" s="17">
        <v>2070</v>
      </c>
      <c r="C1771" s="17">
        <v>2</v>
      </c>
      <c r="D1771" s="17">
        <f t="shared" si="83"/>
        <v>0</v>
      </c>
      <c r="E1771" s="17">
        <f t="shared" si="82"/>
        <v>1737</v>
      </c>
      <c r="F1771" s="17" t="s">
        <v>4813</v>
      </c>
      <c r="G1771" s="17">
        <f>MATCH(E1771,Arenas!$F$8:$F$15)</f>
        <v>6</v>
      </c>
      <c r="H1771" s="29" t="s">
        <v>3141</v>
      </c>
      <c r="I1771" s="33" t="s">
        <v>8388</v>
      </c>
      <c r="J1771" s="47" t="s">
        <v>5779</v>
      </c>
      <c r="K1771" s="61" t="s">
        <v>4806</v>
      </c>
      <c r="L1771" s="12" t="str">
        <f t="shared" si="81"/>
        <v>2,2,2</v>
      </c>
    </row>
    <row r="1772" spans="2:12">
      <c r="B1772" s="17">
        <v>2071</v>
      </c>
      <c r="C1772" s="17">
        <v>2</v>
      </c>
      <c r="D1772" s="17">
        <f t="shared" si="83"/>
        <v>1</v>
      </c>
      <c r="E1772" s="17">
        <f t="shared" si="82"/>
        <v>1738</v>
      </c>
      <c r="F1772" s="17" t="s">
        <v>4813</v>
      </c>
      <c r="G1772" s="17">
        <f>MATCH(E1772,Arenas!$F$8:$F$15)</f>
        <v>6</v>
      </c>
      <c r="H1772" s="29" t="s">
        <v>3142</v>
      </c>
      <c r="I1772" s="33" t="s">
        <v>8389</v>
      </c>
      <c r="J1772" s="47" t="s">
        <v>8390</v>
      </c>
      <c r="K1772" s="61" t="s">
        <v>4779</v>
      </c>
      <c r="L1772" s="12" t="str">
        <f t="shared" si="81"/>
        <v>2,2,2</v>
      </c>
    </row>
    <row r="1773" spans="2:12">
      <c r="B1773" s="17">
        <v>2072</v>
      </c>
      <c r="C1773" s="17">
        <v>2</v>
      </c>
      <c r="D1773" s="17">
        <f t="shared" si="83"/>
        <v>0</v>
      </c>
      <c r="E1773" s="17">
        <f t="shared" si="82"/>
        <v>1738</v>
      </c>
      <c r="F1773" s="17" t="s">
        <v>4813</v>
      </c>
      <c r="G1773" s="17">
        <f>MATCH(E1773,Arenas!$F$8:$F$15)</f>
        <v>6</v>
      </c>
      <c r="H1773" s="29" t="s">
        <v>3143</v>
      </c>
      <c r="I1773" s="33" t="s">
        <v>8391</v>
      </c>
      <c r="J1773" s="47" t="s">
        <v>5341</v>
      </c>
      <c r="K1773" s="61" t="s">
        <v>4779</v>
      </c>
      <c r="L1773" s="12" t="str">
        <f t="shared" si="81"/>
        <v>2,2,2</v>
      </c>
    </row>
    <row r="1774" spans="2:12">
      <c r="B1774" s="17">
        <v>2073</v>
      </c>
      <c r="C1774" s="17">
        <v>2</v>
      </c>
      <c r="D1774" s="17">
        <f t="shared" si="83"/>
        <v>0</v>
      </c>
      <c r="E1774" s="17">
        <f t="shared" si="82"/>
        <v>1738</v>
      </c>
      <c r="F1774" s="17" t="s">
        <v>4813</v>
      </c>
      <c r="G1774" s="17">
        <f>MATCH(E1774,Arenas!$F$8:$F$15)</f>
        <v>6</v>
      </c>
      <c r="H1774" s="29" t="s">
        <v>3144</v>
      </c>
      <c r="I1774" s="33" t="s">
        <v>8392</v>
      </c>
      <c r="J1774" s="47" t="s">
        <v>5118</v>
      </c>
      <c r="K1774" s="61" t="s">
        <v>4779</v>
      </c>
      <c r="L1774" s="12" t="str">
        <f t="shared" si="81"/>
        <v>2,2,2</v>
      </c>
    </row>
    <row r="1775" spans="2:12">
      <c r="B1775" s="17">
        <v>2074</v>
      </c>
      <c r="C1775" s="17">
        <v>2</v>
      </c>
      <c r="D1775" s="17">
        <f t="shared" si="83"/>
        <v>1</v>
      </c>
      <c r="E1775" s="17">
        <f t="shared" si="82"/>
        <v>1739</v>
      </c>
      <c r="F1775" s="17" t="s">
        <v>4813</v>
      </c>
      <c r="G1775" s="17">
        <f>MATCH(E1775,Arenas!$F$8:$F$15)</f>
        <v>6</v>
      </c>
      <c r="H1775" s="29" t="s">
        <v>3145</v>
      </c>
      <c r="I1775" s="33" t="s">
        <v>8393</v>
      </c>
      <c r="J1775" s="47" t="s">
        <v>4991</v>
      </c>
      <c r="K1775" s="61" t="s">
        <v>4779</v>
      </c>
      <c r="L1775" s="12" t="str">
        <f t="shared" si="81"/>
        <v>2,2,2</v>
      </c>
    </row>
    <row r="1776" spans="2:12">
      <c r="B1776" s="17">
        <v>2075</v>
      </c>
      <c r="C1776" s="17">
        <v>2</v>
      </c>
      <c r="D1776" s="17">
        <f t="shared" si="83"/>
        <v>0</v>
      </c>
      <c r="E1776" s="17">
        <f t="shared" si="82"/>
        <v>1739</v>
      </c>
      <c r="F1776" s="17" t="s">
        <v>4813</v>
      </c>
      <c r="G1776" s="17">
        <f>MATCH(E1776,Arenas!$F$8:$F$15)</f>
        <v>6</v>
      </c>
      <c r="H1776" s="29" t="s">
        <v>3146</v>
      </c>
      <c r="I1776" s="33" t="s">
        <v>8394</v>
      </c>
      <c r="J1776" s="47" t="s">
        <v>8395</v>
      </c>
      <c r="K1776" s="61" t="s">
        <v>4779</v>
      </c>
      <c r="L1776" s="12" t="str">
        <f t="shared" si="81"/>
        <v>2,2,2</v>
      </c>
    </row>
    <row r="1777" spans="2:12">
      <c r="B1777" s="17">
        <v>2076</v>
      </c>
      <c r="C1777" s="17">
        <v>2</v>
      </c>
      <c r="D1777" s="17">
        <f t="shared" si="83"/>
        <v>0</v>
      </c>
      <c r="E1777" s="17">
        <f t="shared" si="82"/>
        <v>1739</v>
      </c>
      <c r="F1777" s="17" t="s">
        <v>4813</v>
      </c>
      <c r="G1777" s="17">
        <f>MATCH(E1777,Arenas!$F$8:$F$15)</f>
        <v>6</v>
      </c>
      <c r="H1777" s="29" t="s">
        <v>3147</v>
      </c>
      <c r="I1777" s="33" t="s">
        <v>8396</v>
      </c>
      <c r="J1777" s="47" t="s">
        <v>5254</v>
      </c>
      <c r="K1777" s="61" t="s">
        <v>4779</v>
      </c>
      <c r="L1777" s="12" t="str">
        <f t="shared" si="81"/>
        <v>2,2,2</v>
      </c>
    </row>
    <row r="1778" spans="2:12">
      <c r="B1778" s="17">
        <v>2077</v>
      </c>
      <c r="C1778" s="17">
        <v>2</v>
      </c>
      <c r="D1778" s="17">
        <f t="shared" si="83"/>
        <v>1</v>
      </c>
      <c r="E1778" s="17">
        <f t="shared" si="82"/>
        <v>1740</v>
      </c>
      <c r="F1778" s="17" t="s">
        <v>4813</v>
      </c>
      <c r="G1778" s="17">
        <f>MATCH(E1778,Arenas!$F$8:$F$15)</f>
        <v>6</v>
      </c>
      <c r="H1778" s="29" t="s">
        <v>3148</v>
      </c>
      <c r="I1778" s="33" t="s">
        <v>8397</v>
      </c>
      <c r="J1778" s="47" t="s">
        <v>5043</v>
      </c>
      <c r="K1778" s="61" t="s">
        <v>4779</v>
      </c>
      <c r="L1778" s="12" t="str">
        <f t="shared" si="81"/>
        <v>2,2,2</v>
      </c>
    </row>
    <row r="1779" spans="2:12">
      <c r="B1779" s="17">
        <v>2078</v>
      </c>
      <c r="C1779" s="17">
        <v>2</v>
      </c>
      <c r="D1779" s="17">
        <f t="shared" si="83"/>
        <v>0</v>
      </c>
      <c r="E1779" s="17">
        <f t="shared" si="82"/>
        <v>1740</v>
      </c>
      <c r="F1779" s="17" t="s">
        <v>4813</v>
      </c>
      <c r="G1779" s="17">
        <f>MATCH(E1779,Arenas!$F$8:$F$15)</f>
        <v>6</v>
      </c>
      <c r="H1779" s="29" t="s">
        <v>3149</v>
      </c>
      <c r="I1779" s="33" t="s">
        <v>8398</v>
      </c>
      <c r="J1779" s="47" t="s">
        <v>8399</v>
      </c>
      <c r="K1779" s="61" t="s">
        <v>4779</v>
      </c>
      <c r="L1779" s="12" t="str">
        <f t="shared" si="81"/>
        <v>2,2,2</v>
      </c>
    </row>
    <row r="1780" spans="2:12">
      <c r="B1780" s="17">
        <v>2079</v>
      </c>
      <c r="C1780" s="17">
        <v>2</v>
      </c>
      <c r="D1780" s="17">
        <f t="shared" si="83"/>
        <v>0</v>
      </c>
      <c r="E1780" s="17">
        <f t="shared" si="82"/>
        <v>1740</v>
      </c>
      <c r="F1780" s="17" t="s">
        <v>4813</v>
      </c>
      <c r="G1780" s="17">
        <f>MATCH(E1780,Arenas!$F$8:$F$15)</f>
        <v>6</v>
      </c>
      <c r="H1780" s="29" t="s">
        <v>3150</v>
      </c>
      <c r="I1780" s="33" t="s">
        <v>8400</v>
      </c>
      <c r="J1780" s="47" t="s">
        <v>8401</v>
      </c>
      <c r="K1780" s="61" t="s">
        <v>4779</v>
      </c>
      <c r="L1780" s="12" t="str">
        <f t="shared" si="81"/>
        <v>2,2,2</v>
      </c>
    </row>
    <row r="1781" spans="2:12">
      <c r="B1781" s="17">
        <v>2080</v>
      </c>
      <c r="C1781" s="17">
        <v>2</v>
      </c>
      <c r="D1781" s="17">
        <f t="shared" si="83"/>
        <v>1</v>
      </c>
      <c r="E1781" s="17">
        <f t="shared" si="82"/>
        <v>1741</v>
      </c>
      <c r="F1781" s="17" t="s">
        <v>4813</v>
      </c>
      <c r="G1781" s="17">
        <f>MATCH(E1781,Arenas!$F$8:$F$15)</f>
        <v>6</v>
      </c>
      <c r="H1781" s="29" t="s">
        <v>3151</v>
      </c>
      <c r="I1781" s="33" t="s">
        <v>8402</v>
      </c>
      <c r="J1781" s="47" t="s">
        <v>5274</v>
      </c>
      <c r="K1781" s="61" t="s">
        <v>4779</v>
      </c>
      <c r="L1781" s="12" t="str">
        <f t="shared" si="81"/>
        <v>2,2,2</v>
      </c>
    </row>
    <row r="1782" spans="2:12">
      <c r="B1782" s="17">
        <v>2081</v>
      </c>
      <c r="C1782" s="17">
        <v>2</v>
      </c>
      <c r="D1782" s="17">
        <f t="shared" si="83"/>
        <v>0</v>
      </c>
      <c r="E1782" s="17">
        <f t="shared" si="82"/>
        <v>1741</v>
      </c>
      <c r="F1782" s="17" t="s">
        <v>4813</v>
      </c>
      <c r="G1782" s="17">
        <f>MATCH(E1782,Arenas!$F$8:$F$15)</f>
        <v>6</v>
      </c>
      <c r="H1782" s="29" t="s">
        <v>3152</v>
      </c>
      <c r="I1782" s="33" t="s">
        <v>8403</v>
      </c>
      <c r="J1782" s="47" t="s">
        <v>8404</v>
      </c>
      <c r="K1782" s="61" t="s">
        <v>4779</v>
      </c>
      <c r="L1782" s="12" t="str">
        <f t="shared" si="81"/>
        <v>2,2,2</v>
      </c>
    </row>
    <row r="1783" spans="2:12">
      <c r="B1783" s="17">
        <v>2082</v>
      </c>
      <c r="C1783" s="17">
        <v>2</v>
      </c>
      <c r="D1783" s="17">
        <f t="shared" si="83"/>
        <v>0</v>
      </c>
      <c r="E1783" s="17">
        <f t="shared" si="82"/>
        <v>1741</v>
      </c>
      <c r="F1783" s="17" t="s">
        <v>4813</v>
      </c>
      <c r="G1783" s="17">
        <f>MATCH(E1783,Arenas!$F$8:$F$15)</f>
        <v>6</v>
      </c>
      <c r="H1783" s="29" t="s">
        <v>3153</v>
      </c>
      <c r="I1783" s="33" t="s">
        <v>8405</v>
      </c>
      <c r="J1783" s="47" t="s">
        <v>5482</v>
      </c>
      <c r="K1783" s="61" t="s">
        <v>4779</v>
      </c>
      <c r="L1783" s="12" t="str">
        <f t="shared" si="81"/>
        <v>2,2,2</v>
      </c>
    </row>
    <row r="1784" spans="2:12">
      <c r="B1784" s="17">
        <v>2083</v>
      </c>
      <c r="C1784" s="17">
        <v>2</v>
      </c>
      <c r="D1784" s="17">
        <f t="shared" si="83"/>
        <v>1</v>
      </c>
      <c r="E1784" s="17">
        <f t="shared" si="82"/>
        <v>1742</v>
      </c>
      <c r="F1784" s="17" t="s">
        <v>4813</v>
      </c>
      <c r="G1784" s="17">
        <f>MATCH(E1784,Arenas!$F$8:$F$15)</f>
        <v>6</v>
      </c>
      <c r="H1784" s="29" t="s">
        <v>3154</v>
      </c>
      <c r="I1784" s="33" t="s">
        <v>8406</v>
      </c>
      <c r="J1784" s="47" t="s">
        <v>8407</v>
      </c>
      <c r="K1784" s="61" t="s">
        <v>4779</v>
      </c>
      <c r="L1784" s="12" t="str">
        <f t="shared" si="81"/>
        <v>2,2,2</v>
      </c>
    </row>
    <row r="1785" spans="2:12">
      <c r="B1785" s="17">
        <v>2084</v>
      </c>
      <c r="C1785" s="17">
        <v>2</v>
      </c>
      <c r="D1785" s="17">
        <f t="shared" si="83"/>
        <v>0</v>
      </c>
      <c r="E1785" s="17">
        <f t="shared" si="82"/>
        <v>1742</v>
      </c>
      <c r="F1785" s="17" t="s">
        <v>4813</v>
      </c>
      <c r="G1785" s="17">
        <f>MATCH(E1785,Arenas!$F$8:$F$15)</f>
        <v>6</v>
      </c>
      <c r="H1785" s="29" t="s">
        <v>3155</v>
      </c>
      <c r="I1785" s="33" t="s">
        <v>8408</v>
      </c>
      <c r="J1785" s="47" t="s">
        <v>8409</v>
      </c>
      <c r="K1785" s="61" t="s">
        <v>4808</v>
      </c>
      <c r="L1785" s="12" t="str">
        <f t="shared" si="81"/>
        <v>2,2,2</v>
      </c>
    </row>
    <row r="1786" spans="2:12">
      <c r="B1786" s="17">
        <v>2085</v>
      </c>
      <c r="C1786" s="17">
        <v>2</v>
      </c>
      <c r="D1786" s="17">
        <f t="shared" si="83"/>
        <v>0</v>
      </c>
      <c r="E1786" s="17">
        <f t="shared" si="82"/>
        <v>1742</v>
      </c>
      <c r="F1786" s="17" t="s">
        <v>4813</v>
      </c>
      <c r="G1786" s="17">
        <f>MATCH(E1786,Arenas!$F$8:$F$15)</f>
        <v>6</v>
      </c>
      <c r="H1786" s="29" t="s">
        <v>3156</v>
      </c>
      <c r="I1786" s="33" t="s">
        <v>8410</v>
      </c>
      <c r="J1786" s="47" t="s">
        <v>8411</v>
      </c>
      <c r="K1786" s="61" t="s">
        <v>4779</v>
      </c>
      <c r="L1786" s="12" t="str">
        <f t="shared" si="81"/>
        <v>2,2,2</v>
      </c>
    </row>
    <row r="1787" spans="2:12">
      <c r="B1787" s="17">
        <v>2086</v>
      </c>
      <c r="C1787" s="17">
        <v>2</v>
      </c>
      <c r="D1787" s="17">
        <f t="shared" si="83"/>
        <v>1</v>
      </c>
      <c r="E1787" s="17">
        <f t="shared" si="82"/>
        <v>1743</v>
      </c>
      <c r="F1787" s="17" t="s">
        <v>4813</v>
      </c>
      <c r="G1787" s="17">
        <f>MATCH(E1787,Arenas!$F$8:$F$15)</f>
        <v>6</v>
      </c>
      <c r="H1787" s="29" t="s">
        <v>3157</v>
      </c>
      <c r="I1787" s="33" t="s">
        <v>8412</v>
      </c>
      <c r="J1787" s="47" t="s">
        <v>8413</v>
      </c>
      <c r="K1787" s="61" t="s">
        <v>4779</v>
      </c>
      <c r="L1787" s="12" t="str">
        <f t="shared" si="81"/>
        <v>2,2,2</v>
      </c>
    </row>
    <row r="1788" spans="2:12">
      <c r="B1788" s="17">
        <v>2087</v>
      </c>
      <c r="C1788" s="17">
        <v>2</v>
      </c>
      <c r="D1788" s="17">
        <f t="shared" si="83"/>
        <v>0</v>
      </c>
      <c r="E1788" s="17">
        <f t="shared" si="82"/>
        <v>1743</v>
      </c>
      <c r="F1788" s="17" t="s">
        <v>4813</v>
      </c>
      <c r="G1788" s="17">
        <f>MATCH(E1788,Arenas!$F$8:$F$15)</f>
        <v>6</v>
      </c>
      <c r="H1788" s="29" t="s">
        <v>3158</v>
      </c>
      <c r="I1788" s="33" t="s">
        <v>8414</v>
      </c>
      <c r="J1788" s="47" t="s">
        <v>5549</v>
      </c>
      <c r="K1788" s="61" t="s">
        <v>4779</v>
      </c>
      <c r="L1788" s="12" t="str">
        <f t="shared" si="81"/>
        <v>2,2,2</v>
      </c>
    </row>
    <row r="1789" spans="2:12">
      <c r="B1789" s="17">
        <v>2088</v>
      </c>
      <c r="C1789" s="17">
        <v>2</v>
      </c>
      <c r="D1789" s="17">
        <f t="shared" si="83"/>
        <v>0</v>
      </c>
      <c r="E1789" s="17">
        <f t="shared" si="82"/>
        <v>1743</v>
      </c>
      <c r="F1789" s="17" t="s">
        <v>4813</v>
      </c>
      <c r="G1789" s="17">
        <f>MATCH(E1789,Arenas!$F$8:$F$15)</f>
        <v>6</v>
      </c>
      <c r="H1789" s="29" t="s">
        <v>3159</v>
      </c>
      <c r="I1789" s="33" t="s">
        <v>8415</v>
      </c>
      <c r="J1789" s="47" t="s">
        <v>4613</v>
      </c>
      <c r="K1789" s="61" t="s">
        <v>4779</v>
      </c>
      <c r="L1789" s="12" t="str">
        <f t="shared" si="81"/>
        <v>2,2,2</v>
      </c>
    </row>
    <row r="1790" spans="2:12">
      <c r="B1790" s="17">
        <v>2089</v>
      </c>
      <c r="C1790" s="17">
        <v>2</v>
      </c>
      <c r="D1790" s="17">
        <f t="shared" si="83"/>
        <v>1</v>
      </c>
      <c r="E1790" s="17">
        <f t="shared" si="82"/>
        <v>1744</v>
      </c>
      <c r="F1790" s="17" t="s">
        <v>4813</v>
      </c>
      <c r="G1790" s="17">
        <f>MATCH(E1790,Arenas!$F$8:$F$15)</f>
        <v>6</v>
      </c>
      <c r="H1790" s="29" t="s">
        <v>3160</v>
      </c>
      <c r="I1790" s="33" t="s">
        <v>8416</v>
      </c>
      <c r="J1790" s="47" t="s">
        <v>8417</v>
      </c>
      <c r="K1790" s="61" t="s">
        <v>4779</v>
      </c>
      <c r="L1790" s="12" t="str">
        <f t="shared" si="81"/>
        <v>2,2,2</v>
      </c>
    </row>
    <row r="1791" spans="2:12">
      <c r="B1791" s="17">
        <v>2090</v>
      </c>
      <c r="C1791" s="17">
        <v>2</v>
      </c>
      <c r="D1791" s="17">
        <f t="shared" si="83"/>
        <v>0</v>
      </c>
      <c r="E1791" s="17">
        <f t="shared" si="82"/>
        <v>1744</v>
      </c>
      <c r="F1791" s="17" t="s">
        <v>4813</v>
      </c>
      <c r="G1791" s="17">
        <f>MATCH(E1791,Arenas!$F$8:$F$15)</f>
        <v>6</v>
      </c>
      <c r="H1791" s="29" t="s">
        <v>3161</v>
      </c>
      <c r="I1791" s="33" t="s">
        <v>8418</v>
      </c>
      <c r="J1791" s="47" t="s">
        <v>4907</v>
      </c>
      <c r="K1791" s="61" t="s">
        <v>4779</v>
      </c>
      <c r="L1791" s="12" t="str">
        <f t="shared" si="81"/>
        <v>2,2,2</v>
      </c>
    </row>
    <row r="1792" spans="2:12">
      <c r="B1792" s="17">
        <v>2091</v>
      </c>
      <c r="C1792" s="17">
        <v>2</v>
      </c>
      <c r="D1792" s="17">
        <f t="shared" si="83"/>
        <v>0</v>
      </c>
      <c r="E1792" s="17">
        <f t="shared" si="82"/>
        <v>1744</v>
      </c>
      <c r="F1792" s="17" t="s">
        <v>4813</v>
      </c>
      <c r="G1792" s="17">
        <f>MATCH(E1792,Arenas!$F$8:$F$15)</f>
        <v>6</v>
      </c>
      <c r="H1792" s="29" t="s">
        <v>3162</v>
      </c>
      <c r="I1792" s="33" t="s">
        <v>8419</v>
      </c>
      <c r="J1792" s="47" t="s">
        <v>5755</v>
      </c>
      <c r="K1792" s="61" t="s">
        <v>4779</v>
      </c>
      <c r="L1792" s="12" t="str">
        <f t="shared" si="81"/>
        <v>2,2,2</v>
      </c>
    </row>
    <row r="1793" spans="2:12">
      <c r="B1793" s="17">
        <v>2092</v>
      </c>
      <c r="C1793" s="17">
        <v>2</v>
      </c>
      <c r="D1793" s="17">
        <f t="shared" si="83"/>
        <v>1</v>
      </c>
      <c r="E1793" s="17">
        <f t="shared" si="82"/>
        <v>1745</v>
      </c>
      <c r="F1793" s="17" t="s">
        <v>4813</v>
      </c>
      <c r="G1793" s="17">
        <f>MATCH(E1793,Arenas!$F$8:$F$15)</f>
        <v>6</v>
      </c>
      <c r="H1793" s="29" t="s">
        <v>3163</v>
      </c>
      <c r="I1793" s="33" t="s">
        <v>8420</v>
      </c>
      <c r="J1793" s="47" t="s">
        <v>5334</v>
      </c>
      <c r="K1793" s="61" t="s">
        <v>4779</v>
      </c>
      <c r="L1793" s="12" t="str">
        <f t="shared" si="81"/>
        <v>2,2,2</v>
      </c>
    </row>
    <row r="1794" spans="2:12">
      <c r="B1794" s="17">
        <v>2093</v>
      </c>
      <c r="C1794" s="17">
        <v>2</v>
      </c>
      <c r="D1794" s="17">
        <f t="shared" si="83"/>
        <v>0</v>
      </c>
      <c r="E1794" s="17">
        <f t="shared" si="82"/>
        <v>1745</v>
      </c>
      <c r="F1794" s="17" t="s">
        <v>4813</v>
      </c>
      <c r="G1794" s="17">
        <f>MATCH(E1794,Arenas!$F$8:$F$15)</f>
        <v>6</v>
      </c>
      <c r="H1794" s="29" t="s">
        <v>3164</v>
      </c>
      <c r="I1794" s="33" t="s">
        <v>8421</v>
      </c>
      <c r="J1794" s="47" t="s">
        <v>5794</v>
      </c>
      <c r="K1794" s="61" t="s">
        <v>4779</v>
      </c>
      <c r="L1794" s="12" t="str">
        <f t="shared" ref="L1794:L1857" si="84">C1794&amp;","&amp;C1794&amp;","&amp;C1794</f>
        <v>2,2,2</v>
      </c>
    </row>
    <row r="1795" spans="2:12">
      <c r="B1795" s="17">
        <v>2094</v>
      </c>
      <c r="C1795" s="17">
        <v>2</v>
      </c>
      <c r="D1795" s="17">
        <f t="shared" si="83"/>
        <v>0</v>
      </c>
      <c r="E1795" s="17">
        <f t="shared" ref="E1795:E1858" si="85">D1795+E1794</f>
        <v>1745</v>
      </c>
      <c r="F1795" s="17" t="s">
        <v>4813</v>
      </c>
      <c r="G1795" s="17">
        <f>MATCH(E1795,Arenas!$F$8:$F$15)</f>
        <v>6</v>
      </c>
      <c r="H1795" s="29" t="s">
        <v>3165</v>
      </c>
      <c r="I1795" s="33" t="s">
        <v>8422</v>
      </c>
      <c r="J1795" s="47" t="s">
        <v>8423</v>
      </c>
      <c r="K1795" s="61" t="s">
        <v>4779</v>
      </c>
      <c r="L1795" s="12" t="str">
        <f t="shared" si="84"/>
        <v>2,2,2</v>
      </c>
    </row>
    <row r="1796" spans="2:12">
      <c r="B1796" s="17">
        <v>2095</v>
      </c>
      <c r="C1796" s="17">
        <v>2</v>
      </c>
      <c r="D1796" s="17">
        <f t="shared" si="83"/>
        <v>1</v>
      </c>
      <c r="E1796" s="17">
        <f t="shared" si="85"/>
        <v>1746</v>
      </c>
      <c r="F1796" s="17" t="s">
        <v>4813</v>
      </c>
      <c r="G1796" s="17">
        <f>MATCH(E1796,Arenas!$F$8:$F$15)</f>
        <v>6</v>
      </c>
      <c r="H1796" s="29" t="s">
        <v>3166</v>
      </c>
      <c r="I1796" s="33" t="s">
        <v>8424</v>
      </c>
      <c r="J1796" s="47" t="s">
        <v>8425</v>
      </c>
      <c r="K1796" s="61" t="s">
        <v>4779</v>
      </c>
      <c r="L1796" s="12" t="str">
        <f t="shared" si="84"/>
        <v>2,2,2</v>
      </c>
    </row>
    <row r="1797" spans="2:12">
      <c r="B1797" s="17">
        <v>2096</v>
      </c>
      <c r="C1797" s="17">
        <v>2</v>
      </c>
      <c r="D1797" s="17">
        <f t="shared" ref="D1797:D1860" si="86">D1794</f>
        <v>0</v>
      </c>
      <c r="E1797" s="17">
        <f t="shared" si="85"/>
        <v>1746</v>
      </c>
      <c r="F1797" s="17" t="s">
        <v>4813</v>
      </c>
      <c r="G1797" s="17">
        <f>MATCH(E1797,Arenas!$F$8:$F$15)</f>
        <v>6</v>
      </c>
      <c r="H1797" s="29" t="s">
        <v>3167</v>
      </c>
      <c r="I1797" s="33" t="s">
        <v>8426</v>
      </c>
      <c r="J1797" s="47" t="s">
        <v>8427</v>
      </c>
      <c r="K1797" s="61" t="s">
        <v>4779</v>
      </c>
      <c r="L1797" s="12" t="str">
        <f t="shared" si="84"/>
        <v>2,2,2</v>
      </c>
    </row>
    <row r="1798" spans="2:12">
      <c r="B1798" s="17">
        <v>2097</v>
      </c>
      <c r="C1798" s="17">
        <v>2</v>
      </c>
      <c r="D1798" s="17">
        <f t="shared" si="86"/>
        <v>0</v>
      </c>
      <c r="E1798" s="17">
        <f t="shared" si="85"/>
        <v>1746</v>
      </c>
      <c r="F1798" s="17" t="s">
        <v>4813</v>
      </c>
      <c r="G1798" s="17">
        <f>MATCH(E1798,Arenas!$F$8:$F$15)</f>
        <v>6</v>
      </c>
      <c r="H1798" s="29" t="s">
        <v>3168</v>
      </c>
      <c r="I1798" s="33" t="s">
        <v>8428</v>
      </c>
      <c r="J1798" s="47" t="s">
        <v>8429</v>
      </c>
      <c r="K1798" s="61" t="s">
        <v>4809</v>
      </c>
      <c r="L1798" s="12" t="str">
        <f t="shared" si="84"/>
        <v>2,2,2</v>
      </c>
    </row>
    <row r="1799" spans="2:12">
      <c r="B1799" s="17">
        <v>2098</v>
      </c>
      <c r="C1799" s="17">
        <v>2</v>
      </c>
      <c r="D1799" s="17">
        <f t="shared" si="86"/>
        <v>1</v>
      </c>
      <c r="E1799" s="17">
        <f t="shared" si="85"/>
        <v>1747</v>
      </c>
      <c r="F1799" s="17" t="s">
        <v>4813</v>
      </c>
      <c r="G1799" s="17">
        <f>MATCH(E1799,Arenas!$F$8:$F$15)</f>
        <v>6</v>
      </c>
      <c r="H1799" s="29" t="s">
        <v>3169</v>
      </c>
      <c r="I1799" s="33" t="s">
        <v>8430</v>
      </c>
      <c r="J1799" s="47" t="s">
        <v>7811</v>
      </c>
      <c r="K1799" s="61" t="s">
        <v>4779</v>
      </c>
      <c r="L1799" s="12" t="str">
        <f t="shared" si="84"/>
        <v>2,2,2</v>
      </c>
    </row>
    <row r="1800" spans="2:12">
      <c r="B1800" s="17">
        <v>2099</v>
      </c>
      <c r="C1800" s="17">
        <v>2</v>
      </c>
      <c r="D1800" s="17">
        <f t="shared" si="86"/>
        <v>0</v>
      </c>
      <c r="E1800" s="17">
        <f t="shared" si="85"/>
        <v>1747</v>
      </c>
      <c r="F1800" s="17" t="s">
        <v>4813</v>
      </c>
      <c r="G1800" s="17">
        <f>MATCH(E1800,Arenas!$F$8:$F$15)</f>
        <v>6</v>
      </c>
      <c r="H1800" s="29" t="s">
        <v>3170</v>
      </c>
      <c r="I1800" s="33" t="s">
        <v>8431</v>
      </c>
      <c r="J1800" s="47" t="s">
        <v>5741</v>
      </c>
      <c r="K1800" s="61" t="s">
        <v>4808</v>
      </c>
      <c r="L1800" s="12" t="str">
        <f t="shared" si="84"/>
        <v>2,2,2</v>
      </c>
    </row>
    <row r="1801" spans="2:12">
      <c r="B1801" s="17">
        <v>2100</v>
      </c>
      <c r="C1801" s="17">
        <v>2</v>
      </c>
      <c r="D1801" s="17">
        <f t="shared" si="86"/>
        <v>0</v>
      </c>
      <c r="E1801" s="17">
        <f t="shared" si="85"/>
        <v>1747</v>
      </c>
      <c r="F1801" s="17" t="s">
        <v>4813</v>
      </c>
      <c r="G1801" s="17">
        <f>MATCH(E1801,Arenas!$F$8:$F$15)</f>
        <v>6</v>
      </c>
      <c r="H1801" s="29" t="s">
        <v>3171</v>
      </c>
      <c r="I1801" s="33" t="s">
        <v>8432</v>
      </c>
      <c r="J1801" s="47" t="s">
        <v>7701</v>
      </c>
      <c r="K1801" s="61" t="s">
        <v>4779</v>
      </c>
      <c r="L1801" s="12" t="str">
        <f t="shared" si="84"/>
        <v>2,2,2</v>
      </c>
    </row>
    <row r="1802" spans="2:12">
      <c r="B1802" s="17">
        <v>2101</v>
      </c>
      <c r="C1802" s="17">
        <v>2</v>
      </c>
      <c r="D1802" s="17">
        <f t="shared" si="86"/>
        <v>1</v>
      </c>
      <c r="E1802" s="17">
        <f t="shared" si="85"/>
        <v>1748</v>
      </c>
      <c r="F1802" s="17" t="s">
        <v>4813</v>
      </c>
      <c r="G1802" s="17">
        <f>MATCH(E1802,Arenas!$F$8:$F$15)</f>
        <v>6</v>
      </c>
      <c r="H1802" s="29" t="s">
        <v>3172</v>
      </c>
      <c r="I1802" s="33" t="s">
        <v>8433</v>
      </c>
      <c r="J1802" s="47" t="s">
        <v>5156</v>
      </c>
      <c r="K1802" s="61" t="s">
        <v>4779</v>
      </c>
      <c r="L1802" s="12" t="str">
        <f t="shared" si="84"/>
        <v>2,2,2</v>
      </c>
    </row>
    <row r="1803" spans="2:12">
      <c r="B1803" s="17">
        <v>2102</v>
      </c>
      <c r="C1803" s="17">
        <v>2</v>
      </c>
      <c r="D1803" s="17">
        <f t="shared" si="86"/>
        <v>0</v>
      </c>
      <c r="E1803" s="17">
        <f t="shared" si="85"/>
        <v>1748</v>
      </c>
      <c r="F1803" s="17" t="s">
        <v>4813</v>
      </c>
      <c r="G1803" s="17">
        <f>MATCH(E1803,Arenas!$F$8:$F$15)</f>
        <v>6</v>
      </c>
      <c r="H1803" s="29" t="s">
        <v>3173</v>
      </c>
      <c r="I1803" s="33" t="s">
        <v>8434</v>
      </c>
      <c r="J1803" s="47" t="s">
        <v>5675</v>
      </c>
      <c r="K1803" s="61" t="s">
        <v>4779</v>
      </c>
      <c r="L1803" s="12" t="str">
        <f t="shared" si="84"/>
        <v>2,2,2</v>
      </c>
    </row>
    <row r="1804" spans="2:12">
      <c r="B1804" s="17">
        <v>2103</v>
      </c>
      <c r="C1804" s="17">
        <v>2</v>
      </c>
      <c r="D1804" s="17">
        <f t="shared" si="86"/>
        <v>0</v>
      </c>
      <c r="E1804" s="17">
        <f t="shared" si="85"/>
        <v>1748</v>
      </c>
      <c r="F1804" s="17" t="s">
        <v>4813</v>
      </c>
      <c r="G1804" s="17">
        <f>MATCH(E1804,Arenas!$F$8:$F$15)</f>
        <v>6</v>
      </c>
      <c r="H1804" s="29" t="s">
        <v>3174</v>
      </c>
      <c r="I1804" s="33" t="s">
        <v>8435</v>
      </c>
      <c r="J1804" s="47" t="s">
        <v>5361</v>
      </c>
      <c r="K1804" s="61" t="s">
        <v>4779</v>
      </c>
      <c r="L1804" s="12" t="str">
        <f t="shared" si="84"/>
        <v>2,2,2</v>
      </c>
    </row>
    <row r="1805" spans="2:12">
      <c r="B1805" s="17">
        <v>2104</v>
      </c>
      <c r="C1805" s="17">
        <v>2</v>
      </c>
      <c r="D1805" s="17">
        <f t="shared" si="86"/>
        <v>1</v>
      </c>
      <c r="E1805" s="17">
        <f t="shared" si="85"/>
        <v>1749</v>
      </c>
      <c r="F1805" s="17" t="s">
        <v>4813</v>
      </c>
      <c r="G1805" s="17">
        <f>MATCH(E1805,Arenas!$F$8:$F$15)</f>
        <v>6</v>
      </c>
      <c r="H1805" s="29" t="s">
        <v>3175</v>
      </c>
      <c r="I1805" s="33" t="s">
        <v>8436</v>
      </c>
      <c r="J1805" s="47" t="s">
        <v>5030</v>
      </c>
      <c r="K1805" s="61" t="s">
        <v>4779</v>
      </c>
      <c r="L1805" s="12" t="str">
        <f t="shared" si="84"/>
        <v>2,2,2</v>
      </c>
    </row>
    <row r="1806" spans="2:12">
      <c r="B1806" s="17">
        <v>2105</v>
      </c>
      <c r="C1806" s="17">
        <v>2</v>
      </c>
      <c r="D1806" s="17">
        <f t="shared" si="86"/>
        <v>0</v>
      </c>
      <c r="E1806" s="17">
        <f t="shared" si="85"/>
        <v>1749</v>
      </c>
      <c r="F1806" s="17" t="s">
        <v>4813</v>
      </c>
      <c r="G1806" s="17">
        <f>MATCH(E1806,Arenas!$F$8:$F$15)</f>
        <v>6</v>
      </c>
      <c r="H1806" s="29" t="s">
        <v>3176</v>
      </c>
      <c r="I1806" s="33" t="s">
        <v>8437</v>
      </c>
      <c r="J1806" s="47" t="s">
        <v>5579</v>
      </c>
      <c r="K1806" s="61" t="s">
        <v>4810</v>
      </c>
      <c r="L1806" s="12" t="str">
        <f t="shared" si="84"/>
        <v>2,2,2</v>
      </c>
    </row>
    <row r="1807" spans="2:12">
      <c r="B1807" s="17">
        <v>2106</v>
      </c>
      <c r="C1807" s="17">
        <v>2</v>
      </c>
      <c r="D1807" s="17">
        <f t="shared" si="86"/>
        <v>0</v>
      </c>
      <c r="E1807" s="17">
        <f t="shared" si="85"/>
        <v>1749</v>
      </c>
      <c r="F1807" s="17" t="s">
        <v>4813</v>
      </c>
      <c r="G1807" s="17">
        <f>MATCH(E1807,Arenas!$F$8:$F$15)</f>
        <v>6</v>
      </c>
      <c r="H1807" s="29" t="s">
        <v>3177</v>
      </c>
      <c r="I1807" s="33" t="s">
        <v>8438</v>
      </c>
      <c r="J1807" s="47" t="s">
        <v>5761</v>
      </c>
      <c r="K1807" s="61" t="s">
        <v>4779</v>
      </c>
      <c r="L1807" s="12" t="str">
        <f t="shared" si="84"/>
        <v>2,2,2</v>
      </c>
    </row>
    <row r="1808" spans="2:12">
      <c r="B1808" s="17">
        <v>2107</v>
      </c>
      <c r="C1808" s="17">
        <v>2</v>
      </c>
      <c r="D1808" s="17">
        <f t="shared" si="86"/>
        <v>1</v>
      </c>
      <c r="E1808" s="17">
        <f t="shared" si="85"/>
        <v>1750</v>
      </c>
      <c r="F1808" s="17" t="s">
        <v>4813</v>
      </c>
      <c r="G1808" s="17">
        <f>MATCH(E1808,Arenas!$F$8:$F$15)</f>
        <v>6</v>
      </c>
      <c r="H1808" s="29" t="s">
        <v>3178</v>
      </c>
      <c r="I1808" s="33" t="s">
        <v>8439</v>
      </c>
      <c r="J1808" s="47" t="s">
        <v>8440</v>
      </c>
      <c r="K1808" s="61" t="s">
        <v>4779</v>
      </c>
      <c r="L1808" s="12" t="str">
        <f t="shared" si="84"/>
        <v>2,2,2</v>
      </c>
    </row>
    <row r="1809" spans="2:12">
      <c r="B1809" s="17">
        <v>2108</v>
      </c>
      <c r="C1809" s="17">
        <v>2</v>
      </c>
      <c r="D1809" s="17">
        <f t="shared" si="86"/>
        <v>0</v>
      </c>
      <c r="E1809" s="17">
        <f t="shared" si="85"/>
        <v>1750</v>
      </c>
      <c r="F1809" s="17" t="s">
        <v>4813</v>
      </c>
      <c r="G1809" s="17">
        <f>MATCH(E1809,Arenas!$F$8:$F$15)</f>
        <v>6</v>
      </c>
      <c r="H1809" s="29" t="s">
        <v>3179</v>
      </c>
      <c r="I1809" s="33" t="s">
        <v>8441</v>
      </c>
      <c r="J1809" s="47" t="s">
        <v>5092</v>
      </c>
      <c r="K1809" s="61" t="s">
        <v>4810</v>
      </c>
      <c r="L1809" s="12" t="str">
        <f t="shared" si="84"/>
        <v>2,2,2</v>
      </c>
    </row>
    <row r="1810" spans="2:12">
      <c r="B1810" s="17">
        <v>2109</v>
      </c>
      <c r="C1810" s="17">
        <v>2</v>
      </c>
      <c r="D1810" s="17">
        <f t="shared" si="86"/>
        <v>0</v>
      </c>
      <c r="E1810" s="17">
        <f t="shared" si="85"/>
        <v>1750</v>
      </c>
      <c r="F1810" s="17" t="s">
        <v>4813</v>
      </c>
      <c r="G1810" s="17">
        <f>MATCH(E1810,Arenas!$F$8:$F$15)</f>
        <v>6</v>
      </c>
      <c r="H1810" s="29" t="s">
        <v>3180</v>
      </c>
      <c r="I1810" s="33" t="s">
        <v>8442</v>
      </c>
      <c r="J1810" s="47" t="s">
        <v>5464</v>
      </c>
      <c r="K1810" s="61" t="s">
        <v>4779</v>
      </c>
      <c r="L1810" s="12" t="str">
        <f t="shared" si="84"/>
        <v>2,2,2</v>
      </c>
    </row>
    <row r="1811" spans="2:12">
      <c r="B1811" s="17">
        <v>2110</v>
      </c>
      <c r="C1811" s="17">
        <v>2</v>
      </c>
      <c r="D1811" s="17">
        <f t="shared" si="86"/>
        <v>1</v>
      </c>
      <c r="E1811" s="17">
        <f t="shared" si="85"/>
        <v>1751</v>
      </c>
      <c r="F1811" s="17" t="s">
        <v>4813</v>
      </c>
      <c r="G1811" s="17">
        <f>MATCH(E1811,Arenas!$F$8:$F$15)</f>
        <v>6</v>
      </c>
      <c r="H1811" s="29" t="s">
        <v>3181</v>
      </c>
      <c r="I1811" s="33" t="s">
        <v>8443</v>
      </c>
      <c r="J1811" s="47" t="s">
        <v>8444</v>
      </c>
      <c r="K1811" s="61" t="s">
        <v>4779</v>
      </c>
      <c r="L1811" s="12" t="str">
        <f t="shared" si="84"/>
        <v>2,2,2</v>
      </c>
    </row>
    <row r="1812" spans="2:12">
      <c r="B1812" s="17">
        <v>2111</v>
      </c>
      <c r="C1812" s="17">
        <v>2</v>
      </c>
      <c r="D1812" s="17">
        <f t="shared" si="86"/>
        <v>0</v>
      </c>
      <c r="E1812" s="17">
        <f t="shared" si="85"/>
        <v>1751</v>
      </c>
      <c r="F1812" s="17" t="s">
        <v>4813</v>
      </c>
      <c r="G1812" s="17">
        <f>MATCH(E1812,Arenas!$F$8:$F$15)</f>
        <v>6</v>
      </c>
      <c r="H1812" s="29" t="s">
        <v>3182</v>
      </c>
      <c r="I1812" s="33" t="s">
        <v>8445</v>
      </c>
      <c r="J1812" s="47" t="s">
        <v>5388</v>
      </c>
      <c r="K1812" s="61" t="s">
        <v>4779</v>
      </c>
      <c r="L1812" s="12" t="str">
        <f t="shared" si="84"/>
        <v>2,2,2</v>
      </c>
    </row>
    <row r="1813" spans="2:12">
      <c r="B1813" s="17">
        <v>2112</v>
      </c>
      <c r="C1813" s="17">
        <v>2</v>
      </c>
      <c r="D1813" s="17">
        <f t="shared" si="86"/>
        <v>0</v>
      </c>
      <c r="E1813" s="17">
        <f t="shared" si="85"/>
        <v>1751</v>
      </c>
      <c r="F1813" s="17" t="s">
        <v>4813</v>
      </c>
      <c r="G1813" s="17">
        <f>MATCH(E1813,Arenas!$F$8:$F$15)</f>
        <v>6</v>
      </c>
      <c r="H1813" s="29" t="s">
        <v>3183</v>
      </c>
      <c r="I1813" s="33" t="s">
        <v>8446</v>
      </c>
      <c r="J1813" s="47" t="s">
        <v>8447</v>
      </c>
      <c r="K1813" s="61" t="s">
        <v>4779</v>
      </c>
      <c r="L1813" s="12" t="str">
        <f t="shared" si="84"/>
        <v>2,2,2</v>
      </c>
    </row>
    <row r="1814" spans="2:12">
      <c r="B1814" s="17">
        <v>2113</v>
      </c>
      <c r="C1814" s="17">
        <v>2</v>
      </c>
      <c r="D1814" s="17">
        <f t="shared" si="86"/>
        <v>1</v>
      </c>
      <c r="E1814" s="17">
        <f t="shared" si="85"/>
        <v>1752</v>
      </c>
      <c r="F1814" s="17" t="s">
        <v>4813</v>
      </c>
      <c r="G1814" s="17">
        <f>MATCH(E1814,Arenas!$F$8:$F$15)</f>
        <v>6</v>
      </c>
      <c r="H1814" s="29" t="s">
        <v>3184</v>
      </c>
      <c r="I1814" s="33" t="s">
        <v>8448</v>
      </c>
      <c r="J1814" s="47" t="s">
        <v>8449</v>
      </c>
      <c r="K1814" s="61" t="s">
        <v>4779</v>
      </c>
      <c r="L1814" s="12" t="str">
        <f t="shared" si="84"/>
        <v>2,2,2</v>
      </c>
    </row>
    <row r="1815" spans="2:12">
      <c r="B1815" s="17">
        <v>2114</v>
      </c>
      <c r="C1815" s="17">
        <v>2</v>
      </c>
      <c r="D1815" s="17">
        <f t="shared" si="86"/>
        <v>0</v>
      </c>
      <c r="E1815" s="17">
        <f t="shared" si="85"/>
        <v>1752</v>
      </c>
      <c r="F1815" s="17" t="s">
        <v>4813</v>
      </c>
      <c r="G1815" s="17">
        <f>MATCH(E1815,Arenas!$F$8:$F$15)</f>
        <v>6</v>
      </c>
      <c r="H1815" s="29" t="s">
        <v>3185</v>
      </c>
      <c r="I1815" s="33" t="s">
        <v>8450</v>
      </c>
      <c r="J1815" s="47" t="s">
        <v>5793</v>
      </c>
      <c r="K1815" s="61" t="s">
        <v>4779</v>
      </c>
      <c r="L1815" s="12" t="str">
        <f t="shared" si="84"/>
        <v>2,2,2</v>
      </c>
    </row>
    <row r="1816" spans="2:12">
      <c r="B1816" s="17">
        <v>2115</v>
      </c>
      <c r="C1816" s="17">
        <v>2</v>
      </c>
      <c r="D1816" s="17">
        <f t="shared" si="86"/>
        <v>0</v>
      </c>
      <c r="E1816" s="17">
        <f t="shared" si="85"/>
        <v>1752</v>
      </c>
      <c r="F1816" s="17" t="s">
        <v>4813</v>
      </c>
      <c r="G1816" s="17">
        <f>MATCH(E1816,Arenas!$F$8:$F$15)</f>
        <v>6</v>
      </c>
      <c r="H1816" s="29" t="s">
        <v>3186</v>
      </c>
      <c r="I1816" s="33" t="s">
        <v>8451</v>
      </c>
      <c r="J1816" s="47" t="s">
        <v>8452</v>
      </c>
      <c r="K1816" s="61" t="s">
        <v>4779</v>
      </c>
      <c r="L1816" s="12" t="str">
        <f t="shared" si="84"/>
        <v>2,2,2</v>
      </c>
    </row>
    <row r="1817" spans="2:12">
      <c r="B1817" s="17">
        <v>2116</v>
      </c>
      <c r="C1817" s="17">
        <v>2</v>
      </c>
      <c r="D1817" s="17">
        <f t="shared" si="86"/>
        <v>1</v>
      </c>
      <c r="E1817" s="17">
        <f t="shared" si="85"/>
        <v>1753</v>
      </c>
      <c r="F1817" s="17" t="s">
        <v>4813</v>
      </c>
      <c r="G1817" s="17">
        <f>MATCH(E1817,Arenas!$F$8:$F$15)</f>
        <v>6</v>
      </c>
      <c r="H1817" s="29" t="s">
        <v>3187</v>
      </c>
      <c r="I1817" s="33" t="s">
        <v>8453</v>
      </c>
      <c r="J1817" s="47" t="s">
        <v>5888</v>
      </c>
      <c r="K1817" s="61" t="s">
        <v>4779</v>
      </c>
      <c r="L1817" s="12" t="str">
        <f t="shared" si="84"/>
        <v>2,2,2</v>
      </c>
    </row>
    <row r="1818" spans="2:12">
      <c r="B1818" s="17">
        <v>2117</v>
      </c>
      <c r="C1818" s="17">
        <v>2</v>
      </c>
      <c r="D1818" s="17">
        <f t="shared" si="86"/>
        <v>0</v>
      </c>
      <c r="E1818" s="17">
        <f t="shared" si="85"/>
        <v>1753</v>
      </c>
      <c r="F1818" s="17" t="s">
        <v>4813</v>
      </c>
      <c r="G1818" s="17">
        <f>MATCH(E1818,Arenas!$F$8:$F$15)</f>
        <v>6</v>
      </c>
      <c r="H1818" s="29" t="s">
        <v>3188</v>
      </c>
      <c r="I1818" s="33" t="s">
        <v>8454</v>
      </c>
      <c r="J1818" s="47" t="s">
        <v>4684</v>
      </c>
      <c r="K1818" s="61" t="s">
        <v>4779</v>
      </c>
      <c r="L1818" s="12" t="str">
        <f t="shared" si="84"/>
        <v>2,2,2</v>
      </c>
    </row>
    <row r="1819" spans="2:12">
      <c r="B1819" s="17">
        <v>2118</v>
      </c>
      <c r="C1819" s="17">
        <v>2</v>
      </c>
      <c r="D1819" s="17">
        <f t="shared" si="86"/>
        <v>0</v>
      </c>
      <c r="E1819" s="17">
        <f t="shared" si="85"/>
        <v>1753</v>
      </c>
      <c r="F1819" s="17" t="s">
        <v>4813</v>
      </c>
      <c r="G1819" s="17">
        <f>MATCH(E1819,Arenas!$F$8:$F$15)</f>
        <v>6</v>
      </c>
      <c r="H1819" s="29" t="s">
        <v>3189</v>
      </c>
      <c r="I1819" s="33" t="s">
        <v>8455</v>
      </c>
      <c r="J1819" s="47" t="s">
        <v>4946</v>
      </c>
      <c r="K1819" s="61" t="s">
        <v>4779</v>
      </c>
      <c r="L1819" s="12" t="str">
        <f t="shared" si="84"/>
        <v>2,2,2</v>
      </c>
    </row>
    <row r="1820" spans="2:12">
      <c r="B1820" s="17">
        <v>2119</v>
      </c>
      <c r="C1820" s="17">
        <v>2</v>
      </c>
      <c r="D1820" s="17">
        <f t="shared" si="86"/>
        <v>1</v>
      </c>
      <c r="E1820" s="17">
        <f t="shared" si="85"/>
        <v>1754</v>
      </c>
      <c r="F1820" s="17" t="s">
        <v>4813</v>
      </c>
      <c r="G1820" s="17">
        <f>MATCH(E1820,Arenas!$F$8:$F$15)</f>
        <v>6</v>
      </c>
      <c r="H1820" s="29" t="s">
        <v>3190</v>
      </c>
      <c r="I1820" s="33" t="s">
        <v>8456</v>
      </c>
      <c r="J1820" s="47" t="s">
        <v>8457</v>
      </c>
      <c r="K1820" s="61" t="s">
        <v>4779</v>
      </c>
      <c r="L1820" s="12" t="str">
        <f t="shared" si="84"/>
        <v>2,2,2</v>
      </c>
    </row>
    <row r="1821" spans="2:12">
      <c r="B1821" s="17">
        <v>2120</v>
      </c>
      <c r="C1821" s="17">
        <v>2</v>
      </c>
      <c r="D1821" s="17">
        <f t="shared" si="86"/>
        <v>0</v>
      </c>
      <c r="E1821" s="17">
        <f t="shared" si="85"/>
        <v>1754</v>
      </c>
      <c r="F1821" s="17" t="s">
        <v>4813</v>
      </c>
      <c r="G1821" s="17">
        <f>MATCH(E1821,Arenas!$F$8:$F$15)</f>
        <v>6</v>
      </c>
      <c r="H1821" s="29" t="s">
        <v>3191</v>
      </c>
      <c r="I1821" s="33" t="s">
        <v>8458</v>
      </c>
      <c r="J1821" s="47" t="s">
        <v>8459</v>
      </c>
      <c r="K1821" s="61" t="s">
        <v>4779</v>
      </c>
      <c r="L1821" s="12" t="str">
        <f t="shared" si="84"/>
        <v>2,2,2</v>
      </c>
    </row>
    <row r="1822" spans="2:12">
      <c r="B1822" s="17">
        <v>2121</v>
      </c>
      <c r="C1822" s="17">
        <v>2</v>
      </c>
      <c r="D1822" s="17">
        <f t="shared" si="86"/>
        <v>0</v>
      </c>
      <c r="E1822" s="17">
        <f t="shared" si="85"/>
        <v>1754</v>
      </c>
      <c r="F1822" s="17" t="s">
        <v>4813</v>
      </c>
      <c r="G1822" s="17">
        <f>MATCH(E1822,Arenas!$F$8:$F$15)</f>
        <v>6</v>
      </c>
      <c r="H1822" s="29" t="s">
        <v>3192</v>
      </c>
      <c r="I1822" s="33" t="s">
        <v>8460</v>
      </c>
      <c r="J1822" s="47" t="s">
        <v>8461</v>
      </c>
      <c r="K1822" s="61" t="s">
        <v>4779</v>
      </c>
      <c r="L1822" s="12" t="str">
        <f t="shared" si="84"/>
        <v>2,2,2</v>
      </c>
    </row>
    <row r="1823" spans="2:12">
      <c r="B1823" s="17">
        <v>2122</v>
      </c>
      <c r="C1823" s="17">
        <v>2</v>
      </c>
      <c r="D1823" s="17">
        <f t="shared" si="86"/>
        <v>1</v>
      </c>
      <c r="E1823" s="17">
        <f t="shared" si="85"/>
        <v>1755</v>
      </c>
      <c r="F1823" s="17" t="s">
        <v>4813</v>
      </c>
      <c r="G1823" s="17">
        <f>MATCH(E1823,Arenas!$F$8:$F$15)</f>
        <v>6</v>
      </c>
      <c r="H1823" s="29" t="s">
        <v>3193</v>
      </c>
      <c r="I1823" s="33" t="s">
        <v>8462</v>
      </c>
      <c r="J1823" s="47" t="s">
        <v>5003</v>
      </c>
      <c r="K1823" s="61" t="s">
        <v>4779</v>
      </c>
      <c r="L1823" s="12" t="str">
        <f t="shared" si="84"/>
        <v>2,2,2</v>
      </c>
    </row>
    <row r="1824" spans="2:12">
      <c r="B1824" s="17">
        <v>2123</v>
      </c>
      <c r="C1824" s="17">
        <v>2</v>
      </c>
      <c r="D1824" s="17">
        <f t="shared" si="86"/>
        <v>0</v>
      </c>
      <c r="E1824" s="17">
        <f t="shared" si="85"/>
        <v>1755</v>
      </c>
      <c r="F1824" s="17" t="s">
        <v>4813</v>
      </c>
      <c r="G1824" s="17">
        <f>MATCH(E1824,Arenas!$F$8:$F$15)</f>
        <v>6</v>
      </c>
      <c r="H1824" s="29" t="s">
        <v>3194</v>
      </c>
      <c r="I1824" s="33" t="s">
        <v>8463</v>
      </c>
      <c r="J1824" s="47" t="s">
        <v>8464</v>
      </c>
      <c r="K1824" s="61" t="s">
        <v>4779</v>
      </c>
      <c r="L1824" s="12" t="str">
        <f t="shared" si="84"/>
        <v>2,2,2</v>
      </c>
    </row>
    <row r="1825" spans="2:12">
      <c r="B1825" s="17">
        <v>2124</v>
      </c>
      <c r="C1825" s="17">
        <v>2</v>
      </c>
      <c r="D1825" s="17">
        <f t="shared" si="86"/>
        <v>0</v>
      </c>
      <c r="E1825" s="17">
        <f t="shared" si="85"/>
        <v>1755</v>
      </c>
      <c r="F1825" s="17" t="s">
        <v>4813</v>
      </c>
      <c r="G1825" s="17">
        <f>MATCH(E1825,Arenas!$F$8:$F$15)</f>
        <v>6</v>
      </c>
      <c r="H1825" s="29" t="s">
        <v>3195</v>
      </c>
      <c r="I1825" s="33" t="s">
        <v>8465</v>
      </c>
      <c r="J1825" s="47" t="s">
        <v>8466</v>
      </c>
      <c r="K1825" s="61" t="s">
        <v>4779</v>
      </c>
      <c r="L1825" s="12" t="str">
        <f t="shared" si="84"/>
        <v>2,2,2</v>
      </c>
    </row>
    <row r="1826" spans="2:12">
      <c r="B1826" s="17">
        <v>2125</v>
      </c>
      <c r="C1826" s="17">
        <v>2</v>
      </c>
      <c r="D1826" s="17">
        <f t="shared" si="86"/>
        <v>1</v>
      </c>
      <c r="E1826" s="17">
        <f t="shared" si="85"/>
        <v>1756</v>
      </c>
      <c r="F1826" s="17" t="s">
        <v>4813</v>
      </c>
      <c r="G1826" s="17">
        <f>MATCH(E1826,Arenas!$F$8:$F$15)</f>
        <v>6</v>
      </c>
      <c r="H1826" s="29" t="s">
        <v>3196</v>
      </c>
      <c r="I1826" s="33" t="s">
        <v>8467</v>
      </c>
      <c r="J1826" s="47" t="s">
        <v>8468</v>
      </c>
      <c r="K1826" s="61" t="s">
        <v>4779</v>
      </c>
      <c r="L1826" s="12" t="str">
        <f t="shared" si="84"/>
        <v>2,2,2</v>
      </c>
    </row>
    <row r="1827" spans="2:12">
      <c r="B1827" s="17">
        <v>2126</v>
      </c>
      <c r="C1827" s="17">
        <v>2</v>
      </c>
      <c r="D1827" s="17">
        <f t="shared" si="86"/>
        <v>0</v>
      </c>
      <c r="E1827" s="17">
        <f t="shared" si="85"/>
        <v>1756</v>
      </c>
      <c r="F1827" s="17" t="s">
        <v>4813</v>
      </c>
      <c r="G1827" s="17">
        <f>MATCH(E1827,Arenas!$F$8:$F$15)</f>
        <v>6</v>
      </c>
      <c r="H1827" s="29" t="s">
        <v>3197</v>
      </c>
      <c r="I1827" s="33" t="s">
        <v>8469</v>
      </c>
      <c r="J1827" s="47" t="s">
        <v>5754</v>
      </c>
      <c r="K1827" s="61" t="s">
        <v>4779</v>
      </c>
      <c r="L1827" s="12" t="str">
        <f t="shared" si="84"/>
        <v>2,2,2</v>
      </c>
    </row>
    <row r="1828" spans="2:12">
      <c r="B1828" s="17">
        <v>2127</v>
      </c>
      <c r="C1828" s="17">
        <v>2</v>
      </c>
      <c r="D1828" s="17">
        <f t="shared" si="86"/>
        <v>0</v>
      </c>
      <c r="E1828" s="17">
        <f t="shared" si="85"/>
        <v>1756</v>
      </c>
      <c r="F1828" s="17" t="s">
        <v>4813</v>
      </c>
      <c r="G1828" s="17">
        <f>MATCH(E1828,Arenas!$F$8:$F$15)</f>
        <v>6</v>
      </c>
      <c r="H1828" s="29" t="s">
        <v>3198</v>
      </c>
      <c r="I1828" s="33" t="s">
        <v>8470</v>
      </c>
      <c r="J1828" s="47" t="s">
        <v>5516</v>
      </c>
      <c r="K1828" s="61" t="s">
        <v>4779</v>
      </c>
      <c r="L1828" s="12" t="str">
        <f t="shared" si="84"/>
        <v>2,2,2</v>
      </c>
    </row>
    <row r="1829" spans="2:12">
      <c r="B1829" s="17">
        <v>2128</v>
      </c>
      <c r="C1829" s="17">
        <v>2</v>
      </c>
      <c r="D1829" s="17">
        <f t="shared" si="86"/>
        <v>1</v>
      </c>
      <c r="E1829" s="17">
        <f t="shared" si="85"/>
        <v>1757</v>
      </c>
      <c r="F1829" s="17" t="s">
        <v>4813</v>
      </c>
      <c r="G1829" s="17">
        <f>MATCH(E1829,Arenas!$F$8:$F$15)</f>
        <v>6</v>
      </c>
      <c r="H1829" s="29" t="s">
        <v>3199</v>
      </c>
      <c r="I1829" s="33" t="s">
        <v>8471</v>
      </c>
      <c r="J1829" s="47" t="s">
        <v>7012</v>
      </c>
      <c r="K1829" s="61" t="s">
        <v>4779</v>
      </c>
      <c r="L1829" s="12" t="str">
        <f t="shared" si="84"/>
        <v>2,2,2</v>
      </c>
    </row>
    <row r="1830" spans="2:12">
      <c r="B1830" s="17">
        <v>2129</v>
      </c>
      <c r="C1830" s="17">
        <v>2</v>
      </c>
      <c r="D1830" s="17">
        <f t="shared" si="86"/>
        <v>0</v>
      </c>
      <c r="E1830" s="17">
        <f t="shared" si="85"/>
        <v>1757</v>
      </c>
      <c r="F1830" s="17" t="s">
        <v>4813</v>
      </c>
      <c r="G1830" s="17">
        <f>MATCH(E1830,Arenas!$F$8:$F$15)</f>
        <v>6</v>
      </c>
      <c r="H1830" s="29" t="s">
        <v>3200</v>
      </c>
      <c r="I1830" s="33" t="s">
        <v>8472</v>
      </c>
      <c r="J1830" s="47" t="s">
        <v>5778</v>
      </c>
      <c r="K1830" s="61" t="s">
        <v>4779</v>
      </c>
      <c r="L1830" s="12" t="str">
        <f t="shared" si="84"/>
        <v>2,2,2</v>
      </c>
    </row>
    <row r="1831" spans="2:12">
      <c r="B1831" s="17">
        <v>2130</v>
      </c>
      <c r="C1831" s="17">
        <v>2</v>
      </c>
      <c r="D1831" s="17">
        <f t="shared" si="86"/>
        <v>0</v>
      </c>
      <c r="E1831" s="17">
        <f t="shared" si="85"/>
        <v>1757</v>
      </c>
      <c r="F1831" s="17" t="s">
        <v>4813</v>
      </c>
      <c r="G1831" s="17">
        <f>MATCH(E1831,Arenas!$F$8:$F$15)</f>
        <v>6</v>
      </c>
      <c r="H1831" s="29" t="s">
        <v>3201</v>
      </c>
      <c r="I1831" s="33" t="s">
        <v>8473</v>
      </c>
      <c r="J1831" s="47" t="s">
        <v>5339</v>
      </c>
      <c r="K1831" s="61" t="s">
        <v>4779</v>
      </c>
      <c r="L1831" s="12" t="str">
        <f t="shared" si="84"/>
        <v>2,2,2</v>
      </c>
    </row>
    <row r="1832" spans="2:12">
      <c r="B1832" s="17">
        <v>2131</v>
      </c>
      <c r="C1832" s="17">
        <v>2</v>
      </c>
      <c r="D1832" s="17">
        <f t="shared" si="86"/>
        <v>1</v>
      </c>
      <c r="E1832" s="17">
        <f t="shared" si="85"/>
        <v>1758</v>
      </c>
      <c r="F1832" s="17" t="s">
        <v>4813</v>
      </c>
      <c r="G1832" s="17">
        <f>MATCH(E1832,Arenas!$F$8:$F$15)</f>
        <v>6</v>
      </c>
      <c r="H1832" s="29" t="s">
        <v>3202</v>
      </c>
      <c r="I1832" s="33" t="s">
        <v>8474</v>
      </c>
      <c r="J1832" s="47" t="s">
        <v>5073</v>
      </c>
      <c r="K1832" s="61" t="s">
        <v>4779</v>
      </c>
      <c r="L1832" s="12" t="str">
        <f t="shared" si="84"/>
        <v>2,2,2</v>
      </c>
    </row>
    <row r="1833" spans="2:12">
      <c r="B1833" s="17">
        <v>2132</v>
      </c>
      <c r="C1833" s="17">
        <v>2</v>
      </c>
      <c r="D1833" s="17">
        <f t="shared" si="86"/>
        <v>0</v>
      </c>
      <c r="E1833" s="17">
        <f t="shared" si="85"/>
        <v>1758</v>
      </c>
      <c r="F1833" s="17" t="s">
        <v>4813</v>
      </c>
      <c r="G1833" s="17">
        <f>MATCH(E1833,Arenas!$F$8:$F$15)</f>
        <v>6</v>
      </c>
      <c r="H1833" s="29" t="s">
        <v>3203</v>
      </c>
      <c r="I1833" s="33" t="s">
        <v>8475</v>
      </c>
      <c r="J1833" s="47" t="s">
        <v>5464</v>
      </c>
      <c r="K1833" s="61" t="s">
        <v>4779</v>
      </c>
      <c r="L1833" s="12" t="str">
        <f t="shared" si="84"/>
        <v>2,2,2</v>
      </c>
    </row>
    <row r="1834" spans="2:12">
      <c r="B1834" s="17">
        <v>2133</v>
      </c>
      <c r="C1834" s="17">
        <v>2</v>
      </c>
      <c r="D1834" s="17">
        <f t="shared" si="86"/>
        <v>0</v>
      </c>
      <c r="E1834" s="17">
        <f t="shared" si="85"/>
        <v>1758</v>
      </c>
      <c r="F1834" s="17" t="s">
        <v>4813</v>
      </c>
      <c r="G1834" s="17">
        <f>MATCH(E1834,Arenas!$F$8:$F$15)</f>
        <v>6</v>
      </c>
      <c r="H1834" s="29" t="s">
        <v>3204</v>
      </c>
      <c r="I1834" s="33" t="s">
        <v>8476</v>
      </c>
      <c r="J1834" s="47" t="s">
        <v>5282</v>
      </c>
      <c r="K1834" s="61" t="s">
        <v>4779</v>
      </c>
      <c r="L1834" s="12" t="str">
        <f t="shared" si="84"/>
        <v>2,2,2</v>
      </c>
    </row>
    <row r="1835" spans="2:12">
      <c r="B1835" s="17">
        <v>2134</v>
      </c>
      <c r="C1835" s="17">
        <v>2</v>
      </c>
      <c r="D1835" s="17">
        <f t="shared" si="86"/>
        <v>1</v>
      </c>
      <c r="E1835" s="17">
        <f t="shared" si="85"/>
        <v>1759</v>
      </c>
      <c r="F1835" s="17" t="s">
        <v>4813</v>
      </c>
      <c r="G1835" s="17">
        <f>MATCH(E1835,Arenas!$F$8:$F$15)</f>
        <v>6</v>
      </c>
      <c r="H1835" s="29" t="s">
        <v>3205</v>
      </c>
      <c r="I1835" s="33" t="s">
        <v>8477</v>
      </c>
      <c r="J1835" s="47" t="s">
        <v>5788</v>
      </c>
      <c r="K1835" s="61" t="s">
        <v>4779</v>
      </c>
      <c r="L1835" s="12" t="str">
        <f t="shared" si="84"/>
        <v>2,2,2</v>
      </c>
    </row>
    <row r="1836" spans="2:12">
      <c r="B1836" s="17">
        <v>2135</v>
      </c>
      <c r="C1836" s="17">
        <v>2</v>
      </c>
      <c r="D1836" s="17">
        <f t="shared" si="86"/>
        <v>0</v>
      </c>
      <c r="E1836" s="17">
        <f t="shared" si="85"/>
        <v>1759</v>
      </c>
      <c r="F1836" s="17" t="s">
        <v>4813</v>
      </c>
      <c r="G1836" s="17">
        <f>MATCH(E1836,Arenas!$F$8:$F$15)</f>
        <v>6</v>
      </c>
      <c r="H1836" s="29" t="s">
        <v>3206</v>
      </c>
      <c r="I1836" s="33" t="s">
        <v>8478</v>
      </c>
      <c r="J1836" s="47" t="s">
        <v>7825</v>
      </c>
      <c r="K1836" s="61" t="s">
        <v>4779</v>
      </c>
      <c r="L1836" s="12" t="str">
        <f t="shared" si="84"/>
        <v>2,2,2</v>
      </c>
    </row>
    <row r="1837" spans="2:12">
      <c r="B1837" s="17">
        <v>2136</v>
      </c>
      <c r="C1837" s="17">
        <v>2</v>
      </c>
      <c r="D1837" s="17">
        <f t="shared" si="86"/>
        <v>0</v>
      </c>
      <c r="E1837" s="17">
        <f t="shared" si="85"/>
        <v>1759</v>
      </c>
      <c r="F1837" s="17" t="s">
        <v>4813</v>
      </c>
      <c r="G1837" s="17">
        <f>MATCH(E1837,Arenas!$F$8:$F$15)</f>
        <v>6</v>
      </c>
      <c r="H1837" s="29" t="s">
        <v>3207</v>
      </c>
      <c r="I1837" s="33" t="s">
        <v>8479</v>
      </c>
      <c r="J1837" s="47" t="s">
        <v>5826</v>
      </c>
      <c r="K1837" s="61" t="s">
        <v>4779</v>
      </c>
      <c r="L1837" s="12" t="str">
        <f t="shared" si="84"/>
        <v>2,2,2</v>
      </c>
    </row>
    <row r="1838" spans="2:12">
      <c r="B1838" s="17">
        <v>2137</v>
      </c>
      <c r="C1838" s="17">
        <v>2</v>
      </c>
      <c r="D1838" s="17">
        <f t="shared" si="86"/>
        <v>1</v>
      </c>
      <c r="E1838" s="17">
        <f t="shared" si="85"/>
        <v>1760</v>
      </c>
      <c r="F1838" s="17" t="s">
        <v>4813</v>
      </c>
      <c r="G1838" s="17">
        <f>MATCH(E1838,Arenas!$F$8:$F$15)</f>
        <v>6</v>
      </c>
      <c r="H1838" s="29" t="s">
        <v>3208</v>
      </c>
      <c r="I1838" s="33" t="s">
        <v>8480</v>
      </c>
      <c r="J1838" s="47" t="s">
        <v>8481</v>
      </c>
      <c r="K1838" s="61" t="s">
        <v>4779</v>
      </c>
      <c r="L1838" s="12" t="str">
        <f t="shared" si="84"/>
        <v>2,2,2</v>
      </c>
    </row>
    <row r="1839" spans="2:12">
      <c r="B1839" s="17">
        <v>2138</v>
      </c>
      <c r="C1839" s="17">
        <v>2</v>
      </c>
      <c r="D1839" s="17">
        <f t="shared" si="86"/>
        <v>0</v>
      </c>
      <c r="E1839" s="17">
        <f t="shared" si="85"/>
        <v>1760</v>
      </c>
      <c r="F1839" s="17" t="s">
        <v>4813</v>
      </c>
      <c r="G1839" s="17">
        <f>MATCH(E1839,Arenas!$F$8:$F$15)</f>
        <v>6</v>
      </c>
      <c r="H1839" s="29" t="s">
        <v>3209</v>
      </c>
      <c r="I1839" s="33" t="s">
        <v>8482</v>
      </c>
      <c r="J1839" s="47" t="s">
        <v>4979</v>
      </c>
      <c r="K1839" s="61" t="s">
        <v>4779</v>
      </c>
      <c r="L1839" s="12" t="str">
        <f t="shared" si="84"/>
        <v>2,2,2</v>
      </c>
    </row>
    <row r="1840" spans="2:12">
      <c r="B1840" s="17">
        <v>2139</v>
      </c>
      <c r="C1840" s="17">
        <v>2</v>
      </c>
      <c r="D1840" s="17">
        <f t="shared" si="86"/>
        <v>0</v>
      </c>
      <c r="E1840" s="17">
        <f t="shared" si="85"/>
        <v>1760</v>
      </c>
      <c r="F1840" s="17" t="s">
        <v>4813</v>
      </c>
      <c r="G1840" s="17">
        <f>MATCH(E1840,Arenas!$F$8:$F$15)</f>
        <v>6</v>
      </c>
      <c r="H1840" s="29" t="s">
        <v>3210</v>
      </c>
      <c r="I1840" s="33" t="s">
        <v>8483</v>
      </c>
      <c r="J1840" s="47" t="s">
        <v>8484</v>
      </c>
      <c r="K1840" s="61" t="s">
        <v>4779</v>
      </c>
      <c r="L1840" s="12" t="str">
        <f t="shared" si="84"/>
        <v>2,2,2</v>
      </c>
    </row>
    <row r="1841" spans="2:12">
      <c r="B1841" s="17">
        <v>2140</v>
      </c>
      <c r="C1841" s="17">
        <v>2</v>
      </c>
      <c r="D1841" s="17">
        <f t="shared" si="86"/>
        <v>1</v>
      </c>
      <c r="E1841" s="17">
        <f t="shared" si="85"/>
        <v>1761</v>
      </c>
      <c r="F1841" s="17" t="s">
        <v>4813</v>
      </c>
      <c r="G1841" s="17">
        <f>MATCH(E1841,Arenas!$F$8:$F$15)</f>
        <v>6</v>
      </c>
      <c r="H1841" s="29" t="s">
        <v>3211</v>
      </c>
      <c r="I1841" s="33" t="s">
        <v>8485</v>
      </c>
      <c r="J1841" s="47" t="s">
        <v>5056</v>
      </c>
      <c r="K1841" s="61" t="s">
        <v>4779</v>
      </c>
      <c r="L1841" s="12" t="str">
        <f t="shared" si="84"/>
        <v>2,2,2</v>
      </c>
    </row>
    <row r="1842" spans="2:12">
      <c r="B1842" s="17">
        <v>2141</v>
      </c>
      <c r="C1842" s="17">
        <v>2</v>
      </c>
      <c r="D1842" s="17">
        <f t="shared" si="86"/>
        <v>0</v>
      </c>
      <c r="E1842" s="17">
        <f t="shared" si="85"/>
        <v>1761</v>
      </c>
      <c r="F1842" s="17" t="s">
        <v>4813</v>
      </c>
      <c r="G1842" s="17">
        <f>MATCH(E1842,Arenas!$F$8:$F$15)</f>
        <v>6</v>
      </c>
      <c r="H1842" s="29" t="s">
        <v>3212</v>
      </c>
      <c r="I1842" s="33" t="s">
        <v>8486</v>
      </c>
      <c r="J1842" s="47" t="s">
        <v>7964</v>
      </c>
      <c r="K1842" s="61" t="s">
        <v>4779</v>
      </c>
      <c r="L1842" s="12" t="str">
        <f t="shared" si="84"/>
        <v>2,2,2</v>
      </c>
    </row>
    <row r="1843" spans="2:12">
      <c r="B1843" s="17">
        <v>2142</v>
      </c>
      <c r="C1843" s="17">
        <v>2</v>
      </c>
      <c r="D1843" s="17">
        <f t="shared" si="86"/>
        <v>0</v>
      </c>
      <c r="E1843" s="17">
        <f t="shared" si="85"/>
        <v>1761</v>
      </c>
      <c r="F1843" s="17" t="s">
        <v>4813</v>
      </c>
      <c r="G1843" s="17">
        <f>MATCH(E1843,Arenas!$F$8:$F$15)</f>
        <v>6</v>
      </c>
      <c r="H1843" s="29" t="s">
        <v>3213</v>
      </c>
      <c r="I1843" s="33" t="s">
        <v>8487</v>
      </c>
      <c r="J1843" s="47" t="s">
        <v>5622</v>
      </c>
      <c r="K1843" s="61" t="s">
        <v>4779</v>
      </c>
      <c r="L1843" s="12" t="str">
        <f t="shared" si="84"/>
        <v>2,2,2</v>
      </c>
    </row>
    <row r="1844" spans="2:12">
      <c r="B1844" s="17">
        <v>2143</v>
      </c>
      <c r="C1844" s="17">
        <v>2</v>
      </c>
      <c r="D1844" s="17">
        <f t="shared" si="86"/>
        <v>1</v>
      </c>
      <c r="E1844" s="17">
        <f t="shared" si="85"/>
        <v>1762</v>
      </c>
      <c r="F1844" s="17" t="s">
        <v>4813</v>
      </c>
      <c r="G1844" s="17">
        <f>MATCH(E1844,Arenas!$F$8:$F$15)</f>
        <v>6</v>
      </c>
      <c r="H1844" s="29" t="s">
        <v>3214</v>
      </c>
      <c r="I1844" s="33" t="s">
        <v>8488</v>
      </c>
      <c r="J1844" s="47" t="s">
        <v>5831</v>
      </c>
      <c r="K1844" s="61" t="s">
        <v>4779</v>
      </c>
      <c r="L1844" s="12" t="str">
        <f t="shared" si="84"/>
        <v>2,2,2</v>
      </c>
    </row>
    <row r="1845" spans="2:12">
      <c r="B1845" s="17">
        <v>2144</v>
      </c>
      <c r="C1845" s="17">
        <v>2</v>
      </c>
      <c r="D1845" s="17">
        <f t="shared" si="86"/>
        <v>0</v>
      </c>
      <c r="E1845" s="17">
        <f t="shared" si="85"/>
        <v>1762</v>
      </c>
      <c r="F1845" s="17" t="s">
        <v>4813</v>
      </c>
      <c r="G1845" s="17">
        <f>MATCH(E1845,Arenas!$F$8:$F$15)</f>
        <v>6</v>
      </c>
      <c r="H1845" s="29" t="s">
        <v>3215</v>
      </c>
      <c r="I1845" s="33" t="s">
        <v>8489</v>
      </c>
      <c r="J1845" s="47" t="s">
        <v>5706</v>
      </c>
      <c r="K1845" s="61" t="s">
        <v>4779</v>
      </c>
      <c r="L1845" s="12" t="str">
        <f t="shared" si="84"/>
        <v>2,2,2</v>
      </c>
    </row>
    <row r="1846" spans="2:12">
      <c r="B1846" s="17">
        <v>2145</v>
      </c>
      <c r="C1846" s="17">
        <v>2</v>
      </c>
      <c r="D1846" s="17">
        <f t="shared" si="86"/>
        <v>0</v>
      </c>
      <c r="E1846" s="17">
        <f t="shared" si="85"/>
        <v>1762</v>
      </c>
      <c r="F1846" s="17" t="s">
        <v>4813</v>
      </c>
      <c r="G1846" s="17">
        <f>MATCH(E1846,Arenas!$F$8:$F$15)</f>
        <v>6</v>
      </c>
      <c r="H1846" s="29" t="s">
        <v>3216</v>
      </c>
      <c r="I1846" s="33" t="s">
        <v>8490</v>
      </c>
      <c r="J1846" s="47" t="s">
        <v>5870</v>
      </c>
      <c r="K1846" s="61" t="s">
        <v>4779</v>
      </c>
      <c r="L1846" s="12" t="str">
        <f t="shared" si="84"/>
        <v>2,2,2</v>
      </c>
    </row>
    <row r="1847" spans="2:12">
      <c r="B1847" s="17">
        <v>2146</v>
      </c>
      <c r="C1847" s="17">
        <v>2</v>
      </c>
      <c r="D1847" s="17">
        <f t="shared" si="86"/>
        <v>1</v>
      </c>
      <c r="E1847" s="17">
        <f t="shared" si="85"/>
        <v>1763</v>
      </c>
      <c r="F1847" s="17" t="s">
        <v>4813</v>
      </c>
      <c r="G1847" s="17">
        <f>MATCH(E1847,Arenas!$F$8:$F$15)</f>
        <v>6</v>
      </c>
      <c r="H1847" s="29" t="s">
        <v>3217</v>
      </c>
      <c r="I1847" s="33" t="s">
        <v>8491</v>
      </c>
      <c r="J1847" s="47" t="s">
        <v>5099</v>
      </c>
      <c r="K1847" s="61" t="s">
        <v>4779</v>
      </c>
      <c r="L1847" s="12" t="str">
        <f t="shared" si="84"/>
        <v>2,2,2</v>
      </c>
    </row>
    <row r="1848" spans="2:12">
      <c r="B1848" s="17">
        <v>2147</v>
      </c>
      <c r="C1848" s="17">
        <v>2</v>
      </c>
      <c r="D1848" s="17">
        <f t="shared" si="86"/>
        <v>0</v>
      </c>
      <c r="E1848" s="17">
        <f t="shared" si="85"/>
        <v>1763</v>
      </c>
      <c r="F1848" s="17" t="s">
        <v>4813</v>
      </c>
      <c r="G1848" s="17">
        <f>MATCH(E1848,Arenas!$F$8:$F$15)</f>
        <v>6</v>
      </c>
      <c r="H1848" s="29" t="s">
        <v>3218</v>
      </c>
      <c r="I1848" s="33" t="s">
        <v>8492</v>
      </c>
      <c r="J1848" s="47" t="s">
        <v>8493</v>
      </c>
      <c r="K1848" s="61" t="s">
        <v>4779</v>
      </c>
      <c r="L1848" s="12" t="str">
        <f t="shared" si="84"/>
        <v>2,2,2</v>
      </c>
    </row>
    <row r="1849" spans="2:12">
      <c r="B1849" s="17">
        <v>2148</v>
      </c>
      <c r="C1849" s="17">
        <v>2</v>
      </c>
      <c r="D1849" s="17">
        <f t="shared" si="86"/>
        <v>0</v>
      </c>
      <c r="E1849" s="17">
        <f t="shared" si="85"/>
        <v>1763</v>
      </c>
      <c r="F1849" s="17" t="s">
        <v>4813</v>
      </c>
      <c r="G1849" s="17">
        <f>MATCH(E1849,Arenas!$F$8:$F$15)</f>
        <v>6</v>
      </c>
      <c r="H1849" s="29" t="s">
        <v>3219</v>
      </c>
      <c r="I1849" s="33" t="s">
        <v>8494</v>
      </c>
      <c r="J1849" s="47" t="s">
        <v>5831</v>
      </c>
      <c r="K1849" s="61" t="s">
        <v>4779</v>
      </c>
      <c r="L1849" s="12" t="str">
        <f t="shared" si="84"/>
        <v>2,2,2</v>
      </c>
    </row>
    <row r="1850" spans="2:12">
      <c r="B1850" s="17">
        <v>2149</v>
      </c>
      <c r="C1850" s="17">
        <v>2</v>
      </c>
      <c r="D1850" s="17">
        <f t="shared" si="86"/>
        <v>1</v>
      </c>
      <c r="E1850" s="17">
        <f t="shared" si="85"/>
        <v>1764</v>
      </c>
      <c r="F1850" s="17" t="s">
        <v>4813</v>
      </c>
      <c r="G1850" s="17">
        <f>MATCH(E1850,Arenas!$F$8:$F$15)</f>
        <v>6</v>
      </c>
      <c r="H1850" s="29" t="s">
        <v>3220</v>
      </c>
      <c r="I1850" s="33" t="s">
        <v>8495</v>
      </c>
      <c r="J1850" s="47" t="s">
        <v>4997</v>
      </c>
      <c r="K1850" s="61" t="s">
        <v>4779</v>
      </c>
      <c r="L1850" s="12" t="str">
        <f t="shared" si="84"/>
        <v>2,2,2</v>
      </c>
    </row>
    <row r="1851" spans="2:12">
      <c r="B1851" s="17">
        <v>2150</v>
      </c>
      <c r="C1851" s="17">
        <v>2</v>
      </c>
      <c r="D1851" s="17">
        <f t="shared" si="86"/>
        <v>0</v>
      </c>
      <c r="E1851" s="17">
        <f t="shared" si="85"/>
        <v>1764</v>
      </c>
      <c r="F1851" s="17" t="s">
        <v>4813</v>
      </c>
      <c r="G1851" s="17">
        <f>MATCH(E1851,Arenas!$F$8:$F$15)</f>
        <v>6</v>
      </c>
      <c r="H1851" s="29" t="s">
        <v>3221</v>
      </c>
      <c r="I1851" s="33" t="s">
        <v>8496</v>
      </c>
      <c r="J1851" s="47" t="s">
        <v>5825</v>
      </c>
      <c r="K1851" s="61" t="s">
        <v>4779</v>
      </c>
      <c r="L1851" s="12" t="str">
        <f t="shared" si="84"/>
        <v>2,2,2</v>
      </c>
    </row>
    <row r="1852" spans="2:12">
      <c r="B1852" s="17">
        <v>2151</v>
      </c>
      <c r="C1852" s="17">
        <v>2</v>
      </c>
      <c r="D1852" s="17">
        <f t="shared" si="86"/>
        <v>0</v>
      </c>
      <c r="E1852" s="17">
        <f t="shared" si="85"/>
        <v>1764</v>
      </c>
      <c r="F1852" s="17" t="s">
        <v>4813</v>
      </c>
      <c r="G1852" s="17">
        <f>MATCH(E1852,Arenas!$F$8:$F$15)</f>
        <v>6</v>
      </c>
      <c r="H1852" s="29" t="s">
        <v>3222</v>
      </c>
      <c r="I1852" s="33" t="s">
        <v>8497</v>
      </c>
      <c r="J1852" s="47" t="s">
        <v>4948</v>
      </c>
      <c r="K1852" s="61" t="s">
        <v>4779</v>
      </c>
      <c r="L1852" s="12" t="str">
        <f t="shared" si="84"/>
        <v>2,2,2</v>
      </c>
    </row>
    <row r="1853" spans="2:12">
      <c r="B1853" s="17">
        <v>2152</v>
      </c>
      <c r="C1853" s="17">
        <v>2</v>
      </c>
      <c r="D1853" s="17">
        <f t="shared" si="86"/>
        <v>1</v>
      </c>
      <c r="E1853" s="17">
        <f t="shared" si="85"/>
        <v>1765</v>
      </c>
      <c r="F1853" s="17" t="s">
        <v>4813</v>
      </c>
      <c r="G1853" s="17">
        <f>MATCH(E1853,Arenas!$F$8:$F$15)</f>
        <v>6</v>
      </c>
      <c r="H1853" s="29" t="s">
        <v>3223</v>
      </c>
      <c r="I1853" s="33" t="s">
        <v>8498</v>
      </c>
      <c r="J1853" s="47" t="s">
        <v>8499</v>
      </c>
      <c r="K1853" s="61" t="s">
        <v>4779</v>
      </c>
      <c r="L1853" s="12" t="str">
        <f t="shared" si="84"/>
        <v>2,2,2</v>
      </c>
    </row>
    <row r="1854" spans="2:12">
      <c r="B1854" s="17">
        <v>2153</v>
      </c>
      <c r="C1854" s="17">
        <v>2</v>
      </c>
      <c r="D1854" s="17">
        <f t="shared" si="86"/>
        <v>0</v>
      </c>
      <c r="E1854" s="17">
        <f t="shared" si="85"/>
        <v>1765</v>
      </c>
      <c r="F1854" s="17" t="s">
        <v>4813</v>
      </c>
      <c r="G1854" s="17">
        <f>MATCH(E1854,Arenas!$F$8:$F$15)</f>
        <v>6</v>
      </c>
      <c r="H1854" s="29" t="s">
        <v>3224</v>
      </c>
      <c r="I1854" s="33" t="s">
        <v>8500</v>
      </c>
      <c r="J1854" s="47" t="s">
        <v>5343</v>
      </c>
      <c r="K1854" s="61" t="s">
        <v>4779</v>
      </c>
      <c r="L1854" s="12" t="str">
        <f t="shared" si="84"/>
        <v>2,2,2</v>
      </c>
    </row>
    <row r="1855" spans="2:12">
      <c r="B1855" s="17">
        <v>2154</v>
      </c>
      <c r="C1855" s="17">
        <v>2</v>
      </c>
      <c r="D1855" s="17">
        <f t="shared" si="86"/>
        <v>0</v>
      </c>
      <c r="E1855" s="17">
        <f t="shared" si="85"/>
        <v>1765</v>
      </c>
      <c r="F1855" s="17" t="s">
        <v>4813</v>
      </c>
      <c r="G1855" s="17">
        <f>MATCH(E1855,Arenas!$F$8:$F$15)</f>
        <v>6</v>
      </c>
      <c r="H1855" s="29" t="s">
        <v>3225</v>
      </c>
      <c r="I1855" s="33" t="s">
        <v>8501</v>
      </c>
      <c r="J1855" s="47" t="s">
        <v>5719</v>
      </c>
      <c r="K1855" s="61" t="s">
        <v>4779</v>
      </c>
      <c r="L1855" s="12" t="str">
        <f t="shared" si="84"/>
        <v>2,2,2</v>
      </c>
    </row>
    <row r="1856" spans="2:12">
      <c r="B1856" s="17">
        <v>2155</v>
      </c>
      <c r="C1856" s="17">
        <v>2</v>
      </c>
      <c r="D1856" s="17">
        <f t="shared" si="86"/>
        <v>1</v>
      </c>
      <c r="E1856" s="17">
        <f t="shared" si="85"/>
        <v>1766</v>
      </c>
      <c r="F1856" s="17" t="s">
        <v>4813</v>
      </c>
      <c r="G1856" s="17">
        <f>MATCH(E1856,Arenas!$F$8:$F$15)</f>
        <v>6</v>
      </c>
      <c r="H1856" s="29" t="s">
        <v>3226</v>
      </c>
      <c r="I1856" s="33" t="s">
        <v>8502</v>
      </c>
      <c r="J1856" s="47" t="s">
        <v>8503</v>
      </c>
      <c r="K1856" s="61" t="s">
        <v>4779</v>
      </c>
      <c r="L1856" s="12" t="str">
        <f t="shared" si="84"/>
        <v>2,2,2</v>
      </c>
    </row>
    <row r="1857" spans="2:12">
      <c r="B1857" s="17">
        <v>2156</v>
      </c>
      <c r="C1857" s="17">
        <v>2</v>
      </c>
      <c r="D1857" s="17">
        <f t="shared" si="86"/>
        <v>0</v>
      </c>
      <c r="E1857" s="17">
        <f t="shared" si="85"/>
        <v>1766</v>
      </c>
      <c r="F1857" s="17" t="s">
        <v>4813</v>
      </c>
      <c r="G1857" s="17">
        <f>MATCH(E1857,Arenas!$F$8:$F$15)</f>
        <v>6</v>
      </c>
      <c r="H1857" s="29" t="s">
        <v>3227</v>
      </c>
      <c r="I1857" s="33" t="s">
        <v>8504</v>
      </c>
      <c r="J1857" s="47" t="s">
        <v>4667</v>
      </c>
      <c r="K1857" s="61" t="s">
        <v>4779</v>
      </c>
      <c r="L1857" s="12" t="str">
        <f t="shared" si="84"/>
        <v>2,2,2</v>
      </c>
    </row>
    <row r="1858" spans="2:12">
      <c r="B1858" s="17">
        <v>2157</v>
      </c>
      <c r="C1858" s="17">
        <v>2</v>
      </c>
      <c r="D1858" s="17">
        <f t="shared" si="86"/>
        <v>0</v>
      </c>
      <c r="E1858" s="17">
        <f t="shared" si="85"/>
        <v>1766</v>
      </c>
      <c r="F1858" s="17" t="s">
        <v>4813</v>
      </c>
      <c r="G1858" s="17">
        <f>MATCH(E1858,Arenas!$F$8:$F$15)</f>
        <v>6</v>
      </c>
      <c r="H1858" s="29" t="s">
        <v>3228</v>
      </c>
      <c r="I1858" s="33" t="s">
        <v>8505</v>
      </c>
      <c r="J1858" s="47" t="s">
        <v>8506</v>
      </c>
      <c r="K1858" s="61" t="s">
        <v>4779</v>
      </c>
      <c r="L1858" s="12" t="str">
        <f t="shared" ref="L1858:L1921" si="87">C1858&amp;","&amp;C1858&amp;","&amp;C1858</f>
        <v>2,2,2</v>
      </c>
    </row>
    <row r="1859" spans="2:12">
      <c r="B1859" s="17">
        <v>2158</v>
      </c>
      <c r="C1859" s="17">
        <v>2</v>
      </c>
      <c r="D1859" s="17">
        <f t="shared" si="86"/>
        <v>1</v>
      </c>
      <c r="E1859" s="17">
        <f t="shared" ref="E1859:E1922" si="88">D1859+E1858</f>
        <v>1767</v>
      </c>
      <c r="F1859" s="17" t="s">
        <v>4813</v>
      </c>
      <c r="G1859" s="17">
        <f>MATCH(E1859,Arenas!$F$8:$F$15)</f>
        <v>6</v>
      </c>
      <c r="H1859" s="29" t="s">
        <v>3229</v>
      </c>
      <c r="I1859" s="33" t="s">
        <v>8507</v>
      </c>
      <c r="J1859" s="47" t="s">
        <v>4880</v>
      </c>
      <c r="K1859" s="61" t="s">
        <v>4779</v>
      </c>
      <c r="L1859" s="12" t="str">
        <f t="shared" si="87"/>
        <v>2,2,2</v>
      </c>
    </row>
    <row r="1860" spans="2:12">
      <c r="B1860" s="17">
        <v>2159</v>
      </c>
      <c r="C1860" s="17">
        <v>2</v>
      </c>
      <c r="D1860" s="17">
        <f t="shared" si="86"/>
        <v>0</v>
      </c>
      <c r="E1860" s="17">
        <f t="shared" si="88"/>
        <v>1767</v>
      </c>
      <c r="F1860" s="17" t="s">
        <v>4813</v>
      </c>
      <c r="G1860" s="17">
        <f>MATCH(E1860,Arenas!$F$8:$F$15)</f>
        <v>6</v>
      </c>
      <c r="H1860" s="29" t="s">
        <v>3230</v>
      </c>
      <c r="I1860" s="33" t="s">
        <v>8508</v>
      </c>
      <c r="J1860" s="47" t="s">
        <v>5808</v>
      </c>
      <c r="K1860" s="61" t="s">
        <v>4779</v>
      </c>
      <c r="L1860" s="12" t="str">
        <f t="shared" si="87"/>
        <v>2,2,2</v>
      </c>
    </row>
    <row r="1861" spans="2:12">
      <c r="B1861" s="17">
        <v>2160</v>
      </c>
      <c r="C1861" s="17">
        <v>2</v>
      </c>
      <c r="D1861" s="17">
        <f t="shared" ref="D1861:D1924" si="89">D1858</f>
        <v>0</v>
      </c>
      <c r="E1861" s="17">
        <f t="shared" si="88"/>
        <v>1767</v>
      </c>
      <c r="F1861" s="17" t="s">
        <v>4813</v>
      </c>
      <c r="G1861" s="17">
        <f>MATCH(E1861,Arenas!$F$8:$F$15)</f>
        <v>6</v>
      </c>
      <c r="H1861" s="29" t="s">
        <v>3231</v>
      </c>
      <c r="I1861" s="33" t="s">
        <v>8509</v>
      </c>
      <c r="J1861" s="47" t="s">
        <v>5113</v>
      </c>
      <c r="K1861" s="61" t="s">
        <v>4779</v>
      </c>
      <c r="L1861" s="12" t="str">
        <f t="shared" si="87"/>
        <v>2,2,2</v>
      </c>
    </row>
    <row r="1862" spans="2:12">
      <c r="B1862" s="17">
        <v>2161</v>
      </c>
      <c r="C1862" s="17">
        <v>2</v>
      </c>
      <c r="D1862" s="17">
        <f t="shared" si="89"/>
        <v>1</v>
      </c>
      <c r="E1862" s="17">
        <f t="shared" si="88"/>
        <v>1768</v>
      </c>
      <c r="F1862" s="17" t="s">
        <v>4813</v>
      </c>
      <c r="G1862" s="17">
        <f>MATCH(E1862,Arenas!$F$8:$F$15)</f>
        <v>6</v>
      </c>
      <c r="H1862" s="29" t="s">
        <v>3232</v>
      </c>
      <c r="I1862" s="33" t="s">
        <v>8510</v>
      </c>
      <c r="J1862" s="47" t="s">
        <v>8511</v>
      </c>
      <c r="K1862" s="61" t="s">
        <v>4779</v>
      </c>
      <c r="L1862" s="12" t="str">
        <f t="shared" si="87"/>
        <v>2,2,2</v>
      </c>
    </row>
    <row r="1863" spans="2:12">
      <c r="B1863" s="17">
        <v>2162</v>
      </c>
      <c r="C1863" s="17">
        <v>2</v>
      </c>
      <c r="D1863" s="17">
        <f t="shared" si="89"/>
        <v>0</v>
      </c>
      <c r="E1863" s="17">
        <f t="shared" si="88"/>
        <v>1768</v>
      </c>
      <c r="F1863" s="17" t="s">
        <v>4813</v>
      </c>
      <c r="G1863" s="17">
        <f>MATCH(E1863,Arenas!$F$8:$F$15)</f>
        <v>6</v>
      </c>
      <c r="H1863" s="29" t="s">
        <v>3233</v>
      </c>
      <c r="I1863" s="33" t="s">
        <v>8512</v>
      </c>
      <c r="J1863" s="47" t="s">
        <v>8513</v>
      </c>
      <c r="K1863" s="61" t="s">
        <v>4779</v>
      </c>
      <c r="L1863" s="12" t="str">
        <f t="shared" si="87"/>
        <v>2,2,2</v>
      </c>
    </row>
    <row r="1864" spans="2:12">
      <c r="B1864" s="17">
        <v>2163</v>
      </c>
      <c r="C1864" s="17">
        <v>2</v>
      </c>
      <c r="D1864" s="17">
        <f t="shared" si="89"/>
        <v>0</v>
      </c>
      <c r="E1864" s="17">
        <f t="shared" si="88"/>
        <v>1768</v>
      </c>
      <c r="F1864" s="17" t="s">
        <v>4813</v>
      </c>
      <c r="G1864" s="17">
        <f>MATCH(E1864,Arenas!$F$8:$F$15)</f>
        <v>6</v>
      </c>
      <c r="H1864" s="29" t="s">
        <v>3234</v>
      </c>
      <c r="I1864" s="33" t="s">
        <v>8514</v>
      </c>
      <c r="J1864" s="47" t="s">
        <v>8515</v>
      </c>
      <c r="K1864" s="61" t="s">
        <v>4779</v>
      </c>
      <c r="L1864" s="12" t="str">
        <f t="shared" si="87"/>
        <v>2,2,2</v>
      </c>
    </row>
    <row r="1865" spans="2:12">
      <c r="B1865" s="17">
        <v>2164</v>
      </c>
      <c r="C1865" s="17">
        <v>2</v>
      </c>
      <c r="D1865" s="17">
        <f t="shared" si="89"/>
        <v>1</v>
      </c>
      <c r="E1865" s="17">
        <f t="shared" si="88"/>
        <v>1769</v>
      </c>
      <c r="F1865" s="17" t="s">
        <v>4813</v>
      </c>
      <c r="G1865" s="17">
        <f>MATCH(E1865,Arenas!$F$8:$F$15)</f>
        <v>6</v>
      </c>
      <c r="H1865" s="29" t="s">
        <v>3235</v>
      </c>
      <c r="I1865" s="33" t="s">
        <v>8516</v>
      </c>
      <c r="J1865" s="47" t="s">
        <v>8517</v>
      </c>
      <c r="K1865" s="61" t="s">
        <v>4807</v>
      </c>
      <c r="L1865" s="12" t="str">
        <f t="shared" si="87"/>
        <v>2,2,2</v>
      </c>
    </row>
    <row r="1866" spans="2:12">
      <c r="B1866" s="17">
        <v>2165</v>
      </c>
      <c r="C1866" s="17">
        <v>2</v>
      </c>
      <c r="D1866" s="17">
        <f t="shared" si="89"/>
        <v>0</v>
      </c>
      <c r="E1866" s="17">
        <f t="shared" si="88"/>
        <v>1769</v>
      </c>
      <c r="F1866" s="17" t="s">
        <v>4813</v>
      </c>
      <c r="G1866" s="17">
        <f>MATCH(E1866,Arenas!$F$8:$F$15)</f>
        <v>6</v>
      </c>
      <c r="H1866" s="29" t="s">
        <v>3236</v>
      </c>
      <c r="I1866" s="33" t="s">
        <v>8518</v>
      </c>
      <c r="J1866" s="47" t="s">
        <v>5452</v>
      </c>
      <c r="K1866" s="61" t="s">
        <v>4809</v>
      </c>
      <c r="L1866" s="12" t="str">
        <f t="shared" si="87"/>
        <v>2,2,2</v>
      </c>
    </row>
    <row r="1867" spans="2:12">
      <c r="B1867" s="17">
        <v>2166</v>
      </c>
      <c r="C1867" s="17">
        <v>2</v>
      </c>
      <c r="D1867" s="17">
        <f t="shared" si="89"/>
        <v>0</v>
      </c>
      <c r="E1867" s="17">
        <f t="shared" si="88"/>
        <v>1769</v>
      </c>
      <c r="F1867" s="17" t="s">
        <v>4813</v>
      </c>
      <c r="G1867" s="17">
        <f>MATCH(E1867,Arenas!$F$8:$F$15)</f>
        <v>6</v>
      </c>
      <c r="H1867" s="29" t="s">
        <v>3237</v>
      </c>
      <c r="I1867" s="33" t="s">
        <v>8519</v>
      </c>
      <c r="J1867" s="47" t="s">
        <v>4941</v>
      </c>
      <c r="K1867" s="61" t="s">
        <v>4779</v>
      </c>
      <c r="L1867" s="12" t="str">
        <f t="shared" si="87"/>
        <v>2,2,2</v>
      </c>
    </row>
    <row r="1868" spans="2:12">
      <c r="B1868" s="17">
        <v>2167</v>
      </c>
      <c r="C1868" s="17">
        <v>2</v>
      </c>
      <c r="D1868" s="17">
        <f t="shared" si="89"/>
        <v>1</v>
      </c>
      <c r="E1868" s="17">
        <f t="shared" si="88"/>
        <v>1770</v>
      </c>
      <c r="F1868" s="17" t="s">
        <v>4813</v>
      </c>
      <c r="G1868" s="17">
        <f>MATCH(E1868,Arenas!$F$8:$F$15)</f>
        <v>6</v>
      </c>
      <c r="H1868" s="29" t="s">
        <v>3238</v>
      </c>
      <c r="I1868" s="33" t="s">
        <v>8520</v>
      </c>
      <c r="J1868" s="47" t="s">
        <v>5782</v>
      </c>
      <c r="K1868" s="61" t="s">
        <v>4779</v>
      </c>
      <c r="L1868" s="12" t="str">
        <f t="shared" si="87"/>
        <v>2,2,2</v>
      </c>
    </row>
    <row r="1869" spans="2:12">
      <c r="B1869" s="17">
        <v>2168</v>
      </c>
      <c r="C1869" s="17">
        <v>2</v>
      </c>
      <c r="D1869" s="17">
        <f t="shared" si="89"/>
        <v>0</v>
      </c>
      <c r="E1869" s="17">
        <f t="shared" si="88"/>
        <v>1770</v>
      </c>
      <c r="F1869" s="17" t="s">
        <v>4813</v>
      </c>
      <c r="G1869" s="17">
        <f>MATCH(E1869,Arenas!$F$8:$F$15)</f>
        <v>6</v>
      </c>
      <c r="H1869" s="29" t="s">
        <v>3239</v>
      </c>
      <c r="I1869" s="33" t="s">
        <v>8521</v>
      </c>
      <c r="J1869" s="47" t="s">
        <v>5736</v>
      </c>
      <c r="K1869" s="61" t="s">
        <v>4779</v>
      </c>
      <c r="L1869" s="12" t="str">
        <f t="shared" si="87"/>
        <v>2,2,2</v>
      </c>
    </row>
    <row r="1870" spans="2:12">
      <c r="B1870" s="17">
        <v>2169</v>
      </c>
      <c r="C1870" s="17">
        <v>2</v>
      </c>
      <c r="D1870" s="17">
        <f t="shared" si="89"/>
        <v>0</v>
      </c>
      <c r="E1870" s="17">
        <f t="shared" si="88"/>
        <v>1770</v>
      </c>
      <c r="F1870" s="17" t="s">
        <v>4813</v>
      </c>
      <c r="G1870" s="17">
        <f>MATCH(E1870,Arenas!$F$8:$F$15)</f>
        <v>6</v>
      </c>
      <c r="H1870" s="29" t="s">
        <v>3240</v>
      </c>
      <c r="I1870" s="33" t="s">
        <v>8522</v>
      </c>
      <c r="J1870" s="47" t="s">
        <v>5800</v>
      </c>
      <c r="K1870" s="61" t="s">
        <v>4779</v>
      </c>
      <c r="L1870" s="12" t="str">
        <f t="shared" si="87"/>
        <v>2,2,2</v>
      </c>
    </row>
    <row r="1871" spans="2:12">
      <c r="B1871" s="17">
        <v>2170</v>
      </c>
      <c r="C1871" s="17">
        <v>2</v>
      </c>
      <c r="D1871" s="17">
        <f t="shared" si="89"/>
        <v>1</v>
      </c>
      <c r="E1871" s="17">
        <f t="shared" si="88"/>
        <v>1771</v>
      </c>
      <c r="F1871" s="17" t="s">
        <v>4813</v>
      </c>
      <c r="G1871" s="17">
        <f>MATCH(E1871,Arenas!$F$8:$F$15)</f>
        <v>6</v>
      </c>
      <c r="H1871" s="29" t="s">
        <v>3241</v>
      </c>
      <c r="I1871" s="33" t="s">
        <v>8523</v>
      </c>
      <c r="J1871" s="47" t="s">
        <v>5793</v>
      </c>
      <c r="K1871" s="61" t="s">
        <v>4779</v>
      </c>
      <c r="L1871" s="12" t="str">
        <f t="shared" si="87"/>
        <v>2,2,2</v>
      </c>
    </row>
    <row r="1872" spans="2:12">
      <c r="B1872" s="17">
        <v>2171</v>
      </c>
      <c r="C1872" s="17">
        <v>2</v>
      </c>
      <c r="D1872" s="17">
        <f t="shared" si="89"/>
        <v>0</v>
      </c>
      <c r="E1872" s="17">
        <f t="shared" si="88"/>
        <v>1771</v>
      </c>
      <c r="F1872" s="17" t="s">
        <v>4813</v>
      </c>
      <c r="G1872" s="17">
        <f>MATCH(E1872,Arenas!$F$8:$F$15)</f>
        <v>6</v>
      </c>
      <c r="H1872" s="29" t="s">
        <v>3242</v>
      </c>
      <c r="I1872" s="33" t="s">
        <v>8524</v>
      </c>
      <c r="J1872" s="47" t="s">
        <v>8525</v>
      </c>
      <c r="K1872" s="61" t="s">
        <v>4779</v>
      </c>
      <c r="L1872" s="12" t="str">
        <f t="shared" si="87"/>
        <v>2,2,2</v>
      </c>
    </row>
    <row r="1873" spans="2:12">
      <c r="B1873" s="17">
        <v>2172</v>
      </c>
      <c r="C1873" s="17">
        <v>2</v>
      </c>
      <c r="D1873" s="17">
        <f t="shared" si="89"/>
        <v>0</v>
      </c>
      <c r="E1873" s="17">
        <f t="shared" si="88"/>
        <v>1771</v>
      </c>
      <c r="F1873" s="17" t="s">
        <v>4813</v>
      </c>
      <c r="G1873" s="17">
        <f>MATCH(E1873,Arenas!$F$8:$F$15)</f>
        <v>6</v>
      </c>
      <c r="H1873" s="29" t="s">
        <v>3243</v>
      </c>
      <c r="I1873" s="33" t="s">
        <v>8526</v>
      </c>
      <c r="J1873" s="47" t="s">
        <v>5804</v>
      </c>
      <c r="K1873" s="61" t="s">
        <v>4779</v>
      </c>
      <c r="L1873" s="12" t="str">
        <f t="shared" si="87"/>
        <v>2,2,2</v>
      </c>
    </row>
    <row r="1874" spans="2:12">
      <c r="B1874" s="17">
        <v>2173</v>
      </c>
      <c r="C1874" s="17">
        <v>2</v>
      </c>
      <c r="D1874" s="17">
        <f t="shared" si="89"/>
        <v>1</v>
      </c>
      <c r="E1874" s="17">
        <f t="shared" si="88"/>
        <v>1772</v>
      </c>
      <c r="F1874" s="17" t="s">
        <v>4813</v>
      </c>
      <c r="G1874" s="17">
        <f>MATCH(E1874,Arenas!$F$8:$F$15)</f>
        <v>6</v>
      </c>
      <c r="H1874" s="29" t="s">
        <v>3244</v>
      </c>
      <c r="I1874" s="33" t="s">
        <v>8527</v>
      </c>
      <c r="J1874" s="47" t="s">
        <v>5479</v>
      </c>
      <c r="K1874" s="61" t="s">
        <v>4779</v>
      </c>
      <c r="L1874" s="12" t="str">
        <f t="shared" si="87"/>
        <v>2,2,2</v>
      </c>
    </row>
    <row r="1875" spans="2:12">
      <c r="B1875" s="17">
        <v>2174</v>
      </c>
      <c r="C1875" s="17">
        <v>2</v>
      </c>
      <c r="D1875" s="17">
        <f t="shared" si="89"/>
        <v>0</v>
      </c>
      <c r="E1875" s="17">
        <f t="shared" si="88"/>
        <v>1772</v>
      </c>
      <c r="F1875" s="17" t="s">
        <v>4813</v>
      </c>
      <c r="G1875" s="17">
        <f>MATCH(E1875,Arenas!$F$8:$F$15)</f>
        <v>6</v>
      </c>
      <c r="H1875" s="29" t="s">
        <v>3245</v>
      </c>
      <c r="I1875" s="33" t="s">
        <v>8528</v>
      </c>
      <c r="J1875" s="47" t="s">
        <v>5552</v>
      </c>
      <c r="K1875" s="61" t="s">
        <v>4808</v>
      </c>
      <c r="L1875" s="12" t="str">
        <f t="shared" si="87"/>
        <v>2,2,2</v>
      </c>
    </row>
    <row r="1876" spans="2:12">
      <c r="B1876" s="17">
        <v>2175</v>
      </c>
      <c r="C1876" s="17">
        <v>2</v>
      </c>
      <c r="D1876" s="17">
        <f t="shared" si="89"/>
        <v>0</v>
      </c>
      <c r="E1876" s="17">
        <f t="shared" si="88"/>
        <v>1772</v>
      </c>
      <c r="F1876" s="17" t="s">
        <v>4813</v>
      </c>
      <c r="G1876" s="17">
        <f>MATCH(E1876,Arenas!$F$8:$F$15)</f>
        <v>6</v>
      </c>
      <c r="H1876" s="29" t="s">
        <v>3246</v>
      </c>
      <c r="I1876" s="33" t="s">
        <v>8529</v>
      </c>
      <c r="J1876" s="47" t="s">
        <v>8530</v>
      </c>
      <c r="K1876" s="61" t="s">
        <v>4779</v>
      </c>
      <c r="L1876" s="12" t="str">
        <f t="shared" si="87"/>
        <v>2,2,2</v>
      </c>
    </row>
    <row r="1877" spans="2:12">
      <c r="B1877" s="17">
        <v>2176</v>
      </c>
      <c r="C1877" s="17">
        <v>2</v>
      </c>
      <c r="D1877" s="17">
        <f t="shared" si="89"/>
        <v>1</v>
      </c>
      <c r="E1877" s="17">
        <f t="shared" si="88"/>
        <v>1773</v>
      </c>
      <c r="F1877" s="17" t="s">
        <v>4813</v>
      </c>
      <c r="G1877" s="17">
        <f>MATCH(E1877,Arenas!$F$8:$F$15)</f>
        <v>6</v>
      </c>
      <c r="H1877" s="29" t="s">
        <v>3247</v>
      </c>
      <c r="I1877" s="33" t="s">
        <v>8531</v>
      </c>
      <c r="J1877" s="47" t="s">
        <v>5117</v>
      </c>
      <c r="K1877" s="61" t="s">
        <v>4779</v>
      </c>
      <c r="L1877" s="12" t="str">
        <f t="shared" si="87"/>
        <v>2,2,2</v>
      </c>
    </row>
    <row r="1878" spans="2:12">
      <c r="B1878" s="17">
        <v>2177</v>
      </c>
      <c r="C1878" s="17">
        <v>2</v>
      </c>
      <c r="D1878" s="17">
        <f t="shared" si="89"/>
        <v>0</v>
      </c>
      <c r="E1878" s="17">
        <f t="shared" si="88"/>
        <v>1773</v>
      </c>
      <c r="F1878" s="17" t="s">
        <v>4813</v>
      </c>
      <c r="G1878" s="17">
        <f>MATCH(E1878,Arenas!$F$8:$F$15)</f>
        <v>6</v>
      </c>
      <c r="H1878" s="29" t="s">
        <v>3248</v>
      </c>
      <c r="I1878" s="33" t="s">
        <v>8532</v>
      </c>
      <c r="J1878" s="47" t="s">
        <v>8533</v>
      </c>
      <c r="K1878" s="61" t="s">
        <v>4779</v>
      </c>
      <c r="L1878" s="12" t="str">
        <f t="shared" si="87"/>
        <v>2,2,2</v>
      </c>
    </row>
    <row r="1879" spans="2:12">
      <c r="B1879" s="17">
        <v>2178</v>
      </c>
      <c r="C1879" s="17">
        <v>2</v>
      </c>
      <c r="D1879" s="17">
        <f t="shared" si="89"/>
        <v>0</v>
      </c>
      <c r="E1879" s="17">
        <f t="shared" si="88"/>
        <v>1773</v>
      </c>
      <c r="F1879" s="17" t="s">
        <v>4813</v>
      </c>
      <c r="G1879" s="17">
        <f>MATCH(E1879,Arenas!$F$8:$F$15)</f>
        <v>6</v>
      </c>
      <c r="H1879" s="29" t="s">
        <v>3249</v>
      </c>
      <c r="I1879" s="33" t="s">
        <v>8534</v>
      </c>
      <c r="J1879" s="47" t="s">
        <v>5492</v>
      </c>
      <c r="K1879" s="61" t="s">
        <v>4779</v>
      </c>
      <c r="L1879" s="12" t="str">
        <f t="shared" si="87"/>
        <v>2,2,2</v>
      </c>
    </row>
    <row r="1880" spans="2:12">
      <c r="B1880" s="17">
        <v>2179</v>
      </c>
      <c r="C1880" s="17">
        <v>2</v>
      </c>
      <c r="D1880" s="17">
        <f t="shared" si="89"/>
        <v>1</v>
      </c>
      <c r="E1880" s="17">
        <f t="shared" si="88"/>
        <v>1774</v>
      </c>
      <c r="F1880" s="17" t="s">
        <v>4813</v>
      </c>
      <c r="G1880" s="17">
        <f>MATCH(E1880,Arenas!$F$8:$F$15)</f>
        <v>6</v>
      </c>
      <c r="H1880" s="29" t="s">
        <v>3250</v>
      </c>
      <c r="I1880" s="33" t="s">
        <v>8535</v>
      </c>
      <c r="J1880" s="47" t="s">
        <v>5096</v>
      </c>
      <c r="K1880" s="61" t="s">
        <v>4779</v>
      </c>
      <c r="L1880" s="12" t="str">
        <f t="shared" si="87"/>
        <v>2,2,2</v>
      </c>
    </row>
    <row r="1881" spans="2:12">
      <c r="B1881" s="17">
        <v>2180</v>
      </c>
      <c r="C1881" s="17">
        <v>2</v>
      </c>
      <c r="D1881" s="17">
        <f t="shared" si="89"/>
        <v>0</v>
      </c>
      <c r="E1881" s="17">
        <f t="shared" si="88"/>
        <v>1774</v>
      </c>
      <c r="F1881" s="17" t="s">
        <v>4813</v>
      </c>
      <c r="G1881" s="17">
        <f>MATCH(E1881,Arenas!$F$8:$F$15)</f>
        <v>6</v>
      </c>
      <c r="H1881" s="29" t="s">
        <v>3251</v>
      </c>
      <c r="I1881" s="33" t="s">
        <v>8536</v>
      </c>
      <c r="J1881" s="47" t="s">
        <v>7333</v>
      </c>
      <c r="K1881" s="61" t="s">
        <v>4779</v>
      </c>
      <c r="L1881" s="12" t="str">
        <f t="shared" si="87"/>
        <v>2,2,2</v>
      </c>
    </row>
    <row r="1882" spans="2:12">
      <c r="B1882" s="17">
        <v>2181</v>
      </c>
      <c r="C1882" s="17">
        <v>2</v>
      </c>
      <c r="D1882" s="17">
        <f t="shared" si="89"/>
        <v>0</v>
      </c>
      <c r="E1882" s="17">
        <f t="shared" si="88"/>
        <v>1774</v>
      </c>
      <c r="F1882" s="17" t="s">
        <v>4813</v>
      </c>
      <c r="G1882" s="17">
        <f>MATCH(E1882,Arenas!$F$8:$F$15)</f>
        <v>6</v>
      </c>
      <c r="H1882" s="29" t="s">
        <v>3252</v>
      </c>
      <c r="I1882" s="33" t="s">
        <v>8537</v>
      </c>
      <c r="J1882" s="47" t="s">
        <v>5138</v>
      </c>
      <c r="K1882" s="61" t="s">
        <v>4779</v>
      </c>
      <c r="L1882" s="12" t="str">
        <f t="shared" si="87"/>
        <v>2,2,2</v>
      </c>
    </row>
    <row r="1883" spans="2:12">
      <c r="B1883" s="17">
        <v>2182</v>
      </c>
      <c r="C1883" s="17">
        <v>2</v>
      </c>
      <c r="D1883" s="17">
        <f t="shared" si="89"/>
        <v>1</v>
      </c>
      <c r="E1883" s="17">
        <f t="shared" si="88"/>
        <v>1775</v>
      </c>
      <c r="F1883" s="17" t="s">
        <v>4813</v>
      </c>
      <c r="G1883" s="17">
        <f>MATCH(E1883,Arenas!$F$8:$F$15)</f>
        <v>6</v>
      </c>
      <c r="H1883" s="29" t="s">
        <v>3253</v>
      </c>
      <c r="I1883" s="33" t="s">
        <v>8538</v>
      </c>
      <c r="J1883" s="47" t="s">
        <v>5333</v>
      </c>
      <c r="K1883" s="61" t="s">
        <v>4779</v>
      </c>
      <c r="L1883" s="12" t="str">
        <f t="shared" si="87"/>
        <v>2,2,2</v>
      </c>
    </row>
    <row r="1884" spans="2:12">
      <c r="B1884" s="17">
        <v>2183</v>
      </c>
      <c r="C1884" s="17">
        <v>2</v>
      </c>
      <c r="D1884" s="17">
        <f t="shared" si="89"/>
        <v>0</v>
      </c>
      <c r="E1884" s="17">
        <f t="shared" si="88"/>
        <v>1775</v>
      </c>
      <c r="F1884" s="17" t="s">
        <v>4813</v>
      </c>
      <c r="G1884" s="17">
        <f>MATCH(E1884,Arenas!$F$8:$F$15)</f>
        <v>6</v>
      </c>
      <c r="H1884" s="29" t="s">
        <v>3254</v>
      </c>
      <c r="I1884" s="33" t="s">
        <v>8539</v>
      </c>
      <c r="J1884" s="47" t="s">
        <v>5699</v>
      </c>
      <c r="K1884" s="61" t="s">
        <v>4779</v>
      </c>
      <c r="L1884" s="12" t="str">
        <f t="shared" si="87"/>
        <v>2,2,2</v>
      </c>
    </row>
    <row r="1885" spans="2:12">
      <c r="B1885" s="17">
        <v>2184</v>
      </c>
      <c r="C1885" s="17">
        <v>2</v>
      </c>
      <c r="D1885" s="17">
        <f t="shared" si="89"/>
        <v>0</v>
      </c>
      <c r="E1885" s="17">
        <f t="shared" si="88"/>
        <v>1775</v>
      </c>
      <c r="F1885" s="17" t="s">
        <v>4813</v>
      </c>
      <c r="G1885" s="17">
        <f>MATCH(E1885,Arenas!$F$8:$F$15)</f>
        <v>6</v>
      </c>
      <c r="H1885" s="29" t="s">
        <v>3255</v>
      </c>
      <c r="I1885" s="33" t="s">
        <v>8540</v>
      </c>
      <c r="J1885" s="47" t="s">
        <v>5367</v>
      </c>
      <c r="K1885" s="61" t="s">
        <v>4779</v>
      </c>
      <c r="L1885" s="12" t="str">
        <f t="shared" si="87"/>
        <v>2,2,2</v>
      </c>
    </row>
    <row r="1886" spans="2:12">
      <c r="B1886" s="17">
        <v>2185</v>
      </c>
      <c r="C1886" s="17">
        <v>2</v>
      </c>
      <c r="D1886" s="17">
        <f t="shared" si="89"/>
        <v>1</v>
      </c>
      <c r="E1886" s="17">
        <f t="shared" si="88"/>
        <v>1776</v>
      </c>
      <c r="F1886" s="17" t="s">
        <v>4813</v>
      </c>
      <c r="G1886" s="17">
        <f>MATCH(E1886,Arenas!$F$8:$F$15)</f>
        <v>6</v>
      </c>
      <c r="H1886" s="29" t="s">
        <v>3256</v>
      </c>
      <c r="I1886" s="33" t="s">
        <v>8541</v>
      </c>
      <c r="J1886" s="47" t="s">
        <v>8542</v>
      </c>
      <c r="K1886" s="61" t="s">
        <v>4810</v>
      </c>
      <c r="L1886" s="12" t="str">
        <f t="shared" si="87"/>
        <v>2,2,2</v>
      </c>
    </row>
    <row r="1887" spans="2:12">
      <c r="B1887" s="17">
        <v>2186</v>
      </c>
      <c r="C1887" s="17">
        <v>2</v>
      </c>
      <c r="D1887" s="17">
        <f t="shared" si="89"/>
        <v>0</v>
      </c>
      <c r="E1887" s="17">
        <f t="shared" si="88"/>
        <v>1776</v>
      </c>
      <c r="F1887" s="17" t="s">
        <v>4813</v>
      </c>
      <c r="G1887" s="17">
        <f>MATCH(E1887,Arenas!$F$8:$F$15)</f>
        <v>6</v>
      </c>
      <c r="H1887" s="29" t="s">
        <v>3257</v>
      </c>
      <c r="I1887" s="33" t="s">
        <v>8543</v>
      </c>
      <c r="J1887" s="47" t="s">
        <v>8544</v>
      </c>
      <c r="K1887" s="61" t="s">
        <v>4779</v>
      </c>
      <c r="L1887" s="12" t="str">
        <f t="shared" si="87"/>
        <v>2,2,2</v>
      </c>
    </row>
    <row r="1888" spans="2:12">
      <c r="B1888" s="17">
        <v>2187</v>
      </c>
      <c r="C1888" s="17">
        <v>2</v>
      </c>
      <c r="D1888" s="17">
        <f t="shared" si="89"/>
        <v>0</v>
      </c>
      <c r="E1888" s="17">
        <f t="shared" si="88"/>
        <v>1776</v>
      </c>
      <c r="F1888" s="17" t="s">
        <v>4813</v>
      </c>
      <c r="G1888" s="17">
        <f>MATCH(E1888,Arenas!$F$8:$F$15)</f>
        <v>6</v>
      </c>
      <c r="H1888" s="29" t="s">
        <v>3258</v>
      </c>
      <c r="I1888" s="33" t="s">
        <v>8545</v>
      </c>
      <c r="J1888" s="47" t="s">
        <v>5505</v>
      </c>
      <c r="K1888" s="61" t="s">
        <v>4779</v>
      </c>
      <c r="L1888" s="12" t="str">
        <f t="shared" si="87"/>
        <v>2,2,2</v>
      </c>
    </row>
    <row r="1889" spans="2:12">
      <c r="B1889" s="17">
        <v>2188</v>
      </c>
      <c r="C1889" s="17">
        <v>2</v>
      </c>
      <c r="D1889" s="17">
        <f t="shared" si="89"/>
        <v>1</v>
      </c>
      <c r="E1889" s="17">
        <f t="shared" si="88"/>
        <v>1777</v>
      </c>
      <c r="F1889" s="17" t="s">
        <v>4813</v>
      </c>
      <c r="G1889" s="17">
        <f>MATCH(E1889,Arenas!$F$8:$F$15)</f>
        <v>6</v>
      </c>
      <c r="H1889" s="29" t="s">
        <v>3259</v>
      </c>
      <c r="I1889" s="33" t="s">
        <v>8546</v>
      </c>
      <c r="J1889" s="47" t="s">
        <v>8547</v>
      </c>
      <c r="K1889" s="61" t="s">
        <v>4779</v>
      </c>
      <c r="L1889" s="12" t="str">
        <f t="shared" si="87"/>
        <v>2,2,2</v>
      </c>
    </row>
    <row r="1890" spans="2:12">
      <c r="B1890" s="17">
        <v>2189</v>
      </c>
      <c r="C1890" s="17">
        <v>2</v>
      </c>
      <c r="D1890" s="17">
        <f t="shared" si="89"/>
        <v>0</v>
      </c>
      <c r="E1890" s="17">
        <f t="shared" si="88"/>
        <v>1777</v>
      </c>
      <c r="F1890" s="17" t="s">
        <v>4813</v>
      </c>
      <c r="G1890" s="17">
        <f>MATCH(E1890,Arenas!$F$8:$F$15)</f>
        <v>6</v>
      </c>
      <c r="H1890" s="29" t="s">
        <v>3260</v>
      </c>
      <c r="I1890" s="33" t="s">
        <v>8548</v>
      </c>
      <c r="J1890" s="47" t="s">
        <v>8468</v>
      </c>
      <c r="K1890" s="61" t="s">
        <v>4806</v>
      </c>
      <c r="L1890" s="12" t="str">
        <f t="shared" si="87"/>
        <v>2,2,2</v>
      </c>
    </row>
    <row r="1891" spans="2:12">
      <c r="B1891" s="17">
        <v>2190</v>
      </c>
      <c r="C1891" s="17">
        <v>2</v>
      </c>
      <c r="D1891" s="17">
        <f t="shared" si="89"/>
        <v>0</v>
      </c>
      <c r="E1891" s="17">
        <f t="shared" si="88"/>
        <v>1777</v>
      </c>
      <c r="F1891" s="17" t="s">
        <v>4813</v>
      </c>
      <c r="G1891" s="17">
        <f>MATCH(E1891,Arenas!$F$8:$F$15)</f>
        <v>6</v>
      </c>
      <c r="H1891" s="29" t="s">
        <v>3261</v>
      </c>
      <c r="I1891" s="33" t="s">
        <v>8549</v>
      </c>
      <c r="J1891" s="47" t="s">
        <v>8550</v>
      </c>
      <c r="K1891" s="61" t="s">
        <v>4779</v>
      </c>
      <c r="L1891" s="12" t="str">
        <f t="shared" si="87"/>
        <v>2,2,2</v>
      </c>
    </row>
    <row r="1892" spans="2:12">
      <c r="B1892" s="17">
        <v>2191</v>
      </c>
      <c r="C1892" s="17">
        <v>2</v>
      </c>
      <c r="D1892" s="17">
        <f t="shared" si="89"/>
        <v>1</v>
      </c>
      <c r="E1892" s="17">
        <f t="shared" si="88"/>
        <v>1778</v>
      </c>
      <c r="F1892" s="17" t="s">
        <v>4813</v>
      </c>
      <c r="G1892" s="17">
        <f>MATCH(E1892,Arenas!$F$8:$F$15)</f>
        <v>6</v>
      </c>
      <c r="H1892" s="29" t="s">
        <v>3262</v>
      </c>
      <c r="I1892" s="33" t="s">
        <v>8551</v>
      </c>
      <c r="J1892" s="47" t="s">
        <v>8552</v>
      </c>
      <c r="K1892" s="61" t="s">
        <v>4779</v>
      </c>
      <c r="L1892" s="12" t="str">
        <f t="shared" si="87"/>
        <v>2,2,2</v>
      </c>
    </row>
    <row r="1893" spans="2:12">
      <c r="B1893" s="17">
        <v>2192</v>
      </c>
      <c r="C1893" s="17">
        <v>2</v>
      </c>
      <c r="D1893" s="17">
        <f t="shared" si="89"/>
        <v>0</v>
      </c>
      <c r="E1893" s="17">
        <f t="shared" si="88"/>
        <v>1778</v>
      </c>
      <c r="F1893" s="17" t="s">
        <v>4813</v>
      </c>
      <c r="G1893" s="17">
        <f>MATCH(E1893,Arenas!$F$8:$F$15)</f>
        <v>6</v>
      </c>
      <c r="H1893" s="29" t="s">
        <v>3263</v>
      </c>
      <c r="I1893" s="33" t="s">
        <v>8553</v>
      </c>
      <c r="J1893" s="47" t="s">
        <v>8554</v>
      </c>
      <c r="K1893" s="61" t="s">
        <v>4779</v>
      </c>
      <c r="L1893" s="12" t="str">
        <f t="shared" si="87"/>
        <v>2,2,2</v>
      </c>
    </row>
    <row r="1894" spans="2:12">
      <c r="B1894" s="17">
        <v>2193</v>
      </c>
      <c r="C1894" s="17">
        <v>2</v>
      </c>
      <c r="D1894" s="17">
        <f t="shared" si="89"/>
        <v>0</v>
      </c>
      <c r="E1894" s="17">
        <f t="shared" si="88"/>
        <v>1778</v>
      </c>
      <c r="F1894" s="17" t="s">
        <v>4813</v>
      </c>
      <c r="G1894" s="17">
        <f>MATCH(E1894,Arenas!$F$8:$F$15)</f>
        <v>6</v>
      </c>
      <c r="H1894" s="29" t="s">
        <v>3264</v>
      </c>
      <c r="I1894" s="33" t="s">
        <v>8555</v>
      </c>
      <c r="J1894" s="47" t="s">
        <v>5122</v>
      </c>
      <c r="K1894" s="61" t="s">
        <v>4779</v>
      </c>
      <c r="L1894" s="12" t="str">
        <f t="shared" si="87"/>
        <v>2,2,2</v>
      </c>
    </row>
    <row r="1895" spans="2:12">
      <c r="B1895" s="17">
        <v>2194</v>
      </c>
      <c r="C1895" s="17">
        <v>2</v>
      </c>
      <c r="D1895" s="17">
        <f t="shared" si="89"/>
        <v>1</v>
      </c>
      <c r="E1895" s="17">
        <f t="shared" si="88"/>
        <v>1779</v>
      </c>
      <c r="F1895" s="17" t="s">
        <v>4813</v>
      </c>
      <c r="G1895" s="17">
        <f>MATCH(E1895,Arenas!$F$8:$F$15)</f>
        <v>6</v>
      </c>
      <c r="H1895" s="29" t="s">
        <v>3265</v>
      </c>
      <c r="I1895" s="33" t="s">
        <v>8556</v>
      </c>
      <c r="J1895" s="47" t="s">
        <v>8557</v>
      </c>
      <c r="K1895" s="61" t="s">
        <v>4779</v>
      </c>
      <c r="L1895" s="12" t="str">
        <f t="shared" si="87"/>
        <v>2,2,2</v>
      </c>
    </row>
    <row r="1896" spans="2:12">
      <c r="B1896" s="17">
        <v>2195</v>
      </c>
      <c r="C1896" s="17">
        <v>2</v>
      </c>
      <c r="D1896" s="17">
        <f t="shared" si="89"/>
        <v>0</v>
      </c>
      <c r="E1896" s="17">
        <f t="shared" si="88"/>
        <v>1779</v>
      </c>
      <c r="F1896" s="17" t="s">
        <v>4813</v>
      </c>
      <c r="G1896" s="17">
        <f>MATCH(E1896,Arenas!$F$8:$F$15)</f>
        <v>6</v>
      </c>
      <c r="H1896" s="29" t="s">
        <v>3266</v>
      </c>
      <c r="I1896" s="33" t="s">
        <v>8558</v>
      </c>
      <c r="J1896" s="47" t="s">
        <v>5585</v>
      </c>
      <c r="K1896" s="61" t="s">
        <v>4779</v>
      </c>
      <c r="L1896" s="12" t="str">
        <f t="shared" si="87"/>
        <v>2,2,2</v>
      </c>
    </row>
    <row r="1897" spans="2:12">
      <c r="B1897" s="17">
        <v>2196</v>
      </c>
      <c r="C1897" s="17">
        <v>2</v>
      </c>
      <c r="D1897" s="17">
        <f t="shared" si="89"/>
        <v>0</v>
      </c>
      <c r="E1897" s="17">
        <f t="shared" si="88"/>
        <v>1779</v>
      </c>
      <c r="F1897" s="17" t="s">
        <v>4813</v>
      </c>
      <c r="G1897" s="17">
        <f>MATCH(E1897,Arenas!$F$8:$F$15)</f>
        <v>6</v>
      </c>
      <c r="H1897" s="29" t="s">
        <v>3267</v>
      </c>
      <c r="I1897" s="33" t="s">
        <v>8559</v>
      </c>
      <c r="J1897" s="47" t="s">
        <v>5500</v>
      </c>
      <c r="K1897" s="61" t="s">
        <v>4779</v>
      </c>
      <c r="L1897" s="12" t="str">
        <f t="shared" si="87"/>
        <v>2,2,2</v>
      </c>
    </row>
    <row r="1898" spans="2:12">
      <c r="B1898" s="17">
        <v>2197</v>
      </c>
      <c r="C1898" s="17">
        <v>2</v>
      </c>
      <c r="D1898" s="17">
        <f t="shared" si="89"/>
        <v>1</v>
      </c>
      <c r="E1898" s="17">
        <f t="shared" si="88"/>
        <v>1780</v>
      </c>
      <c r="F1898" s="17" t="s">
        <v>4813</v>
      </c>
      <c r="G1898" s="17">
        <f>MATCH(E1898,Arenas!$F$8:$F$15)</f>
        <v>6</v>
      </c>
      <c r="H1898" s="29" t="s">
        <v>3268</v>
      </c>
      <c r="I1898" s="33" t="s">
        <v>8560</v>
      </c>
      <c r="J1898" s="47" t="s">
        <v>8561</v>
      </c>
      <c r="K1898" s="61" t="s">
        <v>4779</v>
      </c>
      <c r="L1898" s="12" t="str">
        <f t="shared" si="87"/>
        <v>2,2,2</v>
      </c>
    </row>
    <row r="1899" spans="2:12">
      <c r="B1899" s="17">
        <v>2198</v>
      </c>
      <c r="C1899" s="17">
        <v>2</v>
      </c>
      <c r="D1899" s="17">
        <f t="shared" si="89"/>
        <v>0</v>
      </c>
      <c r="E1899" s="17">
        <f t="shared" si="88"/>
        <v>1780</v>
      </c>
      <c r="F1899" s="17" t="s">
        <v>4813</v>
      </c>
      <c r="G1899" s="17">
        <f>MATCH(E1899,Arenas!$F$8:$F$15)</f>
        <v>6</v>
      </c>
      <c r="H1899" s="29" t="s">
        <v>3269</v>
      </c>
      <c r="I1899" s="33" t="s">
        <v>8562</v>
      </c>
      <c r="J1899" s="47" t="s">
        <v>8563</v>
      </c>
      <c r="K1899" s="61" t="s">
        <v>4779</v>
      </c>
      <c r="L1899" s="12" t="str">
        <f t="shared" si="87"/>
        <v>2,2,2</v>
      </c>
    </row>
    <row r="1900" spans="2:12">
      <c r="B1900" s="17">
        <v>2199</v>
      </c>
      <c r="C1900" s="17">
        <v>2</v>
      </c>
      <c r="D1900" s="17">
        <f t="shared" si="89"/>
        <v>0</v>
      </c>
      <c r="E1900" s="17">
        <f t="shared" si="88"/>
        <v>1780</v>
      </c>
      <c r="F1900" s="17" t="s">
        <v>4813</v>
      </c>
      <c r="G1900" s="17">
        <f>MATCH(E1900,Arenas!$F$8:$F$15)</f>
        <v>6</v>
      </c>
      <c r="H1900" s="29" t="s">
        <v>3270</v>
      </c>
      <c r="I1900" s="33" t="s">
        <v>8564</v>
      </c>
      <c r="J1900" s="47" t="s">
        <v>8565</v>
      </c>
      <c r="K1900" s="61" t="s">
        <v>4779</v>
      </c>
      <c r="L1900" s="12" t="str">
        <f t="shared" si="87"/>
        <v>2,2,2</v>
      </c>
    </row>
    <row r="1901" spans="2:12">
      <c r="B1901" s="17">
        <v>2200</v>
      </c>
      <c r="C1901" s="17">
        <v>2</v>
      </c>
      <c r="D1901" s="17">
        <f t="shared" si="89"/>
        <v>1</v>
      </c>
      <c r="E1901" s="17">
        <f t="shared" si="88"/>
        <v>1781</v>
      </c>
      <c r="F1901" s="17" t="s">
        <v>4813</v>
      </c>
      <c r="G1901" s="17">
        <f>MATCH(E1901,Arenas!$F$8:$F$15)</f>
        <v>6</v>
      </c>
      <c r="H1901" s="29" t="s">
        <v>3271</v>
      </c>
      <c r="I1901" s="33" t="s">
        <v>8566</v>
      </c>
      <c r="J1901" s="47" t="s">
        <v>8567</v>
      </c>
      <c r="K1901" s="61" t="s">
        <v>4806</v>
      </c>
      <c r="L1901" s="12" t="str">
        <f t="shared" si="87"/>
        <v>2,2,2</v>
      </c>
    </row>
    <row r="1902" spans="2:12">
      <c r="B1902" s="17">
        <v>2201</v>
      </c>
      <c r="C1902" s="17">
        <v>2</v>
      </c>
      <c r="D1902" s="17">
        <f t="shared" si="89"/>
        <v>0</v>
      </c>
      <c r="E1902" s="17">
        <f t="shared" si="88"/>
        <v>1781</v>
      </c>
      <c r="F1902" s="17" t="s">
        <v>4813</v>
      </c>
      <c r="G1902" s="17">
        <f>MATCH(E1902,Arenas!$F$8:$F$15)</f>
        <v>6</v>
      </c>
      <c r="H1902" s="29" t="s">
        <v>3272</v>
      </c>
      <c r="I1902" s="33" t="s">
        <v>8568</v>
      </c>
      <c r="J1902" s="47" t="s">
        <v>8569</v>
      </c>
      <c r="K1902" s="61" t="s">
        <v>4779</v>
      </c>
      <c r="L1902" s="12" t="str">
        <f t="shared" si="87"/>
        <v>2,2,2</v>
      </c>
    </row>
    <row r="1903" spans="2:12">
      <c r="B1903" s="17">
        <v>2202</v>
      </c>
      <c r="C1903" s="17">
        <v>2</v>
      </c>
      <c r="D1903" s="17">
        <f t="shared" si="89"/>
        <v>0</v>
      </c>
      <c r="E1903" s="17">
        <f t="shared" si="88"/>
        <v>1781</v>
      </c>
      <c r="F1903" s="17" t="s">
        <v>4813</v>
      </c>
      <c r="G1903" s="17">
        <f>MATCH(E1903,Arenas!$F$8:$F$15)</f>
        <v>6</v>
      </c>
      <c r="H1903" s="29" t="s">
        <v>3273</v>
      </c>
      <c r="I1903" s="33" t="s">
        <v>8570</v>
      </c>
      <c r="J1903" s="47" t="s">
        <v>8571</v>
      </c>
      <c r="K1903" s="61" t="s">
        <v>4779</v>
      </c>
      <c r="L1903" s="12" t="str">
        <f t="shared" si="87"/>
        <v>2,2,2</v>
      </c>
    </row>
    <row r="1904" spans="2:12">
      <c r="B1904" s="17">
        <v>2203</v>
      </c>
      <c r="C1904" s="17">
        <v>2</v>
      </c>
      <c r="D1904" s="17">
        <f t="shared" si="89"/>
        <v>1</v>
      </c>
      <c r="E1904" s="17">
        <f t="shared" si="88"/>
        <v>1782</v>
      </c>
      <c r="F1904" s="17" t="s">
        <v>4813</v>
      </c>
      <c r="G1904" s="17">
        <f>MATCH(E1904,Arenas!$F$8:$F$15)</f>
        <v>6</v>
      </c>
      <c r="H1904" s="29" t="s">
        <v>3274</v>
      </c>
      <c r="I1904" s="33" t="s">
        <v>8572</v>
      </c>
      <c r="J1904" s="47" t="s">
        <v>8573</v>
      </c>
      <c r="K1904" s="61" t="s">
        <v>4779</v>
      </c>
      <c r="L1904" s="12" t="str">
        <f t="shared" si="87"/>
        <v>2,2,2</v>
      </c>
    </row>
    <row r="1905" spans="2:12">
      <c r="B1905" s="17">
        <v>2204</v>
      </c>
      <c r="C1905" s="17">
        <v>2</v>
      </c>
      <c r="D1905" s="17">
        <f t="shared" si="89"/>
        <v>0</v>
      </c>
      <c r="E1905" s="17">
        <f t="shared" si="88"/>
        <v>1782</v>
      </c>
      <c r="F1905" s="17" t="s">
        <v>4813</v>
      </c>
      <c r="G1905" s="17">
        <f>MATCH(E1905,Arenas!$F$8:$F$15)</f>
        <v>6</v>
      </c>
      <c r="H1905" s="29" t="s">
        <v>3275</v>
      </c>
      <c r="I1905" s="33" t="s">
        <v>8574</v>
      </c>
      <c r="J1905" s="47" t="s">
        <v>7205</v>
      </c>
      <c r="K1905" s="61" t="s">
        <v>4779</v>
      </c>
      <c r="L1905" s="12" t="str">
        <f t="shared" si="87"/>
        <v>2,2,2</v>
      </c>
    </row>
    <row r="1906" spans="2:12">
      <c r="B1906" s="17">
        <v>2205</v>
      </c>
      <c r="C1906" s="17">
        <v>2</v>
      </c>
      <c r="D1906" s="17">
        <f t="shared" si="89"/>
        <v>0</v>
      </c>
      <c r="E1906" s="17">
        <f t="shared" si="88"/>
        <v>1782</v>
      </c>
      <c r="F1906" s="17" t="s">
        <v>4813</v>
      </c>
      <c r="G1906" s="17">
        <f>MATCH(E1906,Arenas!$F$8:$F$15)</f>
        <v>6</v>
      </c>
      <c r="H1906" s="29" t="s">
        <v>3276</v>
      </c>
      <c r="I1906" s="33" t="s">
        <v>8575</v>
      </c>
      <c r="J1906" s="47" t="s">
        <v>8576</v>
      </c>
      <c r="K1906" s="61" t="s">
        <v>4779</v>
      </c>
      <c r="L1906" s="12" t="str">
        <f t="shared" si="87"/>
        <v>2,2,2</v>
      </c>
    </row>
    <row r="1907" spans="2:12">
      <c r="B1907" s="17">
        <v>2206</v>
      </c>
      <c r="C1907" s="17">
        <v>2</v>
      </c>
      <c r="D1907" s="17">
        <f t="shared" si="89"/>
        <v>1</v>
      </c>
      <c r="E1907" s="17">
        <f t="shared" si="88"/>
        <v>1783</v>
      </c>
      <c r="F1907" s="17" t="s">
        <v>4813</v>
      </c>
      <c r="G1907" s="17">
        <f>MATCH(E1907,Arenas!$F$8:$F$15)</f>
        <v>6</v>
      </c>
      <c r="H1907" s="29" t="s">
        <v>3277</v>
      </c>
      <c r="I1907" s="33" t="s">
        <v>8577</v>
      </c>
      <c r="J1907" s="47" t="s">
        <v>8578</v>
      </c>
      <c r="K1907" s="61" t="s">
        <v>4779</v>
      </c>
      <c r="L1907" s="12" t="str">
        <f t="shared" si="87"/>
        <v>2,2,2</v>
      </c>
    </row>
    <row r="1908" spans="2:12">
      <c r="B1908" s="17">
        <v>2207</v>
      </c>
      <c r="C1908" s="17">
        <v>2</v>
      </c>
      <c r="D1908" s="17">
        <f t="shared" si="89"/>
        <v>0</v>
      </c>
      <c r="E1908" s="17">
        <f t="shared" si="88"/>
        <v>1783</v>
      </c>
      <c r="F1908" s="17" t="s">
        <v>4813</v>
      </c>
      <c r="G1908" s="17">
        <f>MATCH(E1908,Arenas!$F$8:$F$15)</f>
        <v>6</v>
      </c>
      <c r="H1908" s="29" t="s">
        <v>3278</v>
      </c>
      <c r="I1908" s="33" t="s">
        <v>8579</v>
      </c>
      <c r="J1908" s="47" t="s">
        <v>8580</v>
      </c>
      <c r="K1908" s="61" t="s">
        <v>4779</v>
      </c>
      <c r="L1908" s="12" t="str">
        <f t="shared" si="87"/>
        <v>2,2,2</v>
      </c>
    </row>
    <row r="1909" spans="2:12">
      <c r="B1909" s="17">
        <v>2208</v>
      </c>
      <c r="C1909" s="17">
        <v>2</v>
      </c>
      <c r="D1909" s="17">
        <f t="shared" si="89"/>
        <v>0</v>
      </c>
      <c r="E1909" s="17">
        <f t="shared" si="88"/>
        <v>1783</v>
      </c>
      <c r="F1909" s="17" t="s">
        <v>4813</v>
      </c>
      <c r="G1909" s="17">
        <f>MATCH(E1909,Arenas!$F$8:$F$15)</f>
        <v>6</v>
      </c>
      <c r="H1909" s="29" t="s">
        <v>3279</v>
      </c>
      <c r="I1909" s="33" t="s">
        <v>8581</v>
      </c>
      <c r="J1909" s="47" t="s">
        <v>4716</v>
      </c>
      <c r="K1909" s="61" t="s">
        <v>4779</v>
      </c>
      <c r="L1909" s="12" t="str">
        <f t="shared" si="87"/>
        <v>2,2,2</v>
      </c>
    </row>
    <row r="1910" spans="2:12">
      <c r="B1910" s="17">
        <v>2209</v>
      </c>
      <c r="C1910" s="17">
        <v>2</v>
      </c>
      <c r="D1910" s="17">
        <f t="shared" si="89"/>
        <v>1</v>
      </c>
      <c r="E1910" s="17">
        <f t="shared" si="88"/>
        <v>1784</v>
      </c>
      <c r="F1910" s="17" t="s">
        <v>4813</v>
      </c>
      <c r="G1910" s="17">
        <f>MATCH(E1910,Arenas!$F$8:$F$15)</f>
        <v>6</v>
      </c>
      <c r="H1910" s="29" t="s">
        <v>3280</v>
      </c>
      <c r="I1910" s="33" t="s">
        <v>8582</v>
      </c>
      <c r="J1910" s="47" t="s">
        <v>8583</v>
      </c>
      <c r="K1910" s="61" t="s">
        <v>4779</v>
      </c>
      <c r="L1910" s="12" t="str">
        <f t="shared" si="87"/>
        <v>2,2,2</v>
      </c>
    </row>
    <row r="1911" spans="2:12">
      <c r="B1911" s="17">
        <v>2210</v>
      </c>
      <c r="C1911" s="17">
        <v>2</v>
      </c>
      <c r="D1911" s="17">
        <f t="shared" si="89"/>
        <v>0</v>
      </c>
      <c r="E1911" s="17">
        <f t="shared" si="88"/>
        <v>1784</v>
      </c>
      <c r="F1911" s="17" t="s">
        <v>4813</v>
      </c>
      <c r="G1911" s="17">
        <f>MATCH(E1911,Arenas!$F$8:$F$15)</f>
        <v>6</v>
      </c>
      <c r="H1911" s="29" t="s">
        <v>3281</v>
      </c>
      <c r="I1911" s="33" t="s">
        <v>8584</v>
      </c>
      <c r="J1911" s="47" t="s">
        <v>8585</v>
      </c>
      <c r="K1911" s="61" t="s">
        <v>4779</v>
      </c>
      <c r="L1911" s="12" t="str">
        <f t="shared" si="87"/>
        <v>2,2,2</v>
      </c>
    </row>
    <row r="1912" spans="2:12">
      <c r="B1912" s="17">
        <v>2211</v>
      </c>
      <c r="C1912" s="17">
        <v>2</v>
      </c>
      <c r="D1912" s="17">
        <f t="shared" si="89"/>
        <v>0</v>
      </c>
      <c r="E1912" s="17">
        <f t="shared" si="88"/>
        <v>1784</v>
      </c>
      <c r="F1912" s="17" t="s">
        <v>4813</v>
      </c>
      <c r="G1912" s="17">
        <f>MATCH(E1912,Arenas!$F$8:$F$15)</f>
        <v>6</v>
      </c>
      <c r="H1912" s="29" t="s">
        <v>3282</v>
      </c>
      <c r="I1912" s="33" t="s">
        <v>8586</v>
      </c>
      <c r="J1912" s="47" t="s">
        <v>8587</v>
      </c>
      <c r="K1912" s="61" t="s">
        <v>4779</v>
      </c>
      <c r="L1912" s="12" t="str">
        <f t="shared" si="87"/>
        <v>2,2,2</v>
      </c>
    </row>
    <row r="1913" spans="2:12">
      <c r="B1913" s="17">
        <v>2212</v>
      </c>
      <c r="C1913" s="17">
        <v>2</v>
      </c>
      <c r="D1913" s="17">
        <f t="shared" si="89"/>
        <v>1</v>
      </c>
      <c r="E1913" s="17">
        <f t="shared" si="88"/>
        <v>1785</v>
      </c>
      <c r="F1913" s="17" t="s">
        <v>4813</v>
      </c>
      <c r="G1913" s="17">
        <f>MATCH(E1913,Arenas!$F$8:$F$15)</f>
        <v>6</v>
      </c>
      <c r="H1913" s="29" t="s">
        <v>3283</v>
      </c>
      <c r="I1913" s="33" t="s">
        <v>8588</v>
      </c>
      <c r="J1913" s="47" t="s">
        <v>8589</v>
      </c>
      <c r="K1913" s="61" t="s">
        <v>4779</v>
      </c>
      <c r="L1913" s="12" t="str">
        <f t="shared" si="87"/>
        <v>2,2,2</v>
      </c>
    </row>
    <row r="1914" spans="2:12">
      <c r="B1914" s="17">
        <v>2213</v>
      </c>
      <c r="C1914" s="17">
        <v>2</v>
      </c>
      <c r="D1914" s="17">
        <f t="shared" si="89"/>
        <v>0</v>
      </c>
      <c r="E1914" s="17">
        <f t="shared" si="88"/>
        <v>1785</v>
      </c>
      <c r="F1914" s="17" t="s">
        <v>4813</v>
      </c>
      <c r="G1914" s="17">
        <f>MATCH(E1914,Arenas!$F$8:$F$15)</f>
        <v>6</v>
      </c>
      <c r="H1914" s="29" t="s">
        <v>3284</v>
      </c>
      <c r="I1914" s="33" t="s">
        <v>8590</v>
      </c>
      <c r="J1914" s="47" t="s">
        <v>8591</v>
      </c>
      <c r="K1914" s="61" t="s">
        <v>4779</v>
      </c>
      <c r="L1914" s="12" t="str">
        <f t="shared" si="87"/>
        <v>2,2,2</v>
      </c>
    </row>
    <row r="1915" spans="2:12">
      <c r="B1915" s="17">
        <v>2214</v>
      </c>
      <c r="C1915" s="17">
        <v>2</v>
      </c>
      <c r="D1915" s="17">
        <f t="shared" si="89"/>
        <v>0</v>
      </c>
      <c r="E1915" s="17">
        <f t="shared" si="88"/>
        <v>1785</v>
      </c>
      <c r="F1915" s="17" t="s">
        <v>4813</v>
      </c>
      <c r="G1915" s="17">
        <f>MATCH(E1915,Arenas!$F$8:$F$15)</f>
        <v>6</v>
      </c>
      <c r="H1915" s="29" t="s">
        <v>3285</v>
      </c>
      <c r="I1915" s="33" t="s">
        <v>8592</v>
      </c>
      <c r="J1915" s="47" t="s">
        <v>8593</v>
      </c>
      <c r="K1915" s="61" t="s">
        <v>4779</v>
      </c>
      <c r="L1915" s="12" t="str">
        <f t="shared" si="87"/>
        <v>2,2,2</v>
      </c>
    </row>
    <row r="1916" spans="2:12">
      <c r="B1916" s="17">
        <v>2215</v>
      </c>
      <c r="C1916" s="17">
        <v>2</v>
      </c>
      <c r="D1916" s="17">
        <f t="shared" si="89"/>
        <v>1</v>
      </c>
      <c r="E1916" s="17">
        <f t="shared" si="88"/>
        <v>1786</v>
      </c>
      <c r="F1916" s="17" t="s">
        <v>4813</v>
      </c>
      <c r="G1916" s="17">
        <f>MATCH(E1916,Arenas!$F$8:$F$15)</f>
        <v>6</v>
      </c>
      <c r="H1916" s="29" t="s">
        <v>3286</v>
      </c>
      <c r="I1916" s="33" t="s">
        <v>8594</v>
      </c>
      <c r="J1916" s="47" t="s">
        <v>8595</v>
      </c>
      <c r="K1916" s="61" t="s">
        <v>4779</v>
      </c>
      <c r="L1916" s="12" t="str">
        <f t="shared" si="87"/>
        <v>2,2,2</v>
      </c>
    </row>
    <row r="1917" spans="2:12">
      <c r="B1917" s="17">
        <v>2216</v>
      </c>
      <c r="C1917" s="17">
        <v>2</v>
      </c>
      <c r="D1917" s="17">
        <f t="shared" si="89"/>
        <v>0</v>
      </c>
      <c r="E1917" s="17">
        <f t="shared" si="88"/>
        <v>1786</v>
      </c>
      <c r="F1917" s="17" t="s">
        <v>4813</v>
      </c>
      <c r="G1917" s="17">
        <f>MATCH(E1917,Arenas!$F$8:$F$15)</f>
        <v>6</v>
      </c>
      <c r="H1917" s="29" t="s">
        <v>3287</v>
      </c>
      <c r="I1917" s="33" t="s">
        <v>8596</v>
      </c>
      <c r="J1917" s="47" t="s">
        <v>8597</v>
      </c>
      <c r="K1917" s="61" t="s">
        <v>4779</v>
      </c>
      <c r="L1917" s="12" t="str">
        <f t="shared" si="87"/>
        <v>2,2,2</v>
      </c>
    </row>
    <row r="1918" spans="2:12">
      <c r="B1918" s="17">
        <v>2217</v>
      </c>
      <c r="C1918" s="17">
        <v>2</v>
      </c>
      <c r="D1918" s="17">
        <f t="shared" si="89"/>
        <v>0</v>
      </c>
      <c r="E1918" s="17">
        <f t="shared" si="88"/>
        <v>1786</v>
      </c>
      <c r="F1918" s="17" t="s">
        <v>4813</v>
      </c>
      <c r="G1918" s="17">
        <f>MATCH(E1918,Arenas!$F$8:$F$15)</f>
        <v>6</v>
      </c>
      <c r="H1918" s="29" t="s">
        <v>3288</v>
      </c>
      <c r="I1918" s="33" t="s">
        <v>8598</v>
      </c>
      <c r="J1918" s="47" t="s">
        <v>8599</v>
      </c>
      <c r="K1918" s="61" t="s">
        <v>4779</v>
      </c>
      <c r="L1918" s="12" t="str">
        <f t="shared" si="87"/>
        <v>2,2,2</v>
      </c>
    </row>
    <row r="1919" spans="2:12">
      <c r="B1919" s="17">
        <v>2218</v>
      </c>
      <c r="C1919" s="17">
        <v>2</v>
      </c>
      <c r="D1919" s="17">
        <f t="shared" si="89"/>
        <v>1</v>
      </c>
      <c r="E1919" s="17">
        <f t="shared" si="88"/>
        <v>1787</v>
      </c>
      <c r="F1919" s="17" t="s">
        <v>4813</v>
      </c>
      <c r="G1919" s="17">
        <f>MATCH(E1919,Arenas!$F$8:$F$15)</f>
        <v>6</v>
      </c>
      <c r="H1919" s="29" t="s">
        <v>3289</v>
      </c>
      <c r="I1919" s="33" t="s">
        <v>8600</v>
      </c>
      <c r="J1919" s="47" t="s">
        <v>8601</v>
      </c>
      <c r="K1919" s="61" t="s">
        <v>4779</v>
      </c>
      <c r="L1919" s="12" t="str">
        <f t="shared" si="87"/>
        <v>2,2,2</v>
      </c>
    </row>
    <row r="1920" spans="2:12">
      <c r="B1920" s="17">
        <v>2219</v>
      </c>
      <c r="C1920" s="17">
        <v>2</v>
      </c>
      <c r="D1920" s="17">
        <f t="shared" si="89"/>
        <v>0</v>
      </c>
      <c r="E1920" s="17">
        <f t="shared" si="88"/>
        <v>1787</v>
      </c>
      <c r="F1920" s="17" t="s">
        <v>4813</v>
      </c>
      <c r="G1920" s="17">
        <f>MATCH(E1920,Arenas!$F$8:$F$15)</f>
        <v>6</v>
      </c>
      <c r="H1920" s="29" t="s">
        <v>3290</v>
      </c>
      <c r="I1920" s="33" t="s">
        <v>8602</v>
      </c>
      <c r="J1920" s="47" t="s">
        <v>4717</v>
      </c>
      <c r="K1920" s="61" t="s">
        <v>4810</v>
      </c>
      <c r="L1920" s="12" t="str">
        <f t="shared" si="87"/>
        <v>2,2,2</v>
      </c>
    </row>
    <row r="1921" spans="2:12">
      <c r="B1921" s="17">
        <v>2220</v>
      </c>
      <c r="C1921" s="17">
        <v>2</v>
      </c>
      <c r="D1921" s="17">
        <f t="shared" si="89"/>
        <v>0</v>
      </c>
      <c r="E1921" s="17">
        <f t="shared" si="88"/>
        <v>1787</v>
      </c>
      <c r="F1921" s="17" t="s">
        <v>4813</v>
      </c>
      <c r="G1921" s="17">
        <f>MATCH(E1921,Arenas!$F$8:$F$15)</f>
        <v>6</v>
      </c>
      <c r="H1921" s="29" t="s">
        <v>3291</v>
      </c>
      <c r="I1921" s="33" t="s">
        <v>8603</v>
      </c>
      <c r="J1921" s="47" t="s">
        <v>8604</v>
      </c>
      <c r="K1921" s="61" t="s">
        <v>4779</v>
      </c>
      <c r="L1921" s="12" t="str">
        <f t="shared" si="87"/>
        <v>2,2,2</v>
      </c>
    </row>
    <row r="1922" spans="2:12">
      <c r="B1922" s="17">
        <v>2221</v>
      </c>
      <c r="C1922" s="17">
        <v>2</v>
      </c>
      <c r="D1922" s="17">
        <f t="shared" si="89"/>
        <v>1</v>
      </c>
      <c r="E1922" s="17">
        <f t="shared" si="88"/>
        <v>1788</v>
      </c>
      <c r="F1922" s="17" t="s">
        <v>4813</v>
      </c>
      <c r="G1922" s="17">
        <f>MATCH(E1922,Arenas!$F$8:$F$15)</f>
        <v>6</v>
      </c>
      <c r="H1922" s="29" t="s">
        <v>3292</v>
      </c>
      <c r="I1922" s="33" t="s">
        <v>8605</v>
      </c>
      <c r="J1922" s="47" t="s">
        <v>5860</v>
      </c>
      <c r="K1922" s="61" t="s">
        <v>4779</v>
      </c>
      <c r="L1922" s="12" t="str">
        <f t="shared" ref="L1922:L1985" si="90">C1922&amp;","&amp;C1922&amp;","&amp;C1922</f>
        <v>2,2,2</v>
      </c>
    </row>
    <row r="1923" spans="2:12">
      <c r="B1923" s="17">
        <v>2222</v>
      </c>
      <c r="C1923" s="17">
        <v>2</v>
      </c>
      <c r="D1923" s="17">
        <f t="shared" si="89"/>
        <v>0</v>
      </c>
      <c r="E1923" s="17">
        <f t="shared" ref="E1923:E1986" si="91">D1923+E1922</f>
        <v>1788</v>
      </c>
      <c r="F1923" s="17" t="s">
        <v>4813</v>
      </c>
      <c r="G1923" s="17">
        <f>MATCH(E1923,Arenas!$F$8:$F$15)</f>
        <v>6</v>
      </c>
      <c r="H1923" s="29" t="s">
        <v>3293</v>
      </c>
      <c r="I1923" s="33" t="s">
        <v>8606</v>
      </c>
      <c r="J1923" s="47" t="s">
        <v>8607</v>
      </c>
      <c r="K1923" s="61" t="s">
        <v>4779</v>
      </c>
      <c r="L1923" s="12" t="str">
        <f t="shared" si="90"/>
        <v>2,2,2</v>
      </c>
    </row>
    <row r="1924" spans="2:12">
      <c r="B1924" s="17">
        <v>2223</v>
      </c>
      <c r="C1924" s="17">
        <v>2</v>
      </c>
      <c r="D1924" s="17">
        <f t="shared" si="89"/>
        <v>0</v>
      </c>
      <c r="E1924" s="17">
        <f t="shared" si="91"/>
        <v>1788</v>
      </c>
      <c r="F1924" s="17" t="s">
        <v>4813</v>
      </c>
      <c r="G1924" s="17">
        <f>MATCH(E1924,Arenas!$F$8:$F$15)</f>
        <v>6</v>
      </c>
      <c r="H1924" s="29" t="s">
        <v>3294</v>
      </c>
      <c r="I1924" s="33" t="s">
        <v>8608</v>
      </c>
      <c r="J1924" s="47" t="s">
        <v>8609</v>
      </c>
      <c r="K1924" s="61" t="s">
        <v>4779</v>
      </c>
      <c r="L1924" s="12" t="str">
        <f t="shared" si="90"/>
        <v>2,2,2</v>
      </c>
    </row>
    <row r="1925" spans="2:12">
      <c r="B1925" s="17">
        <v>2224</v>
      </c>
      <c r="C1925" s="17">
        <v>2</v>
      </c>
      <c r="D1925" s="17">
        <f t="shared" ref="D1925:D1988" si="92">D1922</f>
        <v>1</v>
      </c>
      <c r="E1925" s="17">
        <f t="shared" si="91"/>
        <v>1789</v>
      </c>
      <c r="F1925" s="17" t="s">
        <v>4813</v>
      </c>
      <c r="G1925" s="17">
        <f>MATCH(E1925,Arenas!$F$8:$F$15)</f>
        <v>6</v>
      </c>
      <c r="H1925" s="29" t="s">
        <v>3295</v>
      </c>
      <c r="I1925" s="33" t="s">
        <v>8610</v>
      </c>
      <c r="J1925" s="47" t="s">
        <v>8611</v>
      </c>
      <c r="K1925" s="61" t="s">
        <v>4779</v>
      </c>
      <c r="L1925" s="12" t="str">
        <f t="shared" si="90"/>
        <v>2,2,2</v>
      </c>
    </row>
    <row r="1926" spans="2:12">
      <c r="B1926" s="17">
        <v>2225</v>
      </c>
      <c r="C1926" s="17">
        <v>2</v>
      </c>
      <c r="D1926" s="17">
        <f t="shared" si="92"/>
        <v>0</v>
      </c>
      <c r="E1926" s="17">
        <f t="shared" si="91"/>
        <v>1789</v>
      </c>
      <c r="F1926" s="17" t="s">
        <v>4813</v>
      </c>
      <c r="G1926" s="17">
        <f>MATCH(E1926,Arenas!$F$8:$F$15)</f>
        <v>6</v>
      </c>
      <c r="H1926" s="29" t="s">
        <v>3296</v>
      </c>
      <c r="I1926" s="33" t="s">
        <v>8612</v>
      </c>
      <c r="J1926" s="47" t="s">
        <v>8613</v>
      </c>
      <c r="K1926" s="61" t="s">
        <v>4779</v>
      </c>
      <c r="L1926" s="12" t="str">
        <f t="shared" si="90"/>
        <v>2,2,2</v>
      </c>
    </row>
    <row r="1927" spans="2:12">
      <c r="B1927" s="17">
        <v>2226</v>
      </c>
      <c r="C1927" s="17">
        <v>2</v>
      </c>
      <c r="D1927" s="17">
        <f t="shared" si="92"/>
        <v>0</v>
      </c>
      <c r="E1927" s="17">
        <f t="shared" si="91"/>
        <v>1789</v>
      </c>
      <c r="F1927" s="17" t="s">
        <v>4813</v>
      </c>
      <c r="G1927" s="17">
        <f>MATCH(E1927,Arenas!$F$8:$F$15)</f>
        <v>6</v>
      </c>
      <c r="H1927" s="29" t="s">
        <v>3297</v>
      </c>
      <c r="I1927" s="33" t="s">
        <v>8614</v>
      </c>
      <c r="J1927" s="47" t="s">
        <v>8615</v>
      </c>
      <c r="K1927" s="61" t="s">
        <v>4808</v>
      </c>
      <c r="L1927" s="12" t="str">
        <f t="shared" si="90"/>
        <v>2,2,2</v>
      </c>
    </row>
    <row r="1928" spans="2:12">
      <c r="B1928" s="17">
        <v>2227</v>
      </c>
      <c r="C1928" s="17">
        <v>2</v>
      </c>
      <c r="D1928" s="17">
        <f t="shared" si="92"/>
        <v>1</v>
      </c>
      <c r="E1928" s="17">
        <f t="shared" si="91"/>
        <v>1790</v>
      </c>
      <c r="F1928" s="17" t="s">
        <v>4813</v>
      </c>
      <c r="G1928" s="17">
        <f>MATCH(E1928,Arenas!$F$8:$F$15)</f>
        <v>6</v>
      </c>
      <c r="H1928" s="29" t="s">
        <v>3298</v>
      </c>
      <c r="I1928" s="33" t="s">
        <v>8616</v>
      </c>
      <c r="J1928" s="47" t="s">
        <v>8617</v>
      </c>
      <c r="K1928" s="61" t="s">
        <v>4810</v>
      </c>
      <c r="L1928" s="12" t="str">
        <f t="shared" si="90"/>
        <v>2,2,2</v>
      </c>
    </row>
    <row r="1929" spans="2:12">
      <c r="B1929" s="17">
        <v>2228</v>
      </c>
      <c r="C1929" s="17">
        <v>2</v>
      </c>
      <c r="D1929" s="17">
        <f t="shared" si="92"/>
        <v>0</v>
      </c>
      <c r="E1929" s="17">
        <f t="shared" si="91"/>
        <v>1790</v>
      </c>
      <c r="F1929" s="17" t="s">
        <v>4813</v>
      </c>
      <c r="G1929" s="17">
        <f>MATCH(E1929,Arenas!$F$8:$F$15)</f>
        <v>6</v>
      </c>
      <c r="H1929" s="29" t="s">
        <v>3299</v>
      </c>
      <c r="I1929" s="33" t="s">
        <v>8618</v>
      </c>
      <c r="J1929" s="47" t="s">
        <v>8619</v>
      </c>
      <c r="K1929" s="61" t="s">
        <v>4779</v>
      </c>
      <c r="L1929" s="12" t="str">
        <f t="shared" si="90"/>
        <v>2,2,2</v>
      </c>
    </row>
    <row r="1930" spans="2:12">
      <c r="B1930" s="17">
        <v>2229</v>
      </c>
      <c r="C1930" s="17">
        <v>2</v>
      </c>
      <c r="D1930" s="17">
        <f t="shared" si="92"/>
        <v>0</v>
      </c>
      <c r="E1930" s="17">
        <f t="shared" si="91"/>
        <v>1790</v>
      </c>
      <c r="F1930" s="17" t="s">
        <v>4813</v>
      </c>
      <c r="G1930" s="17">
        <f>MATCH(E1930,Arenas!$F$8:$F$15)</f>
        <v>6</v>
      </c>
      <c r="H1930" s="29" t="s">
        <v>3300</v>
      </c>
      <c r="I1930" s="33" t="s">
        <v>8620</v>
      </c>
      <c r="J1930" s="47" t="s">
        <v>5537</v>
      </c>
      <c r="K1930" s="61" t="s">
        <v>4779</v>
      </c>
      <c r="L1930" s="12" t="str">
        <f t="shared" si="90"/>
        <v>2,2,2</v>
      </c>
    </row>
    <row r="1931" spans="2:12">
      <c r="B1931" s="17">
        <v>2230</v>
      </c>
      <c r="C1931" s="17">
        <v>2</v>
      </c>
      <c r="D1931" s="17">
        <f t="shared" si="92"/>
        <v>1</v>
      </c>
      <c r="E1931" s="17">
        <f t="shared" si="91"/>
        <v>1791</v>
      </c>
      <c r="F1931" s="17" t="s">
        <v>4813</v>
      </c>
      <c r="G1931" s="17">
        <f>MATCH(E1931,Arenas!$F$8:$F$15)</f>
        <v>6</v>
      </c>
      <c r="H1931" s="29" t="s">
        <v>3301</v>
      </c>
      <c r="I1931" s="33" t="s">
        <v>8621</v>
      </c>
      <c r="J1931" s="47" t="s">
        <v>8622</v>
      </c>
      <c r="K1931" s="61" t="s">
        <v>4809</v>
      </c>
      <c r="L1931" s="12" t="str">
        <f t="shared" si="90"/>
        <v>2,2,2</v>
      </c>
    </row>
    <row r="1932" spans="2:12">
      <c r="B1932" s="17">
        <v>2231</v>
      </c>
      <c r="C1932" s="17">
        <v>2</v>
      </c>
      <c r="D1932" s="17">
        <f t="shared" si="92"/>
        <v>0</v>
      </c>
      <c r="E1932" s="17">
        <f t="shared" si="91"/>
        <v>1791</v>
      </c>
      <c r="F1932" s="17" t="s">
        <v>4813</v>
      </c>
      <c r="G1932" s="17">
        <f>MATCH(E1932,Arenas!$F$8:$F$15)</f>
        <v>6</v>
      </c>
      <c r="H1932" s="29" t="s">
        <v>3302</v>
      </c>
      <c r="I1932" s="33" t="s">
        <v>8623</v>
      </c>
      <c r="J1932" s="47" t="s">
        <v>7708</v>
      </c>
      <c r="K1932" s="61" t="s">
        <v>4779</v>
      </c>
      <c r="L1932" s="12" t="str">
        <f t="shared" si="90"/>
        <v>2,2,2</v>
      </c>
    </row>
    <row r="1933" spans="2:12">
      <c r="B1933" s="17">
        <v>2232</v>
      </c>
      <c r="C1933" s="17">
        <v>2</v>
      </c>
      <c r="D1933" s="17">
        <f t="shared" si="92"/>
        <v>0</v>
      </c>
      <c r="E1933" s="17">
        <f t="shared" si="91"/>
        <v>1791</v>
      </c>
      <c r="F1933" s="17" t="s">
        <v>4813</v>
      </c>
      <c r="G1933" s="17">
        <f>MATCH(E1933,Arenas!$F$8:$F$15)</f>
        <v>6</v>
      </c>
      <c r="H1933" s="29" t="s">
        <v>3303</v>
      </c>
      <c r="I1933" s="33" t="s">
        <v>8624</v>
      </c>
      <c r="J1933" s="47" t="s">
        <v>8625</v>
      </c>
      <c r="K1933" s="61" t="s">
        <v>4779</v>
      </c>
      <c r="L1933" s="12" t="str">
        <f t="shared" si="90"/>
        <v>2,2,2</v>
      </c>
    </row>
    <row r="1934" spans="2:12">
      <c r="B1934" s="17">
        <v>2233</v>
      </c>
      <c r="C1934" s="17">
        <v>2</v>
      </c>
      <c r="D1934" s="17">
        <f t="shared" si="92"/>
        <v>1</v>
      </c>
      <c r="E1934" s="17">
        <f t="shared" si="91"/>
        <v>1792</v>
      </c>
      <c r="F1934" s="17" t="s">
        <v>4813</v>
      </c>
      <c r="G1934" s="17">
        <f>MATCH(E1934,Arenas!$F$8:$F$15)</f>
        <v>6</v>
      </c>
      <c r="H1934" s="29" t="s">
        <v>3304</v>
      </c>
      <c r="I1934" s="33" t="s">
        <v>8626</v>
      </c>
      <c r="J1934" s="47" t="s">
        <v>5747</v>
      </c>
      <c r="K1934" s="61" t="s">
        <v>4807</v>
      </c>
      <c r="L1934" s="12" t="str">
        <f t="shared" si="90"/>
        <v>2,2,2</v>
      </c>
    </row>
    <row r="1935" spans="2:12">
      <c r="B1935" s="17">
        <v>2234</v>
      </c>
      <c r="C1935" s="17">
        <v>2</v>
      </c>
      <c r="D1935" s="17">
        <f t="shared" si="92"/>
        <v>0</v>
      </c>
      <c r="E1935" s="17">
        <f t="shared" si="91"/>
        <v>1792</v>
      </c>
      <c r="F1935" s="17" t="s">
        <v>4813</v>
      </c>
      <c r="G1935" s="17">
        <f>MATCH(E1935,Arenas!$F$8:$F$15)</f>
        <v>6</v>
      </c>
      <c r="H1935" s="29" t="s">
        <v>3305</v>
      </c>
      <c r="I1935" s="33" t="s">
        <v>8627</v>
      </c>
      <c r="J1935" s="47" t="s">
        <v>8628</v>
      </c>
      <c r="K1935" s="61" t="s">
        <v>4779</v>
      </c>
      <c r="L1935" s="12" t="str">
        <f t="shared" si="90"/>
        <v>2,2,2</v>
      </c>
    </row>
    <row r="1936" spans="2:12">
      <c r="B1936" s="17">
        <v>2235</v>
      </c>
      <c r="C1936" s="17">
        <v>2</v>
      </c>
      <c r="D1936" s="17">
        <f t="shared" si="92"/>
        <v>0</v>
      </c>
      <c r="E1936" s="17">
        <f t="shared" si="91"/>
        <v>1792</v>
      </c>
      <c r="F1936" s="17" t="s">
        <v>4813</v>
      </c>
      <c r="G1936" s="17">
        <f>MATCH(E1936,Arenas!$F$8:$F$15)</f>
        <v>6</v>
      </c>
      <c r="H1936" s="29" t="s">
        <v>3306</v>
      </c>
      <c r="I1936" s="33" t="s">
        <v>8629</v>
      </c>
      <c r="J1936" s="47" t="s">
        <v>8630</v>
      </c>
      <c r="K1936" s="61" t="s">
        <v>4779</v>
      </c>
      <c r="L1936" s="12" t="str">
        <f t="shared" si="90"/>
        <v>2,2,2</v>
      </c>
    </row>
    <row r="1937" spans="2:12">
      <c r="B1937" s="17">
        <v>2236</v>
      </c>
      <c r="C1937" s="17">
        <v>2</v>
      </c>
      <c r="D1937" s="17">
        <f t="shared" si="92"/>
        <v>1</v>
      </c>
      <c r="E1937" s="17">
        <f t="shared" si="91"/>
        <v>1793</v>
      </c>
      <c r="F1937" s="17" t="s">
        <v>4813</v>
      </c>
      <c r="G1937" s="17">
        <f>MATCH(E1937,Arenas!$F$8:$F$15)</f>
        <v>6</v>
      </c>
      <c r="H1937" s="29" t="s">
        <v>3307</v>
      </c>
      <c r="I1937" s="33" t="s">
        <v>8631</v>
      </c>
      <c r="J1937" s="47" t="s">
        <v>5772</v>
      </c>
      <c r="K1937" s="61" t="s">
        <v>4779</v>
      </c>
      <c r="L1937" s="12" t="str">
        <f t="shared" si="90"/>
        <v>2,2,2</v>
      </c>
    </row>
    <row r="1938" spans="2:12">
      <c r="B1938" s="17">
        <v>2237</v>
      </c>
      <c r="C1938" s="17">
        <v>2</v>
      </c>
      <c r="D1938" s="17">
        <f t="shared" si="92"/>
        <v>0</v>
      </c>
      <c r="E1938" s="17">
        <f t="shared" si="91"/>
        <v>1793</v>
      </c>
      <c r="F1938" s="17" t="s">
        <v>4813</v>
      </c>
      <c r="G1938" s="17">
        <f>MATCH(E1938,Arenas!$F$8:$F$15)</f>
        <v>6</v>
      </c>
      <c r="H1938" s="29" t="s">
        <v>3308</v>
      </c>
      <c r="I1938" s="33" t="s">
        <v>8632</v>
      </c>
      <c r="J1938" s="47" t="s">
        <v>7917</v>
      </c>
      <c r="K1938" s="61" t="s">
        <v>4809</v>
      </c>
      <c r="L1938" s="12" t="str">
        <f t="shared" si="90"/>
        <v>2,2,2</v>
      </c>
    </row>
    <row r="1939" spans="2:12">
      <c r="B1939" s="17">
        <v>2238</v>
      </c>
      <c r="C1939" s="17">
        <v>2</v>
      </c>
      <c r="D1939" s="17">
        <f t="shared" si="92"/>
        <v>0</v>
      </c>
      <c r="E1939" s="17">
        <f t="shared" si="91"/>
        <v>1793</v>
      </c>
      <c r="F1939" s="17" t="s">
        <v>4813</v>
      </c>
      <c r="G1939" s="17">
        <f>MATCH(E1939,Arenas!$F$8:$F$15)</f>
        <v>6</v>
      </c>
      <c r="H1939" s="29" t="s">
        <v>3309</v>
      </c>
      <c r="I1939" s="33" t="s">
        <v>8633</v>
      </c>
      <c r="J1939" s="47" t="s">
        <v>8634</v>
      </c>
      <c r="K1939" s="61" t="s">
        <v>4779</v>
      </c>
      <c r="L1939" s="12" t="str">
        <f t="shared" si="90"/>
        <v>2,2,2</v>
      </c>
    </row>
    <row r="1940" spans="2:12">
      <c r="B1940" s="17">
        <v>2239</v>
      </c>
      <c r="C1940" s="17">
        <v>2</v>
      </c>
      <c r="D1940" s="17">
        <f t="shared" si="92"/>
        <v>1</v>
      </c>
      <c r="E1940" s="17">
        <f t="shared" si="91"/>
        <v>1794</v>
      </c>
      <c r="F1940" s="17" t="s">
        <v>4813</v>
      </c>
      <c r="G1940" s="17">
        <f>MATCH(E1940,Arenas!$F$8:$F$15)</f>
        <v>6</v>
      </c>
      <c r="H1940" s="29" t="s">
        <v>3310</v>
      </c>
      <c r="I1940" s="33" t="s">
        <v>8635</v>
      </c>
      <c r="J1940" s="47" t="s">
        <v>8636</v>
      </c>
      <c r="K1940" s="61" t="s">
        <v>4779</v>
      </c>
      <c r="L1940" s="12" t="str">
        <f t="shared" si="90"/>
        <v>2,2,2</v>
      </c>
    </row>
    <row r="1941" spans="2:12">
      <c r="B1941" s="17">
        <v>2240</v>
      </c>
      <c r="C1941" s="17">
        <v>2</v>
      </c>
      <c r="D1941" s="17">
        <f t="shared" si="92"/>
        <v>0</v>
      </c>
      <c r="E1941" s="17">
        <f t="shared" si="91"/>
        <v>1794</v>
      </c>
      <c r="F1941" s="17" t="s">
        <v>4813</v>
      </c>
      <c r="G1941" s="17">
        <f>MATCH(E1941,Arenas!$F$8:$F$15)</f>
        <v>6</v>
      </c>
      <c r="H1941" s="29" t="s">
        <v>3311</v>
      </c>
      <c r="I1941" s="33" t="s">
        <v>8637</v>
      </c>
      <c r="J1941" s="47" t="s">
        <v>5142</v>
      </c>
      <c r="K1941" s="61" t="s">
        <v>4779</v>
      </c>
      <c r="L1941" s="12" t="str">
        <f t="shared" si="90"/>
        <v>2,2,2</v>
      </c>
    </row>
    <row r="1942" spans="2:12">
      <c r="B1942" s="17">
        <v>2241</v>
      </c>
      <c r="C1942" s="17">
        <v>2</v>
      </c>
      <c r="D1942" s="17">
        <f t="shared" si="92"/>
        <v>0</v>
      </c>
      <c r="E1942" s="17">
        <f t="shared" si="91"/>
        <v>1794</v>
      </c>
      <c r="F1942" s="17" t="s">
        <v>4813</v>
      </c>
      <c r="G1942" s="17">
        <f>MATCH(E1942,Arenas!$F$8:$F$15)</f>
        <v>6</v>
      </c>
      <c r="H1942" s="29" t="s">
        <v>3312</v>
      </c>
      <c r="I1942" s="33" t="s">
        <v>8638</v>
      </c>
      <c r="J1942" s="47" t="s">
        <v>8639</v>
      </c>
      <c r="K1942" s="61" t="s">
        <v>4779</v>
      </c>
      <c r="L1942" s="12" t="str">
        <f t="shared" si="90"/>
        <v>2,2,2</v>
      </c>
    </row>
    <row r="1943" spans="2:12">
      <c r="B1943" s="17">
        <v>2242</v>
      </c>
      <c r="C1943" s="17">
        <v>2</v>
      </c>
      <c r="D1943" s="17">
        <f t="shared" si="92"/>
        <v>1</v>
      </c>
      <c r="E1943" s="17">
        <f t="shared" si="91"/>
        <v>1795</v>
      </c>
      <c r="F1943" s="17" t="s">
        <v>4813</v>
      </c>
      <c r="G1943" s="17">
        <f>MATCH(E1943,Arenas!$F$8:$F$15)</f>
        <v>6</v>
      </c>
      <c r="H1943" s="29" t="s">
        <v>3313</v>
      </c>
      <c r="I1943" s="33" t="s">
        <v>8640</v>
      </c>
      <c r="J1943" s="47" t="s">
        <v>8641</v>
      </c>
      <c r="K1943" s="61" t="s">
        <v>4779</v>
      </c>
      <c r="L1943" s="12" t="str">
        <f t="shared" si="90"/>
        <v>2,2,2</v>
      </c>
    </row>
    <row r="1944" spans="2:12">
      <c r="B1944" s="17">
        <v>2243</v>
      </c>
      <c r="C1944" s="17">
        <v>2</v>
      </c>
      <c r="D1944" s="17">
        <f t="shared" si="92"/>
        <v>0</v>
      </c>
      <c r="E1944" s="17">
        <f t="shared" si="91"/>
        <v>1795</v>
      </c>
      <c r="F1944" s="17" t="s">
        <v>4813</v>
      </c>
      <c r="G1944" s="17">
        <f>MATCH(E1944,Arenas!$F$8:$F$15)</f>
        <v>6</v>
      </c>
      <c r="H1944" s="29" t="s">
        <v>3314</v>
      </c>
      <c r="I1944" s="33" t="s">
        <v>8642</v>
      </c>
      <c r="J1944" s="47" t="s">
        <v>8643</v>
      </c>
      <c r="K1944" s="61" t="s">
        <v>4779</v>
      </c>
      <c r="L1944" s="12" t="str">
        <f t="shared" si="90"/>
        <v>2,2,2</v>
      </c>
    </row>
    <row r="1945" spans="2:12">
      <c r="B1945" s="17">
        <v>2244</v>
      </c>
      <c r="C1945" s="17">
        <v>2</v>
      </c>
      <c r="D1945" s="17">
        <f t="shared" si="92"/>
        <v>0</v>
      </c>
      <c r="E1945" s="17">
        <f t="shared" si="91"/>
        <v>1795</v>
      </c>
      <c r="F1945" s="17" t="s">
        <v>4813</v>
      </c>
      <c r="G1945" s="17">
        <f>MATCH(E1945,Arenas!$F$8:$F$15)</f>
        <v>6</v>
      </c>
      <c r="H1945" s="29" t="s">
        <v>3315</v>
      </c>
      <c r="I1945" s="33" t="s">
        <v>8644</v>
      </c>
      <c r="J1945" s="47" t="s">
        <v>8645</v>
      </c>
      <c r="K1945" s="61" t="s">
        <v>4779</v>
      </c>
      <c r="L1945" s="12" t="str">
        <f t="shared" si="90"/>
        <v>2,2,2</v>
      </c>
    </row>
    <row r="1946" spans="2:12">
      <c r="B1946" s="17">
        <v>2245</v>
      </c>
      <c r="C1946" s="17">
        <v>2</v>
      </c>
      <c r="D1946" s="17">
        <f t="shared" si="92"/>
        <v>1</v>
      </c>
      <c r="E1946" s="17">
        <f t="shared" si="91"/>
        <v>1796</v>
      </c>
      <c r="F1946" s="17" t="s">
        <v>4813</v>
      </c>
      <c r="G1946" s="17">
        <f>MATCH(E1946,Arenas!$F$8:$F$15)</f>
        <v>6</v>
      </c>
      <c r="H1946" s="29" t="s">
        <v>3316</v>
      </c>
      <c r="I1946" s="33" t="s">
        <v>8646</v>
      </c>
      <c r="J1946" s="47" t="s">
        <v>5902</v>
      </c>
      <c r="K1946" s="61" t="s">
        <v>4779</v>
      </c>
      <c r="L1946" s="12" t="str">
        <f t="shared" si="90"/>
        <v>2,2,2</v>
      </c>
    </row>
    <row r="1947" spans="2:12">
      <c r="B1947" s="17">
        <v>2246</v>
      </c>
      <c r="C1947" s="17">
        <v>2</v>
      </c>
      <c r="D1947" s="17">
        <f t="shared" si="92"/>
        <v>0</v>
      </c>
      <c r="E1947" s="17">
        <f t="shared" si="91"/>
        <v>1796</v>
      </c>
      <c r="F1947" s="17" t="s">
        <v>4813</v>
      </c>
      <c r="G1947" s="17">
        <f>MATCH(E1947,Arenas!$F$8:$F$15)</f>
        <v>6</v>
      </c>
      <c r="H1947" s="29" t="s">
        <v>3317</v>
      </c>
      <c r="I1947" s="33" t="s">
        <v>8647</v>
      </c>
      <c r="J1947" s="47" t="s">
        <v>8648</v>
      </c>
      <c r="K1947" s="61" t="s">
        <v>4779</v>
      </c>
      <c r="L1947" s="12" t="str">
        <f t="shared" si="90"/>
        <v>2,2,2</v>
      </c>
    </row>
    <row r="1948" spans="2:12">
      <c r="B1948" s="17">
        <v>2247</v>
      </c>
      <c r="C1948" s="17">
        <v>2</v>
      </c>
      <c r="D1948" s="17">
        <f t="shared" si="92"/>
        <v>0</v>
      </c>
      <c r="E1948" s="17">
        <f t="shared" si="91"/>
        <v>1796</v>
      </c>
      <c r="F1948" s="17" t="s">
        <v>4813</v>
      </c>
      <c r="G1948" s="17">
        <f>MATCH(E1948,Arenas!$F$8:$F$15)</f>
        <v>6</v>
      </c>
      <c r="H1948" s="29" t="s">
        <v>3318</v>
      </c>
      <c r="I1948" s="33" t="s">
        <v>8649</v>
      </c>
      <c r="J1948" s="47" t="s">
        <v>8650</v>
      </c>
      <c r="K1948" s="61" t="s">
        <v>4779</v>
      </c>
      <c r="L1948" s="12" t="str">
        <f t="shared" si="90"/>
        <v>2,2,2</v>
      </c>
    </row>
    <row r="1949" spans="2:12">
      <c r="B1949" s="17">
        <v>2248</v>
      </c>
      <c r="C1949" s="17">
        <v>2</v>
      </c>
      <c r="D1949" s="17">
        <f t="shared" si="92"/>
        <v>1</v>
      </c>
      <c r="E1949" s="17">
        <f t="shared" si="91"/>
        <v>1797</v>
      </c>
      <c r="F1949" s="17" t="s">
        <v>4813</v>
      </c>
      <c r="G1949" s="17">
        <f>MATCH(E1949,Arenas!$F$8:$F$15)</f>
        <v>6</v>
      </c>
      <c r="H1949" s="29" t="s">
        <v>3319</v>
      </c>
      <c r="I1949" s="33" t="s">
        <v>8651</v>
      </c>
      <c r="J1949" s="47" t="s">
        <v>8652</v>
      </c>
      <c r="K1949" s="61" t="s">
        <v>4779</v>
      </c>
      <c r="L1949" s="12" t="str">
        <f t="shared" si="90"/>
        <v>2,2,2</v>
      </c>
    </row>
    <row r="1950" spans="2:12">
      <c r="B1950" s="17">
        <v>2249</v>
      </c>
      <c r="C1950" s="17">
        <v>2</v>
      </c>
      <c r="D1950" s="17">
        <f t="shared" si="92"/>
        <v>0</v>
      </c>
      <c r="E1950" s="17">
        <f t="shared" si="91"/>
        <v>1797</v>
      </c>
      <c r="F1950" s="17" t="s">
        <v>4813</v>
      </c>
      <c r="G1950" s="17">
        <f>MATCH(E1950,Arenas!$F$8:$F$15)</f>
        <v>6</v>
      </c>
      <c r="H1950" s="29" t="s">
        <v>3320</v>
      </c>
      <c r="I1950" s="33" t="s">
        <v>8653</v>
      </c>
      <c r="J1950" s="47" t="s">
        <v>8630</v>
      </c>
      <c r="K1950" s="61" t="s">
        <v>4779</v>
      </c>
      <c r="L1950" s="12" t="str">
        <f t="shared" si="90"/>
        <v>2,2,2</v>
      </c>
    </row>
    <row r="1951" spans="2:12">
      <c r="B1951" s="17">
        <v>2250</v>
      </c>
      <c r="C1951" s="17">
        <v>2</v>
      </c>
      <c r="D1951" s="17">
        <f t="shared" si="92"/>
        <v>0</v>
      </c>
      <c r="E1951" s="17">
        <f t="shared" si="91"/>
        <v>1797</v>
      </c>
      <c r="F1951" s="17" t="s">
        <v>4813</v>
      </c>
      <c r="G1951" s="17">
        <f>MATCH(E1951,Arenas!$F$8:$F$15)</f>
        <v>6</v>
      </c>
      <c r="H1951" s="29" t="s">
        <v>3321</v>
      </c>
      <c r="I1951" s="33" t="s">
        <v>8654</v>
      </c>
      <c r="J1951" s="47" t="s">
        <v>8655</v>
      </c>
      <c r="K1951" s="61" t="s">
        <v>4779</v>
      </c>
      <c r="L1951" s="12" t="str">
        <f t="shared" si="90"/>
        <v>2,2,2</v>
      </c>
    </row>
    <row r="1952" spans="2:12">
      <c r="B1952" s="17">
        <v>2251</v>
      </c>
      <c r="C1952" s="17">
        <v>2</v>
      </c>
      <c r="D1952" s="17">
        <f t="shared" si="92"/>
        <v>1</v>
      </c>
      <c r="E1952" s="17">
        <f t="shared" si="91"/>
        <v>1798</v>
      </c>
      <c r="F1952" s="17" t="s">
        <v>4813</v>
      </c>
      <c r="G1952" s="17">
        <f>MATCH(E1952,Arenas!$F$8:$F$15)</f>
        <v>6</v>
      </c>
      <c r="H1952" s="29" t="s">
        <v>3322</v>
      </c>
      <c r="I1952" s="33" t="s">
        <v>8656</v>
      </c>
      <c r="J1952" s="47" t="s">
        <v>5856</v>
      </c>
      <c r="K1952" s="61" t="s">
        <v>4807</v>
      </c>
      <c r="L1952" s="12" t="str">
        <f t="shared" si="90"/>
        <v>2,2,2</v>
      </c>
    </row>
    <row r="1953" spans="2:12">
      <c r="B1953" s="17">
        <v>2252</v>
      </c>
      <c r="C1953" s="17">
        <v>2</v>
      </c>
      <c r="D1953" s="17">
        <f t="shared" si="92"/>
        <v>0</v>
      </c>
      <c r="E1953" s="17">
        <f t="shared" si="91"/>
        <v>1798</v>
      </c>
      <c r="F1953" s="17" t="s">
        <v>4813</v>
      </c>
      <c r="G1953" s="17">
        <f>MATCH(E1953,Arenas!$F$8:$F$15)</f>
        <v>6</v>
      </c>
      <c r="H1953" s="29" t="s">
        <v>3323</v>
      </c>
      <c r="I1953" s="33" t="s">
        <v>8657</v>
      </c>
      <c r="J1953" s="47" t="s">
        <v>8658</v>
      </c>
      <c r="K1953" s="61" t="s">
        <v>4779</v>
      </c>
      <c r="L1953" s="12" t="str">
        <f t="shared" si="90"/>
        <v>2,2,2</v>
      </c>
    </row>
    <row r="1954" spans="2:12">
      <c r="B1954" s="17">
        <v>2253</v>
      </c>
      <c r="C1954" s="17">
        <v>2</v>
      </c>
      <c r="D1954" s="17">
        <f t="shared" si="92"/>
        <v>0</v>
      </c>
      <c r="E1954" s="17">
        <f t="shared" si="91"/>
        <v>1798</v>
      </c>
      <c r="F1954" s="17" t="s">
        <v>4813</v>
      </c>
      <c r="G1954" s="17">
        <f>MATCH(E1954,Arenas!$F$8:$F$15)</f>
        <v>6</v>
      </c>
      <c r="H1954" s="29" t="s">
        <v>3324</v>
      </c>
      <c r="I1954" s="33" t="s">
        <v>8659</v>
      </c>
      <c r="J1954" s="47" t="s">
        <v>5894</v>
      </c>
      <c r="K1954" s="61" t="s">
        <v>4806</v>
      </c>
      <c r="L1954" s="12" t="str">
        <f t="shared" si="90"/>
        <v>2,2,2</v>
      </c>
    </row>
    <row r="1955" spans="2:12">
      <c r="B1955" s="17">
        <v>2254</v>
      </c>
      <c r="C1955" s="17">
        <v>2</v>
      </c>
      <c r="D1955" s="17">
        <f t="shared" si="92"/>
        <v>1</v>
      </c>
      <c r="E1955" s="17">
        <f t="shared" si="91"/>
        <v>1799</v>
      </c>
      <c r="F1955" s="17" t="s">
        <v>4813</v>
      </c>
      <c r="G1955" s="17">
        <f>MATCH(E1955,Arenas!$F$8:$F$15)</f>
        <v>6</v>
      </c>
      <c r="H1955" s="29" t="s">
        <v>3325</v>
      </c>
      <c r="I1955" s="33" t="s">
        <v>8660</v>
      </c>
      <c r="J1955" s="47" t="s">
        <v>8661</v>
      </c>
      <c r="K1955" s="61" t="s">
        <v>4779</v>
      </c>
      <c r="L1955" s="12" t="str">
        <f t="shared" si="90"/>
        <v>2,2,2</v>
      </c>
    </row>
    <row r="1956" spans="2:12">
      <c r="B1956" s="17">
        <v>2255</v>
      </c>
      <c r="C1956" s="17">
        <v>2</v>
      </c>
      <c r="D1956" s="17">
        <f t="shared" si="92"/>
        <v>0</v>
      </c>
      <c r="E1956" s="17">
        <f t="shared" si="91"/>
        <v>1799</v>
      </c>
      <c r="F1956" s="17" t="s">
        <v>4813</v>
      </c>
      <c r="G1956" s="17">
        <f>MATCH(E1956,Arenas!$F$8:$F$15)</f>
        <v>6</v>
      </c>
      <c r="H1956" s="29" t="s">
        <v>3326</v>
      </c>
      <c r="I1956" s="33" t="s">
        <v>8662</v>
      </c>
      <c r="J1956" s="47" t="s">
        <v>8663</v>
      </c>
      <c r="K1956" s="61" t="s">
        <v>4779</v>
      </c>
      <c r="L1956" s="12" t="str">
        <f t="shared" si="90"/>
        <v>2,2,2</v>
      </c>
    </row>
    <row r="1957" spans="2:12">
      <c r="B1957" s="17">
        <v>2256</v>
      </c>
      <c r="C1957" s="17">
        <v>2</v>
      </c>
      <c r="D1957" s="17">
        <f t="shared" si="92"/>
        <v>0</v>
      </c>
      <c r="E1957" s="17">
        <f t="shared" si="91"/>
        <v>1799</v>
      </c>
      <c r="F1957" s="17" t="s">
        <v>4813</v>
      </c>
      <c r="G1957" s="17">
        <f>MATCH(E1957,Arenas!$F$8:$F$15)</f>
        <v>6</v>
      </c>
      <c r="H1957" s="29" t="s">
        <v>3327</v>
      </c>
      <c r="I1957" s="33" t="s">
        <v>8664</v>
      </c>
      <c r="J1957" s="47" t="s">
        <v>8665</v>
      </c>
      <c r="K1957" s="61" t="s">
        <v>4808</v>
      </c>
      <c r="L1957" s="12" t="str">
        <f t="shared" si="90"/>
        <v>2,2,2</v>
      </c>
    </row>
    <row r="1958" spans="2:12">
      <c r="B1958" s="17">
        <v>2257</v>
      </c>
      <c r="C1958" s="17">
        <v>2</v>
      </c>
      <c r="D1958" s="17">
        <f t="shared" si="92"/>
        <v>1</v>
      </c>
      <c r="E1958" s="17">
        <f t="shared" si="91"/>
        <v>1800</v>
      </c>
      <c r="F1958" s="17" t="s">
        <v>4813</v>
      </c>
      <c r="G1958" s="17">
        <f>MATCH(E1958,Arenas!$F$8:$F$15)</f>
        <v>6</v>
      </c>
      <c r="H1958" s="29" t="s">
        <v>3328</v>
      </c>
      <c r="I1958" s="33" t="s">
        <v>8666</v>
      </c>
      <c r="J1958" s="47" t="s">
        <v>8667</v>
      </c>
      <c r="K1958" s="61" t="s">
        <v>4779</v>
      </c>
      <c r="L1958" s="12" t="str">
        <f t="shared" si="90"/>
        <v>2,2,2</v>
      </c>
    </row>
    <row r="1959" spans="2:12">
      <c r="B1959" s="17">
        <v>2258</v>
      </c>
      <c r="C1959" s="17">
        <v>2</v>
      </c>
      <c r="D1959" s="17">
        <f t="shared" si="92"/>
        <v>0</v>
      </c>
      <c r="E1959" s="17">
        <f t="shared" si="91"/>
        <v>1800</v>
      </c>
      <c r="F1959" s="17" t="s">
        <v>4813</v>
      </c>
      <c r="G1959" s="17">
        <f>MATCH(E1959,Arenas!$F$8:$F$15)</f>
        <v>6</v>
      </c>
      <c r="H1959" s="29" t="s">
        <v>3329</v>
      </c>
      <c r="I1959" s="33" t="s">
        <v>8668</v>
      </c>
      <c r="J1959" s="47" t="s">
        <v>8669</v>
      </c>
      <c r="K1959" s="61" t="s">
        <v>4779</v>
      </c>
      <c r="L1959" s="12" t="str">
        <f t="shared" si="90"/>
        <v>2,2,2</v>
      </c>
    </row>
    <row r="1960" spans="2:12">
      <c r="B1960" s="17">
        <v>2259</v>
      </c>
      <c r="C1960" s="17">
        <v>2</v>
      </c>
      <c r="D1960" s="17">
        <f t="shared" si="92"/>
        <v>0</v>
      </c>
      <c r="E1960" s="17">
        <f t="shared" si="91"/>
        <v>1800</v>
      </c>
      <c r="F1960" s="17" t="s">
        <v>4813</v>
      </c>
      <c r="G1960" s="17">
        <f>MATCH(E1960,Arenas!$F$8:$F$15)</f>
        <v>6</v>
      </c>
      <c r="H1960" s="29" t="s">
        <v>3330</v>
      </c>
      <c r="I1960" s="33" t="s">
        <v>8670</v>
      </c>
      <c r="J1960" s="47" t="s">
        <v>8671</v>
      </c>
      <c r="K1960" s="61" t="s">
        <v>4779</v>
      </c>
      <c r="L1960" s="12" t="str">
        <f t="shared" si="90"/>
        <v>2,2,2</v>
      </c>
    </row>
    <row r="1961" spans="2:12">
      <c r="B1961" s="17">
        <v>2260</v>
      </c>
      <c r="C1961" s="17">
        <v>2</v>
      </c>
      <c r="D1961" s="17">
        <f t="shared" si="92"/>
        <v>1</v>
      </c>
      <c r="E1961" s="17">
        <f t="shared" si="91"/>
        <v>1801</v>
      </c>
      <c r="F1961" s="17" t="s">
        <v>4813</v>
      </c>
      <c r="G1961" s="17">
        <f>MATCH(E1961,Arenas!$F$8:$F$15)</f>
        <v>6</v>
      </c>
      <c r="H1961" s="29" t="s">
        <v>3331</v>
      </c>
      <c r="I1961" s="33" t="s">
        <v>8672</v>
      </c>
      <c r="J1961" s="47" t="s">
        <v>8673</v>
      </c>
      <c r="K1961" s="61" t="s">
        <v>4807</v>
      </c>
      <c r="L1961" s="12" t="str">
        <f t="shared" si="90"/>
        <v>2,2,2</v>
      </c>
    </row>
    <row r="1962" spans="2:12">
      <c r="B1962" s="17">
        <v>2261</v>
      </c>
      <c r="C1962" s="17">
        <v>2</v>
      </c>
      <c r="D1962" s="17">
        <f t="shared" si="92"/>
        <v>0</v>
      </c>
      <c r="E1962" s="17">
        <f t="shared" si="91"/>
        <v>1801</v>
      </c>
      <c r="F1962" s="17" t="s">
        <v>4813</v>
      </c>
      <c r="G1962" s="17">
        <f>MATCH(E1962,Arenas!$F$8:$F$15)</f>
        <v>6</v>
      </c>
      <c r="H1962" s="29" t="s">
        <v>3332</v>
      </c>
      <c r="I1962" s="33" t="s">
        <v>8674</v>
      </c>
      <c r="J1962" s="47" t="s">
        <v>5488</v>
      </c>
      <c r="K1962" s="61" t="s">
        <v>4779</v>
      </c>
      <c r="L1962" s="12" t="str">
        <f t="shared" si="90"/>
        <v>2,2,2</v>
      </c>
    </row>
    <row r="1963" spans="2:12">
      <c r="B1963" s="17">
        <v>2262</v>
      </c>
      <c r="C1963" s="17">
        <v>2</v>
      </c>
      <c r="D1963" s="17">
        <f t="shared" si="92"/>
        <v>0</v>
      </c>
      <c r="E1963" s="17">
        <f t="shared" si="91"/>
        <v>1801</v>
      </c>
      <c r="F1963" s="17" t="s">
        <v>4813</v>
      </c>
      <c r="G1963" s="17">
        <f>MATCH(E1963,Arenas!$F$8:$F$15)</f>
        <v>6</v>
      </c>
      <c r="H1963" s="29" t="s">
        <v>3333</v>
      </c>
      <c r="I1963" s="33" t="s">
        <v>8675</v>
      </c>
      <c r="J1963" s="47" t="s">
        <v>8676</v>
      </c>
      <c r="K1963" s="61" t="s">
        <v>4779</v>
      </c>
      <c r="L1963" s="12" t="str">
        <f t="shared" si="90"/>
        <v>2,2,2</v>
      </c>
    </row>
    <row r="1964" spans="2:12">
      <c r="B1964" s="17">
        <v>2263</v>
      </c>
      <c r="C1964" s="17">
        <v>2</v>
      </c>
      <c r="D1964" s="17">
        <f t="shared" si="92"/>
        <v>1</v>
      </c>
      <c r="E1964" s="17">
        <f t="shared" si="91"/>
        <v>1802</v>
      </c>
      <c r="F1964" s="17" t="s">
        <v>4813</v>
      </c>
      <c r="G1964" s="17">
        <f>MATCH(E1964,Arenas!$F$8:$F$15)</f>
        <v>6</v>
      </c>
      <c r="H1964" s="29" t="s">
        <v>3334</v>
      </c>
      <c r="I1964" s="33" t="s">
        <v>8677</v>
      </c>
      <c r="J1964" s="47" t="s">
        <v>8678</v>
      </c>
      <c r="K1964" s="61" t="s">
        <v>4779</v>
      </c>
      <c r="L1964" s="12" t="str">
        <f t="shared" si="90"/>
        <v>2,2,2</v>
      </c>
    </row>
    <row r="1965" spans="2:12">
      <c r="B1965" s="17">
        <v>2264</v>
      </c>
      <c r="C1965" s="17">
        <v>2</v>
      </c>
      <c r="D1965" s="17">
        <f t="shared" si="92"/>
        <v>0</v>
      </c>
      <c r="E1965" s="17">
        <f t="shared" si="91"/>
        <v>1802</v>
      </c>
      <c r="F1965" s="17" t="s">
        <v>4813</v>
      </c>
      <c r="G1965" s="17">
        <f>MATCH(E1965,Arenas!$F$8:$F$15)</f>
        <v>6</v>
      </c>
      <c r="H1965" s="29" t="s">
        <v>3335</v>
      </c>
      <c r="I1965" s="33" t="s">
        <v>8679</v>
      </c>
      <c r="J1965" s="47" t="s">
        <v>8680</v>
      </c>
      <c r="K1965" s="61" t="s">
        <v>4779</v>
      </c>
      <c r="L1965" s="12" t="str">
        <f t="shared" si="90"/>
        <v>2,2,2</v>
      </c>
    </row>
    <row r="1966" spans="2:12">
      <c r="B1966" s="17">
        <v>2265</v>
      </c>
      <c r="C1966" s="17">
        <v>2</v>
      </c>
      <c r="D1966" s="17">
        <f t="shared" si="92"/>
        <v>0</v>
      </c>
      <c r="E1966" s="17">
        <f t="shared" si="91"/>
        <v>1802</v>
      </c>
      <c r="F1966" s="17" t="s">
        <v>4813</v>
      </c>
      <c r="G1966" s="17">
        <f>MATCH(E1966,Arenas!$F$8:$F$15)</f>
        <v>6</v>
      </c>
      <c r="H1966" s="29" t="s">
        <v>3336</v>
      </c>
      <c r="I1966" s="33" t="s">
        <v>8681</v>
      </c>
      <c r="J1966" s="47" t="s">
        <v>8682</v>
      </c>
      <c r="K1966" s="61" t="s">
        <v>4779</v>
      </c>
      <c r="L1966" s="12" t="str">
        <f t="shared" si="90"/>
        <v>2,2,2</v>
      </c>
    </row>
    <row r="1967" spans="2:12">
      <c r="B1967" s="17">
        <v>2266</v>
      </c>
      <c r="C1967" s="17">
        <v>2</v>
      </c>
      <c r="D1967" s="17">
        <f t="shared" si="92"/>
        <v>1</v>
      </c>
      <c r="E1967" s="17">
        <f t="shared" si="91"/>
        <v>1803</v>
      </c>
      <c r="F1967" s="17" t="s">
        <v>4813</v>
      </c>
      <c r="G1967" s="17">
        <f>MATCH(E1967,Arenas!$F$8:$F$15)</f>
        <v>6</v>
      </c>
      <c r="H1967" s="29" t="s">
        <v>3337</v>
      </c>
      <c r="I1967" s="33" t="s">
        <v>8683</v>
      </c>
      <c r="J1967" s="47" t="s">
        <v>8684</v>
      </c>
      <c r="K1967" s="61" t="s">
        <v>4779</v>
      </c>
      <c r="L1967" s="12" t="str">
        <f t="shared" si="90"/>
        <v>2,2,2</v>
      </c>
    </row>
    <row r="1968" spans="2:12">
      <c r="B1968" s="17">
        <v>2267</v>
      </c>
      <c r="C1968" s="17">
        <v>2</v>
      </c>
      <c r="D1968" s="17">
        <f t="shared" si="92"/>
        <v>0</v>
      </c>
      <c r="E1968" s="17">
        <f t="shared" si="91"/>
        <v>1803</v>
      </c>
      <c r="F1968" s="17" t="s">
        <v>4813</v>
      </c>
      <c r="G1968" s="17">
        <f>MATCH(E1968,Arenas!$F$8:$F$15)</f>
        <v>6</v>
      </c>
      <c r="H1968" s="29" t="s">
        <v>3338</v>
      </c>
      <c r="I1968" s="33" t="s">
        <v>8685</v>
      </c>
      <c r="J1968" s="47" t="s">
        <v>8686</v>
      </c>
      <c r="K1968" s="61" t="s">
        <v>4779</v>
      </c>
      <c r="L1968" s="12" t="str">
        <f t="shared" si="90"/>
        <v>2,2,2</v>
      </c>
    </row>
    <row r="1969" spans="2:12">
      <c r="B1969" s="17">
        <v>2268</v>
      </c>
      <c r="C1969" s="17">
        <v>2</v>
      </c>
      <c r="D1969" s="17">
        <f t="shared" si="92"/>
        <v>0</v>
      </c>
      <c r="E1969" s="17">
        <f t="shared" si="91"/>
        <v>1803</v>
      </c>
      <c r="F1969" s="17" t="s">
        <v>4813</v>
      </c>
      <c r="G1969" s="17">
        <f>MATCH(E1969,Arenas!$F$8:$F$15)</f>
        <v>6</v>
      </c>
      <c r="H1969" s="29" t="s">
        <v>3339</v>
      </c>
      <c r="I1969" s="33" t="s">
        <v>8687</v>
      </c>
      <c r="J1969" s="47" t="s">
        <v>8688</v>
      </c>
      <c r="K1969" s="61" t="s">
        <v>4779</v>
      </c>
      <c r="L1969" s="12" t="str">
        <f t="shared" si="90"/>
        <v>2,2,2</v>
      </c>
    </row>
    <row r="1970" spans="2:12">
      <c r="B1970" s="17">
        <v>2269</v>
      </c>
      <c r="C1970" s="17">
        <v>2</v>
      </c>
      <c r="D1970" s="17">
        <f t="shared" si="92"/>
        <v>1</v>
      </c>
      <c r="E1970" s="17">
        <f t="shared" si="91"/>
        <v>1804</v>
      </c>
      <c r="F1970" s="17" t="s">
        <v>4813</v>
      </c>
      <c r="G1970" s="17">
        <f>MATCH(E1970,Arenas!$F$8:$F$15)</f>
        <v>6</v>
      </c>
      <c r="H1970" s="29" t="s">
        <v>3340</v>
      </c>
      <c r="I1970" s="33" t="s">
        <v>8689</v>
      </c>
      <c r="J1970" s="47" t="s">
        <v>8690</v>
      </c>
      <c r="K1970" s="61" t="s">
        <v>4779</v>
      </c>
      <c r="L1970" s="12" t="str">
        <f t="shared" si="90"/>
        <v>2,2,2</v>
      </c>
    </row>
    <row r="1971" spans="2:12">
      <c r="B1971" s="17">
        <v>2270</v>
      </c>
      <c r="C1971" s="17">
        <v>2</v>
      </c>
      <c r="D1971" s="17">
        <f t="shared" si="92"/>
        <v>0</v>
      </c>
      <c r="E1971" s="17">
        <f t="shared" si="91"/>
        <v>1804</v>
      </c>
      <c r="F1971" s="17" t="s">
        <v>4813</v>
      </c>
      <c r="G1971" s="17">
        <f>MATCH(E1971,Arenas!$F$8:$F$15)</f>
        <v>6</v>
      </c>
      <c r="H1971" s="29" t="s">
        <v>3341</v>
      </c>
      <c r="I1971" s="33" t="s">
        <v>8691</v>
      </c>
      <c r="J1971" s="47" t="s">
        <v>8692</v>
      </c>
      <c r="K1971" s="61" t="s">
        <v>4779</v>
      </c>
      <c r="L1971" s="12" t="str">
        <f t="shared" si="90"/>
        <v>2,2,2</v>
      </c>
    </row>
    <row r="1972" spans="2:12">
      <c r="B1972" s="17">
        <v>2271</v>
      </c>
      <c r="C1972" s="17">
        <v>2</v>
      </c>
      <c r="D1972" s="17">
        <f t="shared" si="92"/>
        <v>0</v>
      </c>
      <c r="E1972" s="17">
        <f t="shared" si="91"/>
        <v>1804</v>
      </c>
      <c r="F1972" s="17" t="s">
        <v>4813</v>
      </c>
      <c r="G1972" s="17">
        <f>MATCH(E1972,Arenas!$F$8:$F$15)</f>
        <v>6</v>
      </c>
      <c r="H1972" s="29" t="s">
        <v>3342</v>
      </c>
      <c r="I1972" s="33" t="s">
        <v>8693</v>
      </c>
      <c r="J1972" s="47" t="s">
        <v>8694</v>
      </c>
      <c r="K1972" s="61" t="s">
        <v>4779</v>
      </c>
      <c r="L1972" s="12" t="str">
        <f t="shared" si="90"/>
        <v>2,2,2</v>
      </c>
    </row>
    <row r="1973" spans="2:12">
      <c r="B1973" s="17">
        <v>2272</v>
      </c>
      <c r="C1973" s="17">
        <v>2</v>
      </c>
      <c r="D1973" s="17">
        <f t="shared" si="92"/>
        <v>1</v>
      </c>
      <c r="E1973" s="17">
        <f t="shared" si="91"/>
        <v>1805</v>
      </c>
      <c r="F1973" s="17" t="s">
        <v>4813</v>
      </c>
      <c r="G1973" s="17">
        <f>MATCH(E1973,Arenas!$F$8:$F$15)</f>
        <v>6</v>
      </c>
      <c r="H1973" s="29" t="s">
        <v>3343</v>
      </c>
      <c r="I1973" s="33" t="s">
        <v>8695</v>
      </c>
      <c r="J1973" s="47" t="s">
        <v>8696</v>
      </c>
      <c r="K1973" s="61" t="s">
        <v>4779</v>
      </c>
      <c r="L1973" s="12" t="str">
        <f t="shared" si="90"/>
        <v>2,2,2</v>
      </c>
    </row>
    <row r="1974" spans="2:12">
      <c r="B1974" s="17">
        <v>2273</v>
      </c>
      <c r="C1974" s="17">
        <v>2</v>
      </c>
      <c r="D1974" s="17">
        <f t="shared" si="92"/>
        <v>0</v>
      </c>
      <c r="E1974" s="17">
        <f t="shared" si="91"/>
        <v>1805</v>
      </c>
      <c r="F1974" s="17" t="s">
        <v>4813</v>
      </c>
      <c r="G1974" s="17">
        <f>MATCH(E1974,Arenas!$F$8:$F$15)</f>
        <v>6</v>
      </c>
      <c r="H1974" s="29" t="s">
        <v>3344</v>
      </c>
      <c r="I1974" s="33" t="s">
        <v>8697</v>
      </c>
      <c r="J1974" s="47" t="s">
        <v>5551</v>
      </c>
      <c r="K1974" s="61" t="s">
        <v>4779</v>
      </c>
      <c r="L1974" s="12" t="str">
        <f t="shared" si="90"/>
        <v>2,2,2</v>
      </c>
    </row>
    <row r="1975" spans="2:12">
      <c r="B1975" s="17">
        <v>2274</v>
      </c>
      <c r="C1975" s="17">
        <v>2</v>
      </c>
      <c r="D1975" s="17">
        <f t="shared" si="92"/>
        <v>0</v>
      </c>
      <c r="E1975" s="17">
        <f t="shared" si="91"/>
        <v>1805</v>
      </c>
      <c r="F1975" s="17" t="s">
        <v>4813</v>
      </c>
      <c r="G1975" s="17">
        <f>MATCH(E1975,Arenas!$F$8:$F$15)</f>
        <v>6</v>
      </c>
      <c r="H1975" s="29" t="s">
        <v>3345</v>
      </c>
      <c r="I1975" s="33" t="s">
        <v>8698</v>
      </c>
      <c r="J1975" s="47" t="s">
        <v>5325</v>
      </c>
      <c r="K1975" s="61" t="s">
        <v>4779</v>
      </c>
      <c r="L1975" s="12" t="str">
        <f t="shared" si="90"/>
        <v>2,2,2</v>
      </c>
    </row>
    <row r="1976" spans="2:12">
      <c r="B1976" s="17">
        <v>2275</v>
      </c>
      <c r="C1976" s="17">
        <v>2</v>
      </c>
      <c r="D1976" s="17">
        <f t="shared" si="92"/>
        <v>1</v>
      </c>
      <c r="E1976" s="17">
        <f t="shared" si="91"/>
        <v>1806</v>
      </c>
      <c r="F1976" s="17" t="s">
        <v>4813</v>
      </c>
      <c r="G1976" s="17">
        <f>MATCH(E1976,Arenas!$F$8:$F$15)</f>
        <v>6</v>
      </c>
      <c r="H1976" s="29" t="s">
        <v>3346</v>
      </c>
      <c r="I1976" s="33" t="s">
        <v>8699</v>
      </c>
      <c r="J1976" s="47" t="s">
        <v>8700</v>
      </c>
      <c r="K1976" s="61" t="s">
        <v>4806</v>
      </c>
      <c r="L1976" s="12" t="str">
        <f t="shared" si="90"/>
        <v>2,2,2</v>
      </c>
    </row>
    <row r="1977" spans="2:12">
      <c r="B1977" s="17">
        <v>2276</v>
      </c>
      <c r="C1977" s="17">
        <v>2</v>
      </c>
      <c r="D1977" s="17">
        <f t="shared" si="92"/>
        <v>0</v>
      </c>
      <c r="E1977" s="17">
        <f t="shared" si="91"/>
        <v>1806</v>
      </c>
      <c r="F1977" s="17" t="s">
        <v>4813</v>
      </c>
      <c r="G1977" s="17">
        <f>MATCH(E1977,Arenas!$F$8:$F$15)</f>
        <v>6</v>
      </c>
      <c r="H1977" s="29" t="s">
        <v>3347</v>
      </c>
      <c r="I1977" s="33" t="s">
        <v>8701</v>
      </c>
      <c r="J1977" s="47" t="s">
        <v>5626</v>
      </c>
      <c r="K1977" s="61" t="s">
        <v>4779</v>
      </c>
      <c r="L1977" s="12" t="str">
        <f t="shared" si="90"/>
        <v>2,2,2</v>
      </c>
    </row>
    <row r="1978" spans="2:12">
      <c r="B1978" s="17">
        <v>2277</v>
      </c>
      <c r="C1978" s="17">
        <v>2</v>
      </c>
      <c r="D1978" s="17">
        <f t="shared" si="92"/>
        <v>0</v>
      </c>
      <c r="E1978" s="17">
        <f t="shared" si="91"/>
        <v>1806</v>
      </c>
      <c r="F1978" s="17" t="s">
        <v>4813</v>
      </c>
      <c r="G1978" s="17">
        <f>MATCH(E1978,Arenas!$F$8:$F$15)</f>
        <v>6</v>
      </c>
      <c r="H1978" s="29" t="s">
        <v>3348</v>
      </c>
      <c r="I1978" s="33" t="s">
        <v>8702</v>
      </c>
      <c r="J1978" s="47" t="s">
        <v>8703</v>
      </c>
      <c r="K1978" s="61" t="s">
        <v>4779</v>
      </c>
      <c r="L1978" s="12" t="str">
        <f t="shared" si="90"/>
        <v>2,2,2</v>
      </c>
    </row>
    <row r="1979" spans="2:12">
      <c r="B1979" s="17">
        <v>2278</v>
      </c>
      <c r="C1979" s="17">
        <v>2</v>
      </c>
      <c r="D1979" s="17">
        <f t="shared" si="92"/>
        <v>1</v>
      </c>
      <c r="E1979" s="17">
        <f t="shared" si="91"/>
        <v>1807</v>
      </c>
      <c r="F1979" s="17" t="s">
        <v>4813</v>
      </c>
      <c r="G1979" s="17">
        <f>MATCH(E1979,Arenas!$F$8:$F$15)</f>
        <v>6</v>
      </c>
      <c r="H1979" s="29" t="s">
        <v>3349</v>
      </c>
      <c r="I1979" s="33" t="s">
        <v>8704</v>
      </c>
      <c r="J1979" s="47" t="s">
        <v>8705</v>
      </c>
      <c r="K1979" s="61" t="s">
        <v>4779</v>
      </c>
      <c r="L1979" s="12" t="str">
        <f t="shared" si="90"/>
        <v>2,2,2</v>
      </c>
    </row>
    <row r="1980" spans="2:12">
      <c r="B1980" s="17">
        <v>2279</v>
      </c>
      <c r="C1980" s="17">
        <v>2</v>
      </c>
      <c r="D1980" s="17">
        <f t="shared" si="92"/>
        <v>0</v>
      </c>
      <c r="E1980" s="17">
        <f t="shared" si="91"/>
        <v>1807</v>
      </c>
      <c r="F1980" s="17" t="s">
        <v>4813</v>
      </c>
      <c r="G1980" s="17">
        <f>MATCH(E1980,Arenas!$F$8:$F$15)</f>
        <v>6</v>
      </c>
      <c r="H1980" s="29" t="s">
        <v>3350</v>
      </c>
      <c r="I1980" s="33" t="s">
        <v>8706</v>
      </c>
      <c r="J1980" s="47" t="s">
        <v>8707</v>
      </c>
      <c r="K1980" s="61" t="s">
        <v>4779</v>
      </c>
      <c r="L1980" s="12" t="str">
        <f t="shared" si="90"/>
        <v>2,2,2</v>
      </c>
    </row>
    <row r="1981" spans="2:12">
      <c r="B1981" s="17">
        <v>2280</v>
      </c>
      <c r="C1981" s="17">
        <v>2</v>
      </c>
      <c r="D1981" s="17">
        <f t="shared" si="92"/>
        <v>0</v>
      </c>
      <c r="E1981" s="17">
        <f t="shared" si="91"/>
        <v>1807</v>
      </c>
      <c r="F1981" s="17" t="s">
        <v>4813</v>
      </c>
      <c r="G1981" s="17">
        <f>MATCH(E1981,Arenas!$F$8:$F$15)</f>
        <v>6</v>
      </c>
      <c r="H1981" s="29" t="s">
        <v>3351</v>
      </c>
      <c r="I1981" s="33" t="s">
        <v>8708</v>
      </c>
      <c r="J1981" s="47" t="s">
        <v>8709</v>
      </c>
      <c r="K1981" s="61" t="s">
        <v>4779</v>
      </c>
      <c r="L1981" s="12" t="str">
        <f t="shared" si="90"/>
        <v>2,2,2</v>
      </c>
    </row>
    <row r="1982" spans="2:12">
      <c r="B1982" s="17">
        <v>2281</v>
      </c>
      <c r="C1982" s="17">
        <v>2</v>
      </c>
      <c r="D1982" s="17">
        <f t="shared" si="92"/>
        <v>1</v>
      </c>
      <c r="E1982" s="17">
        <f t="shared" si="91"/>
        <v>1808</v>
      </c>
      <c r="F1982" s="17" t="s">
        <v>4813</v>
      </c>
      <c r="G1982" s="17">
        <f>MATCH(E1982,Arenas!$F$8:$F$15)</f>
        <v>6</v>
      </c>
      <c r="H1982" s="29" t="s">
        <v>3352</v>
      </c>
      <c r="I1982" s="33" t="s">
        <v>8710</v>
      </c>
      <c r="J1982" s="47" t="s">
        <v>8711</v>
      </c>
      <c r="K1982" s="61" t="s">
        <v>4779</v>
      </c>
      <c r="L1982" s="12" t="str">
        <f t="shared" si="90"/>
        <v>2,2,2</v>
      </c>
    </row>
    <row r="1983" spans="2:12">
      <c r="B1983" s="17">
        <v>2282</v>
      </c>
      <c r="C1983" s="17">
        <v>2</v>
      </c>
      <c r="D1983" s="17">
        <f t="shared" si="92"/>
        <v>0</v>
      </c>
      <c r="E1983" s="17">
        <f t="shared" si="91"/>
        <v>1808</v>
      </c>
      <c r="F1983" s="17" t="s">
        <v>4813</v>
      </c>
      <c r="G1983" s="17">
        <f>MATCH(E1983,Arenas!$F$8:$F$15)</f>
        <v>6</v>
      </c>
      <c r="H1983" s="29" t="s">
        <v>3353</v>
      </c>
      <c r="I1983" s="33" t="s">
        <v>8712</v>
      </c>
      <c r="J1983" s="47" t="s">
        <v>8713</v>
      </c>
      <c r="K1983" s="61" t="s">
        <v>4807</v>
      </c>
      <c r="L1983" s="12" t="str">
        <f t="shared" si="90"/>
        <v>2,2,2</v>
      </c>
    </row>
    <row r="1984" spans="2:12">
      <c r="B1984" s="17">
        <v>2283</v>
      </c>
      <c r="C1984" s="17">
        <v>2</v>
      </c>
      <c r="D1984" s="17">
        <f t="shared" si="92"/>
        <v>0</v>
      </c>
      <c r="E1984" s="17">
        <f t="shared" si="91"/>
        <v>1808</v>
      </c>
      <c r="F1984" s="17" t="s">
        <v>4813</v>
      </c>
      <c r="G1984" s="17">
        <f>MATCH(E1984,Arenas!$F$8:$F$15)</f>
        <v>6</v>
      </c>
      <c r="H1984" s="29" t="s">
        <v>3354</v>
      </c>
      <c r="I1984" s="33" t="s">
        <v>8714</v>
      </c>
      <c r="J1984" s="47" t="s">
        <v>8715</v>
      </c>
      <c r="K1984" s="61" t="s">
        <v>4779</v>
      </c>
      <c r="L1984" s="12" t="str">
        <f t="shared" si="90"/>
        <v>2,2,2</v>
      </c>
    </row>
    <row r="1985" spans="2:12">
      <c r="B1985" s="17">
        <v>2284</v>
      </c>
      <c r="C1985" s="17">
        <v>2</v>
      </c>
      <c r="D1985" s="17">
        <f t="shared" si="92"/>
        <v>1</v>
      </c>
      <c r="E1985" s="17">
        <f t="shared" si="91"/>
        <v>1809</v>
      </c>
      <c r="F1985" s="17" t="s">
        <v>4813</v>
      </c>
      <c r="G1985" s="17">
        <f>MATCH(E1985,Arenas!$F$8:$F$15)</f>
        <v>6</v>
      </c>
      <c r="H1985" s="29" t="s">
        <v>3355</v>
      </c>
      <c r="I1985" s="33" t="s">
        <v>8716</v>
      </c>
      <c r="J1985" s="47" t="s">
        <v>8717</v>
      </c>
      <c r="K1985" s="61" t="s">
        <v>4779</v>
      </c>
      <c r="L1985" s="12" t="str">
        <f t="shared" si="90"/>
        <v>2,2,2</v>
      </c>
    </row>
    <row r="1986" spans="2:12">
      <c r="B1986" s="17">
        <v>2285</v>
      </c>
      <c r="C1986" s="17">
        <v>2</v>
      </c>
      <c r="D1986" s="17">
        <f t="shared" si="92"/>
        <v>0</v>
      </c>
      <c r="E1986" s="17">
        <f t="shared" si="91"/>
        <v>1809</v>
      </c>
      <c r="F1986" s="17" t="s">
        <v>4813</v>
      </c>
      <c r="G1986" s="17">
        <f>MATCH(E1986,Arenas!$F$8:$F$15)</f>
        <v>6</v>
      </c>
      <c r="H1986" s="29" t="s">
        <v>3356</v>
      </c>
      <c r="I1986" s="33" t="s">
        <v>8718</v>
      </c>
      <c r="J1986" s="47" t="s">
        <v>5594</v>
      </c>
      <c r="K1986" s="61" t="s">
        <v>4779</v>
      </c>
      <c r="L1986" s="12" t="str">
        <f t="shared" ref="L1986:L2049" si="93">C1986&amp;","&amp;C1986&amp;","&amp;C1986</f>
        <v>2,2,2</v>
      </c>
    </row>
    <row r="1987" spans="2:12">
      <c r="B1987" s="17">
        <v>2286</v>
      </c>
      <c r="C1987" s="17">
        <v>2</v>
      </c>
      <c r="D1987" s="17">
        <f t="shared" si="92"/>
        <v>0</v>
      </c>
      <c r="E1987" s="17">
        <f t="shared" ref="E1987:E2050" si="94">D1987+E1986</f>
        <v>1809</v>
      </c>
      <c r="F1987" s="17" t="s">
        <v>4813</v>
      </c>
      <c r="G1987" s="17">
        <f>MATCH(E1987,Arenas!$F$8:$F$15)</f>
        <v>6</v>
      </c>
      <c r="H1987" s="29" t="s">
        <v>3357</v>
      </c>
      <c r="I1987" s="33" t="s">
        <v>8719</v>
      </c>
      <c r="J1987" s="47" t="s">
        <v>8720</v>
      </c>
      <c r="K1987" s="61" t="s">
        <v>4779</v>
      </c>
      <c r="L1987" s="12" t="str">
        <f t="shared" si="93"/>
        <v>2,2,2</v>
      </c>
    </row>
    <row r="1988" spans="2:12">
      <c r="B1988" s="17">
        <v>2287</v>
      </c>
      <c r="C1988" s="17">
        <v>2</v>
      </c>
      <c r="D1988" s="17">
        <f t="shared" si="92"/>
        <v>1</v>
      </c>
      <c r="E1988" s="17">
        <f t="shared" si="94"/>
        <v>1810</v>
      </c>
      <c r="F1988" s="17" t="s">
        <v>4813</v>
      </c>
      <c r="G1988" s="17">
        <f>MATCH(E1988,Arenas!$F$8:$F$15)</f>
        <v>6</v>
      </c>
      <c r="H1988" s="29" t="s">
        <v>3358</v>
      </c>
      <c r="I1988" s="33" t="s">
        <v>8721</v>
      </c>
      <c r="J1988" s="47" t="s">
        <v>8722</v>
      </c>
      <c r="K1988" s="61" t="s">
        <v>4779</v>
      </c>
      <c r="L1988" s="12" t="str">
        <f t="shared" si="93"/>
        <v>2,2,2</v>
      </c>
    </row>
    <row r="1989" spans="2:12">
      <c r="B1989" s="17">
        <v>2288</v>
      </c>
      <c r="C1989" s="17">
        <v>2</v>
      </c>
      <c r="D1989" s="17">
        <f t="shared" ref="D1989:D2052" si="95">D1986</f>
        <v>0</v>
      </c>
      <c r="E1989" s="17">
        <f t="shared" si="94"/>
        <v>1810</v>
      </c>
      <c r="F1989" s="17" t="s">
        <v>4813</v>
      </c>
      <c r="G1989" s="17">
        <f>MATCH(E1989,Arenas!$F$8:$F$15)</f>
        <v>6</v>
      </c>
      <c r="H1989" s="29" t="s">
        <v>3359</v>
      </c>
      <c r="I1989" s="33" t="s">
        <v>8723</v>
      </c>
      <c r="J1989" s="47" t="s">
        <v>5909</v>
      </c>
      <c r="K1989" s="61" t="s">
        <v>4779</v>
      </c>
      <c r="L1989" s="12" t="str">
        <f t="shared" si="93"/>
        <v>2,2,2</v>
      </c>
    </row>
    <row r="1990" spans="2:12">
      <c r="B1990" s="17">
        <v>2289</v>
      </c>
      <c r="C1990" s="17">
        <v>2</v>
      </c>
      <c r="D1990" s="17">
        <f t="shared" si="95"/>
        <v>0</v>
      </c>
      <c r="E1990" s="17">
        <f t="shared" si="94"/>
        <v>1810</v>
      </c>
      <c r="F1990" s="17" t="s">
        <v>4813</v>
      </c>
      <c r="G1990" s="17">
        <f>MATCH(E1990,Arenas!$F$8:$F$15)</f>
        <v>6</v>
      </c>
      <c r="H1990" s="29" t="s">
        <v>3360</v>
      </c>
      <c r="I1990" s="33" t="s">
        <v>8724</v>
      </c>
      <c r="J1990" s="47" t="s">
        <v>8725</v>
      </c>
      <c r="K1990" s="61" t="s">
        <v>4779</v>
      </c>
      <c r="L1990" s="12" t="str">
        <f t="shared" si="93"/>
        <v>2,2,2</v>
      </c>
    </row>
    <row r="1991" spans="2:12">
      <c r="B1991" s="17">
        <v>2290</v>
      </c>
      <c r="C1991" s="17">
        <v>2</v>
      </c>
      <c r="D1991" s="17">
        <f t="shared" si="95"/>
        <v>1</v>
      </c>
      <c r="E1991" s="17">
        <f t="shared" si="94"/>
        <v>1811</v>
      </c>
      <c r="F1991" s="17" t="s">
        <v>4813</v>
      </c>
      <c r="G1991" s="17">
        <f>MATCH(E1991,Arenas!$F$8:$F$15)</f>
        <v>6</v>
      </c>
      <c r="H1991" s="29" t="s">
        <v>3361</v>
      </c>
      <c r="I1991" s="33" t="s">
        <v>8726</v>
      </c>
      <c r="J1991" s="47" t="s">
        <v>5876</v>
      </c>
      <c r="K1991" s="61" t="s">
        <v>4810</v>
      </c>
      <c r="L1991" s="12" t="str">
        <f t="shared" si="93"/>
        <v>2,2,2</v>
      </c>
    </row>
    <row r="1992" spans="2:12">
      <c r="B1992" s="17">
        <v>2291</v>
      </c>
      <c r="C1992" s="17">
        <v>2</v>
      </c>
      <c r="D1992" s="17">
        <f t="shared" si="95"/>
        <v>0</v>
      </c>
      <c r="E1992" s="17">
        <f t="shared" si="94"/>
        <v>1811</v>
      </c>
      <c r="F1992" s="17" t="s">
        <v>4813</v>
      </c>
      <c r="G1992" s="17">
        <f>MATCH(E1992,Arenas!$F$8:$F$15)</f>
        <v>6</v>
      </c>
      <c r="H1992" s="29" t="s">
        <v>3362</v>
      </c>
      <c r="I1992" s="33" t="s">
        <v>8727</v>
      </c>
      <c r="J1992" s="47" t="s">
        <v>8728</v>
      </c>
      <c r="K1992" s="61" t="s">
        <v>4779</v>
      </c>
      <c r="L1992" s="12" t="str">
        <f t="shared" si="93"/>
        <v>2,2,2</v>
      </c>
    </row>
    <row r="1993" spans="2:12">
      <c r="B1993" s="17">
        <v>2292</v>
      </c>
      <c r="C1993" s="17">
        <v>2</v>
      </c>
      <c r="D1993" s="17">
        <f t="shared" si="95"/>
        <v>0</v>
      </c>
      <c r="E1993" s="17">
        <f t="shared" si="94"/>
        <v>1811</v>
      </c>
      <c r="F1993" s="17" t="s">
        <v>4813</v>
      </c>
      <c r="G1993" s="17">
        <f>MATCH(E1993,Arenas!$F$8:$F$15)</f>
        <v>6</v>
      </c>
      <c r="H1993" s="29" t="s">
        <v>3363</v>
      </c>
      <c r="I1993" s="33" t="s">
        <v>8729</v>
      </c>
      <c r="J1993" s="47" t="s">
        <v>8730</v>
      </c>
      <c r="K1993" s="61" t="s">
        <v>4779</v>
      </c>
      <c r="L1993" s="12" t="str">
        <f t="shared" si="93"/>
        <v>2,2,2</v>
      </c>
    </row>
    <row r="1994" spans="2:12">
      <c r="B1994" s="17">
        <v>2293</v>
      </c>
      <c r="C1994" s="17">
        <v>2</v>
      </c>
      <c r="D1994" s="17">
        <f t="shared" si="95"/>
        <v>1</v>
      </c>
      <c r="E1994" s="17">
        <f t="shared" si="94"/>
        <v>1812</v>
      </c>
      <c r="F1994" s="17" t="s">
        <v>4813</v>
      </c>
      <c r="G1994" s="17">
        <f>MATCH(E1994,Arenas!$F$8:$F$15)</f>
        <v>6</v>
      </c>
      <c r="H1994" s="29" t="s">
        <v>3364</v>
      </c>
      <c r="I1994" s="33" t="s">
        <v>8731</v>
      </c>
      <c r="J1994" s="47" t="s">
        <v>8732</v>
      </c>
      <c r="K1994" s="61" t="s">
        <v>4779</v>
      </c>
      <c r="L1994" s="12" t="str">
        <f t="shared" si="93"/>
        <v>2,2,2</v>
      </c>
    </row>
    <row r="1995" spans="2:12">
      <c r="B1995" s="17">
        <v>2294</v>
      </c>
      <c r="C1995" s="17">
        <v>2</v>
      </c>
      <c r="D1995" s="17">
        <f t="shared" si="95"/>
        <v>0</v>
      </c>
      <c r="E1995" s="17">
        <f t="shared" si="94"/>
        <v>1812</v>
      </c>
      <c r="F1995" s="17" t="s">
        <v>4813</v>
      </c>
      <c r="G1995" s="17">
        <f>MATCH(E1995,Arenas!$F$8:$F$15)</f>
        <v>6</v>
      </c>
      <c r="H1995" s="29" t="s">
        <v>3365</v>
      </c>
      <c r="I1995" s="33" t="s">
        <v>8733</v>
      </c>
      <c r="J1995" s="47" t="s">
        <v>8734</v>
      </c>
      <c r="K1995" s="61" t="s">
        <v>4779</v>
      </c>
      <c r="L1995" s="12" t="str">
        <f t="shared" si="93"/>
        <v>2,2,2</v>
      </c>
    </row>
    <row r="1996" spans="2:12">
      <c r="B1996" s="17">
        <v>2295</v>
      </c>
      <c r="C1996" s="17">
        <v>2</v>
      </c>
      <c r="D1996" s="17">
        <f t="shared" si="95"/>
        <v>0</v>
      </c>
      <c r="E1996" s="17">
        <f t="shared" si="94"/>
        <v>1812</v>
      </c>
      <c r="F1996" s="17" t="s">
        <v>4813</v>
      </c>
      <c r="G1996" s="17">
        <f>MATCH(E1996,Arenas!$F$8:$F$15)</f>
        <v>6</v>
      </c>
      <c r="H1996" s="29" t="s">
        <v>3366</v>
      </c>
      <c r="I1996" s="33" t="s">
        <v>8735</v>
      </c>
      <c r="J1996" s="47" t="s">
        <v>8736</v>
      </c>
      <c r="K1996" s="61" t="s">
        <v>4779</v>
      </c>
      <c r="L1996" s="12" t="str">
        <f t="shared" si="93"/>
        <v>2,2,2</v>
      </c>
    </row>
    <row r="1997" spans="2:12">
      <c r="B1997" s="17">
        <v>2296</v>
      </c>
      <c r="C1997" s="17">
        <v>2</v>
      </c>
      <c r="D1997" s="17">
        <f t="shared" si="95"/>
        <v>1</v>
      </c>
      <c r="E1997" s="17">
        <f t="shared" si="94"/>
        <v>1813</v>
      </c>
      <c r="F1997" s="17" t="s">
        <v>4813</v>
      </c>
      <c r="G1997" s="17">
        <f>MATCH(E1997,Arenas!$F$8:$F$15)</f>
        <v>6</v>
      </c>
      <c r="H1997" s="29" t="s">
        <v>3367</v>
      </c>
      <c r="I1997" s="33" t="s">
        <v>8737</v>
      </c>
      <c r="J1997" s="47" t="s">
        <v>8738</v>
      </c>
      <c r="K1997" s="61" t="s">
        <v>4779</v>
      </c>
      <c r="L1997" s="12" t="str">
        <f t="shared" si="93"/>
        <v>2,2,2</v>
      </c>
    </row>
    <row r="1998" spans="2:12">
      <c r="B1998" s="17">
        <v>2297</v>
      </c>
      <c r="C1998" s="17">
        <v>2</v>
      </c>
      <c r="D1998" s="17">
        <f t="shared" si="95"/>
        <v>0</v>
      </c>
      <c r="E1998" s="17">
        <f t="shared" si="94"/>
        <v>1813</v>
      </c>
      <c r="F1998" s="17" t="s">
        <v>4813</v>
      </c>
      <c r="G1998" s="17">
        <f>MATCH(E1998,Arenas!$F$8:$F$15)</f>
        <v>6</v>
      </c>
      <c r="H1998" s="29" t="s">
        <v>3368</v>
      </c>
      <c r="I1998" s="33" t="s">
        <v>8739</v>
      </c>
      <c r="J1998" s="47" t="s">
        <v>8740</v>
      </c>
      <c r="K1998" s="61" t="s">
        <v>4779</v>
      </c>
      <c r="L1998" s="12" t="str">
        <f t="shared" si="93"/>
        <v>2,2,2</v>
      </c>
    </row>
    <row r="1999" spans="2:12">
      <c r="B1999" s="17">
        <v>2298</v>
      </c>
      <c r="C1999" s="17">
        <v>2</v>
      </c>
      <c r="D1999" s="17">
        <f t="shared" si="95"/>
        <v>0</v>
      </c>
      <c r="E1999" s="17">
        <f t="shared" si="94"/>
        <v>1813</v>
      </c>
      <c r="F1999" s="17" t="s">
        <v>4813</v>
      </c>
      <c r="G1999" s="17">
        <f>MATCH(E1999,Arenas!$F$8:$F$15)</f>
        <v>6</v>
      </c>
      <c r="H1999" s="29" t="s">
        <v>3369</v>
      </c>
      <c r="I1999" s="33" t="s">
        <v>8741</v>
      </c>
      <c r="J1999" s="47" t="s">
        <v>8742</v>
      </c>
      <c r="K1999" s="61" t="s">
        <v>4779</v>
      </c>
      <c r="L1999" s="12" t="str">
        <f t="shared" si="93"/>
        <v>2,2,2</v>
      </c>
    </row>
    <row r="2000" spans="2:12">
      <c r="B2000" s="17">
        <v>2299</v>
      </c>
      <c r="C2000" s="17">
        <v>2</v>
      </c>
      <c r="D2000" s="17">
        <f t="shared" si="95"/>
        <v>1</v>
      </c>
      <c r="E2000" s="17">
        <f t="shared" si="94"/>
        <v>1814</v>
      </c>
      <c r="F2000" s="17" t="s">
        <v>4813</v>
      </c>
      <c r="G2000" s="17">
        <f>MATCH(E2000,Arenas!$F$8:$F$15)</f>
        <v>6</v>
      </c>
      <c r="H2000" s="29" t="s">
        <v>3370</v>
      </c>
      <c r="I2000" s="33" t="s">
        <v>8743</v>
      </c>
      <c r="J2000" s="47" t="s">
        <v>5536</v>
      </c>
      <c r="K2000" s="61" t="s">
        <v>4779</v>
      </c>
      <c r="L2000" s="12" t="str">
        <f t="shared" si="93"/>
        <v>2,2,2</v>
      </c>
    </row>
    <row r="2001" spans="2:12">
      <c r="B2001" s="17">
        <v>2300</v>
      </c>
      <c r="C2001" s="17">
        <v>2</v>
      </c>
      <c r="D2001" s="17">
        <f t="shared" si="95"/>
        <v>0</v>
      </c>
      <c r="E2001" s="17">
        <f t="shared" si="94"/>
        <v>1814</v>
      </c>
      <c r="F2001" s="17" t="s">
        <v>4813</v>
      </c>
      <c r="G2001" s="17">
        <f>MATCH(E2001,Arenas!$F$8:$F$15)</f>
        <v>6</v>
      </c>
      <c r="H2001" s="29" t="s">
        <v>3371</v>
      </c>
      <c r="I2001" s="33" t="s">
        <v>8744</v>
      </c>
      <c r="J2001" s="47" t="s">
        <v>8745</v>
      </c>
      <c r="K2001" s="61" t="s">
        <v>4779</v>
      </c>
      <c r="L2001" s="12" t="str">
        <f t="shared" si="93"/>
        <v>2,2,2</v>
      </c>
    </row>
    <row r="2002" spans="2:12">
      <c r="B2002" s="17">
        <v>2301</v>
      </c>
      <c r="C2002" s="17">
        <v>2</v>
      </c>
      <c r="D2002" s="17">
        <f t="shared" si="95"/>
        <v>0</v>
      </c>
      <c r="E2002" s="17">
        <f t="shared" si="94"/>
        <v>1814</v>
      </c>
      <c r="F2002" s="17" t="s">
        <v>4813</v>
      </c>
      <c r="G2002" s="17">
        <f>MATCH(E2002,Arenas!$F$8:$F$15)</f>
        <v>6</v>
      </c>
      <c r="H2002" s="29" t="s">
        <v>3372</v>
      </c>
      <c r="I2002" s="33" t="s">
        <v>8746</v>
      </c>
      <c r="J2002" s="47" t="s">
        <v>8747</v>
      </c>
      <c r="K2002" s="61" t="s">
        <v>4779</v>
      </c>
      <c r="L2002" s="12" t="str">
        <f t="shared" si="93"/>
        <v>2,2,2</v>
      </c>
    </row>
    <row r="2003" spans="2:12">
      <c r="B2003" s="17">
        <v>2302</v>
      </c>
      <c r="C2003" s="17">
        <v>2</v>
      </c>
      <c r="D2003" s="17">
        <f t="shared" si="95"/>
        <v>1</v>
      </c>
      <c r="E2003" s="17">
        <f t="shared" si="94"/>
        <v>1815</v>
      </c>
      <c r="F2003" s="17" t="s">
        <v>4813</v>
      </c>
      <c r="G2003" s="17">
        <f>MATCH(E2003,Arenas!$F$8:$F$15)</f>
        <v>6</v>
      </c>
      <c r="H2003" s="29" t="s">
        <v>3373</v>
      </c>
      <c r="I2003" s="33" t="s">
        <v>8748</v>
      </c>
      <c r="J2003" s="47" t="s">
        <v>4724</v>
      </c>
      <c r="K2003" s="61" t="s">
        <v>4779</v>
      </c>
      <c r="L2003" s="12" t="str">
        <f t="shared" si="93"/>
        <v>2,2,2</v>
      </c>
    </row>
    <row r="2004" spans="2:12">
      <c r="B2004" s="17">
        <v>2303</v>
      </c>
      <c r="C2004" s="17">
        <v>2</v>
      </c>
      <c r="D2004" s="17">
        <f t="shared" si="95"/>
        <v>0</v>
      </c>
      <c r="E2004" s="17">
        <f t="shared" si="94"/>
        <v>1815</v>
      </c>
      <c r="F2004" s="17" t="s">
        <v>4813</v>
      </c>
      <c r="G2004" s="17">
        <f>MATCH(E2004,Arenas!$F$8:$F$15)</f>
        <v>6</v>
      </c>
      <c r="H2004" s="29" t="s">
        <v>3374</v>
      </c>
      <c r="I2004" s="33" t="s">
        <v>8749</v>
      </c>
      <c r="J2004" s="47" t="s">
        <v>8750</v>
      </c>
      <c r="K2004" s="61" t="s">
        <v>4779</v>
      </c>
      <c r="L2004" s="12" t="str">
        <f t="shared" si="93"/>
        <v>2,2,2</v>
      </c>
    </row>
    <row r="2005" spans="2:12">
      <c r="B2005" s="17">
        <v>2304</v>
      </c>
      <c r="C2005" s="17">
        <v>2</v>
      </c>
      <c r="D2005" s="17">
        <f t="shared" si="95"/>
        <v>0</v>
      </c>
      <c r="E2005" s="17">
        <f t="shared" si="94"/>
        <v>1815</v>
      </c>
      <c r="F2005" s="17" t="s">
        <v>4813</v>
      </c>
      <c r="G2005" s="17">
        <f>MATCH(E2005,Arenas!$F$8:$F$15)</f>
        <v>6</v>
      </c>
      <c r="H2005" s="29" t="s">
        <v>3375</v>
      </c>
      <c r="I2005" s="33" t="s">
        <v>8751</v>
      </c>
      <c r="J2005" s="47" t="s">
        <v>5862</v>
      </c>
      <c r="K2005" s="61" t="s">
        <v>4779</v>
      </c>
      <c r="L2005" s="12" t="str">
        <f t="shared" si="93"/>
        <v>2,2,2</v>
      </c>
    </row>
    <row r="2006" spans="2:12">
      <c r="B2006" s="17">
        <v>2305</v>
      </c>
      <c r="C2006" s="17">
        <v>2</v>
      </c>
      <c r="D2006" s="17">
        <f t="shared" si="95"/>
        <v>1</v>
      </c>
      <c r="E2006" s="17">
        <f t="shared" si="94"/>
        <v>1816</v>
      </c>
      <c r="F2006" s="17" t="s">
        <v>4813</v>
      </c>
      <c r="G2006" s="17">
        <f>MATCH(E2006,Arenas!$F$8:$F$15)</f>
        <v>6</v>
      </c>
      <c r="H2006" s="29" t="s">
        <v>3376</v>
      </c>
      <c r="I2006" s="33" t="s">
        <v>8752</v>
      </c>
      <c r="J2006" s="47" t="s">
        <v>8753</v>
      </c>
      <c r="K2006" s="61" t="s">
        <v>4808</v>
      </c>
      <c r="L2006" s="12" t="str">
        <f t="shared" si="93"/>
        <v>2,2,2</v>
      </c>
    </row>
    <row r="2007" spans="2:12">
      <c r="B2007" s="17">
        <v>2306</v>
      </c>
      <c r="C2007" s="17">
        <v>2</v>
      </c>
      <c r="D2007" s="17">
        <f t="shared" si="95"/>
        <v>0</v>
      </c>
      <c r="E2007" s="17">
        <f t="shared" si="94"/>
        <v>1816</v>
      </c>
      <c r="F2007" s="17" t="s">
        <v>4813</v>
      </c>
      <c r="G2007" s="17">
        <f>MATCH(E2007,Arenas!$F$8:$F$15)</f>
        <v>6</v>
      </c>
      <c r="H2007" s="29" t="s">
        <v>3377</v>
      </c>
      <c r="I2007" s="33" t="s">
        <v>8754</v>
      </c>
      <c r="J2007" s="47" t="s">
        <v>5890</v>
      </c>
      <c r="K2007" s="61" t="s">
        <v>4779</v>
      </c>
      <c r="L2007" s="12" t="str">
        <f t="shared" si="93"/>
        <v>2,2,2</v>
      </c>
    </row>
    <row r="2008" spans="2:12">
      <c r="B2008" s="17">
        <v>2307</v>
      </c>
      <c r="C2008" s="17">
        <v>2</v>
      </c>
      <c r="D2008" s="17">
        <f t="shared" si="95"/>
        <v>0</v>
      </c>
      <c r="E2008" s="17">
        <f t="shared" si="94"/>
        <v>1816</v>
      </c>
      <c r="F2008" s="17" t="s">
        <v>4813</v>
      </c>
      <c r="G2008" s="17">
        <f>MATCH(E2008,Arenas!$F$8:$F$15)</f>
        <v>6</v>
      </c>
      <c r="H2008" s="29" t="s">
        <v>3378</v>
      </c>
      <c r="I2008" s="33" t="s">
        <v>8755</v>
      </c>
      <c r="J2008" s="47" t="s">
        <v>5127</v>
      </c>
      <c r="K2008" s="61" t="s">
        <v>4779</v>
      </c>
      <c r="L2008" s="12" t="str">
        <f t="shared" si="93"/>
        <v>2,2,2</v>
      </c>
    </row>
    <row r="2009" spans="2:12">
      <c r="B2009" s="17">
        <v>2308</v>
      </c>
      <c r="C2009" s="17">
        <v>2</v>
      </c>
      <c r="D2009" s="17">
        <f t="shared" si="95"/>
        <v>1</v>
      </c>
      <c r="E2009" s="17">
        <f t="shared" si="94"/>
        <v>1817</v>
      </c>
      <c r="F2009" s="17" t="s">
        <v>4813</v>
      </c>
      <c r="G2009" s="17">
        <f>MATCH(E2009,Arenas!$F$8:$F$15)</f>
        <v>6</v>
      </c>
      <c r="H2009" s="29" t="s">
        <v>3379</v>
      </c>
      <c r="I2009" s="33" t="s">
        <v>8756</v>
      </c>
      <c r="J2009" s="47" t="s">
        <v>8757</v>
      </c>
      <c r="K2009" s="61" t="s">
        <v>4779</v>
      </c>
      <c r="L2009" s="12" t="str">
        <f t="shared" si="93"/>
        <v>2,2,2</v>
      </c>
    </row>
    <row r="2010" spans="2:12">
      <c r="B2010" s="17">
        <v>2309</v>
      </c>
      <c r="C2010" s="17">
        <v>2</v>
      </c>
      <c r="D2010" s="17">
        <f t="shared" si="95"/>
        <v>0</v>
      </c>
      <c r="E2010" s="17">
        <f t="shared" si="94"/>
        <v>1817</v>
      </c>
      <c r="F2010" s="17" t="s">
        <v>4813</v>
      </c>
      <c r="G2010" s="17">
        <f>MATCH(E2010,Arenas!$F$8:$F$15)</f>
        <v>6</v>
      </c>
      <c r="H2010" s="29" t="s">
        <v>3380</v>
      </c>
      <c r="I2010" s="33" t="s">
        <v>8758</v>
      </c>
      <c r="J2010" s="47" t="s">
        <v>8759</v>
      </c>
      <c r="K2010" s="61" t="s">
        <v>4809</v>
      </c>
      <c r="L2010" s="12" t="str">
        <f t="shared" si="93"/>
        <v>2,2,2</v>
      </c>
    </row>
    <row r="2011" spans="2:12">
      <c r="B2011" s="17">
        <v>2310</v>
      </c>
      <c r="C2011" s="17">
        <v>2</v>
      </c>
      <c r="D2011" s="17">
        <f t="shared" si="95"/>
        <v>0</v>
      </c>
      <c r="E2011" s="17">
        <f t="shared" si="94"/>
        <v>1817</v>
      </c>
      <c r="F2011" s="17" t="s">
        <v>4813</v>
      </c>
      <c r="G2011" s="17">
        <f>MATCH(E2011,Arenas!$F$8:$F$15)</f>
        <v>6</v>
      </c>
      <c r="H2011" s="29" t="s">
        <v>3381</v>
      </c>
      <c r="I2011" s="33" t="s">
        <v>8760</v>
      </c>
      <c r="J2011" s="47" t="s">
        <v>8761</v>
      </c>
      <c r="K2011" s="61" t="s">
        <v>4779</v>
      </c>
      <c r="L2011" s="12" t="str">
        <f t="shared" si="93"/>
        <v>2,2,2</v>
      </c>
    </row>
    <row r="2012" spans="2:12">
      <c r="B2012" s="17">
        <v>2311</v>
      </c>
      <c r="C2012" s="17">
        <v>2</v>
      </c>
      <c r="D2012" s="17">
        <f t="shared" si="95"/>
        <v>1</v>
      </c>
      <c r="E2012" s="17">
        <f t="shared" si="94"/>
        <v>1818</v>
      </c>
      <c r="F2012" s="17" t="s">
        <v>4813</v>
      </c>
      <c r="G2012" s="17">
        <f>MATCH(E2012,Arenas!$F$8:$F$15)</f>
        <v>6</v>
      </c>
      <c r="H2012" s="29" t="s">
        <v>3382</v>
      </c>
      <c r="I2012" s="33" t="s">
        <v>8762</v>
      </c>
      <c r="J2012" s="47" t="s">
        <v>8763</v>
      </c>
      <c r="K2012" s="61" t="s">
        <v>4779</v>
      </c>
      <c r="L2012" s="12" t="str">
        <f t="shared" si="93"/>
        <v>2,2,2</v>
      </c>
    </row>
    <row r="2013" spans="2:12">
      <c r="B2013" s="17">
        <v>2312</v>
      </c>
      <c r="C2013" s="17">
        <v>2</v>
      </c>
      <c r="D2013" s="17">
        <f t="shared" si="95"/>
        <v>0</v>
      </c>
      <c r="E2013" s="17">
        <f t="shared" si="94"/>
        <v>1818</v>
      </c>
      <c r="F2013" s="17" t="s">
        <v>4813</v>
      </c>
      <c r="G2013" s="17">
        <f>MATCH(E2013,Arenas!$F$8:$F$15)</f>
        <v>6</v>
      </c>
      <c r="H2013" s="29" t="s">
        <v>3383</v>
      </c>
      <c r="I2013" s="33" t="s">
        <v>8764</v>
      </c>
      <c r="J2013" s="47" t="s">
        <v>8765</v>
      </c>
      <c r="K2013" s="61" t="s">
        <v>4779</v>
      </c>
      <c r="L2013" s="12" t="str">
        <f t="shared" si="93"/>
        <v>2,2,2</v>
      </c>
    </row>
    <row r="2014" spans="2:12">
      <c r="B2014" s="17">
        <v>2313</v>
      </c>
      <c r="C2014" s="17">
        <v>2</v>
      </c>
      <c r="D2014" s="17">
        <f t="shared" si="95"/>
        <v>0</v>
      </c>
      <c r="E2014" s="17">
        <f t="shared" si="94"/>
        <v>1818</v>
      </c>
      <c r="F2014" s="17" t="s">
        <v>4813</v>
      </c>
      <c r="G2014" s="17">
        <f>MATCH(E2014,Arenas!$F$8:$F$15)</f>
        <v>6</v>
      </c>
      <c r="H2014" s="29" t="s">
        <v>3384</v>
      </c>
      <c r="I2014" s="33" t="s">
        <v>8766</v>
      </c>
      <c r="J2014" s="47" t="s">
        <v>8767</v>
      </c>
      <c r="K2014" s="61" t="s">
        <v>4779</v>
      </c>
      <c r="L2014" s="12" t="str">
        <f t="shared" si="93"/>
        <v>2,2,2</v>
      </c>
    </row>
    <row r="2015" spans="2:12">
      <c r="B2015" s="17">
        <v>2314</v>
      </c>
      <c r="C2015" s="17">
        <v>2</v>
      </c>
      <c r="D2015" s="17">
        <f t="shared" si="95"/>
        <v>1</v>
      </c>
      <c r="E2015" s="17">
        <f t="shared" si="94"/>
        <v>1819</v>
      </c>
      <c r="F2015" s="17" t="s">
        <v>4813</v>
      </c>
      <c r="G2015" s="17">
        <f>MATCH(E2015,Arenas!$F$8:$F$15)</f>
        <v>6</v>
      </c>
      <c r="H2015" s="29" t="s">
        <v>3385</v>
      </c>
      <c r="I2015" s="33" t="s">
        <v>8768</v>
      </c>
      <c r="J2015" s="47" t="s">
        <v>8769</v>
      </c>
      <c r="K2015" s="61" t="s">
        <v>4779</v>
      </c>
      <c r="L2015" s="12" t="str">
        <f t="shared" si="93"/>
        <v>2,2,2</v>
      </c>
    </row>
    <row r="2016" spans="2:12">
      <c r="B2016" s="17">
        <v>2315</v>
      </c>
      <c r="C2016" s="17">
        <v>2</v>
      </c>
      <c r="D2016" s="17">
        <f t="shared" si="95"/>
        <v>0</v>
      </c>
      <c r="E2016" s="17">
        <f t="shared" si="94"/>
        <v>1819</v>
      </c>
      <c r="F2016" s="17" t="s">
        <v>4813</v>
      </c>
      <c r="G2016" s="17">
        <f>MATCH(E2016,Arenas!$F$8:$F$15)</f>
        <v>6</v>
      </c>
      <c r="H2016" s="29" t="s">
        <v>3386</v>
      </c>
      <c r="I2016" s="33" t="s">
        <v>8770</v>
      </c>
      <c r="J2016" s="47" t="s">
        <v>8771</v>
      </c>
      <c r="K2016" s="61" t="s">
        <v>4779</v>
      </c>
      <c r="L2016" s="12" t="str">
        <f t="shared" si="93"/>
        <v>2,2,2</v>
      </c>
    </row>
    <row r="2017" spans="2:12">
      <c r="B2017" s="17">
        <v>2316</v>
      </c>
      <c r="C2017" s="17">
        <v>2</v>
      </c>
      <c r="D2017" s="17">
        <f t="shared" si="95"/>
        <v>0</v>
      </c>
      <c r="E2017" s="17">
        <f t="shared" si="94"/>
        <v>1819</v>
      </c>
      <c r="F2017" s="17" t="s">
        <v>4813</v>
      </c>
      <c r="G2017" s="17">
        <f>MATCH(E2017,Arenas!$F$8:$F$15)</f>
        <v>6</v>
      </c>
      <c r="H2017" s="29" t="s">
        <v>3387</v>
      </c>
      <c r="I2017" s="33" t="s">
        <v>8772</v>
      </c>
      <c r="J2017" s="47" t="s">
        <v>8773</v>
      </c>
      <c r="K2017" s="61" t="s">
        <v>4779</v>
      </c>
      <c r="L2017" s="12" t="str">
        <f t="shared" si="93"/>
        <v>2,2,2</v>
      </c>
    </row>
    <row r="2018" spans="2:12">
      <c r="B2018" s="17">
        <v>2317</v>
      </c>
      <c r="C2018" s="17">
        <v>2</v>
      </c>
      <c r="D2018" s="17">
        <f t="shared" si="95"/>
        <v>1</v>
      </c>
      <c r="E2018" s="17">
        <f t="shared" si="94"/>
        <v>1820</v>
      </c>
      <c r="F2018" s="17" t="s">
        <v>4813</v>
      </c>
      <c r="G2018" s="17">
        <f>MATCH(E2018,Arenas!$F$8:$F$15)</f>
        <v>6</v>
      </c>
      <c r="H2018" s="29" t="s">
        <v>3388</v>
      </c>
      <c r="I2018" s="33" t="s">
        <v>8774</v>
      </c>
      <c r="J2018" s="47" t="s">
        <v>8775</v>
      </c>
      <c r="K2018" s="61" t="s">
        <v>4807</v>
      </c>
      <c r="L2018" s="12" t="str">
        <f t="shared" si="93"/>
        <v>2,2,2</v>
      </c>
    </row>
    <row r="2019" spans="2:12">
      <c r="B2019" s="17">
        <v>2318</v>
      </c>
      <c r="C2019" s="17">
        <v>2</v>
      </c>
      <c r="D2019" s="17">
        <f t="shared" si="95"/>
        <v>0</v>
      </c>
      <c r="E2019" s="17">
        <f t="shared" si="94"/>
        <v>1820</v>
      </c>
      <c r="F2019" s="17" t="s">
        <v>4813</v>
      </c>
      <c r="G2019" s="17">
        <f>MATCH(E2019,Arenas!$F$8:$F$15)</f>
        <v>6</v>
      </c>
      <c r="H2019" s="29" t="s">
        <v>3389</v>
      </c>
      <c r="I2019" s="33" t="s">
        <v>8776</v>
      </c>
      <c r="J2019" s="47" t="s">
        <v>8777</v>
      </c>
      <c r="K2019" s="61" t="s">
        <v>4779</v>
      </c>
      <c r="L2019" s="12" t="str">
        <f t="shared" si="93"/>
        <v>2,2,2</v>
      </c>
    </row>
    <row r="2020" spans="2:12">
      <c r="B2020" s="17">
        <v>2319</v>
      </c>
      <c r="C2020" s="17">
        <v>2</v>
      </c>
      <c r="D2020" s="17">
        <f t="shared" si="95"/>
        <v>0</v>
      </c>
      <c r="E2020" s="17">
        <f t="shared" si="94"/>
        <v>1820</v>
      </c>
      <c r="F2020" s="17" t="s">
        <v>4813</v>
      </c>
      <c r="G2020" s="17">
        <f>MATCH(E2020,Arenas!$F$8:$F$15)</f>
        <v>6</v>
      </c>
      <c r="H2020" s="29" t="s">
        <v>3390</v>
      </c>
      <c r="I2020" s="33" t="s">
        <v>8778</v>
      </c>
      <c r="J2020" s="47" t="s">
        <v>8779</v>
      </c>
      <c r="K2020" s="61" t="s">
        <v>4779</v>
      </c>
      <c r="L2020" s="12" t="str">
        <f t="shared" si="93"/>
        <v>2,2,2</v>
      </c>
    </row>
    <row r="2021" spans="2:12">
      <c r="B2021" s="17">
        <v>2320</v>
      </c>
      <c r="C2021" s="17">
        <v>2</v>
      </c>
      <c r="D2021" s="17">
        <f t="shared" si="95"/>
        <v>1</v>
      </c>
      <c r="E2021" s="17">
        <f t="shared" si="94"/>
        <v>1821</v>
      </c>
      <c r="F2021" s="17" t="s">
        <v>4813</v>
      </c>
      <c r="G2021" s="17">
        <f>MATCH(E2021,Arenas!$F$8:$F$15)</f>
        <v>6</v>
      </c>
      <c r="H2021" s="29" t="s">
        <v>3391</v>
      </c>
      <c r="I2021" s="33" t="s">
        <v>8780</v>
      </c>
      <c r="J2021" s="47" t="s">
        <v>8781</v>
      </c>
      <c r="K2021" s="61" t="s">
        <v>4779</v>
      </c>
      <c r="L2021" s="12" t="str">
        <f t="shared" si="93"/>
        <v>2,2,2</v>
      </c>
    </row>
    <row r="2022" spans="2:12">
      <c r="B2022" s="17">
        <v>2321</v>
      </c>
      <c r="C2022" s="17">
        <v>2</v>
      </c>
      <c r="D2022" s="17">
        <f t="shared" si="95"/>
        <v>0</v>
      </c>
      <c r="E2022" s="17">
        <f t="shared" si="94"/>
        <v>1821</v>
      </c>
      <c r="F2022" s="17" t="s">
        <v>4813</v>
      </c>
      <c r="G2022" s="17">
        <f>MATCH(E2022,Arenas!$F$8:$F$15)</f>
        <v>6</v>
      </c>
      <c r="H2022" s="29" t="s">
        <v>3392</v>
      </c>
      <c r="I2022" s="33" t="s">
        <v>8782</v>
      </c>
      <c r="J2022" s="47" t="s">
        <v>8783</v>
      </c>
      <c r="K2022" s="61" t="s">
        <v>4779</v>
      </c>
      <c r="L2022" s="12" t="str">
        <f t="shared" si="93"/>
        <v>2,2,2</v>
      </c>
    </row>
    <row r="2023" spans="2:12">
      <c r="B2023" s="17">
        <v>2322</v>
      </c>
      <c r="C2023" s="17">
        <v>2</v>
      </c>
      <c r="D2023" s="17">
        <f t="shared" si="95"/>
        <v>0</v>
      </c>
      <c r="E2023" s="17">
        <f t="shared" si="94"/>
        <v>1821</v>
      </c>
      <c r="F2023" s="17" t="s">
        <v>4813</v>
      </c>
      <c r="G2023" s="17">
        <f>MATCH(E2023,Arenas!$F$8:$F$15)</f>
        <v>6</v>
      </c>
      <c r="H2023" s="29" t="s">
        <v>3393</v>
      </c>
      <c r="I2023" s="33" t="s">
        <v>8784</v>
      </c>
      <c r="J2023" s="47" t="s">
        <v>8785</v>
      </c>
      <c r="K2023" s="61" t="s">
        <v>4809</v>
      </c>
      <c r="L2023" s="12" t="str">
        <f t="shared" si="93"/>
        <v>2,2,2</v>
      </c>
    </row>
    <row r="2024" spans="2:12">
      <c r="B2024" s="17">
        <v>2323</v>
      </c>
      <c r="C2024" s="17">
        <v>2</v>
      </c>
      <c r="D2024" s="17">
        <f t="shared" si="95"/>
        <v>1</v>
      </c>
      <c r="E2024" s="17">
        <f t="shared" si="94"/>
        <v>1822</v>
      </c>
      <c r="F2024" s="17" t="s">
        <v>4813</v>
      </c>
      <c r="G2024" s="17">
        <f>MATCH(E2024,Arenas!$F$8:$F$15)</f>
        <v>6</v>
      </c>
      <c r="H2024" s="29" t="s">
        <v>3394</v>
      </c>
      <c r="I2024" s="33" t="s">
        <v>8786</v>
      </c>
      <c r="J2024" s="47" t="s">
        <v>8787</v>
      </c>
      <c r="K2024" s="61" t="s">
        <v>4779</v>
      </c>
      <c r="L2024" s="12" t="str">
        <f t="shared" si="93"/>
        <v>2,2,2</v>
      </c>
    </row>
    <row r="2025" spans="2:12">
      <c r="B2025" s="17">
        <v>2324</v>
      </c>
      <c r="C2025" s="17">
        <v>2</v>
      </c>
      <c r="D2025" s="17">
        <f t="shared" si="95"/>
        <v>0</v>
      </c>
      <c r="E2025" s="17">
        <f t="shared" si="94"/>
        <v>1822</v>
      </c>
      <c r="F2025" s="17" t="s">
        <v>4813</v>
      </c>
      <c r="G2025" s="17">
        <f>MATCH(E2025,Arenas!$F$8:$F$15)</f>
        <v>6</v>
      </c>
      <c r="H2025" s="29" t="s">
        <v>3395</v>
      </c>
      <c r="I2025" s="33" t="s">
        <v>8788</v>
      </c>
      <c r="J2025" s="47" t="s">
        <v>8789</v>
      </c>
      <c r="K2025" s="61" t="s">
        <v>4779</v>
      </c>
      <c r="L2025" s="12" t="str">
        <f t="shared" si="93"/>
        <v>2,2,2</v>
      </c>
    </row>
    <row r="2026" spans="2:12">
      <c r="B2026" s="17">
        <v>2325</v>
      </c>
      <c r="C2026" s="17">
        <v>2</v>
      </c>
      <c r="D2026" s="17">
        <f t="shared" si="95"/>
        <v>0</v>
      </c>
      <c r="E2026" s="17">
        <f t="shared" si="94"/>
        <v>1822</v>
      </c>
      <c r="F2026" s="17" t="s">
        <v>4813</v>
      </c>
      <c r="G2026" s="17">
        <f>MATCH(E2026,Arenas!$F$8:$F$15)</f>
        <v>6</v>
      </c>
      <c r="H2026" s="29" t="s">
        <v>3396</v>
      </c>
      <c r="I2026" s="33" t="s">
        <v>8790</v>
      </c>
      <c r="J2026" s="47" t="s">
        <v>4878</v>
      </c>
      <c r="K2026" s="61" t="s">
        <v>4779</v>
      </c>
      <c r="L2026" s="12" t="str">
        <f t="shared" si="93"/>
        <v>2,2,2</v>
      </c>
    </row>
    <row r="2027" spans="2:12">
      <c r="B2027" s="17">
        <v>2326</v>
      </c>
      <c r="C2027" s="17">
        <v>2</v>
      </c>
      <c r="D2027" s="17">
        <f t="shared" si="95"/>
        <v>1</v>
      </c>
      <c r="E2027" s="17">
        <f t="shared" si="94"/>
        <v>1823</v>
      </c>
      <c r="F2027" s="17" t="s">
        <v>4813</v>
      </c>
      <c r="G2027" s="17">
        <f>MATCH(E2027,Arenas!$F$8:$F$15)</f>
        <v>6</v>
      </c>
      <c r="H2027" s="29" t="s">
        <v>3397</v>
      </c>
      <c r="I2027" s="33" t="s">
        <v>8791</v>
      </c>
      <c r="J2027" s="47" t="s">
        <v>8792</v>
      </c>
      <c r="K2027" s="61" t="s">
        <v>4809</v>
      </c>
      <c r="L2027" s="12" t="str">
        <f t="shared" si="93"/>
        <v>2,2,2</v>
      </c>
    </row>
    <row r="2028" spans="2:12">
      <c r="B2028" s="17">
        <v>2327</v>
      </c>
      <c r="C2028" s="17">
        <v>2</v>
      </c>
      <c r="D2028" s="17">
        <f t="shared" si="95"/>
        <v>0</v>
      </c>
      <c r="E2028" s="17">
        <f t="shared" si="94"/>
        <v>1823</v>
      </c>
      <c r="F2028" s="17" t="s">
        <v>4813</v>
      </c>
      <c r="G2028" s="17">
        <f>MATCH(E2028,Arenas!$F$8:$F$15)</f>
        <v>6</v>
      </c>
      <c r="H2028" s="29" t="s">
        <v>3398</v>
      </c>
      <c r="I2028" s="33" t="s">
        <v>8793</v>
      </c>
      <c r="J2028" s="47" t="s">
        <v>8794</v>
      </c>
      <c r="K2028" s="61" t="s">
        <v>4779</v>
      </c>
      <c r="L2028" s="12" t="str">
        <f t="shared" si="93"/>
        <v>2,2,2</v>
      </c>
    </row>
    <row r="2029" spans="2:12">
      <c r="B2029" s="17">
        <v>2328</v>
      </c>
      <c r="C2029" s="17">
        <v>2</v>
      </c>
      <c r="D2029" s="17">
        <f t="shared" si="95"/>
        <v>0</v>
      </c>
      <c r="E2029" s="17">
        <f t="shared" si="94"/>
        <v>1823</v>
      </c>
      <c r="F2029" s="17" t="s">
        <v>4813</v>
      </c>
      <c r="G2029" s="17">
        <f>MATCH(E2029,Arenas!$F$8:$F$15)</f>
        <v>6</v>
      </c>
      <c r="H2029" s="29" t="s">
        <v>3399</v>
      </c>
      <c r="I2029" s="33" t="s">
        <v>8795</v>
      </c>
      <c r="J2029" s="47" t="s">
        <v>8796</v>
      </c>
      <c r="K2029" s="61" t="s">
        <v>4779</v>
      </c>
      <c r="L2029" s="12" t="str">
        <f t="shared" si="93"/>
        <v>2,2,2</v>
      </c>
    </row>
    <row r="2030" spans="2:12">
      <c r="B2030" s="17">
        <v>2329</v>
      </c>
      <c r="C2030" s="17">
        <v>2</v>
      </c>
      <c r="D2030" s="17">
        <f t="shared" si="95"/>
        <v>1</v>
      </c>
      <c r="E2030" s="17">
        <f t="shared" si="94"/>
        <v>1824</v>
      </c>
      <c r="F2030" s="17" t="s">
        <v>4813</v>
      </c>
      <c r="G2030" s="17">
        <f>MATCH(E2030,Arenas!$F$8:$F$15)</f>
        <v>6</v>
      </c>
      <c r="H2030" s="29" t="s">
        <v>3400</v>
      </c>
      <c r="I2030" s="33" t="s">
        <v>8797</v>
      </c>
      <c r="J2030" s="47" t="s">
        <v>8798</v>
      </c>
      <c r="K2030" s="61" t="s">
        <v>4779</v>
      </c>
      <c r="L2030" s="12" t="str">
        <f t="shared" si="93"/>
        <v>2,2,2</v>
      </c>
    </row>
    <row r="2031" spans="2:12">
      <c r="B2031" s="17">
        <v>2330</v>
      </c>
      <c r="C2031" s="17">
        <v>2</v>
      </c>
      <c r="D2031" s="17">
        <f t="shared" si="95"/>
        <v>0</v>
      </c>
      <c r="E2031" s="17">
        <f t="shared" si="94"/>
        <v>1824</v>
      </c>
      <c r="F2031" s="17" t="s">
        <v>4813</v>
      </c>
      <c r="G2031" s="17">
        <f>MATCH(E2031,Arenas!$F$8:$F$15)</f>
        <v>6</v>
      </c>
      <c r="H2031" s="29" t="s">
        <v>3401</v>
      </c>
      <c r="I2031" s="33" t="s">
        <v>8799</v>
      </c>
      <c r="J2031" s="47" t="s">
        <v>8800</v>
      </c>
      <c r="K2031" s="61" t="s">
        <v>4779</v>
      </c>
      <c r="L2031" s="12" t="str">
        <f t="shared" si="93"/>
        <v>2,2,2</v>
      </c>
    </row>
    <row r="2032" spans="2:12">
      <c r="B2032" s="17">
        <v>2331</v>
      </c>
      <c r="C2032" s="17">
        <v>2</v>
      </c>
      <c r="D2032" s="17">
        <f t="shared" si="95"/>
        <v>0</v>
      </c>
      <c r="E2032" s="17">
        <f t="shared" si="94"/>
        <v>1824</v>
      </c>
      <c r="F2032" s="17" t="s">
        <v>4813</v>
      </c>
      <c r="G2032" s="17">
        <f>MATCH(E2032,Arenas!$F$8:$F$15)</f>
        <v>6</v>
      </c>
      <c r="H2032" s="29" t="s">
        <v>3402</v>
      </c>
      <c r="I2032" s="33" t="s">
        <v>8801</v>
      </c>
      <c r="J2032" s="47" t="s">
        <v>8802</v>
      </c>
      <c r="K2032" s="61" t="s">
        <v>4779</v>
      </c>
      <c r="L2032" s="12" t="str">
        <f t="shared" si="93"/>
        <v>2,2,2</v>
      </c>
    </row>
    <row r="2033" spans="2:12">
      <c r="B2033" s="17">
        <v>2332</v>
      </c>
      <c r="C2033" s="17">
        <v>2</v>
      </c>
      <c r="D2033" s="17">
        <f t="shared" si="95"/>
        <v>1</v>
      </c>
      <c r="E2033" s="17">
        <f t="shared" si="94"/>
        <v>1825</v>
      </c>
      <c r="F2033" s="17" t="s">
        <v>4813</v>
      </c>
      <c r="G2033" s="17">
        <f>MATCH(E2033,Arenas!$F$8:$F$15)</f>
        <v>6</v>
      </c>
      <c r="H2033" s="29" t="s">
        <v>3403</v>
      </c>
      <c r="I2033" s="33" t="s">
        <v>8803</v>
      </c>
      <c r="J2033" s="47" t="s">
        <v>8804</v>
      </c>
      <c r="K2033" s="61" t="s">
        <v>4779</v>
      </c>
      <c r="L2033" s="12" t="str">
        <f t="shared" si="93"/>
        <v>2,2,2</v>
      </c>
    </row>
    <row r="2034" spans="2:12">
      <c r="B2034" s="17">
        <v>2333</v>
      </c>
      <c r="C2034" s="17">
        <v>2</v>
      </c>
      <c r="D2034" s="17">
        <f t="shared" si="95"/>
        <v>0</v>
      </c>
      <c r="E2034" s="17">
        <f t="shared" si="94"/>
        <v>1825</v>
      </c>
      <c r="F2034" s="17" t="s">
        <v>4813</v>
      </c>
      <c r="G2034" s="17">
        <f>MATCH(E2034,Arenas!$F$8:$F$15)</f>
        <v>6</v>
      </c>
      <c r="H2034" s="29" t="s">
        <v>3404</v>
      </c>
      <c r="I2034" s="33" t="s">
        <v>8805</v>
      </c>
      <c r="J2034" s="47" t="s">
        <v>8806</v>
      </c>
      <c r="K2034" s="61" t="s">
        <v>4779</v>
      </c>
      <c r="L2034" s="12" t="str">
        <f t="shared" si="93"/>
        <v>2,2,2</v>
      </c>
    </row>
    <row r="2035" spans="2:12">
      <c r="B2035" s="17">
        <v>2334</v>
      </c>
      <c r="C2035" s="17">
        <v>2</v>
      </c>
      <c r="D2035" s="17">
        <f t="shared" si="95"/>
        <v>0</v>
      </c>
      <c r="E2035" s="17">
        <f t="shared" si="94"/>
        <v>1825</v>
      </c>
      <c r="F2035" s="17" t="s">
        <v>4813</v>
      </c>
      <c r="G2035" s="17">
        <f>MATCH(E2035,Arenas!$F$8:$F$15)</f>
        <v>6</v>
      </c>
      <c r="H2035" s="29" t="s">
        <v>3405</v>
      </c>
      <c r="I2035" s="33" t="s">
        <v>8807</v>
      </c>
      <c r="J2035" s="47" t="s">
        <v>8808</v>
      </c>
      <c r="K2035" s="61" t="s">
        <v>4779</v>
      </c>
      <c r="L2035" s="12" t="str">
        <f t="shared" si="93"/>
        <v>2,2,2</v>
      </c>
    </row>
    <row r="2036" spans="2:12">
      <c r="B2036" s="17">
        <v>2335</v>
      </c>
      <c r="C2036" s="17">
        <v>2</v>
      </c>
      <c r="D2036" s="17">
        <f t="shared" si="95"/>
        <v>1</v>
      </c>
      <c r="E2036" s="17">
        <f t="shared" si="94"/>
        <v>1826</v>
      </c>
      <c r="F2036" s="17" t="s">
        <v>4813</v>
      </c>
      <c r="G2036" s="17">
        <f>MATCH(E2036,Arenas!$F$8:$F$15)</f>
        <v>6</v>
      </c>
      <c r="H2036" s="29" t="s">
        <v>3406</v>
      </c>
      <c r="I2036" s="33" t="s">
        <v>8809</v>
      </c>
      <c r="J2036" s="47" t="s">
        <v>8810</v>
      </c>
      <c r="K2036" s="61" t="s">
        <v>4779</v>
      </c>
      <c r="L2036" s="12" t="str">
        <f t="shared" si="93"/>
        <v>2,2,2</v>
      </c>
    </row>
    <row r="2037" spans="2:12">
      <c r="B2037" s="17">
        <v>2336</v>
      </c>
      <c r="C2037" s="17">
        <v>2</v>
      </c>
      <c r="D2037" s="17">
        <f t="shared" si="95"/>
        <v>0</v>
      </c>
      <c r="E2037" s="17">
        <f t="shared" si="94"/>
        <v>1826</v>
      </c>
      <c r="F2037" s="17" t="s">
        <v>4813</v>
      </c>
      <c r="G2037" s="17">
        <f>MATCH(E2037,Arenas!$F$8:$F$15)</f>
        <v>6</v>
      </c>
      <c r="H2037" s="29" t="s">
        <v>3407</v>
      </c>
      <c r="I2037" s="33" t="s">
        <v>8811</v>
      </c>
      <c r="J2037" s="47" t="s">
        <v>5894</v>
      </c>
      <c r="K2037" s="61" t="s">
        <v>4779</v>
      </c>
      <c r="L2037" s="12" t="str">
        <f t="shared" si="93"/>
        <v>2,2,2</v>
      </c>
    </row>
    <row r="2038" spans="2:12">
      <c r="B2038" s="17">
        <v>2337</v>
      </c>
      <c r="C2038" s="17">
        <v>2</v>
      </c>
      <c r="D2038" s="17">
        <f t="shared" si="95"/>
        <v>0</v>
      </c>
      <c r="E2038" s="17">
        <f t="shared" si="94"/>
        <v>1826</v>
      </c>
      <c r="F2038" s="17" t="s">
        <v>4813</v>
      </c>
      <c r="G2038" s="17">
        <f>MATCH(E2038,Arenas!$F$8:$F$15)</f>
        <v>6</v>
      </c>
      <c r="H2038" s="29" t="s">
        <v>3408</v>
      </c>
      <c r="I2038" s="33" t="s">
        <v>8812</v>
      </c>
      <c r="J2038" s="47" t="s">
        <v>5930</v>
      </c>
      <c r="K2038" s="61" t="s">
        <v>4779</v>
      </c>
      <c r="L2038" s="12" t="str">
        <f t="shared" si="93"/>
        <v>2,2,2</v>
      </c>
    </row>
    <row r="2039" spans="2:12">
      <c r="B2039" s="17">
        <v>2338</v>
      </c>
      <c r="C2039" s="17">
        <v>2</v>
      </c>
      <c r="D2039" s="17">
        <f t="shared" si="95"/>
        <v>1</v>
      </c>
      <c r="E2039" s="17">
        <f t="shared" si="94"/>
        <v>1827</v>
      </c>
      <c r="F2039" s="17" t="s">
        <v>4813</v>
      </c>
      <c r="G2039" s="17">
        <f>MATCH(E2039,Arenas!$F$8:$F$15)</f>
        <v>6</v>
      </c>
      <c r="H2039" s="29" t="s">
        <v>3409</v>
      </c>
      <c r="I2039" s="33" t="s">
        <v>8813</v>
      </c>
      <c r="J2039" s="47" t="s">
        <v>8814</v>
      </c>
      <c r="K2039" s="61" t="s">
        <v>4779</v>
      </c>
      <c r="L2039" s="12" t="str">
        <f t="shared" si="93"/>
        <v>2,2,2</v>
      </c>
    </row>
    <row r="2040" spans="2:12">
      <c r="B2040" s="17">
        <v>2339</v>
      </c>
      <c r="C2040" s="17">
        <v>2</v>
      </c>
      <c r="D2040" s="17">
        <f t="shared" si="95"/>
        <v>0</v>
      </c>
      <c r="E2040" s="17">
        <f t="shared" si="94"/>
        <v>1827</v>
      </c>
      <c r="F2040" s="17" t="s">
        <v>4813</v>
      </c>
      <c r="G2040" s="17">
        <f>MATCH(E2040,Arenas!$F$8:$F$15)</f>
        <v>6</v>
      </c>
      <c r="H2040" s="29" t="s">
        <v>3410</v>
      </c>
      <c r="I2040" s="33" t="s">
        <v>8815</v>
      </c>
      <c r="J2040" s="47" t="s">
        <v>8816</v>
      </c>
      <c r="K2040" s="61" t="s">
        <v>4779</v>
      </c>
      <c r="L2040" s="12" t="str">
        <f t="shared" si="93"/>
        <v>2,2,2</v>
      </c>
    </row>
    <row r="2041" spans="2:12">
      <c r="B2041" s="17">
        <v>2340</v>
      </c>
      <c r="C2041" s="17">
        <v>2</v>
      </c>
      <c r="D2041" s="17">
        <f t="shared" si="95"/>
        <v>0</v>
      </c>
      <c r="E2041" s="17">
        <f t="shared" si="94"/>
        <v>1827</v>
      </c>
      <c r="F2041" s="17" t="s">
        <v>4813</v>
      </c>
      <c r="G2041" s="17">
        <f>MATCH(E2041,Arenas!$F$8:$F$15)</f>
        <v>6</v>
      </c>
      <c r="H2041" s="29" t="s">
        <v>3411</v>
      </c>
      <c r="I2041" s="33" t="s">
        <v>8817</v>
      </c>
      <c r="J2041" s="47" t="s">
        <v>8818</v>
      </c>
      <c r="K2041" s="61" t="s">
        <v>4807</v>
      </c>
      <c r="L2041" s="12" t="str">
        <f t="shared" si="93"/>
        <v>2,2,2</v>
      </c>
    </row>
    <row r="2042" spans="2:12">
      <c r="B2042" s="17">
        <v>2341</v>
      </c>
      <c r="C2042" s="17">
        <v>2</v>
      </c>
      <c r="D2042" s="17">
        <f t="shared" si="95"/>
        <v>1</v>
      </c>
      <c r="E2042" s="17">
        <f t="shared" si="94"/>
        <v>1828</v>
      </c>
      <c r="F2042" s="17" t="s">
        <v>4813</v>
      </c>
      <c r="G2042" s="17">
        <f>MATCH(E2042,Arenas!$F$8:$F$15)</f>
        <v>6</v>
      </c>
      <c r="H2042" s="29" t="s">
        <v>3412</v>
      </c>
      <c r="I2042" s="33" t="s">
        <v>8819</v>
      </c>
      <c r="J2042" s="47" t="s">
        <v>8820</v>
      </c>
      <c r="K2042" s="61" t="s">
        <v>4779</v>
      </c>
      <c r="L2042" s="12" t="str">
        <f t="shared" si="93"/>
        <v>2,2,2</v>
      </c>
    </row>
    <row r="2043" spans="2:12">
      <c r="B2043" s="17">
        <v>2342</v>
      </c>
      <c r="C2043" s="17">
        <v>2</v>
      </c>
      <c r="D2043" s="17">
        <f t="shared" si="95"/>
        <v>0</v>
      </c>
      <c r="E2043" s="17">
        <f t="shared" si="94"/>
        <v>1828</v>
      </c>
      <c r="F2043" s="17" t="s">
        <v>4813</v>
      </c>
      <c r="G2043" s="17">
        <f>MATCH(E2043,Arenas!$F$8:$F$15)</f>
        <v>6</v>
      </c>
      <c r="H2043" s="29" t="s">
        <v>3413</v>
      </c>
      <c r="I2043" s="33" t="s">
        <v>8821</v>
      </c>
      <c r="J2043" s="47" t="s">
        <v>8822</v>
      </c>
      <c r="K2043" s="61" t="s">
        <v>4779</v>
      </c>
      <c r="L2043" s="12" t="str">
        <f t="shared" si="93"/>
        <v>2,2,2</v>
      </c>
    </row>
    <row r="2044" spans="2:12">
      <c r="B2044" s="17">
        <v>2343</v>
      </c>
      <c r="C2044" s="17">
        <v>2</v>
      </c>
      <c r="D2044" s="17">
        <f t="shared" si="95"/>
        <v>0</v>
      </c>
      <c r="E2044" s="17">
        <f t="shared" si="94"/>
        <v>1828</v>
      </c>
      <c r="F2044" s="17" t="s">
        <v>4813</v>
      </c>
      <c r="G2044" s="17">
        <f>MATCH(E2044,Arenas!$F$8:$F$15)</f>
        <v>6</v>
      </c>
      <c r="H2044" s="29" t="s">
        <v>3414</v>
      </c>
      <c r="I2044" s="33" t="s">
        <v>8823</v>
      </c>
      <c r="J2044" s="47" t="s">
        <v>5299</v>
      </c>
      <c r="K2044" s="61" t="s">
        <v>4808</v>
      </c>
      <c r="L2044" s="12" t="str">
        <f t="shared" si="93"/>
        <v>2,2,2</v>
      </c>
    </row>
    <row r="2045" spans="2:12">
      <c r="B2045" s="17">
        <v>2344</v>
      </c>
      <c r="C2045" s="17">
        <v>2</v>
      </c>
      <c r="D2045" s="17">
        <f t="shared" si="95"/>
        <v>1</v>
      </c>
      <c r="E2045" s="17">
        <f t="shared" si="94"/>
        <v>1829</v>
      </c>
      <c r="F2045" s="17" t="s">
        <v>4813</v>
      </c>
      <c r="G2045" s="17">
        <f>MATCH(E2045,Arenas!$F$8:$F$15)</f>
        <v>6</v>
      </c>
      <c r="H2045" s="29" t="s">
        <v>3415</v>
      </c>
      <c r="I2045" s="33" t="s">
        <v>8824</v>
      </c>
      <c r="J2045" s="47" t="s">
        <v>8825</v>
      </c>
      <c r="K2045" s="61" t="s">
        <v>4779</v>
      </c>
      <c r="L2045" s="12" t="str">
        <f t="shared" si="93"/>
        <v>2,2,2</v>
      </c>
    </row>
    <row r="2046" spans="2:12">
      <c r="B2046" s="17">
        <v>2345</v>
      </c>
      <c r="C2046" s="17">
        <v>2</v>
      </c>
      <c r="D2046" s="17">
        <f t="shared" si="95"/>
        <v>0</v>
      </c>
      <c r="E2046" s="17">
        <f t="shared" si="94"/>
        <v>1829</v>
      </c>
      <c r="F2046" s="17" t="s">
        <v>4813</v>
      </c>
      <c r="G2046" s="17">
        <f>MATCH(E2046,Arenas!$F$8:$F$15)</f>
        <v>6</v>
      </c>
      <c r="H2046" s="29" t="s">
        <v>3416</v>
      </c>
      <c r="I2046" s="33" t="s">
        <v>8826</v>
      </c>
      <c r="J2046" s="47" t="s">
        <v>8827</v>
      </c>
      <c r="K2046" s="61" t="s">
        <v>4779</v>
      </c>
      <c r="L2046" s="12" t="str">
        <f t="shared" si="93"/>
        <v>2,2,2</v>
      </c>
    </row>
    <row r="2047" spans="2:12">
      <c r="B2047" s="17">
        <v>2346</v>
      </c>
      <c r="C2047" s="17">
        <v>2</v>
      </c>
      <c r="D2047" s="17">
        <f t="shared" si="95"/>
        <v>0</v>
      </c>
      <c r="E2047" s="17">
        <f t="shared" si="94"/>
        <v>1829</v>
      </c>
      <c r="F2047" s="17" t="s">
        <v>4813</v>
      </c>
      <c r="G2047" s="17">
        <f>MATCH(E2047,Arenas!$F$8:$F$15)</f>
        <v>6</v>
      </c>
      <c r="H2047" s="29" t="s">
        <v>3417</v>
      </c>
      <c r="I2047" s="33" t="s">
        <v>8828</v>
      </c>
      <c r="J2047" s="47" t="s">
        <v>5882</v>
      </c>
      <c r="K2047" s="61" t="s">
        <v>4810</v>
      </c>
      <c r="L2047" s="12" t="str">
        <f t="shared" si="93"/>
        <v>2,2,2</v>
      </c>
    </row>
    <row r="2048" spans="2:12">
      <c r="B2048" s="17">
        <v>2347</v>
      </c>
      <c r="C2048" s="17">
        <v>2</v>
      </c>
      <c r="D2048" s="17">
        <f t="shared" si="95"/>
        <v>1</v>
      </c>
      <c r="E2048" s="17">
        <f t="shared" si="94"/>
        <v>1830</v>
      </c>
      <c r="F2048" s="17" t="s">
        <v>4813</v>
      </c>
      <c r="G2048" s="17">
        <f>MATCH(E2048,Arenas!$F$8:$F$15)</f>
        <v>6</v>
      </c>
      <c r="H2048" s="29" t="s">
        <v>3418</v>
      </c>
      <c r="I2048" s="33" t="s">
        <v>8829</v>
      </c>
      <c r="J2048" s="47" t="s">
        <v>8830</v>
      </c>
      <c r="K2048" s="61" t="s">
        <v>4779</v>
      </c>
      <c r="L2048" s="12" t="str">
        <f t="shared" si="93"/>
        <v>2,2,2</v>
      </c>
    </row>
    <row r="2049" spans="2:12">
      <c r="B2049" s="17">
        <v>2348</v>
      </c>
      <c r="C2049" s="17">
        <v>2</v>
      </c>
      <c r="D2049" s="17">
        <f t="shared" si="95"/>
        <v>0</v>
      </c>
      <c r="E2049" s="17">
        <f t="shared" si="94"/>
        <v>1830</v>
      </c>
      <c r="F2049" s="17" t="s">
        <v>4813</v>
      </c>
      <c r="G2049" s="17">
        <f>MATCH(E2049,Arenas!$F$8:$F$15)</f>
        <v>6</v>
      </c>
      <c r="H2049" s="29" t="s">
        <v>3419</v>
      </c>
      <c r="I2049" s="33" t="s">
        <v>8831</v>
      </c>
      <c r="J2049" s="47" t="s">
        <v>5871</v>
      </c>
      <c r="K2049" s="61" t="s">
        <v>4779</v>
      </c>
      <c r="L2049" s="12" t="str">
        <f t="shared" si="93"/>
        <v>2,2,2</v>
      </c>
    </row>
    <row r="2050" spans="2:12">
      <c r="B2050" s="17">
        <v>2349</v>
      </c>
      <c r="C2050" s="17">
        <v>2</v>
      </c>
      <c r="D2050" s="17">
        <f t="shared" si="95"/>
        <v>0</v>
      </c>
      <c r="E2050" s="17">
        <f t="shared" si="94"/>
        <v>1830</v>
      </c>
      <c r="F2050" s="17" t="s">
        <v>4813</v>
      </c>
      <c r="G2050" s="17">
        <f>MATCH(E2050,Arenas!$F$8:$F$15)</f>
        <v>6</v>
      </c>
      <c r="H2050" s="29" t="s">
        <v>3420</v>
      </c>
      <c r="I2050" s="33" t="s">
        <v>8832</v>
      </c>
      <c r="J2050" s="47" t="s">
        <v>8833</v>
      </c>
      <c r="K2050" s="61" t="s">
        <v>4779</v>
      </c>
      <c r="L2050" s="12" t="str">
        <f t="shared" ref="L2050:L2113" si="96">C2050&amp;","&amp;C2050&amp;","&amp;C2050</f>
        <v>2,2,2</v>
      </c>
    </row>
    <row r="2051" spans="2:12">
      <c r="B2051" s="17">
        <v>2350</v>
      </c>
      <c r="C2051" s="17">
        <v>2</v>
      </c>
      <c r="D2051" s="17">
        <f t="shared" si="95"/>
        <v>1</v>
      </c>
      <c r="E2051" s="17">
        <f t="shared" ref="E2051:E2114" si="97">D2051+E2050</f>
        <v>1831</v>
      </c>
      <c r="F2051" s="17" t="s">
        <v>4813</v>
      </c>
      <c r="G2051" s="17">
        <f>MATCH(E2051,Arenas!$F$8:$F$15)</f>
        <v>6</v>
      </c>
      <c r="H2051" s="29" t="s">
        <v>3421</v>
      </c>
      <c r="I2051" s="33" t="s">
        <v>8834</v>
      </c>
      <c r="J2051" s="47" t="s">
        <v>8835</v>
      </c>
      <c r="K2051" s="61" t="s">
        <v>4779</v>
      </c>
      <c r="L2051" s="12" t="str">
        <f t="shared" si="96"/>
        <v>2,2,2</v>
      </c>
    </row>
    <row r="2052" spans="2:12">
      <c r="B2052" s="17">
        <v>2351</v>
      </c>
      <c r="C2052" s="17">
        <v>2</v>
      </c>
      <c r="D2052" s="17">
        <f t="shared" si="95"/>
        <v>0</v>
      </c>
      <c r="E2052" s="17">
        <f t="shared" si="97"/>
        <v>1831</v>
      </c>
      <c r="F2052" s="17" t="s">
        <v>4813</v>
      </c>
      <c r="G2052" s="17">
        <f>MATCH(E2052,Arenas!$F$8:$F$15)</f>
        <v>6</v>
      </c>
      <c r="H2052" s="29" t="s">
        <v>3422</v>
      </c>
      <c r="I2052" s="33" t="s">
        <v>8836</v>
      </c>
      <c r="J2052" s="47" t="s">
        <v>8837</v>
      </c>
      <c r="K2052" s="61" t="s">
        <v>4779</v>
      </c>
      <c r="L2052" s="12" t="str">
        <f t="shared" si="96"/>
        <v>2,2,2</v>
      </c>
    </row>
    <row r="2053" spans="2:12">
      <c r="B2053" s="17">
        <v>2352</v>
      </c>
      <c r="C2053" s="17">
        <v>2</v>
      </c>
      <c r="D2053" s="17">
        <f t="shared" ref="D2053:D2116" si="98">D2050</f>
        <v>0</v>
      </c>
      <c r="E2053" s="17">
        <f t="shared" si="97"/>
        <v>1831</v>
      </c>
      <c r="F2053" s="17" t="s">
        <v>4813</v>
      </c>
      <c r="G2053" s="17">
        <f>MATCH(E2053,Arenas!$F$8:$F$15)</f>
        <v>6</v>
      </c>
      <c r="H2053" s="29" t="s">
        <v>3423</v>
      </c>
      <c r="I2053" s="33" t="s">
        <v>8838</v>
      </c>
      <c r="J2053" s="47" t="s">
        <v>5799</v>
      </c>
      <c r="K2053" s="61" t="s">
        <v>4779</v>
      </c>
      <c r="L2053" s="12" t="str">
        <f t="shared" si="96"/>
        <v>2,2,2</v>
      </c>
    </row>
    <row r="2054" spans="2:12">
      <c r="B2054" s="17">
        <v>2353</v>
      </c>
      <c r="C2054" s="17">
        <v>2</v>
      </c>
      <c r="D2054" s="17">
        <f t="shared" si="98"/>
        <v>1</v>
      </c>
      <c r="E2054" s="17">
        <f t="shared" si="97"/>
        <v>1832</v>
      </c>
      <c r="F2054" s="17" t="s">
        <v>4813</v>
      </c>
      <c r="G2054" s="17">
        <f>MATCH(E2054,Arenas!$F$8:$F$15)</f>
        <v>6</v>
      </c>
      <c r="H2054" s="29" t="s">
        <v>3424</v>
      </c>
      <c r="I2054" s="33" t="s">
        <v>8839</v>
      </c>
      <c r="J2054" s="47" t="s">
        <v>8840</v>
      </c>
      <c r="K2054" s="61" t="s">
        <v>4779</v>
      </c>
      <c r="L2054" s="12" t="str">
        <f t="shared" si="96"/>
        <v>2,2,2</v>
      </c>
    </row>
    <row r="2055" spans="2:12">
      <c r="B2055" s="17">
        <v>2354</v>
      </c>
      <c r="C2055" s="17">
        <v>2</v>
      </c>
      <c r="D2055" s="17">
        <f t="shared" si="98"/>
        <v>0</v>
      </c>
      <c r="E2055" s="17">
        <f t="shared" si="97"/>
        <v>1832</v>
      </c>
      <c r="F2055" s="17" t="s">
        <v>4813</v>
      </c>
      <c r="G2055" s="17">
        <f>MATCH(E2055,Arenas!$F$8:$F$15)</f>
        <v>6</v>
      </c>
      <c r="H2055" s="29" t="s">
        <v>3425</v>
      </c>
      <c r="I2055" s="33" t="s">
        <v>8841</v>
      </c>
      <c r="J2055" s="47" t="s">
        <v>8842</v>
      </c>
      <c r="K2055" s="61" t="s">
        <v>4779</v>
      </c>
      <c r="L2055" s="12" t="str">
        <f t="shared" si="96"/>
        <v>2,2,2</v>
      </c>
    </row>
    <row r="2056" spans="2:12">
      <c r="B2056" s="17">
        <v>2355</v>
      </c>
      <c r="C2056" s="17">
        <v>2</v>
      </c>
      <c r="D2056" s="17">
        <f t="shared" si="98"/>
        <v>0</v>
      </c>
      <c r="E2056" s="17">
        <f t="shared" si="97"/>
        <v>1832</v>
      </c>
      <c r="F2056" s="17" t="s">
        <v>4813</v>
      </c>
      <c r="G2056" s="17">
        <f>MATCH(E2056,Arenas!$F$8:$F$15)</f>
        <v>6</v>
      </c>
      <c r="H2056" s="29" t="s">
        <v>3426</v>
      </c>
      <c r="I2056" s="33" t="s">
        <v>8843</v>
      </c>
      <c r="J2056" s="47" t="s">
        <v>8844</v>
      </c>
      <c r="K2056" s="61" t="s">
        <v>4779</v>
      </c>
      <c r="L2056" s="12" t="str">
        <f t="shared" si="96"/>
        <v>2,2,2</v>
      </c>
    </row>
    <row r="2057" spans="2:12">
      <c r="B2057" s="17">
        <v>2356</v>
      </c>
      <c r="C2057" s="17">
        <v>2</v>
      </c>
      <c r="D2057" s="17">
        <f t="shared" si="98"/>
        <v>1</v>
      </c>
      <c r="E2057" s="17">
        <f t="shared" si="97"/>
        <v>1833</v>
      </c>
      <c r="F2057" s="17" t="s">
        <v>4813</v>
      </c>
      <c r="G2057" s="17">
        <f>MATCH(E2057,Arenas!$F$8:$F$15)</f>
        <v>6</v>
      </c>
      <c r="H2057" s="29" t="s">
        <v>3427</v>
      </c>
      <c r="I2057" s="33" t="s">
        <v>8845</v>
      </c>
      <c r="J2057" s="47" t="s">
        <v>5324</v>
      </c>
      <c r="K2057" s="61" t="s">
        <v>4810</v>
      </c>
      <c r="L2057" s="12" t="str">
        <f t="shared" si="96"/>
        <v>2,2,2</v>
      </c>
    </row>
    <row r="2058" spans="2:12">
      <c r="B2058" s="17">
        <v>2357</v>
      </c>
      <c r="C2058" s="17">
        <v>2</v>
      </c>
      <c r="D2058" s="17">
        <f t="shared" si="98"/>
        <v>0</v>
      </c>
      <c r="E2058" s="17">
        <f t="shared" si="97"/>
        <v>1833</v>
      </c>
      <c r="F2058" s="17" t="s">
        <v>4813</v>
      </c>
      <c r="G2058" s="17">
        <f>MATCH(E2058,Arenas!$F$8:$F$15)</f>
        <v>6</v>
      </c>
      <c r="H2058" s="29" t="s">
        <v>3428</v>
      </c>
      <c r="I2058" s="33" t="s">
        <v>8846</v>
      </c>
      <c r="J2058" s="47" t="s">
        <v>8847</v>
      </c>
      <c r="K2058" s="61" t="s">
        <v>4807</v>
      </c>
      <c r="L2058" s="12" t="str">
        <f t="shared" si="96"/>
        <v>2,2,2</v>
      </c>
    </row>
    <row r="2059" spans="2:12">
      <c r="B2059" s="17">
        <v>2358</v>
      </c>
      <c r="C2059" s="17">
        <v>2</v>
      </c>
      <c r="D2059" s="17">
        <f t="shared" si="98"/>
        <v>0</v>
      </c>
      <c r="E2059" s="17">
        <f t="shared" si="97"/>
        <v>1833</v>
      </c>
      <c r="F2059" s="17" t="s">
        <v>4813</v>
      </c>
      <c r="G2059" s="17">
        <f>MATCH(E2059,Arenas!$F$8:$F$15)</f>
        <v>6</v>
      </c>
      <c r="H2059" s="29" t="s">
        <v>3429</v>
      </c>
      <c r="I2059" s="33" t="s">
        <v>8848</v>
      </c>
      <c r="J2059" s="47" t="s">
        <v>8849</v>
      </c>
      <c r="K2059" s="61" t="s">
        <v>4779</v>
      </c>
      <c r="L2059" s="12" t="str">
        <f t="shared" si="96"/>
        <v>2,2,2</v>
      </c>
    </row>
    <row r="2060" spans="2:12">
      <c r="B2060" s="17">
        <v>2359</v>
      </c>
      <c r="C2060" s="17">
        <v>2</v>
      </c>
      <c r="D2060" s="17">
        <f t="shared" si="98"/>
        <v>1</v>
      </c>
      <c r="E2060" s="17">
        <f t="shared" si="97"/>
        <v>1834</v>
      </c>
      <c r="F2060" s="17" t="s">
        <v>4813</v>
      </c>
      <c r="G2060" s="17">
        <f>MATCH(E2060,Arenas!$F$8:$F$15)</f>
        <v>6</v>
      </c>
      <c r="H2060" s="29" t="s">
        <v>3430</v>
      </c>
      <c r="I2060" s="33" t="s">
        <v>8850</v>
      </c>
      <c r="J2060" s="47" t="s">
        <v>5061</v>
      </c>
      <c r="K2060" s="61" t="s">
        <v>4779</v>
      </c>
      <c r="L2060" s="12" t="str">
        <f t="shared" si="96"/>
        <v>2,2,2</v>
      </c>
    </row>
    <row r="2061" spans="2:12">
      <c r="B2061" s="17">
        <v>2360</v>
      </c>
      <c r="C2061" s="17">
        <v>2</v>
      </c>
      <c r="D2061" s="17">
        <f t="shared" si="98"/>
        <v>0</v>
      </c>
      <c r="E2061" s="17">
        <f t="shared" si="97"/>
        <v>1834</v>
      </c>
      <c r="F2061" s="17" t="s">
        <v>4813</v>
      </c>
      <c r="G2061" s="17">
        <f>MATCH(E2061,Arenas!$F$8:$F$15)</f>
        <v>6</v>
      </c>
      <c r="H2061" s="29" t="s">
        <v>3431</v>
      </c>
      <c r="I2061" s="33" t="s">
        <v>8851</v>
      </c>
      <c r="J2061" s="47" t="s">
        <v>8852</v>
      </c>
      <c r="K2061" s="61" t="s">
        <v>4779</v>
      </c>
      <c r="L2061" s="12" t="str">
        <f t="shared" si="96"/>
        <v>2,2,2</v>
      </c>
    </row>
    <row r="2062" spans="2:12">
      <c r="B2062" s="17">
        <v>2361</v>
      </c>
      <c r="C2062" s="17">
        <v>2</v>
      </c>
      <c r="D2062" s="17">
        <f t="shared" si="98"/>
        <v>0</v>
      </c>
      <c r="E2062" s="17">
        <f t="shared" si="97"/>
        <v>1834</v>
      </c>
      <c r="F2062" s="17" t="s">
        <v>4813</v>
      </c>
      <c r="G2062" s="17">
        <f>MATCH(E2062,Arenas!$F$8:$F$15)</f>
        <v>6</v>
      </c>
      <c r="H2062" s="29" t="s">
        <v>3432</v>
      </c>
      <c r="I2062" s="33" t="s">
        <v>8853</v>
      </c>
      <c r="J2062" s="47" t="s">
        <v>8854</v>
      </c>
      <c r="K2062" s="61" t="s">
        <v>4810</v>
      </c>
      <c r="L2062" s="12" t="str">
        <f t="shared" si="96"/>
        <v>2,2,2</v>
      </c>
    </row>
    <row r="2063" spans="2:12">
      <c r="B2063" s="17">
        <v>2362</v>
      </c>
      <c r="C2063" s="17">
        <v>2</v>
      </c>
      <c r="D2063" s="17">
        <f t="shared" si="98"/>
        <v>1</v>
      </c>
      <c r="E2063" s="17">
        <f t="shared" si="97"/>
        <v>1835</v>
      </c>
      <c r="F2063" s="17" t="s">
        <v>4813</v>
      </c>
      <c r="G2063" s="17">
        <f>MATCH(E2063,Arenas!$F$8:$F$15)</f>
        <v>6</v>
      </c>
      <c r="H2063" s="29" t="s">
        <v>3433</v>
      </c>
      <c r="I2063" s="33" t="s">
        <v>8855</v>
      </c>
      <c r="J2063" s="47" t="s">
        <v>8856</v>
      </c>
      <c r="K2063" s="61" t="s">
        <v>4779</v>
      </c>
      <c r="L2063" s="12" t="str">
        <f t="shared" si="96"/>
        <v>2,2,2</v>
      </c>
    </row>
    <row r="2064" spans="2:12">
      <c r="B2064" s="17">
        <v>2363</v>
      </c>
      <c r="C2064" s="17">
        <v>2</v>
      </c>
      <c r="D2064" s="17">
        <f t="shared" si="98"/>
        <v>0</v>
      </c>
      <c r="E2064" s="17">
        <f t="shared" si="97"/>
        <v>1835</v>
      </c>
      <c r="F2064" s="17" t="s">
        <v>4813</v>
      </c>
      <c r="G2064" s="17">
        <f>MATCH(E2064,Arenas!$F$8:$F$15)</f>
        <v>6</v>
      </c>
      <c r="H2064" s="29" t="s">
        <v>3434</v>
      </c>
      <c r="I2064" s="33" t="s">
        <v>8857</v>
      </c>
      <c r="J2064" s="47" t="s">
        <v>8858</v>
      </c>
      <c r="K2064" s="61" t="s">
        <v>4779</v>
      </c>
      <c r="L2064" s="12" t="str">
        <f t="shared" si="96"/>
        <v>2,2,2</v>
      </c>
    </row>
    <row r="2065" spans="2:12">
      <c r="B2065" s="17">
        <v>2364</v>
      </c>
      <c r="C2065" s="17">
        <v>2</v>
      </c>
      <c r="D2065" s="17">
        <f t="shared" si="98"/>
        <v>0</v>
      </c>
      <c r="E2065" s="17">
        <f t="shared" si="97"/>
        <v>1835</v>
      </c>
      <c r="F2065" s="17" t="s">
        <v>4813</v>
      </c>
      <c r="G2065" s="17">
        <f>MATCH(E2065,Arenas!$F$8:$F$15)</f>
        <v>6</v>
      </c>
      <c r="H2065" s="29" t="s">
        <v>3435</v>
      </c>
      <c r="I2065" s="33" t="s">
        <v>8859</v>
      </c>
      <c r="J2065" s="47" t="s">
        <v>5680</v>
      </c>
      <c r="K2065" s="61" t="s">
        <v>4810</v>
      </c>
      <c r="L2065" s="12" t="str">
        <f t="shared" si="96"/>
        <v>2,2,2</v>
      </c>
    </row>
    <row r="2066" spans="2:12">
      <c r="B2066" s="17">
        <v>2365</v>
      </c>
      <c r="C2066" s="17">
        <v>2</v>
      </c>
      <c r="D2066" s="17">
        <f t="shared" si="98"/>
        <v>1</v>
      </c>
      <c r="E2066" s="17">
        <f t="shared" si="97"/>
        <v>1836</v>
      </c>
      <c r="F2066" s="17" t="s">
        <v>4813</v>
      </c>
      <c r="G2066" s="17">
        <f>MATCH(E2066,Arenas!$F$8:$F$15)</f>
        <v>6</v>
      </c>
      <c r="H2066" s="29" t="s">
        <v>3436</v>
      </c>
      <c r="I2066" s="33" t="s">
        <v>8860</v>
      </c>
      <c r="J2066" s="47" t="s">
        <v>8861</v>
      </c>
      <c r="K2066" s="61" t="s">
        <v>4779</v>
      </c>
      <c r="L2066" s="12" t="str">
        <f t="shared" si="96"/>
        <v>2,2,2</v>
      </c>
    </row>
    <row r="2067" spans="2:12">
      <c r="B2067" s="17">
        <v>2366</v>
      </c>
      <c r="C2067" s="17">
        <v>2</v>
      </c>
      <c r="D2067" s="17">
        <f t="shared" si="98"/>
        <v>0</v>
      </c>
      <c r="E2067" s="17">
        <f t="shared" si="97"/>
        <v>1836</v>
      </c>
      <c r="F2067" s="17" t="s">
        <v>4813</v>
      </c>
      <c r="G2067" s="17">
        <f>MATCH(E2067,Arenas!$F$8:$F$15)</f>
        <v>6</v>
      </c>
      <c r="H2067" s="29" t="s">
        <v>3437</v>
      </c>
      <c r="I2067" s="33" t="s">
        <v>8862</v>
      </c>
      <c r="J2067" s="47" t="s">
        <v>8863</v>
      </c>
      <c r="K2067" s="61" t="s">
        <v>4806</v>
      </c>
      <c r="L2067" s="12" t="str">
        <f t="shared" si="96"/>
        <v>2,2,2</v>
      </c>
    </row>
    <row r="2068" spans="2:12">
      <c r="B2068" s="17">
        <v>2367</v>
      </c>
      <c r="C2068" s="17">
        <v>2</v>
      </c>
      <c r="D2068" s="17">
        <f t="shared" si="98"/>
        <v>0</v>
      </c>
      <c r="E2068" s="17">
        <f t="shared" si="97"/>
        <v>1836</v>
      </c>
      <c r="F2068" s="17" t="s">
        <v>4813</v>
      </c>
      <c r="G2068" s="17">
        <f>MATCH(E2068,Arenas!$F$8:$F$15)</f>
        <v>6</v>
      </c>
      <c r="H2068" s="29" t="s">
        <v>3438</v>
      </c>
      <c r="I2068" s="33" t="s">
        <v>8864</v>
      </c>
      <c r="J2068" s="47" t="s">
        <v>8865</v>
      </c>
      <c r="K2068" s="61" t="s">
        <v>4779</v>
      </c>
      <c r="L2068" s="12" t="str">
        <f t="shared" si="96"/>
        <v>2,2,2</v>
      </c>
    </row>
    <row r="2069" spans="2:12">
      <c r="B2069" s="17">
        <v>2368</v>
      </c>
      <c r="C2069" s="17">
        <v>2</v>
      </c>
      <c r="D2069" s="17">
        <f t="shared" si="98"/>
        <v>1</v>
      </c>
      <c r="E2069" s="17">
        <f t="shared" si="97"/>
        <v>1837</v>
      </c>
      <c r="F2069" s="17" t="s">
        <v>4813</v>
      </c>
      <c r="G2069" s="17">
        <f>MATCH(E2069,Arenas!$F$8:$F$15)</f>
        <v>6</v>
      </c>
      <c r="H2069" s="29" t="s">
        <v>3439</v>
      </c>
      <c r="I2069" s="33" t="s">
        <v>8866</v>
      </c>
      <c r="J2069" s="47" t="s">
        <v>8867</v>
      </c>
      <c r="K2069" s="61" t="s">
        <v>4779</v>
      </c>
      <c r="L2069" s="12" t="str">
        <f t="shared" si="96"/>
        <v>2,2,2</v>
      </c>
    </row>
    <row r="2070" spans="2:12">
      <c r="B2070" s="17">
        <v>2369</v>
      </c>
      <c r="C2070" s="17">
        <v>2</v>
      </c>
      <c r="D2070" s="17">
        <f t="shared" si="98"/>
        <v>0</v>
      </c>
      <c r="E2070" s="17">
        <f t="shared" si="97"/>
        <v>1837</v>
      </c>
      <c r="F2070" s="17" t="s">
        <v>4813</v>
      </c>
      <c r="G2070" s="17">
        <f>MATCH(E2070,Arenas!$F$8:$F$15)</f>
        <v>6</v>
      </c>
      <c r="H2070" s="29" t="s">
        <v>3440</v>
      </c>
      <c r="I2070" s="33" t="s">
        <v>8868</v>
      </c>
      <c r="J2070" s="47" t="s">
        <v>8869</v>
      </c>
      <c r="K2070" s="61" t="s">
        <v>4779</v>
      </c>
      <c r="L2070" s="12" t="str">
        <f t="shared" si="96"/>
        <v>2,2,2</v>
      </c>
    </row>
    <row r="2071" spans="2:12">
      <c r="B2071" s="17">
        <v>2370</v>
      </c>
      <c r="C2071" s="17">
        <v>2</v>
      </c>
      <c r="D2071" s="17">
        <f t="shared" si="98"/>
        <v>0</v>
      </c>
      <c r="E2071" s="17">
        <f t="shared" si="97"/>
        <v>1837</v>
      </c>
      <c r="F2071" s="17" t="s">
        <v>4813</v>
      </c>
      <c r="G2071" s="17">
        <f>MATCH(E2071,Arenas!$F$8:$F$15)</f>
        <v>6</v>
      </c>
      <c r="H2071" s="29" t="s">
        <v>3441</v>
      </c>
      <c r="I2071" s="33" t="s">
        <v>8870</v>
      </c>
      <c r="J2071" s="47" t="s">
        <v>8871</v>
      </c>
      <c r="K2071" s="61" t="s">
        <v>4779</v>
      </c>
      <c r="L2071" s="12" t="str">
        <f t="shared" si="96"/>
        <v>2,2,2</v>
      </c>
    </row>
    <row r="2072" spans="2:12">
      <c r="B2072" s="17">
        <v>2371</v>
      </c>
      <c r="C2072" s="17">
        <v>2</v>
      </c>
      <c r="D2072" s="17">
        <f t="shared" si="98"/>
        <v>1</v>
      </c>
      <c r="E2072" s="17">
        <f t="shared" si="97"/>
        <v>1838</v>
      </c>
      <c r="F2072" s="17" t="s">
        <v>4813</v>
      </c>
      <c r="G2072" s="17">
        <f>MATCH(E2072,Arenas!$F$8:$F$15)</f>
        <v>6</v>
      </c>
      <c r="H2072" s="29" t="s">
        <v>3442</v>
      </c>
      <c r="I2072" s="33" t="s">
        <v>8872</v>
      </c>
      <c r="J2072" s="47" t="s">
        <v>8873</v>
      </c>
      <c r="K2072" s="61" t="s">
        <v>4779</v>
      </c>
      <c r="L2072" s="12" t="str">
        <f t="shared" si="96"/>
        <v>2,2,2</v>
      </c>
    </row>
    <row r="2073" spans="2:12">
      <c r="B2073" s="17">
        <v>2372</v>
      </c>
      <c r="C2073" s="17">
        <v>2</v>
      </c>
      <c r="D2073" s="17">
        <f t="shared" si="98"/>
        <v>0</v>
      </c>
      <c r="E2073" s="17">
        <f t="shared" si="97"/>
        <v>1838</v>
      </c>
      <c r="F2073" s="17" t="s">
        <v>4813</v>
      </c>
      <c r="G2073" s="17">
        <f>MATCH(E2073,Arenas!$F$8:$F$15)</f>
        <v>6</v>
      </c>
      <c r="H2073" s="29" t="s">
        <v>3443</v>
      </c>
      <c r="I2073" s="33" t="s">
        <v>8874</v>
      </c>
      <c r="J2073" s="47" t="s">
        <v>8875</v>
      </c>
      <c r="K2073" s="61" t="s">
        <v>4779</v>
      </c>
      <c r="L2073" s="12" t="str">
        <f t="shared" si="96"/>
        <v>2,2,2</v>
      </c>
    </row>
    <row r="2074" spans="2:12">
      <c r="B2074" s="17">
        <v>2373</v>
      </c>
      <c r="C2074" s="17">
        <v>2</v>
      </c>
      <c r="D2074" s="17">
        <f t="shared" si="98"/>
        <v>0</v>
      </c>
      <c r="E2074" s="17">
        <f t="shared" si="97"/>
        <v>1838</v>
      </c>
      <c r="F2074" s="17" t="s">
        <v>4813</v>
      </c>
      <c r="G2074" s="17">
        <f>MATCH(E2074,Arenas!$F$8:$F$15)</f>
        <v>6</v>
      </c>
      <c r="H2074" s="29" t="s">
        <v>3444</v>
      </c>
      <c r="I2074" s="33" t="s">
        <v>8876</v>
      </c>
      <c r="J2074" s="47" t="s">
        <v>8877</v>
      </c>
      <c r="K2074" s="61" t="s">
        <v>4779</v>
      </c>
      <c r="L2074" s="12" t="str">
        <f t="shared" si="96"/>
        <v>2,2,2</v>
      </c>
    </row>
    <row r="2075" spans="2:12">
      <c r="B2075" s="17">
        <v>2374</v>
      </c>
      <c r="C2075" s="17">
        <v>2</v>
      </c>
      <c r="D2075" s="17">
        <f t="shared" si="98"/>
        <v>1</v>
      </c>
      <c r="E2075" s="17">
        <f t="shared" si="97"/>
        <v>1839</v>
      </c>
      <c r="F2075" s="17" t="s">
        <v>4813</v>
      </c>
      <c r="G2075" s="17">
        <f>MATCH(E2075,Arenas!$F$8:$F$15)</f>
        <v>6</v>
      </c>
      <c r="H2075" s="29" t="s">
        <v>3445</v>
      </c>
      <c r="I2075" s="33" t="s">
        <v>8878</v>
      </c>
      <c r="J2075" s="47" t="s">
        <v>8879</v>
      </c>
      <c r="K2075" s="61" t="s">
        <v>4779</v>
      </c>
      <c r="L2075" s="12" t="str">
        <f t="shared" si="96"/>
        <v>2,2,2</v>
      </c>
    </row>
    <row r="2076" spans="2:12">
      <c r="B2076" s="17">
        <v>2375</v>
      </c>
      <c r="C2076" s="17">
        <v>2</v>
      </c>
      <c r="D2076" s="17">
        <f t="shared" si="98"/>
        <v>0</v>
      </c>
      <c r="E2076" s="17">
        <f t="shared" si="97"/>
        <v>1839</v>
      </c>
      <c r="F2076" s="17" t="s">
        <v>4813</v>
      </c>
      <c r="G2076" s="17">
        <f>MATCH(E2076,Arenas!$F$8:$F$15)</f>
        <v>6</v>
      </c>
      <c r="H2076" s="29" t="s">
        <v>3446</v>
      </c>
      <c r="I2076" s="33" t="s">
        <v>8880</v>
      </c>
      <c r="J2076" s="47" t="s">
        <v>8881</v>
      </c>
      <c r="K2076" s="61" t="s">
        <v>4779</v>
      </c>
      <c r="L2076" s="12" t="str">
        <f t="shared" si="96"/>
        <v>2,2,2</v>
      </c>
    </row>
    <row r="2077" spans="2:12">
      <c r="B2077" s="17">
        <v>2376</v>
      </c>
      <c r="C2077" s="17">
        <v>2</v>
      </c>
      <c r="D2077" s="17">
        <f t="shared" si="98"/>
        <v>0</v>
      </c>
      <c r="E2077" s="17">
        <f t="shared" si="97"/>
        <v>1839</v>
      </c>
      <c r="F2077" s="17" t="s">
        <v>4813</v>
      </c>
      <c r="G2077" s="17">
        <f>MATCH(E2077,Arenas!$F$8:$F$15)</f>
        <v>6</v>
      </c>
      <c r="H2077" s="29" t="s">
        <v>3447</v>
      </c>
      <c r="I2077" s="33" t="s">
        <v>8882</v>
      </c>
      <c r="J2077" s="47" t="s">
        <v>8883</v>
      </c>
      <c r="K2077" s="61" t="s">
        <v>4779</v>
      </c>
      <c r="L2077" s="12" t="str">
        <f t="shared" si="96"/>
        <v>2,2,2</v>
      </c>
    </row>
    <row r="2078" spans="2:12">
      <c r="B2078" s="17">
        <v>2377</v>
      </c>
      <c r="C2078" s="17">
        <v>2</v>
      </c>
      <c r="D2078" s="17">
        <f t="shared" si="98"/>
        <v>1</v>
      </c>
      <c r="E2078" s="17">
        <f t="shared" si="97"/>
        <v>1840</v>
      </c>
      <c r="F2078" s="17" t="s">
        <v>4813</v>
      </c>
      <c r="G2078" s="17">
        <f>MATCH(E2078,Arenas!$F$8:$F$15)</f>
        <v>6</v>
      </c>
      <c r="H2078" s="29" t="s">
        <v>3448</v>
      </c>
      <c r="I2078" s="33" t="s">
        <v>8884</v>
      </c>
      <c r="J2078" s="47" t="s">
        <v>8885</v>
      </c>
      <c r="K2078" s="61" t="s">
        <v>4779</v>
      </c>
      <c r="L2078" s="12" t="str">
        <f t="shared" si="96"/>
        <v>2,2,2</v>
      </c>
    </row>
    <row r="2079" spans="2:12">
      <c r="B2079" s="17">
        <v>2378</v>
      </c>
      <c r="C2079" s="17">
        <v>2</v>
      </c>
      <c r="D2079" s="17">
        <f t="shared" si="98"/>
        <v>0</v>
      </c>
      <c r="E2079" s="17">
        <f t="shared" si="97"/>
        <v>1840</v>
      </c>
      <c r="F2079" s="17" t="s">
        <v>4813</v>
      </c>
      <c r="G2079" s="17">
        <f>MATCH(E2079,Arenas!$F$8:$F$15)</f>
        <v>6</v>
      </c>
      <c r="H2079" s="29" t="s">
        <v>3449</v>
      </c>
      <c r="I2079" s="33" t="s">
        <v>8886</v>
      </c>
      <c r="J2079" s="47" t="s">
        <v>8887</v>
      </c>
      <c r="K2079" s="61" t="s">
        <v>4779</v>
      </c>
      <c r="L2079" s="12" t="str">
        <f t="shared" si="96"/>
        <v>2,2,2</v>
      </c>
    </row>
    <row r="2080" spans="2:12">
      <c r="B2080" s="17">
        <v>2379</v>
      </c>
      <c r="C2080" s="17">
        <v>2</v>
      </c>
      <c r="D2080" s="17">
        <f t="shared" si="98"/>
        <v>0</v>
      </c>
      <c r="E2080" s="17">
        <f t="shared" si="97"/>
        <v>1840</v>
      </c>
      <c r="F2080" s="17" t="s">
        <v>4813</v>
      </c>
      <c r="G2080" s="17">
        <f>MATCH(E2080,Arenas!$F$8:$F$15)</f>
        <v>6</v>
      </c>
      <c r="H2080" s="29" t="s">
        <v>3450</v>
      </c>
      <c r="I2080" s="33" t="s">
        <v>8888</v>
      </c>
      <c r="J2080" s="47" t="s">
        <v>8889</v>
      </c>
      <c r="K2080" s="61" t="s">
        <v>4779</v>
      </c>
      <c r="L2080" s="12" t="str">
        <f t="shared" si="96"/>
        <v>2,2,2</v>
      </c>
    </row>
    <row r="2081" spans="2:12">
      <c r="B2081" s="17">
        <v>2380</v>
      </c>
      <c r="C2081" s="17">
        <v>2</v>
      </c>
      <c r="D2081" s="17">
        <f t="shared" si="98"/>
        <v>1</v>
      </c>
      <c r="E2081" s="17">
        <f t="shared" si="97"/>
        <v>1841</v>
      </c>
      <c r="F2081" s="17" t="s">
        <v>4813</v>
      </c>
      <c r="G2081" s="17">
        <f>MATCH(E2081,Arenas!$F$8:$F$15)</f>
        <v>6</v>
      </c>
      <c r="H2081" s="29" t="s">
        <v>3451</v>
      </c>
      <c r="I2081" s="33" t="s">
        <v>8890</v>
      </c>
      <c r="J2081" s="47" t="s">
        <v>8891</v>
      </c>
      <c r="K2081" s="61" t="s">
        <v>4779</v>
      </c>
      <c r="L2081" s="12" t="str">
        <f t="shared" si="96"/>
        <v>2,2,2</v>
      </c>
    </row>
    <row r="2082" spans="2:12">
      <c r="B2082" s="17">
        <v>2381</v>
      </c>
      <c r="C2082" s="17">
        <v>2</v>
      </c>
      <c r="D2082" s="17">
        <f t="shared" si="98"/>
        <v>0</v>
      </c>
      <c r="E2082" s="17">
        <f t="shared" si="97"/>
        <v>1841</v>
      </c>
      <c r="F2082" s="17" t="s">
        <v>4813</v>
      </c>
      <c r="G2082" s="17">
        <f>MATCH(E2082,Arenas!$F$8:$F$15)</f>
        <v>6</v>
      </c>
      <c r="H2082" s="29" t="s">
        <v>3452</v>
      </c>
      <c r="I2082" s="33" t="s">
        <v>8892</v>
      </c>
      <c r="J2082" s="47" t="s">
        <v>8893</v>
      </c>
      <c r="K2082" s="61" t="s">
        <v>4779</v>
      </c>
      <c r="L2082" s="12" t="str">
        <f t="shared" si="96"/>
        <v>2,2,2</v>
      </c>
    </row>
    <row r="2083" spans="2:12">
      <c r="B2083" s="17">
        <v>2382</v>
      </c>
      <c r="C2083" s="17">
        <v>2</v>
      </c>
      <c r="D2083" s="17">
        <f t="shared" si="98"/>
        <v>0</v>
      </c>
      <c r="E2083" s="17">
        <f t="shared" si="97"/>
        <v>1841</v>
      </c>
      <c r="F2083" s="17" t="s">
        <v>4813</v>
      </c>
      <c r="G2083" s="17">
        <f>MATCH(E2083,Arenas!$F$8:$F$15)</f>
        <v>6</v>
      </c>
      <c r="H2083" s="29" t="s">
        <v>3453</v>
      </c>
      <c r="I2083" s="33" t="s">
        <v>8894</v>
      </c>
      <c r="J2083" s="47" t="s">
        <v>5543</v>
      </c>
      <c r="K2083" s="61" t="s">
        <v>4779</v>
      </c>
      <c r="L2083" s="12" t="str">
        <f t="shared" si="96"/>
        <v>2,2,2</v>
      </c>
    </row>
    <row r="2084" spans="2:12">
      <c r="B2084" s="17">
        <v>2383</v>
      </c>
      <c r="C2084" s="17">
        <v>2</v>
      </c>
      <c r="D2084" s="17">
        <f t="shared" si="98"/>
        <v>1</v>
      </c>
      <c r="E2084" s="17">
        <f t="shared" si="97"/>
        <v>1842</v>
      </c>
      <c r="F2084" s="17" t="s">
        <v>4813</v>
      </c>
      <c r="G2084" s="17">
        <f>MATCH(E2084,Arenas!$F$8:$F$15)</f>
        <v>6</v>
      </c>
      <c r="H2084" s="29" t="s">
        <v>3454</v>
      </c>
      <c r="I2084" s="33" t="s">
        <v>8895</v>
      </c>
      <c r="J2084" s="47" t="s">
        <v>8896</v>
      </c>
      <c r="K2084" s="61" t="s">
        <v>4809</v>
      </c>
      <c r="L2084" s="12" t="str">
        <f t="shared" si="96"/>
        <v>2,2,2</v>
      </c>
    </row>
    <row r="2085" spans="2:12">
      <c r="B2085" s="17">
        <v>2384</v>
      </c>
      <c r="C2085" s="17">
        <v>2</v>
      </c>
      <c r="D2085" s="17">
        <f t="shared" si="98"/>
        <v>0</v>
      </c>
      <c r="E2085" s="17">
        <f t="shared" si="97"/>
        <v>1842</v>
      </c>
      <c r="F2085" s="17" t="s">
        <v>4813</v>
      </c>
      <c r="G2085" s="17">
        <f>MATCH(E2085,Arenas!$F$8:$F$15)</f>
        <v>6</v>
      </c>
      <c r="H2085" s="29" t="s">
        <v>3455</v>
      </c>
      <c r="I2085" s="33" t="s">
        <v>8897</v>
      </c>
      <c r="J2085" s="47" t="s">
        <v>8898</v>
      </c>
      <c r="K2085" s="61" t="s">
        <v>4779</v>
      </c>
      <c r="L2085" s="12" t="str">
        <f t="shared" si="96"/>
        <v>2,2,2</v>
      </c>
    </row>
    <row r="2086" spans="2:12">
      <c r="B2086" s="17">
        <v>2385</v>
      </c>
      <c r="C2086" s="17">
        <v>2</v>
      </c>
      <c r="D2086" s="17">
        <f t="shared" si="98"/>
        <v>0</v>
      </c>
      <c r="E2086" s="17">
        <f t="shared" si="97"/>
        <v>1842</v>
      </c>
      <c r="F2086" s="17" t="s">
        <v>4813</v>
      </c>
      <c r="G2086" s="17">
        <f>MATCH(E2086,Arenas!$F$8:$F$15)</f>
        <v>6</v>
      </c>
      <c r="H2086" s="29" t="s">
        <v>3456</v>
      </c>
      <c r="I2086" s="33" t="s">
        <v>8899</v>
      </c>
      <c r="J2086" s="47" t="s">
        <v>8900</v>
      </c>
      <c r="K2086" s="61" t="s">
        <v>4779</v>
      </c>
      <c r="L2086" s="12" t="str">
        <f t="shared" si="96"/>
        <v>2,2,2</v>
      </c>
    </row>
    <row r="2087" spans="2:12">
      <c r="B2087" s="17">
        <v>2386</v>
      </c>
      <c r="C2087" s="17">
        <v>2</v>
      </c>
      <c r="D2087" s="17">
        <f t="shared" si="98"/>
        <v>1</v>
      </c>
      <c r="E2087" s="17">
        <f t="shared" si="97"/>
        <v>1843</v>
      </c>
      <c r="F2087" s="17" t="s">
        <v>4813</v>
      </c>
      <c r="G2087" s="17">
        <f>MATCH(E2087,Arenas!$F$8:$F$15)</f>
        <v>6</v>
      </c>
      <c r="H2087" s="29" t="s">
        <v>3457</v>
      </c>
      <c r="I2087" s="33" t="s">
        <v>8901</v>
      </c>
      <c r="J2087" s="47" t="s">
        <v>8902</v>
      </c>
      <c r="K2087" s="61" t="s">
        <v>4779</v>
      </c>
      <c r="L2087" s="12" t="str">
        <f t="shared" si="96"/>
        <v>2,2,2</v>
      </c>
    </row>
    <row r="2088" spans="2:12">
      <c r="B2088" s="17">
        <v>2387</v>
      </c>
      <c r="C2088" s="17">
        <v>2</v>
      </c>
      <c r="D2088" s="17">
        <f t="shared" si="98"/>
        <v>0</v>
      </c>
      <c r="E2088" s="17">
        <f t="shared" si="97"/>
        <v>1843</v>
      </c>
      <c r="F2088" s="17" t="s">
        <v>4813</v>
      </c>
      <c r="G2088" s="17">
        <f>MATCH(E2088,Arenas!$F$8:$F$15)</f>
        <v>6</v>
      </c>
      <c r="H2088" s="29" t="s">
        <v>3458</v>
      </c>
      <c r="I2088" s="33" t="s">
        <v>8903</v>
      </c>
      <c r="J2088" s="47" t="s">
        <v>8904</v>
      </c>
      <c r="K2088" s="61" t="s">
        <v>4779</v>
      </c>
      <c r="L2088" s="12" t="str">
        <f t="shared" si="96"/>
        <v>2,2,2</v>
      </c>
    </row>
    <row r="2089" spans="2:12">
      <c r="B2089" s="17">
        <v>2388</v>
      </c>
      <c r="C2089" s="17">
        <v>2</v>
      </c>
      <c r="D2089" s="17">
        <f t="shared" si="98"/>
        <v>0</v>
      </c>
      <c r="E2089" s="17">
        <f t="shared" si="97"/>
        <v>1843</v>
      </c>
      <c r="F2089" s="17" t="s">
        <v>4813</v>
      </c>
      <c r="G2089" s="17">
        <f>MATCH(E2089,Arenas!$F$8:$F$15)</f>
        <v>6</v>
      </c>
      <c r="H2089" s="29" t="s">
        <v>3459</v>
      </c>
      <c r="I2089" s="33" t="s">
        <v>8905</v>
      </c>
      <c r="J2089" s="47" t="s">
        <v>8906</v>
      </c>
      <c r="K2089" s="61" t="s">
        <v>4779</v>
      </c>
      <c r="L2089" s="12" t="str">
        <f t="shared" si="96"/>
        <v>2,2,2</v>
      </c>
    </row>
    <row r="2090" spans="2:12">
      <c r="B2090" s="17">
        <v>2389</v>
      </c>
      <c r="C2090" s="17">
        <v>2</v>
      </c>
      <c r="D2090" s="17">
        <f t="shared" si="98"/>
        <v>1</v>
      </c>
      <c r="E2090" s="17">
        <f t="shared" si="97"/>
        <v>1844</v>
      </c>
      <c r="F2090" s="17" t="s">
        <v>4813</v>
      </c>
      <c r="G2090" s="17">
        <f>MATCH(E2090,Arenas!$F$8:$F$15)</f>
        <v>6</v>
      </c>
      <c r="H2090" s="29" t="s">
        <v>3460</v>
      </c>
      <c r="I2090" s="33" t="s">
        <v>8907</v>
      </c>
      <c r="J2090" s="47" t="s">
        <v>8908</v>
      </c>
      <c r="K2090" s="61" t="s">
        <v>4779</v>
      </c>
      <c r="L2090" s="12" t="str">
        <f t="shared" si="96"/>
        <v>2,2,2</v>
      </c>
    </row>
    <row r="2091" spans="2:12">
      <c r="B2091" s="17">
        <v>2390</v>
      </c>
      <c r="C2091" s="17">
        <v>2</v>
      </c>
      <c r="D2091" s="17">
        <f t="shared" si="98"/>
        <v>0</v>
      </c>
      <c r="E2091" s="17">
        <f t="shared" si="97"/>
        <v>1844</v>
      </c>
      <c r="F2091" s="17" t="s">
        <v>4813</v>
      </c>
      <c r="G2091" s="17">
        <f>MATCH(E2091,Arenas!$F$8:$F$15)</f>
        <v>6</v>
      </c>
      <c r="H2091" s="29" t="s">
        <v>3461</v>
      </c>
      <c r="I2091" s="33" t="s">
        <v>8909</v>
      </c>
      <c r="J2091" s="47" t="s">
        <v>8910</v>
      </c>
      <c r="K2091" s="61" t="s">
        <v>4779</v>
      </c>
      <c r="L2091" s="12" t="str">
        <f t="shared" si="96"/>
        <v>2,2,2</v>
      </c>
    </row>
    <row r="2092" spans="2:12">
      <c r="B2092" s="17">
        <v>2391</v>
      </c>
      <c r="C2092" s="17">
        <v>2</v>
      </c>
      <c r="D2092" s="17">
        <f t="shared" si="98"/>
        <v>0</v>
      </c>
      <c r="E2092" s="17">
        <f t="shared" si="97"/>
        <v>1844</v>
      </c>
      <c r="F2092" s="17" t="s">
        <v>4813</v>
      </c>
      <c r="G2092" s="17">
        <f>MATCH(E2092,Arenas!$F$8:$F$15)</f>
        <v>6</v>
      </c>
      <c r="H2092" s="29" t="s">
        <v>3462</v>
      </c>
      <c r="I2092" s="33" t="s">
        <v>8911</v>
      </c>
      <c r="J2092" s="47" t="s">
        <v>8912</v>
      </c>
      <c r="K2092" s="61" t="s">
        <v>4806</v>
      </c>
      <c r="L2092" s="12" t="str">
        <f t="shared" si="96"/>
        <v>2,2,2</v>
      </c>
    </row>
    <row r="2093" spans="2:12">
      <c r="B2093" s="17">
        <v>2392</v>
      </c>
      <c r="C2093" s="17">
        <v>2</v>
      </c>
      <c r="D2093" s="17">
        <f t="shared" si="98"/>
        <v>1</v>
      </c>
      <c r="E2093" s="17">
        <f t="shared" si="97"/>
        <v>1845</v>
      </c>
      <c r="F2093" s="17" t="s">
        <v>4813</v>
      </c>
      <c r="G2093" s="17">
        <f>MATCH(E2093,Arenas!$F$8:$F$15)</f>
        <v>6</v>
      </c>
      <c r="H2093" s="29" t="s">
        <v>3463</v>
      </c>
      <c r="I2093" s="33" t="s">
        <v>8913</v>
      </c>
      <c r="J2093" s="47" t="s">
        <v>8914</v>
      </c>
      <c r="K2093" s="61" t="s">
        <v>4779</v>
      </c>
      <c r="L2093" s="12" t="str">
        <f t="shared" si="96"/>
        <v>2,2,2</v>
      </c>
    </row>
    <row r="2094" spans="2:12">
      <c r="B2094" s="17">
        <v>2393</v>
      </c>
      <c r="C2094" s="17">
        <v>2</v>
      </c>
      <c r="D2094" s="17">
        <f t="shared" si="98"/>
        <v>0</v>
      </c>
      <c r="E2094" s="17">
        <f t="shared" si="97"/>
        <v>1845</v>
      </c>
      <c r="F2094" s="17" t="s">
        <v>4813</v>
      </c>
      <c r="G2094" s="17">
        <f>MATCH(E2094,Arenas!$F$8:$F$15)</f>
        <v>6</v>
      </c>
      <c r="H2094" s="29" t="s">
        <v>3464</v>
      </c>
      <c r="I2094" s="33" t="s">
        <v>8915</v>
      </c>
      <c r="J2094" s="47" t="s">
        <v>8916</v>
      </c>
      <c r="K2094" s="61" t="s">
        <v>4779</v>
      </c>
      <c r="L2094" s="12" t="str">
        <f t="shared" si="96"/>
        <v>2,2,2</v>
      </c>
    </row>
    <row r="2095" spans="2:12">
      <c r="B2095" s="17">
        <v>2394</v>
      </c>
      <c r="C2095" s="17">
        <v>2</v>
      </c>
      <c r="D2095" s="17">
        <f t="shared" si="98"/>
        <v>0</v>
      </c>
      <c r="E2095" s="17">
        <f t="shared" si="97"/>
        <v>1845</v>
      </c>
      <c r="F2095" s="17" t="s">
        <v>4813</v>
      </c>
      <c r="G2095" s="17">
        <f>MATCH(E2095,Arenas!$F$8:$F$15)</f>
        <v>6</v>
      </c>
      <c r="H2095" s="29" t="s">
        <v>3465</v>
      </c>
      <c r="I2095" s="33" t="s">
        <v>8917</v>
      </c>
      <c r="J2095" s="47" t="s">
        <v>8918</v>
      </c>
      <c r="K2095" s="61" t="s">
        <v>4779</v>
      </c>
      <c r="L2095" s="12" t="str">
        <f t="shared" si="96"/>
        <v>2,2,2</v>
      </c>
    </row>
    <row r="2096" spans="2:12">
      <c r="B2096" s="17">
        <v>2395</v>
      </c>
      <c r="C2096" s="17">
        <v>2</v>
      </c>
      <c r="D2096" s="17">
        <f t="shared" si="98"/>
        <v>1</v>
      </c>
      <c r="E2096" s="17">
        <f t="shared" si="97"/>
        <v>1846</v>
      </c>
      <c r="F2096" s="17" t="s">
        <v>4813</v>
      </c>
      <c r="G2096" s="17">
        <f>MATCH(E2096,Arenas!$F$8:$F$15)</f>
        <v>6</v>
      </c>
      <c r="H2096" s="29" t="s">
        <v>3466</v>
      </c>
      <c r="I2096" s="33" t="s">
        <v>8919</v>
      </c>
      <c r="J2096" s="47" t="s">
        <v>8920</v>
      </c>
      <c r="K2096" s="61" t="s">
        <v>4779</v>
      </c>
      <c r="L2096" s="12" t="str">
        <f t="shared" si="96"/>
        <v>2,2,2</v>
      </c>
    </row>
    <row r="2097" spans="2:12">
      <c r="B2097" s="17">
        <v>2396</v>
      </c>
      <c r="C2097" s="17">
        <v>2</v>
      </c>
      <c r="D2097" s="17">
        <f t="shared" si="98"/>
        <v>0</v>
      </c>
      <c r="E2097" s="17">
        <f t="shared" si="97"/>
        <v>1846</v>
      </c>
      <c r="F2097" s="17" t="s">
        <v>4813</v>
      </c>
      <c r="G2097" s="17">
        <f>MATCH(E2097,Arenas!$F$8:$F$15)</f>
        <v>6</v>
      </c>
      <c r="H2097" s="29" t="s">
        <v>3467</v>
      </c>
      <c r="I2097" s="33" t="s">
        <v>8921</v>
      </c>
      <c r="J2097" s="47" t="s">
        <v>5322</v>
      </c>
      <c r="K2097" s="61" t="s">
        <v>4806</v>
      </c>
      <c r="L2097" s="12" t="str">
        <f t="shared" si="96"/>
        <v>2,2,2</v>
      </c>
    </row>
    <row r="2098" spans="2:12">
      <c r="B2098" s="17">
        <v>2397</v>
      </c>
      <c r="C2098" s="17">
        <v>2</v>
      </c>
      <c r="D2098" s="17">
        <f t="shared" si="98"/>
        <v>0</v>
      </c>
      <c r="E2098" s="17">
        <f t="shared" si="97"/>
        <v>1846</v>
      </c>
      <c r="F2098" s="17" t="s">
        <v>4813</v>
      </c>
      <c r="G2098" s="17">
        <f>MATCH(E2098,Arenas!$F$8:$F$15)</f>
        <v>6</v>
      </c>
      <c r="H2098" s="29" t="s">
        <v>3468</v>
      </c>
      <c r="I2098" s="33" t="s">
        <v>8922</v>
      </c>
      <c r="J2098" s="47" t="s">
        <v>8923</v>
      </c>
      <c r="K2098" s="61" t="s">
        <v>4807</v>
      </c>
      <c r="L2098" s="12" t="str">
        <f t="shared" si="96"/>
        <v>2,2,2</v>
      </c>
    </row>
    <row r="2099" spans="2:12">
      <c r="B2099" s="17">
        <v>2398</v>
      </c>
      <c r="C2099" s="17">
        <v>2</v>
      </c>
      <c r="D2099" s="17">
        <f t="shared" si="98"/>
        <v>1</v>
      </c>
      <c r="E2099" s="17">
        <f t="shared" si="97"/>
        <v>1847</v>
      </c>
      <c r="F2099" s="17" t="s">
        <v>4813</v>
      </c>
      <c r="G2099" s="17">
        <f>MATCH(E2099,Arenas!$F$8:$F$15)</f>
        <v>6</v>
      </c>
      <c r="H2099" s="29" t="s">
        <v>3469</v>
      </c>
      <c r="I2099" s="33" t="s">
        <v>8924</v>
      </c>
      <c r="J2099" s="47" t="s">
        <v>8925</v>
      </c>
      <c r="K2099" s="61" t="s">
        <v>4779</v>
      </c>
      <c r="L2099" s="12" t="str">
        <f t="shared" si="96"/>
        <v>2,2,2</v>
      </c>
    </row>
    <row r="2100" spans="2:12">
      <c r="B2100" s="17">
        <v>2399</v>
      </c>
      <c r="C2100" s="17">
        <v>2</v>
      </c>
      <c r="D2100" s="17">
        <f t="shared" si="98"/>
        <v>0</v>
      </c>
      <c r="E2100" s="17">
        <f t="shared" si="97"/>
        <v>1847</v>
      </c>
      <c r="F2100" s="17" t="s">
        <v>4813</v>
      </c>
      <c r="G2100" s="17">
        <f>MATCH(E2100,Arenas!$F$8:$F$15)</f>
        <v>6</v>
      </c>
      <c r="H2100" s="29" t="s">
        <v>3470</v>
      </c>
      <c r="I2100" s="33" t="s">
        <v>8926</v>
      </c>
      <c r="J2100" s="47" t="s">
        <v>8927</v>
      </c>
      <c r="K2100" s="61" t="s">
        <v>4808</v>
      </c>
      <c r="L2100" s="12" t="str">
        <f t="shared" si="96"/>
        <v>2,2,2</v>
      </c>
    </row>
    <row r="2101" spans="2:12">
      <c r="B2101" s="17">
        <v>2400</v>
      </c>
      <c r="C2101" s="17">
        <v>2</v>
      </c>
      <c r="D2101" s="17">
        <f t="shared" si="98"/>
        <v>0</v>
      </c>
      <c r="E2101" s="17">
        <f t="shared" si="97"/>
        <v>1847</v>
      </c>
      <c r="F2101" s="17" t="s">
        <v>4813</v>
      </c>
      <c r="G2101" s="17">
        <f>MATCH(E2101,Arenas!$F$8:$F$15)</f>
        <v>6</v>
      </c>
      <c r="H2101" s="29" t="s">
        <v>3471</v>
      </c>
      <c r="I2101" s="33" t="s">
        <v>8928</v>
      </c>
      <c r="J2101" s="47" t="s">
        <v>8929</v>
      </c>
      <c r="K2101" s="61" t="s">
        <v>4779</v>
      </c>
      <c r="L2101" s="12" t="str">
        <f t="shared" si="96"/>
        <v>2,2,2</v>
      </c>
    </row>
    <row r="2102" spans="2:12">
      <c r="B2102" s="17">
        <v>2401</v>
      </c>
      <c r="C2102" s="17">
        <v>2</v>
      </c>
      <c r="D2102" s="17">
        <f t="shared" si="98"/>
        <v>1</v>
      </c>
      <c r="E2102" s="17">
        <f t="shared" si="97"/>
        <v>1848</v>
      </c>
      <c r="F2102" s="17" t="s">
        <v>4813</v>
      </c>
      <c r="G2102" s="17">
        <f>MATCH(E2102,Arenas!$F$8:$F$15)</f>
        <v>6</v>
      </c>
      <c r="H2102" s="29" t="s">
        <v>3472</v>
      </c>
      <c r="I2102" s="33" t="s">
        <v>8930</v>
      </c>
      <c r="J2102" s="47" t="s">
        <v>8931</v>
      </c>
      <c r="K2102" s="61" t="s">
        <v>4810</v>
      </c>
      <c r="L2102" s="12" t="str">
        <f t="shared" si="96"/>
        <v>2,2,2</v>
      </c>
    </row>
    <row r="2103" spans="2:12">
      <c r="B2103" s="17">
        <v>2402</v>
      </c>
      <c r="C2103" s="17">
        <v>2</v>
      </c>
      <c r="D2103" s="17">
        <f t="shared" si="98"/>
        <v>0</v>
      </c>
      <c r="E2103" s="17">
        <f t="shared" si="97"/>
        <v>1848</v>
      </c>
      <c r="F2103" s="17" t="s">
        <v>4813</v>
      </c>
      <c r="G2103" s="17">
        <f>MATCH(E2103,Arenas!$F$8:$F$15)</f>
        <v>6</v>
      </c>
      <c r="H2103" s="29" t="s">
        <v>3473</v>
      </c>
      <c r="I2103" s="33" t="s">
        <v>8932</v>
      </c>
      <c r="J2103" s="47" t="s">
        <v>5722</v>
      </c>
      <c r="K2103" s="61" t="s">
        <v>4779</v>
      </c>
      <c r="L2103" s="12" t="str">
        <f t="shared" si="96"/>
        <v>2,2,2</v>
      </c>
    </row>
    <row r="2104" spans="2:12">
      <c r="B2104" s="17">
        <v>2403</v>
      </c>
      <c r="C2104" s="17">
        <v>2</v>
      </c>
      <c r="D2104" s="17">
        <f t="shared" si="98"/>
        <v>0</v>
      </c>
      <c r="E2104" s="17">
        <f t="shared" si="97"/>
        <v>1848</v>
      </c>
      <c r="F2104" s="17" t="s">
        <v>4813</v>
      </c>
      <c r="G2104" s="17">
        <f>MATCH(E2104,Arenas!$F$8:$F$15)</f>
        <v>6</v>
      </c>
      <c r="H2104" s="29" t="s">
        <v>3474</v>
      </c>
      <c r="I2104" s="33" t="s">
        <v>8933</v>
      </c>
      <c r="J2104" s="47" t="s">
        <v>7845</v>
      </c>
      <c r="K2104" s="61" t="s">
        <v>4779</v>
      </c>
      <c r="L2104" s="12" t="str">
        <f t="shared" si="96"/>
        <v>2,2,2</v>
      </c>
    </row>
    <row r="2105" spans="2:12">
      <c r="B2105" s="17">
        <v>2404</v>
      </c>
      <c r="C2105" s="17">
        <v>2</v>
      </c>
      <c r="D2105" s="17">
        <f t="shared" si="98"/>
        <v>1</v>
      </c>
      <c r="E2105" s="17">
        <f t="shared" si="97"/>
        <v>1849</v>
      </c>
      <c r="F2105" s="17" t="s">
        <v>4813</v>
      </c>
      <c r="G2105" s="17">
        <f>MATCH(E2105,Arenas!$F$8:$F$15)</f>
        <v>6</v>
      </c>
      <c r="H2105" s="29" t="s">
        <v>3475</v>
      </c>
      <c r="I2105" s="33" t="s">
        <v>8934</v>
      </c>
      <c r="J2105" s="47" t="s">
        <v>8935</v>
      </c>
      <c r="K2105" s="61" t="s">
        <v>4779</v>
      </c>
      <c r="L2105" s="12" t="str">
        <f t="shared" si="96"/>
        <v>2,2,2</v>
      </c>
    </row>
    <row r="2106" spans="2:12">
      <c r="B2106" s="17">
        <v>2405</v>
      </c>
      <c r="C2106" s="17">
        <v>2</v>
      </c>
      <c r="D2106" s="17">
        <f t="shared" si="98"/>
        <v>0</v>
      </c>
      <c r="E2106" s="17">
        <f t="shared" si="97"/>
        <v>1849</v>
      </c>
      <c r="F2106" s="17" t="s">
        <v>4813</v>
      </c>
      <c r="G2106" s="17">
        <f>MATCH(E2106,Arenas!$F$8:$F$15)</f>
        <v>6</v>
      </c>
      <c r="H2106" s="29" t="s">
        <v>3476</v>
      </c>
      <c r="I2106" s="33" t="s">
        <v>8936</v>
      </c>
      <c r="J2106" s="47" t="s">
        <v>8937</v>
      </c>
      <c r="K2106" s="61" t="s">
        <v>4779</v>
      </c>
      <c r="L2106" s="12" t="str">
        <f t="shared" si="96"/>
        <v>2,2,2</v>
      </c>
    </row>
    <row r="2107" spans="2:12">
      <c r="B2107" s="17">
        <v>2406</v>
      </c>
      <c r="C2107" s="17">
        <v>2</v>
      </c>
      <c r="D2107" s="17">
        <f t="shared" si="98"/>
        <v>0</v>
      </c>
      <c r="E2107" s="17">
        <f t="shared" si="97"/>
        <v>1849</v>
      </c>
      <c r="F2107" s="17" t="s">
        <v>4813</v>
      </c>
      <c r="G2107" s="17">
        <f>MATCH(E2107,Arenas!$F$8:$F$15)</f>
        <v>6</v>
      </c>
      <c r="H2107" s="29" t="s">
        <v>3477</v>
      </c>
      <c r="I2107" s="33" t="s">
        <v>8938</v>
      </c>
      <c r="J2107" s="47" t="s">
        <v>8939</v>
      </c>
      <c r="K2107" s="61" t="s">
        <v>4779</v>
      </c>
      <c r="L2107" s="12" t="str">
        <f t="shared" si="96"/>
        <v>2,2,2</v>
      </c>
    </row>
    <row r="2108" spans="2:12">
      <c r="B2108" s="17">
        <v>2407</v>
      </c>
      <c r="C2108" s="17">
        <v>2</v>
      </c>
      <c r="D2108" s="17">
        <f t="shared" si="98"/>
        <v>1</v>
      </c>
      <c r="E2108" s="17">
        <f t="shared" si="97"/>
        <v>1850</v>
      </c>
      <c r="F2108" s="17" t="s">
        <v>4813</v>
      </c>
      <c r="G2108" s="17">
        <f>MATCH(E2108,Arenas!$F$8:$F$15)</f>
        <v>6</v>
      </c>
      <c r="H2108" s="29" t="s">
        <v>3478</v>
      </c>
      <c r="I2108" s="33" t="s">
        <v>8940</v>
      </c>
      <c r="J2108" s="47" t="s">
        <v>8941</v>
      </c>
      <c r="K2108" s="61" t="s">
        <v>4779</v>
      </c>
      <c r="L2108" s="12" t="str">
        <f t="shared" si="96"/>
        <v>2,2,2</v>
      </c>
    </row>
    <row r="2109" spans="2:12">
      <c r="B2109" s="17">
        <v>2408</v>
      </c>
      <c r="C2109" s="17">
        <v>2</v>
      </c>
      <c r="D2109" s="17">
        <f t="shared" si="98"/>
        <v>0</v>
      </c>
      <c r="E2109" s="17">
        <f t="shared" si="97"/>
        <v>1850</v>
      </c>
      <c r="F2109" s="17" t="s">
        <v>4813</v>
      </c>
      <c r="G2109" s="17">
        <f>MATCH(E2109,Arenas!$F$8:$F$15)</f>
        <v>6</v>
      </c>
      <c r="H2109" s="29" t="s">
        <v>3479</v>
      </c>
      <c r="I2109" s="33" t="s">
        <v>8942</v>
      </c>
      <c r="J2109" s="47" t="s">
        <v>8943</v>
      </c>
      <c r="K2109" s="61" t="s">
        <v>4779</v>
      </c>
      <c r="L2109" s="12" t="str">
        <f t="shared" si="96"/>
        <v>2,2,2</v>
      </c>
    </row>
    <row r="2110" spans="2:12">
      <c r="B2110" s="17">
        <v>2409</v>
      </c>
      <c r="C2110" s="17">
        <v>2</v>
      </c>
      <c r="D2110" s="17">
        <f t="shared" si="98"/>
        <v>0</v>
      </c>
      <c r="E2110" s="17">
        <f t="shared" si="97"/>
        <v>1850</v>
      </c>
      <c r="F2110" s="17" t="s">
        <v>4813</v>
      </c>
      <c r="G2110" s="17">
        <f>MATCH(E2110,Arenas!$F$8:$F$15)</f>
        <v>6</v>
      </c>
      <c r="H2110" s="29" t="s">
        <v>3480</v>
      </c>
      <c r="I2110" s="33" t="s">
        <v>8944</v>
      </c>
      <c r="J2110" s="47" t="s">
        <v>8945</v>
      </c>
      <c r="K2110" s="61" t="s">
        <v>4779</v>
      </c>
      <c r="L2110" s="12" t="str">
        <f t="shared" si="96"/>
        <v>2,2,2</v>
      </c>
    </row>
    <row r="2111" spans="2:12">
      <c r="B2111" s="17">
        <v>2410</v>
      </c>
      <c r="C2111" s="17">
        <v>2</v>
      </c>
      <c r="D2111" s="17">
        <f t="shared" si="98"/>
        <v>1</v>
      </c>
      <c r="E2111" s="17">
        <f t="shared" si="97"/>
        <v>1851</v>
      </c>
      <c r="F2111" s="17" t="s">
        <v>4813</v>
      </c>
      <c r="G2111" s="17">
        <f>MATCH(E2111,Arenas!$F$8:$F$15)</f>
        <v>6</v>
      </c>
      <c r="H2111" s="29" t="s">
        <v>3481</v>
      </c>
      <c r="I2111" s="33" t="s">
        <v>8946</v>
      </c>
      <c r="J2111" s="47" t="s">
        <v>8947</v>
      </c>
      <c r="K2111" s="61" t="s">
        <v>4779</v>
      </c>
      <c r="L2111" s="12" t="str">
        <f t="shared" si="96"/>
        <v>2,2,2</v>
      </c>
    </row>
    <row r="2112" spans="2:12">
      <c r="B2112" s="17">
        <v>2411</v>
      </c>
      <c r="C2112" s="17">
        <v>2</v>
      </c>
      <c r="D2112" s="17">
        <f t="shared" si="98"/>
        <v>0</v>
      </c>
      <c r="E2112" s="17">
        <f t="shared" si="97"/>
        <v>1851</v>
      </c>
      <c r="F2112" s="17" t="s">
        <v>4813</v>
      </c>
      <c r="G2112" s="17">
        <f>MATCH(E2112,Arenas!$F$8:$F$15)</f>
        <v>6</v>
      </c>
      <c r="H2112" s="29" t="s">
        <v>3482</v>
      </c>
      <c r="I2112" s="33" t="s">
        <v>8948</v>
      </c>
      <c r="J2112" s="47" t="s">
        <v>8949</v>
      </c>
      <c r="K2112" s="61" t="s">
        <v>4779</v>
      </c>
      <c r="L2112" s="12" t="str">
        <f t="shared" si="96"/>
        <v>2,2,2</v>
      </c>
    </row>
    <row r="2113" spans="2:12">
      <c r="B2113" s="17">
        <v>2412</v>
      </c>
      <c r="C2113" s="17">
        <v>2</v>
      </c>
      <c r="D2113" s="17">
        <f t="shared" si="98"/>
        <v>0</v>
      </c>
      <c r="E2113" s="17">
        <f t="shared" si="97"/>
        <v>1851</v>
      </c>
      <c r="F2113" s="17" t="s">
        <v>4813</v>
      </c>
      <c r="G2113" s="17">
        <f>MATCH(E2113,Arenas!$F$8:$F$15)</f>
        <v>6</v>
      </c>
      <c r="H2113" s="29" t="s">
        <v>3483</v>
      </c>
      <c r="I2113" s="33" t="s">
        <v>8950</v>
      </c>
      <c r="J2113" s="47" t="s">
        <v>8951</v>
      </c>
      <c r="K2113" s="61" t="s">
        <v>4779</v>
      </c>
      <c r="L2113" s="12" t="str">
        <f t="shared" si="96"/>
        <v>2,2,2</v>
      </c>
    </row>
    <row r="2114" spans="2:12">
      <c r="B2114" s="17">
        <v>2413</v>
      </c>
      <c r="C2114" s="17">
        <v>2</v>
      </c>
      <c r="D2114" s="17">
        <f t="shared" si="98"/>
        <v>1</v>
      </c>
      <c r="E2114" s="17">
        <f t="shared" si="97"/>
        <v>1852</v>
      </c>
      <c r="F2114" s="17" t="s">
        <v>4813</v>
      </c>
      <c r="G2114" s="17">
        <f>MATCH(E2114,Arenas!$F$8:$F$15)</f>
        <v>6</v>
      </c>
      <c r="H2114" s="29" t="s">
        <v>3484</v>
      </c>
      <c r="I2114" s="33" t="s">
        <v>8952</v>
      </c>
      <c r="J2114" s="47" t="s">
        <v>8953</v>
      </c>
      <c r="K2114" s="61" t="s">
        <v>4779</v>
      </c>
      <c r="L2114" s="12" t="str">
        <f t="shared" ref="L2114:L2177" si="99">C2114&amp;","&amp;C2114&amp;","&amp;C2114</f>
        <v>2,2,2</v>
      </c>
    </row>
    <row r="2115" spans="2:12">
      <c r="B2115" s="17">
        <v>2414</v>
      </c>
      <c r="C2115" s="17">
        <v>2</v>
      </c>
      <c r="D2115" s="17">
        <f t="shared" si="98"/>
        <v>0</v>
      </c>
      <c r="E2115" s="17">
        <f t="shared" ref="E2115:E2178" si="100">D2115+E2114</f>
        <v>1852</v>
      </c>
      <c r="F2115" s="17" t="s">
        <v>4813</v>
      </c>
      <c r="G2115" s="17">
        <f>MATCH(E2115,Arenas!$F$8:$F$15)</f>
        <v>6</v>
      </c>
      <c r="H2115" s="29" t="s">
        <v>3485</v>
      </c>
      <c r="I2115" s="33" t="s">
        <v>8954</v>
      </c>
      <c r="J2115" s="47" t="s">
        <v>8955</v>
      </c>
      <c r="K2115" s="61" t="s">
        <v>4779</v>
      </c>
      <c r="L2115" s="12" t="str">
        <f t="shared" si="99"/>
        <v>2,2,2</v>
      </c>
    </row>
    <row r="2116" spans="2:12">
      <c r="B2116" s="17">
        <v>2415</v>
      </c>
      <c r="C2116" s="17">
        <v>2</v>
      </c>
      <c r="D2116" s="17">
        <f t="shared" si="98"/>
        <v>0</v>
      </c>
      <c r="E2116" s="17">
        <f t="shared" si="100"/>
        <v>1852</v>
      </c>
      <c r="F2116" s="17" t="s">
        <v>4813</v>
      </c>
      <c r="G2116" s="17">
        <f>MATCH(E2116,Arenas!$F$8:$F$15)</f>
        <v>6</v>
      </c>
      <c r="H2116" s="29" t="s">
        <v>3486</v>
      </c>
      <c r="I2116" s="33" t="s">
        <v>8956</v>
      </c>
      <c r="J2116" s="47" t="s">
        <v>8957</v>
      </c>
      <c r="K2116" s="61" t="s">
        <v>4779</v>
      </c>
      <c r="L2116" s="12" t="str">
        <f t="shared" si="99"/>
        <v>2,2,2</v>
      </c>
    </row>
    <row r="2117" spans="2:12">
      <c r="B2117" s="17">
        <v>2416</v>
      </c>
      <c r="C2117" s="17">
        <v>2</v>
      </c>
      <c r="D2117" s="17">
        <f t="shared" ref="D2117:D2180" si="101">D2114</f>
        <v>1</v>
      </c>
      <c r="E2117" s="17">
        <f t="shared" si="100"/>
        <v>1853</v>
      </c>
      <c r="F2117" s="17" t="s">
        <v>4813</v>
      </c>
      <c r="G2117" s="17">
        <f>MATCH(E2117,Arenas!$F$8:$F$15)</f>
        <v>6</v>
      </c>
      <c r="H2117" s="29" t="s">
        <v>3487</v>
      </c>
      <c r="I2117" s="33" t="s">
        <v>8958</v>
      </c>
      <c r="J2117" s="47" t="s">
        <v>8959</v>
      </c>
      <c r="K2117" s="61" t="s">
        <v>4810</v>
      </c>
      <c r="L2117" s="12" t="str">
        <f t="shared" si="99"/>
        <v>2,2,2</v>
      </c>
    </row>
    <row r="2118" spans="2:12">
      <c r="B2118" s="17">
        <v>2417</v>
      </c>
      <c r="C2118" s="17">
        <v>2</v>
      </c>
      <c r="D2118" s="17">
        <f t="shared" si="101"/>
        <v>0</v>
      </c>
      <c r="E2118" s="17">
        <f t="shared" si="100"/>
        <v>1853</v>
      </c>
      <c r="F2118" s="17" t="s">
        <v>4813</v>
      </c>
      <c r="G2118" s="17">
        <f>MATCH(E2118,Arenas!$F$8:$F$15)</f>
        <v>6</v>
      </c>
      <c r="H2118" s="29" t="s">
        <v>3488</v>
      </c>
      <c r="I2118" s="33" t="s">
        <v>8960</v>
      </c>
      <c r="J2118" s="47" t="s">
        <v>5285</v>
      </c>
      <c r="K2118" s="61" t="s">
        <v>4779</v>
      </c>
      <c r="L2118" s="12" t="str">
        <f t="shared" si="99"/>
        <v>2,2,2</v>
      </c>
    </row>
    <row r="2119" spans="2:12">
      <c r="B2119" s="17">
        <v>2418</v>
      </c>
      <c r="C2119" s="17">
        <v>2</v>
      </c>
      <c r="D2119" s="17">
        <f t="shared" si="101"/>
        <v>0</v>
      </c>
      <c r="E2119" s="17">
        <f t="shared" si="100"/>
        <v>1853</v>
      </c>
      <c r="F2119" s="17" t="s">
        <v>4813</v>
      </c>
      <c r="G2119" s="17">
        <f>MATCH(E2119,Arenas!$F$8:$F$15)</f>
        <v>6</v>
      </c>
      <c r="H2119" s="29" t="s">
        <v>3489</v>
      </c>
      <c r="I2119" s="33" t="s">
        <v>8961</v>
      </c>
      <c r="J2119" s="47" t="s">
        <v>8962</v>
      </c>
      <c r="K2119" s="61" t="s">
        <v>4779</v>
      </c>
      <c r="L2119" s="12" t="str">
        <f t="shared" si="99"/>
        <v>2,2,2</v>
      </c>
    </row>
    <row r="2120" spans="2:12">
      <c r="B2120" s="17">
        <v>2419</v>
      </c>
      <c r="C2120" s="17">
        <v>2</v>
      </c>
      <c r="D2120" s="17">
        <f t="shared" si="101"/>
        <v>1</v>
      </c>
      <c r="E2120" s="17">
        <f t="shared" si="100"/>
        <v>1854</v>
      </c>
      <c r="F2120" s="17" t="s">
        <v>4813</v>
      </c>
      <c r="G2120" s="17">
        <f>MATCH(E2120,Arenas!$F$8:$F$15)</f>
        <v>6</v>
      </c>
      <c r="H2120" s="29" t="s">
        <v>3490</v>
      </c>
      <c r="I2120" s="33" t="s">
        <v>8963</v>
      </c>
      <c r="J2120" s="47" t="s">
        <v>8964</v>
      </c>
      <c r="K2120" s="61" t="s">
        <v>4807</v>
      </c>
      <c r="L2120" s="12" t="str">
        <f t="shared" si="99"/>
        <v>2,2,2</v>
      </c>
    </row>
    <row r="2121" spans="2:12">
      <c r="B2121" s="17">
        <v>2420</v>
      </c>
      <c r="C2121" s="17">
        <v>2</v>
      </c>
      <c r="D2121" s="17">
        <f t="shared" si="101"/>
        <v>0</v>
      </c>
      <c r="E2121" s="17">
        <f t="shared" si="100"/>
        <v>1854</v>
      </c>
      <c r="F2121" s="17" t="s">
        <v>4813</v>
      </c>
      <c r="G2121" s="17">
        <f>MATCH(E2121,Arenas!$F$8:$F$15)</f>
        <v>6</v>
      </c>
      <c r="H2121" s="29" t="s">
        <v>3491</v>
      </c>
      <c r="I2121" s="33" t="s">
        <v>8965</v>
      </c>
      <c r="J2121" s="47" t="s">
        <v>8966</v>
      </c>
      <c r="K2121" s="61" t="s">
        <v>4779</v>
      </c>
      <c r="L2121" s="12" t="str">
        <f t="shared" si="99"/>
        <v>2,2,2</v>
      </c>
    </row>
    <row r="2122" spans="2:12">
      <c r="B2122" s="17">
        <v>2421</v>
      </c>
      <c r="C2122" s="17">
        <v>2</v>
      </c>
      <c r="D2122" s="17">
        <f t="shared" si="101"/>
        <v>0</v>
      </c>
      <c r="E2122" s="17">
        <f t="shared" si="100"/>
        <v>1854</v>
      </c>
      <c r="F2122" s="17" t="s">
        <v>4813</v>
      </c>
      <c r="G2122" s="17">
        <f>MATCH(E2122,Arenas!$F$8:$F$15)</f>
        <v>6</v>
      </c>
      <c r="H2122" s="29" t="s">
        <v>3492</v>
      </c>
      <c r="I2122" s="33" t="s">
        <v>8967</v>
      </c>
      <c r="J2122" s="47" t="s">
        <v>8968</v>
      </c>
      <c r="K2122" s="61" t="s">
        <v>4779</v>
      </c>
      <c r="L2122" s="12" t="str">
        <f t="shared" si="99"/>
        <v>2,2,2</v>
      </c>
    </row>
    <row r="2123" spans="2:12">
      <c r="B2123" s="17">
        <v>2422</v>
      </c>
      <c r="C2123" s="17">
        <v>2</v>
      </c>
      <c r="D2123" s="17">
        <f t="shared" si="101"/>
        <v>1</v>
      </c>
      <c r="E2123" s="17">
        <f t="shared" si="100"/>
        <v>1855</v>
      </c>
      <c r="F2123" s="17" t="s">
        <v>4813</v>
      </c>
      <c r="G2123" s="17">
        <f>MATCH(E2123,Arenas!$F$8:$F$15)</f>
        <v>6</v>
      </c>
      <c r="H2123" s="29" t="s">
        <v>3493</v>
      </c>
      <c r="I2123" s="33" t="s">
        <v>8969</v>
      </c>
      <c r="J2123" s="47" t="s">
        <v>8970</v>
      </c>
      <c r="K2123" s="61" t="s">
        <v>4779</v>
      </c>
      <c r="L2123" s="12" t="str">
        <f t="shared" si="99"/>
        <v>2,2,2</v>
      </c>
    </row>
    <row r="2124" spans="2:12">
      <c r="B2124" s="17">
        <v>2423</v>
      </c>
      <c r="C2124" s="17">
        <v>2</v>
      </c>
      <c r="D2124" s="17">
        <f t="shared" si="101"/>
        <v>0</v>
      </c>
      <c r="E2124" s="17">
        <f t="shared" si="100"/>
        <v>1855</v>
      </c>
      <c r="F2124" s="17" t="s">
        <v>4813</v>
      </c>
      <c r="G2124" s="17">
        <f>MATCH(E2124,Arenas!$F$8:$F$15)</f>
        <v>6</v>
      </c>
      <c r="H2124" s="29" t="s">
        <v>3494</v>
      </c>
      <c r="I2124" s="33" t="s">
        <v>8971</v>
      </c>
      <c r="J2124" s="47" t="s">
        <v>8972</v>
      </c>
      <c r="K2124" s="61" t="s">
        <v>4779</v>
      </c>
      <c r="L2124" s="12" t="str">
        <f t="shared" si="99"/>
        <v>2,2,2</v>
      </c>
    </row>
    <row r="2125" spans="2:12">
      <c r="B2125" s="17">
        <v>2424</v>
      </c>
      <c r="C2125" s="17">
        <v>2</v>
      </c>
      <c r="D2125" s="17">
        <f t="shared" si="101"/>
        <v>0</v>
      </c>
      <c r="E2125" s="17">
        <f t="shared" si="100"/>
        <v>1855</v>
      </c>
      <c r="F2125" s="17" t="s">
        <v>4813</v>
      </c>
      <c r="G2125" s="17">
        <f>MATCH(E2125,Arenas!$F$8:$F$15)</f>
        <v>6</v>
      </c>
      <c r="H2125" s="29" t="s">
        <v>3495</v>
      </c>
      <c r="I2125" s="33" t="s">
        <v>8973</v>
      </c>
      <c r="J2125" s="47" t="s">
        <v>8974</v>
      </c>
      <c r="K2125" s="61" t="s">
        <v>4779</v>
      </c>
      <c r="L2125" s="12" t="str">
        <f t="shared" si="99"/>
        <v>2,2,2</v>
      </c>
    </row>
    <row r="2126" spans="2:12">
      <c r="B2126" s="17">
        <v>2425</v>
      </c>
      <c r="C2126" s="17">
        <v>2</v>
      </c>
      <c r="D2126" s="17">
        <f t="shared" si="101"/>
        <v>1</v>
      </c>
      <c r="E2126" s="17">
        <f t="shared" si="100"/>
        <v>1856</v>
      </c>
      <c r="F2126" s="17" t="s">
        <v>4813</v>
      </c>
      <c r="G2126" s="17">
        <f>MATCH(E2126,Arenas!$F$8:$F$15)</f>
        <v>6</v>
      </c>
      <c r="H2126" s="29" t="s">
        <v>3496</v>
      </c>
      <c r="I2126" s="33" t="s">
        <v>8975</v>
      </c>
      <c r="J2126" s="47" t="s">
        <v>6920</v>
      </c>
      <c r="K2126" s="61" t="s">
        <v>4779</v>
      </c>
      <c r="L2126" s="12" t="str">
        <f t="shared" si="99"/>
        <v>2,2,2</v>
      </c>
    </row>
    <row r="2127" spans="2:12">
      <c r="B2127" s="17">
        <v>2426</v>
      </c>
      <c r="C2127" s="17">
        <v>2</v>
      </c>
      <c r="D2127" s="17">
        <f t="shared" si="101"/>
        <v>0</v>
      </c>
      <c r="E2127" s="17">
        <f t="shared" si="100"/>
        <v>1856</v>
      </c>
      <c r="F2127" s="17" t="s">
        <v>4813</v>
      </c>
      <c r="G2127" s="17">
        <f>MATCH(E2127,Arenas!$F$8:$F$15)</f>
        <v>6</v>
      </c>
      <c r="H2127" s="29" t="s">
        <v>3497</v>
      </c>
      <c r="I2127" s="33" t="s">
        <v>8976</v>
      </c>
      <c r="J2127" s="47" t="s">
        <v>8567</v>
      </c>
      <c r="K2127" s="61" t="s">
        <v>4779</v>
      </c>
      <c r="L2127" s="12" t="str">
        <f t="shared" si="99"/>
        <v>2,2,2</v>
      </c>
    </row>
    <row r="2128" spans="2:12">
      <c r="B2128" s="17">
        <v>2427</v>
      </c>
      <c r="C2128" s="17">
        <v>2</v>
      </c>
      <c r="D2128" s="17">
        <f t="shared" si="101"/>
        <v>0</v>
      </c>
      <c r="E2128" s="17">
        <f t="shared" si="100"/>
        <v>1856</v>
      </c>
      <c r="F2128" s="17" t="s">
        <v>4813</v>
      </c>
      <c r="G2128" s="17">
        <f>MATCH(E2128,Arenas!$F$8:$F$15)</f>
        <v>6</v>
      </c>
      <c r="H2128" s="29" t="s">
        <v>3498</v>
      </c>
      <c r="I2128" s="33" t="s">
        <v>8977</v>
      </c>
      <c r="J2128" s="47" t="s">
        <v>8978</v>
      </c>
      <c r="K2128" s="61" t="s">
        <v>4809</v>
      </c>
      <c r="L2128" s="12" t="str">
        <f t="shared" si="99"/>
        <v>2,2,2</v>
      </c>
    </row>
    <row r="2129" spans="2:12">
      <c r="B2129" s="17">
        <v>2428</v>
      </c>
      <c r="C2129" s="17">
        <v>2</v>
      </c>
      <c r="D2129" s="17">
        <f t="shared" si="101"/>
        <v>1</v>
      </c>
      <c r="E2129" s="17">
        <f t="shared" si="100"/>
        <v>1857</v>
      </c>
      <c r="F2129" s="17" t="s">
        <v>4813</v>
      </c>
      <c r="G2129" s="17">
        <f>MATCH(E2129,Arenas!$F$8:$F$15)</f>
        <v>6</v>
      </c>
      <c r="H2129" s="29" t="s">
        <v>3499</v>
      </c>
      <c r="I2129" s="33" t="s">
        <v>8979</v>
      </c>
      <c r="J2129" s="47" t="s">
        <v>8980</v>
      </c>
      <c r="K2129" s="61" t="s">
        <v>4779</v>
      </c>
      <c r="L2129" s="12" t="str">
        <f t="shared" si="99"/>
        <v>2,2,2</v>
      </c>
    </row>
    <row r="2130" spans="2:12">
      <c r="B2130" s="17">
        <v>2429</v>
      </c>
      <c r="C2130" s="17">
        <v>2</v>
      </c>
      <c r="D2130" s="17">
        <f t="shared" si="101"/>
        <v>0</v>
      </c>
      <c r="E2130" s="17">
        <f t="shared" si="100"/>
        <v>1857</v>
      </c>
      <c r="F2130" s="17" t="s">
        <v>4813</v>
      </c>
      <c r="G2130" s="17">
        <f>MATCH(E2130,Arenas!$F$8:$F$15)</f>
        <v>6</v>
      </c>
      <c r="H2130" s="29" t="s">
        <v>3500</v>
      </c>
      <c r="I2130" s="33" t="s">
        <v>8981</v>
      </c>
      <c r="J2130" s="47" t="s">
        <v>8982</v>
      </c>
      <c r="K2130" s="61" t="s">
        <v>4779</v>
      </c>
      <c r="L2130" s="12" t="str">
        <f t="shared" si="99"/>
        <v>2,2,2</v>
      </c>
    </row>
    <row r="2131" spans="2:12">
      <c r="B2131" s="17">
        <v>2430</v>
      </c>
      <c r="C2131" s="17">
        <v>2</v>
      </c>
      <c r="D2131" s="17">
        <f t="shared" si="101"/>
        <v>0</v>
      </c>
      <c r="E2131" s="17">
        <f t="shared" si="100"/>
        <v>1857</v>
      </c>
      <c r="F2131" s="17" t="s">
        <v>4813</v>
      </c>
      <c r="G2131" s="17">
        <f>MATCH(E2131,Arenas!$F$8:$F$15)</f>
        <v>6</v>
      </c>
      <c r="H2131" s="29" t="s">
        <v>3501</v>
      </c>
      <c r="I2131" s="33" t="s">
        <v>8983</v>
      </c>
      <c r="J2131" s="47" t="s">
        <v>8984</v>
      </c>
      <c r="K2131" s="61" t="s">
        <v>4779</v>
      </c>
      <c r="L2131" s="12" t="str">
        <f t="shared" si="99"/>
        <v>2,2,2</v>
      </c>
    </row>
    <row r="2132" spans="2:12">
      <c r="B2132" s="17">
        <v>2431</v>
      </c>
      <c r="C2132" s="17">
        <v>2</v>
      </c>
      <c r="D2132" s="17">
        <f t="shared" si="101"/>
        <v>1</v>
      </c>
      <c r="E2132" s="17">
        <f t="shared" si="100"/>
        <v>1858</v>
      </c>
      <c r="F2132" s="17" t="s">
        <v>4813</v>
      </c>
      <c r="G2132" s="17">
        <f>MATCH(E2132,Arenas!$F$8:$F$15)</f>
        <v>6</v>
      </c>
      <c r="H2132" s="29" t="s">
        <v>3502</v>
      </c>
      <c r="I2132" s="33" t="s">
        <v>8985</v>
      </c>
      <c r="J2132" s="47" t="s">
        <v>8986</v>
      </c>
      <c r="K2132" s="61" t="s">
        <v>4779</v>
      </c>
      <c r="L2132" s="12" t="str">
        <f t="shared" si="99"/>
        <v>2,2,2</v>
      </c>
    </row>
    <row r="2133" spans="2:12">
      <c r="B2133" s="17">
        <v>2432</v>
      </c>
      <c r="C2133" s="17">
        <v>2</v>
      </c>
      <c r="D2133" s="17">
        <f t="shared" si="101"/>
        <v>0</v>
      </c>
      <c r="E2133" s="17">
        <f t="shared" si="100"/>
        <v>1858</v>
      </c>
      <c r="F2133" s="17" t="s">
        <v>4813</v>
      </c>
      <c r="G2133" s="17">
        <f>MATCH(E2133,Arenas!$F$8:$F$15)</f>
        <v>6</v>
      </c>
      <c r="H2133" s="29" t="s">
        <v>3503</v>
      </c>
      <c r="I2133" s="33" t="s">
        <v>8987</v>
      </c>
      <c r="J2133" s="47" t="s">
        <v>8988</v>
      </c>
      <c r="K2133" s="61" t="s">
        <v>4779</v>
      </c>
      <c r="L2133" s="12" t="str">
        <f t="shared" si="99"/>
        <v>2,2,2</v>
      </c>
    </row>
    <row r="2134" spans="2:12">
      <c r="B2134" s="17">
        <v>2433</v>
      </c>
      <c r="C2134" s="17">
        <v>2</v>
      </c>
      <c r="D2134" s="17">
        <f t="shared" si="101"/>
        <v>0</v>
      </c>
      <c r="E2134" s="17">
        <f t="shared" si="100"/>
        <v>1858</v>
      </c>
      <c r="F2134" s="17" t="s">
        <v>4813</v>
      </c>
      <c r="G2134" s="17">
        <f>MATCH(E2134,Arenas!$F$8:$F$15)</f>
        <v>6</v>
      </c>
      <c r="H2134" s="29" t="s">
        <v>3504</v>
      </c>
      <c r="I2134" s="33" t="s">
        <v>8989</v>
      </c>
      <c r="J2134" s="47" t="s">
        <v>8990</v>
      </c>
      <c r="K2134" s="61" t="s">
        <v>4779</v>
      </c>
      <c r="L2134" s="12" t="str">
        <f t="shared" si="99"/>
        <v>2,2,2</v>
      </c>
    </row>
    <row r="2135" spans="2:12">
      <c r="B2135" s="17">
        <v>2434</v>
      </c>
      <c r="C2135" s="17">
        <v>2</v>
      </c>
      <c r="D2135" s="17">
        <f t="shared" si="101"/>
        <v>1</v>
      </c>
      <c r="E2135" s="17">
        <f t="shared" si="100"/>
        <v>1859</v>
      </c>
      <c r="F2135" s="17" t="s">
        <v>4813</v>
      </c>
      <c r="G2135" s="17">
        <f>MATCH(E2135,Arenas!$F$8:$F$15)</f>
        <v>6</v>
      </c>
      <c r="H2135" s="29" t="s">
        <v>3505</v>
      </c>
      <c r="I2135" s="33" t="s">
        <v>8991</v>
      </c>
      <c r="J2135" s="47" t="s">
        <v>5850</v>
      </c>
      <c r="K2135" s="61" t="s">
        <v>4807</v>
      </c>
      <c r="L2135" s="12" t="str">
        <f t="shared" si="99"/>
        <v>2,2,2</v>
      </c>
    </row>
    <row r="2136" spans="2:12">
      <c r="B2136" s="17">
        <v>2435</v>
      </c>
      <c r="C2136" s="17">
        <v>2</v>
      </c>
      <c r="D2136" s="17">
        <f t="shared" si="101"/>
        <v>0</v>
      </c>
      <c r="E2136" s="17">
        <f t="shared" si="100"/>
        <v>1859</v>
      </c>
      <c r="F2136" s="17" t="s">
        <v>4813</v>
      </c>
      <c r="G2136" s="17">
        <f>MATCH(E2136,Arenas!$F$8:$F$15)</f>
        <v>6</v>
      </c>
      <c r="H2136" s="29" t="s">
        <v>3506</v>
      </c>
      <c r="I2136" s="33" t="s">
        <v>8992</v>
      </c>
      <c r="J2136" s="47" t="s">
        <v>8993</v>
      </c>
      <c r="K2136" s="61" t="s">
        <v>4779</v>
      </c>
      <c r="L2136" s="12" t="str">
        <f t="shared" si="99"/>
        <v>2,2,2</v>
      </c>
    </row>
    <row r="2137" spans="2:12">
      <c r="B2137" s="17">
        <v>2436</v>
      </c>
      <c r="C2137" s="17">
        <v>2</v>
      </c>
      <c r="D2137" s="17">
        <f t="shared" si="101"/>
        <v>0</v>
      </c>
      <c r="E2137" s="17">
        <f t="shared" si="100"/>
        <v>1859</v>
      </c>
      <c r="F2137" s="17" t="s">
        <v>4813</v>
      </c>
      <c r="G2137" s="17">
        <f>MATCH(E2137,Arenas!$F$8:$F$15)</f>
        <v>6</v>
      </c>
      <c r="H2137" s="29" t="s">
        <v>3507</v>
      </c>
      <c r="I2137" s="33" t="s">
        <v>8994</v>
      </c>
      <c r="J2137" s="47" t="s">
        <v>5001</v>
      </c>
      <c r="K2137" s="61" t="s">
        <v>4779</v>
      </c>
      <c r="L2137" s="12" t="str">
        <f t="shared" si="99"/>
        <v>2,2,2</v>
      </c>
    </row>
    <row r="2138" spans="2:12">
      <c r="B2138" s="17">
        <v>2437</v>
      </c>
      <c r="C2138" s="17">
        <v>2</v>
      </c>
      <c r="D2138" s="17">
        <f t="shared" si="101"/>
        <v>1</v>
      </c>
      <c r="E2138" s="17">
        <f t="shared" si="100"/>
        <v>1860</v>
      </c>
      <c r="F2138" s="17" t="s">
        <v>4813</v>
      </c>
      <c r="G2138" s="17">
        <f>MATCH(E2138,Arenas!$F$8:$F$15)</f>
        <v>6</v>
      </c>
      <c r="H2138" s="29" t="s">
        <v>3508</v>
      </c>
      <c r="I2138" s="33" t="s">
        <v>8995</v>
      </c>
      <c r="J2138" s="47" t="s">
        <v>8996</v>
      </c>
      <c r="K2138" s="61" t="s">
        <v>4779</v>
      </c>
      <c r="L2138" s="12" t="str">
        <f t="shared" si="99"/>
        <v>2,2,2</v>
      </c>
    </row>
    <row r="2139" spans="2:12">
      <c r="B2139" s="17">
        <v>2438</v>
      </c>
      <c r="C2139" s="17">
        <v>2</v>
      </c>
      <c r="D2139" s="17">
        <f t="shared" si="101"/>
        <v>0</v>
      </c>
      <c r="E2139" s="17">
        <f t="shared" si="100"/>
        <v>1860</v>
      </c>
      <c r="F2139" s="17" t="s">
        <v>4813</v>
      </c>
      <c r="G2139" s="17">
        <f>MATCH(E2139,Arenas!$F$8:$F$15)</f>
        <v>6</v>
      </c>
      <c r="H2139" s="29" t="s">
        <v>3509</v>
      </c>
      <c r="I2139" s="33" t="s">
        <v>8997</v>
      </c>
      <c r="J2139" s="47" t="s">
        <v>8998</v>
      </c>
      <c r="K2139" s="61" t="s">
        <v>4779</v>
      </c>
      <c r="L2139" s="12" t="str">
        <f t="shared" si="99"/>
        <v>2,2,2</v>
      </c>
    </row>
    <row r="2140" spans="2:12">
      <c r="B2140" s="17">
        <v>2439</v>
      </c>
      <c r="C2140" s="17">
        <v>2</v>
      </c>
      <c r="D2140" s="17">
        <f t="shared" si="101"/>
        <v>0</v>
      </c>
      <c r="E2140" s="17">
        <f t="shared" si="100"/>
        <v>1860</v>
      </c>
      <c r="F2140" s="17" t="s">
        <v>4813</v>
      </c>
      <c r="G2140" s="17">
        <f>MATCH(E2140,Arenas!$F$8:$F$15)</f>
        <v>6</v>
      </c>
      <c r="H2140" s="29" t="s">
        <v>3510</v>
      </c>
      <c r="I2140" s="33" t="s">
        <v>8999</v>
      </c>
      <c r="J2140" s="47" t="s">
        <v>9000</v>
      </c>
      <c r="K2140" s="61" t="s">
        <v>4779</v>
      </c>
      <c r="L2140" s="12" t="str">
        <f t="shared" si="99"/>
        <v>2,2,2</v>
      </c>
    </row>
    <row r="2141" spans="2:12">
      <c r="B2141" s="17">
        <v>2440</v>
      </c>
      <c r="C2141" s="17">
        <v>2</v>
      </c>
      <c r="D2141" s="17">
        <f t="shared" si="101"/>
        <v>1</v>
      </c>
      <c r="E2141" s="17">
        <f t="shared" si="100"/>
        <v>1861</v>
      </c>
      <c r="F2141" s="17" t="s">
        <v>4813</v>
      </c>
      <c r="G2141" s="17">
        <f>MATCH(E2141,Arenas!$F$8:$F$15)</f>
        <v>6</v>
      </c>
      <c r="H2141" s="29" t="s">
        <v>3511</v>
      </c>
      <c r="I2141" s="33" t="s">
        <v>9001</v>
      </c>
      <c r="J2141" s="47" t="s">
        <v>9002</v>
      </c>
      <c r="K2141" s="61" t="s">
        <v>4779</v>
      </c>
      <c r="L2141" s="12" t="str">
        <f t="shared" si="99"/>
        <v>2,2,2</v>
      </c>
    </row>
    <row r="2142" spans="2:12">
      <c r="B2142" s="17">
        <v>2441</v>
      </c>
      <c r="C2142" s="17">
        <v>2</v>
      </c>
      <c r="D2142" s="17">
        <f t="shared" si="101"/>
        <v>0</v>
      </c>
      <c r="E2142" s="17">
        <f t="shared" si="100"/>
        <v>1861</v>
      </c>
      <c r="F2142" s="17" t="s">
        <v>4813</v>
      </c>
      <c r="G2142" s="17">
        <f>MATCH(E2142,Arenas!$F$8:$F$15)</f>
        <v>6</v>
      </c>
      <c r="H2142" s="29" t="s">
        <v>3512</v>
      </c>
      <c r="I2142" s="33" t="s">
        <v>9003</v>
      </c>
      <c r="J2142" s="47" t="s">
        <v>9004</v>
      </c>
      <c r="K2142" s="61" t="s">
        <v>4779</v>
      </c>
      <c r="L2142" s="12" t="str">
        <f t="shared" si="99"/>
        <v>2,2,2</v>
      </c>
    </row>
    <row r="2143" spans="2:12">
      <c r="B2143" s="17">
        <v>2442</v>
      </c>
      <c r="C2143" s="17">
        <v>2</v>
      </c>
      <c r="D2143" s="17">
        <f t="shared" si="101"/>
        <v>0</v>
      </c>
      <c r="E2143" s="17">
        <f t="shared" si="100"/>
        <v>1861</v>
      </c>
      <c r="F2143" s="17" t="s">
        <v>4813</v>
      </c>
      <c r="G2143" s="17">
        <f>MATCH(E2143,Arenas!$F$8:$F$15)</f>
        <v>6</v>
      </c>
      <c r="H2143" s="29" t="s">
        <v>3513</v>
      </c>
      <c r="I2143" s="33" t="s">
        <v>9005</v>
      </c>
      <c r="J2143" s="47" t="s">
        <v>9006</v>
      </c>
      <c r="K2143" s="61" t="s">
        <v>4779</v>
      </c>
      <c r="L2143" s="12" t="str">
        <f t="shared" si="99"/>
        <v>2,2,2</v>
      </c>
    </row>
    <row r="2144" spans="2:12">
      <c r="B2144" s="17">
        <v>2443</v>
      </c>
      <c r="C2144" s="17">
        <v>2</v>
      </c>
      <c r="D2144" s="17">
        <f t="shared" si="101"/>
        <v>1</v>
      </c>
      <c r="E2144" s="17">
        <f t="shared" si="100"/>
        <v>1862</v>
      </c>
      <c r="F2144" s="17" t="s">
        <v>4813</v>
      </c>
      <c r="G2144" s="17">
        <f>MATCH(E2144,Arenas!$F$8:$F$15)</f>
        <v>6</v>
      </c>
      <c r="H2144" s="29" t="s">
        <v>3514</v>
      </c>
      <c r="I2144" s="33" t="s">
        <v>9007</v>
      </c>
      <c r="J2144" s="47" t="s">
        <v>9008</v>
      </c>
      <c r="K2144" s="61" t="s">
        <v>4808</v>
      </c>
      <c r="L2144" s="12" t="str">
        <f t="shared" si="99"/>
        <v>2,2,2</v>
      </c>
    </row>
    <row r="2145" spans="2:12">
      <c r="B2145" s="17">
        <v>2444</v>
      </c>
      <c r="C2145" s="17">
        <v>2</v>
      </c>
      <c r="D2145" s="17">
        <f t="shared" si="101"/>
        <v>0</v>
      </c>
      <c r="E2145" s="17">
        <f t="shared" si="100"/>
        <v>1862</v>
      </c>
      <c r="F2145" s="17" t="s">
        <v>4813</v>
      </c>
      <c r="G2145" s="17">
        <f>MATCH(E2145,Arenas!$F$8:$F$15)</f>
        <v>6</v>
      </c>
      <c r="H2145" s="29" t="s">
        <v>3515</v>
      </c>
      <c r="I2145" s="33" t="s">
        <v>9009</v>
      </c>
      <c r="J2145" s="47" t="s">
        <v>9010</v>
      </c>
      <c r="K2145" s="61" t="s">
        <v>4779</v>
      </c>
      <c r="L2145" s="12" t="str">
        <f t="shared" si="99"/>
        <v>2,2,2</v>
      </c>
    </row>
    <row r="2146" spans="2:12">
      <c r="B2146" s="17">
        <v>2445</v>
      </c>
      <c r="C2146" s="17">
        <v>2</v>
      </c>
      <c r="D2146" s="17">
        <f t="shared" si="101"/>
        <v>0</v>
      </c>
      <c r="E2146" s="17">
        <f t="shared" si="100"/>
        <v>1862</v>
      </c>
      <c r="F2146" s="17" t="s">
        <v>4813</v>
      </c>
      <c r="G2146" s="17">
        <f>MATCH(E2146,Arenas!$F$8:$F$15)</f>
        <v>6</v>
      </c>
      <c r="H2146" s="29" t="s">
        <v>3516</v>
      </c>
      <c r="I2146" s="33" t="s">
        <v>9011</v>
      </c>
      <c r="J2146" s="47" t="s">
        <v>8609</v>
      </c>
      <c r="K2146" s="61" t="s">
        <v>4779</v>
      </c>
      <c r="L2146" s="12" t="str">
        <f t="shared" si="99"/>
        <v>2,2,2</v>
      </c>
    </row>
    <row r="2147" spans="2:12">
      <c r="B2147" s="17">
        <v>2446</v>
      </c>
      <c r="C2147" s="17">
        <v>2</v>
      </c>
      <c r="D2147" s="17">
        <f t="shared" si="101"/>
        <v>1</v>
      </c>
      <c r="E2147" s="17">
        <f t="shared" si="100"/>
        <v>1863</v>
      </c>
      <c r="F2147" s="17" t="s">
        <v>4813</v>
      </c>
      <c r="G2147" s="17">
        <f>MATCH(E2147,Arenas!$F$8:$F$15)</f>
        <v>6</v>
      </c>
      <c r="H2147" s="29" t="s">
        <v>3517</v>
      </c>
      <c r="I2147" s="33" t="s">
        <v>9012</v>
      </c>
      <c r="J2147" s="47" t="s">
        <v>9013</v>
      </c>
      <c r="K2147" s="61" t="s">
        <v>4779</v>
      </c>
      <c r="L2147" s="12" t="str">
        <f t="shared" si="99"/>
        <v>2,2,2</v>
      </c>
    </row>
    <row r="2148" spans="2:12">
      <c r="B2148" s="17">
        <v>2447</v>
      </c>
      <c r="C2148" s="17">
        <v>2</v>
      </c>
      <c r="D2148" s="17">
        <f t="shared" si="101"/>
        <v>0</v>
      </c>
      <c r="E2148" s="17">
        <f t="shared" si="100"/>
        <v>1863</v>
      </c>
      <c r="F2148" s="17" t="s">
        <v>4813</v>
      </c>
      <c r="G2148" s="17">
        <f>MATCH(E2148,Arenas!$F$8:$F$15)</f>
        <v>6</v>
      </c>
      <c r="H2148" s="29" t="s">
        <v>3518</v>
      </c>
      <c r="I2148" s="33" t="s">
        <v>9014</v>
      </c>
      <c r="J2148" s="47" t="s">
        <v>9015</v>
      </c>
      <c r="K2148" s="61" t="s">
        <v>4779</v>
      </c>
      <c r="L2148" s="12" t="str">
        <f t="shared" si="99"/>
        <v>2,2,2</v>
      </c>
    </row>
    <row r="2149" spans="2:12">
      <c r="B2149" s="17">
        <v>2448</v>
      </c>
      <c r="C2149" s="17">
        <v>2</v>
      </c>
      <c r="D2149" s="17">
        <f t="shared" si="101"/>
        <v>0</v>
      </c>
      <c r="E2149" s="17">
        <f t="shared" si="100"/>
        <v>1863</v>
      </c>
      <c r="F2149" s="17" t="s">
        <v>4813</v>
      </c>
      <c r="G2149" s="17">
        <f>MATCH(E2149,Arenas!$F$8:$F$15)</f>
        <v>6</v>
      </c>
      <c r="H2149" s="29" t="s">
        <v>3519</v>
      </c>
      <c r="I2149" s="33" t="s">
        <v>9016</v>
      </c>
      <c r="J2149" s="47" t="s">
        <v>9017</v>
      </c>
      <c r="K2149" s="61" t="s">
        <v>4779</v>
      </c>
      <c r="L2149" s="12" t="str">
        <f t="shared" si="99"/>
        <v>2,2,2</v>
      </c>
    </row>
    <row r="2150" spans="2:12">
      <c r="B2150" s="17">
        <v>2449</v>
      </c>
      <c r="C2150" s="17">
        <v>2</v>
      </c>
      <c r="D2150" s="17">
        <f t="shared" si="101"/>
        <v>1</v>
      </c>
      <c r="E2150" s="17">
        <f t="shared" si="100"/>
        <v>1864</v>
      </c>
      <c r="F2150" s="17" t="s">
        <v>4813</v>
      </c>
      <c r="G2150" s="17">
        <f>MATCH(E2150,Arenas!$F$8:$F$15)</f>
        <v>6</v>
      </c>
      <c r="H2150" s="29" t="s">
        <v>3520</v>
      </c>
      <c r="I2150" s="33" t="s">
        <v>9018</v>
      </c>
      <c r="J2150" s="47" t="s">
        <v>9019</v>
      </c>
      <c r="K2150" s="61" t="s">
        <v>4779</v>
      </c>
      <c r="L2150" s="12" t="str">
        <f t="shared" si="99"/>
        <v>2,2,2</v>
      </c>
    </row>
    <row r="2151" spans="2:12">
      <c r="B2151" s="17">
        <v>2450</v>
      </c>
      <c r="C2151" s="17">
        <v>2</v>
      </c>
      <c r="D2151" s="17">
        <f t="shared" si="101"/>
        <v>0</v>
      </c>
      <c r="E2151" s="17">
        <f t="shared" si="100"/>
        <v>1864</v>
      </c>
      <c r="F2151" s="17" t="s">
        <v>4813</v>
      </c>
      <c r="G2151" s="17">
        <f>MATCH(E2151,Arenas!$F$8:$F$15)</f>
        <v>6</v>
      </c>
      <c r="H2151" s="29" t="s">
        <v>3521</v>
      </c>
      <c r="I2151" s="33" t="s">
        <v>9020</v>
      </c>
      <c r="J2151" s="47" t="s">
        <v>9021</v>
      </c>
      <c r="K2151" s="61" t="s">
        <v>4779</v>
      </c>
      <c r="L2151" s="12" t="str">
        <f t="shared" si="99"/>
        <v>2,2,2</v>
      </c>
    </row>
    <row r="2152" spans="2:12">
      <c r="B2152" s="17">
        <v>2451</v>
      </c>
      <c r="C2152" s="17">
        <v>2</v>
      </c>
      <c r="D2152" s="17">
        <f t="shared" si="101"/>
        <v>0</v>
      </c>
      <c r="E2152" s="17">
        <f t="shared" si="100"/>
        <v>1864</v>
      </c>
      <c r="F2152" s="17" t="s">
        <v>4813</v>
      </c>
      <c r="G2152" s="17">
        <f>MATCH(E2152,Arenas!$F$8:$F$15)</f>
        <v>6</v>
      </c>
      <c r="H2152" s="29" t="s">
        <v>3522</v>
      </c>
      <c r="I2152" s="33" t="s">
        <v>9022</v>
      </c>
      <c r="J2152" s="47" t="s">
        <v>9023</v>
      </c>
      <c r="K2152" s="61" t="s">
        <v>4779</v>
      </c>
      <c r="L2152" s="12" t="str">
        <f t="shared" si="99"/>
        <v>2,2,2</v>
      </c>
    </row>
    <row r="2153" spans="2:12">
      <c r="B2153" s="17">
        <v>2452</v>
      </c>
      <c r="C2153" s="17">
        <v>2</v>
      </c>
      <c r="D2153" s="17">
        <f t="shared" si="101"/>
        <v>1</v>
      </c>
      <c r="E2153" s="17">
        <f t="shared" si="100"/>
        <v>1865</v>
      </c>
      <c r="F2153" s="17" t="s">
        <v>4813</v>
      </c>
      <c r="G2153" s="17">
        <f>MATCH(E2153,Arenas!$F$8:$F$15)</f>
        <v>6</v>
      </c>
      <c r="H2153" s="29" t="s">
        <v>3523</v>
      </c>
      <c r="I2153" s="33" t="s">
        <v>9024</v>
      </c>
      <c r="J2153" s="47" t="s">
        <v>9025</v>
      </c>
      <c r="K2153" s="61" t="s">
        <v>4779</v>
      </c>
      <c r="L2153" s="12" t="str">
        <f t="shared" si="99"/>
        <v>2,2,2</v>
      </c>
    </row>
    <row r="2154" spans="2:12">
      <c r="B2154" s="17">
        <v>2453</v>
      </c>
      <c r="C2154" s="17">
        <v>2</v>
      </c>
      <c r="D2154" s="17">
        <f t="shared" si="101"/>
        <v>0</v>
      </c>
      <c r="E2154" s="17">
        <f t="shared" si="100"/>
        <v>1865</v>
      </c>
      <c r="F2154" s="17" t="s">
        <v>4813</v>
      </c>
      <c r="G2154" s="17">
        <f>MATCH(E2154,Arenas!$F$8:$F$15)</f>
        <v>6</v>
      </c>
      <c r="H2154" s="29" t="s">
        <v>3524</v>
      </c>
      <c r="I2154" s="33" t="s">
        <v>9026</v>
      </c>
      <c r="J2154" s="47" t="s">
        <v>5545</v>
      </c>
      <c r="K2154" s="61" t="s">
        <v>4779</v>
      </c>
      <c r="L2154" s="12" t="str">
        <f t="shared" si="99"/>
        <v>2,2,2</v>
      </c>
    </row>
    <row r="2155" spans="2:12">
      <c r="B2155" s="17">
        <v>2454</v>
      </c>
      <c r="C2155" s="17">
        <v>2</v>
      </c>
      <c r="D2155" s="17">
        <f t="shared" si="101"/>
        <v>0</v>
      </c>
      <c r="E2155" s="17">
        <f t="shared" si="100"/>
        <v>1865</v>
      </c>
      <c r="F2155" s="17" t="s">
        <v>4813</v>
      </c>
      <c r="G2155" s="17">
        <f>MATCH(E2155,Arenas!$F$8:$F$15)</f>
        <v>6</v>
      </c>
      <c r="H2155" s="29" t="s">
        <v>3525</v>
      </c>
      <c r="I2155" s="33" t="s">
        <v>9027</v>
      </c>
      <c r="J2155" s="47" t="s">
        <v>9028</v>
      </c>
      <c r="K2155" s="61" t="s">
        <v>4779</v>
      </c>
      <c r="L2155" s="12" t="str">
        <f t="shared" si="99"/>
        <v>2,2,2</v>
      </c>
    </row>
    <row r="2156" spans="2:12">
      <c r="B2156" s="17">
        <v>2455</v>
      </c>
      <c r="C2156" s="17">
        <v>2</v>
      </c>
      <c r="D2156" s="17">
        <f t="shared" si="101"/>
        <v>1</v>
      </c>
      <c r="E2156" s="17">
        <f t="shared" si="100"/>
        <v>1866</v>
      </c>
      <c r="F2156" s="17" t="s">
        <v>4813</v>
      </c>
      <c r="G2156" s="17">
        <f>MATCH(E2156,Arenas!$F$8:$F$15)</f>
        <v>6</v>
      </c>
      <c r="H2156" s="29" t="s">
        <v>3526</v>
      </c>
      <c r="I2156" s="33" t="s">
        <v>9029</v>
      </c>
      <c r="J2156" s="47" t="s">
        <v>9030</v>
      </c>
      <c r="K2156" s="61" t="s">
        <v>4779</v>
      </c>
      <c r="L2156" s="12" t="str">
        <f t="shared" si="99"/>
        <v>2,2,2</v>
      </c>
    </row>
    <row r="2157" spans="2:12">
      <c r="B2157" s="17">
        <v>2456</v>
      </c>
      <c r="C2157" s="17">
        <v>2</v>
      </c>
      <c r="D2157" s="17">
        <f t="shared" si="101"/>
        <v>0</v>
      </c>
      <c r="E2157" s="17">
        <f t="shared" si="100"/>
        <v>1866</v>
      </c>
      <c r="F2157" s="17" t="s">
        <v>4813</v>
      </c>
      <c r="G2157" s="17">
        <f>MATCH(E2157,Arenas!$F$8:$F$15)</f>
        <v>6</v>
      </c>
      <c r="H2157" s="29" t="s">
        <v>3527</v>
      </c>
      <c r="I2157" s="33" t="s">
        <v>9031</v>
      </c>
      <c r="J2157" s="47" t="s">
        <v>9032</v>
      </c>
      <c r="K2157" s="61" t="s">
        <v>4779</v>
      </c>
      <c r="L2157" s="12" t="str">
        <f t="shared" si="99"/>
        <v>2,2,2</v>
      </c>
    </row>
    <row r="2158" spans="2:12">
      <c r="B2158" s="17">
        <v>2457</v>
      </c>
      <c r="C2158" s="17">
        <v>2</v>
      </c>
      <c r="D2158" s="17">
        <f t="shared" si="101"/>
        <v>0</v>
      </c>
      <c r="E2158" s="17">
        <f t="shared" si="100"/>
        <v>1866</v>
      </c>
      <c r="F2158" s="17" t="s">
        <v>4813</v>
      </c>
      <c r="G2158" s="17">
        <f>MATCH(E2158,Arenas!$F$8:$F$15)</f>
        <v>6</v>
      </c>
      <c r="H2158" s="29" t="s">
        <v>3528</v>
      </c>
      <c r="I2158" s="33" t="s">
        <v>9033</v>
      </c>
      <c r="J2158" s="47" t="s">
        <v>5898</v>
      </c>
      <c r="K2158" s="61" t="s">
        <v>4779</v>
      </c>
      <c r="L2158" s="12" t="str">
        <f t="shared" si="99"/>
        <v>2,2,2</v>
      </c>
    </row>
    <row r="2159" spans="2:12">
      <c r="B2159" s="17">
        <v>2458</v>
      </c>
      <c r="C2159" s="17">
        <v>2</v>
      </c>
      <c r="D2159" s="17">
        <f t="shared" si="101"/>
        <v>1</v>
      </c>
      <c r="E2159" s="17">
        <f t="shared" si="100"/>
        <v>1867</v>
      </c>
      <c r="F2159" s="17" t="s">
        <v>4813</v>
      </c>
      <c r="G2159" s="17">
        <f>MATCH(E2159,Arenas!$F$8:$F$15)</f>
        <v>6</v>
      </c>
      <c r="H2159" s="29" t="s">
        <v>3529</v>
      </c>
      <c r="I2159" s="33" t="s">
        <v>9034</v>
      </c>
      <c r="J2159" s="47" t="s">
        <v>9035</v>
      </c>
      <c r="K2159" s="61" t="s">
        <v>4779</v>
      </c>
      <c r="L2159" s="12" t="str">
        <f t="shared" si="99"/>
        <v>2,2,2</v>
      </c>
    </row>
    <row r="2160" spans="2:12">
      <c r="B2160" s="17">
        <v>2459</v>
      </c>
      <c r="C2160" s="17">
        <v>2</v>
      </c>
      <c r="D2160" s="17">
        <f t="shared" si="101"/>
        <v>0</v>
      </c>
      <c r="E2160" s="17">
        <f t="shared" si="100"/>
        <v>1867</v>
      </c>
      <c r="F2160" s="17" t="s">
        <v>4813</v>
      </c>
      <c r="G2160" s="17">
        <f>MATCH(E2160,Arenas!$F$8:$F$15)</f>
        <v>6</v>
      </c>
      <c r="H2160" s="29" t="s">
        <v>3530</v>
      </c>
      <c r="I2160" s="33" t="s">
        <v>9036</v>
      </c>
      <c r="J2160" s="47" t="s">
        <v>9037</v>
      </c>
      <c r="K2160" s="61" t="s">
        <v>4779</v>
      </c>
      <c r="L2160" s="12" t="str">
        <f t="shared" si="99"/>
        <v>2,2,2</v>
      </c>
    </row>
    <row r="2161" spans="2:12">
      <c r="B2161" s="17">
        <v>2460</v>
      </c>
      <c r="C2161" s="17">
        <v>2</v>
      </c>
      <c r="D2161" s="17">
        <f t="shared" si="101"/>
        <v>0</v>
      </c>
      <c r="E2161" s="17">
        <f t="shared" si="100"/>
        <v>1867</v>
      </c>
      <c r="F2161" s="17" t="s">
        <v>4813</v>
      </c>
      <c r="G2161" s="17">
        <f>MATCH(E2161,Arenas!$F$8:$F$15)</f>
        <v>6</v>
      </c>
      <c r="H2161" s="29" t="s">
        <v>3531</v>
      </c>
      <c r="I2161" s="33" t="s">
        <v>9038</v>
      </c>
      <c r="J2161" s="47" t="s">
        <v>9039</v>
      </c>
      <c r="K2161" s="61" t="s">
        <v>4779</v>
      </c>
      <c r="L2161" s="12" t="str">
        <f t="shared" si="99"/>
        <v>2,2,2</v>
      </c>
    </row>
    <row r="2162" spans="2:12">
      <c r="B2162" s="17">
        <v>2461</v>
      </c>
      <c r="C2162" s="17">
        <v>2</v>
      </c>
      <c r="D2162" s="17">
        <f t="shared" si="101"/>
        <v>1</v>
      </c>
      <c r="E2162" s="17">
        <f t="shared" si="100"/>
        <v>1868</v>
      </c>
      <c r="F2162" s="17" t="s">
        <v>4813</v>
      </c>
      <c r="G2162" s="17">
        <f>MATCH(E2162,Arenas!$F$8:$F$15)</f>
        <v>6</v>
      </c>
      <c r="H2162" s="29" t="s">
        <v>3532</v>
      </c>
      <c r="I2162" s="33" t="s">
        <v>9040</v>
      </c>
      <c r="J2162" s="47" t="s">
        <v>9041</v>
      </c>
      <c r="K2162" s="61" t="s">
        <v>4806</v>
      </c>
      <c r="L2162" s="12" t="str">
        <f t="shared" si="99"/>
        <v>2,2,2</v>
      </c>
    </row>
    <row r="2163" spans="2:12">
      <c r="B2163" s="17">
        <v>2462</v>
      </c>
      <c r="C2163" s="17">
        <v>2</v>
      </c>
      <c r="D2163" s="17">
        <f t="shared" si="101"/>
        <v>0</v>
      </c>
      <c r="E2163" s="17">
        <f t="shared" si="100"/>
        <v>1868</v>
      </c>
      <c r="F2163" s="17" t="s">
        <v>4813</v>
      </c>
      <c r="G2163" s="17">
        <f>MATCH(E2163,Arenas!$F$8:$F$15)</f>
        <v>6</v>
      </c>
      <c r="H2163" s="29" t="s">
        <v>3533</v>
      </c>
      <c r="I2163" s="33" t="s">
        <v>9042</v>
      </c>
      <c r="J2163" s="47" t="s">
        <v>9043</v>
      </c>
      <c r="K2163" s="61" t="s">
        <v>4779</v>
      </c>
      <c r="L2163" s="12" t="str">
        <f t="shared" si="99"/>
        <v>2,2,2</v>
      </c>
    </row>
    <row r="2164" spans="2:12">
      <c r="B2164" s="17">
        <v>2463</v>
      </c>
      <c r="C2164" s="17">
        <v>2</v>
      </c>
      <c r="D2164" s="17">
        <f t="shared" si="101"/>
        <v>0</v>
      </c>
      <c r="E2164" s="17">
        <f t="shared" si="100"/>
        <v>1868</v>
      </c>
      <c r="F2164" s="17" t="s">
        <v>4813</v>
      </c>
      <c r="G2164" s="17">
        <f>MATCH(E2164,Arenas!$F$8:$F$15)</f>
        <v>6</v>
      </c>
      <c r="H2164" s="29" t="s">
        <v>3534</v>
      </c>
      <c r="I2164" s="33" t="s">
        <v>9044</v>
      </c>
      <c r="J2164" s="47" t="s">
        <v>9045</v>
      </c>
      <c r="K2164" s="61" t="s">
        <v>4779</v>
      </c>
      <c r="L2164" s="12" t="str">
        <f t="shared" si="99"/>
        <v>2,2,2</v>
      </c>
    </row>
    <row r="2165" spans="2:12">
      <c r="B2165" s="17">
        <v>2464</v>
      </c>
      <c r="C2165" s="17">
        <v>2</v>
      </c>
      <c r="D2165" s="17">
        <f t="shared" si="101"/>
        <v>1</v>
      </c>
      <c r="E2165" s="17">
        <f t="shared" si="100"/>
        <v>1869</v>
      </c>
      <c r="F2165" s="17" t="s">
        <v>4813</v>
      </c>
      <c r="G2165" s="17">
        <f>MATCH(E2165,Arenas!$F$8:$F$15)</f>
        <v>6</v>
      </c>
      <c r="H2165" s="29" t="s">
        <v>3535</v>
      </c>
      <c r="I2165" s="33" t="s">
        <v>9046</v>
      </c>
      <c r="J2165" s="47" t="s">
        <v>9047</v>
      </c>
      <c r="K2165" s="61" t="s">
        <v>4779</v>
      </c>
      <c r="L2165" s="12" t="str">
        <f t="shared" si="99"/>
        <v>2,2,2</v>
      </c>
    </row>
    <row r="2166" spans="2:12">
      <c r="B2166" s="17">
        <v>2465</v>
      </c>
      <c r="C2166" s="17">
        <v>2</v>
      </c>
      <c r="D2166" s="17">
        <f t="shared" si="101"/>
        <v>0</v>
      </c>
      <c r="E2166" s="17">
        <f t="shared" si="100"/>
        <v>1869</v>
      </c>
      <c r="F2166" s="17" t="s">
        <v>4813</v>
      </c>
      <c r="G2166" s="17">
        <f>MATCH(E2166,Arenas!$F$8:$F$15)</f>
        <v>6</v>
      </c>
      <c r="H2166" s="29" t="s">
        <v>3536</v>
      </c>
      <c r="I2166" s="33" t="s">
        <v>9048</v>
      </c>
      <c r="J2166" s="47" t="s">
        <v>9049</v>
      </c>
      <c r="K2166" s="61" t="s">
        <v>4779</v>
      </c>
      <c r="L2166" s="12" t="str">
        <f t="shared" si="99"/>
        <v>2,2,2</v>
      </c>
    </row>
    <row r="2167" spans="2:12">
      <c r="B2167" s="17">
        <v>2466</v>
      </c>
      <c r="C2167" s="17">
        <v>2</v>
      </c>
      <c r="D2167" s="17">
        <f t="shared" si="101"/>
        <v>0</v>
      </c>
      <c r="E2167" s="17">
        <f t="shared" si="100"/>
        <v>1869</v>
      </c>
      <c r="F2167" s="17" t="s">
        <v>4813</v>
      </c>
      <c r="G2167" s="17">
        <f>MATCH(E2167,Arenas!$F$8:$F$15)</f>
        <v>6</v>
      </c>
      <c r="H2167" s="29" t="s">
        <v>3537</v>
      </c>
      <c r="I2167" s="33" t="s">
        <v>9050</v>
      </c>
      <c r="J2167" s="47" t="s">
        <v>9051</v>
      </c>
      <c r="K2167" s="61" t="s">
        <v>4809</v>
      </c>
      <c r="L2167" s="12" t="str">
        <f t="shared" si="99"/>
        <v>2,2,2</v>
      </c>
    </row>
    <row r="2168" spans="2:12">
      <c r="B2168" s="17">
        <v>2467</v>
      </c>
      <c r="C2168" s="17">
        <v>2</v>
      </c>
      <c r="D2168" s="17">
        <f t="shared" si="101"/>
        <v>1</v>
      </c>
      <c r="E2168" s="17">
        <f t="shared" si="100"/>
        <v>1870</v>
      </c>
      <c r="F2168" s="17" t="s">
        <v>4813</v>
      </c>
      <c r="G2168" s="17">
        <f>MATCH(E2168,Arenas!$F$8:$F$15)</f>
        <v>6</v>
      </c>
      <c r="H2168" s="29" t="s">
        <v>3538</v>
      </c>
      <c r="I2168" s="33" t="s">
        <v>9052</v>
      </c>
      <c r="J2168" s="47" t="s">
        <v>9053</v>
      </c>
      <c r="K2168" s="61" t="s">
        <v>4779</v>
      </c>
      <c r="L2168" s="12" t="str">
        <f t="shared" si="99"/>
        <v>2,2,2</v>
      </c>
    </row>
    <row r="2169" spans="2:12">
      <c r="B2169" s="17">
        <v>2468</v>
      </c>
      <c r="C2169" s="17">
        <v>2</v>
      </c>
      <c r="D2169" s="17">
        <f t="shared" si="101"/>
        <v>0</v>
      </c>
      <c r="E2169" s="17">
        <f t="shared" si="100"/>
        <v>1870</v>
      </c>
      <c r="F2169" s="17" t="s">
        <v>4813</v>
      </c>
      <c r="G2169" s="17">
        <f>MATCH(E2169,Arenas!$F$8:$F$15)</f>
        <v>6</v>
      </c>
      <c r="H2169" s="29" t="s">
        <v>3539</v>
      </c>
      <c r="I2169" s="33" t="s">
        <v>9054</v>
      </c>
      <c r="J2169" s="47" t="s">
        <v>9055</v>
      </c>
      <c r="K2169" s="61" t="s">
        <v>4779</v>
      </c>
      <c r="L2169" s="12" t="str">
        <f t="shared" si="99"/>
        <v>2,2,2</v>
      </c>
    </row>
    <row r="2170" spans="2:12">
      <c r="B2170" s="17">
        <v>2469</v>
      </c>
      <c r="C2170" s="17">
        <v>2</v>
      </c>
      <c r="D2170" s="17">
        <f t="shared" si="101"/>
        <v>0</v>
      </c>
      <c r="E2170" s="17">
        <f t="shared" si="100"/>
        <v>1870</v>
      </c>
      <c r="F2170" s="17" t="s">
        <v>4813</v>
      </c>
      <c r="G2170" s="17">
        <f>MATCH(E2170,Arenas!$F$8:$F$15)</f>
        <v>6</v>
      </c>
      <c r="H2170" s="29" t="s">
        <v>3540</v>
      </c>
      <c r="I2170" s="33" t="s">
        <v>9056</v>
      </c>
      <c r="J2170" s="47" t="s">
        <v>9057</v>
      </c>
      <c r="K2170" s="61" t="s">
        <v>4809</v>
      </c>
      <c r="L2170" s="12" t="str">
        <f t="shared" si="99"/>
        <v>2,2,2</v>
      </c>
    </row>
    <row r="2171" spans="2:12">
      <c r="B2171" s="17">
        <v>2470</v>
      </c>
      <c r="C2171" s="17">
        <v>2</v>
      </c>
      <c r="D2171" s="17">
        <f t="shared" si="101"/>
        <v>1</v>
      </c>
      <c r="E2171" s="17">
        <f t="shared" si="100"/>
        <v>1871</v>
      </c>
      <c r="F2171" s="17" t="s">
        <v>4813</v>
      </c>
      <c r="G2171" s="17">
        <f>MATCH(E2171,Arenas!$F$8:$F$15)</f>
        <v>6</v>
      </c>
      <c r="H2171" s="29" t="s">
        <v>3541</v>
      </c>
      <c r="I2171" s="33" t="s">
        <v>9058</v>
      </c>
      <c r="J2171" s="47" t="s">
        <v>9059</v>
      </c>
      <c r="K2171" s="61" t="s">
        <v>4779</v>
      </c>
      <c r="L2171" s="12" t="str">
        <f t="shared" si="99"/>
        <v>2,2,2</v>
      </c>
    </row>
    <row r="2172" spans="2:12">
      <c r="B2172" s="17">
        <v>2471</v>
      </c>
      <c r="C2172" s="17">
        <v>2</v>
      </c>
      <c r="D2172" s="17">
        <f t="shared" si="101"/>
        <v>0</v>
      </c>
      <c r="E2172" s="17">
        <f t="shared" si="100"/>
        <v>1871</v>
      </c>
      <c r="F2172" s="17" t="s">
        <v>4813</v>
      </c>
      <c r="G2172" s="17">
        <f>MATCH(E2172,Arenas!$F$8:$F$15)</f>
        <v>6</v>
      </c>
      <c r="H2172" s="29" t="s">
        <v>3542</v>
      </c>
      <c r="I2172" s="33" t="s">
        <v>9060</v>
      </c>
      <c r="J2172" s="47" t="s">
        <v>9061</v>
      </c>
      <c r="K2172" s="61" t="s">
        <v>4779</v>
      </c>
      <c r="L2172" s="12" t="str">
        <f t="shared" si="99"/>
        <v>2,2,2</v>
      </c>
    </row>
    <row r="2173" spans="2:12">
      <c r="B2173" s="17">
        <v>2472</v>
      </c>
      <c r="C2173" s="17">
        <v>2</v>
      </c>
      <c r="D2173" s="17">
        <f t="shared" si="101"/>
        <v>0</v>
      </c>
      <c r="E2173" s="17">
        <f t="shared" si="100"/>
        <v>1871</v>
      </c>
      <c r="F2173" s="17" t="s">
        <v>4813</v>
      </c>
      <c r="G2173" s="17">
        <f>MATCH(E2173,Arenas!$F$8:$F$15)</f>
        <v>6</v>
      </c>
      <c r="H2173" s="29" t="s">
        <v>3543</v>
      </c>
      <c r="I2173" s="33" t="s">
        <v>9062</v>
      </c>
      <c r="J2173" s="47" t="s">
        <v>5778</v>
      </c>
      <c r="K2173" s="61" t="s">
        <v>4779</v>
      </c>
      <c r="L2173" s="12" t="str">
        <f t="shared" si="99"/>
        <v>2,2,2</v>
      </c>
    </row>
    <row r="2174" spans="2:12">
      <c r="B2174" s="17">
        <v>2473</v>
      </c>
      <c r="C2174" s="17">
        <v>2</v>
      </c>
      <c r="D2174" s="17">
        <f t="shared" si="101"/>
        <v>1</v>
      </c>
      <c r="E2174" s="17">
        <f t="shared" si="100"/>
        <v>1872</v>
      </c>
      <c r="F2174" s="17" t="s">
        <v>4813</v>
      </c>
      <c r="G2174" s="17">
        <f>MATCH(E2174,Arenas!$F$8:$F$15)</f>
        <v>6</v>
      </c>
      <c r="H2174" s="29" t="s">
        <v>3544</v>
      </c>
      <c r="I2174" s="33" t="s">
        <v>9063</v>
      </c>
      <c r="J2174" s="47" t="s">
        <v>9064</v>
      </c>
      <c r="K2174" s="61" t="s">
        <v>4779</v>
      </c>
      <c r="L2174" s="12" t="str">
        <f t="shared" si="99"/>
        <v>2,2,2</v>
      </c>
    </row>
    <row r="2175" spans="2:12">
      <c r="B2175" s="17">
        <v>2474</v>
      </c>
      <c r="C2175" s="17">
        <v>2</v>
      </c>
      <c r="D2175" s="17">
        <f t="shared" si="101"/>
        <v>0</v>
      </c>
      <c r="E2175" s="17">
        <f t="shared" si="100"/>
        <v>1872</v>
      </c>
      <c r="F2175" s="17" t="s">
        <v>4813</v>
      </c>
      <c r="G2175" s="17">
        <f>MATCH(E2175,Arenas!$F$8:$F$15)</f>
        <v>6</v>
      </c>
      <c r="H2175" s="29" t="s">
        <v>3545</v>
      </c>
      <c r="I2175" s="33" t="s">
        <v>9065</v>
      </c>
      <c r="J2175" s="47" t="s">
        <v>9066</v>
      </c>
      <c r="K2175" s="61" t="s">
        <v>4779</v>
      </c>
      <c r="L2175" s="12" t="str">
        <f t="shared" si="99"/>
        <v>2,2,2</v>
      </c>
    </row>
    <row r="2176" spans="2:12">
      <c r="B2176" s="17">
        <v>2475</v>
      </c>
      <c r="C2176" s="17">
        <v>2</v>
      </c>
      <c r="D2176" s="17">
        <f t="shared" si="101"/>
        <v>0</v>
      </c>
      <c r="E2176" s="17">
        <f t="shared" si="100"/>
        <v>1872</v>
      </c>
      <c r="F2176" s="17" t="s">
        <v>4813</v>
      </c>
      <c r="G2176" s="17">
        <f>MATCH(E2176,Arenas!$F$8:$F$15)</f>
        <v>6</v>
      </c>
      <c r="H2176" s="29" t="s">
        <v>3546</v>
      </c>
      <c r="I2176" s="33" t="s">
        <v>9067</v>
      </c>
      <c r="J2176" s="47" t="s">
        <v>9068</v>
      </c>
      <c r="K2176" s="61" t="s">
        <v>4779</v>
      </c>
      <c r="L2176" s="12" t="str">
        <f t="shared" si="99"/>
        <v>2,2,2</v>
      </c>
    </row>
    <row r="2177" spans="2:12">
      <c r="B2177" s="17">
        <v>2476</v>
      </c>
      <c r="C2177" s="17">
        <v>2</v>
      </c>
      <c r="D2177" s="17">
        <f t="shared" si="101"/>
        <v>1</v>
      </c>
      <c r="E2177" s="17">
        <f t="shared" si="100"/>
        <v>1873</v>
      </c>
      <c r="F2177" s="17" t="s">
        <v>4813</v>
      </c>
      <c r="G2177" s="17">
        <f>MATCH(E2177,Arenas!$F$8:$F$15)</f>
        <v>6</v>
      </c>
      <c r="H2177" s="29" t="s">
        <v>3547</v>
      </c>
      <c r="I2177" s="33" t="s">
        <v>9069</v>
      </c>
      <c r="J2177" s="47" t="s">
        <v>9070</v>
      </c>
      <c r="K2177" s="61" t="s">
        <v>4779</v>
      </c>
      <c r="L2177" s="12" t="str">
        <f t="shared" si="99"/>
        <v>2,2,2</v>
      </c>
    </row>
    <row r="2178" spans="2:12">
      <c r="B2178" s="17">
        <v>2477</v>
      </c>
      <c r="C2178" s="17">
        <v>2</v>
      </c>
      <c r="D2178" s="17">
        <f t="shared" si="101"/>
        <v>0</v>
      </c>
      <c r="E2178" s="17">
        <f t="shared" si="100"/>
        <v>1873</v>
      </c>
      <c r="F2178" s="17" t="s">
        <v>4813</v>
      </c>
      <c r="G2178" s="17">
        <f>MATCH(E2178,Arenas!$F$8:$F$15)</f>
        <v>6</v>
      </c>
      <c r="H2178" s="29" t="s">
        <v>3548</v>
      </c>
      <c r="I2178" s="33" t="s">
        <v>9071</v>
      </c>
      <c r="J2178" s="47" t="s">
        <v>9072</v>
      </c>
      <c r="K2178" s="61" t="s">
        <v>4779</v>
      </c>
      <c r="L2178" s="12" t="str">
        <f t="shared" ref="L2178:L2241" si="102">C2178&amp;","&amp;C2178&amp;","&amp;C2178</f>
        <v>2,2,2</v>
      </c>
    </row>
    <row r="2179" spans="2:12">
      <c r="B2179" s="17">
        <v>2478</v>
      </c>
      <c r="C2179" s="17">
        <v>2</v>
      </c>
      <c r="D2179" s="17">
        <f t="shared" si="101"/>
        <v>0</v>
      </c>
      <c r="E2179" s="17">
        <f t="shared" ref="E2179:E2242" si="103">D2179+E2178</f>
        <v>1873</v>
      </c>
      <c r="F2179" s="17" t="s">
        <v>4813</v>
      </c>
      <c r="G2179" s="17">
        <f>MATCH(E2179,Arenas!$F$8:$F$15)</f>
        <v>6</v>
      </c>
      <c r="H2179" s="29" t="s">
        <v>3549</v>
      </c>
      <c r="I2179" s="33" t="s">
        <v>9073</v>
      </c>
      <c r="J2179" s="47" t="s">
        <v>9074</v>
      </c>
      <c r="K2179" s="61" t="s">
        <v>4810</v>
      </c>
      <c r="L2179" s="12" t="str">
        <f t="shared" si="102"/>
        <v>2,2,2</v>
      </c>
    </row>
    <row r="2180" spans="2:12">
      <c r="B2180" s="17">
        <v>2479</v>
      </c>
      <c r="C2180" s="17">
        <v>2</v>
      </c>
      <c r="D2180" s="17">
        <f t="shared" si="101"/>
        <v>1</v>
      </c>
      <c r="E2180" s="17">
        <f t="shared" si="103"/>
        <v>1874</v>
      </c>
      <c r="F2180" s="17" t="s">
        <v>4813</v>
      </c>
      <c r="G2180" s="17">
        <f>MATCH(E2180,Arenas!$F$8:$F$15)</f>
        <v>6</v>
      </c>
      <c r="H2180" s="29" t="s">
        <v>3550</v>
      </c>
      <c r="I2180" s="33" t="s">
        <v>9075</v>
      </c>
      <c r="J2180" s="47" t="s">
        <v>5926</v>
      </c>
      <c r="K2180" s="61" t="s">
        <v>4779</v>
      </c>
      <c r="L2180" s="12" t="str">
        <f t="shared" si="102"/>
        <v>2,2,2</v>
      </c>
    </row>
    <row r="2181" spans="2:12">
      <c r="B2181" s="17">
        <v>2480</v>
      </c>
      <c r="C2181" s="17">
        <v>2</v>
      </c>
      <c r="D2181" s="17">
        <f t="shared" ref="D2181:D2244" si="104">D2178</f>
        <v>0</v>
      </c>
      <c r="E2181" s="17">
        <f t="shared" si="103"/>
        <v>1874</v>
      </c>
      <c r="F2181" s="17" t="s">
        <v>4813</v>
      </c>
      <c r="G2181" s="17">
        <f>MATCH(E2181,Arenas!$F$8:$F$15)</f>
        <v>6</v>
      </c>
      <c r="H2181" s="29" t="s">
        <v>3551</v>
      </c>
      <c r="I2181" s="33" t="s">
        <v>9076</v>
      </c>
      <c r="J2181" s="47" t="s">
        <v>9077</v>
      </c>
      <c r="K2181" s="61" t="s">
        <v>4779</v>
      </c>
      <c r="L2181" s="12" t="str">
        <f t="shared" si="102"/>
        <v>2,2,2</v>
      </c>
    </row>
    <row r="2182" spans="2:12">
      <c r="B2182" s="17">
        <v>2481</v>
      </c>
      <c r="C2182" s="17">
        <v>2</v>
      </c>
      <c r="D2182" s="17">
        <f t="shared" si="104"/>
        <v>0</v>
      </c>
      <c r="E2182" s="17">
        <f t="shared" si="103"/>
        <v>1874</v>
      </c>
      <c r="F2182" s="17" t="s">
        <v>4813</v>
      </c>
      <c r="G2182" s="17">
        <f>MATCH(E2182,Arenas!$F$8:$F$15)</f>
        <v>6</v>
      </c>
      <c r="H2182" s="29" t="s">
        <v>3552</v>
      </c>
      <c r="I2182" s="33" t="s">
        <v>9078</v>
      </c>
      <c r="J2182" s="47" t="s">
        <v>5099</v>
      </c>
      <c r="K2182" s="61" t="s">
        <v>4779</v>
      </c>
      <c r="L2182" s="12" t="str">
        <f t="shared" si="102"/>
        <v>2,2,2</v>
      </c>
    </row>
    <row r="2183" spans="2:12">
      <c r="B2183" s="17">
        <v>2482</v>
      </c>
      <c r="C2183" s="17">
        <v>2</v>
      </c>
      <c r="D2183" s="17">
        <f t="shared" si="104"/>
        <v>1</v>
      </c>
      <c r="E2183" s="17">
        <f t="shared" si="103"/>
        <v>1875</v>
      </c>
      <c r="F2183" s="17" t="s">
        <v>4813</v>
      </c>
      <c r="G2183" s="17">
        <f>MATCH(E2183,Arenas!$F$8:$F$15)</f>
        <v>6</v>
      </c>
      <c r="H2183" s="29" t="s">
        <v>3553</v>
      </c>
      <c r="I2183" s="33" t="s">
        <v>9079</v>
      </c>
      <c r="J2183" s="47" t="s">
        <v>9080</v>
      </c>
      <c r="K2183" s="61" t="s">
        <v>4779</v>
      </c>
      <c r="L2183" s="12" t="str">
        <f t="shared" si="102"/>
        <v>2,2,2</v>
      </c>
    </row>
    <row r="2184" spans="2:12">
      <c r="B2184" s="17">
        <v>2483</v>
      </c>
      <c r="C2184" s="17">
        <v>2</v>
      </c>
      <c r="D2184" s="17">
        <f t="shared" si="104"/>
        <v>0</v>
      </c>
      <c r="E2184" s="17">
        <f t="shared" si="103"/>
        <v>1875</v>
      </c>
      <c r="F2184" s="17" t="s">
        <v>4813</v>
      </c>
      <c r="G2184" s="17">
        <f>MATCH(E2184,Arenas!$F$8:$F$15)</f>
        <v>6</v>
      </c>
      <c r="H2184" s="29" t="s">
        <v>3554</v>
      </c>
      <c r="I2184" s="33" t="s">
        <v>9081</v>
      </c>
      <c r="J2184" s="47" t="s">
        <v>5032</v>
      </c>
      <c r="K2184" s="61" t="s">
        <v>4779</v>
      </c>
      <c r="L2184" s="12" t="str">
        <f t="shared" si="102"/>
        <v>2,2,2</v>
      </c>
    </row>
    <row r="2185" spans="2:12">
      <c r="B2185" s="17">
        <v>2484</v>
      </c>
      <c r="C2185" s="17">
        <v>2</v>
      </c>
      <c r="D2185" s="17">
        <f t="shared" si="104"/>
        <v>0</v>
      </c>
      <c r="E2185" s="17">
        <f t="shared" si="103"/>
        <v>1875</v>
      </c>
      <c r="F2185" s="17" t="s">
        <v>4813</v>
      </c>
      <c r="G2185" s="17">
        <f>MATCH(E2185,Arenas!$F$8:$F$15)</f>
        <v>6</v>
      </c>
      <c r="H2185" s="29" t="s">
        <v>3555</v>
      </c>
      <c r="I2185" s="33" t="s">
        <v>9082</v>
      </c>
      <c r="J2185" s="47" t="s">
        <v>9083</v>
      </c>
      <c r="K2185" s="61" t="s">
        <v>4779</v>
      </c>
      <c r="L2185" s="12" t="str">
        <f t="shared" si="102"/>
        <v>2,2,2</v>
      </c>
    </row>
    <row r="2186" spans="2:12">
      <c r="B2186" s="17">
        <v>2485</v>
      </c>
      <c r="C2186" s="17">
        <v>2</v>
      </c>
      <c r="D2186" s="17">
        <f t="shared" si="104"/>
        <v>1</v>
      </c>
      <c r="E2186" s="17">
        <f t="shared" si="103"/>
        <v>1876</v>
      </c>
      <c r="F2186" s="17" t="s">
        <v>4813</v>
      </c>
      <c r="G2186" s="17">
        <f>MATCH(E2186,Arenas!$F$8:$F$15)</f>
        <v>6</v>
      </c>
      <c r="H2186" s="29" t="s">
        <v>3556</v>
      </c>
      <c r="I2186" s="33" t="s">
        <v>9084</v>
      </c>
      <c r="J2186" s="47" t="s">
        <v>9085</v>
      </c>
      <c r="K2186" s="61" t="s">
        <v>4779</v>
      </c>
      <c r="L2186" s="12" t="str">
        <f t="shared" si="102"/>
        <v>2,2,2</v>
      </c>
    </row>
    <row r="2187" spans="2:12">
      <c r="B2187" s="17">
        <v>2486</v>
      </c>
      <c r="C2187" s="17">
        <v>2</v>
      </c>
      <c r="D2187" s="17">
        <f t="shared" si="104"/>
        <v>0</v>
      </c>
      <c r="E2187" s="17">
        <f t="shared" si="103"/>
        <v>1876</v>
      </c>
      <c r="F2187" s="17" t="s">
        <v>4813</v>
      </c>
      <c r="G2187" s="17">
        <f>MATCH(E2187,Arenas!$F$8:$F$15)</f>
        <v>6</v>
      </c>
      <c r="H2187" s="29" t="s">
        <v>3557</v>
      </c>
      <c r="I2187" s="33" t="s">
        <v>9086</v>
      </c>
      <c r="J2187" s="47" t="s">
        <v>9087</v>
      </c>
      <c r="K2187" s="61" t="s">
        <v>4779</v>
      </c>
      <c r="L2187" s="12" t="str">
        <f t="shared" si="102"/>
        <v>2,2,2</v>
      </c>
    </row>
    <row r="2188" spans="2:12">
      <c r="B2188" s="17">
        <v>2487</v>
      </c>
      <c r="C2188" s="17">
        <v>2</v>
      </c>
      <c r="D2188" s="17">
        <f t="shared" si="104"/>
        <v>0</v>
      </c>
      <c r="E2188" s="17">
        <f t="shared" si="103"/>
        <v>1876</v>
      </c>
      <c r="F2188" s="17" t="s">
        <v>4813</v>
      </c>
      <c r="G2188" s="17">
        <f>MATCH(E2188,Arenas!$F$8:$F$15)</f>
        <v>6</v>
      </c>
      <c r="H2188" s="29" t="s">
        <v>3558</v>
      </c>
      <c r="I2188" s="33" t="s">
        <v>9088</v>
      </c>
      <c r="J2188" s="47" t="s">
        <v>4708</v>
      </c>
      <c r="K2188" s="61" t="s">
        <v>4779</v>
      </c>
      <c r="L2188" s="12" t="str">
        <f t="shared" si="102"/>
        <v>2,2,2</v>
      </c>
    </row>
    <row r="2189" spans="2:12">
      <c r="B2189" s="17">
        <v>2488</v>
      </c>
      <c r="C2189" s="17">
        <v>2</v>
      </c>
      <c r="D2189" s="17">
        <f t="shared" si="104"/>
        <v>1</v>
      </c>
      <c r="E2189" s="17">
        <f t="shared" si="103"/>
        <v>1877</v>
      </c>
      <c r="F2189" s="17" t="s">
        <v>4813</v>
      </c>
      <c r="G2189" s="17">
        <f>MATCH(E2189,Arenas!$F$8:$F$15)</f>
        <v>6</v>
      </c>
      <c r="H2189" s="29" t="s">
        <v>3559</v>
      </c>
      <c r="I2189" s="33" t="s">
        <v>9089</v>
      </c>
      <c r="J2189" s="47" t="s">
        <v>9090</v>
      </c>
      <c r="K2189" s="61" t="s">
        <v>4779</v>
      </c>
      <c r="L2189" s="12" t="str">
        <f t="shared" si="102"/>
        <v>2,2,2</v>
      </c>
    </row>
    <row r="2190" spans="2:12">
      <c r="B2190" s="17">
        <v>2489</v>
      </c>
      <c r="C2190" s="17">
        <v>2</v>
      </c>
      <c r="D2190" s="17">
        <f t="shared" si="104"/>
        <v>0</v>
      </c>
      <c r="E2190" s="17">
        <f t="shared" si="103"/>
        <v>1877</v>
      </c>
      <c r="F2190" s="17" t="s">
        <v>4813</v>
      </c>
      <c r="G2190" s="17">
        <f>MATCH(E2190,Arenas!$F$8:$F$15)</f>
        <v>6</v>
      </c>
      <c r="H2190" s="29" t="s">
        <v>3560</v>
      </c>
      <c r="I2190" s="33" t="s">
        <v>9091</v>
      </c>
      <c r="J2190" s="47" t="s">
        <v>5338</v>
      </c>
      <c r="K2190" s="61" t="s">
        <v>4779</v>
      </c>
      <c r="L2190" s="12" t="str">
        <f t="shared" si="102"/>
        <v>2,2,2</v>
      </c>
    </row>
    <row r="2191" spans="2:12">
      <c r="B2191" s="17">
        <v>2490</v>
      </c>
      <c r="C2191" s="17">
        <v>2</v>
      </c>
      <c r="D2191" s="17">
        <f t="shared" si="104"/>
        <v>0</v>
      </c>
      <c r="E2191" s="17">
        <f t="shared" si="103"/>
        <v>1877</v>
      </c>
      <c r="F2191" s="17" t="s">
        <v>4813</v>
      </c>
      <c r="G2191" s="17">
        <f>MATCH(E2191,Arenas!$F$8:$F$15)</f>
        <v>6</v>
      </c>
      <c r="H2191" s="29" t="s">
        <v>3561</v>
      </c>
      <c r="I2191" s="33" t="s">
        <v>9092</v>
      </c>
      <c r="J2191" s="47" t="s">
        <v>9093</v>
      </c>
      <c r="K2191" s="61" t="s">
        <v>4779</v>
      </c>
      <c r="L2191" s="12" t="str">
        <f t="shared" si="102"/>
        <v>2,2,2</v>
      </c>
    </row>
    <row r="2192" spans="2:12">
      <c r="B2192" s="17">
        <v>2491</v>
      </c>
      <c r="C2192" s="17">
        <v>2</v>
      </c>
      <c r="D2192" s="17">
        <f t="shared" si="104"/>
        <v>1</v>
      </c>
      <c r="E2192" s="17">
        <f t="shared" si="103"/>
        <v>1878</v>
      </c>
      <c r="F2192" s="17" t="s">
        <v>4813</v>
      </c>
      <c r="G2192" s="17">
        <f>MATCH(E2192,Arenas!$F$8:$F$15)</f>
        <v>6</v>
      </c>
      <c r="H2192" s="29" t="s">
        <v>3562</v>
      </c>
      <c r="I2192" s="33" t="s">
        <v>9094</v>
      </c>
      <c r="J2192" s="47" t="s">
        <v>9095</v>
      </c>
      <c r="K2192" s="61" t="s">
        <v>4806</v>
      </c>
      <c r="L2192" s="12" t="str">
        <f t="shared" si="102"/>
        <v>2,2,2</v>
      </c>
    </row>
    <row r="2193" spans="2:12">
      <c r="B2193" s="17">
        <v>2492</v>
      </c>
      <c r="C2193" s="17">
        <v>2</v>
      </c>
      <c r="D2193" s="17">
        <f t="shared" si="104"/>
        <v>0</v>
      </c>
      <c r="E2193" s="17">
        <f t="shared" si="103"/>
        <v>1878</v>
      </c>
      <c r="F2193" s="17" t="s">
        <v>4813</v>
      </c>
      <c r="G2193" s="17">
        <f>MATCH(E2193,Arenas!$F$8:$F$15)</f>
        <v>6</v>
      </c>
      <c r="H2193" s="29" t="s">
        <v>3563</v>
      </c>
      <c r="I2193" s="33" t="s">
        <v>9096</v>
      </c>
      <c r="J2193" s="47" t="s">
        <v>9097</v>
      </c>
      <c r="K2193" s="61" t="s">
        <v>4779</v>
      </c>
      <c r="L2193" s="12" t="str">
        <f t="shared" si="102"/>
        <v>2,2,2</v>
      </c>
    </row>
    <row r="2194" spans="2:12">
      <c r="B2194" s="17">
        <v>2493</v>
      </c>
      <c r="C2194" s="17">
        <v>2</v>
      </c>
      <c r="D2194" s="17">
        <f t="shared" si="104"/>
        <v>0</v>
      </c>
      <c r="E2194" s="17">
        <f t="shared" si="103"/>
        <v>1878</v>
      </c>
      <c r="F2194" s="17" t="s">
        <v>4813</v>
      </c>
      <c r="G2194" s="17">
        <f>MATCH(E2194,Arenas!$F$8:$F$15)</f>
        <v>6</v>
      </c>
      <c r="H2194" s="29" t="s">
        <v>3564</v>
      </c>
      <c r="I2194" s="33" t="s">
        <v>9098</v>
      </c>
      <c r="J2194" s="47" t="s">
        <v>9099</v>
      </c>
      <c r="K2194" s="61" t="s">
        <v>4779</v>
      </c>
      <c r="L2194" s="12" t="str">
        <f t="shared" si="102"/>
        <v>2,2,2</v>
      </c>
    </row>
    <row r="2195" spans="2:12">
      <c r="B2195" s="17">
        <v>2494</v>
      </c>
      <c r="C2195" s="17">
        <v>2</v>
      </c>
      <c r="D2195" s="17">
        <f t="shared" si="104"/>
        <v>1</v>
      </c>
      <c r="E2195" s="17">
        <f t="shared" si="103"/>
        <v>1879</v>
      </c>
      <c r="F2195" s="17" t="s">
        <v>4813</v>
      </c>
      <c r="G2195" s="17">
        <f>MATCH(E2195,Arenas!$F$8:$F$15)</f>
        <v>6</v>
      </c>
      <c r="H2195" s="29" t="s">
        <v>3565</v>
      </c>
      <c r="I2195" s="33" t="s">
        <v>9100</v>
      </c>
      <c r="J2195" s="47" t="s">
        <v>5940</v>
      </c>
      <c r="K2195" s="61" t="s">
        <v>4779</v>
      </c>
      <c r="L2195" s="12" t="str">
        <f t="shared" si="102"/>
        <v>2,2,2</v>
      </c>
    </row>
    <row r="2196" spans="2:12">
      <c r="B2196" s="17">
        <v>2495</v>
      </c>
      <c r="C2196" s="17">
        <v>2</v>
      </c>
      <c r="D2196" s="17">
        <f t="shared" si="104"/>
        <v>0</v>
      </c>
      <c r="E2196" s="17">
        <f t="shared" si="103"/>
        <v>1879</v>
      </c>
      <c r="F2196" s="17" t="s">
        <v>4813</v>
      </c>
      <c r="G2196" s="17">
        <f>MATCH(E2196,Arenas!$F$8:$F$15)</f>
        <v>6</v>
      </c>
      <c r="H2196" s="29" t="s">
        <v>3566</v>
      </c>
      <c r="I2196" s="33" t="s">
        <v>9101</v>
      </c>
      <c r="J2196" s="47" t="s">
        <v>9102</v>
      </c>
      <c r="K2196" s="61" t="s">
        <v>4779</v>
      </c>
      <c r="L2196" s="12" t="str">
        <f t="shared" si="102"/>
        <v>2,2,2</v>
      </c>
    </row>
    <row r="2197" spans="2:12">
      <c r="B2197" s="17">
        <v>2496</v>
      </c>
      <c r="C2197" s="17">
        <v>2</v>
      </c>
      <c r="D2197" s="17">
        <f t="shared" si="104"/>
        <v>0</v>
      </c>
      <c r="E2197" s="17">
        <f t="shared" si="103"/>
        <v>1879</v>
      </c>
      <c r="F2197" s="17" t="s">
        <v>4813</v>
      </c>
      <c r="G2197" s="17">
        <f>MATCH(E2197,Arenas!$F$8:$F$15)</f>
        <v>6</v>
      </c>
      <c r="H2197" s="29" t="s">
        <v>3567</v>
      </c>
      <c r="I2197" s="33" t="s">
        <v>9103</v>
      </c>
      <c r="J2197" s="47" t="s">
        <v>9104</v>
      </c>
      <c r="K2197" s="61" t="s">
        <v>4779</v>
      </c>
      <c r="L2197" s="12" t="str">
        <f t="shared" si="102"/>
        <v>2,2,2</v>
      </c>
    </row>
    <row r="2198" spans="2:12">
      <c r="B2198" s="17">
        <v>2497</v>
      </c>
      <c r="C2198" s="17">
        <v>2</v>
      </c>
      <c r="D2198" s="17">
        <f t="shared" si="104"/>
        <v>1</v>
      </c>
      <c r="E2198" s="17">
        <f t="shared" si="103"/>
        <v>1880</v>
      </c>
      <c r="F2198" s="17" t="s">
        <v>4813</v>
      </c>
      <c r="G2198" s="17">
        <f>MATCH(E2198,Arenas!$F$8:$F$15)</f>
        <v>6</v>
      </c>
      <c r="H2198" s="29" t="s">
        <v>3568</v>
      </c>
      <c r="I2198" s="33" t="s">
        <v>9105</v>
      </c>
      <c r="J2198" s="47" t="s">
        <v>4723</v>
      </c>
      <c r="K2198" s="61" t="s">
        <v>4779</v>
      </c>
      <c r="L2198" s="12" t="str">
        <f t="shared" si="102"/>
        <v>2,2,2</v>
      </c>
    </row>
    <row r="2199" spans="2:12">
      <c r="B2199" s="17">
        <v>2498</v>
      </c>
      <c r="C2199" s="17">
        <v>2</v>
      </c>
      <c r="D2199" s="17">
        <f t="shared" si="104"/>
        <v>0</v>
      </c>
      <c r="E2199" s="17">
        <f t="shared" si="103"/>
        <v>1880</v>
      </c>
      <c r="F2199" s="17" t="s">
        <v>4813</v>
      </c>
      <c r="G2199" s="17">
        <f>MATCH(E2199,Arenas!$F$8:$F$15)</f>
        <v>6</v>
      </c>
      <c r="H2199" s="29" t="s">
        <v>3569</v>
      </c>
      <c r="I2199" s="33" t="s">
        <v>9106</v>
      </c>
      <c r="J2199" s="47" t="s">
        <v>9107</v>
      </c>
      <c r="K2199" s="61" t="s">
        <v>4779</v>
      </c>
      <c r="L2199" s="12" t="str">
        <f t="shared" si="102"/>
        <v>2,2,2</v>
      </c>
    </row>
    <row r="2200" spans="2:12">
      <c r="B2200" s="17">
        <v>2499</v>
      </c>
      <c r="C2200" s="17">
        <v>2</v>
      </c>
      <c r="D2200" s="17">
        <f t="shared" si="104"/>
        <v>0</v>
      </c>
      <c r="E2200" s="17">
        <f t="shared" si="103"/>
        <v>1880</v>
      </c>
      <c r="F2200" s="17" t="s">
        <v>4813</v>
      </c>
      <c r="G2200" s="17">
        <f>MATCH(E2200,Arenas!$F$8:$F$15)</f>
        <v>6</v>
      </c>
      <c r="H2200" s="29" t="s">
        <v>3570</v>
      </c>
      <c r="I2200" s="33" t="s">
        <v>9108</v>
      </c>
      <c r="J2200" s="47" t="s">
        <v>9109</v>
      </c>
      <c r="K2200" s="61" t="s">
        <v>4779</v>
      </c>
      <c r="L2200" s="12" t="str">
        <f t="shared" si="102"/>
        <v>2,2,2</v>
      </c>
    </row>
    <row r="2201" spans="2:12">
      <c r="B2201" s="17">
        <v>2500</v>
      </c>
      <c r="C2201" s="17">
        <v>2</v>
      </c>
      <c r="D2201" s="17">
        <f t="shared" si="104"/>
        <v>1</v>
      </c>
      <c r="E2201" s="17">
        <f t="shared" si="103"/>
        <v>1881</v>
      </c>
      <c r="F2201" s="17" t="s">
        <v>4813</v>
      </c>
      <c r="G2201" s="17">
        <f>MATCH(E2201,Arenas!$F$8:$F$15)</f>
        <v>6</v>
      </c>
      <c r="H2201" s="29" t="s">
        <v>3571</v>
      </c>
      <c r="I2201" s="33" t="s">
        <v>9110</v>
      </c>
      <c r="J2201" s="47" t="s">
        <v>9111</v>
      </c>
      <c r="K2201" s="61" t="s">
        <v>4779</v>
      </c>
      <c r="L2201" s="12" t="str">
        <f t="shared" si="102"/>
        <v>2,2,2</v>
      </c>
    </row>
    <row r="2202" spans="2:12">
      <c r="B2202" s="17">
        <v>2501</v>
      </c>
      <c r="C2202" s="17">
        <v>2</v>
      </c>
      <c r="D2202" s="17">
        <f t="shared" si="104"/>
        <v>0</v>
      </c>
      <c r="E2202" s="17">
        <f t="shared" si="103"/>
        <v>1881</v>
      </c>
      <c r="F2202" s="17" t="s">
        <v>4813</v>
      </c>
      <c r="G2202" s="17">
        <f>MATCH(E2202,Arenas!$F$8:$F$15)</f>
        <v>6</v>
      </c>
      <c r="H2202" s="29" t="s">
        <v>3572</v>
      </c>
      <c r="I2202" s="33" t="s">
        <v>9112</v>
      </c>
      <c r="J2202" s="47" t="s">
        <v>9113</v>
      </c>
      <c r="K2202" s="61" t="s">
        <v>4779</v>
      </c>
      <c r="L2202" s="12" t="str">
        <f t="shared" si="102"/>
        <v>2,2,2</v>
      </c>
    </row>
    <row r="2203" spans="2:12">
      <c r="B2203" s="17">
        <v>2502</v>
      </c>
      <c r="C2203" s="17">
        <v>2</v>
      </c>
      <c r="D2203" s="17">
        <f t="shared" si="104"/>
        <v>0</v>
      </c>
      <c r="E2203" s="17">
        <f t="shared" si="103"/>
        <v>1881</v>
      </c>
      <c r="F2203" s="17" t="s">
        <v>4813</v>
      </c>
      <c r="G2203" s="17">
        <f>MATCH(E2203,Arenas!$F$8:$F$15)</f>
        <v>6</v>
      </c>
      <c r="H2203" s="29" t="s">
        <v>3573</v>
      </c>
      <c r="I2203" s="33" t="s">
        <v>9114</v>
      </c>
      <c r="J2203" s="47" t="s">
        <v>9115</v>
      </c>
      <c r="K2203" s="61" t="s">
        <v>4779</v>
      </c>
      <c r="L2203" s="12" t="str">
        <f t="shared" si="102"/>
        <v>2,2,2</v>
      </c>
    </row>
    <row r="2204" spans="2:12">
      <c r="B2204" s="17">
        <v>2503</v>
      </c>
      <c r="C2204" s="17">
        <v>2</v>
      </c>
      <c r="D2204" s="17">
        <f t="shared" si="104"/>
        <v>1</v>
      </c>
      <c r="E2204" s="17">
        <f t="shared" si="103"/>
        <v>1882</v>
      </c>
      <c r="F2204" s="17" t="s">
        <v>4813</v>
      </c>
      <c r="G2204" s="17">
        <f>MATCH(E2204,Arenas!$F$8:$F$15)</f>
        <v>6</v>
      </c>
      <c r="H2204" s="29" t="s">
        <v>3574</v>
      </c>
      <c r="I2204" s="33" t="s">
        <v>9116</v>
      </c>
      <c r="J2204" s="47" t="s">
        <v>9117</v>
      </c>
      <c r="K2204" s="61" t="s">
        <v>4779</v>
      </c>
      <c r="L2204" s="12" t="str">
        <f t="shared" si="102"/>
        <v>2,2,2</v>
      </c>
    </row>
    <row r="2205" spans="2:12">
      <c r="B2205" s="17">
        <v>2504</v>
      </c>
      <c r="C2205" s="17">
        <v>2</v>
      </c>
      <c r="D2205" s="17">
        <f t="shared" si="104"/>
        <v>0</v>
      </c>
      <c r="E2205" s="17">
        <f t="shared" si="103"/>
        <v>1882</v>
      </c>
      <c r="F2205" s="17" t="s">
        <v>4813</v>
      </c>
      <c r="G2205" s="17">
        <f>MATCH(E2205,Arenas!$F$8:$F$15)</f>
        <v>6</v>
      </c>
      <c r="H2205" s="29" t="s">
        <v>3575</v>
      </c>
      <c r="I2205" s="33" t="s">
        <v>9118</v>
      </c>
      <c r="J2205" s="47" t="s">
        <v>9119</v>
      </c>
      <c r="K2205" s="61" t="s">
        <v>4779</v>
      </c>
      <c r="L2205" s="12" t="str">
        <f t="shared" si="102"/>
        <v>2,2,2</v>
      </c>
    </row>
    <row r="2206" spans="2:12">
      <c r="B2206" s="17">
        <v>2505</v>
      </c>
      <c r="C2206" s="17">
        <v>2</v>
      </c>
      <c r="D2206" s="17">
        <f t="shared" si="104"/>
        <v>0</v>
      </c>
      <c r="E2206" s="17">
        <f t="shared" si="103"/>
        <v>1882</v>
      </c>
      <c r="F2206" s="17" t="s">
        <v>4813</v>
      </c>
      <c r="G2206" s="17">
        <f>MATCH(E2206,Arenas!$F$8:$F$15)</f>
        <v>6</v>
      </c>
      <c r="H2206" s="29" t="s">
        <v>3576</v>
      </c>
      <c r="I2206" s="33" t="s">
        <v>9120</v>
      </c>
      <c r="J2206" s="47" t="s">
        <v>9121</v>
      </c>
      <c r="K2206" s="61" t="s">
        <v>4779</v>
      </c>
      <c r="L2206" s="12" t="str">
        <f t="shared" si="102"/>
        <v>2,2,2</v>
      </c>
    </row>
    <row r="2207" spans="2:12">
      <c r="B2207" s="17">
        <v>2506</v>
      </c>
      <c r="C2207" s="17">
        <v>2</v>
      </c>
      <c r="D2207" s="17">
        <f t="shared" si="104"/>
        <v>1</v>
      </c>
      <c r="E2207" s="17">
        <f t="shared" si="103"/>
        <v>1883</v>
      </c>
      <c r="F2207" s="17" t="s">
        <v>4813</v>
      </c>
      <c r="G2207" s="17">
        <f>MATCH(E2207,Arenas!$F$8:$F$15)</f>
        <v>6</v>
      </c>
      <c r="H2207" s="29" t="s">
        <v>3577</v>
      </c>
      <c r="I2207" s="33" t="s">
        <v>9122</v>
      </c>
      <c r="J2207" s="47" t="s">
        <v>9123</v>
      </c>
      <c r="K2207" s="61" t="s">
        <v>4779</v>
      </c>
      <c r="L2207" s="12" t="str">
        <f t="shared" si="102"/>
        <v>2,2,2</v>
      </c>
    </row>
    <row r="2208" spans="2:12">
      <c r="B2208" s="17">
        <v>2507</v>
      </c>
      <c r="C2208" s="17">
        <v>2</v>
      </c>
      <c r="D2208" s="17">
        <f t="shared" si="104"/>
        <v>0</v>
      </c>
      <c r="E2208" s="17">
        <f t="shared" si="103"/>
        <v>1883</v>
      </c>
      <c r="F2208" s="17" t="s">
        <v>4813</v>
      </c>
      <c r="G2208" s="17">
        <f>MATCH(E2208,Arenas!$F$8:$F$15)</f>
        <v>6</v>
      </c>
      <c r="H2208" s="29" t="s">
        <v>3578</v>
      </c>
      <c r="I2208" s="33" t="s">
        <v>9124</v>
      </c>
      <c r="J2208" s="47" t="s">
        <v>5094</v>
      </c>
      <c r="K2208" s="61" t="s">
        <v>4779</v>
      </c>
      <c r="L2208" s="12" t="str">
        <f t="shared" si="102"/>
        <v>2,2,2</v>
      </c>
    </row>
    <row r="2209" spans="2:12">
      <c r="B2209" s="17">
        <v>2508</v>
      </c>
      <c r="C2209" s="17">
        <v>2</v>
      </c>
      <c r="D2209" s="17">
        <f t="shared" si="104"/>
        <v>0</v>
      </c>
      <c r="E2209" s="17">
        <f t="shared" si="103"/>
        <v>1883</v>
      </c>
      <c r="F2209" s="17" t="s">
        <v>4813</v>
      </c>
      <c r="G2209" s="17">
        <f>MATCH(E2209,Arenas!$F$8:$F$15)</f>
        <v>6</v>
      </c>
      <c r="H2209" s="29" t="s">
        <v>3579</v>
      </c>
      <c r="I2209" s="33" t="s">
        <v>9125</v>
      </c>
      <c r="J2209" s="47" t="s">
        <v>9126</v>
      </c>
      <c r="K2209" s="61" t="s">
        <v>4779</v>
      </c>
      <c r="L2209" s="12" t="str">
        <f t="shared" si="102"/>
        <v>2,2,2</v>
      </c>
    </row>
    <row r="2210" spans="2:12">
      <c r="B2210" s="17">
        <v>2509</v>
      </c>
      <c r="C2210" s="17">
        <v>2</v>
      </c>
      <c r="D2210" s="17">
        <f t="shared" si="104"/>
        <v>1</v>
      </c>
      <c r="E2210" s="17">
        <f t="shared" si="103"/>
        <v>1884</v>
      </c>
      <c r="F2210" s="17" t="s">
        <v>4813</v>
      </c>
      <c r="G2210" s="17">
        <f>MATCH(E2210,Arenas!$F$8:$F$15)</f>
        <v>6</v>
      </c>
      <c r="H2210" s="29" t="s">
        <v>3580</v>
      </c>
      <c r="I2210" s="33" t="s">
        <v>9127</v>
      </c>
      <c r="J2210" s="47" t="s">
        <v>9128</v>
      </c>
      <c r="K2210" s="61" t="s">
        <v>4779</v>
      </c>
      <c r="L2210" s="12" t="str">
        <f t="shared" si="102"/>
        <v>2,2,2</v>
      </c>
    </row>
    <row r="2211" spans="2:12">
      <c r="B2211" s="17">
        <v>2510</v>
      </c>
      <c r="C2211" s="17">
        <v>2</v>
      </c>
      <c r="D2211" s="17">
        <f t="shared" si="104"/>
        <v>0</v>
      </c>
      <c r="E2211" s="17">
        <f t="shared" si="103"/>
        <v>1884</v>
      </c>
      <c r="F2211" s="17" t="s">
        <v>4813</v>
      </c>
      <c r="G2211" s="17">
        <f>MATCH(E2211,Arenas!$F$8:$F$15)</f>
        <v>6</v>
      </c>
      <c r="H2211" s="29" t="s">
        <v>3581</v>
      </c>
      <c r="I2211" s="33" t="s">
        <v>9129</v>
      </c>
      <c r="J2211" s="47" t="s">
        <v>9130</v>
      </c>
      <c r="K2211" s="61" t="s">
        <v>4779</v>
      </c>
      <c r="L2211" s="12" t="str">
        <f t="shared" si="102"/>
        <v>2,2,2</v>
      </c>
    </row>
    <row r="2212" spans="2:12">
      <c r="B2212" s="17">
        <v>2511</v>
      </c>
      <c r="C2212" s="17">
        <v>2</v>
      </c>
      <c r="D2212" s="17">
        <f t="shared" si="104"/>
        <v>0</v>
      </c>
      <c r="E2212" s="17">
        <f t="shared" si="103"/>
        <v>1884</v>
      </c>
      <c r="F2212" s="17" t="s">
        <v>4813</v>
      </c>
      <c r="G2212" s="17">
        <f>MATCH(E2212,Arenas!$F$8:$F$15)</f>
        <v>6</v>
      </c>
      <c r="H2212" s="29" t="s">
        <v>3582</v>
      </c>
      <c r="I2212" s="33" t="s">
        <v>9131</v>
      </c>
      <c r="J2212" s="47" t="s">
        <v>9132</v>
      </c>
      <c r="K2212" s="61" t="s">
        <v>4779</v>
      </c>
      <c r="L2212" s="12" t="str">
        <f t="shared" si="102"/>
        <v>2,2,2</v>
      </c>
    </row>
    <row r="2213" spans="2:12">
      <c r="B2213" s="17">
        <v>2512</v>
      </c>
      <c r="C2213" s="17">
        <v>2</v>
      </c>
      <c r="D2213" s="17">
        <f t="shared" si="104"/>
        <v>1</v>
      </c>
      <c r="E2213" s="17">
        <f t="shared" si="103"/>
        <v>1885</v>
      </c>
      <c r="F2213" s="17" t="s">
        <v>4813</v>
      </c>
      <c r="G2213" s="17">
        <f>MATCH(E2213,Arenas!$F$8:$F$15)</f>
        <v>6</v>
      </c>
      <c r="H2213" s="29" t="s">
        <v>3583</v>
      </c>
      <c r="I2213" s="33" t="s">
        <v>9133</v>
      </c>
      <c r="J2213" s="47" t="s">
        <v>5868</v>
      </c>
      <c r="K2213" s="61" t="s">
        <v>4779</v>
      </c>
      <c r="L2213" s="12" t="str">
        <f t="shared" si="102"/>
        <v>2,2,2</v>
      </c>
    </row>
    <row r="2214" spans="2:12">
      <c r="B2214" s="17">
        <v>2513</v>
      </c>
      <c r="C2214" s="17">
        <v>2</v>
      </c>
      <c r="D2214" s="17">
        <f t="shared" si="104"/>
        <v>0</v>
      </c>
      <c r="E2214" s="17">
        <f t="shared" si="103"/>
        <v>1885</v>
      </c>
      <c r="F2214" s="17" t="s">
        <v>4813</v>
      </c>
      <c r="G2214" s="17">
        <f>MATCH(E2214,Arenas!$F$8:$F$15)</f>
        <v>6</v>
      </c>
      <c r="H2214" s="29" t="s">
        <v>3584</v>
      </c>
      <c r="I2214" s="33" t="s">
        <v>9134</v>
      </c>
      <c r="J2214" s="47" t="s">
        <v>9135</v>
      </c>
      <c r="K2214" s="61" t="s">
        <v>4779</v>
      </c>
      <c r="L2214" s="12" t="str">
        <f t="shared" si="102"/>
        <v>2,2,2</v>
      </c>
    </row>
    <row r="2215" spans="2:12">
      <c r="B2215" s="17">
        <v>2514</v>
      </c>
      <c r="C2215" s="17">
        <v>2</v>
      </c>
      <c r="D2215" s="17">
        <f t="shared" si="104"/>
        <v>0</v>
      </c>
      <c r="E2215" s="17">
        <f t="shared" si="103"/>
        <v>1885</v>
      </c>
      <c r="F2215" s="17" t="s">
        <v>4813</v>
      </c>
      <c r="G2215" s="17">
        <f>MATCH(E2215,Arenas!$F$8:$F$15)</f>
        <v>6</v>
      </c>
      <c r="H2215" s="29" t="s">
        <v>3585</v>
      </c>
      <c r="I2215" s="33" t="s">
        <v>9136</v>
      </c>
      <c r="J2215" s="47" t="s">
        <v>9137</v>
      </c>
      <c r="K2215" s="61" t="s">
        <v>4779</v>
      </c>
      <c r="L2215" s="12" t="str">
        <f t="shared" si="102"/>
        <v>2,2,2</v>
      </c>
    </row>
    <row r="2216" spans="2:12">
      <c r="B2216" s="17">
        <v>2515</v>
      </c>
      <c r="C2216" s="17">
        <v>2</v>
      </c>
      <c r="D2216" s="17">
        <f t="shared" si="104"/>
        <v>1</v>
      </c>
      <c r="E2216" s="17">
        <f t="shared" si="103"/>
        <v>1886</v>
      </c>
      <c r="F2216" s="17" t="s">
        <v>4813</v>
      </c>
      <c r="G2216" s="17">
        <f>MATCH(E2216,Arenas!$F$8:$F$15)</f>
        <v>6</v>
      </c>
      <c r="H2216" s="29" t="s">
        <v>3586</v>
      </c>
      <c r="I2216" s="33" t="s">
        <v>9138</v>
      </c>
      <c r="J2216" s="47" t="s">
        <v>9139</v>
      </c>
      <c r="K2216" s="61" t="s">
        <v>4806</v>
      </c>
      <c r="L2216" s="12" t="str">
        <f t="shared" si="102"/>
        <v>2,2,2</v>
      </c>
    </row>
    <row r="2217" spans="2:12">
      <c r="B2217" s="17">
        <v>2516</v>
      </c>
      <c r="C2217" s="17">
        <v>2</v>
      </c>
      <c r="D2217" s="17">
        <f t="shared" si="104"/>
        <v>0</v>
      </c>
      <c r="E2217" s="17">
        <f t="shared" si="103"/>
        <v>1886</v>
      </c>
      <c r="F2217" s="17" t="s">
        <v>4813</v>
      </c>
      <c r="G2217" s="17">
        <f>MATCH(E2217,Arenas!$F$8:$F$15)</f>
        <v>6</v>
      </c>
      <c r="H2217" s="29" t="s">
        <v>3587</v>
      </c>
      <c r="I2217" s="33" t="s">
        <v>9140</v>
      </c>
      <c r="J2217" s="47" t="s">
        <v>9141</v>
      </c>
      <c r="K2217" s="61" t="s">
        <v>4779</v>
      </c>
      <c r="L2217" s="12" t="str">
        <f t="shared" si="102"/>
        <v>2,2,2</v>
      </c>
    </row>
    <row r="2218" spans="2:12">
      <c r="B2218" s="17">
        <v>2517</v>
      </c>
      <c r="C2218" s="17">
        <v>2</v>
      </c>
      <c r="D2218" s="17">
        <f t="shared" si="104"/>
        <v>0</v>
      </c>
      <c r="E2218" s="17">
        <f t="shared" si="103"/>
        <v>1886</v>
      </c>
      <c r="F2218" s="17" t="s">
        <v>4813</v>
      </c>
      <c r="G2218" s="17">
        <f>MATCH(E2218,Arenas!$F$8:$F$15)</f>
        <v>6</v>
      </c>
      <c r="H2218" s="29" t="s">
        <v>3588</v>
      </c>
      <c r="I2218" s="33" t="s">
        <v>9142</v>
      </c>
      <c r="J2218" s="47" t="s">
        <v>9143</v>
      </c>
      <c r="K2218" s="61" t="s">
        <v>4779</v>
      </c>
      <c r="L2218" s="12" t="str">
        <f t="shared" si="102"/>
        <v>2,2,2</v>
      </c>
    </row>
    <row r="2219" spans="2:12">
      <c r="B2219" s="17">
        <v>2518</v>
      </c>
      <c r="C2219" s="17">
        <v>2</v>
      </c>
      <c r="D2219" s="17">
        <f t="shared" si="104"/>
        <v>1</v>
      </c>
      <c r="E2219" s="17">
        <f t="shared" si="103"/>
        <v>1887</v>
      </c>
      <c r="F2219" s="17" t="s">
        <v>4813</v>
      </c>
      <c r="G2219" s="17">
        <f>MATCH(E2219,Arenas!$F$8:$F$15)</f>
        <v>6</v>
      </c>
      <c r="H2219" s="29" t="s">
        <v>3589</v>
      </c>
      <c r="I2219" s="33" t="s">
        <v>9144</v>
      </c>
      <c r="J2219" s="47" t="s">
        <v>8745</v>
      </c>
      <c r="K2219" s="61" t="s">
        <v>4779</v>
      </c>
      <c r="L2219" s="12" t="str">
        <f t="shared" si="102"/>
        <v>2,2,2</v>
      </c>
    </row>
    <row r="2220" spans="2:12">
      <c r="B2220" s="17">
        <v>2519</v>
      </c>
      <c r="C2220" s="17">
        <v>2</v>
      </c>
      <c r="D2220" s="17">
        <f t="shared" si="104"/>
        <v>0</v>
      </c>
      <c r="E2220" s="17">
        <f t="shared" si="103"/>
        <v>1887</v>
      </c>
      <c r="F2220" s="17" t="s">
        <v>4813</v>
      </c>
      <c r="G2220" s="17">
        <f>MATCH(E2220,Arenas!$F$8:$F$15)</f>
        <v>6</v>
      </c>
      <c r="H2220" s="29" t="s">
        <v>3590</v>
      </c>
      <c r="I2220" s="33" t="s">
        <v>9145</v>
      </c>
      <c r="J2220" s="47" t="s">
        <v>9146</v>
      </c>
      <c r="K2220" s="61" t="s">
        <v>4779</v>
      </c>
      <c r="L2220" s="12" t="str">
        <f t="shared" si="102"/>
        <v>2,2,2</v>
      </c>
    </row>
    <row r="2221" spans="2:12">
      <c r="B2221" s="17">
        <v>2520</v>
      </c>
      <c r="C2221" s="17">
        <v>2</v>
      </c>
      <c r="D2221" s="17">
        <f t="shared" si="104"/>
        <v>0</v>
      </c>
      <c r="E2221" s="17">
        <f t="shared" si="103"/>
        <v>1887</v>
      </c>
      <c r="F2221" s="17" t="s">
        <v>4813</v>
      </c>
      <c r="G2221" s="17">
        <f>MATCH(E2221,Arenas!$F$8:$F$15)</f>
        <v>6</v>
      </c>
      <c r="H2221" s="29" t="s">
        <v>3591</v>
      </c>
      <c r="I2221" s="33" t="s">
        <v>9147</v>
      </c>
      <c r="J2221" s="47" t="s">
        <v>9148</v>
      </c>
      <c r="K2221" s="61" t="s">
        <v>4779</v>
      </c>
      <c r="L2221" s="12" t="str">
        <f t="shared" si="102"/>
        <v>2,2,2</v>
      </c>
    </row>
    <row r="2222" spans="2:12">
      <c r="B2222" s="17">
        <v>2521</v>
      </c>
      <c r="C2222" s="17">
        <v>2</v>
      </c>
      <c r="D2222" s="17">
        <f t="shared" si="104"/>
        <v>1</v>
      </c>
      <c r="E2222" s="17">
        <f t="shared" si="103"/>
        <v>1888</v>
      </c>
      <c r="F2222" s="17" t="s">
        <v>4813</v>
      </c>
      <c r="G2222" s="17">
        <f>MATCH(E2222,Arenas!$F$8:$F$15)</f>
        <v>6</v>
      </c>
      <c r="H2222" s="29" t="s">
        <v>3592</v>
      </c>
      <c r="I2222" s="33" t="s">
        <v>9149</v>
      </c>
      <c r="J2222" s="47" t="s">
        <v>9150</v>
      </c>
      <c r="K2222" s="61" t="s">
        <v>4779</v>
      </c>
      <c r="L2222" s="12" t="str">
        <f t="shared" si="102"/>
        <v>2,2,2</v>
      </c>
    </row>
    <row r="2223" spans="2:12">
      <c r="B2223" s="17">
        <v>2522</v>
      </c>
      <c r="C2223" s="17">
        <v>2</v>
      </c>
      <c r="D2223" s="17">
        <f t="shared" si="104"/>
        <v>0</v>
      </c>
      <c r="E2223" s="17">
        <f t="shared" si="103"/>
        <v>1888</v>
      </c>
      <c r="F2223" s="17" t="s">
        <v>4813</v>
      </c>
      <c r="G2223" s="17">
        <f>MATCH(E2223,Arenas!$F$8:$F$15)</f>
        <v>6</v>
      </c>
      <c r="H2223" s="29" t="s">
        <v>3593</v>
      </c>
      <c r="I2223" s="33" t="s">
        <v>9151</v>
      </c>
      <c r="J2223" s="47" t="s">
        <v>9152</v>
      </c>
      <c r="K2223" s="61" t="s">
        <v>4779</v>
      </c>
      <c r="L2223" s="12" t="str">
        <f t="shared" si="102"/>
        <v>2,2,2</v>
      </c>
    </row>
    <row r="2224" spans="2:12">
      <c r="B2224" s="17">
        <v>2523</v>
      </c>
      <c r="C2224" s="17">
        <v>2</v>
      </c>
      <c r="D2224" s="17">
        <f t="shared" si="104"/>
        <v>0</v>
      </c>
      <c r="E2224" s="17">
        <f t="shared" si="103"/>
        <v>1888</v>
      </c>
      <c r="F2224" s="17" t="s">
        <v>4813</v>
      </c>
      <c r="G2224" s="17">
        <f>MATCH(E2224,Arenas!$F$8:$F$15)</f>
        <v>6</v>
      </c>
      <c r="H2224" s="29" t="s">
        <v>3594</v>
      </c>
      <c r="I2224" s="33" t="s">
        <v>9153</v>
      </c>
      <c r="J2224" s="47" t="s">
        <v>9154</v>
      </c>
      <c r="K2224" s="61" t="s">
        <v>4779</v>
      </c>
      <c r="L2224" s="12" t="str">
        <f t="shared" si="102"/>
        <v>2,2,2</v>
      </c>
    </row>
    <row r="2225" spans="2:12">
      <c r="B2225" s="17">
        <v>2524</v>
      </c>
      <c r="C2225" s="17">
        <v>2</v>
      </c>
      <c r="D2225" s="17">
        <f t="shared" si="104"/>
        <v>1</v>
      </c>
      <c r="E2225" s="17">
        <f t="shared" si="103"/>
        <v>1889</v>
      </c>
      <c r="F2225" s="17" t="s">
        <v>4813</v>
      </c>
      <c r="G2225" s="17">
        <f>MATCH(E2225,Arenas!$F$8:$F$15)</f>
        <v>6</v>
      </c>
      <c r="H2225" s="29" t="s">
        <v>3595</v>
      </c>
      <c r="I2225" s="33" t="s">
        <v>9155</v>
      </c>
      <c r="J2225" s="47" t="s">
        <v>5072</v>
      </c>
      <c r="K2225" s="61" t="s">
        <v>4779</v>
      </c>
      <c r="L2225" s="12" t="str">
        <f t="shared" si="102"/>
        <v>2,2,2</v>
      </c>
    </row>
    <row r="2226" spans="2:12">
      <c r="B2226" s="17">
        <v>2525</v>
      </c>
      <c r="C2226" s="17">
        <v>2</v>
      </c>
      <c r="D2226" s="17">
        <f t="shared" si="104"/>
        <v>0</v>
      </c>
      <c r="E2226" s="17">
        <f t="shared" si="103"/>
        <v>1889</v>
      </c>
      <c r="F2226" s="17" t="s">
        <v>4813</v>
      </c>
      <c r="G2226" s="17">
        <f>MATCH(E2226,Arenas!$F$8:$F$15)</f>
        <v>6</v>
      </c>
      <c r="H2226" s="29" t="s">
        <v>3596</v>
      </c>
      <c r="I2226" s="33" t="s">
        <v>9156</v>
      </c>
      <c r="J2226" s="47" t="s">
        <v>5330</v>
      </c>
      <c r="K2226" s="61" t="s">
        <v>4779</v>
      </c>
      <c r="L2226" s="12" t="str">
        <f t="shared" si="102"/>
        <v>2,2,2</v>
      </c>
    </row>
    <row r="2227" spans="2:12">
      <c r="B2227" s="17">
        <v>2526</v>
      </c>
      <c r="C2227" s="17">
        <v>2</v>
      </c>
      <c r="D2227" s="17">
        <f t="shared" si="104"/>
        <v>0</v>
      </c>
      <c r="E2227" s="17">
        <f t="shared" si="103"/>
        <v>1889</v>
      </c>
      <c r="F2227" s="17" t="s">
        <v>4813</v>
      </c>
      <c r="G2227" s="17">
        <f>MATCH(E2227,Arenas!$F$8:$F$15)</f>
        <v>6</v>
      </c>
      <c r="H2227" s="29" t="s">
        <v>3597</v>
      </c>
      <c r="I2227" s="33" t="s">
        <v>9157</v>
      </c>
      <c r="J2227" s="47" t="s">
        <v>7500</v>
      </c>
      <c r="K2227" s="61" t="s">
        <v>4779</v>
      </c>
      <c r="L2227" s="12" t="str">
        <f t="shared" si="102"/>
        <v>2,2,2</v>
      </c>
    </row>
    <row r="2228" spans="2:12">
      <c r="B2228" s="17">
        <v>2527</v>
      </c>
      <c r="C2228" s="17">
        <v>2</v>
      </c>
      <c r="D2228" s="17">
        <f t="shared" si="104"/>
        <v>1</v>
      </c>
      <c r="E2228" s="17">
        <f t="shared" si="103"/>
        <v>1890</v>
      </c>
      <c r="F2228" s="17" t="s">
        <v>4813</v>
      </c>
      <c r="G2228" s="17">
        <f>MATCH(E2228,Arenas!$F$8:$F$15)</f>
        <v>6</v>
      </c>
      <c r="H2228" s="29" t="s">
        <v>3598</v>
      </c>
      <c r="I2228" s="33" t="s">
        <v>9158</v>
      </c>
      <c r="J2228" s="47" t="s">
        <v>9159</v>
      </c>
      <c r="K2228" s="61" t="s">
        <v>4779</v>
      </c>
      <c r="L2228" s="12" t="str">
        <f t="shared" si="102"/>
        <v>2,2,2</v>
      </c>
    </row>
    <row r="2229" spans="2:12">
      <c r="B2229" s="17">
        <v>2528</v>
      </c>
      <c r="C2229" s="17">
        <v>2</v>
      </c>
      <c r="D2229" s="17">
        <f t="shared" si="104"/>
        <v>0</v>
      </c>
      <c r="E2229" s="17">
        <f t="shared" si="103"/>
        <v>1890</v>
      </c>
      <c r="F2229" s="17" t="s">
        <v>4813</v>
      </c>
      <c r="G2229" s="17">
        <f>MATCH(E2229,Arenas!$F$8:$F$15)</f>
        <v>6</v>
      </c>
      <c r="H2229" s="29" t="s">
        <v>3599</v>
      </c>
      <c r="I2229" s="33" t="s">
        <v>9160</v>
      </c>
      <c r="J2229" s="47" t="s">
        <v>9161</v>
      </c>
      <c r="K2229" s="61" t="s">
        <v>4779</v>
      </c>
      <c r="L2229" s="12" t="str">
        <f t="shared" si="102"/>
        <v>2,2,2</v>
      </c>
    </row>
    <row r="2230" spans="2:12">
      <c r="B2230" s="17">
        <v>2529</v>
      </c>
      <c r="C2230" s="17">
        <v>2</v>
      </c>
      <c r="D2230" s="17">
        <f t="shared" si="104"/>
        <v>0</v>
      </c>
      <c r="E2230" s="17">
        <f t="shared" si="103"/>
        <v>1890</v>
      </c>
      <c r="F2230" s="17" t="s">
        <v>4813</v>
      </c>
      <c r="G2230" s="17">
        <f>MATCH(E2230,Arenas!$F$8:$F$15)</f>
        <v>6</v>
      </c>
      <c r="H2230" s="29" t="s">
        <v>3600</v>
      </c>
      <c r="I2230" s="33" t="s">
        <v>9162</v>
      </c>
      <c r="J2230" s="47" t="s">
        <v>7756</v>
      </c>
      <c r="K2230" s="61" t="s">
        <v>4779</v>
      </c>
      <c r="L2230" s="12" t="str">
        <f t="shared" si="102"/>
        <v>2,2,2</v>
      </c>
    </row>
    <row r="2231" spans="2:12">
      <c r="B2231" s="17">
        <v>2530</v>
      </c>
      <c r="C2231" s="17">
        <v>2</v>
      </c>
      <c r="D2231" s="17">
        <f t="shared" si="104"/>
        <v>1</v>
      </c>
      <c r="E2231" s="17">
        <f t="shared" si="103"/>
        <v>1891</v>
      </c>
      <c r="F2231" s="17" t="s">
        <v>4813</v>
      </c>
      <c r="G2231" s="17">
        <f>MATCH(E2231,Arenas!$F$8:$F$15)</f>
        <v>6</v>
      </c>
      <c r="H2231" s="29" t="s">
        <v>3601</v>
      </c>
      <c r="I2231" s="33" t="s">
        <v>9163</v>
      </c>
      <c r="J2231" s="47" t="s">
        <v>9164</v>
      </c>
      <c r="K2231" s="61" t="s">
        <v>4779</v>
      </c>
      <c r="L2231" s="12" t="str">
        <f t="shared" si="102"/>
        <v>2,2,2</v>
      </c>
    </row>
    <row r="2232" spans="2:12">
      <c r="B2232" s="17">
        <v>2531</v>
      </c>
      <c r="C2232" s="17">
        <v>2</v>
      </c>
      <c r="D2232" s="17">
        <f t="shared" si="104"/>
        <v>0</v>
      </c>
      <c r="E2232" s="17">
        <f t="shared" si="103"/>
        <v>1891</v>
      </c>
      <c r="F2232" s="17" t="s">
        <v>4813</v>
      </c>
      <c r="G2232" s="17">
        <f>MATCH(E2232,Arenas!$F$8:$F$15)</f>
        <v>6</v>
      </c>
      <c r="H2232" s="29" t="s">
        <v>3602</v>
      </c>
      <c r="I2232" s="33" t="s">
        <v>9165</v>
      </c>
      <c r="J2232" s="47" t="s">
        <v>9166</v>
      </c>
      <c r="K2232" s="61" t="s">
        <v>4779</v>
      </c>
      <c r="L2232" s="12" t="str">
        <f t="shared" si="102"/>
        <v>2,2,2</v>
      </c>
    </row>
    <row r="2233" spans="2:12">
      <c r="B2233" s="17">
        <v>2532</v>
      </c>
      <c r="C2233" s="17">
        <v>2</v>
      </c>
      <c r="D2233" s="17">
        <f t="shared" si="104"/>
        <v>0</v>
      </c>
      <c r="E2233" s="17">
        <f t="shared" si="103"/>
        <v>1891</v>
      </c>
      <c r="F2233" s="17" t="s">
        <v>4813</v>
      </c>
      <c r="G2233" s="17">
        <f>MATCH(E2233,Arenas!$F$8:$F$15)</f>
        <v>6</v>
      </c>
      <c r="H2233" s="29" t="s">
        <v>3603</v>
      </c>
      <c r="I2233" s="33" t="s">
        <v>9167</v>
      </c>
      <c r="J2233" s="47" t="s">
        <v>4920</v>
      </c>
      <c r="K2233" s="61" t="s">
        <v>4779</v>
      </c>
      <c r="L2233" s="12" t="str">
        <f t="shared" si="102"/>
        <v>2,2,2</v>
      </c>
    </row>
    <row r="2234" spans="2:12">
      <c r="B2234" s="17">
        <v>2533</v>
      </c>
      <c r="C2234" s="17">
        <v>2</v>
      </c>
      <c r="D2234" s="17">
        <f t="shared" si="104"/>
        <v>1</v>
      </c>
      <c r="E2234" s="17">
        <f t="shared" si="103"/>
        <v>1892</v>
      </c>
      <c r="F2234" s="17" t="s">
        <v>4813</v>
      </c>
      <c r="G2234" s="17">
        <f>MATCH(E2234,Arenas!$F$8:$F$15)</f>
        <v>6</v>
      </c>
      <c r="H2234" s="29" t="s">
        <v>3604</v>
      </c>
      <c r="I2234" s="33" t="s">
        <v>9168</v>
      </c>
      <c r="J2234" s="47" t="s">
        <v>9169</v>
      </c>
      <c r="K2234" s="61" t="s">
        <v>4779</v>
      </c>
      <c r="L2234" s="12" t="str">
        <f t="shared" si="102"/>
        <v>2,2,2</v>
      </c>
    </row>
    <row r="2235" spans="2:12">
      <c r="B2235" s="17">
        <v>2534</v>
      </c>
      <c r="C2235" s="17">
        <v>2</v>
      </c>
      <c r="D2235" s="17">
        <f t="shared" si="104"/>
        <v>0</v>
      </c>
      <c r="E2235" s="17">
        <f t="shared" si="103"/>
        <v>1892</v>
      </c>
      <c r="F2235" s="17" t="s">
        <v>4813</v>
      </c>
      <c r="G2235" s="17">
        <f>MATCH(E2235,Arenas!$F$8:$F$15)</f>
        <v>6</v>
      </c>
      <c r="H2235" s="29" t="s">
        <v>3605</v>
      </c>
      <c r="I2235" s="33" t="s">
        <v>9170</v>
      </c>
      <c r="J2235" s="47" t="s">
        <v>5891</v>
      </c>
      <c r="K2235" s="61" t="s">
        <v>4779</v>
      </c>
      <c r="L2235" s="12" t="str">
        <f t="shared" si="102"/>
        <v>2,2,2</v>
      </c>
    </row>
    <row r="2236" spans="2:12">
      <c r="B2236" s="17">
        <v>2535</v>
      </c>
      <c r="C2236" s="17">
        <v>2</v>
      </c>
      <c r="D2236" s="17">
        <f t="shared" si="104"/>
        <v>0</v>
      </c>
      <c r="E2236" s="17">
        <f t="shared" si="103"/>
        <v>1892</v>
      </c>
      <c r="F2236" s="17" t="s">
        <v>4813</v>
      </c>
      <c r="G2236" s="17">
        <f>MATCH(E2236,Arenas!$F$8:$F$15)</f>
        <v>6</v>
      </c>
      <c r="H2236" s="29" t="s">
        <v>3606</v>
      </c>
      <c r="I2236" s="33" t="s">
        <v>9171</v>
      </c>
      <c r="J2236" s="47" t="s">
        <v>9172</v>
      </c>
      <c r="K2236" s="61" t="s">
        <v>4779</v>
      </c>
      <c r="L2236" s="12" t="str">
        <f t="shared" si="102"/>
        <v>2,2,2</v>
      </c>
    </row>
    <row r="2237" spans="2:12">
      <c r="B2237" s="17">
        <v>2536</v>
      </c>
      <c r="C2237" s="17">
        <v>2</v>
      </c>
      <c r="D2237" s="17">
        <f t="shared" si="104"/>
        <v>1</v>
      </c>
      <c r="E2237" s="17">
        <f t="shared" si="103"/>
        <v>1893</v>
      </c>
      <c r="F2237" s="17" t="s">
        <v>4813</v>
      </c>
      <c r="G2237" s="17">
        <f>MATCH(E2237,Arenas!$F$8:$F$15)</f>
        <v>6</v>
      </c>
      <c r="H2237" s="29" t="s">
        <v>3607</v>
      </c>
      <c r="I2237" s="33" t="s">
        <v>9173</v>
      </c>
      <c r="J2237" s="47" t="s">
        <v>9174</v>
      </c>
      <c r="K2237" s="61" t="s">
        <v>4779</v>
      </c>
      <c r="L2237" s="12" t="str">
        <f t="shared" si="102"/>
        <v>2,2,2</v>
      </c>
    </row>
    <row r="2238" spans="2:12">
      <c r="B2238" s="17">
        <v>2537</v>
      </c>
      <c r="C2238" s="17">
        <v>2</v>
      </c>
      <c r="D2238" s="17">
        <f t="shared" si="104"/>
        <v>0</v>
      </c>
      <c r="E2238" s="17">
        <f t="shared" si="103"/>
        <v>1893</v>
      </c>
      <c r="F2238" s="17" t="s">
        <v>4813</v>
      </c>
      <c r="G2238" s="17">
        <f>MATCH(E2238,Arenas!$F$8:$F$15)</f>
        <v>6</v>
      </c>
      <c r="H2238" s="29" t="s">
        <v>3608</v>
      </c>
      <c r="I2238" s="33" t="s">
        <v>9175</v>
      </c>
      <c r="J2238" s="47" t="s">
        <v>9176</v>
      </c>
      <c r="K2238" s="61" t="s">
        <v>4779</v>
      </c>
      <c r="L2238" s="12" t="str">
        <f t="shared" si="102"/>
        <v>2,2,2</v>
      </c>
    </row>
    <row r="2239" spans="2:12">
      <c r="B2239" s="17">
        <v>2538</v>
      </c>
      <c r="C2239" s="17">
        <v>2</v>
      </c>
      <c r="D2239" s="17">
        <f t="shared" si="104"/>
        <v>0</v>
      </c>
      <c r="E2239" s="17">
        <f t="shared" si="103"/>
        <v>1893</v>
      </c>
      <c r="F2239" s="17" t="s">
        <v>4813</v>
      </c>
      <c r="G2239" s="17">
        <f>MATCH(E2239,Arenas!$F$8:$F$15)</f>
        <v>6</v>
      </c>
      <c r="H2239" s="29" t="s">
        <v>3609</v>
      </c>
      <c r="I2239" s="33" t="s">
        <v>9177</v>
      </c>
      <c r="J2239" s="47" t="s">
        <v>9178</v>
      </c>
      <c r="K2239" s="61" t="s">
        <v>4779</v>
      </c>
      <c r="L2239" s="12" t="str">
        <f t="shared" si="102"/>
        <v>2,2,2</v>
      </c>
    </row>
    <row r="2240" spans="2:12">
      <c r="B2240" s="17">
        <v>2539</v>
      </c>
      <c r="C2240" s="17">
        <v>2</v>
      </c>
      <c r="D2240" s="17">
        <f t="shared" si="104"/>
        <v>1</v>
      </c>
      <c r="E2240" s="17">
        <f t="shared" si="103"/>
        <v>1894</v>
      </c>
      <c r="F2240" s="17" t="s">
        <v>4813</v>
      </c>
      <c r="G2240" s="17">
        <f>MATCH(E2240,Arenas!$F$8:$F$15)</f>
        <v>6</v>
      </c>
      <c r="H2240" s="29" t="s">
        <v>3610</v>
      </c>
      <c r="I2240" s="33" t="s">
        <v>9179</v>
      </c>
      <c r="J2240" s="47" t="s">
        <v>9180</v>
      </c>
      <c r="K2240" s="61" t="s">
        <v>4779</v>
      </c>
      <c r="L2240" s="12" t="str">
        <f t="shared" si="102"/>
        <v>2,2,2</v>
      </c>
    </row>
    <row r="2241" spans="2:12">
      <c r="B2241" s="17">
        <v>2540</v>
      </c>
      <c r="C2241" s="17">
        <v>2</v>
      </c>
      <c r="D2241" s="17">
        <f t="shared" si="104"/>
        <v>0</v>
      </c>
      <c r="E2241" s="17">
        <f t="shared" si="103"/>
        <v>1894</v>
      </c>
      <c r="F2241" s="17" t="s">
        <v>4813</v>
      </c>
      <c r="G2241" s="17">
        <f>MATCH(E2241,Arenas!$F$8:$F$15)</f>
        <v>6</v>
      </c>
      <c r="H2241" s="29" t="s">
        <v>3611</v>
      </c>
      <c r="I2241" s="33" t="s">
        <v>9181</v>
      </c>
      <c r="J2241" s="47" t="s">
        <v>5155</v>
      </c>
      <c r="K2241" s="61" t="s">
        <v>4779</v>
      </c>
      <c r="L2241" s="12" t="str">
        <f t="shared" si="102"/>
        <v>2,2,2</v>
      </c>
    </row>
    <row r="2242" spans="2:12">
      <c r="B2242" s="17">
        <v>2541</v>
      </c>
      <c r="C2242" s="17">
        <v>2</v>
      </c>
      <c r="D2242" s="17">
        <f t="shared" si="104"/>
        <v>0</v>
      </c>
      <c r="E2242" s="17">
        <f t="shared" si="103"/>
        <v>1894</v>
      </c>
      <c r="F2242" s="17" t="s">
        <v>4813</v>
      </c>
      <c r="G2242" s="17">
        <f>MATCH(E2242,Arenas!$F$8:$F$15)</f>
        <v>6</v>
      </c>
      <c r="H2242" s="29" t="s">
        <v>3612</v>
      </c>
      <c r="I2242" s="33" t="s">
        <v>9182</v>
      </c>
      <c r="J2242" s="47" t="s">
        <v>9183</v>
      </c>
      <c r="K2242" s="61" t="s">
        <v>4779</v>
      </c>
      <c r="L2242" s="12" t="str">
        <f t="shared" ref="L2242:L2305" si="105">C2242&amp;","&amp;C2242&amp;","&amp;C2242</f>
        <v>2,2,2</v>
      </c>
    </row>
    <row r="2243" spans="2:12">
      <c r="B2243" s="17">
        <v>2542</v>
      </c>
      <c r="C2243" s="17">
        <v>2</v>
      </c>
      <c r="D2243" s="17">
        <f t="shared" si="104"/>
        <v>1</v>
      </c>
      <c r="E2243" s="17">
        <f t="shared" ref="E2243:E2306" si="106">D2243+E2242</f>
        <v>1895</v>
      </c>
      <c r="F2243" s="17" t="s">
        <v>4813</v>
      </c>
      <c r="G2243" s="17">
        <f>MATCH(E2243,Arenas!$F$8:$F$15)</f>
        <v>6</v>
      </c>
      <c r="H2243" s="29" t="s">
        <v>3613</v>
      </c>
      <c r="I2243" s="33" t="s">
        <v>9184</v>
      </c>
      <c r="J2243" s="47" t="s">
        <v>9185</v>
      </c>
      <c r="K2243" s="61" t="s">
        <v>4779</v>
      </c>
      <c r="L2243" s="12" t="str">
        <f t="shared" si="105"/>
        <v>2,2,2</v>
      </c>
    </row>
    <row r="2244" spans="2:12">
      <c r="B2244" s="17">
        <v>2543</v>
      </c>
      <c r="C2244" s="17">
        <v>2</v>
      </c>
      <c r="D2244" s="17">
        <f t="shared" si="104"/>
        <v>0</v>
      </c>
      <c r="E2244" s="17">
        <f t="shared" si="106"/>
        <v>1895</v>
      </c>
      <c r="F2244" s="17" t="s">
        <v>4813</v>
      </c>
      <c r="G2244" s="17">
        <f>MATCH(E2244,Arenas!$F$8:$F$15)</f>
        <v>6</v>
      </c>
      <c r="H2244" s="29" t="s">
        <v>3614</v>
      </c>
      <c r="I2244" s="33" t="s">
        <v>9186</v>
      </c>
      <c r="J2244" s="47" t="s">
        <v>9187</v>
      </c>
      <c r="K2244" s="61" t="s">
        <v>4779</v>
      </c>
      <c r="L2244" s="12" t="str">
        <f t="shared" si="105"/>
        <v>2,2,2</v>
      </c>
    </row>
    <row r="2245" spans="2:12">
      <c r="B2245" s="17">
        <v>2544</v>
      </c>
      <c r="C2245" s="17">
        <v>2</v>
      </c>
      <c r="D2245" s="17">
        <f t="shared" ref="D2245:D2308" si="107">D2242</f>
        <v>0</v>
      </c>
      <c r="E2245" s="17">
        <f t="shared" si="106"/>
        <v>1895</v>
      </c>
      <c r="F2245" s="17" t="s">
        <v>4813</v>
      </c>
      <c r="G2245" s="17">
        <f>MATCH(E2245,Arenas!$F$8:$F$15)</f>
        <v>6</v>
      </c>
      <c r="H2245" s="29" t="s">
        <v>3615</v>
      </c>
      <c r="I2245" s="33" t="s">
        <v>9188</v>
      </c>
      <c r="J2245" s="47" t="s">
        <v>9189</v>
      </c>
      <c r="K2245" s="61" t="s">
        <v>4779</v>
      </c>
      <c r="L2245" s="12" t="str">
        <f t="shared" si="105"/>
        <v>2,2,2</v>
      </c>
    </row>
    <row r="2246" spans="2:12">
      <c r="B2246" s="17">
        <v>2545</v>
      </c>
      <c r="C2246" s="17">
        <v>2</v>
      </c>
      <c r="D2246" s="17">
        <f t="shared" si="107"/>
        <v>1</v>
      </c>
      <c r="E2246" s="17">
        <f t="shared" si="106"/>
        <v>1896</v>
      </c>
      <c r="F2246" s="17" t="s">
        <v>4813</v>
      </c>
      <c r="G2246" s="17">
        <f>MATCH(E2246,Arenas!$F$8:$F$15)</f>
        <v>6</v>
      </c>
      <c r="H2246" s="29" t="s">
        <v>3616</v>
      </c>
      <c r="I2246" s="33" t="s">
        <v>9190</v>
      </c>
      <c r="J2246" s="47" t="s">
        <v>9191</v>
      </c>
      <c r="K2246" s="61" t="s">
        <v>4779</v>
      </c>
      <c r="L2246" s="12" t="str">
        <f t="shared" si="105"/>
        <v>2,2,2</v>
      </c>
    </row>
    <row r="2247" spans="2:12">
      <c r="B2247" s="17">
        <v>2546</v>
      </c>
      <c r="C2247" s="17">
        <v>2</v>
      </c>
      <c r="D2247" s="17">
        <f t="shared" si="107"/>
        <v>0</v>
      </c>
      <c r="E2247" s="17">
        <f t="shared" si="106"/>
        <v>1896</v>
      </c>
      <c r="F2247" s="17" t="s">
        <v>4813</v>
      </c>
      <c r="G2247" s="17">
        <f>MATCH(E2247,Arenas!$F$8:$F$15)</f>
        <v>6</v>
      </c>
      <c r="H2247" s="29" t="s">
        <v>3617</v>
      </c>
      <c r="I2247" s="33" t="s">
        <v>9192</v>
      </c>
      <c r="J2247" s="47" t="s">
        <v>9193</v>
      </c>
      <c r="K2247" s="61" t="s">
        <v>4779</v>
      </c>
      <c r="L2247" s="12" t="str">
        <f t="shared" si="105"/>
        <v>2,2,2</v>
      </c>
    </row>
    <row r="2248" spans="2:12">
      <c r="B2248" s="17">
        <v>2547</v>
      </c>
      <c r="C2248" s="17">
        <v>2</v>
      </c>
      <c r="D2248" s="17">
        <f t="shared" si="107"/>
        <v>0</v>
      </c>
      <c r="E2248" s="17">
        <f t="shared" si="106"/>
        <v>1896</v>
      </c>
      <c r="F2248" s="17" t="s">
        <v>4813</v>
      </c>
      <c r="G2248" s="17">
        <f>MATCH(E2248,Arenas!$F$8:$F$15)</f>
        <v>6</v>
      </c>
      <c r="H2248" s="29" t="s">
        <v>3618</v>
      </c>
      <c r="I2248" s="33" t="s">
        <v>9194</v>
      </c>
      <c r="J2248" s="47" t="s">
        <v>9195</v>
      </c>
      <c r="K2248" s="61" t="s">
        <v>4779</v>
      </c>
      <c r="L2248" s="12" t="str">
        <f t="shared" si="105"/>
        <v>2,2,2</v>
      </c>
    </row>
    <row r="2249" spans="2:12">
      <c r="B2249" s="17">
        <v>2548</v>
      </c>
      <c r="C2249" s="17">
        <v>2</v>
      </c>
      <c r="D2249" s="17">
        <f t="shared" si="107"/>
        <v>1</v>
      </c>
      <c r="E2249" s="17">
        <f t="shared" si="106"/>
        <v>1897</v>
      </c>
      <c r="F2249" s="17" t="s">
        <v>4813</v>
      </c>
      <c r="G2249" s="17">
        <f>MATCH(E2249,Arenas!$F$8:$F$15)</f>
        <v>6</v>
      </c>
      <c r="H2249" s="29" t="s">
        <v>3619</v>
      </c>
      <c r="I2249" s="33" t="s">
        <v>9196</v>
      </c>
      <c r="J2249" s="47" t="s">
        <v>9197</v>
      </c>
      <c r="K2249" s="61" t="s">
        <v>4779</v>
      </c>
      <c r="L2249" s="12" t="str">
        <f t="shared" si="105"/>
        <v>2,2,2</v>
      </c>
    </row>
    <row r="2250" spans="2:12">
      <c r="B2250" s="17">
        <v>2549</v>
      </c>
      <c r="C2250" s="17">
        <v>2</v>
      </c>
      <c r="D2250" s="17">
        <f t="shared" si="107"/>
        <v>0</v>
      </c>
      <c r="E2250" s="17">
        <f t="shared" si="106"/>
        <v>1897</v>
      </c>
      <c r="F2250" s="17" t="s">
        <v>4813</v>
      </c>
      <c r="G2250" s="17">
        <f>MATCH(E2250,Arenas!$F$8:$F$15)</f>
        <v>6</v>
      </c>
      <c r="H2250" s="29" t="s">
        <v>3620</v>
      </c>
      <c r="I2250" s="33" t="s">
        <v>9198</v>
      </c>
      <c r="J2250" s="47" t="s">
        <v>5752</v>
      </c>
      <c r="K2250" s="61" t="s">
        <v>4779</v>
      </c>
      <c r="L2250" s="12" t="str">
        <f t="shared" si="105"/>
        <v>2,2,2</v>
      </c>
    </row>
    <row r="2251" spans="2:12">
      <c r="B2251" s="17">
        <v>2550</v>
      </c>
      <c r="C2251" s="17">
        <v>2</v>
      </c>
      <c r="D2251" s="17">
        <f t="shared" si="107"/>
        <v>0</v>
      </c>
      <c r="E2251" s="17">
        <f t="shared" si="106"/>
        <v>1897</v>
      </c>
      <c r="F2251" s="17" t="s">
        <v>4813</v>
      </c>
      <c r="G2251" s="17">
        <f>MATCH(E2251,Arenas!$F$8:$F$15)</f>
        <v>6</v>
      </c>
      <c r="H2251" s="29" t="s">
        <v>3621</v>
      </c>
      <c r="I2251" s="33" t="s">
        <v>9199</v>
      </c>
      <c r="J2251" s="47" t="s">
        <v>9200</v>
      </c>
      <c r="K2251" s="61" t="s">
        <v>4779</v>
      </c>
      <c r="L2251" s="12" t="str">
        <f t="shared" si="105"/>
        <v>2,2,2</v>
      </c>
    </row>
    <row r="2252" spans="2:12">
      <c r="B2252" s="17">
        <v>2551</v>
      </c>
      <c r="C2252" s="17">
        <v>2</v>
      </c>
      <c r="D2252" s="17">
        <f t="shared" si="107"/>
        <v>1</v>
      </c>
      <c r="E2252" s="17">
        <f t="shared" si="106"/>
        <v>1898</v>
      </c>
      <c r="F2252" s="17" t="s">
        <v>4813</v>
      </c>
      <c r="G2252" s="17">
        <f>MATCH(E2252,Arenas!$F$8:$F$15)</f>
        <v>6</v>
      </c>
      <c r="H2252" s="29" t="s">
        <v>3622</v>
      </c>
      <c r="I2252" s="33" t="s">
        <v>9201</v>
      </c>
      <c r="J2252" s="47" t="s">
        <v>9202</v>
      </c>
      <c r="K2252" s="61" t="s">
        <v>4779</v>
      </c>
      <c r="L2252" s="12" t="str">
        <f t="shared" si="105"/>
        <v>2,2,2</v>
      </c>
    </row>
    <row r="2253" spans="2:12">
      <c r="B2253" s="17">
        <v>2552</v>
      </c>
      <c r="C2253" s="17">
        <v>2</v>
      </c>
      <c r="D2253" s="17">
        <f t="shared" si="107"/>
        <v>0</v>
      </c>
      <c r="E2253" s="17">
        <f t="shared" si="106"/>
        <v>1898</v>
      </c>
      <c r="F2253" s="17" t="s">
        <v>4813</v>
      </c>
      <c r="G2253" s="17">
        <f>MATCH(E2253,Arenas!$F$8:$F$15)</f>
        <v>6</v>
      </c>
      <c r="H2253" s="29" t="s">
        <v>3623</v>
      </c>
      <c r="I2253" s="33" t="s">
        <v>9203</v>
      </c>
      <c r="J2253" s="47" t="s">
        <v>9204</v>
      </c>
      <c r="K2253" s="61" t="s">
        <v>4779</v>
      </c>
      <c r="L2253" s="12" t="str">
        <f t="shared" si="105"/>
        <v>2,2,2</v>
      </c>
    </row>
    <row r="2254" spans="2:12">
      <c r="B2254" s="17">
        <v>2553</v>
      </c>
      <c r="C2254" s="17">
        <v>2</v>
      </c>
      <c r="D2254" s="17">
        <f t="shared" si="107"/>
        <v>0</v>
      </c>
      <c r="E2254" s="17">
        <f t="shared" si="106"/>
        <v>1898</v>
      </c>
      <c r="F2254" s="17" t="s">
        <v>4813</v>
      </c>
      <c r="G2254" s="17">
        <f>MATCH(E2254,Arenas!$F$8:$F$15)</f>
        <v>6</v>
      </c>
      <c r="H2254" s="29" t="s">
        <v>3624</v>
      </c>
      <c r="I2254" s="33" t="s">
        <v>9205</v>
      </c>
      <c r="J2254" s="47" t="s">
        <v>9206</v>
      </c>
      <c r="K2254" s="61" t="s">
        <v>4779</v>
      </c>
      <c r="L2254" s="12" t="str">
        <f t="shared" si="105"/>
        <v>2,2,2</v>
      </c>
    </row>
    <row r="2255" spans="2:12">
      <c r="B2255" s="17">
        <v>2554</v>
      </c>
      <c r="C2255" s="17">
        <v>2</v>
      </c>
      <c r="D2255" s="17">
        <f t="shared" si="107"/>
        <v>1</v>
      </c>
      <c r="E2255" s="17">
        <f t="shared" si="106"/>
        <v>1899</v>
      </c>
      <c r="F2255" s="17" t="s">
        <v>4813</v>
      </c>
      <c r="G2255" s="17">
        <f>MATCH(E2255,Arenas!$F$8:$F$15)</f>
        <v>6</v>
      </c>
      <c r="H2255" s="29" t="s">
        <v>3625</v>
      </c>
      <c r="I2255" s="33" t="s">
        <v>9207</v>
      </c>
      <c r="J2255" s="47" t="s">
        <v>9208</v>
      </c>
      <c r="K2255" s="61" t="s">
        <v>4779</v>
      </c>
      <c r="L2255" s="12" t="str">
        <f t="shared" si="105"/>
        <v>2,2,2</v>
      </c>
    </row>
    <row r="2256" spans="2:12">
      <c r="B2256" s="17">
        <v>2555</v>
      </c>
      <c r="C2256" s="17">
        <v>2</v>
      </c>
      <c r="D2256" s="17">
        <f t="shared" si="107"/>
        <v>0</v>
      </c>
      <c r="E2256" s="17">
        <f t="shared" si="106"/>
        <v>1899</v>
      </c>
      <c r="F2256" s="17" t="s">
        <v>4813</v>
      </c>
      <c r="G2256" s="17">
        <f>MATCH(E2256,Arenas!$F$8:$F$15)</f>
        <v>6</v>
      </c>
      <c r="H2256" s="29" t="s">
        <v>3626</v>
      </c>
      <c r="I2256" s="33" t="s">
        <v>9209</v>
      </c>
      <c r="J2256" s="47" t="s">
        <v>9210</v>
      </c>
      <c r="K2256" s="61" t="s">
        <v>4779</v>
      </c>
      <c r="L2256" s="12" t="str">
        <f t="shared" si="105"/>
        <v>2,2,2</v>
      </c>
    </row>
    <row r="2257" spans="2:12">
      <c r="B2257" s="17">
        <v>2556</v>
      </c>
      <c r="C2257" s="17">
        <v>2</v>
      </c>
      <c r="D2257" s="17">
        <f t="shared" si="107"/>
        <v>0</v>
      </c>
      <c r="E2257" s="17">
        <f t="shared" si="106"/>
        <v>1899</v>
      </c>
      <c r="F2257" s="17" t="s">
        <v>4813</v>
      </c>
      <c r="G2257" s="17">
        <f>MATCH(E2257,Arenas!$F$8:$F$15)</f>
        <v>6</v>
      </c>
      <c r="H2257" s="29" t="s">
        <v>3627</v>
      </c>
      <c r="I2257" s="33" t="s">
        <v>9211</v>
      </c>
      <c r="J2257" s="47" t="s">
        <v>9212</v>
      </c>
      <c r="K2257" s="61" t="s">
        <v>4779</v>
      </c>
      <c r="L2257" s="12" t="str">
        <f t="shared" si="105"/>
        <v>2,2,2</v>
      </c>
    </row>
    <row r="2258" spans="2:12">
      <c r="B2258" s="17">
        <v>2557</v>
      </c>
      <c r="C2258" s="17">
        <v>2</v>
      </c>
      <c r="D2258" s="17">
        <f t="shared" si="107"/>
        <v>1</v>
      </c>
      <c r="E2258" s="17">
        <f t="shared" si="106"/>
        <v>1900</v>
      </c>
      <c r="F2258" s="17" t="s">
        <v>4813</v>
      </c>
      <c r="G2258" s="17">
        <f>MATCH(E2258,Arenas!$F$8:$F$15)</f>
        <v>6</v>
      </c>
      <c r="H2258" s="29" t="s">
        <v>3628</v>
      </c>
      <c r="I2258" s="33" t="s">
        <v>9213</v>
      </c>
      <c r="J2258" s="47" t="s">
        <v>9214</v>
      </c>
      <c r="K2258" s="61" t="s">
        <v>4809</v>
      </c>
      <c r="L2258" s="12" t="str">
        <f t="shared" si="105"/>
        <v>2,2,2</v>
      </c>
    </row>
    <row r="2259" spans="2:12">
      <c r="B2259" s="17">
        <v>2558</v>
      </c>
      <c r="C2259" s="17">
        <v>2</v>
      </c>
      <c r="D2259" s="17">
        <f t="shared" si="107"/>
        <v>0</v>
      </c>
      <c r="E2259" s="17">
        <f t="shared" si="106"/>
        <v>1900</v>
      </c>
      <c r="F2259" s="17" t="s">
        <v>4813</v>
      </c>
      <c r="G2259" s="17">
        <f>MATCH(E2259,Arenas!$F$8:$F$15)</f>
        <v>6</v>
      </c>
      <c r="H2259" s="29" t="s">
        <v>3629</v>
      </c>
      <c r="I2259" s="33" t="s">
        <v>9215</v>
      </c>
      <c r="J2259" s="47" t="s">
        <v>9216</v>
      </c>
      <c r="K2259" s="61" t="s">
        <v>4779</v>
      </c>
      <c r="L2259" s="12" t="str">
        <f t="shared" si="105"/>
        <v>2,2,2</v>
      </c>
    </row>
    <row r="2260" spans="2:12">
      <c r="B2260" s="17">
        <v>2559</v>
      </c>
      <c r="C2260" s="17">
        <v>2</v>
      </c>
      <c r="D2260" s="17">
        <f t="shared" si="107"/>
        <v>0</v>
      </c>
      <c r="E2260" s="17">
        <f t="shared" si="106"/>
        <v>1900</v>
      </c>
      <c r="F2260" s="17" t="s">
        <v>4813</v>
      </c>
      <c r="G2260" s="17">
        <f>MATCH(E2260,Arenas!$F$8:$F$15)</f>
        <v>6</v>
      </c>
      <c r="H2260" s="29" t="s">
        <v>3630</v>
      </c>
      <c r="I2260" s="33" t="s">
        <v>9217</v>
      </c>
      <c r="J2260" s="47" t="s">
        <v>9218</v>
      </c>
      <c r="K2260" s="61" t="s">
        <v>4779</v>
      </c>
      <c r="L2260" s="12" t="str">
        <f t="shared" si="105"/>
        <v>2,2,2</v>
      </c>
    </row>
    <row r="2261" spans="2:12">
      <c r="B2261" s="17">
        <v>2560</v>
      </c>
      <c r="C2261" s="17">
        <v>2</v>
      </c>
      <c r="D2261" s="17">
        <f t="shared" si="107"/>
        <v>1</v>
      </c>
      <c r="E2261" s="17">
        <f t="shared" si="106"/>
        <v>1901</v>
      </c>
      <c r="F2261" s="17" t="s">
        <v>4813</v>
      </c>
      <c r="G2261" s="17">
        <f>MATCH(E2261,Arenas!$F$8:$F$15)</f>
        <v>6</v>
      </c>
      <c r="H2261" s="29" t="s">
        <v>3631</v>
      </c>
      <c r="I2261" s="33" t="s">
        <v>9219</v>
      </c>
      <c r="J2261" s="47" t="s">
        <v>9220</v>
      </c>
      <c r="K2261" s="61" t="s">
        <v>4779</v>
      </c>
      <c r="L2261" s="12" t="str">
        <f t="shared" si="105"/>
        <v>2,2,2</v>
      </c>
    </row>
    <row r="2262" spans="2:12">
      <c r="B2262" s="17">
        <v>2561</v>
      </c>
      <c r="C2262" s="17">
        <v>2</v>
      </c>
      <c r="D2262" s="17">
        <f t="shared" si="107"/>
        <v>0</v>
      </c>
      <c r="E2262" s="17">
        <f t="shared" si="106"/>
        <v>1901</v>
      </c>
      <c r="F2262" s="17" t="s">
        <v>4813</v>
      </c>
      <c r="G2262" s="17">
        <f>MATCH(E2262,Arenas!$F$8:$F$15)</f>
        <v>6</v>
      </c>
      <c r="H2262" s="29" t="s">
        <v>3632</v>
      </c>
      <c r="I2262" s="33" t="s">
        <v>9221</v>
      </c>
      <c r="J2262" s="47" t="s">
        <v>9222</v>
      </c>
      <c r="K2262" s="61" t="s">
        <v>4779</v>
      </c>
      <c r="L2262" s="12" t="str">
        <f t="shared" si="105"/>
        <v>2,2,2</v>
      </c>
    </row>
    <row r="2263" spans="2:12">
      <c r="B2263" s="17">
        <v>2562</v>
      </c>
      <c r="C2263" s="17">
        <v>2</v>
      </c>
      <c r="D2263" s="17">
        <f t="shared" si="107"/>
        <v>0</v>
      </c>
      <c r="E2263" s="17">
        <f t="shared" si="106"/>
        <v>1901</v>
      </c>
      <c r="F2263" s="17" t="s">
        <v>4813</v>
      </c>
      <c r="G2263" s="17">
        <f>MATCH(E2263,Arenas!$F$8:$F$15)</f>
        <v>6</v>
      </c>
      <c r="H2263" s="29" t="s">
        <v>3633</v>
      </c>
      <c r="I2263" s="33" t="s">
        <v>9223</v>
      </c>
      <c r="J2263" s="47" t="s">
        <v>9224</v>
      </c>
      <c r="K2263" s="61" t="s">
        <v>4779</v>
      </c>
      <c r="L2263" s="12" t="str">
        <f t="shared" si="105"/>
        <v>2,2,2</v>
      </c>
    </row>
    <row r="2264" spans="2:12">
      <c r="B2264" s="17">
        <v>2563</v>
      </c>
      <c r="C2264" s="17">
        <v>2</v>
      </c>
      <c r="D2264" s="17">
        <f t="shared" si="107"/>
        <v>1</v>
      </c>
      <c r="E2264" s="17">
        <f t="shared" si="106"/>
        <v>1902</v>
      </c>
      <c r="F2264" s="17" t="s">
        <v>4813</v>
      </c>
      <c r="G2264" s="17">
        <f>MATCH(E2264,Arenas!$F$8:$F$15)</f>
        <v>6</v>
      </c>
      <c r="H2264" s="29" t="s">
        <v>3634</v>
      </c>
      <c r="I2264" s="33" t="s">
        <v>9225</v>
      </c>
      <c r="J2264" s="47" t="s">
        <v>9226</v>
      </c>
      <c r="K2264" s="61" t="s">
        <v>4779</v>
      </c>
      <c r="L2264" s="12" t="str">
        <f t="shared" si="105"/>
        <v>2,2,2</v>
      </c>
    </row>
    <row r="2265" spans="2:12">
      <c r="B2265" s="17">
        <v>2564</v>
      </c>
      <c r="C2265" s="17">
        <v>2</v>
      </c>
      <c r="D2265" s="17">
        <f t="shared" si="107"/>
        <v>0</v>
      </c>
      <c r="E2265" s="17">
        <f t="shared" si="106"/>
        <v>1902</v>
      </c>
      <c r="F2265" s="17" t="s">
        <v>4813</v>
      </c>
      <c r="G2265" s="17">
        <f>MATCH(E2265,Arenas!$F$8:$F$15)</f>
        <v>6</v>
      </c>
      <c r="H2265" s="29" t="s">
        <v>3635</v>
      </c>
      <c r="I2265" s="33" t="s">
        <v>9227</v>
      </c>
      <c r="J2265" s="47" t="s">
        <v>9228</v>
      </c>
      <c r="K2265" s="61" t="s">
        <v>4779</v>
      </c>
      <c r="L2265" s="12" t="str">
        <f t="shared" si="105"/>
        <v>2,2,2</v>
      </c>
    </row>
    <row r="2266" spans="2:12">
      <c r="B2266" s="17">
        <v>2565</v>
      </c>
      <c r="C2266" s="17">
        <v>2</v>
      </c>
      <c r="D2266" s="17">
        <f t="shared" si="107"/>
        <v>0</v>
      </c>
      <c r="E2266" s="17">
        <f t="shared" si="106"/>
        <v>1902</v>
      </c>
      <c r="F2266" s="17" t="s">
        <v>4813</v>
      </c>
      <c r="G2266" s="17">
        <f>MATCH(E2266,Arenas!$F$8:$F$15)</f>
        <v>6</v>
      </c>
      <c r="H2266" s="29" t="s">
        <v>3636</v>
      </c>
      <c r="I2266" s="33" t="s">
        <v>9229</v>
      </c>
      <c r="J2266" s="47" t="s">
        <v>9230</v>
      </c>
      <c r="K2266" s="61" t="s">
        <v>4809</v>
      </c>
      <c r="L2266" s="12" t="str">
        <f t="shared" si="105"/>
        <v>2,2,2</v>
      </c>
    </row>
    <row r="2267" spans="2:12">
      <c r="B2267" s="17">
        <v>2566</v>
      </c>
      <c r="C2267" s="17">
        <v>2</v>
      </c>
      <c r="D2267" s="17">
        <f t="shared" si="107"/>
        <v>1</v>
      </c>
      <c r="E2267" s="17">
        <f t="shared" si="106"/>
        <v>1903</v>
      </c>
      <c r="F2267" s="17" t="s">
        <v>4813</v>
      </c>
      <c r="G2267" s="17">
        <f>MATCH(E2267,Arenas!$F$8:$F$15)</f>
        <v>6</v>
      </c>
      <c r="H2267" s="29" t="s">
        <v>3637</v>
      </c>
      <c r="I2267" s="33" t="s">
        <v>9231</v>
      </c>
      <c r="J2267" s="47" t="s">
        <v>9232</v>
      </c>
      <c r="K2267" s="61" t="s">
        <v>4779</v>
      </c>
      <c r="L2267" s="12" t="str">
        <f t="shared" si="105"/>
        <v>2,2,2</v>
      </c>
    </row>
    <row r="2268" spans="2:12">
      <c r="B2268" s="17">
        <v>2567</v>
      </c>
      <c r="C2268" s="17">
        <v>2</v>
      </c>
      <c r="D2268" s="17">
        <f t="shared" si="107"/>
        <v>0</v>
      </c>
      <c r="E2268" s="17">
        <f t="shared" si="106"/>
        <v>1903</v>
      </c>
      <c r="F2268" s="17" t="s">
        <v>4813</v>
      </c>
      <c r="G2268" s="17">
        <f>MATCH(E2268,Arenas!$F$8:$F$15)</f>
        <v>6</v>
      </c>
      <c r="H2268" s="29" t="s">
        <v>3638</v>
      </c>
      <c r="I2268" s="33" t="s">
        <v>9233</v>
      </c>
      <c r="J2268" s="47" t="s">
        <v>9234</v>
      </c>
      <c r="K2268" s="61" t="s">
        <v>4779</v>
      </c>
      <c r="L2268" s="12" t="str">
        <f t="shared" si="105"/>
        <v>2,2,2</v>
      </c>
    </row>
    <row r="2269" spans="2:12">
      <c r="B2269" s="17">
        <v>2568</v>
      </c>
      <c r="C2269" s="17">
        <v>2</v>
      </c>
      <c r="D2269" s="17">
        <f t="shared" si="107"/>
        <v>0</v>
      </c>
      <c r="E2269" s="17">
        <f t="shared" si="106"/>
        <v>1903</v>
      </c>
      <c r="F2269" s="17" t="s">
        <v>4813</v>
      </c>
      <c r="G2269" s="17">
        <f>MATCH(E2269,Arenas!$F$8:$F$15)</f>
        <v>6</v>
      </c>
      <c r="H2269" s="29" t="s">
        <v>3639</v>
      </c>
      <c r="I2269" s="33" t="s">
        <v>9235</v>
      </c>
      <c r="J2269" s="47" t="s">
        <v>9236</v>
      </c>
      <c r="K2269" s="61" t="s">
        <v>4779</v>
      </c>
      <c r="L2269" s="12" t="str">
        <f t="shared" si="105"/>
        <v>2,2,2</v>
      </c>
    </row>
    <row r="2270" spans="2:12">
      <c r="B2270" s="17">
        <v>2569</v>
      </c>
      <c r="C2270" s="17">
        <v>2</v>
      </c>
      <c r="D2270" s="17">
        <f t="shared" si="107"/>
        <v>1</v>
      </c>
      <c r="E2270" s="17">
        <f t="shared" si="106"/>
        <v>1904</v>
      </c>
      <c r="F2270" s="17" t="s">
        <v>4813</v>
      </c>
      <c r="G2270" s="17">
        <f>MATCH(E2270,Arenas!$F$8:$F$15)</f>
        <v>6</v>
      </c>
      <c r="H2270" s="29" t="s">
        <v>3640</v>
      </c>
      <c r="I2270" s="33" t="s">
        <v>9237</v>
      </c>
      <c r="J2270" s="47" t="s">
        <v>5205</v>
      </c>
      <c r="K2270" s="61" t="s">
        <v>4810</v>
      </c>
      <c r="L2270" s="12" t="str">
        <f t="shared" si="105"/>
        <v>2,2,2</v>
      </c>
    </row>
    <row r="2271" spans="2:12">
      <c r="B2271" s="17">
        <v>2570</v>
      </c>
      <c r="C2271" s="17">
        <v>2</v>
      </c>
      <c r="D2271" s="17">
        <f t="shared" si="107"/>
        <v>0</v>
      </c>
      <c r="E2271" s="17">
        <f t="shared" si="106"/>
        <v>1904</v>
      </c>
      <c r="F2271" s="17" t="s">
        <v>4813</v>
      </c>
      <c r="G2271" s="17">
        <f>MATCH(E2271,Arenas!$F$8:$F$15)</f>
        <v>6</v>
      </c>
      <c r="H2271" s="29" t="s">
        <v>3641</v>
      </c>
      <c r="I2271" s="33" t="s">
        <v>9238</v>
      </c>
      <c r="J2271" s="47" t="s">
        <v>5542</v>
      </c>
      <c r="K2271" s="61" t="s">
        <v>4779</v>
      </c>
      <c r="L2271" s="12" t="str">
        <f t="shared" si="105"/>
        <v>2,2,2</v>
      </c>
    </row>
    <row r="2272" spans="2:12">
      <c r="B2272" s="17">
        <v>2571</v>
      </c>
      <c r="C2272" s="17">
        <v>2</v>
      </c>
      <c r="D2272" s="17">
        <f t="shared" si="107"/>
        <v>0</v>
      </c>
      <c r="E2272" s="17">
        <f t="shared" si="106"/>
        <v>1904</v>
      </c>
      <c r="F2272" s="17" t="s">
        <v>4813</v>
      </c>
      <c r="G2272" s="17">
        <f>MATCH(E2272,Arenas!$F$8:$F$15)</f>
        <v>6</v>
      </c>
      <c r="H2272" s="29" t="s">
        <v>3642</v>
      </c>
      <c r="I2272" s="33" t="s">
        <v>9239</v>
      </c>
      <c r="J2272" s="47" t="s">
        <v>9240</v>
      </c>
      <c r="K2272" s="61" t="s">
        <v>4779</v>
      </c>
      <c r="L2272" s="12" t="str">
        <f t="shared" si="105"/>
        <v>2,2,2</v>
      </c>
    </row>
    <row r="2273" spans="2:12">
      <c r="B2273" s="17">
        <v>2572</v>
      </c>
      <c r="C2273" s="17">
        <v>2</v>
      </c>
      <c r="D2273" s="17">
        <f t="shared" si="107"/>
        <v>1</v>
      </c>
      <c r="E2273" s="17">
        <f t="shared" si="106"/>
        <v>1905</v>
      </c>
      <c r="F2273" s="17" t="s">
        <v>4813</v>
      </c>
      <c r="G2273" s="17">
        <f>MATCH(E2273,Arenas!$F$8:$F$15)</f>
        <v>6</v>
      </c>
      <c r="H2273" s="29" t="s">
        <v>3643</v>
      </c>
      <c r="I2273" s="33" t="s">
        <v>9241</v>
      </c>
      <c r="J2273" s="47" t="s">
        <v>9242</v>
      </c>
      <c r="K2273" s="61" t="s">
        <v>4779</v>
      </c>
      <c r="L2273" s="12" t="str">
        <f t="shared" si="105"/>
        <v>2,2,2</v>
      </c>
    </row>
    <row r="2274" spans="2:12">
      <c r="B2274" s="17">
        <v>2573</v>
      </c>
      <c r="C2274" s="17">
        <v>2</v>
      </c>
      <c r="D2274" s="17">
        <f t="shared" si="107"/>
        <v>0</v>
      </c>
      <c r="E2274" s="17">
        <f t="shared" si="106"/>
        <v>1905</v>
      </c>
      <c r="F2274" s="17" t="s">
        <v>4813</v>
      </c>
      <c r="G2274" s="17">
        <f>MATCH(E2274,Arenas!$F$8:$F$15)</f>
        <v>6</v>
      </c>
      <c r="H2274" s="29" t="s">
        <v>3644</v>
      </c>
      <c r="I2274" s="33" t="s">
        <v>9243</v>
      </c>
      <c r="J2274" s="47" t="s">
        <v>9244</v>
      </c>
      <c r="K2274" s="61" t="s">
        <v>4779</v>
      </c>
      <c r="L2274" s="12" t="str">
        <f t="shared" si="105"/>
        <v>2,2,2</v>
      </c>
    </row>
    <row r="2275" spans="2:12">
      <c r="B2275" s="17">
        <v>2574</v>
      </c>
      <c r="C2275" s="17">
        <v>2</v>
      </c>
      <c r="D2275" s="17">
        <f t="shared" si="107"/>
        <v>0</v>
      </c>
      <c r="E2275" s="17">
        <f t="shared" si="106"/>
        <v>1905</v>
      </c>
      <c r="F2275" s="17" t="s">
        <v>4813</v>
      </c>
      <c r="G2275" s="17">
        <f>MATCH(E2275,Arenas!$F$8:$F$15)</f>
        <v>6</v>
      </c>
      <c r="H2275" s="29" t="s">
        <v>3645</v>
      </c>
      <c r="I2275" s="33" t="s">
        <v>9245</v>
      </c>
      <c r="J2275" s="47" t="s">
        <v>9246</v>
      </c>
      <c r="K2275" s="61" t="s">
        <v>4810</v>
      </c>
      <c r="L2275" s="12" t="str">
        <f t="shared" si="105"/>
        <v>2,2,2</v>
      </c>
    </row>
    <row r="2276" spans="2:12">
      <c r="B2276" s="17">
        <v>2575</v>
      </c>
      <c r="C2276" s="17">
        <v>2</v>
      </c>
      <c r="D2276" s="17">
        <f t="shared" si="107"/>
        <v>1</v>
      </c>
      <c r="E2276" s="17">
        <f t="shared" si="106"/>
        <v>1906</v>
      </c>
      <c r="F2276" s="17" t="s">
        <v>4813</v>
      </c>
      <c r="G2276" s="17">
        <f>MATCH(E2276,Arenas!$F$8:$F$15)</f>
        <v>6</v>
      </c>
      <c r="H2276" s="29" t="s">
        <v>3646</v>
      </c>
      <c r="I2276" s="33" t="s">
        <v>9247</v>
      </c>
      <c r="J2276" s="47" t="s">
        <v>9248</v>
      </c>
      <c r="K2276" s="61" t="s">
        <v>4779</v>
      </c>
      <c r="L2276" s="12" t="str">
        <f t="shared" si="105"/>
        <v>2,2,2</v>
      </c>
    </row>
    <row r="2277" spans="2:12">
      <c r="B2277" s="17">
        <v>2576</v>
      </c>
      <c r="C2277" s="17">
        <v>2</v>
      </c>
      <c r="D2277" s="17">
        <f t="shared" si="107"/>
        <v>0</v>
      </c>
      <c r="E2277" s="17">
        <f t="shared" si="106"/>
        <v>1906</v>
      </c>
      <c r="F2277" s="17" t="s">
        <v>4813</v>
      </c>
      <c r="G2277" s="17">
        <f>MATCH(E2277,Arenas!$F$8:$F$15)</f>
        <v>6</v>
      </c>
      <c r="H2277" s="29" t="s">
        <v>3647</v>
      </c>
      <c r="I2277" s="33" t="s">
        <v>9249</v>
      </c>
      <c r="J2277" s="47" t="s">
        <v>9250</v>
      </c>
      <c r="K2277" s="61" t="s">
        <v>4779</v>
      </c>
      <c r="L2277" s="12" t="str">
        <f t="shared" si="105"/>
        <v>2,2,2</v>
      </c>
    </row>
    <row r="2278" spans="2:12">
      <c r="B2278" s="17">
        <v>2577</v>
      </c>
      <c r="C2278" s="17">
        <v>2</v>
      </c>
      <c r="D2278" s="17">
        <f t="shared" si="107"/>
        <v>0</v>
      </c>
      <c r="E2278" s="17">
        <f t="shared" si="106"/>
        <v>1906</v>
      </c>
      <c r="F2278" s="17" t="s">
        <v>4813</v>
      </c>
      <c r="G2278" s="17">
        <f>MATCH(E2278,Arenas!$F$8:$F$15)</f>
        <v>6</v>
      </c>
      <c r="H2278" s="29" t="s">
        <v>3648</v>
      </c>
      <c r="I2278" s="33" t="s">
        <v>9251</v>
      </c>
      <c r="J2278" s="47" t="s">
        <v>9252</v>
      </c>
      <c r="K2278" s="61" t="s">
        <v>4779</v>
      </c>
      <c r="L2278" s="12" t="str">
        <f t="shared" si="105"/>
        <v>2,2,2</v>
      </c>
    </row>
    <row r="2279" spans="2:12">
      <c r="B2279" s="17">
        <v>2578</v>
      </c>
      <c r="C2279" s="17">
        <v>2</v>
      </c>
      <c r="D2279" s="17">
        <f t="shared" si="107"/>
        <v>1</v>
      </c>
      <c r="E2279" s="17">
        <f t="shared" si="106"/>
        <v>1907</v>
      </c>
      <c r="F2279" s="17" t="s">
        <v>4813</v>
      </c>
      <c r="G2279" s="17">
        <f>MATCH(E2279,Arenas!$F$8:$F$15)</f>
        <v>6</v>
      </c>
      <c r="H2279" s="29" t="s">
        <v>3649</v>
      </c>
      <c r="I2279" s="33" t="s">
        <v>9253</v>
      </c>
      <c r="J2279" s="47" t="s">
        <v>9254</v>
      </c>
      <c r="K2279" s="61" t="s">
        <v>4806</v>
      </c>
      <c r="L2279" s="12" t="str">
        <f t="shared" si="105"/>
        <v>2,2,2</v>
      </c>
    </row>
    <row r="2280" spans="2:12">
      <c r="B2280" s="17">
        <v>2579</v>
      </c>
      <c r="C2280" s="17">
        <v>2</v>
      </c>
      <c r="D2280" s="17">
        <f t="shared" si="107"/>
        <v>0</v>
      </c>
      <c r="E2280" s="17">
        <f t="shared" si="106"/>
        <v>1907</v>
      </c>
      <c r="F2280" s="17" t="s">
        <v>4813</v>
      </c>
      <c r="G2280" s="17">
        <f>MATCH(E2280,Arenas!$F$8:$F$15)</f>
        <v>6</v>
      </c>
      <c r="H2280" s="29" t="s">
        <v>3650</v>
      </c>
      <c r="I2280" s="33" t="s">
        <v>9255</v>
      </c>
      <c r="J2280" s="47" t="s">
        <v>5286</v>
      </c>
      <c r="K2280" s="61" t="s">
        <v>4779</v>
      </c>
      <c r="L2280" s="12" t="str">
        <f t="shared" si="105"/>
        <v>2,2,2</v>
      </c>
    </row>
    <row r="2281" spans="2:12">
      <c r="B2281" s="17">
        <v>2580</v>
      </c>
      <c r="C2281" s="17">
        <v>2</v>
      </c>
      <c r="D2281" s="17">
        <f t="shared" si="107"/>
        <v>0</v>
      </c>
      <c r="E2281" s="17">
        <f t="shared" si="106"/>
        <v>1907</v>
      </c>
      <c r="F2281" s="17" t="s">
        <v>4813</v>
      </c>
      <c r="G2281" s="17">
        <f>MATCH(E2281,Arenas!$F$8:$F$15)</f>
        <v>6</v>
      </c>
      <c r="H2281" s="29" t="s">
        <v>3651</v>
      </c>
      <c r="I2281" s="33" t="s">
        <v>9256</v>
      </c>
      <c r="J2281" s="47" t="s">
        <v>5940</v>
      </c>
      <c r="K2281" s="61" t="s">
        <v>4779</v>
      </c>
      <c r="L2281" s="12" t="str">
        <f t="shared" si="105"/>
        <v>2,2,2</v>
      </c>
    </row>
    <row r="2282" spans="2:12">
      <c r="B2282" s="17">
        <v>2581</v>
      </c>
      <c r="C2282" s="17">
        <v>2</v>
      </c>
      <c r="D2282" s="17">
        <f t="shared" si="107"/>
        <v>1</v>
      </c>
      <c r="E2282" s="17">
        <f t="shared" si="106"/>
        <v>1908</v>
      </c>
      <c r="F2282" s="17" t="s">
        <v>4813</v>
      </c>
      <c r="G2282" s="17">
        <f>MATCH(E2282,Arenas!$F$8:$F$15)</f>
        <v>6</v>
      </c>
      <c r="H2282" s="29" t="s">
        <v>3652</v>
      </c>
      <c r="I2282" s="33" t="s">
        <v>9257</v>
      </c>
      <c r="J2282" s="47" t="s">
        <v>9258</v>
      </c>
      <c r="K2282" s="61" t="s">
        <v>4779</v>
      </c>
      <c r="L2282" s="12" t="str">
        <f t="shared" si="105"/>
        <v>2,2,2</v>
      </c>
    </row>
    <row r="2283" spans="2:12">
      <c r="B2283" s="17">
        <v>2582</v>
      </c>
      <c r="C2283" s="17">
        <v>2</v>
      </c>
      <c r="D2283" s="17">
        <f t="shared" si="107"/>
        <v>0</v>
      </c>
      <c r="E2283" s="17">
        <f t="shared" si="106"/>
        <v>1908</v>
      </c>
      <c r="F2283" s="17" t="s">
        <v>4813</v>
      </c>
      <c r="G2283" s="17">
        <f>MATCH(E2283,Arenas!$F$8:$F$15)</f>
        <v>6</v>
      </c>
      <c r="H2283" s="29" t="s">
        <v>3653</v>
      </c>
      <c r="I2283" s="33" t="s">
        <v>9259</v>
      </c>
      <c r="J2283" s="47" t="s">
        <v>5906</v>
      </c>
      <c r="K2283" s="61" t="s">
        <v>4779</v>
      </c>
      <c r="L2283" s="12" t="str">
        <f t="shared" si="105"/>
        <v>2,2,2</v>
      </c>
    </row>
    <row r="2284" spans="2:12">
      <c r="B2284" s="17">
        <v>2583</v>
      </c>
      <c r="C2284" s="17">
        <v>2</v>
      </c>
      <c r="D2284" s="17">
        <f t="shared" si="107"/>
        <v>0</v>
      </c>
      <c r="E2284" s="17">
        <f t="shared" si="106"/>
        <v>1908</v>
      </c>
      <c r="F2284" s="17" t="s">
        <v>4813</v>
      </c>
      <c r="G2284" s="17">
        <f>MATCH(E2284,Arenas!$F$8:$F$15)</f>
        <v>6</v>
      </c>
      <c r="H2284" s="29" t="s">
        <v>3654</v>
      </c>
      <c r="I2284" s="33" t="s">
        <v>9260</v>
      </c>
      <c r="J2284" s="47" t="s">
        <v>9261</v>
      </c>
      <c r="K2284" s="61" t="s">
        <v>4779</v>
      </c>
      <c r="L2284" s="12" t="str">
        <f t="shared" si="105"/>
        <v>2,2,2</v>
      </c>
    </row>
    <row r="2285" spans="2:12">
      <c r="B2285" s="17">
        <v>2584</v>
      </c>
      <c r="C2285" s="17">
        <v>2</v>
      </c>
      <c r="D2285" s="17">
        <f t="shared" si="107"/>
        <v>1</v>
      </c>
      <c r="E2285" s="17">
        <f t="shared" si="106"/>
        <v>1909</v>
      </c>
      <c r="F2285" s="17" t="s">
        <v>4813</v>
      </c>
      <c r="G2285" s="17">
        <f>MATCH(E2285,Arenas!$F$8:$F$15)</f>
        <v>6</v>
      </c>
      <c r="H2285" s="29" t="s">
        <v>3655</v>
      </c>
      <c r="I2285" s="33" t="s">
        <v>9262</v>
      </c>
      <c r="J2285" s="47" t="s">
        <v>9263</v>
      </c>
      <c r="K2285" s="61" t="s">
        <v>4779</v>
      </c>
      <c r="L2285" s="12" t="str">
        <f t="shared" si="105"/>
        <v>2,2,2</v>
      </c>
    </row>
    <row r="2286" spans="2:12">
      <c r="B2286" s="17">
        <v>2585</v>
      </c>
      <c r="C2286" s="17">
        <v>2</v>
      </c>
      <c r="D2286" s="17">
        <f t="shared" si="107"/>
        <v>0</v>
      </c>
      <c r="E2286" s="17">
        <f t="shared" si="106"/>
        <v>1909</v>
      </c>
      <c r="F2286" s="17" t="s">
        <v>4813</v>
      </c>
      <c r="G2286" s="17">
        <f>MATCH(E2286,Arenas!$F$8:$F$15)</f>
        <v>6</v>
      </c>
      <c r="H2286" s="29" t="s">
        <v>3656</v>
      </c>
      <c r="I2286" s="33" t="s">
        <v>9264</v>
      </c>
      <c r="J2286" s="47" t="s">
        <v>9265</v>
      </c>
      <c r="K2286" s="61" t="s">
        <v>4779</v>
      </c>
      <c r="L2286" s="12" t="str">
        <f t="shared" si="105"/>
        <v>2,2,2</v>
      </c>
    </row>
    <row r="2287" spans="2:12">
      <c r="B2287" s="17">
        <v>2586</v>
      </c>
      <c r="C2287" s="17">
        <v>2</v>
      </c>
      <c r="D2287" s="17">
        <f t="shared" si="107"/>
        <v>0</v>
      </c>
      <c r="E2287" s="17">
        <f t="shared" si="106"/>
        <v>1909</v>
      </c>
      <c r="F2287" s="17" t="s">
        <v>4813</v>
      </c>
      <c r="G2287" s="17">
        <f>MATCH(E2287,Arenas!$F$8:$F$15)</f>
        <v>6</v>
      </c>
      <c r="H2287" s="29" t="s">
        <v>3657</v>
      </c>
      <c r="I2287" s="33" t="s">
        <v>9266</v>
      </c>
      <c r="J2287" s="47" t="s">
        <v>5866</v>
      </c>
      <c r="K2287" s="61" t="s">
        <v>4779</v>
      </c>
      <c r="L2287" s="12" t="str">
        <f t="shared" si="105"/>
        <v>2,2,2</v>
      </c>
    </row>
    <row r="2288" spans="2:12">
      <c r="B2288" s="17">
        <v>2587</v>
      </c>
      <c r="C2288" s="17">
        <v>2</v>
      </c>
      <c r="D2288" s="17">
        <f t="shared" si="107"/>
        <v>1</v>
      </c>
      <c r="E2288" s="17">
        <f t="shared" si="106"/>
        <v>1910</v>
      </c>
      <c r="F2288" s="17" t="s">
        <v>4813</v>
      </c>
      <c r="G2288" s="17">
        <f>MATCH(E2288,Arenas!$F$8:$F$15)</f>
        <v>6</v>
      </c>
      <c r="H2288" s="29" t="s">
        <v>3658</v>
      </c>
      <c r="I2288" s="33" t="s">
        <v>9267</v>
      </c>
      <c r="J2288" s="47" t="s">
        <v>9268</v>
      </c>
      <c r="K2288" s="61" t="s">
        <v>4779</v>
      </c>
      <c r="L2288" s="12" t="str">
        <f t="shared" si="105"/>
        <v>2,2,2</v>
      </c>
    </row>
    <row r="2289" spans="2:12">
      <c r="B2289" s="17">
        <v>2588</v>
      </c>
      <c r="C2289" s="17">
        <v>2</v>
      </c>
      <c r="D2289" s="17">
        <f t="shared" si="107"/>
        <v>0</v>
      </c>
      <c r="E2289" s="17">
        <f t="shared" si="106"/>
        <v>1910</v>
      </c>
      <c r="F2289" s="17" t="s">
        <v>4813</v>
      </c>
      <c r="G2289" s="17">
        <f>MATCH(E2289,Arenas!$F$8:$F$15)</f>
        <v>6</v>
      </c>
      <c r="H2289" s="29" t="s">
        <v>3659</v>
      </c>
      <c r="I2289" s="33" t="s">
        <v>9269</v>
      </c>
      <c r="J2289" s="47" t="s">
        <v>5754</v>
      </c>
      <c r="K2289" s="61" t="s">
        <v>4779</v>
      </c>
      <c r="L2289" s="12" t="str">
        <f t="shared" si="105"/>
        <v>2,2,2</v>
      </c>
    </row>
    <row r="2290" spans="2:12">
      <c r="B2290" s="17">
        <v>2589</v>
      </c>
      <c r="C2290" s="17">
        <v>2</v>
      </c>
      <c r="D2290" s="17">
        <f t="shared" si="107"/>
        <v>0</v>
      </c>
      <c r="E2290" s="17">
        <f t="shared" si="106"/>
        <v>1910</v>
      </c>
      <c r="F2290" s="17" t="s">
        <v>4813</v>
      </c>
      <c r="G2290" s="17">
        <f>MATCH(E2290,Arenas!$F$8:$F$15)</f>
        <v>6</v>
      </c>
      <c r="H2290" s="29" t="s">
        <v>3660</v>
      </c>
      <c r="I2290" s="33" t="s">
        <v>9270</v>
      </c>
      <c r="J2290" s="47" t="s">
        <v>9271</v>
      </c>
      <c r="K2290" s="61" t="s">
        <v>4807</v>
      </c>
      <c r="L2290" s="12" t="str">
        <f t="shared" si="105"/>
        <v>2,2,2</v>
      </c>
    </row>
    <row r="2291" spans="2:12">
      <c r="B2291" s="17">
        <v>2590</v>
      </c>
      <c r="C2291" s="17">
        <v>2</v>
      </c>
      <c r="D2291" s="17">
        <f t="shared" si="107"/>
        <v>1</v>
      </c>
      <c r="E2291" s="17">
        <f t="shared" si="106"/>
        <v>1911</v>
      </c>
      <c r="F2291" s="17" t="s">
        <v>4813</v>
      </c>
      <c r="G2291" s="17">
        <f>MATCH(E2291,Arenas!$F$8:$F$15)</f>
        <v>6</v>
      </c>
      <c r="H2291" s="29" t="s">
        <v>3661</v>
      </c>
      <c r="I2291" s="33" t="s">
        <v>9272</v>
      </c>
      <c r="J2291" s="47" t="s">
        <v>9273</v>
      </c>
      <c r="K2291" s="61" t="s">
        <v>4779</v>
      </c>
      <c r="L2291" s="12" t="str">
        <f t="shared" si="105"/>
        <v>2,2,2</v>
      </c>
    </row>
    <row r="2292" spans="2:12">
      <c r="B2292" s="17">
        <v>2591</v>
      </c>
      <c r="C2292" s="17">
        <v>2</v>
      </c>
      <c r="D2292" s="17">
        <f t="shared" si="107"/>
        <v>0</v>
      </c>
      <c r="E2292" s="17">
        <f t="shared" si="106"/>
        <v>1911</v>
      </c>
      <c r="F2292" s="17" t="s">
        <v>4813</v>
      </c>
      <c r="G2292" s="17">
        <f>MATCH(E2292,Arenas!$F$8:$F$15)</f>
        <v>6</v>
      </c>
      <c r="H2292" s="29" t="s">
        <v>3662</v>
      </c>
      <c r="I2292" s="33" t="s">
        <v>9274</v>
      </c>
      <c r="J2292" s="47" t="s">
        <v>9275</v>
      </c>
      <c r="K2292" s="61" t="s">
        <v>4779</v>
      </c>
      <c r="L2292" s="12" t="str">
        <f t="shared" si="105"/>
        <v>2,2,2</v>
      </c>
    </row>
    <row r="2293" spans="2:12">
      <c r="B2293" s="17">
        <v>2592</v>
      </c>
      <c r="C2293" s="17">
        <v>2</v>
      </c>
      <c r="D2293" s="17">
        <f t="shared" si="107"/>
        <v>0</v>
      </c>
      <c r="E2293" s="17">
        <f t="shared" si="106"/>
        <v>1911</v>
      </c>
      <c r="F2293" s="17" t="s">
        <v>4813</v>
      </c>
      <c r="G2293" s="17">
        <f>MATCH(E2293,Arenas!$F$8:$F$15)</f>
        <v>6</v>
      </c>
      <c r="H2293" s="29" t="s">
        <v>3663</v>
      </c>
      <c r="I2293" s="33" t="s">
        <v>9276</v>
      </c>
      <c r="J2293" s="47" t="s">
        <v>9277</v>
      </c>
      <c r="K2293" s="61" t="s">
        <v>4779</v>
      </c>
      <c r="L2293" s="12" t="str">
        <f t="shared" si="105"/>
        <v>2,2,2</v>
      </c>
    </row>
    <row r="2294" spans="2:12">
      <c r="B2294" s="17">
        <v>2593</v>
      </c>
      <c r="C2294" s="17">
        <v>2</v>
      </c>
      <c r="D2294" s="17">
        <f t="shared" si="107"/>
        <v>1</v>
      </c>
      <c r="E2294" s="17">
        <f t="shared" si="106"/>
        <v>1912</v>
      </c>
      <c r="F2294" s="17" t="s">
        <v>4813</v>
      </c>
      <c r="G2294" s="17">
        <f>MATCH(E2294,Arenas!$F$8:$F$15)</f>
        <v>6</v>
      </c>
      <c r="H2294" s="29" t="s">
        <v>3664</v>
      </c>
      <c r="I2294" s="33" t="s">
        <v>9278</v>
      </c>
      <c r="J2294" s="47" t="s">
        <v>7525</v>
      </c>
      <c r="K2294" s="61" t="s">
        <v>4810</v>
      </c>
      <c r="L2294" s="12" t="str">
        <f t="shared" si="105"/>
        <v>2,2,2</v>
      </c>
    </row>
    <row r="2295" spans="2:12">
      <c r="B2295" s="17">
        <v>2594</v>
      </c>
      <c r="C2295" s="17">
        <v>2</v>
      </c>
      <c r="D2295" s="17">
        <f t="shared" si="107"/>
        <v>0</v>
      </c>
      <c r="E2295" s="17">
        <f t="shared" si="106"/>
        <v>1912</v>
      </c>
      <c r="F2295" s="17" t="s">
        <v>4813</v>
      </c>
      <c r="G2295" s="17">
        <f>MATCH(E2295,Arenas!$F$8:$F$15)</f>
        <v>6</v>
      </c>
      <c r="H2295" s="29" t="s">
        <v>3665</v>
      </c>
      <c r="I2295" s="33" t="s">
        <v>9279</v>
      </c>
      <c r="J2295" s="47" t="s">
        <v>9280</v>
      </c>
      <c r="K2295" s="61" t="s">
        <v>4779</v>
      </c>
      <c r="L2295" s="12" t="str">
        <f t="shared" si="105"/>
        <v>2,2,2</v>
      </c>
    </row>
    <row r="2296" spans="2:12">
      <c r="B2296" s="17">
        <v>2595</v>
      </c>
      <c r="C2296" s="17">
        <v>2</v>
      </c>
      <c r="D2296" s="17">
        <f t="shared" si="107"/>
        <v>0</v>
      </c>
      <c r="E2296" s="17">
        <f t="shared" si="106"/>
        <v>1912</v>
      </c>
      <c r="F2296" s="17" t="s">
        <v>4813</v>
      </c>
      <c r="G2296" s="17">
        <f>MATCH(E2296,Arenas!$F$8:$F$15)</f>
        <v>6</v>
      </c>
      <c r="H2296" s="29" t="s">
        <v>3666</v>
      </c>
      <c r="I2296" s="33" t="s">
        <v>9281</v>
      </c>
      <c r="J2296" s="47" t="s">
        <v>9282</v>
      </c>
      <c r="K2296" s="61" t="s">
        <v>4809</v>
      </c>
      <c r="L2296" s="12" t="str">
        <f t="shared" si="105"/>
        <v>2,2,2</v>
      </c>
    </row>
    <row r="2297" spans="2:12">
      <c r="B2297" s="17">
        <v>2596</v>
      </c>
      <c r="C2297" s="17">
        <v>2</v>
      </c>
      <c r="D2297" s="17">
        <f t="shared" si="107"/>
        <v>1</v>
      </c>
      <c r="E2297" s="17">
        <f t="shared" si="106"/>
        <v>1913</v>
      </c>
      <c r="F2297" s="17" t="s">
        <v>4813</v>
      </c>
      <c r="G2297" s="17">
        <f>MATCH(E2297,Arenas!$F$8:$F$15)</f>
        <v>6</v>
      </c>
      <c r="H2297" s="29" t="s">
        <v>3667</v>
      </c>
      <c r="I2297" s="33" t="s">
        <v>9283</v>
      </c>
      <c r="J2297" s="47" t="s">
        <v>9284</v>
      </c>
      <c r="K2297" s="61" t="s">
        <v>4779</v>
      </c>
      <c r="L2297" s="12" t="str">
        <f t="shared" si="105"/>
        <v>2,2,2</v>
      </c>
    </row>
    <row r="2298" spans="2:12">
      <c r="B2298" s="17">
        <v>2597</v>
      </c>
      <c r="C2298" s="17">
        <v>2</v>
      </c>
      <c r="D2298" s="17">
        <f t="shared" si="107"/>
        <v>0</v>
      </c>
      <c r="E2298" s="17">
        <f t="shared" si="106"/>
        <v>1913</v>
      </c>
      <c r="F2298" s="17" t="s">
        <v>4813</v>
      </c>
      <c r="G2298" s="17">
        <f>MATCH(E2298,Arenas!$F$8:$F$15)</f>
        <v>6</v>
      </c>
      <c r="H2298" s="29" t="s">
        <v>3668</v>
      </c>
      <c r="I2298" s="33" t="s">
        <v>9285</v>
      </c>
      <c r="J2298" s="47" t="s">
        <v>9286</v>
      </c>
      <c r="K2298" s="61" t="s">
        <v>4779</v>
      </c>
      <c r="L2298" s="12" t="str">
        <f t="shared" si="105"/>
        <v>2,2,2</v>
      </c>
    </row>
    <row r="2299" spans="2:12">
      <c r="B2299" s="17">
        <v>2598</v>
      </c>
      <c r="C2299" s="17">
        <v>2</v>
      </c>
      <c r="D2299" s="17">
        <f t="shared" si="107"/>
        <v>0</v>
      </c>
      <c r="E2299" s="17">
        <f t="shared" si="106"/>
        <v>1913</v>
      </c>
      <c r="F2299" s="17" t="s">
        <v>4813</v>
      </c>
      <c r="G2299" s="17">
        <f>MATCH(E2299,Arenas!$F$8:$F$15)</f>
        <v>6</v>
      </c>
      <c r="H2299" s="29" t="s">
        <v>3669</v>
      </c>
      <c r="I2299" s="33" t="s">
        <v>9287</v>
      </c>
      <c r="J2299" s="47" t="s">
        <v>9288</v>
      </c>
      <c r="K2299" s="61" t="s">
        <v>4779</v>
      </c>
      <c r="L2299" s="12" t="str">
        <f t="shared" si="105"/>
        <v>2,2,2</v>
      </c>
    </row>
    <row r="2300" spans="2:12">
      <c r="B2300" s="17">
        <v>2599</v>
      </c>
      <c r="C2300" s="17">
        <v>2</v>
      </c>
      <c r="D2300" s="17">
        <f t="shared" si="107"/>
        <v>1</v>
      </c>
      <c r="E2300" s="17">
        <f t="shared" si="106"/>
        <v>1914</v>
      </c>
      <c r="F2300" s="17" t="s">
        <v>4813</v>
      </c>
      <c r="G2300" s="17">
        <f>MATCH(E2300,Arenas!$F$8:$F$15)</f>
        <v>6</v>
      </c>
      <c r="H2300" s="29" t="s">
        <v>3670</v>
      </c>
      <c r="I2300" s="33" t="s">
        <v>9289</v>
      </c>
      <c r="J2300" s="47" t="s">
        <v>9290</v>
      </c>
      <c r="K2300" s="61" t="s">
        <v>4779</v>
      </c>
      <c r="L2300" s="12" t="str">
        <f t="shared" si="105"/>
        <v>2,2,2</v>
      </c>
    </row>
    <row r="2301" spans="2:12">
      <c r="B2301" s="17">
        <v>2600</v>
      </c>
      <c r="C2301" s="17">
        <v>2</v>
      </c>
      <c r="D2301" s="17">
        <f t="shared" si="107"/>
        <v>0</v>
      </c>
      <c r="E2301" s="17">
        <f t="shared" si="106"/>
        <v>1914</v>
      </c>
      <c r="F2301" s="17" t="s">
        <v>4813</v>
      </c>
      <c r="G2301" s="17">
        <f>MATCH(E2301,Arenas!$F$8:$F$15)</f>
        <v>6</v>
      </c>
      <c r="H2301" s="29" t="s">
        <v>3671</v>
      </c>
      <c r="I2301" s="33" t="s">
        <v>9291</v>
      </c>
      <c r="J2301" s="47" t="s">
        <v>5919</v>
      </c>
      <c r="K2301" s="61" t="s">
        <v>4806</v>
      </c>
      <c r="L2301" s="12" t="str">
        <f t="shared" si="105"/>
        <v>2,2,2</v>
      </c>
    </row>
    <row r="2302" spans="2:12">
      <c r="B2302" s="17">
        <v>2601</v>
      </c>
      <c r="C2302" s="17">
        <v>2</v>
      </c>
      <c r="D2302" s="17">
        <f t="shared" si="107"/>
        <v>0</v>
      </c>
      <c r="E2302" s="17">
        <f t="shared" si="106"/>
        <v>1914</v>
      </c>
      <c r="F2302" s="17" t="s">
        <v>4813</v>
      </c>
      <c r="G2302" s="17">
        <f>MATCH(E2302,Arenas!$F$8:$F$15)</f>
        <v>6</v>
      </c>
      <c r="H2302" s="29" t="s">
        <v>3672</v>
      </c>
      <c r="I2302" s="33" t="s">
        <v>9292</v>
      </c>
      <c r="J2302" s="47" t="s">
        <v>9293</v>
      </c>
      <c r="K2302" s="61" t="s">
        <v>4779</v>
      </c>
      <c r="L2302" s="12" t="str">
        <f t="shared" si="105"/>
        <v>2,2,2</v>
      </c>
    </row>
    <row r="2303" spans="2:12">
      <c r="B2303" s="17">
        <v>2602</v>
      </c>
      <c r="C2303" s="17">
        <v>2</v>
      </c>
      <c r="D2303" s="17">
        <f t="shared" si="107"/>
        <v>1</v>
      </c>
      <c r="E2303" s="17">
        <f t="shared" si="106"/>
        <v>1915</v>
      </c>
      <c r="F2303" s="17" t="s">
        <v>4813</v>
      </c>
      <c r="G2303" s="17">
        <f>MATCH(E2303,Arenas!$F$8:$F$15)</f>
        <v>6</v>
      </c>
      <c r="H2303" s="29" t="s">
        <v>3673</v>
      </c>
      <c r="I2303" s="33" t="s">
        <v>9294</v>
      </c>
      <c r="J2303" s="47" t="s">
        <v>9295</v>
      </c>
      <c r="K2303" s="61" t="s">
        <v>4810</v>
      </c>
      <c r="L2303" s="12" t="str">
        <f t="shared" si="105"/>
        <v>2,2,2</v>
      </c>
    </row>
    <row r="2304" spans="2:12">
      <c r="B2304" s="17">
        <v>2603</v>
      </c>
      <c r="C2304" s="17">
        <v>2</v>
      </c>
      <c r="D2304" s="17">
        <f t="shared" si="107"/>
        <v>0</v>
      </c>
      <c r="E2304" s="17">
        <f t="shared" si="106"/>
        <v>1915</v>
      </c>
      <c r="F2304" s="17" t="s">
        <v>4813</v>
      </c>
      <c r="G2304" s="17">
        <f>MATCH(E2304,Arenas!$F$8:$F$15)</f>
        <v>6</v>
      </c>
      <c r="H2304" s="29" t="s">
        <v>3674</v>
      </c>
      <c r="I2304" s="33" t="s">
        <v>9296</v>
      </c>
      <c r="J2304" s="47" t="s">
        <v>9297</v>
      </c>
      <c r="K2304" s="61" t="s">
        <v>4779</v>
      </c>
      <c r="L2304" s="12" t="str">
        <f t="shared" si="105"/>
        <v>2,2,2</v>
      </c>
    </row>
    <row r="2305" spans="2:12">
      <c r="B2305" s="17">
        <v>2604</v>
      </c>
      <c r="C2305" s="17">
        <v>2</v>
      </c>
      <c r="D2305" s="17">
        <f t="shared" si="107"/>
        <v>0</v>
      </c>
      <c r="E2305" s="17">
        <f t="shared" si="106"/>
        <v>1915</v>
      </c>
      <c r="F2305" s="17" t="s">
        <v>4813</v>
      </c>
      <c r="G2305" s="17">
        <f>MATCH(E2305,Arenas!$F$8:$F$15)</f>
        <v>6</v>
      </c>
      <c r="H2305" s="29" t="s">
        <v>3675</v>
      </c>
      <c r="I2305" s="33" t="s">
        <v>9298</v>
      </c>
      <c r="J2305" s="47" t="s">
        <v>9299</v>
      </c>
      <c r="K2305" s="61" t="s">
        <v>4779</v>
      </c>
      <c r="L2305" s="12" t="str">
        <f t="shared" si="105"/>
        <v>2,2,2</v>
      </c>
    </row>
    <row r="2306" spans="2:12">
      <c r="B2306" s="17">
        <v>2605</v>
      </c>
      <c r="C2306" s="17">
        <v>2</v>
      </c>
      <c r="D2306" s="17">
        <f t="shared" si="107"/>
        <v>1</v>
      </c>
      <c r="E2306" s="17">
        <f t="shared" si="106"/>
        <v>1916</v>
      </c>
      <c r="F2306" s="17" t="s">
        <v>4813</v>
      </c>
      <c r="G2306" s="17">
        <f>MATCH(E2306,Arenas!$F$8:$F$15)</f>
        <v>6</v>
      </c>
      <c r="H2306" s="29" t="s">
        <v>3676</v>
      </c>
      <c r="I2306" s="33" t="s">
        <v>9300</v>
      </c>
      <c r="J2306" s="47" t="s">
        <v>9301</v>
      </c>
      <c r="K2306" s="61" t="s">
        <v>4809</v>
      </c>
      <c r="L2306" s="12" t="str">
        <f t="shared" ref="L2306:L2369" si="108">C2306&amp;","&amp;C2306&amp;","&amp;C2306</f>
        <v>2,2,2</v>
      </c>
    </row>
    <row r="2307" spans="2:12">
      <c r="B2307" s="17">
        <v>2606</v>
      </c>
      <c r="C2307" s="17">
        <v>2</v>
      </c>
      <c r="D2307" s="17">
        <f t="shared" si="107"/>
        <v>0</v>
      </c>
      <c r="E2307" s="17">
        <f t="shared" ref="E2307:E2370" si="109">D2307+E2306</f>
        <v>1916</v>
      </c>
      <c r="F2307" s="17" t="s">
        <v>4813</v>
      </c>
      <c r="G2307" s="17">
        <f>MATCH(E2307,Arenas!$F$8:$F$15)</f>
        <v>6</v>
      </c>
      <c r="H2307" s="29" t="s">
        <v>3677</v>
      </c>
      <c r="I2307" s="33" t="s">
        <v>9302</v>
      </c>
      <c r="J2307" s="47" t="s">
        <v>9303</v>
      </c>
      <c r="K2307" s="61" t="s">
        <v>4779</v>
      </c>
      <c r="L2307" s="12" t="str">
        <f t="shared" si="108"/>
        <v>2,2,2</v>
      </c>
    </row>
    <row r="2308" spans="2:12">
      <c r="B2308" s="17">
        <v>2607</v>
      </c>
      <c r="C2308" s="17">
        <v>2</v>
      </c>
      <c r="D2308" s="17">
        <f t="shared" si="107"/>
        <v>0</v>
      </c>
      <c r="E2308" s="17">
        <f t="shared" si="109"/>
        <v>1916</v>
      </c>
      <c r="F2308" s="17" t="s">
        <v>4813</v>
      </c>
      <c r="G2308" s="17">
        <f>MATCH(E2308,Arenas!$F$8:$F$15)</f>
        <v>6</v>
      </c>
      <c r="H2308" s="29" t="s">
        <v>3678</v>
      </c>
      <c r="I2308" s="33" t="s">
        <v>9304</v>
      </c>
      <c r="J2308" s="47" t="s">
        <v>9305</v>
      </c>
      <c r="K2308" s="61" t="s">
        <v>4779</v>
      </c>
      <c r="L2308" s="12" t="str">
        <f t="shared" si="108"/>
        <v>2,2,2</v>
      </c>
    </row>
    <row r="2309" spans="2:12">
      <c r="B2309" s="17">
        <v>2608</v>
      </c>
      <c r="C2309" s="17">
        <v>2</v>
      </c>
      <c r="D2309" s="17">
        <f t="shared" ref="D2309:D2372" si="110">D2306</f>
        <v>1</v>
      </c>
      <c r="E2309" s="17">
        <f t="shared" si="109"/>
        <v>1917</v>
      </c>
      <c r="F2309" s="17" t="s">
        <v>4813</v>
      </c>
      <c r="G2309" s="17">
        <f>MATCH(E2309,Arenas!$F$8:$F$15)</f>
        <v>6</v>
      </c>
      <c r="H2309" s="29" t="s">
        <v>3679</v>
      </c>
      <c r="I2309" s="33" t="s">
        <v>9306</v>
      </c>
      <c r="J2309" s="47" t="s">
        <v>9307</v>
      </c>
      <c r="K2309" s="61" t="s">
        <v>4779</v>
      </c>
      <c r="L2309" s="12" t="str">
        <f t="shared" si="108"/>
        <v>2,2,2</v>
      </c>
    </row>
    <row r="2310" spans="2:12">
      <c r="B2310" s="17">
        <v>2609</v>
      </c>
      <c r="C2310" s="17">
        <v>2</v>
      </c>
      <c r="D2310" s="17">
        <f t="shared" si="110"/>
        <v>0</v>
      </c>
      <c r="E2310" s="17">
        <f t="shared" si="109"/>
        <v>1917</v>
      </c>
      <c r="F2310" s="17" t="s">
        <v>4813</v>
      </c>
      <c r="G2310" s="17">
        <f>MATCH(E2310,Arenas!$F$8:$F$15)</f>
        <v>6</v>
      </c>
      <c r="H2310" s="29" t="s">
        <v>3680</v>
      </c>
      <c r="I2310" s="33" t="s">
        <v>9308</v>
      </c>
      <c r="J2310" s="47" t="s">
        <v>9309</v>
      </c>
      <c r="K2310" s="61" t="s">
        <v>4809</v>
      </c>
      <c r="L2310" s="12" t="str">
        <f t="shared" si="108"/>
        <v>2,2,2</v>
      </c>
    </row>
    <row r="2311" spans="2:12">
      <c r="B2311" s="17">
        <v>2610</v>
      </c>
      <c r="C2311" s="17">
        <v>2</v>
      </c>
      <c r="D2311" s="17">
        <f t="shared" si="110"/>
        <v>0</v>
      </c>
      <c r="E2311" s="17">
        <f t="shared" si="109"/>
        <v>1917</v>
      </c>
      <c r="F2311" s="17" t="s">
        <v>4813</v>
      </c>
      <c r="G2311" s="17">
        <f>MATCH(E2311,Arenas!$F$8:$F$15)</f>
        <v>6</v>
      </c>
      <c r="H2311" s="29" t="s">
        <v>3681</v>
      </c>
      <c r="I2311" s="33" t="s">
        <v>9310</v>
      </c>
      <c r="J2311" s="47" t="s">
        <v>9311</v>
      </c>
      <c r="K2311" s="61" t="s">
        <v>4806</v>
      </c>
      <c r="L2311" s="12" t="str">
        <f t="shared" si="108"/>
        <v>2,2,2</v>
      </c>
    </row>
    <row r="2312" spans="2:12">
      <c r="B2312" s="17">
        <v>2611</v>
      </c>
      <c r="C2312" s="17">
        <v>2</v>
      </c>
      <c r="D2312" s="17">
        <f t="shared" si="110"/>
        <v>1</v>
      </c>
      <c r="E2312" s="17">
        <f t="shared" si="109"/>
        <v>1918</v>
      </c>
      <c r="F2312" s="17" t="s">
        <v>4813</v>
      </c>
      <c r="G2312" s="17">
        <f>MATCH(E2312,Arenas!$F$8:$F$15)</f>
        <v>6</v>
      </c>
      <c r="H2312" s="29" t="s">
        <v>3682</v>
      </c>
      <c r="I2312" s="33" t="s">
        <v>9312</v>
      </c>
      <c r="J2312" s="47" t="s">
        <v>9313</v>
      </c>
      <c r="K2312" s="61" t="s">
        <v>4779</v>
      </c>
      <c r="L2312" s="12" t="str">
        <f t="shared" si="108"/>
        <v>2,2,2</v>
      </c>
    </row>
    <row r="2313" spans="2:12">
      <c r="B2313" s="17">
        <v>2612</v>
      </c>
      <c r="C2313" s="17">
        <v>2</v>
      </c>
      <c r="D2313" s="17">
        <f t="shared" si="110"/>
        <v>0</v>
      </c>
      <c r="E2313" s="17">
        <f t="shared" si="109"/>
        <v>1918</v>
      </c>
      <c r="F2313" s="17" t="s">
        <v>4813</v>
      </c>
      <c r="G2313" s="17">
        <f>MATCH(E2313,Arenas!$F$8:$F$15)</f>
        <v>6</v>
      </c>
      <c r="H2313" s="29" t="s">
        <v>3683</v>
      </c>
      <c r="I2313" s="33" t="s">
        <v>9314</v>
      </c>
      <c r="J2313" s="47" t="s">
        <v>8148</v>
      </c>
      <c r="K2313" s="61" t="s">
        <v>4779</v>
      </c>
      <c r="L2313" s="12" t="str">
        <f t="shared" si="108"/>
        <v>2,2,2</v>
      </c>
    </row>
    <row r="2314" spans="2:12">
      <c r="B2314" s="17">
        <v>2613</v>
      </c>
      <c r="C2314" s="17">
        <v>2</v>
      </c>
      <c r="D2314" s="17">
        <f t="shared" si="110"/>
        <v>0</v>
      </c>
      <c r="E2314" s="17">
        <f t="shared" si="109"/>
        <v>1918</v>
      </c>
      <c r="F2314" s="17" t="s">
        <v>4813</v>
      </c>
      <c r="G2314" s="17">
        <f>MATCH(E2314,Arenas!$F$8:$F$15)</f>
        <v>6</v>
      </c>
      <c r="H2314" s="29" t="s">
        <v>3684</v>
      </c>
      <c r="I2314" s="33" t="s">
        <v>9315</v>
      </c>
      <c r="J2314" s="47" t="s">
        <v>9316</v>
      </c>
      <c r="K2314" s="61" t="s">
        <v>4809</v>
      </c>
      <c r="L2314" s="12" t="str">
        <f t="shared" si="108"/>
        <v>2,2,2</v>
      </c>
    </row>
    <row r="2315" spans="2:12">
      <c r="B2315" s="17">
        <v>2614</v>
      </c>
      <c r="C2315" s="17">
        <v>2</v>
      </c>
      <c r="D2315" s="17">
        <f t="shared" si="110"/>
        <v>1</v>
      </c>
      <c r="E2315" s="17">
        <f t="shared" si="109"/>
        <v>1919</v>
      </c>
      <c r="F2315" s="17" t="s">
        <v>4813</v>
      </c>
      <c r="G2315" s="17">
        <f>MATCH(E2315,Arenas!$F$8:$F$15)</f>
        <v>6</v>
      </c>
      <c r="H2315" s="29" t="s">
        <v>3685</v>
      </c>
      <c r="I2315" s="33" t="s">
        <v>9317</v>
      </c>
      <c r="J2315" s="47" t="s">
        <v>9318</v>
      </c>
      <c r="K2315" s="61" t="s">
        <v>4779</v>
      </c>
      <c r="L2315" s="12" t="str">
        <f t="shared" si="108"/>
        <v>2,2,2</v>
      </c>
    </row>
    <row r="2316" spans="2:12">
      <c r="B2316" s="17">
        <v>2615</v>
      </c>
      <c r="C2316" s="17">
        <v>2</v>
      </c>
      <c r="D2316" s="17">
        <f t="shared" si="110"/>
        <v>0</v>
      </c>
      <c r="E2316" s="17">
        <f t="shared" si="109"/>
        <v>1919</v>
      </c>
      <c r="F2316" s="17" t="s">
        <v>4813</v>
      </c>
      <c r="G2316" s="17">
        <f>MATCH(E2316,Arenas!$F$8:$F$15)</f>
        <v>6</v>
      </c>
      <c r="H2316" s="29" t="s">
        <v>3686</v>
      </c>
      <c r="I2316" s="33" t="s">
        <v>9319</v>
      </c>
      <c r="J2316" s="47" t="s">
        <v>9320</v>
      </c>
      <c r="K2316" s="61" t="s">
        <v>4779</v>
      </c>
      <c r="L2316" s="12" t="str">
        <f t="shared" si="108"/>
        <v>2,2,2</v>
      </c>
    </row>
    <row r="2317" spans="2:12">
      <c r="B2317" s="17">
        <v>2616</v>
      </c>
      <c r="C2317" s="17">
        <v>2</v>
      </c>
      <c r="D2317" s="17">
        <f t="shared" si="110"/>
        <v>0</v>
      </c>
      <c r="E2317" s="17">
        <f t="shared" si="109"/>
        <v>1919</v>
      </c>
      <c r="F2317" s="17" t="s">
        <v>4813</v>
      </c>
      <c r="G2317" s="17">
        <f>MATCH(E2317,Arenas!$F$8:$F$15)</f>
        <v>6</v>
      </c>
      <c r="H2317" s="29" t="s">
        <v>3687</v>
      </c>
      <c r="I2317" s="33" t="s">
        <v>9321</v>
      </c>
      <c r="J2317" s="47" t="s">
        <v>9322</v>
      </c>
      <c r="K2317" s="61" t="s">
        <v>4779</v>
      </c>
      <c r="L2317" s="12" t="str">
        <f t="shared" si="108"/>
        <v>2,2,2</v>
      </c>
    </row>
    <row r="2318" spans="2:12">
      <c r="B2318" s="17">
        <v>2617</v>
      </c>
      <c r="C2318" s="17">
        <v>2</v>
      </c>
      <c r="D2318" s="17">
        <f t="shared" si="110"/>
        <v>1</v>
      </c>
      <c r="E2318" s="17">
        <f t="shared" si="109"/>
        <v>1920</v>
      </c>
      <c r="F2318" s="17" t="s">
        <v>4813</v>
      </c>
      <c r="G2318" s="17">
        <f>MATCH(E2318,Arenas!$F$8:$F$15)</f>
        <v>6</v>
      </c>
      <c r="H2318" s="29" t="s">
        <v>3688</v>
      </c>
      <c r="I2318" s="33" t="s">
        <v>9323</v>
      </c>
      <c r="J2318" s="47" t="s">
        <v>9324</v>
      </c>
      <c r="K2318" s="61" t="s">
        <v>4779</v>
      </c>
      <c r="L2318" s="12" t="str">
        <f t="shared" si="108"/>
        <v>2,2,2</v>
      </c>
    </row>
    <row r="2319" spans="2:12">
      <c r="B2319" s="17">
        <v>2618</v>
      </c>
      <c r="C2319" s="17">
        <v>2</v>
      </c>
      <c r="D2319" s="17">
        <f t="shared" si="110"/>
        <v>0</v>
      </c>
      <c r="E2319" s="17">
        <f t="shared" si="109"/>
        <v>1920</v>
      </c>
      <c r="F2319" s="17" t="s">
        <v>4813</v>
      </c>
      <c r="G2319" s="17">
        <f>MATCH(E2319,Arenas!$F$8:$F$15)</f>
        <v>6</v>
      </c>
      <c r="H2319" s="29" t="s">
        <v>3689</v>
      </c>
      <c r="I2319" s="33" t="s">
        <v>9325</v>
      </c>
      <c r="J2319" s="47" t="s">
        <v>9326</v>
      </c>
      <c r="K2319" s="61" t="s">
        <v>4779</v>
      </c>
      <c r="L2319" s="12" t="str">
        <f t="shared" si="108"/>
        <v>2,2,2</v>
      </c>
    </row>
    <row r="2320" spans="2:12">
      <c r="B2320" s="17">
        <v>2619</v>
      </c>
      <c r="C2320" s="17">
        <v>2</v>
      </c>
      <c r="D2320" s="17">
        <f t="shared" si="110"/>
        <v>0</v>
      </c>
      <c r="E2320" s="17">
        <f t="shared" si="109"/>
        <v>1920</v>
      </c>
      <c r="F2320" s="17" t="s">
        <v>4813</v>
      </c>
      <c r="G2320" s="17">
        <f>MATCH(E2320,Arenas!$F$8:$F$15)</f>
        <v>6</v>
      </c>
      <c r="H2320" s="29" t="s">
        <v>3690</v>
      </c>
      <c r="I2320" s="33" t="s">
        <v>9327</v>
      </c>
      <c r="J2320" s="47" t="s">
        <v>9328</v>
      </c>
      <c r="K2320" s="61" t="s">
        <v>4779</v>
      </c>
      <c r="L2320" s="12" t="str">
        <f t="shared" si="108"/>
        <v>2,2,2</v>
      </c>
    </row>
    <row r="2321" spans="2:12">
      <c r="B2321" s="17">
        <v>2620</v>
      </c>
      <c r="C2321" s="17">
        <v>2</v>
      </c>
      <c r="D2321" s="17">
        <f t="shared" si="110"/>
        <v>1</v>
      </c>
      <c r="E2321" s="17">
        <f t="shared" si="109"/>
        <v>1921</v>
      </c>
      <c r="F2321" s="17" t="s">
        <v>4813</v>
      </c>
      <c r="G2321" s="17">
        <f>MATCH(E2321,Arenas!$F$8:$F$15)</f>
        <v>6</v>
      </c>
      <c r="H2321" s="29" t="s">
        <v>3691</v>
      </c>
      <c r="I2321" s="33" t="s">
        <v>9329</v>
      </c>
      <c r="J2321" s="47" t="s">
        <v>9330</v>
      </c>
      <c r="K2321" s="61" t="s">
        <v>4779</v>
      </c>
      <c r="L2321" s="12" t="str">
        <f t="shared" si="108"/>
        <v>2,2,2</v>
      </c>
    </row>
    <row r="2322" spans="2:12">
      <c r="B2322" s="17">
        <v>2621</v>
      </c>
      <c r="C2322" s="17">
        <v>2</v>
      </c>
      <c r="D2322" s="17">
        <f t="shared" si="110"/>
        <v>0</v>
      </c>
      <c r="E2322" s="17">
        <f t="shared" si="109"/>
        <v>1921</v>
      </c>
      <c r="F2322" s="17" t="s">
        <v>4813</v>
      </c>
      <c r="G2322" s="17">
        <f>MATCH(E2322,Arenas!$F$8:$F$15)</f>
        <v>6</v>
      </c>
      <c r="H2322" s="29" t="s">
        <v>3692</v>
      </c>
      <c r="I2322" s="33" t="s">
        <v>9331</v>
      </c>
      <c r="J2322" s="47" t="s">
        <v>5383</v>
      </c>
      <c r="K2322" s="61" t="s">
        <v>4779</v>
      </c>
      <c r="L2322" s="12" t="str">
        <f t="shared" si="108"/>
        <v>2,2,2</v>
      </c>
    </row>
    <row r="2323" spans="2:12">
      <c r="B2323" s="17">
        <v>2622</v>
      </c>
      <c r="C2323" s="17">
        <v>2</v>
      </c>
      <c r="D2323" s="17">
        <f t="shared" si="110"/>
        <v>0</v>
      </c>
      <c r="E2323" s="17">
        <f t="shared" si="109"/>
        <v>1921</v>
      </c>
      <c r="F2323" s="17" t="s">
        <v>4813</v>
      </c>
      <c r="G2323" s="17">
        <f>MATCH(E2323,Arenas!$F$8:$F$15)</f>
        <v>6</v>
      </c>
      <c r="H2323" s="29" t="s">
        <v>3693</v>
      </c>
      <c r="I2323" s="33" t="s">
        <v>9332</v>
      </c>
      <c r="J2323" s="47" t="s">
        <v>9333</v>
      </c>
      <c r="K2323" s="61" t="s">
        <v>4779</v>
      </c>
      <c r="L2323" s="12" t="str">
        <f t="shared" si="108"/>
        <v>2,2,2</v>
      </c>
    </row>
    <row r="2324" spans="2:12">
      <c r="B2324" s="17">
        <v>2623</v>
      </c>
      <c r="C2324" s="17">
        <v>2</v>
      </c>
      <c r="D2324" s="17">
        <f t="shared" si="110"/>
        <v>1</v>
      </c>
      <c r="E2324" s="17">
        <f t="shared" si="109"/>
        <v>1922</v>
      </c>
      <c r="F2324" s="17" t="s">
        <v>4813</v>
      </c>
      <c r="G2324" s="17">
        <f>MATCH(E2324,Arenas!$F$8:$F$15)</f>
        <v>6</v>
      </c>
      <c r="H2324" s="29" t="s">
        <v>3694</v>
      </c>
      <c r="I2324" s="33" t="s">
        <v>9334</v>
      </c>
      <c r="J2324" s="47" t="s">
        <v>9335</v>
      </c>
      <c r="K2324" s="61" t="s">
        <v>4779</v>
      </c>
      <c r="L2324" s="12" t="str">
        <f t="shared" si="108"/>
        <v>2,2,2</v>
      </c>
    </row>
    <row r="2325" spans="2:12">
      <c r="B2325" s="17">
        <v>2624</v>
      </c>
      <c r="C2325" s="17">
        <v>2</v>
      </c>
      <c r="D2325" s="17">
        <f t="shared" si="110"/>
        <v>0</v>
      </c>
      <c r="E2325" s="17">
        <f t="shared" si="109"/>
        <v>1922</v>
      </c>
      <c r="F2325" s="17" t="s">
        <v>4813</v>
      </c>
      <c r="G2325" s="17">
        <f>MATCH(E2325,Arenas!$F$8:$F$15)</f>
        <v>6</v>
      </c>
      <c r="H2325" s="29" t="s">
        <v>3695</v>
      </c>
      <c r="I2325" s="33" t="s">
        <v>9336</v>
      </c>
      <c r="J2325" s="47" t="s">
        <v>9337</v>
      </c>
      <c r="K2325" s="61" t="s">
        <v>4779</v>
      </c>
      <c r="L2325" s="12" t="str">
        <f t="shared" si="108"/>
        <v>2,2,2</v>
      </c>
    </row>
    <row r="2326" spans="2:12">
      <c r="B2326" s="17">
        <v>2625</v>
      </c>
      <c r="C2326" s="17">
        <v>2</v>
      </c>
      <c r="D2326" s="17">
        <f t="shared" si="110"/>
        <v>0</v>
      </c>
      <c r="E2326" s="17">
        <f t="shared" si="109"/>
        <v>1922</v>
      </c>
      <c r="F2326" s="17" t="s">
        <v>4813</v>
      </c>
      <c r="G2326" s="17">
        <f>MATCH(E2326,Arenas!$F$8:$F$15)</f>
        <v>6</v>
      </c>
      <c r="H2326" s="29" t="s">
        <v>3696</v>
      </c>
      <c r="I2326" s="33" t="s">
        <v>9338</v>
      </c>
      <c r="J2326" s="47" t="s">
        <v>9339</v>
      </c>
      <c r="K2326" s="61" t="s">
        <v>4779</v>
      </c>
      <c r="L2326" s="12" t="str">
        <f t="shared" si="108"/>
        <v>2,2,2</v>
      </c>
    </row>
    <row r="2327" spans="2:12">
      <c r="B2327" s="17">
        <v>2626</v>
      </c>
      <c r="C2327" s="17">
        <v>2</v>
      </c>
      <c r="D2327" s="17">
        <f t="shared" si="110"/>
        <v>1</v>
      </c>
      <c r="E2327" s="17">
        <f t="shared" si="109"/>
        <v>1923</v>
      </c>
      <c r="F2327" s="17" t="s">
        <v>4813</v>
      </c>
      <c r="G2327" s="17">
        <f>MATCH(E2327,Arenas!$F$8:$F$15)</f>
        <v>6</v>
      </c>
      <c r="H2327" s="29" t="s">
        <v>3697</v>
      </c>
      <c r="I2327" s="33" t="s">
        <v>9340</v>
      </c>
      <c r="J2327" s="47" t="s">
        <v>9341</v>
      </c>
      <c r="K2327" s="61" t="s">
        <v>4810</v>
      </c>
      <c r="L2327" s="12" t="str">
        <f t="shared" si="108"/>
        <v>2,2,2</v>
      </c>
    </row>
    <row r="2328" spans="2:12">
      <c r="B2328" s="17">
        <v>2627</v>
      </c>
      <c r="C2328" s="17">
        <v>2</v>
      </c>
      <c r="D2328" s="17">
        <f t="shared" si="110"/>
        <v>0</v>
      </c>
      <c r="E2328" s="17">
        <f t="shared" si="109"/>
        <v>1923</v>
      </c>
      <c r="F2328" s="17" t="s">
        <v>4813</v>
      </c>
      <c r="G2328" s="17">
        <f>MATCH(E2328,Arenas!$F$8:$F$15)</f>
        <v>6</v>
      </c>
      <c r="H2328" s="29" t="s">
        <v>3698</v>
      </c>
      <c r="I2328" s="33" t="s">
        <v>9342</v>
      </c>
      <c r="J2328" s="47" t="s">
        <v>9343</v>
      </c>
      <c r="K2328" s="61" t="s">
        <v>4779</v>
      </c>
      <c r="L2328" s="12" t="str">
        <f t="shared" si="108"/>
        <v>2,2,2</v>
      </c>
    </row>
    <row r="2329" spans="2:12">
      <c r="B2329" s="17">
        <v>2628</v>
      </c>
      <c r="C2329" s="17">
        <v>2</v>
      </c>
      <c r="D2329" s="17">
        <f t="shared" si="110"/>
        <v>0</v>
      </c>
      <c r="E2329" s="17">
        <f t="shared" si="109"/>
        <v>1923</v>
      </c>
      <c r="F2329" s="17" t="s">
        <v>4813</v>
      </c>
      <c r="G2329" s="17">
        <f>MATCH(E2329,Arenas!$F$8:$F$15)</f>
        <v>6</v>
      </c>
      <c r="H2329" s="29" t="s">
        <v>3699</v>
      </c>
      <c r="I2329" s="33" t="s">
        <v>9344</v>
      </c>
      <c r="J2329" s="47" t="s">
        <v>6503</v>
      </c>
      <c r="K2329" s="61" t="s">
        <v>4779</v>
      </c>
      <c r="L2329" s="12" t="str">
        <f t="shared" si="108"/>
        <v>2,2,2</v>
      </c>
    </row>
    <row r="2330" spans="2:12">
      <c r="B2330" s="17">
        <v>2629</v>
      </c>
      <c r="C2330" s="17">
        <v>2</v>
      </c>
      <c r="D2330" s="17">
        <f t="shared" si="110"/>
        <v>1</v>
      </c>
      <c r="E2330" s="17">
        <f t="shared" si="109"/>
        <v>1924</v>
      </c>
      <c r="F2330" s="17" t="s">
        <v>4813</v>
      </c>
      <c r="G2330" s="17">
        <f>MATCH(E2330,Arenas!$F$8:$F$15)</f>
        <v>6</v>
      </c>
      <c r="H2330" s="29" t="s">
        <v>3700</v>
      </c>
      <c r="I2330" s="33" t="s">
        <v>9345</v>
      </c>
      <c r="J2330" s="47" t="s">
        <v>9346</v>
      </c>
      <c r="K2330" s="61" t="s">
        <v>4779</v>
      </c>
      <c r="L2330" s="12" t="str">
        <f t="shared" si="108"/>
        <v>2,2,2</v>
      </c>
    </row>
    <row r="2331" spans="2:12">
      <c r="B2331" s="17">
        <v>2630</v>
      </c>
      <c r="C2331" s="17">
        <v>2</v>
      </c>
      <c r="D2331" s="17">
        <f t="shared" si="110"/>
        <v>0</v>
      </c>
      <c r="E2331" s="17">
        <f t="shared" si="109"/>
        <v>1924</v>
      </c>
      <c r="F2331" s="17" t="s">
        <v>4813</v>
      </c>
      <c r="G2331" s="17">
        <f>MATCH(E2331,Arenas!$F$8:$F$15)</f>
        <v>6</v>
      </c>
      <c r="H2331" s="29" t="s">
        <v>3701</v>
      </c>
      <c r="I2331" s="33" t="s">
        <v>9347</v>
      </c>
      <c r="J2331" s="47" t="s">
        <v>9348</v>
      </c>
      <c r="K2331" s="61" t="s">
        <v>4810</v>
      </c>
      <c r="L2331" s="12" t="str">
        <f t="shared" si="108"/>
        <v>2,2,2</v>
      </c>
    </row>
    <row r="2332" spans="2:12">
      <c r="B2332" s="17">
        <v>2631</v>
      </c>
      <c r="C2332" s="17">
        <v>2</v>
      </c>
      <c r="D2332" s="17">
        <f t="shared" si="110"/>
        <v>0</v>
      </c>
      <c r="E2332" s="17">
        <f t="shared" si="109"/>
        <v>1924</v>
      </c>
      <c r="F2332" s="17" t="s">
        <v>4813</v>
      </c>
      <c r="G2332" s="17">
        <f>MATCH(E2332,Arenas!$F$8:$F$15)</f>
        <v>6</v>
      </c>
      <c r="H2332" s="29" t="s">
        <v>3702</v>
      </c>
      <c r="I2332" s="33" t="s">
        <v>9349</v>
      </c>
      <c r="J2332" s="47" t="s">
        <v>5887</v>
      </c>
      <c r="K2332" s="61" t="s">
        <v>4806</v>
      </c>
      <c r="L2332" s="12" t="str">
        <f t="shared" si="108"/>
        <v>2,2,2</v>
      </c>
    </row>
    <row r="2333" spans="2:12">
      <c r="B2333" s="17">
        <v>2632</v>
      </c>
      <c r="C2333" s="17">
        <v>2</v>
      </c>
      <c r="D2333" s="17">
        <f t="shared" si="110"/>
        <v>1</v>
      </c>
      <c r="E2333" s="17">
        <f t="shared" si="109"/>
        <v>1925</v>
      </c>
      <c r="F2333" s="17" t="s">
        <v>4813</v>
      </c>
      <c r="G2333" s="17">
        <f>MATCH(E2333,Arenas!$F$8:$F$15)</f>
        <v>6</v>
      </c>
      <c r="H2333" s="29" t="s">
        <v>3703</v>
      </c>
      <c r="I2333" s="33" t="s">
        <v>9350</v>
      </c>
      <c r="J2333" s="47" t="s">
        <v>9351</v>
      </c>
      <c r="K2333" s="61" t="s">
        <v>4779</v>
      </c>
      <c r="L2333" s="12" t="str">
        <f t="shared" si="108"/>
        <v>2,2,2</v>
      </c>
    </row>
    <row r="2334" spans="2:12">
      <c r="B2334" s="17">
        <v>2633</v>
      </c>
      <c r="C2334" s="17">
        <v>2</v>
      </c>
      <c r="D2334" s="17">
        <f t="shared" si="110"/>
        <v>0</v>
      </c>
      <c r="E2334" s="17">
        <f t="shared" si="109"/>
        <v>1925</v>
      </c>
      <c r="F2334" s="17" t="s">
        <v>4813</v>
      </c>
      <c r="G2334" s="17">
        <f>MATCH(E2334,Arenas!$F$8:$F$15)</f>
        <v>6</v>
      </c>
      <c r="H2334" s="29" t="s">
        <v>3704</v>
      </c>
      <c r="I2334" s="33" t="s">
        <v>9352</v>
      </c>
      <c r="J2334" s="47" t="s">
        <v>5874</v>
      </c>
      <c r="K2334" s="61" t="s">
        <v>4779</v>
      </c>
      <c r="L2334" s="12" t="str">
        <f t="shared" si="108"/>
        <v>2,2,2</v>
      </c>
    </row>
    <row r="2335" spans="2:12">
      <c r="B2335" s="17">
        <v>2634</v>
      </c>
      <c r="C2335" s="17">
        <v>2</v>
      </c>
      <c r="D2335" s="17">
        <f t="shared" si="110"/>
        <v>0</v>
      </c>
      <c r="E2335" s="17">
        <f t="shared" si="109"/>
        <v>1925</v>
      </c>
      <c r="F2335" s="17" t="s">
        <v>4813</v>
      </c>
      <c r="G2335" s="17">
        <f>MATCH(E2335,Arenas!$F$8:$F$15)</f>
        <v>6</v>
      </c>
      <c r="H2335" s="29" t="s">
        <v>3705</v>
      </c>
      <c r="I2335" s="33" t="s">
        <v>9353</v>
      </c>
      <c r="J2335" s="47" t="s">
        <v>5169</v>
      </c>
      <c r="K2335" s="61" t="s">
        <v>4779</v>
      </c>
      <c r="L2335" s="12" t="str">
        <f t="shared" si="108"/>
        <v>2,2,2</v>
      </c>
    </row>
    <row r="2336" spans="2:12">
      <c r="B2336" s="17">
        <v>2635</v>
      </c>
      <c r="C2336" s="17">
        <v>2</v>
      </c>
      <c r="D2336" s="17">
        <f t="shared" si="110"/>
        <v>1</v>
      </c>
      <c r="E2336" s="17">
        <f t="shared" si="109"/>
        <v>1926</v>
      </c>
      <c r="F2336" s="17" t="s">
        <v>4813</v>
      </c>
      <c r="G2336" s="17">
        <f>MATCH(E2336,Arenas!$F$8:$F$15)</f>
        <v>6</v>
      </c>
      <c r="H2336" s="29" t="s">
        <v>3706</v>
      </c>
      <c r="I2336" s="33" t="s">
        <v>9354</v>
      </c>
      <c r="J2336" s="47" t="s">
        <v>9355</v>
      </c>
      <c r="K2336" s="61" t="s">
        <v>4779</v>
      </c>
      <c r="L2336" s="12" t="str">
        <f t="shared" si="108"/>
        <v>2,2,2</v>
      </c>
    </row>
    <row r="2337" spans="2:12">
      <c r="B2337" s="17">
        <v>2636</v>
      </c>
      <c r="C2337" s="17">
        <v>2</v>
      </c>
      <c r="D2337" s="17">
        <f t="shared" si="110"/>
        <v>0</v>
      </c>
      <c r="E2337" s="17">
        <f t="shared" si="109"/>
        <v>1926</v>
      </c>
      <c r="F2337" s="17" t="s">
        <v>4813</v>
      </c>
      <c r="G2337" s="17">
        <f>MATCH(E2337,Arenas!$F$8:$F$15)</f>
        <v>6</v>
      </c>
      <c r="H2337" s="29" t="s">
        <v>3707</v>
      </c>
      <c r="I2337" s="33" t="s">
        <v>9356</v>
      </c>
      <c r="J2337" s="47" t="s">
        <v>9357</v>
      </c>
      <c r="K2337" s="61" t="s">
        <v>4779</v>
      </c>
      <c r="L2337" s="12" t="str">
        <f t="shared" si="108"/>
        <v>2,2,2</v>
      </c>
    </row>
    <row r="2338" spans="2:12">
      <c r="B2338" s="17">
        <v>2637</v>
      </c>
      <c r="C2338" s="17">
        <v>2</v>
      </c>
      <c r="D2338" s="17">
        <f t="shared" si="110"/>
        <v>0</v>
      </c>
      <c r="E2338" s="17">
        <f t="shared" si="109"/>
        <v>1926</v>
      </c>
      <c r="F2338" s="17" t="s">
        <v>4813</v>
      </c>
      <c r="G2338" s="17">
        <f>MATCH(E2338,Arenas!$F$8:$F$15)</f>
        <v>6</v>
      </c>
      <c r="H2338" s="29" t="s">
        <v>3708</v>
      </c>
      <c r="I2338" s="33" t="s">
        <v>9358</v>
      </c>
      <c r="J2338" s="47" t="s">
        <v>9359</v>
      </c>
      <c r="K2338" s="61" t="s">
        <v>4779</v>
      </c>
      <c r="L2338" s="12" t="str">
        <f t="shared" si="108"/>
        <v>2,2,2</v>
      </c>
    </row>
    <row r="2339" spans="2:12">
      <c r="B2339" s="17">
        <v>2638</v>
      </c>
      <c r="C2339" s="17">
        <v>2</v>
      </c>
      <c r="D2339" s="17">
        <f t="shared" si="110"/>
        <v>1</v>
      </c>
      <c r="E2339" s="17">
        <f t="shared" si="109"/>
        <v>1927</v>
      </c>
      <c r="F2339" s="17" t="s">
        <v>4813</v>
      </c>
      <c r="G2339" s="17">
        <f>MATCH(E2339,Arenas!$F$8:$F$15)</f>
        <v>6</v>
      </c>
      <c r="H2339" s="29" t="s">
        <v>3709</v>
      </c>
      <c r="I2339" s="33" t="s">
        <v>9360</v>
      </c>
      <c r="J2339" s="47" t="s">
        <v>9361</v>
      </c>
      <c r="K2339" s="61" t="s">
        <v>4779</v>
      </c>
      <c r="L2339" s="12" t="str">
        <f t="shared" si="108"/>
        <v>2,2,2</v>
      </c>
    </row>
    <row r="2340" spans="2:12">
      <c r="B2340" s="17">
        <v>2639</v>
      </c>
      <c r="C2340" s="17">
        <v>2</v>
      </c>
      <c r="D2340" s="17">
        <f t="shared" si="110"/>
        <v>0</v>
      </c>
      <c r="E2340" s="17">
        <f t="shared" si="109"/>
        <v>1927</v>
      </c>
      <c r="F2340" s="17" t="s">
        <v>4813</v>
      </c>
      <c r="G2340" s="17">
        <f>MATCH(E2340,Arenas!$F$8:$F$15)</f>
        <v>6</v>
      </c>
      <c r="H2340" s="29" t="s">
        <v>3710</v>
      </c>
      <c r="I2340" s="33" t="s">
        <v>9362</v>
      </c>
      <c r="J2340" s="47" t="s">
        <v>9363</v>
      </c>
      <c r="K2340" s="61" t="s">
        <v>4810</v>
      </c>
      <c r="L2340" s="12" t="str">
        <f t="shared" si="108"/>
        <v>2,2,2</v>
      </c>
    </row>
    <row r="2341" spans="2:12">
      <c r="B2341" s="17">
        <v>2640</v>
      </c>
      <c r="C2341" s="17">
        <v>2</v>
      </c>
      <c r="D2341" s="17">
        <f t="shared" si="110"/>
        <v>0</v>
      </c>
      <c r="E2341" s="17">
        <f t="shared" si="109"/>
        <v>1927</v>
      </c>
      <c r="F2341" s="17" t="s">
        <v>4813</v>
      </c>
      <c r="G2341" s="17">
        <f>MATCH(E2341,Arenas!$F$8:$F$15)</f>
        <v>6</v>
      </c>
      <c r="H2341" s="29" t="s">
        <v>3711</v>
      </c>
      <c r="I2341" s="33" t="s">
        <v>9364</v>
      </c>
      <c r="J2341" s="47" t="s">
        <v>7642</v>
      </c>
      <c r="K2341" s="61" t="s">
        <v>4779</v>
      </c>
      <c r="L2341" s="12" t="str">
        <f t="shared" si="108"/>
        <v>2,2,2</v>
      </c>
    </row>
    <row r="2342" spans="2:12">
      <c r="B2342" s="17">
        <v>2641</v>
      </c>
      <c r="C2342" s="17">
        <v>2</v>
      </c>
      <c r="D2342" s="17">
        <f t="shared" si="110"/>
        <v>1</v>
      </c>
      <c r="E2342" s="17">
        <f t="shared" si="109"/>
        <v>1928</v>
      </c>
      <c r="F2342" s="17" t="s">
        <v>4813</v>
      </c>
      <c r="G2342" s="17">
        <f>MATCH(E2342,Arenas!$F$8:$F$15)</f>
        <v>6</v>
      </c>
      <c r="H2342" s="29" t="s">
        <v>3712</v>
      </c>
      <c r="I2342" s="33" t="s">
        <v>9365</v>
      </c>
      <c r="J2342" s="47" t="s">
        <v>5086</v>
      </c>
      <c r="K2342" s="61" t="s">
        <v>4779</v>
      </c>
      <c r="L2342" s="12" t="str">
        <f t="shared" si="108"/>
        <v>2,2,2</v>
      </c>
    </row>
    <row r="2343" spans="2:12">
      <c r="B2343" s="17">
        <v>2642</v>
      </c>
      <c r="C2343" s="17">
        <v>2</v>
      </c>
      <c r="D2343" s="17">
        <f t="shared" si="110"/>
        <v>0</v>
      </c>
      <c r="E2343" s="17">
        <f t="shared" si="109"/>
        <v>1928</v>
      </c>
      <c r="F2343" s="17" t="s">
        <v>4813</v>
      </c>
      <c r="G2343" s="17">
        <f>MATCH(E2343,Arenas!$F$8:$F$15)</f>
        <v>6</v>
      </c>
      <c r="H2343" s="29" t="s">
        <v>3713</v>
      </c>
      <c r="I2343" s="33" t="s">
        <v>9366</v>
      </c>
      <c r="J2343" s="47" t="s">
        <v>9367</v>
      </c>
      <c r="K2343" s="61" t="s">
        <v>4806</v>
      </c>
      <c r="L2343" s="12" t="str">
        <f t="shared" si="108"/>
        <v>2,2,2</v>
      </c>
    </row>
    <row r="2344" spans="2:12">
      <c r="B2344" s="17">
        <v>2643</v>
      </c>
      <c r="C2344" s="17">
        <v>2</v>
      </c>
      <c r="D2344" s="17">
        <f t="shared" si="110"/>
        <v>0</v>
      </c>
      <c r="E2344" s="17">
        <f t="shared" si="109"/>
        <v>1928</v>
      </c>
      <c r="F2344" s="17" t="s">
        <v>4813</v>
      </c>
      <c r="G2344" s="17">
        <f>MATCH(E2344,Arenas!$F$8:$F$15)</f>
        <v>6</v>
      </c>
      <c r="H2344" s="29" t="s">
        <v>3714</v>
      </c>
      <c r="I2344" s="33" t="s">
        <v>9368</v>
      </c>
      <c r="J2344" s="47" t="s">
        <v>9369</v>
      </c>
      <c r="K2344" s="61" t="s">
        <v>4779</v>
      </c>
      <c r="L2344" s="12" t="str">
        <f t="shared" si="108"/>
        <v>2,2,2</v>
      </c>
    </row>
    <row r="2345" spans="2:12">
      <c r="B2345" s="17">
        <v>2644</v>
      </c>
      <c r="C2345" s="17">
        <v>2</v>
      </c>
      <c r="D2345" s="17">
        <f t="shared" si="110"/>
        <v>1</v>
      </c>
      <c r="E2345" s="17">
        <f t="shared" si="109"/>
        <v>1929</v>
      </c>
      <c r="F2345" s="17" t="s">
        <v>4813</v>
      </c>
      <c r="G2345" s="17">
        <f>MATCH(E2345,Arenas!$F$8:$F$15)</f>
        <v>6</v>
      </c>
      <c r="H2345" s="29" t="s">
        <v>3715</v>
      </c>
      <c r="I2345" s="33" t="s">
        <v>9370</v>
      </c>
      <c r="J2345" s="47" t="s">
        <v>9371</v>
      </c>
      <c r="K2345" s="61" t="s">
        <v>4779</v>
      </c>
      <c r="L2345" s="12" t="str">
        <f t="shared" si="108"/>
        <v>2,2,2</v>
      </c>
    </row>
    <row r="2346" spans="2:12">
      <c r="B2346" s="17">
        <v>2645</v>
      </c>
      <c r="C2346" s="17">
        <v>2</v>
      </c>
      <c r="D2346" s="17">
        <f t="shared" si="110"/>
        <v>0</v>
      </c>
      <c r="E2346" s="17">
        <f t="shared" si="109"/>
        <v>1929</v>
      </c>
      <c r="F2346" s="17" t="s">
        <v>4813</v>
      </c>
      <c r="G2346" s="17">
        <f>MATCH(E2346,Arenas!$F$8:$F$15)</f>
        <v>6</v>
      </c>
      <c r="H2346" s="29" t="s">
        <v>3716</v>
      </c>
      <c r="I2346" s="33" t="s">
        <v>9372</v>
      </c>
      <c r="J2346" s="47" t="s">
        <v>9373</v>
      </c>
      <c r="K2346" s="61" t="s">
        <v>4779</v>
      </c>
      <c r="L2346" s="12" t="str">
        <f t="shared" si="108"/>
        <v>2,2,2</v>
      </c>
    </row>
    <row r="2347" spans="2:12">
      <c r="B2347" s="17">
        <v>2646</v>
      </c>
      <c r="C2347" s="17">
        <v>2</v>
      </c>
      <c r="D2347" s="17">
        <f t="shared" si="110"/>
        <v>0</v>
      </c>
      <c r="E2347" s="17">
        <f t="shared" si="109"/>
        <v>1929</v>
      </c>
      <c r="F2347" s="17" t="s">
        <v>4813</v>
      </c>
      <c r="G2347" s="17">
        <f>MATCH(E2347,Arenas!$F$8:$F$15)</f>
        <v>6</v>
      </c>
      <c r="H2347" s="29" t="s">
        <v>3717</v>
      </c>
      <c r="I2347" s="33" t="s">
        <v>9374</v>
      </c>
      <c r="J2347" s="47" t="s">
        <v>9375</v>
      </c>
      <c r="K2347" s="61" t="s">
        <v>4779</v>
      </c>
      <c r="L2347" s="12" t="str">
        <f t="shared" si="108"/>
        <v>2,2,2</v>
      </c>
    </row>
    <row r="2348" spans="2:12">
      <c r="B2348" s="17">
        <v>2647</v>
      </c>
      <c r="C2348" s="17">
        <v>2</v>
      </c>
      <c r="D2348" s="17">
        <f t="shared" si="110"/>
        <v>1</v>
      </c>
      <c r="E2348" s="17">
        <f t="shared" si="109"/>
        <v>1930</v>
      </c>
      <c r="F2348" s="17" t="s">
        <v>4813</v>
      </c>
      <c r="G2348" s="17">
        <f>MATCH(E2348,Arenas!$F$8:$F$15)</f>
        <v>6</v>
      </c>
      <c r="H2348" s="29" t="s">
        <v>3718</v>
      </c>
      <c r="I2348" s="33" t="s">
        <v>9376</v>
      </c>
      <c r="J2348" s="47" t="s">
        <v>9377</v>
      </c>
      <c r="K2348" s="61" t="s">
        <v>4779</v>
      </c>
      <c r="L2348" s="12" t="str">
        <f t="shared" si="108"/>
        <v>2,2,2</v>
      </c>
    </row>
    <row r="2349" spans="2:12">
      <c r="B2349" s="17">
        <v>2648</v>
      </c>
      <c r="C2349" s="17">
        <v>2</v>
      </c>
      <c r="D2349" s="17">
        <f t="shared" si="110"/>
        <v>0</v>
      </c>
      <c r="E2349" s="17">
        <f t="shared" si="109"/>
        <v>1930</v>
      </c>
      <c r="F2349" s="17" t="s">
        <v>4813</v>
      </c>
      <c r="G2349" s="17">
        <f>MATCH(E2349,Arenas!$F$8:$F$15)</f>
        <v>6</v>
      </c>
      <c r="H2349" s="29" t="s">
        <v>3719</v>
      </c>
      <c r="I2349" s="33" t="s">
        <v>9378</v>
      </c>
      <c r="J2349" s="47" t="s">
        <v>9379</v>
      </c>
      <c r="K2349" s="61" t="s">
        <v>4779</v>
      </c>
      <c r="L2349" s="12" t="str">
        <f t="shared" si="108"/>
        <v>2,2,2</v>
      </c>
    </row>
    <row r="2350" spans="2:12">
      <c r="B2350" s="17">
        <v>2649</v>
      </c>
      <c r="C2350" s="17">
        <v>2</v>
      </c>
      <c r="D2350" s="17">
        <f t="shared" si="110"/>
        <v>0</v>
      </c>
      <c r="E2350" s="17">
        <f t="shared" si="109"/>
        <v>1930</v>
      </c>
      <c r="F2350" s="17" t="s">
        <v>4813</v>
      </c>
      <c r="G2350" s="17">
        <f>MATCH(E2350,Arenas!$F$8:$F$15)</f>
        <v>6</v>
      </c>
      <c r="H2350" s="29" t="s">
        <v>3720</v>
      </c>
      <c r="I2350" s="33" t="s">
        <v>9380</v>
      </c>
      <c r="J2350" s="47" t="s">
        <v>9381</v>
      </c>
      <c r="K2350" s="61" t="s">
        <v>4779</v>
      </c>
      <c r="L2350" s="12" t="str">
        <f t="shared" si="108"/>
        <v>2,2,2</v>
      </c>
    </row>
    <row r="2351" spans="2:12">
      <c r="B2351" s="17">
        <v>2650</v>
      </c>
      <c r="C2351" s="17">
        <v>2</v>
      </c>
      <c r="D2351" s="17">
        <f t="shared" si="110"/>
        <v>1</v>
      </c>
      <c r="E2351" s="17">
        <f t="shared" si="109"/>
        <v>1931</v>
      </c>
      <c r="F2351" s="17" t="s">
        <v>4813</v>
      </c>
      <c r="G2351" s="17">
        <f>MATCH(E2351,Arenas!$F$8:$F$15)</f>
        <v>6</v>
      </c>
      <c r="H2351" s="29" t="s">
        <v>3721</v>
      </c>
      <c r="I2351" s="33" t="s">
        <v>9382</v>
      </c>
      <c r="J2351" s="47" t="s">
        <v>9383</v>
      </c>
      <c r="K2351" s="61" t="s">
        <v>4806</v>
      </c>
      <c r="L2351" s="12" t="str">
        <f t="shared" si="108"/>
        <v>2,2,2</v>
      </c>
    </row>
    <row r="2352" spans="2:12">
      <c r="B2352" s="17">
        <v>2651</v>
      </c>
      <c r="C2352" s="17">
        <v>2</v>
      </c>
      <c r="D2352" s="17">
        <f t="shared" si="110"/>
        <v>0</v>
      </c>
      <c r="E2352" s="17">
        <f t="shared" si="109"/>
        <v>1931</v>
      </c>
      <c r="F2352" s="17" t="s">
        <v>4813</v>
      </c>
      <c r="G2352" s="17">
        <f>MATCH(E2352,Arenas!$F$8:$F$15)</f>
        <v>6</v>
      </c>
      <c r="H2352" s="29" t="s">
        <v>3722</v>
      </c>
      <c r="I2352" s="33" t="s">
        <v>9384</v>
      </c>
      <c r="J2352" s="47" t="s">
        <v>9385</v>
      </c>
      <c r="K2352" s="61" t="s">
        <v>4779</v>
      </c>
      <c r="L2352" s="12" t="str">
        <f t="shared" si="108"/>
        <v>2,2,2</v>
      </c>
    </row>
    <row r="2353" spans="2:12">
      <c r="B2353" s="17">
        <v>2652</v>
      </c>
      <c r="C2353" s="17">
        <v>2</v>
      </c>
      <c r="D2353" s="17">
        <f t="shared" si="110"/>
        <v>0</v>
      </c>
      <c r="E2353" s="17">
        <f t="shared" si="109"/>
        <v>1931</v>
      </c>
      <c r="F2353" s="17" t="s">
        <v>4813</v>
      </c>
      <c r="G2353" s="17">
        <f>MATCH(E2353,Arenas!$F$8:$F$15)</f>
        <v>6</v>
      </c>
      <c r="H2353" s="29" t="s">
        <v>3723</v>
      </c>
      <c r="I2353" s="33" t="s">
        <v>9386</v>
      </c>
      <c r="J2353" s="47" t="s">
        <v>9387</v>
      </c>
      <c r="K2353" s="61" t="s">
        <v>4779</v>
      </c>
      <c r="L2353" s="12" t="str">
        <f t="shared" si="108"/>
        <v>2,2,2</v>
      </c>
    </row>
    <row r="2354" spans="2:12">
      <c r="B2354" s="17">
        <v>2653</v>
      </c>
      <c r="C2354" s="17">
        <v>2</v>
      </c>
      <c r="D2354" s="17">
        <f t="shared" si="110"/>
        <v>1</v>
      </c>
      <c r="E2354" s="17">
        <f t="shared" si="109"/>
        <v>1932</v>
      </c>
      <c r="F2354" s="17" t="s">
        <v>4813</v>
      </c>
      <c r="G2354" s="17">
        <f>MATCH(E2354,Arenas!$F$8:$F$15)</f>
        <v>6</v>
      </c>
      <c r="H2354" s="29" t="s">
        <v>3724</v>
      </c>
      <c r="I2354" s="33" t="s">
        <v>9388</v>
      </c>
      <c r="J2354" s="47" t="s">
        <v>5215</v>
      </c>
      <c r="K2354" s="61" t="s">
        <v>4779</v>
      </c>
      <c r="L2354" s="12" t="str">
        <f t="shared" si="108"/>
        <v>2,2,2</v>
      </c>
    </row>
    <row r="2355" spans="2:12">
      <c r="B2355" s="17">
        <v>2654</v>
      </c>
      <c r="C2355" s="17">
        <v>2</v>
      </c>
      <c r="D2355" s="17">
        <f t="shared" si="110"/>
        <v>0</v>
      </c>
      <c r="E2355" s="17">
        <f t="shared" si="109"/>
        <v>1932</v>
      </c>
      <c r="F2355" s="17" t="s">
        <v>4813</v>
      </c>
      <c r="G2355" s="17">
        <f>MATCH(E2355,Arenas!$F$8:$F$15)</f>
        <v>6</v>
      </c>
      <c r="H2355" s="29" t="s">
        <v>3725</v>
      </c>
      <c r="I2355" s="33" t="s">
        <v>9389</v>
      </c>
      <c r="J2355" s="47" t="s">
        <v>9390</v>
      </c>
      <c r="K2355" s="61" t="s">
        <v>4779</v>
      </c>
      <c r="L2355" s="12" t="str">
        <f t="shared" si="108"/>
        <v>2,2,2</v>
      </c>
    </row>
    <row r="2356" spans="2:12">
      <c r="B2356" s="17">
        <v>2655</v>
      </c>
      <c r="C2356" s="17">
        <v>2</v>
      </c>
      <c r="D2356" s="17">
        <f t="shared" si="110"/>
        <v>0</v>
      </c>
      <c r="E2356" s="17">
        <f t="shared" si="109"/>
        <v>1932</v>
      </c>
      <c r="F2356" s="17" t="s">
        <v>4813</v>
      </c>
      <c r="G2356" s="17">
        <f>MATCH(E2356,Arenas!$F$8:$F$15)</f>
        <v>6</v>
      </c>
      <c r="H2356" s="29" t="s">
        <v>3726</v>
      </c>
      <c r="I2356" s="33" t="s">
        <v>9391</v>
      </c>
      <c r="J2356" s="47" t="s">
        <v>9392</v>
      </c>
      <c r="K2356" s="61" t="s">
        <v>4779</v>
      </c>
      <c r="L2356" s="12" t="str">
        <f t="shared" si="108"/>
        <v>2,2,2</v>
      </c>
    </row>
    <row r="2357" spans="2:12">
      <c r="B2357" s="17">
        <v>2656</v>
      </c>
      <c r="C2357" s="17">
        <v>2</v>
      </c>
      <c r="D2357" s="17">
        <f t="shared" si="110"/>
        <v>1</v>
      </c>
      <c r="E2357" s="17">
        <f t="shared" si="109"/>
        <v>1933</v>
      </c>
      <c r="F2357" s="17" t="s">
        <v>4813</v>
      </c>
      <c r="G2357" s="17">
        <f>MATCH(E2357,Arenas!$F$8:$F$15)</f>
        <v>6</v>
      </c>
      <c r="H2357" s="29" t="s">
        <v>3727</v>
      </c>
      <c r="I2357" s="33" t="s">
        <v>9393</v>
      </c>
      <c r="J2357" s="47" t="s">
        <v>9394</v>
      </c>
      <c r="K2357" s="61" t="s">
        <v>4779</v>
      </c>
      <c r="L2357" s="12" t="str">
        <f t="shared" si="108"/>
        <v>2,2,2</v>
      </c>
    </row>
    <row r="2358" spans="2:12">
      <c r="B2358" s="17">
        <v>2657</v>
      </c>
      <c r="C2358" s="17">
        <v>2</v>
      </c>
      <c r="D2358" s="17">
        <f t="shared" si="110"/>
        <v>0</v>
      </c>
      <c r="E2358" s="17">
        <f t="shared" si="109"/>
        <v>1933</v>
      </c>
      <c r="F2358" s="17" t="s">
        <v>4813</v>
      </c>
      <c r="G2358" s="17">
        <f>MATCH(E2358,Arenas!$F$8:$F$15)</f>
        <v>6</v>
      </c>
      <c r="H2358" s="29" t="s">
        <v>3728</v>
      </c>
      <c r="I2358" s="33" t="s">
        <v>9395</v>
      </c>
      <c r="J2358" s="47" t="s">
        <v>9396</v>
      </c>
      <c r="K2358" s="61" t="s">
        <v>4779</v>
      </c>
      <c r="L2358" s="12" t="str">
        <f t="shared" si="108"/>
        <v>2,2,2</v>
      </c>
    </row>
    <row r="2359" spans="2:12">
      <c r="B2359" s="17">
        <v>2658</v>
      </c>
      <c r="C2359" s="17">
        <v>2</v>
      </c>
      <c r="D2359" s="17">
        <f t="shared" si="110"/>
        <v>0</v>
      </c>
      <c r="E2359" s="17">
        <f t="shared" si="109"/>
        <v>1933</v>
      </c>
      <c r="F2359" s="17" t="s">
        <v>4813</v>
      </c>
      <c r="G2359" s="17">
        <f>MATCH(E2359,Arenas!$F$8:$F$15)</f>
        <v>6</v>
      </c>
      <c r="H2359" s="29" t="s">
        <v>3729</v>
      </c>
      <c r="I2359" s="33" t="s">
        <v>9397</v>
      </c>
      <c r="J2359" s="47" t="s">
        <v>9398</v>
      </c>
      <c r="K2359" s="61" t="s">
        <v>4779</v>
      </c>
      <c r="L2359" s="12" t="str">
        <f t="shared" si="108"/>
        <v>2,2,2</v>
      </c>
    </row>
    <row r="2360" spans="2:12">
      <c r="B2360" s="17">
        <v>2659</v>
      </c>
      <c r="C2360" s="17">
        <v>2</v>
      </c>
      <c r="D2360" s="17">
        <f t="shared" si="110"/>
        <v>1</v>
      </c>
      <c r="E2360" s="17">
        <f t="shared" si="109"/>
        <v>1934</v>
      </c>
      <c r="F2360" s="17" t="s">
        <v>4813</v>
      </c>
      <c r="G2360" s="17">
        <f>MATCH(E2360,Arenas!$F$8:$F$15)</f>
        <v>6</v>
      </c>
      <c r="H2360" s="29" t="s">
        <v>3730</v>
      </c>
      <c r="I2360" s="33" t="s">
        <v>9399</v>
      </c>
      <c r="J2360" s="47" t="s">
        <v>9400</v>
      </c>
      <c r="K2360" s="61" t="s">
        <v>4779</v>
      </c>
      <c r="L2360" s="12" t="str">
        <f t="shared" si="108"/>
        <v>2,2,2</v>
      </c>
    </row>
    <row r="2361" spans="2:12">
      <c r="B2361" s="17">
        <v>2660</v>
      </c>
      <c r="C2361" s="17">
        <v>2</v>
      </c>
      <c r="D2361" s="17">
        <f t="shared" si="110"/>
        <v>0</v>
      </c>
      <c r="E2361" s="17">
        <f t="shared" si="109"/>
        <v>1934</v>
      </c>
      <c r="F2361" s="17" t="s">
        <v>4813</v>
      </c>
      <c r="G2361" s="17">
        <f>MATCH(E2361,Arenas!$F$8:$F$15)</f>
        <v>6</v>
      </c>
      <c r="H2361" s="29" t="s">
        <v>3731</v>
      </c>
      <c r="I2361" s="33" t="s">
        <v>9401</v>
      </c>
      <c r="J2361" s="47" t="s">
        <v>9402</v>
      </c>
      <c r="K2361" s="61" t="s">
        <v>4779</v>
      </c>
      <c r="L2361" s="12" t="str">
        <f t="shared" si="108"/>
        <v>2,2,2</v>
      </c>
    </row>
    <row r="2362" spans="2:12">
      <c r="B2362" s="17">
        <v>2661</v>
      </c>
      <c r="C2362" s="17">
        <v>2</v>
      </c>
      <c r="D2362" s="17">
        <f t="shared" si="110"/>
        <v>0</v>
      </c>
      <c r="E2362" s="17">
        <f t="shared" si="109"/>
        <v>1934</v>
      </c>
      <c r="F2362" s="17" t="s">
        <v>4813</v>
      </c>
      <c r="G2362" s="17">
        <f>MATCH(E2362,Arenas!$F$8:$F$15)</f>
        <v>6</v>
      </c>
      <c r="H2362" s="29" t="s">
        <v>3732</v>
      </c>
      <c r="I2362" s="33" t="s">
        <v>9403</v>
      </c>
      <c r="J2362" s="47" t="s">
        <v>9404</v>
      </c>
      <c r="K2362" s="61" t="s">
        <v>4779</v>
      </c>
      <c r="L2362" s="12" t="str">
        <f t="shared" si="108"/>
        <v>2,2,2</v>
      </c>
    </row>
    <row r="2363" spans="2:12">
      <c r="B2363" s="17">
        <v>2662</v>
      </c>
      <c r="C2363" s="17">
        <v>2</v>
      </c>
      <c r="D2363" s="17">
        <f t="shared" si="110"/>
        <v>1</v>
      </c>
      <c r="E2363" s="17">
        <f t="shared" si="109"/>
        <v>1935</v>
      </c>
      <c r="F2363" s="17" t="s">
        <v>4813</v>
      </c>
      <c r="G2363" s="17">
        <f>MATCH(E2363,Arenas!$F$8:$F$15)</f>
        <v>6</v>
      </c>
      <c r="H2363" s="29" t="s">
        <v>3733</v>
      </c>
      <c r="I2363" s="33" t="s">
        <v>9405</v>
      </c>
      <c r="J2363" s="47" t="s">
        <v>8898</v>
      </c>
      <c r="K2363" s="61" t="s">
        <v>4809</v>
      </c>
      <c r="L2363" s="12" t="str">
        <f t="shared" si="108"/>
        <v>2,2,2</v>
      </c>
    </row>
    <row r="2364" spans="2:12">
      <c r="B2364" s="17">
        <v>2663</v>
      </c>
      <c r="C2364" s="17">
        <v>2</v>
      </c>
      <c r="D2364" s="17">
        <f t="shared" si="110"/>
        <v>0</v>
      </c>
      <c r="E2364" s="17">
        <f t="shared" si="109"/>
        <v>1935</v>
      </c>
      <c r="F2364" s="17" t="s">
        <v>4813</v>
      </c>
      <c r="G2364" s="17">
        <f>MATCH(E2364,Arenas!$F$8:$F$15)</f>
        <v>6</v>
      </c>
      <c r="H2364" s="29" t="s">
        <v>3734</v>
      </c>
      <c r="I2364" s="33" t="s">
        <v>9406</v>
      </c>
      <c r="J2364" s="47" t="s">
        <v>9407</v>
      </c>
      <c r="K2364" s="61" t="s">
        <v>4779</v>
      </c>
      <c r="L2364" s="12" t="str">
        <f t="shared" si="108"/>
        <v>2,2,2</v>
      </c>
    </row>
    <row r="2365" spans="2:12">
      <c r="B2365" s="17">
        <v>2664</v>
      </c>
      <c r="C2365" s="17">
        <v>2</v>
      </c>
      <c r="D2365" s="17">
        <f t="shared" si="110"/>
        <v>0</v>
      </c>
      <c r="E2365" s="17">
        <f t="shared" si="109"/>
        <v>1935</v>
      </c>
      <c r="F2365" s="17" t="s">
        <v>4813</v>
      </c>
      <c r="G2365" s="17">
        <f>MATCH(E2365,Arenas!$F$8:$F$15)</f>
        <v>6</v>
      </c>
      <c r="H2365" s="29" t="s">
        <v>3735</v>
      </c>
      <c r="I2365" s="33" t="s">
        <v>9408</v>
      </c>
      <c r="J2365" s="47" t="s">
        <v>9409</v>
      </c>
      <c r="K2365" s="61" t="s">
        <v>4779</v>
      </c>
      <c r="L2365" s="12" t="str">
        <f t="shared" si="108"/>
        <v>2,2,2</v>
      </c>
    </row>
    <row r="2366" spans="2:12">
      <c r="B2366" s="17">
        <v>2665</v>
      </c>
      <c r="C2366" s="17">
        <v>2</v>
      </c>
      <c r="D2366" s="17">
        <f t="shared" si="110"/>
        <v>1</v>
      </c>
      <c r="E2366" s="17">
        <f t="shared" si="109"/>
        <v>1936</v>
      </c>
      <c r="F2366" s="17" t="s">
        <v>4813</v>
      </c>
      <c r="G2366" s="17">
        <f>MATCH(E2366,Arenas!$F$8:$F$15)</f>
        <v>6</v>
      </c>
      <c r="H2366" s="29" t="s">
        <v>3736</v>
      </c>
      <c r="I2366" s="33" t="s">
        <v>9410</v>
      </c>
      <c r="J2366" s="47" t="s">
        <v>9411</v>
      </c>
      <c r="K2366" s="61" t="s">
        <v>4809</v>
      </c>
      <c r="L2366" s="12" t="str">
        <f t="shared" si="108"/>
        <v>2,2,2</v>
      </c>
    </row>
    <row r="2367" spans="2:12">
      <c r="B2367" s="17">
        <v>2666</v>
      </c>
      <c r="C2367" s="17">
        <v>2</v>
      </c>
      <c r="D2367" s="17">
        <f t="shared" si="110"/>
        <v>0</v>
      </c>
      <c r="E2367" s="17">
        <f t="shared" si="109"/>
        <v>1936</v>
      </c>
      <c r="F2367" s="17" t="s">
        <v>4813</v>
      </c>
      <c r="G2367" s="17">
        <f>MATCH(E2367,Arenas!$F$8:$F$15)</f>
        <v>6</v>
      </c>
      <c r="H2367" s="29" t="s">
        <v>3737</v>
      </c>
      <c r="I2367" s="33" t="s">
        <v>9412</v>
      </c>
      <c r="J2367" s="47" t="s">
        <v>9413</v>
      </c>
      <c r="K2367" s="61" t="s">
        <v>4809</v>
      </c>
      <c r="L2367" s="12" t="str">
        <f t="shared" si="108"/>
        <v>2,2,2</v>
      </c>
    </row>
    <row r="2368" spans="2:12">
      <c r="B2368" s="17">
        <v>2667</v>
      </c>
      <c r="C2368" s="17">
        <v>2</v>
      </c>
      <c r="D2368" s="17">
        <f t="shared" si="110"/>
        <v>0</v>
      </c>
      <c r="E2368" s="17">
        <f t="shared" si="109"/>
        <v>1936</v>
      </c>
      <c r="F2368" s="17" t="s">
        <v>4813</v>
      </c>
      <c r="G2368" s="17">
        <f>MATCH(E2368,Arenas!$F$8:$F$15)</f>
        <v>6</v>
      </c>
      <c r="H2368" s="29" t="s">
        <v>3738</v>
      </c>
      <c r="I2368" s="33" t="s">
        <v>9414</v>
      </c>
      <c r="J2368" s="47" t="s">
        <v>9415</v>
      </c>
      <c r="K2368" s="61" t="s">
        <v>4779</v>
      </c>
      <c r="L2368" s="12" t="str">
        <f t="shared" si="108"/>
        <v>2,2,2</v>
      </c>
    </row>
    <row r="2369" spans="2:12">
      <c r="B2369" s="17">
        <v>2668</v>
      </c>
      <c r="C2369" s="17">
        <v>2</v>
      </c>
      <c r="D2369" s="17">
        <f t="shared" si="110"/>
        <v>1</v>
      </c>
      <c r="E2369" s="17">
        <f t="shared" si="109"/>
        <v>1937</v>
      </c>
      <c r="F2369" s="17" t="s">
        <v>4813</v>
      </c>
      <c r="G2369" s="17">
        <f>MATCH(E2369,Arenas!$F$8:$F$15)</f>
        <v>6</v>
      </c>
      <c r="H2369" s="29" t="s">
        <v>3739</v>
      </c>
      <c r="I2369" s="33" t="s">
        <v>9416</v>
      </c>
      <c r="J2369" s="47" t="s">
        <v>9417</v>
      </c>
      <c r="K2369" s="61" t="s">
        <v>4779</v>
      </c>
      <c r="L2369" s="12" t="str">
        <f t="shared" si="108"/>
        <v>2,2,2</v>
      </c>
    </row>
    <row r="2370" spans="2:12">
      <c r="B2370" s="17">
        <v>2669</v>
      </c>
      <c r="C2370" s="17">
        <v>2</v>
      </c>
      <c r="D2370" s="17">
        <f t="shared" si="110"/>
        <v>0</v>
      </c>
      <c r="E2370" s="17">
        <f t="shared" si="109"/>
        <v>1937</v>
      </c>
      <c r="F2370" s="17" t="s">
        <v>4813</v>
      </c>
      <c r="G2370" s="17">
        <f>MATCH(E2370,Arenas!$F$8:$F$15)</f>
        <v>6</v>
      </c>
      <c r="H2370" s="29" t="s">
        <v>3740</v>
      </c>
      <c r="I2370" s="33" t="s">
        <v>9418</v>
      </c>
      <c r="J2370" s="47" t="s">
        <v>9419</v>
      </c>
      <c r="K2370" s="61" t="s">
        <v>4779</v>
      </c>
      <c r="L2370" s="12" t="str">
        <f t="shared" ref="L2370:L2433" si="111">C2370&amp;","&amp;C2370&amp;","&amp;C2370</f>
        <v>2,2,2</v>
      </c>
    </row>
    <row r="2371" spans="2:12">
      <c r="B2371" s="17">
        <v>2670</v>
      </c>
      <c r="C2371" s="17">
        <v>2</v>
      </c>
      <c r="D2371" s="17">
        <f t="shared" si="110"/>
        <v>0</v>
      </c>
      <c r="E2371" s="17">
        <f t="shared" ref="E2371:E2434" si="112">D2371+E2370</f>
        <v>1937</v>
      </c>
      <c r="F2371" s="17" t="s">
        <v>4813</v>
      </c>
      <c r="G2371" s="17">
        <f>MATCH(E2371,Arenas!$F$8:$F$15)</f>
        <v>6</v>
      </c>
      <c r="H2371" s="29" t="s">
        <v>3741</v>
      </c>
      <c r="I2371" s="33" t="s">
        <v>9420</v>
      </c>
      <c r="J2371" s="47" t="s">
        <v>9421</v>
      </c>
      <c r="K2371" s="61" t="s">
        <v>4779</v>
      </c>
      <c r="L2371" s="12" t="str">
        <f t="shared" si="111"/>
        <v>2,2,2</v>
      </c>
    </row>
    <row r="2372" spans="2:12">
      <c r="B2372" s="17">
        <v>2671</v>
      </c>
      <c r="C2372" s="17">
        <v>2</v>
      </c>
      <c r="D2372" s="17">
        <f t="shared" si="110"/>
        <v>1</v>
      </c>
      <c r="E2372" s="17">
        <f t="shared" si="112"/>
        <v>1938</v>
      </c>
      <c r="F2372" s="17" t="s">
        <v>4813</v>
      </c>
      <c r="G2372" s="17">
        <f>MATCH(E2372,Arenas!$F$8:$F$15)</f>
        <v>6</v>
      </c>
      <c r="H2372" s="29" t="s">
        <v>3742</v>
      </c>
      <c r="I2372" s="33" t="s">
        <v>9422</v>
      </c>
      <c r="J2372" s="47" t="s">
        <v>5616</v>
      </c>
      <c r="K2372" s="61" t="s">
        <v>4779</v>
      </c>
      <c r="L2372" s="12" t="str">
        <f t="shared" si="111"/>
        <v>2,2,2</v>
      </c>
    </row>
    <row r="2373" spans="2:12">
      <c r="B2373" s="17">
        <v>2672</v>
      </c>
      <c r="C2373" s="17">
        <v>2</v>
      </c>
      <c r="D2373" s="17">
        <f t="shared" ref="D2373:D2436" si="113">D2370</f>
        <v>0</v>
      </c>
      <c r="E2373" s="17">
        <f t="shared" si="112"/>
        <v>1938</v>
      </c>
      <c r="F2373" s="17" t="s">
        <v>4813</v>
      </c>
      <c r="G2373" s="17">
        <f>MATCH(E2373,Arenas!$F$8:$F$15)</f>
        <v>6</v>
      </c>
      <c r="H2373" s="29" t="s">
        <v>3743</v>
      </c>
      <c r="I2373" s="33" t="s">
        <v>9423</v>
      </c>
      <c r="J2373" s="47" t="s">
        <v>9424</v>
      </c>
      <c r="K2373" s="61" t="s">
        <v>4779</v>
      </c>
      <c r="L2373" s="12" t="str">
        <f t="shared" si="111"/>
        <v>2,2,2</v>
      </c>
    </row>
    <row r="2374" spans="2:12">
      <c r="B2374" s="17">
        <v>2673</v>
      </c>
      <c r="C2374" s="17">
        <v>2</v>
      </c>
      <c r="D2374" s="17">
        <f t="shared" si="113"/>
        <v>0</v>
      </c>
      <c r="E2374" s="17">
        <f t="shared" si="112"/>
        <v>1938</v>
      </c>
      <c r="F2374" s="17" t="s">
        <v>4813</v>
      </c>
      <c r="G2374" s="17">
        <f>MATCH(E2374,Arenas!$F$8:$F$15)</f>
        <v>6</v>
      </c>
      <c r="H2374" s="29" t="s">
        <v>3744</v>
      </c>
      <c r="I2374" s="33" t="s">
        <v>9425</v>
      </c>
      <c r="J2374" s="47" t="s">
        <v>9426</v>
      </c>
      <c r="K2374" s="61" t="s">
        <v>4779</v>
      </c>
      <c r="L2374" s="12" t="str">
        <f t="shared" si="111"/>
        <v>2,2,2</v>
      </c>
    </row>
    <row r="2375" spans="2:12">
      <c r="B2375" s="17">
        <v>2674</v>
      </c>
      <c r="C2375" s="17">
        <v>2</v>
      </c>
      <c r="D2375" s="17">
        <f t="shared" si="113"/>
        <v>1</v>
      </c>
      <c r="E2375" s="17">
        <f t="shared" si="112"/>
        <v>1939</v>
      </c>
      <c r="F2375" s="17" t="s">
        <v>4813</v>
      </c>
      <c r="G2375" s="17">
        <f>MATCH(E2375,Arenas!$F$8:$F$15)</f>
        <v>6</v>
      </c>
      <c r="H2375" s="29" t="s">
        <v>3745</v>
      </c>
      <c r="I2375" s="33" t="s">
        <v>9427</v>
      </c>
      <c r="J2375" s="47" t="s">
        <v>9428</v>
      </c>
      <c r="K2375" s="61" t="s">
        <v>4779</v>
      </c>
      <c r="L2375" s="12" t="str">
        <f t="shared" si="111"/>
        <v>2,2,2</v>
      </c>
    </row>
    <row r="2376" spans="2:12">
      <c r="B2376" s="17">
        <v>2675</v>
      </c>
      <c r="C2376" s="17">
        <v>2</v>
      </c>
      <c r="D2376" s="17">
        <f t="shared" si="113"/>
        <v>0</v>
      </c>
      <c r="E2376" s="17">
        <f t="shared" si="112"/>
        <v>1939</v>
      </c>
      <c r="F2376" s="17" t="s">
        <v>4813</v>
      </c>
      <c r="G2376" s="17">
        <f>MATCH(E2376,Arenas!$F$8:$F$15)</f>
        <v>6</v>
      </c>
      <c r="H2376" s="29" t="s">
        <v>3746</v>
      </c>
      <c r="I2376" s="33" t="s">
        <v>9429</v>
      </c>
      <c r="J2376" s="47" t="s">
        <v>9430</v>
      </c>
      <c r="K2376" s="61" t="s">
        <v>4779</v>
      </c>
      <c r="L2376" s="12" t="str">
        <f t="shared" si="111"/>
        <v>2,2,2</v>
      </c>
    </row>
    <row r="2377" spans="2:12">
      <c r="B2377" s="17">
        <v>2676</v>
      </c>
      <c r="C2377" s="17">
        <v>2</v>
      </c>
      <c r="D2377" s="17">
        <f t="shared" si="113"/>
        <v>0</v>
      </c>
      <c r="E2377" s="17">
        <f t="shared" si="112"/>
        <v>1939</v>
      </c>
      <c r="F2377" s="17" t="s">
        <v>4813</v>
      </c>
      <c r="G2377" s="17">
        <f>MATCH(E2377,Arenas!$F$8:$F$15)</f>
        <v>6</v>
      </c>
      <c r="H2377" s="29" t="s">
        <v>3747</v>
      </c>
      <c r="I2377" s="33" t="s">
        <v>9431</v>
      </c>
      <c r="J2377" s="47" t="s">
        <v>4972</v>
      </c>
      <c r="K2377" s="61" t="s">
        <v>4779</v>
      </c>
      <c r="L2377" s="12" t="str">
        <f t="shared" si="111"/>
        <v>2,2,2</v>
      </c>
    </row>
    <row r="2378" spans="2:12">
      <c r="B2378" s="17">
        <v>2677</v>
      </c>
      <c r="C2378" s="17">
        <v>2</v>
      </c>
      <c r="D2378" s="17">
        <f t="shared" si="113"/>
        <v>1</v>
      </c>
      <c r="E2378" s="17">
        <f t="shared" si="112"/>
        <v>1940</v>
      </c>
      <c r="F2378" s="17" t="s">
        <v>4813</v>
      </c>
      <c r="G2378" s="17">
        <f>MATCH(E2378,Arenas!$F$8:$F$15)</f>
        <v>6</v>
      </c>
      <c r="H2378" s="29" t="s">
        <v>3748</v>
      </c>
      <c r="I2378" s="33" t="s">
        <v>9432</v>
      </c>
      <c r="J2378" s="47" t="s">
        <v>9433</v>
      </c>
      <c r="K2378" s="61" t="s">
        <v>4779</v>
      </c>
      <c r="L2378" s="12" t="str">
        <f t="shared" si="111"/>
        <v>2,2,2</v>
      </c>
    </row>
    <row r="2379" spans="2:12">
      <c r="B2379" s="17">
        <v>2678</v>
      </c>
      <c r="C2379" s="17">
        <v>2</v>
      </c>
      <c r="D2379" s="17">
        <f t="shared" si="113"/>
        <v>0</v>
      </c>
      <c r="E2379" s="17">
        <f t="shared" si="112"/>
        <v>1940</v>
      </c>
      <c r="F2379" s="17" t="s">
        <v>4813</v>
      </c>
      <c r="G2379" s="17">
        <f>MATCH(E2379,Arenas!$F$8:$F$15)</f>
        <v>6</v>
      </c>
      <c r="H2379" s="29" t="s">
        <v>3749</v>
      </c>
      <c r="I2379" s="33" t="s">
        <v>9434</v>
      </c>
      <c r="J2379" s="47" t="s">
        <v>9435</v>
      </c>
      <c r="K2379" s="61" t="s">
        <v>4779</v>
      </c>
      <c r="L2379" s="12" t="str">
        <f t="shared" si="111"/>
        <v>2,2,2</v>
      </c>
    </row>
    <row r="2380" spans="2:12">
      <c r="B2380" s="17">
        <v>2679</v>
      </c>
      <c r="C2380" s="17">
        <v>2</v>
      </c>
      <c r="D2380" s="17">
        <f t="shared" si="113"/>
        <v>0</v>
      </c>
      <c r="E2380" s="17">
        <f t="shared" si="112"/>
        <v>1940</v>
      </c>
      <c r="F2380" s="17" t="s">
        <v>4813</v>
      </c>
      <c r="G2380" s="17">
        <f>MATCH(E2380,Arenas!$F$8:$F$15)</f>
        <v>6</v>
      </c>
      <c r="H2380" s="29" t="s">
        <v>3750</v>
      </c>
      <c r="I2380" s="33" t="s">
        <v>9436</v>
      </c>
      <c r="J2380" s="47" t="s">
        <v>9437</v>
      </c>
      <c r="K2380" s="61" t="s">
        <v>4809</v>
      </c>
      <c r="L2380" s="12" t="str">
        <f t="shared" si="111"/>
        <v>2,2,2</v>
      </c>
    </row>
    <row r="2381" spans="2:12">
      <c r="B2381" s="17">
        <v>2680</v>
      </c>
      <c r="C2381" s="17">
        <v>2</v>
      </c>
      <c r="D2381" s="17">
        <f t="shared" si="113"/>
        <v>1</v>
      </c>
      <c r="E2381" s="17">
        <f t="shared" si="112"/>
        <v>1941</v>
      </c>
      <c r="F2381" s="17" t="s">
        <v>4813</v>
      </c>
      <c r="G2381" s="17">
        <f>MATCH(E2381,Arenas!$F$8:$F$15)</f>
        <v>6</v>
      </c>
      <c r="H2381" s="29" t="s">
        <v>3751</v>
      </c>
      <c r="I2381" s="33" t="s">
        <v>9438</v>
      </c>
      <c r="J2381" s="47" t="s">
        <v>9439</v>
      </c>
      <c r="K2381" s="61" t="s">
        <v>4808</v>
      </c>
      <c r="L2381" s="12" t="str">
        <f t="shared" si="111"/>
        <v>2,2,2</v>
      </c>
    </row>
    <row r="2382" spans="2:12">
      <c r="B2382" s="17">
        <v>2681</v>
      </c>
      <c r="C2382" s="17">
        <v>2</v>
      </c>
      <c r="D2382" s="17">
        <f t="shared" si="113"/>
        <v>0</v>
      </c>
      <c r="E2382" s="17">
        <f t="shared" si="112"/>
        <v>1941</v>
      </c>
      <c r="F2382" s="17" t="s">
        <v>4813</v>
      </c>
      <c r="G2382" s="17">
        <f>MATCH(E2382,Arenas!$F$8:$F$15)</f>
        <v>6</v>
      </c>
      <c r="H2382" s="29" t="s">
        <v>3752</v>
      </c>
      <c r="I2382" s="33" t="s">
        <v>9440</v>
      </c>
      <c r="J2382" s="47" t="s">
        <v>9441</v>
      </c>
      <c r="K2382" s="61" t="s">
        <v>4779</v>
      </c>
      <c r="L2382" s="12" t="str">
        <f t="shared" si="111"/>
        <v>2,2,2</v>
      </c>
    </row>
    <row r="2383" spans="2:12">
      <c r="B2383" s="17">
        <v>2682</v>
      </c>
      <c r="C2383" s="17">
        <v>2</v>
      </c>
      <c r="D2383" s="17">
        <f t="shared" si="113"/>
        <v>0</v>
      </c>
      <c r="E2383" s="17">
        <f t="shared" si="112"/>
        <v>1941</v>
      </c>
      <c r="F2383" s="17" t="s">
        <v>4813</v>
      </c>
      <c r="G2383" s="17">
        <f>MATCH(E2383,Arenas!$F$8:$F$15)</f>
        <v>6</v>
      </c>
      <c r="H2383" s="29" t="s">
        <v>3753</v>
      </c>
      <c r="I2383" s="33" t="s">
        <v>9442</v>
      </c>
      <c r="J2383" s="47" t="s">
        <v>9443</v>
      </c>
      <c r="K2383" s="61" t="s">
        <v>4779</v>
      </c>
      <c r="L2383" s="12" t="str">
        <f t="shared" si="111"/>
        <v>2,2,2</v>
      </c>
    </row>
    <row r="2384" spans="2:12">
      <c r="B2384" s="17">
        <v>2683</v>
      </c>
      <c r="C2384" s="17">
        <v>2</v>
      </c>
      <c r="D2384" s="17">
        <f t="shared" si="113"/>
        <v>1</v>
      </c>
      <c r="E2384" s="17">
        <f t="shared" si="112"/>
        <v>1942</v>
      </c>
      <c r="F2384" s="17" t="s">
        <v>4813</v>
      </c>
      <c r="G2384" s="17">
        <f>MATCH(E2384,Arenas!$F$8:$F$15)</f>
        <v>6</v>
      </c>
      <c r="H2384" s="29" t="s">
        <v>3754</v>
      </c>
      <c r="I2384" s="33" t="s">
        <v>9444</v>
      </c>
      <c r="J2384" s="47" t="s">
        <v>9445</v>
      </c>
      <c r="K2384" s="61" t="s">
        <v>4779</v>
      </c>
      <c r="L2384" s="12" t="str">
        <f t="shared" si="111"/>
        <v>2,2,2</v>
      </c>
    </row>
    <row r="2385" spans="2:12">
      <c r="B2385" s="17">
        <v>2684</v>
      </c>
      <c r="C2385" s="17">
        <v>2</v>
      </c>
      <c r="D2385" s="17">
        <f t="shared" si="113"/>
        <v>0</v>
      </c>
      <c r="E2385" s="17">
        <f t="shared" si="112"/>
        <v>1942</v>
      </c>
      <c r="F2385" s="17" t="s">
        <v>4813</v>
      </c>
      <c r="G2385" s="17">
        <f>MATCH(E2385,Arenas!$F$8:$F$15)</f>
        <v>6</v>
      </c>
      <c r="H2385" s="29" t="s">
        <v>3755</v>
      </c>
      <c r="I2385" s="33" t="s">
        <v>9446</v>
      </c>
      <c r="J2385" s="47" t="s">
        <v>9447</v>
      </c>
      <c r="K2385" s="61" t="s">
        <v>4809</v>
      </c>
      <c r="L2385" s="12" t="str">
        <f t="shared" si="111"/>
        <v>2,2,2</v>
      </c>
    </row>
    <row r="2386" spans="2:12">
      <c r="B2386" s="17">
        <v>2685</v>
      </c>
      <c r="C2386" s="17">
        <v>2</v>
      </c>
      <c r="D2386" s="17">
        <f t="shared" si="113"/>
        <v>0</v>
      </c>
      <c r="E2386" s="17">
        <f t="shared" si="112"/>
        <v>1942</v>
      </c>
      <c r="F2386" s="17" t="s">
        <v>4813</v>
      </c>
      <c r="G2386" s="17">
        <f>MATCH(E2386,Arenas!$F$8:$F$15)</f>
        <v>6</v>
      </c>
      <c r="H2386" s="29" t="s">
        <v>3756</v>
      </c>
      <c r="I2386" s="33" t="s">
        <v>9448</v>
      </c>
      <c r="J2386" s="47" t="s">
        <v>9449</v>
      </c>
      <c r="K2386" s="61" t="s">
        <v>4779</v>
      </c>
      <c r="L2386" s="12" t="str">
        <f t="shared" si="111"/>
        <v>2,2,2</v>
      </c>
    </row>
    <row r="2387" spans="2:12">
      <c r="B2387" s="17">
        <v>2686</v>
      </c>
      <c r="C2387" s="17">
        <v>2</v>
      </c>
      <c r="D2387" s="17">
        <f t="shared" si="113"/>
        <v>1</v>
      </c>
      <c r="E2387" s="17">
        <f t="shared" si="112"/>
        <v>1943</v>
      </c>
      <c r="F2387" s="17" t="s">
        <v>4813</v>
      </c>
      <c r="G2387" s="17">
        <f>MATCH(E2387,Arenas!$F$8:$F$15)</f>
        <v>6</v>
      </c>
      <c r="H2387" s="29" t="s">
        <v>3757</v>
      </c>
      <c r="I2387" s="33" t="s">
        <v>9450</v>
      </c>
      <c r="J2387" s="47" t="s">
        <v>9451</v>
      </c>
      <c r="K2387" s="61" t="s">
        <v>4779</v>
      </c>
      <c r="L2387" s="12" t="str">
        <f t="shared" si="111"/>
        <v>2,2,2</v>
      </c>
    </row>
    <row r="2388" spans="2:12">
      <c r="B2388" s="17">
        <v>2687</v>
      </c>
      <c r="C2388" s="17">
        <v>2</v>
      </c>
      <c r="D2388" s="17">
        <f t="shared" si="113"/>
        <v>0</v>
      </c>
      <c r="E2388" s="17">
        <f t="shared" si="112"/>
        <v>1943</v>
      </c>
      <c r="F2388" s="17" t="s">
        <v>4813</v>
      </c>
      <c r="G2388" s="17">
        <f>MATCH(E2388,Arenas!$F$8:$F$15)</f>
        <v>6</v>
      </c>
      <c r="H2388" s="29" t="s">
        <v>3758</v>
      </c>
      <c r="I2388" s="33" t="s">
        <v>9452</v>
      </c>
      <c r="J2388" s="47" t="s">
        <v>9453</v>
      </c>
      <c r="K2388" s="61" t="s">
        <v>4779</v>
      </c>
      <c r="L2388" s="12" t="str">
        <f t="shared" si="111"/>
        <v>2,2,2</v>
      </c>
    </row>
    <row r="2389" spans="2:12">
      <c r="B2389" s="17">
        <v>2688</v>
      </c>
      <c r="C2389" s="17">
        <v>2</v>
      </c>
      <c r="D2389" s="17">
        <f t="shared" si="113"/>
        <v>0</v>
      </c>
      <c r="E2389" s="17">
        <f t="shared" si="112"/>
        <v>1943</v>
      </c>
      <c r="F2389" s="17" t="s">
        <v>4813</v>
      </c>
      <c r="G2389" s="17">
        <f>MATCH(E2389,Arenas!$F$8:$F$15)</f>
        <v>6</v>
      </c>
      <c r="H2389" s="29" t="s">
        <v>3759</v>
      </c>
      <c r="I2389" s="33" t="s">
        <v>9454</v>
      </c>
      <c r="J2389" s="47" t="s">
        <v>9455</v>
      </c>
      <c r="K2389" s="61" t="s">
        <v>4779</v>
      </c>
      <c r="L2389" s="12" t="str">
        <f t="shared" si="111"/>
        <v>2,2,2</v>
      </c>
    </row>
    <row r="2390" spans="2:12">
      <c r="B2390" s="17">
        <v>2689</v>
      </c>
      <c r="C2390" s="17">
        <v>2</v>
      </c>
      <c r="D2390" s="17">
        <f t="shared" si="113"/>
        <v>1</v>
      </c>
      <c r="E2390" s="17">
        <f t="shared" si="112"/>
        <v>1944</v>
      </c>
      <c r="F2390" s="17" t="s">
        <v>4813</v>
      </c>
      <c r="G2390" s="17">
        <f>MATCH(E2390,Arenas!$F$8:$F$15)</f>
        <v>6</v>
      </c>
      <c r="H2390" s="29" t="s">
        <v>3760</v>
      </c>
      <c r="I2390" s="33" t="s">
        <v>9456</v>
      </c>
      <c r="J2390" s="47" t="s">
        <v>5619</v>
      </c>
      <c r="K2390" s="61" t="s">
        <v>4779</v>
      </c>
      <c r="L2390" s="12" t="str">
        <f t="shared" si="111"/>
        <v>2,2,2</v>
      </c>
    </row>
    <row r="2391" spans="2:12">
      <c r="B2391" s="17">
        <v>2690</v>
      </c>
      <c r="C2391" s="17">
        <v>2</v>
      </c>
      <c r="D2391" s="17">
        <f t="shared" si="113"/>
        <v>0</v>
      </c>
      <c r="E2391" s="17">
        <f t="shared" si="112"/>
        <v>1944</v>
      </c>
      <c r="F2391" s="17" t="s">
        <v>4813</v>
      </c>
      <c r="G2391" s="17">
        <f>MATCH(E2391,Arenas!$F$8:$F$15)</f>
        <v>6</v>
      </c>
      <c r="H2391" s="29" t="s">
        <v>3761</v>
      </c>
      <c r="I2391" s="33" t="s">
        <v>9457</v>
      </c>
      <c r="J2391" s="47" t="s">
        <v>9458</v>
      </c>
      <c r="K2391" s="61" t="s">
        <v>4779</v>
      </c>
      <c r="L2391" s="12" t="str">
        <f t="shared" si="111"/>
        <v>2,2,2</v>
      </c>
    </row>
    <row r="2392" spans="2:12">
      <c r="B2392" s="17">
        <v>2691</v>
      </c>
      <c r="C2392" s="17">
        <v>2</v>
      </c>
      <c r="D2392" s="17">
        <f t="shared" si="113"/>
        <v>0</v>
      </c>
      <c r="E2392" s="17">
        <f t="shared" si="112"/>
        <v>1944</v>
      </c>
      <c r="F2392" s="17" t="s">
        <v>4813</v>
      </c>
      <c r="G2392" s="17">
        <f>MATCH(E2392,Arenas!$F$8:$F$15)</f>
        <v>6</v>
      </c>
      <c r="H2392" s="29" t="s">
        <v>3762</v>
      </c>
      <c r="I2392" s="33" t="s">
        <v>9459</v>
      </c>
      <c r="J2392" s="47" t="s">
        <v>5780</v>
      </c>
      <c r="K2392" s="61" t="s">
        <v>4807</v>
      </c>
      <c r="L2392" s="12" t="str">
        <f t="shared" si="111"/>
        <v>2,2,2</v>
      </c>
    </row>
    <row r="2393" spans="2:12">
      <c r="B2393" s="17">
        <v>2692</v>
      </c>
      <c r="C2393" s="17">
        <v>2</v>
      </c>
      <c r="D2393" s="17">
        <f t="shared" si="113"/>
        <v>1</v>
      </c>
      <c r="E2393" s="17">
        <f t="shared" si="112"/>
        <v>1945</v>
      </c>
      <c r="F2393" s="17" t="s">
        <v>4813</v>
      </c>
      <c r="G2393" s="17">
        <f>MATCH(E2393,Arenas!$F$8:$F$15)</f>
        <v>6</v>
      </c>
      <c r="H2393" s="29" t="s">
        <v>3763</v>
      </c>
      <c r="I2393" s="33" t="s">
        <v>9460</v>
      </c>
      <c r="J2393" s="47" t="s">
        <v>9461</v>
      </c>
      <c r="K2393" s="61" t="s">
        <v>4779</v>
      </c>
      <c r="L2393" s="12" t="str">
        <f t="shared" si="111"/>
        <v>2,2,2</v>
      </c>
    </row>
    <row r="2394" spans="2:12">
      <c r="B2394" s="17">
        <v>2693</v>
      </c>
      <c r="C2394" s="17">
        <v>2</v>
      </c>
      <c r="D2394" s="17">
        <f t="shared" si="113"/>
        <v>0</v>
      </c>
      <c r="E2394" s="17">
        <f t="shared" si="112"/>
        <v>1945</v>
      </c>
      <c r="F2394" s="17" t="s">
        <v>4813</v>
      </c>
      <c r="G2394" s="17">
        <f>MATCH(E2394,Arenas!$F$8:$F$15)</f>
        <v>6</v>
      </c>
      <c r="H2394" s="29" t="s">
        <v>3764</v>
      </c>
      <c r="I2394" s="33" t="s">
        <v>9462</v>
      </c>
      <c r="J2394" s="47" t="s">
        <v>9463</v>
      </c>
      <c r="K2394" s="61" t="s">
        <v>4779</v>
      </c>
      <c r="L2394" s="12" t="str">
        <f t="shared" si="111"/>
        <v>2,2,2</v>
      </c>
    </row>
    <row r="2395" spans="2:12">
      <c r="B2395" s="17">
        <v>2694</v>
      </c>
      <c r="C2395" s="17">
        <v>2</v>
      </c>
      <c r="D2395" s="17">
        <f t="shared" si="113"/>
        <v>0</v>
      </c>
      <c r="E2395" s="17">
        <f t="shared" si="112"/>
        <v>1945</v>
      </c>
      <c r="F2395" s="17" t="s">
        <v>4813</v>
      </c>
      <c r="G2395" s="17">
        <f>MATCH(E2395,Arenas!$F$8:$F$15)</f>
        <v>6</v>
      </c>
      <c r="H2395" s="29" t="s">
        <v>3765</v>
      </c>
      <c r="I2395" s="33" t="s">
        <v>9464</v>
      </c>
      <c r="J2395" s="47" t="s">
        <v>9465</v>
      </c>
      <c r="K2395" s="61" t="s">
        <v>4779</v>
      </c>
      <c r="L2395" s="12" t="str">
        <f t="shared" si="111"/>
        <v>2,2,2</v>
      </c>
    </row>
    <row r="2396" spans="2:12">
      <c r="B2396" s="17">
        <v>2695</v>
      </c>
      <c r="C2396" s="17">
        <v>2</v>
      </c>
      <c r="D2396" s="17">
        <f t="shared" si="113"/>
        <v>1</v>
      </c>
      <c r="E2396" s="17">
        <f t="shared" si="112"/>
        <v>1946</v>
      </c>
      <c r="F2396" s="17" t="s">
        <v>4813</v>
      </c>
      <c r="G2396" s="17">
        <f>MATCH(E2396,Arenas!$F$8:$F$15)</f>
        <v>6</v>
      </c>
      <c r="H2396" s="29" t="s">
        <v>3766</v>
      </c>
      <c r="I2396" s="33" t="s">
        <v>9466</v>
      </c>
      <c r="J2396" s="47" t="s">
        <v>9467</v>
      </c>
      <c r="K2396" s="61" t="s">
        <v>4779</v>
      </c>
      <c r="L2396" s="12" t="str">
        <f t="shared" si="111"/>
        <v>2,2,2</v>
      </c>
    </row>
    <row r="2397" spans="2:12">
      <c r="B2397" s="17">
        <v>2696</v>
      </c>
      <c r="C2397" s="17">
        <v>2</v>
      </c>
      <c r="D2397" s="17">
        <f t="shared" si="113"/>
        <v>0</v>
      </c>
      <c r="E2397" s="17">
        <f t="shared" si="112"/>
        <v>1946</v>
      </c>
      <c r="F2397" s="17" t="s">
        <v>4813</v>
      </c>
      <c r="G2397" s="17">
        <f>MATCH(E2397,Arenas!$F$8:$F$15)</f>
        <v>6</v>
      </c>
      <c r="H2397" s="29" t="s">
        <v>3767</v>
      </c>
      <c r="I2397" s="33" t="s">
        <v>9468</v>
      </c>
      <c r="J2397" s="47" t="s">
        <v>9469</v>
      </c>
      <c r="K2397" s="61" t="s">
        <v>4809</v>
      </c>
      <c r="L2397" s="12" t="str">
        <f t="shared" si="111"/>
        <v>2,2,2</v>
      </c>
    </row>
    <row r="2398" spans="2:12">
      <c r="B2398" s="17">
        <v>2697</v>
      </c>
      <c r="C2398" s="17">
        <v>2</v>
      </c>
      <c r="D2398" s="17">
        <f t="shared" si="113"/>
        <v>0</v>
      </c>
      <c r="E2398" s="17">
        <f t="shared" si="112"/>
        <v>1946</v>
      </c>
      <c r="F2398" s="17" t="s">
        <v>4813</v>
      </c>
      <c r="G2398" s="17">
        <f>MATCH(E2398,Arenas!$F$8:$F$15)</f>
        <v>6</v>
      </c>
      <c r="H2398" s="29" t="s">
        <v>3768</v>
      </c>
      <c r="I2398" s="33" t="s">
        <v>9470</v>
      </c>
      <c r="J2398" s="47" t="s">
        <v>9471</v>
      </c>
      <c r="K2398" s="61" t="s">
        <v>4779</v>
      </c>
      <c r="L2398" s="12" t="str">
        <f t="shared" si="111"/>
        <v>2,2,2</v>
      </c>
    </row>
    <row r="2399" spans="2:12">
      <c r="B2399" s="17">
        <v>2698</v>
      </c>
      <c r="C2399" s="17">
        <v>2</v>
      </c>
      <c r="D2399" s="17">
        <f t="shared" si="113"/>
        <v>1</v>
      </c>
      <c r="E2399" s="17">
        <f t="shared" si="112"/>
        <v>1947</v>
      </c>
      <c r="F2399" s="17" t="s">
        <v>4813</v>
      </c>
      <c r="G2399" s="17">
        <f>MATCH(E2399,Arenas!$F$8:$F$15)</f>
        <v>6</v>
      </c>
      <c r="H2399" s="29" t="s">
        <v>3769</v>
      </c>
      <c r="I2399" s="33" t="s">
        <v>9472</v>
      </c>
      <c r="J2399" s="47" t="s">
        <v>9473</v>
      </c>
      <c r="K2399" s="61" t="s">
        <v>4779</v>
      </c>
      <c r="L2399" s="12" t="str">
        <f t="shared" si="111"/>
        <v>2,2,2</v>
      </c>
    </row>
    <row r="2400" spans="2:12">
      <c r="B2400" s="17">
        <v>2699</v>
      </c>
      <c r="C2400" s="17">
        <v>2</v>
      </c>
      <c r="D2400" s="17">
        <f t="shared" si="113"/>
        <v>0</v>
      </c>
      <c r="E2400" s="17">
        <f t="shared" si="112"/>
        <v>1947</v>
      </c>
      <c r="F2400" s="17" t="s">
        <v>4813</v>
      </c>
      <c r="G2400" s="17">
        <f>MATCH(E2400,Arenas!$F$8:$F$15)</f>
        <v>6</v>
      </c>
      <c r="H2400" s="29" t="s">
        <v>3770</v>
      </c>
      <c r="I2400" s="33" t="s">
        <v>9474</v>
      </c>
      <c r="J2400" s="47" t="s">
        <v>9475</v>
      </c>
      <c r="K2400" s="61" t="s">
        <v>4810</v>
      </c>
      <c r="L2400" s="12" t="str">
        <f t="shared" si="111"/>
        <v>2,2,2</v>
      </c>
    </row>
    <row r="2401" spans="2:12">
      <c r="B2401" s="17">
        <v>2700</v>
      </c>
      <c r="C2401" s="17">
        <v>3</v>
      </c>
      <c r="D2401" s="17">
        <f t="shared" si="113"/>
        <v>0</v>
      </c>
      <c r="E2401" s="17">
        <f t="shared" si="112"/>
        <v>1947</v>
      </c>
      <c r="F2401" s="17" t="s">
        <v>4813</v>
      </c>
      <c r="G2401" s="17">
        <f>MATCH(E2401,Arenas!$F$8:$F$15)</f>
        <v>6</v>
      </c>
      <c r="H2401" s="29" t="s">
        <v>3771</v>
      </c>
      <c r="I2401" s="33" t="s">
        <v>9476</v>
      </c>
      <c r="J2401" s="47" t="s">
        <v>9477</v>
      </c>
      <c r="K2401" s="61" t="s">
        <v>4779</v>
      </c>
      <c r="L2401" s="12" t="str">
        <f t="shared" si="111"/>
        <v>3,3,3</v>
      </c>
    </row>
    <row r="2402" spans="2:12">
      <c r="B2402" s="17">
        <v>2701</v>
      </c>
      <c r="C2402" s="17">
        <v>3</v>
      </c>
      <c r="D2402" s="17">
        <f t="shared" si="113"/>
        <v>1</v>
      </c>
      <c r="E2402" s="17">
        <f t="shared" si="112"/>
        <v>1948</v>
      </c>
      <c r="F2402" s="17" t="s">
        <v>4813</v>
      </c>
      <c r="G2402" s="17">
        <f>MATCH(E2402,Arenas!$F$8:$F$15)</f>
        <v>6</v>
      </c>
      <c r="H2402" s="29" t="s">
        <v>3772</v>
      </c>
      <c r="I2402" s="33" t="s">
        <v>9478</v>
      </c>
      <c r="J2402" s="47" t="s">
        <v>9479</v>
      </c>
      <c r="K2402" s="61" t="s">
        <v>4779</v>
      </c>
      <c r="L2402" s="12" t="str">
        <f t="shared" si="111"/>
        <v>3,3,3</v>
      </c>
    </row>
    <row r="2403" spans="2:12">
      <c r="B2403" s="17">
        <v>2702</v>
      </c>
      <c r="C2403" s="17">
        <v>3</v>
      </c>
      <c r="D2403" s="17">
        <f t="shared" si="113"/>
        <v>0</v>
      </c>
      <c r="E2403" s="17">
        <f t="shared" si="112"/>
        <v>1948</v>
      </c>
      <c r="F2403" s="17" t="s">
        <v>4813</v>
      </c>
      <c r="G2403" s="17">
        <f>MATCH(E2403,Arenas!$F$8:$F$15)</f>
        <v>6</v>
      </c>
      <c r="H2403" s="29" t="s">
        <v>3773</v>
      </c>
      <c r="I2403" s="33" t="s">
        <v>9480</v>
      </c>
      <c r="J2403" s="47" t="s">
        <v>9481</v>
      </c>
      <c r="K2403" s="61" t="s">
        <v>4779</v>
      </c>
      <c r="L2403" s="12" t="str">
        <f t="shared" si="111"/>
        <v>3,3,3</v>
      </c>
    </row>
    <row r="2404" spans="2:12">
      <c r="B2404" s="17">
        <v>2703</v>
      </c>
      <c r="C2404" s="17">
        <v>3</v>
      </c>
      <c r="D2404" s="17">
        <f t="shared" si="113"/>
        <v>0</v>
      </c>
      <c r="E2404" s="17">
        <f t="shared" si="112"/>
        <v>1948</v>
      </c>
      <c r="F2404" s="17" t="s">
        <v>4813</v>
      </c>
      <c r="G2404" s="17">
        <f>MATCH(E2404,Arenas!$F$8:$F$15)</f>
        <v>6</v>
      </c>
      <c r="H2404" s="29" t="s">
        <v>3774</v>
      </c>
      <c r="I2404" s="33" t="s">
        <v>9482</v>
      </c>
      <c r="J2404" s="47" t="s">
        <v>9483</v>
      </c>
      <c r="K2404" s="61" t="s">
        <v>4779</v>
      </c>
      <c r="L2404" s="12" t="str">
        <f t="shared" si="111"/>
        <v>3,3,3</v>
      </c>
    </row>
    <row r="2405" spans="2:12">
      <c r="B2405" s="17">
        <v>2704</v>
      </c>
      <c r="C2405" s="17">
        <v>3</v>
      </c>
      <c r="D2405" s="17">
        <f t="shared" si="113"/>
        <v>1</v>
      </c>
      <c r="E2405" s="17">
        <f t="shared" si="112"/>
        <v>1949</v>
      </c>
      <c r="F2405" s="17" t="s">
        <v>4813</v>
      </c>
      <c r="G2405" s="17">
        <f>MATCH(E2405,Arenas!$F$8:$F$15)</f>
        <v>6</v>
      </c>
      <c r="H2405" s="29" t="s">
        <v>3775</v>
      </c>
      <c r="I2405" s="33" t="s">
        <v>9484</v>
      </c>
      <c r="J2405" s="47" t="s">
        <v>9485</v>
      </c>
      <c r="K2405" s="61" t="s">
        <v>4779</v>
      </c>
      <c r="L2405" s="12" t="str">
        <f t="shared" si="111"/>
        <v>3,3,3</v>
      </c>
    </row>
    <row r="2406" spans="2:12">
      <c r="B2406" s="17">
        <v>2705</v>
      </c>
      <c r="C2406" s="17">
        <v>3</v>
      </c>
      <c r="D2406" s="17">
        <f t="shared" si="113"/>
        <v>0</v>
      </c>
      <c r="E2406" s="17">
        <f t="shared" si="112"/>
        <v>1949</v>
      </c>
      <c r="F2406" s="17" t="s">
        <v>4813</v>
      </c>
      <c r="G2406" s="17">
        <f>MATCH(E2406,Arenas!$F$8:$F$15)</f>
        <v>6</v>
      </c>
      <c r="H2406" s="29" t="s">
        <v>3776</v>
      </c>
      <c r="I2406" s="33" t="s">
        <v>9486</v>
      </c>
      <c r="J2406" s="47" t="s">
        <v>9487</v>
      </c>
      <c r="K2406" s="61" t="s">
        <v>4779</v>
      </c>
      <c r="L2406" s="12" t="str">
        <f t="shared" si="111"/>
        <v>3,3,3</v>
      </c>
    </row>
    <row r="2407" spans="2:12">
      <c r="B2407" s="17">
        <v>2706</v>
      </c>
      <c r="C2407" s="17">
        <v>3</v>
      </c>
      <c r="D2407" s="17">
        <f t="shared" si="113"/>
        <v>0</v>
      </c>
      <c r="E2407" s="17">
        <f t="shared" si="112"/>
        <v>1949</v>
      </c>
      <c r="F2407" s="17" t="s">
        <v>4813</v>
      </c>
      <c r="G2407" s="17">
        <f>MATCH(E2407,Arenas!$F$8:$F$15)</f>
        <v>6</v>
      </c>
      <c r="H2407" s="29" t="s">
        <v>3777</v>
      </c>
      <c r="I2407" s="33" t="s">
        <v>9488</v>
      </c>
      <c r="J2407" s="47" t="s">
        <v>5875</v>
      </c>
      <c r="K2407" s="61" t="s">
        <v>4779</v>
      </c>
      <c r="L2407" s="12" t="str">
        <f t="shared" si="111"/>
        <v>3,3,3</v>
      </c>
    </row>
    <row r="2408" spans="2:12">
      <c r="B2408" s="17">
        <v>2707</v>
      </c>
      <c r="C2408" s="17">
        <v>3</v>
      </c>
      <c r="D2408" s="17">
        <f t="shared" si="113"/>
        <v>1</v>
      </c>
      <c r="E2408" s="17">
        <f t="shared" si="112"/>
        <v>1950</v>
      </c>
      <c r="F2408" s="17" t="s">
        <v>4813</v>
      </c>
      <c r="G2408" s="17">
        <f>MATCH(E2408,Arenas!$F$8:$F$15)</f>
        <v>6</v>
      </c>
      <c r="H2408" s="29" t="s">
        <v>3778</v>
      </c>
      <c r="I2408" s="33" t="s">
        <v>9489</v>
      </c>
      <c r="J2408" s="47" t="s">
        <v>9490</v>
      </c>
      <c r="K2408" s="61" t="s">
        <v>4779</v>
      </c>
      <c r="L2408" s="12" t="str">
        <f t="shared" si="111"/>
        <v>3,3,3</v>
      </c>
    </row>
    <row r="2409" spans="2:12">
      <c r="B2409" s="17">
        <v>2708</v>
      </c>
      <c r="C2409" s="17">
        <v>3</v>
      </c>
      <c r="D2409" s="17">
        <f t="shared" si="113"/>
        <v>0</v>
      </c>
      <c r="E2409" s="17">
        <f t="shared" si="112"/>
        <v>1950</v>
      </c>
      <c r="F2409" s="17" t="s">
        <v>4813</v>
      </c>
      <c r="G2409" s="17">
        <f>MATCH(E2409,Arenas!$F$8:$F$15)</f>
        <v>6</v>
      </c>
      <c r="H2409" s="29" t="s">
        <v>3779</v>
      </c>
      <c r="I2409" s="33" t="s">
        <v>9491</v>
      </c>
      <c r="J2409" s="47" t="s">
        <v>9492</v>
      </c>
      <c r="K2409" s="61" t="s">
        <v>4807</v>
      </c>
      <c r="L2409" s="12" t="str">
        <f t="shared" si="111"/>
        <v>3,3,3</v>
      </c>
    </row>
    <row r="2410" spans="2:12">
      <c r="B2410" s="17">
        <v>2709</v>
      </c>
      <c r="C2410" s="17">
        <v>3</v>
      </c>
      <c r="D2410" s="17">
        <f t="shared" si="113"/>
        <v>0</v>
      </c>
      <c r="E2410" s="17">
        <f t="shared" si="112"/>
        <v>1950</v>
      </c>
      <c r="F2410" s="17" t="s">
        <v>4813</v>
      </c>
      <c r="G2410" s="17">
        <f>MATCH(E2410,Arenas!$F$8:$F$15)</f>
        <v>6</v>
      </c>
      <c r="H2410" s="29" t="s">
        <v>3780</v>
      </c>
      <c r="I2410" s="33" t="s">
        <v>9493</v>
      </c>
      <c r="J2410" s="47" t="s">
        <v>9248</v>
      </c>
      <c r="K2410" s="61" t="s">
        <v>4779</v>
      </c>
      <c r="L2410" s="12" t="str">
        <f t="shared" si="111"/>
        <v>3,3,3</v>
      </c>
    </row>
    <row r="2411" spans="2:12">
      <c r="B2411" s="17">
        <v>2710</v>
      </c>
      <c r="C2411" s="17">
        <v>3</v>
      </c>
      <c r="D2411" s="17">
        <f t="shared" si="113"/>
        <v>1</v>
      </c>
      <c r="E2411" s="17">
        <f t="shared" si="112"/>
        <v>1951</v>
      </c>
      <c r="F2411" s="17" t="s">
        <v>4813</v>
      </c>
      <c r="G2411" s="17">
        <f>MATCH(E2411,Arenas!$F$8:$F$15)</f>
        <v>6</v>
      </c>
      <c r="H2411" s="29" t="s">
        <v>3781</v>
      </c>
      <c r="I2411" s="33" t="s">
        <v>9494</v>
      </c>
      <c r="J2411" s="47" t="s">
        <v>4730</v>
      </c>
      <c r="K2411" s="61" t="s">
        <v>4779</v>
      </c>
      <c r="L2411" s="12" t="str">
        <f t="shared" si="111"/>
        <v>3,3,3</v>
      </c>
    </row>
    <row r="2412" spans="2:12">
      <c r="B2412" s="17">
        <v>2711</v>
      </c>
      <c r="C2412" s="17">
        <v>3</v>
      </c>
      <c r="D2412" s="17">
        <f t="shared" si="113"/>
        <v>0</v>
      </c>
      <c r="E2412" s="17">
        <f t="shared" si="112"/>
        <v>1951</v>
      </c>
      <c r="F2412" s="17" t="s">
        <v>4813</v>
      </c>
      <c r="G2412" s="17">
        <f>MATCH(E2412,Arenas!$F$8:$F$15)</f>
        <v>6</v>
      </c>
      <c r="H2412" s="29" t="s">
        <v>3782</v>
      </c>
      <c r="I2412" s="33" t="s">
        <v>9495</v>
      </c>
      <c r="J2412" s="47" t="s">
        <v>5515</v>
      </c>
      <c r="K2412" s="61" t="s">
        <v>4779</v>
      </c>
      <c r="L2412" s="12" t="str">
        <f t="shared" si="111"/>
        <v>3,3,3</v>
      </c>
    </row>
    <row r="2413" spans="2:12">
      <c r="B2413" s="17">
        <v>2712</v>
      </c>
      <c r="C2413" s="17">
        <v>3</v>
      </c>
      <c r="D2413" s="17">
        <f t="shared" si="113"/>
        <v>0</v>
      </c>
      <c r="E2413" s="17">
        <f t="shared" si="112"/>
        <v>1951</v>
      </c>
      <c r="F2413" s="17" t="s">
        <v>4813</v>
      </c>
      <c r="G2413" s="17">
        <f>MATCH(E2413,Arenas!$F$8:$F$15)</f>
        <v>6</v>
      </c>
      <c r="H2413" s="29" t="s">
        <v>3783</v>
      </c>
      <c r="I2413" s="33" t="s">
        <v>9496</v>
      </c>
      <c r="J2413" s="47" t="s">
        <v>9497</v>
      </c>
      <c r="K2413" s="61" t="s">
        <v>4779</v>
      </c>
      <c r="L2413" s="12" t="str">
        <f t="shared" si="111"/>
        <v>3,3,3</v>
      </c>
    </row>
    <row r="2414" spans="2:12">
      <c r="B2414" s="17">
        <v>2713</v>
      </c>
      <c r="C2414" s="17">
        <v>3</v>
      </c>
      <c r="D2414" s="17">
        <f t="shared" si="113"/>
        <v>1</v>
      </c>
      <c r="E2414" s="17">
        <f t="shared" si="112"/>
        <v>1952</v>
      </c>
      <c r="F2414" s="17" t="s">
        <v>4813</v>
      </c>
      <c r="G2414" s="17">
        <f>MATCH(E2414,Arenas!$F$8:$F$15)</f>
        <v>6</v>
      </c>
      <c r="H2414" s="29" t="s">
        <v>3784</v>
      </c>
      <c r="I2414" s="33" t="s">
        <v>9498</v>
      </c>
      <c r="J2414" s="47" t="s">
        <v>9499</v>
      </c>
      <c r="K2414" s="61" t="s">
        <v>4779</v>
      </c>
      <c r="L2414" s="12" t="str">
        <f t="shared" si="111"/>
        <v>3,3,3</v>
      </c>
    </row>
    <row r="2415" spans="2:12">
      <c r="B2415" s="17">
        <v>2714</v>
      </c>
      <c r="C2415" s="17">
        <v>3</v>
      </c>
      <c r="D2415" s="17">
        <f t="shared" si="113"/>
        <v>0</v>
      </c>
      <c r="E2415" s="17">
        <f t="shared" si="112"/>
        <v>1952</v>
      </c>
      <c r="F2415" s="17" t="s">
        <v>4813</v>
      </c>
      <c r="G2415" s="17">
        <f>MATCH(E2415,Arenas!$F$8:$F$15)</f>
        <v>6</v>
      </c>
      <c r="H2415" s="29" t="s">
        <v>3785</v>
      </c>
      <c r="I2415" s="33" t="s">
        <v>9500</v>
      </c>
      <c r="J2415" s="47" t="s">
        <v>4938</v>
      </c>
      <c r="K2415" s="61" t="s">
        <v>4807</v>
      </c>
      <c r="L2415" s="12" t="str">
        <f t="shared" si="111"/>
        <v>3,3,3</v>
      </c>
    </row>
    <row r="2416" spans="2:12">
      <c r="B2416" s="17">
        <v>2715</v>
      </c>
      <c r="C2416" s="17">
        <v>3</v>
      </c>
      <c r="D2416" s="17">
        <f t="shared" si="113"/>
        <v>0</v>
      </c>
      <c r="E2416" s="17">
        <f t="shared" si="112"/>
        <v>1952</v>
      </c>
      <c r="F2416" s="17" t="s">
        <v>4813</v>
      </c>
      <c r="G2416" s="17">
        <f>MATCH(E2416,Arenas!$F$8:$F$15)</f>
        <v>6</v>
      </c>
      <c r="H2416" s="29" t="s">
        <v>3786</v>
      </c>
      <c r="I2416" s="33" t="s">
        <v>9501</v>
      </c>
      <c r="J2416" s="47" t="s">
        <v>9502</v>
      </c>
      <c r="K2416" s="61" t="s">
        <v>4779</v>
      </c>
      <c r="L2416" s="12" t="str">
        <f t="shared" si="111"/>
        <v>3,3,3</v>
      </c>
    </row>
    <row r="2417" spans="2:12">
      <c r="B2417" s="17">
        <v>2716</v>
      </c>
      <c r="C2417" s="17">
        <v>3</v>
      </c>
      <c r="D2417" s="17">
        <f t="shared" si="113"/>
        <v>1</v>
      </c>
      <c r="E2417" s="17">
        <f t="shared" si="112"/>
        <v>1953</v>
      </c>
      <c r="F2417" s="17" t="s">
        <v>4813</v>
      </c>
      <c r="G2417" s="17">
        <f>MATCH(E2417,Arenas!$F$8:$F$15)</f>
        <v>6</v>
      </c>
      <c r="H2417" s="29" t="s">
        <v>3787</v>
      </c>
      <c r="I2417" s="33" t="s">
        <v>9503</v>
      </c>
      <c r="J2417" s="47" t="s">
        <v>9504</v>
      </c>
      <c r="K2417" s="61" t="s">
        <v>4808</v>
      </c>
      <c r="L2417" s="12" t="str">
        <f t="shared" si="111"/>
        <v>3,3,3</v>
      </c>
    </row>
    <row r="2418" spans="2:12">
      <c r="B2418" s="17">
        <v>2717</v>
      </c>
      <c r="C2418" s="17">
        <v>3</v>
      </c>
      <c r="D2418" s="17">
        <f t="shared" si="113"/>
        <v>0</v>
      </c>
      <c r="E2418" s="17">
        <f t="shared" si="112"/>
        <v>1953</v>
      </c>
      <c r="F2418" s="17" t="s">
        <v>4813</v>
      </c>
      <c r="G2418" s="17">
        <f>MATCH(E2418,Arenas!$F$8:$F$15)</f>
        <v>6</v>
      </c>
      <c r="H2418" s="29" t="s">
        <v>3788</v>
      </c>
      <c r="I2418" s="33" t="s">
        <v>9505</v>
      </c>
      <c r="J2418" s="47" t="s">
        <v>9506</v>
      </c>
      <c r="K2418" s="61" t="s">
        <v>4779</v>
      </c>
      <c r="L2418" s="12" t="str">
        <f t="shared" si="111"/>
        <v>3,3,3</v>
      </c>
    </row>
    <row r="2419" spans="2:12">
      <c r="B2419" s="17">
        <v>2718</v>
      </c>
      <c r="C2419" s="17">
        <v>3</v>
      </c>
      <c r="D2419" s="17">
        <f t="shared" si="113"/>
        <v>0</v>
      </c>
      <c r="E2419" s="17">
        <f t="shared" si="112"/>
        <v>1953</v>
      </c>
      <c r="F2419" s="17" t="s">
        <v>4813</v>
      </c>
      <c r="G2419" s="17">
        <f>MATCH(E2419,Arenas!$F$8:$F$15)</f>
        <v>6</v>
      </c>
      <c r="H2419" s="29" t="s">
        <v>3789</v>
      </c>
      <c r="I2419" s="33" t="s">
        <v>9507</v>
      </c>
      <c r="J2419" s="47" t="s">
        <v>9508</v>
      </c>
      <c r="K2419" s="61" t="s">
        <v>4779</v>
      </c>
      <c r="L2419" s="12" t="str">
        <f t="shared" si="111"/>
        <v>3,3,3</v>
      </c>
    </row>
    <row r="2420" spans="2:12">
      <c r="B2420" s="17">
        <v>2719</v>
      </c>
      <c r="C2420" s="17">
        <v>3</v>
      </c>
      <c r="D2420" s="17">
        <f t="shared" si="113"/>
        <v>1</v>
      </c>
      <c r="E2420" s="17">
        <f t="shared" si="112"/>
        <v>1954</v>
      </c>
      <c r="F2420" s="17" t="s">
        <v>4813</v>
      </c>
      <c r="G2420" s="17">
        <f>MATCH(E2420,Arenas!$F$8:$F$15)</f>
        <v>6</v>
      </c>
      <c r="H2420" s="29" t="s">
        <v>3790</v>
      </c>
      <c r="I2420" s="33" t="s">
        <v>9509</v>
      </c>
      <c r="J2420" s="47" t="s">
        <v>9510</v>
      </c>
      <c r="K2420" s="61" t="s">
        <v>4779</v>
      </c>
      <c r="L2420" s="12" t="str">
        <f t="shared" si="111"/>
        <v>3,3,3</v>
      </c>
    </row>
    <row r="2421" spans="2:12">
      <c r="B2421" s="17">
        <v>2720</v>
      </c>
      <c r="C2421" s="17">
        <v>3</v>
      </c>
      <c r="D2421" s="17">
        <f t="shared" si="113"/>
        <v>0</v>
      </c>
      <c r="E2421" s="17">
        <f t="shared" si="112"/>
        <v>1954</v>
      </c>
      <c r="F2421" s="17" t="s">
        <v>4813</v>
      </c>
      <c r="G2421" s="17">
        <f>MATCH(E2421,Arenas!$F$8:$F$15)</f>
        <v>6</v>
      </c>
      <c r="H2421" s="29" t="s">
        <v>3791</v>
      </c>
      <c r="I2421" s="33" t="s">
        <v>9511</v>
      </c>
      <c r="J2421" s="47" t="s">
        <v>5492</v>
      </c>
      <c r="K2421" s="61" t="s">
        <v>4779</v>
      </c>
      <c r="L2421" s="12" t="str">
        <f t="shared" si="111"/>
        <v>3,3,3</v>
      </c>
    </row>
    <row r="2422" spans="2:12">
      <c r="B2422" s="17">
        <v>2721</v>
      </c>
      <c r="C2422" s="17">
        <v>3</v>
      </c>
      <c r="D2422" s="17">
        <f t="shared" si="113"/>
        <v>0</v>
      </c>
      <c r="E2422" s="17">
        <f t="shared" si="112"/>
        <v>1954</v>
      </c>
      <c r="F2422" s="17" t="s">
        <v>4813</v>
      </c>
      <c r="G2422" s="17">
        <f>MATCH(E2422,Arenas!$F$8:$F$15)</f>
        <v>6</v>
      </c>
      <c r="H2422" s="29" t="s">
        <v>3792</v>
      </c>
      <c r="I2422" s="33" t="s">
        <v>9512</v>
      </c>
      <c r="J2422" s="47" t="s">
        <v>9513</v>
      </c>
      <c r="K2422" s="61" t="s">
        <v>4779</v>
      </c>
      <c r="L2422" s="12" t="str">
        <f t="shared" si="111"/>
        <v>3,3,3</v>
      </c>
    </row>
    <row r="2423" spans="2:12">
      <c r="B2423" s="17">
        <v>2722</v>
      </c>
      <c r="C2423" s="17">
        <v>3</v>
      </c>
      <c r="D2423" s="17">
        <f t="shared" si="113"/>
        <v>1</v>
      </c>
      <c r="E2423" s="17">
        <f t="shared" si="112"/>
        <v>1955</v>
      </c>
      <c r="F2423" s="17" t="s">
        <v>4813</v>
      </c>
      <c r="G2423" s="17">
        <f>MATCH(E2423,Arenas!$F$8:$F$15)</f>
        <v>6</v>
      </c>
      <c r="H2423" s="29" t="s">
        <v>3793</v>
      </c>
      <c r="I2423" s="33" t="s">
        <v>9514</v>
      </c>
      <c r="J2423" s="47" t="s">
        <v>5868</v>
      </c>
      <c r="K2423" s="61" t="s">
        <v>4779</v>
      </c>
      <c r="L2423" s="12" t="str">
        <f t="shared" si="111"/>
        <v>3,3,3</v>
      </c>
    </row>
    <row r="2424" spans="2:12">
      <c r="B2424" s="17">
        <v>2723</v>
      </c>
      <c r="C2424" s="17">
        <v>3</v>
      </c>
      <c r="D2424" s="17">
        <f t="shared" si="113"/>
        <v>0</v>
      </c>
      <c r="E2424" s="17">
        <f t="shared" si="112"/>
        <v>1955</v>
      </c>
      <c r="F2424" s="17" t="s">
        <v>4813</v>
      </c>
      <c r="G2424" s="17">
        <f>MATCH(E2424,Arenas!$F$8:$F$15)</f>
        <v>6</v>
      </c>
      <c r="H2424" s="29" t="s">
        <v>3794</v>
      </c>
      <c r="I2424" s="33" t="s">
        <v>9515</v>
      </c>
      <c r="J2424" s="47" t="s">
        <v>9516</v>
      </c>
      <c r="K2424" s="61" t="s">
        <v>4779</v>
      </c>
      <c r="L2424" s="12" t="str">
        <f t="shared" si="111"/>
        <v>3,3,3</v>
      </c>
    </row>
    <row r="2425" spans="2:12">
      <c r="B2425" s="17">
        <v>2724</v>
      </c>
      <c r="C2425" s="17">
        <v>3</v>
      </c>
      <c r="D2425" s="17">
        <f t="shared" si="113"/>
        <v>0</v>
      </c>
      <c r="E2425" s="17">
        <f t="shared" si="112"/>
        <v>1955</v>
      </c>
      <c r="F2425" s="17" t="s">
        <v>4813</v>
      </c>
      <c r="G2425" s="17">
        <f>MATCH(E2425,Arenas!$F$8:$F$15)</f>
        <v>6</v>
      </c>
      <c r="H2425" s="29" t="s">
        <v>3795</v>
      </c>
      <c r="I2425" s="33" t="s">
        <v>9517</v>
      </c>
      <c r="J2425" s="47" t="s">
        <v>9518</v>
      </c>
      <c r="K2425" s="61" t="s">
        <v>4779</v>
      </c>
      <c r="L2425" s="12" t="str">
        <f t="shared" si="111"/>
        <v>3,3,3</v>
      </c>
    </row>
    <row r="2426" spans="2:12">
      <c r="B2426" s="17">
        <v>2725</v>
      </c>
      <c r="C2426" s="17">
        <v>3</v>
      </c>
      <c r="D2426" s="17">
        <f t="shared" si="113"/>
        <v>1</v>
      </c>
      <c r="E2426" s="17">
        <f t="shared" si="112"/>
        <v>1956</v>
      </c>
      <c r="F2426" s="17" t="s">
        <v>4813</v>
      </c>
      <c r="G2426" s="17">
        <f>MATCH(E2426,Arenas!$F$8:$F$15)</f>
        <v>6</v>
      </c>
      <c r="H2426" s="29" t="s">
        <v>3796</v>
      </c>
      <c r="I2426" s="33" t="s">
        <v>9519</v>
      </c>
      <c r="J2426" s="47" t="s">
        <v>9520</v>
      </c>
      <c r="K2426" s="61" t="s">
        <v>4779</v>
      </c>
      <c r="L2426" s="12" t="str">
        <f t="shared" si="111"/>
        <v>3,3,3</v>
      </c>
    </row>
    <row r="2427" spans="2:12">
      <c r="B2427" s="17">
        <v>2726</v>
      </c>
      <c r="C2427" s="17">
        <v>3</v>
      </c>
      <c r="D2427" s="17">
        <f t="shared" si="113"/>
        <v>0</v>
      </c>
      <c r="E2427" s="17">
        <f t="shared" si="112"/>
        <v>1956</v>
      </c>
      <c r="F2427" s="17" t="s">
        <v>4813</v>
      </c>
      <c r="G2427" s="17">
        <f>MATCH(E2427,Arenas!$F$8:$F$15)</f>
        <v>6</v>
      </c>
      <c r="H2427" s="29" t="s">
        <v>3797</v>
      </c>
      <c r="I2427" s="33" t="s">
        <v>9521</v>
      </c>
      <c r="J2427" s="47" t="s">
        <v>5927</v>
      </c>
      <c r="K2427" s="61" t="s">
        <v>4807</v>
      </c>
      <c r="L2427" s="12" t="str">
        <f t="shared" si="111"/>
        <v>3,3,3</v>
      </c>
    </row>
    <row r="2428" spans="2:12">
      <c r="B2428" s="17">
        <v>2727</v>
      </c>
      <c r="C2428" s="17">
        <v>3</v>
      </c>
      <c r="D2428" s="17">
        <f t="shared" si="113"/>
        <v>0</v>
      </c>
      <c r="E2428" s="17">
        <f t="shared" si="112"/>
        <v>1956</v>
      </c>
      <c r="F2428" s="17" t="s">
        <v>4813</v>
      </c>
      <c r="G2428" s="17">
        <f>MATCH(E2428,Arenas!$F$8:$F$15)</f>
        <v>6</v>
      </c>
      <c r="H2428" s="29" t="s">
        <v>3798</v>
      </c>
      <c r="I2428" s="33" t="s">
        <v>9522</v>
      </c>
      <c r="J2428" s="47" t="s">
        <v>9523</v>
      </c>
      <c r="K2428" s="61" t="s">
        <v>4779</v>
      </c>
      <c r="L2428" s="12" t="str">
        <f t="shared" si="111"/>
        <v>3,3,3</v>
      </c>
    </row>
    <row r="2429" spans="2:12">
      <c r="B2429" s="17">
        <v>2728</v>
      </c>
      <c r="C2429" s="17">
        <v>3</v>
      </c>
      <c r="D2429" s="17">
        <f t="shared" si="113"/>
        <v>1</v>
      </c>
      <c r="E2429" s="17">
        <f t="shared" si="112"/>
        <v>1957</v>
      </c>
      <c r="F2429" s="17" t="s">
        <v>4813</v>
      </c>
      <c r="G2429" s="17">
        <f>MATCH(E2429,Arenas!$F$8:$F$15)</f>
        <v>6</v>
      </c>
      <c r="H2429" s="29" t="s">
        <v>3799</v>
      </c>
      <c r="I2429" s="33" t="s">
        <v>9524</v>
      </c>
      <c r="J2429" s="47" t="s">
        <v>9525</v>
      </c>
      <c r="K2429" s="61" t="s">
        <v>4779</v>
      </c>
      <c r="L2429" s="12" t="str">
        <f t="shared" si="111"/>
        <v>3,3,3</v>
      </c>
    </row>
    <row r="2430" spans="2:12">
      <c r="B2430" s="17">
        <v>2729</v>
      </c>
      <c r="C2430" s="17">
        <v>3</v>
      </c>
      <c r="D2430" s="17">
        <f t="shared" si="113"/>
        <v>0</v>
      </c>
      <c r="E2430" s="17">
        <f t="shared" si="112"/>
        <v>1957</v>
      </c>
      <c r="F2430" s="17" t="s">
        <v>4813</v>
      </c>
      <c r="G2430" s="17">
        <f>MATCH(E2430,Arenas!$F$8:$F$15)</f>
        <v>6</v>
      </c>
      <c r="H2430" s="29" t="s">
        <v>3800</v>
      </c>
      <c r="I2430" s="33" t="s">
        <v>9526</v>
      </c>
      <c r="J2430" s="47" t="s">
        <v>9527</v>
      </c>
      <c r="K2430" s="61" t="s">
        <v>4779</v>
      </c>
      <c r="L2430" s="12" t="str">
        <f t="shared" si="111"/>
        <v>3,3,3</v>
      </c>
    </row>
    <row r="2431" spans="2:12">
      <c r="B2431" s="17">
        <v>2730</v>
      </c>
      <c r="C2431" s="17">
        <v>3</v>
      </c>
      <c r="D2431" s="17">
        <f t="shared" si="113"/>
        <v>0</v>
      </c>
      <c r="E2431" s="17">
        <f t="shared" si="112"/>
        <v>1957</v>
      </c>
      <c r="F2431" s="17" t="s">
        <v>4813</v>
      </c>
      <c r="G2431" s="17">
        <f>MATCH(E2431,Arenas!$F$8:$F$15)</f>
        <v>6</v>
      </c>
      <c r="H2431" s="29" t="s">
        <v>3801</v>
      </c>
      <c r="I2431" s="33" t="s">
        <v>9528</v>
      </c>
      <c r="J2431" s="47" t="s">
        <v>9529</v>
      </c>
      <c r="K2431" s="61" t="s">
        <v>4779</v>
      </c>
      <c r="L2431" s="12" t="str">
        <f t="shared" si="111"/>
        <v>3,3,3</v>
      </c>
    </row>
    <row r="2432" spans="2:12">
      <c r="B2432" s="17">
        <v>2731</v>
      </c>
      <c r="C2432" s="17">
        <v>3</v>
      </c>
      <c r="D2432" s="17">
        <f t="shared" si="113"/>
        <v>1</v>
      </c>
      <c r="E2432" s="17">
        <f t="shared" si="112"/>
        <v>1958</v>
      </c>
      <c r="F2432" s="17" t="s">
        <v>4813</v>
      </c>
      <c r="G2432" s="17">
        <f>MATCH(E2432,Arenas!$F$8:$F$15)</f>
        <v>6</v>
      </c>
      <c r="H2432" s="29" t="s">
        <v>3802</v>
      </c>
      <c r="I2432" s="33" t="s">
        <v>9530</v>
      </c>
      <c r="J2432" s="47" t="s">
        <v>9531</v>
      </c>
      <c r="K2432" s="61" t="s">
        <v>4779</v>
      </c>
      <c r="L2432" s="12" t="str">
        <f t="shared" si="111"/>
        <v>3,3,3</v>
      </c>
    </row>
    <row r="2433" spans="2:12">
      <c r="B2433" s="17">
        <v>2732</v>
      </c>
      <c r="C2433" s="17">
        <v>3</v>
      </c>
      <c r="D2433" s="17">
        <f t="shared" si="113"/>
        <v>0</v>
      </c>
      <c r="E2433" s="17">
        <f t="shared" si="112"/>
        <v>1958</v>
      </c>
      <c r="F2433" s="17" t="s">
        <v>4813</v>
      </c>
      <c r="G2433" s="17">
        <f>MATCH(E2433,Arenas!$F$8:$F$15)</f>
        <v>6</v>
      </c>
      <c r="H2433" s="29" t="s">
        <v>3803</v>
      </c>
      <c r="I2433" s="33" t="s">
        <v>9532</v>
      </c>
      <c r="J2433" s="47" t="s">
        <v>9533</v>
      </c>
      <c r="K2433" s="61" t="s">
        <v>4807</v>
      </c>
      <c r="L2433" s="12" t="str">
        <f t="shared" si="111"/>
        <v>3,3,3</v>
      </c>
    </row>
    <row r="2434" spans="2:12">
      <c r="B2434" s="17">
        <v>2733</v>
      </c>
      <c r="C2434" s="17">
        <v>3</v>
      </c>
      <c r="D2434" s="17">
        <f t="shared" si="113"/>
        <v>0</v>
      </c>
      <c r="E2434" s="17">
        <f t="shared" si="112"/>
        <v>1958</v>
      </c>
      <c r="F2434" s="17" t="s">
        <v>4813</v>
      </c>
      <c r="G2434" s="17">
        <f>MATCH(E2434,Arenas!$F$8:$F$15)</f>
        <v>6</v>
      </c>
      <c r="H2434" s="29" t="s">
        <v>3804</v>
      </c>
      <c r="I2434" s="33" t="s">
        <v>9534</v>
      </c>
      <c r="J2434" s="47" t="s">
        <v>9535</v>
      </c>
      <c r="K2434" s="61" t="s">
        <v>4779</v>
      </c>
      <c r="L2434" s="12" t="str">
        <f t="shared" ref="L2434:L2497" si="114">C2434&amp;","&amp;C2434&amp;","&amp;C2434</f>
        <v>3,3,3</v>
      </c>
    </row>
    <row r="2435" spans="2:12">
      <c r="B2435" s="17">
        <v>2734</v>
      </c>
      <c r="C2435" s="17">
        <v>3</v>
      </c>
      <c r="D2435" s="17">
        <f t="shared" si="113"/>
        <v>1</v>
      </c>
      <c r="E2435" s="17">
        <f t="shared" ref="E2435:E2498" si="115">D2435+E2434</f>
        <v>1959</v>
      </c>
      <c r="F2435" s="17" t="s">
        <v>4813</v>
      </c>
      <c r="G2435" s="17">
        <f>MATCH(E2435,Arenas!$F$8:$F$15)</f>
        <v>6</v>
      </c>
      <c r="H2435" s="29" t="s">
        <v>3805</v>
      </c>
      <c r="I2435" s="33" t="s">
        <v>9536</v>
      </c>
      <c r="J2435" s="47" t="s">
        <v>9537</v>
      </c>
      <c r="K2435" s="61" t="s">
        <v>4779</v>
      </c>
      <c r="L2435" s="12" t="str">
        <f t="shared" si="114"/>
        <v>3,3,3</v>
      </c>
    </row>
    <row r="2436" spans="2:12">
      <c r="B2436" s="17">
        <v>2735</v>
      </c>
      <c r="C2436" s="17">
        <v>3</v>
      </c>
      <c r="D2436" s="17">
        <f t="shared" si="113"/>
        <v>0</v>
      </c>
      <c r="E2436" s="17">
        <f t="shared" si="115"/>
        <v>1959</v>
      </c>
      <c r="F2436" s="17" t="s">
        <v>4813</v>
      </c>
      <c r="G2436" s="17">
        <f>MATCH(E2436,Arenas!$F$8:$F$15)</f>
        <v>6</v>
      </c>
      <c r="H2436" s="29" t="s">
        <v>3806</v>
      </c>
      <c r="I2436" s="33" t="s">
        <v>9538</v>
      </c>
      <c r="J2436" s="47" t="s">
        <v>9539</v>
      </c>
      <c r="K2436" s="61" t="s">
        <v>4807</v>
      </c>
      <c r="L2436" s="12" t="str">
        <f t="shared" si="114"/>
        <v>3,3,3</v>
      </c>
    </row>
    <row r="2437" spans="2:12">
      <c r="B2437" s="17">
        <v>2736</v>
      </c>
      <c r="C2437" s="17">
        <v>3</v>
      </c>
      <c r="D2437" s="17">
        <f t="shared" ref="D2437:D2500" si="116">D2434</f>
        <v>0</v>
      </c>
      <c r="E2437" s="17">
        <f t="shared" si="115"/>
        <v>1959</v>
      </c>
      <c r="F2437" s="17" t="s">
        <v>4813</v>
      </c>
      <c r="G2437" s="17">
        <f>MATCH(E2437,Arenas!$F$8:$F$15)</f>
        <v>6</v>
      </c>
      <c r="H2437" s="29" t="s">
        <v>3807</v>
      </c>
      <c r="I2437" s="33" t="s">
        <v>9540</v>
      </c>
      <c r="J2437" s="47" t="s">
        <v>9541</v>
      </c>
      <c r="K2437" s="61" t="s">
        <v>4779</v>
      </c>
      <c r="L2437" s="12" t="str">
        <f t="shared" si="114"/>
        <v>3,3,3</v>
      </c>
    </row>
    <row r="2438" spans="2:12">
      <c r="B2438" s="17">
        <v>2737</v>
      </c>
      <c r="C2438" s="17">
        <v>3</v>
      </c>
      <c r="D2438" s="17">
        <f t="shared" si="116"/>
        <v>1</v>
      </c>
      <c r="E2438" s="17">
        <f t="shared" si="115"/>
        <v>1960</v>
      </c>
      <c r="F2438" s="17" t="s">
        <v>4813</v>
      </c>
      <c r="G2438" s="17">
        <f>MATCH(E2438,Arenas!$F$8:$F$15)</f>
        <v>6</v>
      </c>
      <c r="H2438" s="29" t="s">
        <v>3808</v>
      </c>
      <c r="I2438" s="33" t="s">
        <v>9542</v>
      </c>
      <c r="J2438" s="47" t="s">
        <v>9543</v>
      </c>
      <c r="K2438" s="61" t="s">
        <v>4779</v>
      </c>
      <c r="L2438" s="12" t="str">
        <f t="shared" si="114"/>
        <v>3,3,3</v>
      </c>
    </row>
    <row r="2439" spans="2:12">
      <c r="B2439" s="17">
        <v>2738</v>
      </c>
      <c r="C2439" s="17">
        <v>3</v>
      </c>
      <c r="D2439" s="17">
        <f t="shared" si="116"/>
        <v>0</v>
      </c>
      <c r="E2439" s="17">
        <f t="shared" si="115"/>
        <v>1960</v>
      </c>
      <c r="F2439" s="17" t="s">
        <v>4813</v>
      </c>
      <c r="G2439" s="17">
        <f>MATCH(E2439,Arenas!$F$8:$F$15)</f>
        <v>6</v>
      </c>
      <c r="H2439" s="29" t="s">
        <v>3809</v>
      </c>
      <c r="I2439" s="33" t="s">
        <v>9544</v>
      </c>
      <c r="J2439" s="47" t="s">
        <v>9545</v>
      </c>
      <c r="K2439" s="61" t="s">
        <v>4779</v>
      </c>
      <c r="L2439" s="12" t="str">
        <f t="shared" si="114"/>
        <v>3,3,3</v>
      </c>
    </row>
    <row r="2440" spans="2:12">
      <c r="B2440" s="17">
        <v>2739</v>
      </c>
      <c r="C2440" s="17">
        <v>3</v>
      </c>
      <c r="D2440" s="17">
        <f t="shared" si="116"/>
        <v>0</v>
      </c>
      <c r="E2440" s="17">
        <f t="shared" si="115"/>
        <v>1960</v>
      </c>
      <c r="F2440" s="17" t="s">
        <v>4813</v>
      </c>
      <c r="G2440" s="17">
        <f>MATCH(E2440,Arenas!$F$8:$F$15)</f>
        <v>6</v>
      </c>
      <c r="H2440" s="29" t="s">
        <v>3810</v>
      </c>
      <c r="I2440" s="33" t="s">
        <v>9546</v>
      </c>
      <c r="J2440" s="47" t="s">
        <v>5686</v>
      </c>
      <c r="K2440" s="61" t="s">
        <v>4779</v>
      </c>
      <c r="L2440" s="12" t="str">
        <f t="shared" si="114"/>
        <v>3,3,3</v>
      </c>
    </row>
    <row r="2441" spans="2:12">
      <c r="B2441" s="17">
        <v>2740</v>
      </c>
      <c r="C2441" s="17">
        <v>3</v>
      </c>
      <c r="D2441" s="17">
        <f t="shared" si="116"/>
        <v>1</v>
      </c>
      <c r="E2441" s="17">
        <f t="shared" si="115"/>
        <v>1961</v>
      </c>
      <c r="F2441" s="17" t="s">
        <v>4813</v>
      </c>
      <c r="G2441" s="17">
        <f>MATCH(E2441,Arenas!$F$8:$F$15)</f>
        <v>6</v>
      </c>
      <c r="H2441" s="29" t="s">
        <v>3811</v>
      </c>
      <c r="I2441" s="33" t="s">
        <v>9547</v>
      </c>
      <c r="J2441" s="47" t="s">
        <v>9548</v>
      </c>
      <c r="K2441" s="61" t="s">
        <v>4806</v>
      </c>
      <c r="L2441" s="12" t="str">
        <f t="shared" si="114"/>
        <v>3,3,3</v>
      </c>
    </row>
    <row r="2442" spans="2:12">
      <c r="B2442" s="17">
        <v>2741</v>
      </c>
      <c r="C2442" s="17">
        <v>3</v>
      </c>
      <c r="D2442" s="17">
        <f t="shared" si="116"/>
        <v>0</v>
      </c>
      <c r="E2442" s="17">
        <f t="shared" si="115"/>
        <v>1961</v>
      </c>
      <c r="F2442" s="17" t="s">
        <v>4813</v>
      </c>
      <c r="G2442" s="17">
        <f>MATCH(E2442,Arenas!$F$8:$F$15)</f>
        <v>6</v>
      </c>
      <c r="H2442" s="29" t="s">
        <v>3812</v>
      </c>
      <c r="I2442" s="33" t="s">
        <v>9549</v>
      </c>
      <c r="J2442" s="47" t="s">
        <v>9550</v>
      </c>
      <c r="K2442" s="61" t="s">
        <v>4779</v>
      </c>
      <c r="L2442" s="12" t="str">
        <f t="shared" si="114"/>
        <v>3,3,3</v>
      </c>
    </row>
    <row r="2443" spans="2:12">
      <c r="B2443" s="17">
        <v>2742</v>
      </c>
      <c r="C2443" s="17">
        <v>3</v>
      </c>
      <c r="D2443" s="17">
        <f t="shared" si="116"/>
        <v>0</v>
      </c>
      <c r="E2443" s="17">
        <f t="shared" si="115"/>
        <v>1961</v>
      </c>
      <c r="F2443" s="17" t="s">
        <v>4813</v>
      </c>
      <c r="G2443" s="17">
        <f>MATCH(E2443,Arenas!$F$8:$F$15)</f>
        <v>6</v>
      </c>
      <c r="H2443" s="29" t="s">
        <v>3813</v>
      </c>
      <c r="I2443" s="33" t="s">
        <v>9551</v>
      </c>
      <c r="J2443" s="47" t="s">
        <v>9550</v>
      </c>
      <c r="K2443" s="61" t="s">
        <v>4779</v>
      </c>
      <c r="L2443" s="12" t="str">
        <f t="shared" si="114"/>
        <v>3,3,3</v>
      </c>
    </row>
    <row r="2444" spans="2:12">
      <c r="B2444" s="17">
        <v>2743</v>
      </c>
      <c r="C2444" s="17">
        <v>3</v>
      </c>
      <c r="D2444" s="17">
        <f t="shared" si="116"/>
        <v>1</v>
      </c>
      <c r="E2444" s="17">
        <f t="shared" si="115"/>
        <v>1962</v>
      </c>
      <c r="F2444" s="17" t="s">
        <v>4813</v>
      </c>
      <c r="G2444" s="17">
        <f>MATCH(E2444,Arenas!$F$8:$F$15)</f>
        <v>6</v>
      </c>
      <c r="H2444" s="29" t="s">
        <v>3814</v>
      </c>
      <c r="I2444" s="33" t="s">
        <v>9552</v>
      </c>
      <c r="J2444" s="47" t="s">
        <v>9553</v>
      </c>
      <c r="K2444" s="61" t="s">
        <v>4779</v>
      </c>
      <c r="L2444" s="12" t="str">
        <f t="shared" si="114"/>
        <v>3,3,3</v>
      </c>
    </row>
    <row r="2445" spans="2:12">
      <c r="B2445" s="17">
        <v>2744</v>
      </c>
      <c r="C2445" s="17">
        <v>3</v>
      </c>
      <c r="D2445" s="17">
        <f t="shared" si="116"/>
        <v>0</v>
      </c>
      <c r="E2445" s="17">
        <f t="shared" si="115"/>
        <v>1962</v>
      </c>
      <c r="F2445" s="17" t="s">
        <v>4813</v>
      </c>
      <c r="G2445" s="17">
        <f>MATCH(E2445,Arenas!$F$8:$F$15)</f>
        <v>6</v>
      </c>
      <c r="H2445" s="29" t="s">
        <v>3815</v>
      </c>
      <c r="I2445" s="33" t="s">
        <v>9554</v>
      </c>
      <c r="J2445" s="47" t="s">
        <v>9555</v>
      </c>
      <c r="K2445" s="61" t="s">
        <v>4779</v>
      </c>
      <c r="L2445" s="12" t="str">
        <f t="shared" si="114"/>
        <v>3,3,3</v>
      </c>
    </row>
    <row r="2446" spans="2:12">
      <c r="B2446" s="17">
        <v>2745</v>
      </c>
      <c r="C2446" s="17">
        <v>3</v>
      </c>
      <c r="D2446" s="17">
        <f t="shared" si="116"/>
        <v>0</v>
      </c>
      <c r="E2446" s="17">
        <f t="shared" si="115"/>
        <v>1962</v>
      </c>
      <c r="F2446" s="17" t="s">
        <v>4813</v>
      </c>
      <c r="G2446" s="17">
        <f>MATCH(E2446,Arenas!$F$8:$F$15)</f>
        <v>6</v>
      </c>
      <c r="H2446" s="29" t="s">
        <v>3816</v>
      </c>
      <c r="I2446" s="33" t="s">
        <v>9556</v>
      </c>
      <c r="J2446" s="47" t="s">
        <v>9557</v>
      </c>
      <c r="K2446" s="61" t="s">
        <v>4807</v>
      </c>
      <c r="L2446" s="12" t="str">
        <f t="shared" si="114"/>
        <v>3,3,3</v>
      </c>
    </row>
    <row r="2447" spans="2:12">
      <c r="B2447" s="17">
        <v>2746</v>
      </c>
      <c r="C2447" s="17">
        <v>3</v>
      </c>
      <c r="D2447" s="17">
        <f t="shared" si="116"/>
        <v>1</v>
      </c>
      <c r="E2447" s="17">
        <f t="shared" si="115"/>
        <v>1963</v>
      </c>
      <c r="F2447" s="17" t="s">
        <v>4813</v>
      </c>
      <c r="G2447" s="17">
        <f>MATCH(E2447,Arenas!$F$8:$F$15)</f>
        <v>6</v>
      </c>
      <c r="H2447" s="29" t="s">
        <v>3817</v>
      </c>
      <c r="I2447" s="33" t="s">
        <v>9558</v>
      </c>
      <c r="J2447" s="47" t="s">
        <v>9559</v>
      </c>
      <c r="K2447" s="61" t="s">
        <v>4779</v>
      </c>
      <c r="L2447" s="12" t="str">
        <f t="shared" si="114"/>
        <v>3,3,3</v>
      </c>
    </row>
    <row r="2448" spans="2:12">
      <c r="B2448" s="17">
        <v>2747</v>
      </c>
      <c r="C2448" s="17">
        <v>3</v>
      </c>
      <c r="D2448" s="17">
        <f t="shared" si="116"/>
        <v>0</v>
      </c>
      <c r="E2448" s="17">
        <f t="shared" si="115"/>
        <v>1963</v>
      </c>
      <c r="F2448" s="17" t="s">
        <v>4813</v>
      </c>
      <c r="G2448" s="17">
        <f>MATCH(E2448,Arenas!$F$8:$F$15)</f>
        <v>6</v>
      </c>
      <c r="H2448" s="29" t="s">
        <v>3818</v>
      </c>
      <c r="I2448" s="33" t="s">
        <v>9560</v>
      </c>
      <c r="J2448" s="47" t="s">
        <v>9561</v>
      </c>
      <c r="K2448" s="61" t="s">
        <v>4779</v>
      </c>
      <c r="L2448" s="12" t="str">
        <f t="shared" si="114"/>
        <v>3,3,3</v>
      </c>
    </row>
    <row r="2449" spans="2:12">
      <c r="B2449" s="17">
        <v>2748</v>
      </c>
      <c r="C2449" s="17">
        <v>3</v>
      </c>
      <c r="D2449" s="17">
        <f t="shared" si="116"/>
        <v>0</v>
      </c>
      <c r="E2449" s="17">
        <f t="shared" si="115"/>
        <v>1963</v>
      </c>
      <c r="F2449" s="17" t="s">
        <v>4813</v>
      </c>
      <c r="G2449" s="17">
        <f>MATCH(E2449,Arenas!$F$8:$F$15)</f>
        <v>6</v>
      </c>
      <c r="H2449" s="29" t="s">
        <v>3819</v>
      </c>
      <c r="I2449" s="33" t="s">
        <v>9562</v>
      </c>
      <c r="J2449" s="47" t="s">
        <v>5335</v>
      </c>
      <c r="K2449" s="61" t="s">
        <v>4779</v>
      </c>
      <c r="L2449" s="12" t="str">
        <f t="shared" si="114"/>
        <v>3,3,3</v>
      </c>
    </row>
    <row r="2450" spans="2:12">
      <c r="B2450" s="17">
        <v>2749</v>
      </c>
      <c r="C2450" s="17">
        <v>3</v>
      </c>
      <c r="D2450" s="17">
        <f t="shared" si="116"/>
        <v>1</v>
      </c>
      <c r="E2450" s="17">
        <f t="shared" si="115"/>
        <v>1964</v>
      </c>
      <c r="F2450" s="17" t="s">
        <v>4813</v>
      </c>
      <c r="G2450" s="17">
        <f>MATCH(E2450,Arenas!$F$8:$F$15)</f>
        <v>6</v>
      </c>
      <c r="H2450" s="29" t="s">
        <v>3820</v>
      </c>
      <c r="I2450" s="33" t="s">
        <v>9563</v>
      </c>
      <c r="J2450" s="47" t="s">
        <v>5325</v>
      </c>
      <c r="K2450" s="61" t="s">
        <v>4779</v>
      </c>
      <c r="L2450" s="12" t="str">
        <f t="shared" si="114"/>
        <v>3,3,3</v>
      </c>
    </row>
    <row r="2451" spans="2:12">
      <c r="B2451" s="17">
        <v>2750</v>
      </c>
      <c r="C2451" s="17">
        <v>3</v>
      </c>
      <c r="D2451" s="17">
        <f t="shared" si="116"/>
        <v>0</v>
      </c>
      <c r="E2451" s="17">
        <f t="shared" si="115"/>
        <v>1964</v>
      </c>
      <c r="F2451" s="17" t="s">
        <v>4813</v>
      </c>
      <c r="G2451" s="17">
        <f>MATCH(E2451,Arenas!$F$8:$F$15)</f>
        <v>6</v>
      </c>
      <c r="H2451" s="29" t="s">
        <v>3821</v>
      </c>
      <c r="I2451" s="33" t="s">
        <v>9564</v>
      </c>
      <c r="J2451" s="47" t="s">
        <v>5468</v>
      </c>
      <c r="K2451" s="61" t="s">
        <v>4810</v>
      </c>
      <c r="L2451" s="12" t="str">
        <f t="shared" si="114"/>
        <v>3,3,3</v>
      </c>
    </row>
    <row r="2452" spans="2:12">
      <c r="B2452" s="17">
        <v>2751</v>
      </c>
      <c r="C2452" s="17">
        <v>3</v>
      </c>
      <c r="D2452" s="17">
        <f t="shared" si="116"/>
        <v>0</v>
      </c>
      <c r="E2452" s="17">
        <f t="shared" si="115"/>
        <v>1964</v>
      </c>
      <c r="F2452" s="17" t="s">
        <v>4813</v>
      </c>
      <c r="G2452" s="17">
        <f>MATCH(E2452,Arenas!$F$8:$F$15)</f>
        <v>6</v>
      </c>
      <c r="H2452" s="29" t="s">
        <v>3822</v>
      </c>
      <c r="I2452" s="33" t="s">
        <v>9565</v>
      </c>
      <c r="J2452" s="47" t="s">
        <v>9566</v>
      </c>
      <c r="K2452" s="61" t="s">
        <v>4779</v>
      </c>
      <c r="L2452" s="12" t="str">
        <f t="shared" si="114"/>
        <v>3,3,3</v>
      </c>
    </row>
    <row r="2453" spans="2:12">
      <c r="B2453" s="17">
        <v>2752</v>
      </c>
      <c r="C2453" s="17">
        <v>3</v>
      </c>
      <c r="D2453" s="17">
        <f t="shared" si="116"/>
        <v>1</v>
      </c>
      <c r="E2453" s="17">
        <f t="shared" si="115"/>
        <v>1965</v>
      </c>
      <c r="F2453" s="17" t="s">
        <v>4813</v>
      </c>
      <c r="G2453" s="17">
        <f>MATCH(E2453,Arenas!$F$8:$F$15)</f>
        <v>6</v>
      </c>
      <c r="H2453" s="29" t="s">
        <v>3823</v>
      </c>
      <c r="I2453" s="33" t="s">
        <v>9567</v>
      </c>
      <c r="J2453" s="47" t="s">
        <v>9568</v>
      </c>
      <c r="K2453" s="61" t="s">
        <v>4779</v>
      </c>
      <c r="L2453" s="12" t="str">
        <f t="shared" si="114"/>
        <v>3,3,3</v>
      </c>
    </row>
    <row r="2454" spans="2:12">
      <c r="B2454" s="17">
        <v>2753</v>
      </c>
      <c r="C2454" s="17">
        <v>3</v>
      </c>
      <c r="D2454" s="17">
        <f t="shared" si="116"/>
        <v>0</v>
      </c>
      <c r="E2454" s="17">
        <f t="shared" si="115"/>
        <v>1965</v>
      </c>
      <c r="F2454" s="17" t="s">
        <v>4813</v>
      </c>
      <c r="G2454" s="17">
        <f>MATCH(E2454,Arenas!$F$8:$F$15)</f>
        <v>6</v>
      </c>
      <c r="H2454" s="29" t="s">
        <v>3824</v>
      </c>
      <c r="I2454" s="33" t="s">
        <v>9569</v>
      </c>
      <c r="J2454" s="47" t="s">
        <v>9570</v>
      </c>
      <c r="K2454" s="61" t="s">
        <v>4779</v>
      </c>
      <c r="L2454" s="12" t="str">
        <f t="shared" si="114"/>
        <v>3,3,3</v>
      </c>
    </row>
    <row r="2455" spans="2:12">
      <c r="B2455" s="17">
        <v>2754</v>
      </c>
      <c r="C2455" s="17">
        <v>3</v>
      </c>
      <c r="D2455" s="17">
        <f t="shared" si="116"/>
        <v>0</v>
      </c>
      <c r="E2455" s="17">
        <f t="shared" si="115"/>
        <v>1965</v>
      </c>
      <c r="F2455" s="17" t="s">
        <v>4813</v>
      </c>
      <c r="G2455" s="17">
        <f>MATCH(E2455,Arenas!$F$8:$F$15)</f>
        <v>6</v>
      </c>
      <c r="H2455" s="29" t="s">
        <v>3825</v>
      </c>
      <c r="I2455" s="33" t="s">
        <v>9571</v>
      </c>
      <c r="J2455" s="47" t="s">
        <v>9572</v>
      </c>
      <c r="K2455" s="61" t="s">
        <v>4808</v>
      </c>
      <c r="L2455" s="12" t="str">
        <f t="shared" si="114"/>
        <v>3,3,3</v>
      </c>
    </row>
    <row r="2456" spans="2:12">
      <c r="B2456" s="17">
        <v>2755</v>
      </c>
      <c r="C2456" s="17">
        <v>3</v>
      </c>
      <c r="D2456" s="17">
        <f t="shared" si="116"/>
        <v>1</v>
      </c>
      <c r="E2456" s="17">
        <f t="shared" si="115"/>
        <v>1966</v>
      </c>
      <c r="F2456" s="17" t="s">
        <v>4813</v>
      </c>
      <c r="G2456" s="17">
        <f>MATCH(E2456,Arenas!$F$8:$F$15)</f>
        <v>6</v>
      </c>
      <c r="H2456" s="29" t="s">
        <v>3826</v>
      </c>
      <c r="I2456" s="33" t="s">
        <v>9573</v>
      </c>
      <c r="J2456" s="47" t="s">
        <v>5076</v>
      </c>
      <c r="K2456" s="61" t="s">
        <v>4779</v>
      </c>
      <c r="L2456" s="12" t="str">
        <f t="shared" si="114"/>
        <v>3,3,3</v>
      </c>
    </row>
    <row r="2457" spans="2:12">
      <c r="B2457" s="17">
        <v>2756</v>
      </c>
      <c r="C2457" s="17">
        <v>3</v>
      </c>
      <c r="D2457" s="17">
        <f t="shared" si="116"/>
        <v>0</v>
      </c>
      <c r="E2457" s="17">
        <f t="shared" si="115"/>
        <v>1966</v>
      </c>
      <c r="F2457" s="17" t="s">
        <v>4813</v>
      </c>
      <c r="G2457" s="17">
        <f>MATCH(E2457,Arenas!$F$8:$F$15)</f>
        <v>6</v>
      </c>
      <c r="H2457" s="29" t="s">
        <v>3827</v>
      </c>
      <c r="I2457" s="33" t="s">
        <v>9574</v>
      </c>
      <c r="J2457" s="47" t="s">
        <v>9575</v>
      </c>
      <c r="K2457" s="61" t="s">
        <v>4779</v>
      </c>
      <c r="L2457" s="12" t="str">
        <f t="shared" si="114"/>
        <v>3,3,3</v>
      </c>
    </row>
    <row r="2458" spans="2:12">
      <c r="B2458" s="17">
        <v>2757</v>
      </c>
      <c r="C2458" s="17">
        <v>3</v>
      </c>
      <c r="D2458" s="17">
        <f t="shared" si="116"/>
        <v>0</v>
      </c>
      <c r="E2458" s="17">
        <f t="shared" si="115"/>
        <v>1966</v>
      </c>
      <c r="F2458" s="17" t="s">
        <v>4813</v>
      </c>
      <c r="G2458" s="17">
        <f>MATCH(E2458,Arenas!$F$8:$F$15)</f>
        <v>6</v>
      </c>
      <c r="H2458" s="29" t="s">
        <v>3828</v>
      </c>
      <c r="I2458" s="33" t="s">
        <v>9576</v>
      </c>
      <c r="J2458" s="47" t="s">
        <v>9577</v>
      </c>
      <c r="K2458" s="61" t="s">
        <v>4779</v>
      </c>
      <c r="L2458" s="12" t="str">
        <f t="shared" si="114"/>
        <v>3,3,3</v>
      </c>
    </row>
    <row r="2459" spans="2:12">
      <c r="B2459" s="17">
        <v>2758</v>
      </c>
      <c r="C2459" s="17">
        <v>3</v>
      </c>
      <c r="D2459" s="17">
        <f t="shared" si="116"/>
        <v>1</v>
      </c>
      <c r="E2459" s="17">
        <f t="shared" si="115"/>
        <v>1967</v>
      </c>
      <c r="F2459" s="17" t="s">
        <v>4813</v>
      </c>
      <c r="G2459" s="17">
        <f>MATCH(E2459,Arenas!$F$8:$F$15)</f>
        <v>6</v>
      </c>
      <c r="H2459" s="29" t="s">
        <v>3829</v>
      </c>
      <c r="I2459" s="33" t="s">
        <v>9578</v>
      </c>
      <c r="J2459" s="47" t="s">
        <v>9579</v>
      </c>
      <c r="K2459" s="61" t="s">
        <v>4779</v>
      </c>
      <c r="L2459" s="12" t="str">
        <f t="shared" si="114"/>
        <v>3,3,3</v>
      </c>
    </row>
    <row r="2460" spans="2:12">
      <c r="B2460" s="17">
        <v>2759</v>
      </c>
      <c r="C2460" s="17">
        <v>3</v>
      </c>
      <c r="D2460" s="17">
        <f t="shared" si="116"/>
        <v>0</v>
      </c>
      <c r="E2460" s="17">
        <f t="shared" si="115"/>
        <v>1967</v>
      </c>
      <c r="F2460" s="17" t="s">
        <v>4813</v>
      </c>
      <c r="G2460" s="17">
        <f>MATCH(E2460,Arenas!$F$8:$F$15)</f>
        <v>6</v>
      </c>
      <c r="H2460" s="29" t="s">
        <v>3830</v>
      </c>
      <c r="I2460" s="33" t="s">
        <v>9580</v>
      </c>
      <c r="J2460" s="47" t="s">
        <v>9581</v>
      </c>
      <c r="K2460" s="61" t="s">
        <v>4779</v>
      </c>
      <c r="L2460" s="12" t="str">
        <f t="shared" si="114"/>
        <v>3,3,3</v>
      </c>
    </row>
    <row r="2461" spans="2:12">
      <c r="B2461" s="17">
        <v>2760</v>
      </c>
      <c r="C2461" s="17">
        <v>3</v>
      </c>
      <c r="D2461" s="17">
        <f t="shared" si="116"/>
        <v>0</v>
      </c>
      <c r="E2461" s="17">
        <f t="shared" si="115"/>
        <v>1967</v>
      </c>
      <c r="F2461" s="17" t="s">
        <v>4813</v>
      </c>
      <c r="G2461" s="17">
        <f>MATCH(E2461,Arenas!$F$8:$F$15)</f>
        <v>6</v>
      </c>
      <c r="H2461" s="29" t="s">
        <v>3831</v>
      </c>
      <c r="I2461" s="33" t="s">
        <v>9582</v>
      </c>
      <c r="J2461" s="47" t="s">
        <v>9583</v>
      </c>
      <c r="K2461" s="61" t="s">
        <v>4807</v>
      </c>
      <c r="L2461" s="12" t="str">
        <f t="shared" si="114"/>
        <v>3,3,3</v>
      </c>
    </row>
    <row r="2462" spans="2:12">
      <c r="B2462" s="17">
        <v>2761</v>
      </c>
      <c r="C2462" s="17">
        <v>3</v>
      </c>
      <c r="D2462" s="17">
        <f t="shared" si="116"/>
        <v>1</v>
      </c>
      <c r="E2462" s="17">
        <f t="shared" si="115"/>
        <v>1968</v>
      </c>
      <c r="F2462" s="17" t="s">
        <v>4813</v>
      </c>
      <c r="G2462" s="17">
        <f>MATCH(E2462,Arenas!$F$8:$F$15)</f>
        <v>6</v>
      </c>
      <c r="H2462" s="29" t="s">
        <v>3832</v>
      </c>
      <c r="I2462" s="33" t="s">
        <v>9584</v>
      </c>
      <c r="J2462" s="47" t="s">
        <v>9585</v>
      </c>
      <c r="K2462" s="61" t="s">
        <v>4779</v>
      </c>
      <c r="L2462" s="12" t="str">
        <f t="shared" si="114"/>
        <v>3,3,3</v>
      </c>
    </row>
    <row r="2463" spans="2:12">
      <c r="B2463" s="17">
        <v>2762</v>
      </c>
      <c r="C2463" s="17">
        <v>3</v>
      </c>
      <c r="D2463" s="17">
        <f t="shared" si="116"/>
        <v>0</v>
      </c>
      <c r="E2463" s="17">
        <f t="shared" si="115"/>
        <v>1968</v>
      </c>
      <c r="F2463" s="17" t="s">
        <v>4813</v>
      </c>
      <c r="G2463" s="17">
        <f>MATCH(E2463,Arenas!$F$8:$F$15)</f>
        <v>6</v>
      </c>
      <c r="H2463" s="29" t="s">
        <v>3833</v>
      </c>
      <c r="I2463" s="33" t="s">
        <v>9586</v>
      </c>
      <c r="J2463" s="47" t="s">
        <v>9587</v>
      </c>
      <c r="K2463" s="61" t="s">
        <v>4779</v>
      </c>
      <c r="L2463" s="12" t="str">
        <f t="shared" si="114"/>
        <v>3,3,3</v>
      </c>
    </row>
    <row r="2464" spans="2:12">
      <c r="B2464" s="17">
        <v>2763</v>
      </c>
      <c r="C2464" s="17">
        <v>3</v>
      </c>
      <c r="D2464" s="17">
        <f t="shared" si="116"/>
        <v>0</v>
      </c>
      <c r="E2464" s="17">
        <f t="shared" si="115"/>
        <v>1968</v>
      </c>
      <c r="F2464" s="17" t="s">
        <v>4813</v>
      </c>
      <c r="G2464" s="17">
        <f>MATCH(E2464,Arenas!$F$8:$F$15)</f>
        <v>6</v>
      </c>
      <c r="H2464" s="29" t="s">
        <v>3834</v>
      </c>
      <c r="I2464" s="33" t="s">
        <v>9588</v>
      </c>
      <c r="J2464" s="47" t="s">
        <v>5889</v>
      </c>
      <c r="K2464" s="61" t="s">
        <v>4779</v>
      </c>
      <c r="L2464" s="12" t="str">
        <f t="shared" si="114"/>
        <v>3,3,3</v>
      </c>
    </row>
    <row r="2465" spans="2:12">
      <c r="B2465" s="17">
        <v>2764</v>
      </c>
      <c r="C2465" s="17">
        <v>3</v>
      </c>
      <c r="D2465" s="17">
        <f t="shared" si="116"/>
        <v>1</v>
      </c>
      <c r="E2465" s="17">
        <f t="shared" si="115"/>
        <v>1969</v>
      </c>
      <c r="F2465" s="17" t="s">
        <v>4813</v>
      </c>
      <c r="G2465" s="17">
        <f>MATCH(E2465,Arenas!$F$8:$F$15)</f>
        <v>6</v>
      </c>
      <c r="H2465" s="29" t="s">
        <v>3835</v>
      </c>
      <c r="I2465" s="33" t="s">
        <v>9589</v>
      </c>
      <c r="J2465" s="47" t="s">
        <v>9590</v>
      </c>
      <c r="K2465" s="61" t="s">
        <v>4779</v>
      </c>
      <c r="L2465" s="12" t="str">
        <f t="shared" si="114"/>
        <v>3,3,3</v>
      </c>
    </row>
    <row r="2466" spans="2:12">
      <c r="B2466" s="17">
        <v>2765</v>
      </c>
      <c r="C2466" s="17">
        <v>3</v>
      </c>
      <c r="D2466" s="17">
        <f t="shared" si="116"/>
        <v>0</v>
      </c>
      <c r="E2466" s="17">
        <f t="shared" si="115"/>
        <v>1969</v>
      </c>
      <c r="F2466" s="17" t="s">
        <v>4813</v>
      </c>
      <c r="G2466" s="17">
        <f>MATCH(E2466,Arenas!$F$8:$F$15)</f>
        <v>6</v>
      </c>
      <c r="H2466" s="29" t="s">
        <v>3836</v>
      </c>
      <c r="I2466" s="33" t="s">
        <v>9591</v>
      </c>
      <c r="J2466" s="47" t="s">
        <v>9592</v>
      </c>
      <c r="K2466" s="61" t="s">
        <v>4779</v>
      </c>
      <c r="L2466" s="12" t="str">
        <f t="shared" si="114"/>
        <v>3,3,3</v>
      </c>
    </row>
    <row r="2467" spans="2:12">
      <c r="B2467" s="17">
        <v>2766</v>
      </c>
      <c r="C2467" s="17">
        <v>3</v>
      </c>
      <c r="D2467" s="17">
        <f t="shared" si="116"/>
        <v>0</v>
      </c>
      <c r="E2467" s="17">
        <f t="shared" si="115"/>
        <v>1969</v>
      </c>
      <c r="F2467" s="17" t="s">
        <v>4813</v>
      </c>
      <c r="G2467" s="17">
        <f>MATCH(E2467,Arenas!$F$8:$F$15)</f>
        <v>6</v>
      </c>
      <c r="H2467" s="29" t="s">
        <v>3837</v>
      </c>
      <c r="I2467" s="33" t="s">
        <v>9593</v>
      </c>
      <c r="J2467" s="47" t="s">
        <v>9594</v>
      </c>
      <c r="K2467" s="61" t="s">
        <v>4779</v>
      </c>
      <c r="L2467" s="12" t="str">
        <f t="shared" si="114"/>
        <v>3,3,3</v>
      </c>
    </row>
    <row r="2468" spans="2:12">
      <c r="B2468" s="17">
        <v>2767</v>
      </c>
      <c r="C2468" s="17">
        <v>3</v>
      </c>
      <c r="D2468" s="17">
        <f t="shared" si="116"/>
        <v>1</v>
      </c>
      <c r="E2468" s="17">
        <f t="shared" si="115"/>
        <v>1970</v>
      </c>
      <c r="F2468" s="17" t="s">
        <v>4813</v>
      </c>
      <c r="G2468" s="17">
        <f>MATCH(E2468,Arenas!$F$8:$F$15)</f>
        <v>6</v>
      </c>
      <c r="H2468" s="29" t="s">
        <v>3838</v>
      </c>
      <c r="I2468" s="33" t="s">
        <v>9595</v>
      </c>
      <c r="J2468" s="47" t="s">
        <v>9596</v>
      </c>
      <c r="K2468" s="61" t="s">
        <v>4779</v>
      </c>
      <c r="L2468" s="12" t="str">
        <f t="shared" si="114"/>
        <v>3,3,3</v>
      </c>
    </row>
    <row r="2469" spans="2:12">
      <c r="B2469" s="17">
        <v>2768</v>
      </c>
      <c r="C2469" s="17">
        <v>3</v>
      </c>
      <c r="D2469" s="17">
        <f t="shared" si="116"/>
        <v>0</v>
      </c>
      <c r="E2469" s="17">
        <f t="shared" si="115"/>
        <v>1970</v>
      </c>
      <c r="F2469" s="17" t="s">
        <v>4813</v>
      </c>
      <c r="G2469" s="17">
        <f>MATCH(E2469,Arenas!$F$8:$F$15)</f>
        <v>6</v>
      </c>
      <c r="H2469" s="29" t="s">
        <v>3839</v>
      </c>
      <c r="I2469" s="33" t="s">
        <v>9597</v>
      </c>
      <c r="J2469" s="47" t="s">
        <v>9598</v>
      </c>
      <c r="K2469" s="61" t="s">
        <v>4779</v>
      </c>
      <c r="L2469" s="12" t="str">
        <f t="shared" si="114"/>
        <v>3,3,3</v>
      </c>
    </row>
    <row r="2470" spans="2:12">
      <c r="B2470" s="17">
        <v>2769</v>
      </c>
      <c r="C2470" s="17">
        <v>3</v>
      </c>
      <c r="D2470" s="17">
        <f t="shared" si="116"/>
        <v>0</v>
      </c>
      <c r="E2470" s="17">
        <f t="shared" si="115"/>
        <v>1970</v>
      </c>
      <c r="F2470" s="17" t="s">
        <v>4813</v>
      </c>
      <c r="G2470" s="17">
        <f>MATCH(E2470,Arenas!$F$8:$F$15)</f>
        <v>6</v>
      </c>
      <c r="H2470" s="29" t="s">
        <v>3840</v>
      </c>
      <c r="I2470" s="33" t="s">
        <v>9599</v>
      </c>
      <c r="J2470" s="47" t="s">
        <v>9600</v>
      </c>
      <c r="K2470" s="61" t="s">
        <v>4779</v>
      </c>
      <c r="L2470" s="12" t="str">
        <f t="shared" si="114"/>
        <v>3,3,3</v>
      </c>
    </row>
    <row r="2471" spans="2:12">
      <c r="B2471" s="17">
        <v>2770</v>
      </c>
      <c r="C2471" s="17">
        <v>3</v>
      </c>
      <c r="D2471" s="17">
        <f t="shared" si="116"/>
        <v>1</v>
      </c>
      <c r="E2471" s="17">
        <f t="shared" si="115"/>
        <v>1971</v>
      </c>
      <c r="F2471" s="17" t="s">
        <v>4813</v>
      </c>
      <c r="G2471" s="17">
        <f>MATCH(E2471,Arenas!$F$8:$F$15)</f>
        <v>6</v>
      </c>
      <c r="H2471" s="29" t="s">
        <v>3841</v>
      </c>
      <c r="I2471" s="33" t="s">
        <v>9601</v>
      </c>
      <c r="J2471" s="47" t="s">
        <v>9602</v>
      </c>
      <c r="K2471" s="61" t="s">
        <v>4807</v>
      </c>
      <c r="L2471" s="12" t="str">
        <f t="shared" si="114"/>
        <v>3,3,3</v>
      </c>
    </row>
    <row r="2472" spans="2:12">
      <c r="B2472" s="17">
        <v>2771</v>
      </c>
      <c r="C2472" s="17">
        <v>3</v>
      </c>
      <c r="D2472" s="17">
        <f t="shared" si="116"/>
        <v>0</v>
      </c>
      <c r="E2472" s="17">
        <f t="shared" si="115"/>
        <v>1971</v>
      </c>
      <c r="F2472" s="17" t="s">
        <v>4813</v>
      </c>
      <c r="G2472" s="17">
        <f>MATCH(E2472,Arenas!$F$8:$F$15)</f>
        <v>6</v>
      </c>
      <c r="H2472" s="29" t="s">
        <v>3842</v>
      </c>
      <c r="I2472" s="33" t="s">
        <v>9603</v>
      </c>
      <c r="J2472" s="47" t="s">
        <v>9604</v>
      </c>
      <c r="K2472" s="61" t="s">
        <v>4779</v>
      </c>
      <c r="L2472" s="12" t="str">
        <f t="shared" si="114"/>
        <v>3,3,3</v>
      </c>
    </row>
    <row r="2473" spans="2:12">
      <c r="B2473" s="17">
        <v>2772</v>
      </c>
      <c r="C2473" s="17">
        <v>3</v>
      </c>
      <c r="D2473" s="17">
        <f t="shared" si="116"/>
        <v>0</v>
      </c>
      <c r="E2473" s="17">
        <f t="shared" si="115"/>
        <v>1971</v>
      </c>
      <c r="F2473" s="17" t="s">
        <v>4813</v>
      </c>
      <c r="G2473" s="17">
        <f>MATCH(E2473,Arenas!$F$8:$F$15)</f>
        <v>6</v>
      </c>
      <c r="H2473" s="29" t="s">
        <v>3843</v>
      </c>
      <c r="I2473" s="33" t="s">
        <v>9605</v>
      </c>
      <c r="J2473" s="47" t="s">
        <v>9606</v>
      </c>
      <c r="K2473" s="61" t="s">
        <v>4779</v>
      </c>
      <c r="L2473" s="12" t="str">
        <f t="shared" si="114"/>
        <v>3,3,3</v>
      </c>
    </row>
    <row r="2474" spans="2:12">
      <c r="B2474" s="17">
        <v>2773</v>
      </c>
      <c r="C2474" s="17">
        <v>3</v>
      </c>
      <c r="D2474" s="17">
        <f t="shared" si="116"/>
        <v>1</v>
      </c>
      <c r="E2474" s="17">
        <f t="shared" si="115"/>
        <v>1972</v>
      </c>
      <c r="F2474" s="17" t="s">
        <v>4813</v>
      </c>
      <c r="G2474" s="17">
        <f>MATCH(E2474,Arenas!$F$8:$F$15)</f>
        <v>6</v>
      </c>
      <c r="H2474" s="29" t="s">
        <v>3844</v>
      </c>
      <c r="I2474" s="33" t="s">
        <v>9607</v>
      </c>
      <c r="J2474" s="47" t="s">
        <v>9608</v>
      </c>
      <c r="K2474" s="61" t="s">
        <v>4779</v>
      </c>
      <c r="L2474" s="12" t="str">
        <f t="shared" si="114"/>
        <v>3,3,3</v>
      </c>
    </row>
    <row r="2475" spans="2:12">
      <c r="B2475" s="17">
        <v>2774</v>
      </c>
      <c r="C2475" s="17">
        <v>3</v>
      </c>
      <c r="D2475" s="17">
        <f t="shared" si="116"/>
        <v>0</v>
      </c>
      <c r="E2475" s="17">
        <f t="shared" si="115"/>
        <v>1972</v>
      </c>
      <c r="F2475" s="17" t="s">
        <v>4813</v>
      </c>
      <c r="G2475" s="17">
        <f>MATCH(E2475,Arenas!$F$8:$F$15)</f>
        <v>6</v>
      </c>
      <c r="H2475" s="29" t="s">
        <v>3845</v>
      </c>
      <c r="I2475" s="33" t="s">
        <v>9609</v>
      </c>
      <c r="J2475" s="47" t="s">
        <v>9610</v>
      </c>
      <c r="K2475" s="61" t="s">
        <v>4779</v>
      </c>
      <c r="L2475" s="12" t="str">
        <f t="shared" si="114"/>
        <v>3,3,3</v>
      </c>
    </row>
    <row r="2476" spans="2:12">
      <c r="B2476" s="17">
        <v>2775</v>
      </c>
      <c r="C2476" s="17">
        <v>3</v>
      </c>
      <c r="D2476" s="17">
        <f t="shared" si="116"/>
        <v>0</v>
      </c>
      <c r="E2476" s="17">
        <f t="shared" si="115"/>
        <v>1972</v>
      </c>
      <c r="F2476" s="17" t="s">
        <v>4813</v>
      </c>
      <c r="G2476" s="17">
        <f>MATCH(E2476,Arenas!$F$8:$F$15)</f>
        <v>6</v>
      </c>
      <c r="H2476" s="29" t="s">
        <v>3846</v>
      </c>
      <c r="I2476" s="33" t="s">
        <v>9611</v>
      </c>
      <c r="J2476" s="47" t="s">
        <v>9612</v>
      </c>
      <c r="K2476" s="61" t="s">
        <v>4779</v>
      </c>
      <c r="L2476" s="12" t="str">
        <f t="shared" si="114"/>
        <v>3,3,3</v>
      </c>
    </row>
    <row r="2477" spans="2:12">
      <c r="B2477" s="17">
        <v>2776</v>
      </c>
      <c r="C2477" s="17">
        <v>3</v>
      </c>
      <c r="D2477" s="17">
        <f t="shared" si="116"/>
        <v>1</v>
      </c>
      <c r="E2477" s="17">
        <f t="shared" si="115"/>
        <v>1973</v>
      </c>
      <c r="F2477" s="17" t="s">
        <v>4813</v>
      </c>
      <c r="G2477" s="17">
        <f>MATCH(E2477,Arenas!$F$8:$F$15)</f>
        <v>6</v>
      </c>
      <c r="H2477" s="29" t="s">
        <v>3847</v>
      </c>
      <c r="I2477" s="33" t="s">
        <v>9613</v>
      </c>
      <c r="J2477" s="47" t="s">
        <v>9614</v>
      </c>
      <c r="K2477" s="61" t="s">
        <v>4779</v>
      </c>
      <c r="L2477" s="12" t="str">
        <f t="shared" si="114"/>
        <v>3,3,3</v>
      </c>
    </row>
    <row r="2478" spans="2:12">
      <c r="B2478" s="17">
        <v>2777</v>
      </c>
      <c r="C2478" s="17">
        <v>3</v>
      </c>
      <c r="D2478" s="17">
        <f t="shared" si="116"/>
        <v>0</v>
      </c>
      <c r="E2478" s="17">
        <f t="shared" si="115"/>
        <v>1973</v>
      </c>
      <c r="F2478" s="17" t="s">
        <v>4813</v>
      </c>
      <c r="G2478" s="17">
        <f>MATCH(E2478,Arenas!$F$8:$F$15)</f>
        <v>6</v>
      </c>
      <c r="H2478" s="29" t="s">
        <v>3848</v>
      </c>
      <c r="I2478" s="33" t="s">
        <v>9615</v>
      </c>
      <c r="J2478" s="47" t="s">
        <v>9616</v>
      </c>
      <c r="K2478" s="61" t="s">
        <v>4779</v>
      </c>
      <c r="L2478" s="12" t="str">
        <f t="shared" si="114"/>
        <v>3,3,3</v>
      </c>
    </row>
    <row r="2479" spans="2:12">
      <c r="B2479" s="17">
        <v>2778</v>
      </c>
      <c r="C2479" s="17">
        <v>3</v>
      </c>
      <c r="D2479" s="17">
        <f t="shared" si="116"/>
        <v>0</v>
      </c>
      <c r="E2479" s="17">
        <f t="shared" si="115"/>
        <v>1973</v>
      </c>
      <c r="F2479" s="17" t="s">
        <v>4813</v>
      </c>
      <c r="G2479" s="17">
        <f>MATCH(E2479,Arenas!$F$8:$F$15)</f>
        <v>6</v>
      </c>
      <c r="H2479" s="29" t="s">
        <v>3849</v>
      </c>
      <c r="I2479" s="33" t="s">
        <v>9617</v>
      </c>
      <c r="J2479" s="47" t="s">
        <v>9463</v>
      </c>
      <c r="K2479" s="61" t="s">
        <v>4779</v>
      </c>
      <c r="L2479" s="12" t="str">
        <f t="shared" si="114"/>
        <v>3,3,3</v>
      </c>
    </row>
    <row r="2480" spans="2:12">
      <c r="B2480" s="17">
        <v>2779</v>
      </c>
      <c r="C2480" s="17">
        <v>3</v>
      </c>
      <c r="D2480" s="17">
        <f t="shared" si="116"/>
        <v>1</v>
      </c>
      <c r="E2480" s="17">
        <f t="shared" si="115"/>
        <v>1974</v>
      </c>
      <c r="F2480" s="17" t="s">
        <v>4813</v>
      </c>
      <c r="G2480" s="17">
        <f>MATCH(E2480,Arenas!$F$8:$F$15)</f>
        <v>6</v>
      </c>
      <c r="H2480" s="29" t="s">
        <v>3850</v>
      </c>
      <c r="I2480" s="33" t="s">
        <v>9618</v>
      </c>
      <c r="J2480" s="47" t="s">
        <v>9619</v>
      </c>
      <c r="K2480" s="61" t="s">
        <v>4779</v>
      </c>
      <c r="L2480" s="12" t="str">
        <f t="shared" si="114"/>
        <v>3,3,3</v>
      </c>
    </row>
    <row r="2481" spans="2:12">
      <c r="B2481" s="17">
        <v>2780</v>
      </c>
      <c r="C2481" s="17">
        <v>3</v>
      </c>
      <c r="D2481" s="17">
        <f t="shared" si="116"/>
        <v>0</v>
      </c>
      <c r="E2481" s="17">
        <f t="shared" si="115"/>
        <v>1974</v>
      </c>
      <c r="F2481" s="17" t="s">
        <v>4813</v>
      </c>
      <c r="G2481" s="17">
        <f>MATCH(E2481,Arenas!$F$8:$F$15)</f>
        <v>6</v>
      </c>
      <c r="H2481" s="29" t="s">
        <v>3851</v>
      </c>
      <c r="I2481" s="33" t="s">
        <v>9620</v>
      </c>
      <c r="J2481" s="47" t="s">
        <v>9621</v>
      </c>
      <c r="K2481" s="61" t="s">
        <v>4779</v>
      </c>
      <c r="L2481" s="12" t="str">
        <f t="shared" si="114"/>
        <v>3,3,3</v>
      </c>
    </row>
    <row r="2482" spans="2:12">
      <c r="B2482" s="17">
        <v>2781</v>
      </c>
      <c r="C2482" s="17">
        <v>3</v>
      </c>
      <c r="D2482" s="17">
        <f t="shared" si="116"/>
        <v>0</v>
      </c>
      <c r="E2482" s="17">
        <f t="shared" si="115"/>
        <v>1974</v>
      </c>
      <c r="F2482" s="17" t="s">
        <v>4813</v>
      </c>
      <c r="G2482" s="17">
        <f>MATCH(E2482,Arenas!$F$8:$F$15)</f>
        <v>6</v>
      </c>
      <c r="H2482" s="29" t="s">
        <v>3852</v>
      </c>
      <c r="I2482" s="33" t="s">
        <v>9622</v>
      </c>
      <c r="J2482" s="47" t="s">
        <v>9623</v>
      </c>
      <c r="K2482" s="61" t="s">
        <v>4779</v>
      </c>
      <c r="L2482" s="12" t="str">
        <f t="shared" si="114"/>
        <v>3,3,3</v>
      </c>
    </row>
    <row r="2483" spans="2:12">
      <c r="B2483" s="17">
        <v>2782</v>
      </c>
      <c r="C2483" s="17">
        <v>3</v>
      </c>
      <c r="D2483" s="17">
        <f t="shared" si="116"/>
        <v>1</v>
      </c>
      <c r="E2483" s="17">
        <f t="shared" si="115"/>
        <v>1975</v>
      </c>
      <c r="F2483" s="17" t="s">
        <v>4813</v>
      </c>
      <c r="G2483" s="17">
        <f>MATCH(E2483,Arenas!$F$8:$F$15)</f>
        <v>6</v>
      </c>
      <c r="H2483" s="29" t="s">
        <v>3853</v>
      </c>
      <c r="I2483" s="33" t="s">
        <v>9624</v>
      </c>
      <c r="J2483" s="47" t="s">
        <v>9625</v>
      </c>
      <c r="K2483" s="61" t="s">
        <v>4779</v>
      </c>
      <c r="L2483" s="12" t="str">
        <f t="shared" si="114"/>
        <v>3,3,3</v>
      </c>
    </row>
    <row r="2484" spans="2:12">
      <c r="B2484" s="17">
        <v>2783</v>
      </c>
      <c r="C2484" s="17">
        <v>3</v>
      </c>
      <c r="D2484" s="17">
        <f t="shared" si="116"/>
        <v>0</v>
      </c>
      <c r="E2484" s="17">
        <f t="shared" si="115"/>
        <v>1975</v>
      </c>
      <c r="F2484" s="17" t="s">
        <v>4813</v>
      </c>
      <c r="G2484" s="17">
        <f>MATCH(E2484,Arenas!$F$8:$F$15)</f>
        <v>6</v>
      </c>
      <c r="H2484" s="29" t="s">
        <v>3854</v>
      </c>
      <c r="I2484" s="33" t="s">
        <v>9626</v>
      </c>
      <c r="J2484" s="47" t="s">
        <v>9627</v>
      </c>
      <c r="K2484" s="61" t="s">
        <v>4779</v>
      </c>
      <c r="L2484" s="12" t="str">
        <f t="shared" si="114"/>
        <v>3,3,3</v>
      </c>
    </row>
    <row r="2485" spans="2:12">
      <c r="B2485" s="17">
        <v>2784</v>
      </c>
      <c r="C2485" s="17">
        <v>3</v>
      </c>
      <c r="D2485" s="17">
        <f t="shared" si="116"/>
        <v>0</v>
      </c>
      <c r="E2485" s="17">
        <f t="shared" si="115"/>
        <v>1975</v>
      </c>
      <c r="F2485" s="17" t="s">
        <v>4813</v>
      </c>
      <c r="G2485" s="17">
        <f>MATCH(E2485,Arenas!$F$8:$F$15)</f>
        <v>6</v>
      </c>
      <c r="H2485" s="29" t="s">
        <v>3855</v>
      </c>
      <c r="I2485" s="33" t="s">
        <v>9628</v>
      </c>
      <c r="J2485" s="47" t="s">
        <v>9629</v>
      </c>
      <c r="K2485" s="61" t="s">
        <v>4779</v>
      </c>
      <c r="L2485" s="12" t="str">
        <f t="shared" si="114"/>
        <v>3,3,3</v>
      </c>
    </row>
    <row r="2486" spans="2:12">
      <c r="B2486" s="17">
        <v>2785</v>
      </c>
      <c r="C2486" s="17">
        <v>3</v>
      </c>
      <c r="D2486" s="17">
        <f t="shared" si="116"/>
        <v>1</v>
      </c>
      <c r="E2486" s="17">
        <f t="shared" si="115"/>
        <v>1976</v>
      </c>
      <c r="F2486" s="17" t="s">
        <v>4813</v>
      </c>
      <c r="G2486" s="17">
        <f>MATCH(E2486,Arenas!$F$8:$F$15)</f>
        <v>6</v>
      </c>
      <c r="H2486" s="29" t="s">
        <v>3856</v>
      </c>
      <c r="I2486" s="33" t="s">
        <v>9630</v>
      </c>
      <c r="J2486" s="47" t="s">
        <v>9631</v>
      </c>
      <c r="K2486" s="61" t="s">
        <v>4779</v>
      </c>
      <c r="L2486" s="12" t="str">
        <f t="shared" si="114"/>
        <v>3,3,3</v>
      </c>
    </row>
    <row r="2487" spans="2:12">
      <c r="B2487" s="17">
        <v>2786</v>
      </c>
      <c r="C2487" s="17">
        <v>3</v>
      </c>
      <c r="D2487" s="17">
        <f t="shared" si="116"/>
        <v>0</v>
      </c>
      <c r="E2487" s="17">
        <f t="shared" si="115"/>
        <v>1976</v>
      </c>
      <c r="F2487" s="17" t="s">
        <v>4813</v>
      </c>
      <c r="G2487" s="17">
        <f>MATCH(E2487,Arenas!$F$8:$F$15)</f>
        <v>6</v>
      </c>
      <c r="H2487" s="29" t="s">
        <v>3857</v>
      </c>
      <c r="I2487" s="33" t="s">
        <v>9632</v>
      </c>
      <c r="J2487" s="47" t="s">
        <v>5633</v>
      </c>
      <c r="K2487" s="61" t="s">
        <v>4779</v>
      </c>
      <c r="L2487" s="12" t="str">
        <f t="shared" si="114"/>
        <v>3,3,3</v>
      </c>
    </row>
    <row r="2488" spans="2:12">
      <c r="B2488" s="17">
        <v>2787</v>
      </c>
      <c r="C2488" s="17">
        <v>3</v>
      </c>
      <c r="D2488" s="17">
        <f t="shared" si="116"/>
        <v>0</v>
      </c>
      <c r="E2488" s="17">
        <f t="shared" si="115"/>
        <v>1976</v>
      </c>
      <c r="F2488" s="17" t="s">
        <v>4813</v>
      </c>
      <c r="G2488" s="17">
        <f>MATCH(E2488,Arenas!$F$8:$F$15)</f>
        <v>6</v>
      </c>
      <c r="H2488" s="29" t="s">
        <v>3858</v>
      </c>
      <c r="I2488" s="33" t="s">
        <v>9633</v>
      </c>
      <c r="J2488" s="47" t="s">
        <v>9634</v>
      </c>
      <c r="K2488" s="61" t="s">
        <v>4779</v>
      </c>
      <c r="L2488" s="12" t="str">
        <f t="shared" si="114"/>
        <v>3,3,3</v>
      </c>
    </row>
    <row r="2489" spans="2:12">
      <c r="B2489" s="17">
        <v>2788</v>
      </c>
      <c r="C2489" s="17">
        <v>3</v>
      </c>
      <c r="D2489" s="17">
        <f t="shared" si="116"/>
        <v>1</v>
      </c>
      <c r="E2489" s="17">
        <f t="shared" si="115"/>
        <v>1977</v>
      </c>
      <c r="F2489" s="17" t="s">
        <v>4813</v>
      </c>
      <c r="G2489" s="17">
        <f>MATCH(E2489,Arenas!$F$8:$F$15)</f>
        <v>6</v>
      </c>
      <c r="H2489" s="29" t="s">
        <v>3859</v>
      </c>
      <c r="I2489" s="33" t="s">
        <v>9635</v>
      </c>
      <c r="J2489" s="47" t="s">
        <v>9193</v>
      </c>
      <c r="K2489" s="61" t="s">
        <v>4779</v>
      </c>
      <c r="L2489" s="12" t="str">
        <f t="shared" si="114"/>
        <v>3,3,3</v>
      </c>
    </row>
    <row r="2490" spans="2:12">
      <c r="B2490" s="17">
        <v>2789</v>
      </c>
      <c r="C2490" s="17">
        <v>3</v>
      </c>
      <c r="D2490" s="17">
        <f t="shared" si="116"/>
        <v>0</v>
      </c>
      <c r="E2490" s="17">
        <f t="shared" si="115"/>
        <v>1977</v>
      </c>
      <c r="F2490" s="17" t="s">
        <v>4813</v>
      </c>
      <c r="G2490" s="17">
        <f>MATCH(E2490,Arenas!$F$8:$F$15)</f>
        <v>6</v>
      </c>
      <c r="H2490" s="29" t="s">
        <v>3860</v>
      </c>
      <c r="I2490" s="33" t="s">
        <v>9636</v>
      </c>
      <c r="J2490" s="47" t="s">
        <v>9637</v>
      </c>
      <c r="K2490" s="61" t="s">
        <v>4779</v>
      </c>
      <c r="L2490" s="12" t="str">
        <f t="shared" si="114"/>
        <v>3,3,3</v>
      </c>
    </row>
    <row r="2491" spans="2:12">
      <c r="B2491" s="17">
        <v>2790</v>
      </c>
      <c r="C2491" s="17">
        <v>3</v>
      </c>
      <c r="D2491" s="17">
        <f t="shared" si="116"/>
        <v>0</v>
      </c>
      <c r="E2491" s="17">
        <f t="shared" si="115"/>
        <v>1977</v>
      </c>
      <c r="F2491" s="17" t="s">
        <v>4813</v>
      </c>
      <c r="G2491" s="17">
        <f>MATCH(E2491,Arenas!$F$8:$F$15)</f>
        <v>6</v>
      </c>
      <c r="H2491" s="29" t="s">
        <v>3861</v>
      </c>
      <c r="I2491" s="33" t="s">
        <v>9638</v>
      </c>
      <c r="J2491" s="47" t="s">
        <v>9639</v>
      </c>
      <c r="K2491" s="61" t="s">
        <v>4779</v>
      </c>
      <c r="L2491" s="12" t="str">
        <f t="shared" si="114"/>
        <v>3,3,3</v>
      </c>
    </row>
    <row r="2492" spans="2:12">
      <c r="B2492" s="17">
        <v>2791</v>
      </c>
      <c r="C2492" s="17">
        <v>3</v>
      </c>
      <c r="D2492" s="17">
        <f t="shared" si="116"/>
        <v>1</v>
      </c>
      <c r="E2492" s="17">
        <f t="shared" si="115"/>
        <v>1978</v>
      </c>
      <c r="F2492" s="17" t="s">
        <v>4813</v>
      </c>
      <c r="G2492" s="17">
        <f>MATCH(E2492,Arenas!$F$8:$F$15)</f>
        <v>6</v>
      </c>
      <c r="H2492" s="29" t="s">
        <v>3862</v>
      </c>
      <c r="I2492" s="33" t="s">
        <v>9640</v>
      </c>
      <c r="J2492" s="47" t="s">
        <v>9641</v>
      </c>
      <c r="K2492" s="61" t="s">
        <v>4779</v>
      </c>
      <c r="L2492" s="12" t="str">
        <f t="shared" si="114"/>
        <v>3,3,3</v>
      </c>
    </row>
    <row r="2493" spans="2:12">
      <c r="B2493" s="17">
        <v>2792</v>
      </c>
      <c r="C2493" s="17">
        <v>3</v>
      </c>
      <c r="D2493" s="17">
        <f t="shared" si="116"/>
        <v>0</v>
      </c>
      <c r="E2493" s="17">
        <f t="shared" si="115"/>
        <v>1978</v>
      </c>
      <c r="F2493" s="17" t="s">
        <v>4813</v>
      </c>
      <c r="G2493" s="17">
        <f>MATCH(E2493,Arenas!$F$8:$F$15)</f>
        <v>6</v>
      </c>
      <c r="H2493" s="29" t="s">
        <v>3863</v>
      </c>
      <c r="I2493" s="33" t="s">
        <v>9642</v>
      </c>
      <c r="J2493" s="47" t="s">
        <v>9643</v>
      </c>
      <c r="K2493" s="61" t="s">
        <v>4779</v>
      </c>
      <c r="L2493" s="12" t="str">
        <f t="shared" si="114"/>
        <v>3,3,3</v>
      </c>
    </row>
    <row r="2494" spans="2:12">
      <c r="B2494" s="17">
        <v>2793</v>
      </c>
      <c r="C2494" s="17">
        <v>3</v>
      </c>
      <c r="D2494" s="17">
        <f t="shared" si="116"/>
        <v>0</v>
      </c>
      <c r="E2494" s="17">
        <f t="shared" si="115"/>
        <v>1978</v>
      </c>
      <c r="F2494" s="17" t="s">
        <v>4813</v>
      </c>
      <c r="G2494" s="17">
        <f>MATCH(E2494,Arenas!$F$8:$F$15)</f>
        <v>6</v>
      </c>
      <c r="H2494" s="29" t="s">
        <v>3864</v>
      </c>
      <c r="I2494" s="33" t="s">
        <v>9644</v>
      </c>
      <c r="J2494" s="47" t="s">
        <v>9645</v>
      </c>
      <c r="K2494" s="61" t="s">
        <v>4779</v>
      </c>
      <c r="L2494" s="12" t="str">
        <f t="shared" si="114"/>
        <v>3,3,3</v>
      </c>
    </row>
    <row r="2495" spans="2:12">
      <c r="B2495" s="17">
        <v>2794</v>
      </c>
      <c r="C2495" s="17">
        <v>3</v>
      </c>
      <c r="D2495" s="17">
        <f t="shared" si="116"/>
        <v>1</v>
      </c>
      <c r="E2495" s="17">
        <f t="shared" si="115"/>
        <v>1979</v>
      </c>
      <c r="F2495" s="17" t="s">
        <v>4813</v>
      </c>
      <c r="G2495" s="17">
        <f>MATCH(E2495,Arenas!$F$8:$F$15)</f>
        <v>6</v>
      </c>
      <c r="H2495" s="29" t="s">
        <v>3865</v>
      </c>
      <c r="I2495" s="33" t="s">
        <v>9646</v>
      </c>
      <c r="J2495" s="47" t="s">
        <v>9647</v>
      </c>
      <c r="K2495" s="61" t="s">
        <v>4779</v>
      </c>
      <c r="L2495" s="12" t="str">
        <f t="shared" si="114"/>
        <v>3,3,3</v>
      </c>
    </row>
    <row r="2496" spans="2:12">
      <c r="B2496" s="17">
        <v>2795</v>
      </c>
      <c r="C2496" s="17">
        <v>3</v>
      </c>
      <c r="D2496" s="17">
        <f t="shared" si="116"/>
        <v>0</v>
      </c>
      <c r="E2496" s="17">
        <f t="shared" si="115"/>
        <v>1979</v>
      </c>
      <c r="F2496" s="17" t="s">
        <v>4813</v>
      </c>
      <c r="G2496" s="17">
        <f>MATCH(E2496,Arenas!$F$8:$F$15)</f>
        <v>6</v>
      </c>
      <c r="H2496" s="29" t="s">
        <v>3866</v>
      </c>
      <c r="I2496" s="33" t="s">
        <v>9648</v>
      </c>
      <c r="J2496" s="47" t="s">
        <v>5788</v>
      </c>
      <c r="K2496" s="61" t="s">
        <v>4779</v>
      </c>
      <c r="L2496" s="12" t="str">
        <f t="shared" si="114"/>
        <v>3,3,3</v>
      </c>
    </row>
    <row r="2497" spans="2:12">
      <c r="B2497" s="17">
        <v>2796</v>
      </c>
      <c r="C2497" s="17">
        <v>3</v>
      </c>
      <c r="D2497" s="17">
        <f t="shared" si="116"/>
        <v>0</v>
      </c>
      <c r="E2497" s="17">
        <f t="shared" si="115"/>
        <v>1979</v>
      </c>
      <c r="F2497" s="17" t="s">
        <v>4813</v>
      </c>
      <c r="G2497" s="17">
        <f>MATCH(E2497,Arenas!$F$8:$F$15)</f>
        <v>6</v>
      </c>
      <c r="H2497" s="29" t="s">
        <v>3867</v>
      </c>
      <c r="I2497" s="33" t="s">
        <v>9649</v>
      </c>
      <c r="J2497" s="47" t="s">
        <v>9650</v>
      </c>
      <c r="K2497" s="61" t="s">
        <v>4779</v>
      </c>
      <c r="L2497" s="12" t="str">
        <f t="shared" si="114"/>
        <v>3,3,3</v>
      </c>
    </row>
    <row r="2498" spans="2:12">
      <c r="B2498" s="17">
        <v>2797</v>
      </c>
      <c r="C2498" s="17">
        <v>3</v>
      </c>
      <c r="D2498" s="17">
        <f t="shared" si="116"/>
        <v>1</v>
      </c>
      <c r="E2498" s="17">
        <f t="shared" si="115"/>
        <v>1980</v>
      </c>
      <c r="F2498" s="17" t="s">
        <v>4813</v>
      </c>
      <c r="G2498" s="17">
        <f>MATCH(E2498,Arenas!$F$8:$F$15)</f>
        <v>6</v>
      </c>
      <c r="H2498" s="29" t="s">
        <v>3868</v>
      </c>
      <c r="I2498" s="33" t="s">
        <v>9651</v>
      </c>
      <c r="J2498" s="47" t="s">
        <v>9652</v>
      </c>
      <c r="K2498" s="61" t="s">
        <v>4809</v>
      </c>
      <c r="L2498" s="12" t="str">
        <f t="shared" ref="L2498:L2561" si="117">C2498&amp;","&amp;C2498&amp;","&amp;C2498</f>
        <v>3,3,3</v>
      </c>
    </row>
    <row r="2499" spans="2:12">
      <c r="B2499" s="17">
        <v>2798</v>
      </c>
      <c r="C2499" s="17">
        <v>3</v>
      </c>
      <c r="D2499" s="17">
        <f t="shared" si="116"/>
        <v>0</v>
      </c>
      <c r="E2499" s="17">
        <f t="shared" ref="E2499:E2562" si="118">D2499+E2498</f>
        <v>1980</v>
      </c>
      <c r="F2499" s="17" t="s">
        <v>4813</v>
      </c>
      <c r="G2499" s="17">
        <f>MATCH(E2499,Arenas!$F$8:$F$15)</f>
        <v>6</v>
      </c>
      <c r="H2499" s="29" t="s">
        <v>3869</v>
      </c>
      <c r="I2499" s="33" t="s">
        <v>9653</v>
      </c>
      <c r="J2499" s="47" t="s">
        <v>9654</v>
      </c>
      <c r="K2499" s="61" t="s">
        <v>4779</v>
      </c>
      <c r="L2499" s="12" t="str">
        <f t="shared" si="117"/>
        <v>3,3,3</v>
      </c>
    </row>
    <row r="2500" spans="2:12">
      <c r="B2500" s="17">
        <v>2799</v>
      </c>
      <c r="C2500" s="17">
        <v>3</v>
      </c>
      <c r="D2500" s="17">
        <f t="shared" si="116"/>
        <v>0</v>
      </c>
      <c r="E2500" s="17">
        <f t="shared" si="118"/>
        <v>1980</v>
      </c>
      <c r="F2500" s="17" t="s">
        <v>4813</v>
      </c>
      <c r="G2500" s="17">
        <f>MATCH(E2500,Arenas!$F$8:$F$15)</f>
        <v>6</v>
      </c>
      <c r="H2500" s="29" t="s">
        <v>3870</v>
      </c>
      <c r="I2500" s="33" t="s">
        <v>9655</v>
      </c>
      <c r="J2500" s="47" t="s">
        <v>9656</v>
      </c>
      <c r="K2500" s="61" t="s">
        <v>4779</v>
      </c>
      <c r="L2500" s="12" t="str">
        <f t="shared" si="117"/>
        <v>3,3,3</v>
      </c>
    </row>
    <row r="2501" spans="2:12">
      <c r="B2501" s="17">
        <v>2800</v>
      </c>
      <c r="C2501" s="17">
        <v>3</v>
      </c>
      <c r="D2501" s="17">
        <f t="shared" ref="D2501:D2564" si="119">D2498</f>
        <v>1</v>
      </c>
      <c r="E2501" s="17">
        <f t="shared" si="118"/>
        <v>1981</v>
      </c>
      <c r="F2501" s="17" t="s">
        <v>4813</v>
      </c>
      <c r="G2501" s="17">
        <f>MATCH(E2501,Arenas!$F$8:$F$15)</f>
        <v>6</v>
      </c>
      <c r="H2501" s="29" t="s">
        <v>3871</v>
      </c>
      <c r="I2501" s="33" t="s">
        <v>9657</v>
      </c>
      <c r="J2501" s="47" t="s">
        <v>5777</v>
      </c>
      <c r="K2501" s="61" t="s">
        <v>4779</v>
      </c>
      <c r="L2501" s="12" t="str">
        <f t="shared" si="117"/>
        <v>3,3,3</v>
      </c>
    </row>
    <row r="2502" spans="2:12">
      <c r="B2502" s="17">
        <v>2801</v>
      </c>
      <c r="C2502" s="17">
        <v>3</v>
      </c>
      <c r="D2502" s="17">
        <f t="shared" si="119"/>
        <v>0</v>
      </c>
      <c r="E2502" s="17">
        <f t="shared" si="118"/>
        <v>1981</v>
      </c>
      <c r="F2502" s="17" t="s">
        <v>4813</v>
      </c>
      <c r="G2502" s="17">
        <f>MATCH(E2502,Arenas!$F$8:$F$15)</f>
        <v>6</v>
      </c>
      <c r="H2502" s="29" t="s">
        <v>3872</v>
      </c>
      <c r="I2502" s="33" t="s">
        <v>9658</v>
      </c>
      <c r="J2502" s="47" t="s">
        <v>9659</v>
      </c>
      <c r="K2502" s="61" t="s">
        <v>4806</v>
      </c>
      <c r="L2502" s="12" t="str">
        <f t="shared" si="117"/>
        <v>3,3,3</v>
      </c>
    </row>
    <row r="2503" spans="2:12">
      <c r="B2503" s="17">
        <v>2802</v>
      </c>
      <c r="C2503" s="17">
        <v>3</v>
      </c>
      <c r="D2503" s="17">
        <f t="shared" si="119"/>
        <v>0</v>
      </c>
      <c r="E2503" s="17">
        <f t="shared" si="118"/>
        <v>1981</v>
      </c>
      <c r="F2503" s="17" t="s">
        <v>4813</v>
      </c>
      <c r="G2503" s="17">
        <f>MATCH(E2503,Arenas!$F$8:$F$15)</f>
        <v>6</v>
      </c>
      <c r="H2503" s="29" t="s">
        <v>3873</v>
      </c>
      <c r="I2503" s="33" t="s">
        <v>9660</v>
      </c>
      <c r="J2503" s="47" t="s">
        <v>9661</v>
      </c>
      <c r="K2503" s="61" t="s">
        <v>4779</v>
      </c>
      <c r="L2503" s="12" t="str">
        <f t="shared" si="117"/>
        <v>3,3,3</v>
      </c>
    </row>
    <row r="2504" spans="2:12">
      <c r="B2504" s="17">
        <v>2803</v>
      </c>
      <c r="C2504" s="17">
        <v>3</v>
      </c>
      <c r="D2504" s="17">
        <f t="shared" si="119"/>
        <v>1</v>
      </c>
      <c r="E2504" s="17">
        <f t="shared" si="118"/>
        <v>1982</v>
      </c>
      <c r="F2504" s="17" t="s">
        <v>4813</v>
      </c>
      <c r="G2504" s="17">
        <f>MATCH(E2504,Arenas!$F$8:$F$15)</f>
        <v>6</v>
      </c>
      <c r="H2504" s="29" t="s">
        <v>3874</v>
      </c>
      <c r="I2504" s="33" t="s">
        <v>9662</v>
      </c>
      <c r="J2504" s="47" t="s">
        <v>9663</v>
      </c>
      <c r="K2504" s="61" t="s">
        <v>4779</v>
      </c>
      <c r="L2504" s="12" t="str">
        <f t="shared" si="117"/>
        <v>3,3,3</v>
      </c>
    </row>
    <row r="2505" spans="2:12">
      <c r="B2505" s="17">
        <v>2804</v>
      </c>
      <c r="C2505" s="17">
        <v>3</v>
      </c>
      <c r="D2505" s="17">
        <f t="shared" si="119"/>
        <v>0</v>
      </c>
      <c r="E2505" s="17">
        <f t="shared" si="118"/>
        <v>1982</v>
      </c>
      <c r="F2505" s="17" t="s">
        <v>4813</v>
      </c>
      <c r="G2505" s="17">
        <f>MATCH(E2505,Arenas!$F$8:$F$15)</f>
        <v>6</v>
      </c>
      <c r="H2505" s="29" t="s">
        <v>3875</v>
      </c>
      <c r="I2505" s="33" t="s">
        <v>9664</v>
      </c>
      <c r="J2505" s="47" t="s">
        <v>9665</v>
      </c>
      <c r="K2505" s="61" t="s">
        <v>4779</v>
      </c>
      <c r="L2505" s="12" t="str">
        <f t="shared" si="117"/>
        <v>3,3,3</v>
      </c>
    </row>
    <row r="2506" spans="2:12">
      <c r="B2506" s="17">
        <v>2805</v>
      </c>
      <c r="C2506" s="17">
        <v>3</v>
      </c>
      <c r="D2506" s="17">
        <f t="shared" si="119"/>
        <v>0</v>
      </c>
      <c r="E2506" s="17">
        <f t="shared" si="118"/>
        <v>1982</v>
      </c>
      <c r="F2506" s="17" t="s">
        <v>4813</v>
      </c>
      <c r="G2506" s="17">
        <f>MATCH(E2506,Arenas!$F$8:$F$15)</f>
        <v>6</v>
      </c>
      <c r="H2506" s="29" t="s">
        <v>3876</v>
      </c>
      <c r="I2506" s="33" t="s">
        <v>9666</v>
      </c>
      <c r="J2506" s="47" t="s">
        <v>9667</v>
      </c>
      <c r="K2506" s="61" t="s">
        <v>4779</v>
      </c>
      <c r="L2506" s="12" t="str">
        <f t="shared" si="117"/>
        <v>3,3,3</v>
      </c>
    </row>
    <row r="2507" spans="2:12">
      <c r="B2507" s="17">
        <v>2806</v>
      </c>
      <c r="C2507" s="17">
        <v>3</v>
      </c>
      <c r="D2507" s="17">
        <f t="shared" si="119"/>
        <v>1</v>
      </c>
      <c r="E2507" s="17">
        <f t="shared" si="118"/>
        <v>1983</v>
      </c>
      <c r="F2507" s="17" t="s">
        <v>4813</v>
      </c>
      <c r="G2507" s="17">
        <f>MATCH(E2507,Arenas!$F$8:$F$15)</f>
        <v>6</v>
      </c>
      <c r="H2507" s="29" t="s">
        <v>3877</v>
      </c>
      <c r="I2507" s="33" t="s">
        <v>9668</v>
      </c>
      <c r="J2507" s="47" t="s">
        <v>5379</v>
      </c>
      <c r="K2507" s="61" t="s">
        <v>4779</v>
      </c>
      <c r="L2507" s="12" t="str">
        <f t="shared" si="117"/>
        <v>3,3,3</v>
      </c>
    </row>
    <row r="2508" spans="2:12">
      <c r="B2508" s="17">
        <v>2807</v>
      </c>
      <c r="C2508" s="17">
        <v>3</v>
      </c>
      <c r="D2508" s="17">
        <f t="shared" si="119"/>
        <v>0</v>
      </c>
      <c r="E2508" s="17">
        <f t="shared" si="118"/>
        <v>1983</v>
      </c>
      <c r="F2508" s="17" t="s">
        <v>4813</v>
      </c>
      <c r="G2508" s="17">
        <f>MATCH(E2508,Arenas!$F$8:$F$15)</f>
        <v>6</v>
      </c>
      <c r="H2508" s="29" t="s">
        <v>3878</v>
      </c>
      <c r="I2508" s="33" t="s">
        <v>9669</v>
      </c>
      <c r="J2508" s="47" t="s">
        <v>9670</v>
      </c>
      <c r="K2508" s="61" t="s">
        <v>4810</v>
      </c>
      <c r="L2508" s="12" t="str">
        <f t="shared" si="117"/>
        <v>3,3,3</v>
      </c>
    </row>
    <row r="2509" spans="2:12">
      <c r="B2509" s="17">
        <v>2808</v>
      </c>
      <c r="C2509" s="17">
        <v>3</v>
      </c>
      <c r="D2509" s="17">
        <f t="shared" si="119"/>
        <v>0</v>
      </c>
      <c r="E2509" s="17">
        <f t="shared" si="118"/>
        <v>1983</v>
      </c>
      <c r="F2509" s="17" t="s">
        <v>4813</v>
      </c>
      <c r="G2509" s="17">
        <f>MATCH(E2509,Arenas!$F$8:$F$15)</f>
        <v>6</v>
      </c>
      <c r="H2509" s="29" t="s">
        <v>3879</v>
      </c>
      <c r="I2509" s="33" t="s">
        <v>9671</v>
      </c>
      <c r="J2509" s="47" t="s">
        <v>9672</v>
      </c>
      <c r="K2509" s="61" t="s">
        <v>4779</v>
      </c>
      <c r="L2509" s="12" t="str">
        <f t="shared" si="117"/>
        <v>3,3,3</v>
      </c>
    </row>
    <row r="2510" spans="2:12">
      <c r="B2510" s="17">
        <v>2809</v>
      </c>
      <c r="C2510" s="17">
        <v>3</v>
      </c>
      <c r="D2510" s="17">
        <f t="shared" si="119"/>
        <v>1</v>
      </c>
      <c r="E2510" s="17">
        <f t="shared" si="118"/>
        <v>1984</v>
      </c>
      <c r="F2510" s="17" t="s">
        <v>4813</v>
      </c>
      <c r="G2510" s="17">
        <f>MATCH(E2510,Arenas!$F$8:$F$15)</f>
        <v>6</v>
      </c>
      <c r="H2510" s="29" t="s">
        <v>3880</v>
      </c>
      <c r="I2510" s="33" t="s">
        <v>9673</v>
      </c>
      <c r="J2510" s="47" t="s">
        <v>5903</v>
      </c>
      <c r="K2510" s="61" t="s">
        <v>4779</v>
      </c>
      <c r="L2510" s="12" t="str">
        <f t="shared" si="117"/>
        <v>3,3,3</v>
      </c>
    </row>
    <row r="2511" spans="2:12">
      <c r="B2511" s="17">
        <v>2810</v>
      </c>
      <c r="C2511" s="17">
        <v>3</v>
      </c>
      <c r="D2511" s="17">
        <f t="shared" si="119"/>
        <v>0</v>
      </c>
      <c r="E2511" s="17">
        <f t="shared" si="118"/>
        <v>1984</v>
      </c>
      <c r="F2511" s="17" t="s">
        <v>4813</v>
      </c>
      <c r="G2511" s="17">
        <f>MATCH(E2511,Arenas!$F$8:$F$15)</f>
        <v>6</v>
      </c>
      <c r="H2511" s="29" t="s">
        <v>3881</v>
      </c>
      <c r="I2511" s="33" t="s">
        <v>9674</v>
      </c>
      <c r="J2511" s="47" t="s">
        <v>9675</v>
      </c>
      <c r="K2511" s="61" t="s">
        <v>4779</v>
      </c>
      <c r="L2511" s="12" t="str">
        <f t="shared" si="117"/>
        <v>3,3,3</v>
      </c>
    </row>
    <row r="2512" spans="2:12">
      <c r="B2512" s="17">
        <v>2811</v>
      </c>
      <c r="C2512" s="17">
        <v>3</v>
      </c>
      <c r="D2512" s="17">
        <f t="shared" si="119"/>
        <v>0</v>
      </c>
      <c r="E2512" s="17">
        <f t="shared" si="118"/>
        <v>1984</v>
      </c>
      <c r="F2512" s="17" t="s">
        <v>4813</v>
      </c>
      <c r="G2512" s="17">
        <f>MATCH(E2512,Arenas!$F$8:$F$15)</f>
        <v>6</v>
      </c>
      <c r="H2512" s="29" t="s">
        <v>3882</v>
      </c>
      <c r="I2512" s="33" t="s">
        <v>9676</v>
      </c>
      <c r="J2512" s="47" t="s">
        <v>9677</v>
      </c>
      <c r="K2512" s="61" t="s">
        <v>4779</v>
      </c>
      <c r="L2512" s="12" t="str">
        <f t="shared" si="117"/>
        <v>3,3,3</v>
      </c>
    </row>
    <row r="2513" spans="2:12">
      <c r="B2513" s="17">
        <v>2812</v>
      </c>
      <c r="C2513" s="17">
        <v>3</v>
      </c>
      <c r="D2513" s="17">
        <f t="shared" si="119"/>
        <v>1</v>
      </c>
      <c r="E2513" s="17">
        <f t="shared" si="118"/>
        <v>1985</v>
      </c>
      <c r="F2513" s="17" t="s">
        <v>4813</v>
      </c>
      <c r="G2513" s="17">
        <f>MATCH(E2513,Arenas!$F$8:$F$15)</f>
        <v>6</v>
      </c>
      <c r="H2513" s="29" t="s">
        <v>3883</v>
      </c>
      <c r="I2513" s="33" t="s">
        <v>9678</v>
      </c>
      <c r="J2513" s="47" t="s">
        <v>9679</v>
      </c>
      <c r="K2513" s="61" t="s">
        <v>4779</v>
      </c>
      <c r="L2513" s="12" t="str">
        <f t="shared" si="117"/>
        <v>3,3,3</v>
      </c>
    </row>
    <row r="2514" spans="2:12">
      <c r="B2514" s="17">
        <v>2813</v>
      </c>
      <c r="C2514" s="17">
        <v>3</v>
      </c>
      <c r="D2514" s="17">
        <f t="shared" si="119"/>
        <v>0</v>
      </c>
      <c r="E2514" s="17">
        <f t="shared" si="118"/>
        <v>1985</v>
      </c>
      <c r="F2514" s="17" t="s">
        <v>4813</v>
      </c>
      <c r="G2514" s="17">
        <f>MATCH(E2514,Arenas!$F$8:$F$15)</f>
        <v>6</v>
      </c>
      <c r="H2514" s="29" t="s">
        <v>3884</v>
      </c>
      <c r="I2514" s="33" t="s">
        <v>9680</v>
      </c>
      <c r="J2514" s="47" t="s">
        <v>9681</v>
      </c>
      <c r="K2514" s="61" t="s">
        <v>4779</v>
      </c>
      <c r="L2514" s="12" t="str">
        <f t="shared" si="117"/>
        <v>3,3,3</v>
      </c>
    </row>
    <row r="2515" spans="2:12">
      <c r="B2515" s="17">
        <v>2814</v>
      </c>
      <c r="C2515" s="17">
        <v>3</v>
      </c>
      <c r="D2515" s="17">
        <f t="shared" si="119"/>
        <v>0</v>
      </c>
      <c r="E2515" s="17">
        <f t="shared" si="118"/>
        <v>1985</v>
      </c>
      <c r="F2515" s="17" t="s">
        <v>4813</v>
      </c>
      <c r="G2515" s="17">
        <f>MATCH(E2515,Arenas!$F$8:$F$15)</f>
        <v>6</v>
      </c>
      <c r="H2515" s="29" t="s">
        <v>3885</v>
      </c>
      <c r="I2515" s="33" t="s">
        <v>9682</v>
      </c>
      <c r="J2515" s="47" t="s">
        <v>9683</v>
      </c>
      <c r="K2515" s="61" t="s">
        <v>4779</v>
      </c>
      <c r="L2515" s="12" t="str">
        <f t="shared" si="117"/>
        <v>3,3,3</v>
      </c>
    </row>
    <row r="2516" spans="2:12">
      <c r="B2516" s="17">
        <v>2815</v>
      </c>
      <c r="C2516" s="17">
        <v>3</v>
      </c>
      <c r="D2516" s="17">
        <f t="shared" si="119"/>
        <v>1</v>
      </c>
      <c r="E2516" s="17">
        <f t="shared" si="118"/>
        <v>1986</v>
      </c>
      <c r="F2516" s="17" t="s">
        <v>4813</v>
      </c>
      <c r="G2516" s="17">
        <f>MATCH(E2516,Arenas!$F$8:$F$15)</f>
        <v>6</v>
      </c>
      <c r="H2516" s="29" t="s">
        <v>3886</v>
      </c>
      <c r="I2516" s="33" t="s">
        <v>9684</v>
      </c>
      <c r="J2516" s="47" t="s">
        <v>9685</v>
      </c>
      <c r="K2516" s="61" t="s">
        <v>4779</v>
      </c>
      <c r="L2516" s="12" t="str">
        <f t="shared" si="117"/>
        <v>3,3,3</v>
      </c>
    </row>
    <row r="2517" spans="2:12">
      <c r="B2517" s="17">
        <v>2816</v>
      </c>
      <c r="C2517" s="17">
        <v>3</v>
      </c>
      <c r="D2517" s="17">
        <f t="shared" si="119"/>
        <v>0</v>
      </c>
      <c r="E2517" s="17">
        <f t="shared" si="118"/>
        <v>1986</v>
      </c>
      <c r="F2517" s="17" t="s">
        <v>4813</v>
      </c>
      <c r="G2517" s="17">
        <f>MATCH(E2517,Arenas!$F$8:$F$15)</f>
        <v>6</v>
      </c>
      <c r="H2517" s="29" t="s">
        <v>3887</v>
      </c>
      <c r="I2517" s="33" t="s">
        <v>9686</v>
      </c>
      <c r="J2517" s="47" t="s">
        <v>5904</v>
      </c>
      <c r="K2517" s="61" t="s">
        <v>4810</v>
      </c>
      <c r="L2517" s="12" t="str">
        <f t="shared" si="117"/>
        <v>3,3,3</v>
      </c>
    </row>
    <row r="2518" spans="2:12">
      <c r="B2518" s="17">
        <v>2817</v>
      </c>
      <c r="C2518" s="17">
        <v>3</v>
      </c>
      <c r="D2518" s="17">
        <f t="shared" si="119"/>
        <v>0</v>
      </c>
      <c r="E2518" s="17">
        <f t="shared" si="118"/>
        <v>1986</v>
      </c>
      <c r="F2518" s="17" t="s">
        <v>4813</v>
      </c>
      <c r="G2518" s="17">
        <f>MATCH(E2518,Arenas!$F$8:$F$15)</f>
        <v>6</v>
      </c>
      <c r="H2518" s="29" t="s">
        <v>3888</v>
      </c>
      <c r="I2518" s="33" t="s">
        <v>9687</v>
      </c>
      <c r="J2518" s="47" t="s">
        <v>5171</v>
      </c>
      <c r="K2518" s="61" t="s">
        <v>4779</v>
      </c>
      <c r="L2518" s="12" t="str">
        <f t="shared" si="117"/>
        <v>3,3,3</v>
      </c>
    </row>
    <row r="2519" spans="2:12">
      <c r="B2519" s="17">
        <v>2818</v>
      </c>
      <c r="C2519" s="17">
        <v>3</v>
      </c>
      <c r="D2519" s="17">
        <f t="shared" si="119"/>
        <v>1</v>
      </c>
      <c r="E2519" s="17">
        <f t="shared" si="118"/>
        <v>1987</v>
      </c>
      <c r="F2519" s="17" t="s">
        <v>4813</v>
      </c>
      <c r="G2519" s="17">
        <f>MATCH(E2519,Arenas!$F$8:$F$15)</f>
        <v>6</v>
      </c>
      <c r="H2519" s="29" t="s">
        <v>3889</v>
      </c>
      <c r="I2519" s="33" t="s">
        <v>9688</v>
      </c>
      <c r="J2519" s="47" t="s">
        <v>9689</v>
      </c>
      <c r="K2519" s="61" t="s">
        <v>4779</v>
      </c>
      <c r="L2519" s="12" t="str">
        <f t="shared" si="117"/>
        <v>3,3,3</v>
      </c>
    </row>
    <row r="2520" spans="2:12">
      <c r="B2520" s="17">
        <v>2819</v>
      </c>
      <c r="C2520" s="17">
        <v>3</v>
      </c>
      <c r="D2520" s="17">
        <f t="shared" si="119"/>
        <v>0</v>
      </c>
      <c r="E2520" s="17">
        <f t="shared" si="118"/>
        <v>1987</v>
      </c>
      <c r="F2520" s="17" t="s">
        <v>4813</v>
      </c>
      <c r="G2520" s="17">
        <f>MATCH(E2520,Arenas!$F$8:$F$15)</f>
        <v>6</v>
      </c>
      <c r="H2520" s="29" t="s">
        <v>3890</v>
      </c>
      <c r="I2520" s="33" t="s">
        <v>9690</v>
      </c>
      <c r="J2520" s="47" t="s">
        <v>9691</v>
      </c>
      <c r="K2520" s="61" t="s">
        <v>4779</v>
      </c>
      <c r="L2520" s="12" t="str">
        <f t="shared" si="117"/>
        <v>3,3,3</v>
      </c>
    </row>
    <row r="2521" spans="2:12">
      <c r="B2521" s="17">
        <v>2820</v>
      </c>
      <c r="C2521" s="17">
        <v>3</v>
      </c>
      <c r="D2521" s="17">
        <f t="shared" si="119"/>
        <v>0</v>
      </c>
      <c r="E2521" s="17">
        <f t="shared" si="118"/>
        <v>1987</v>
      </c>
      <c r="F2521" s="17" t="s">
        <v>4813</v>
      </c>
      <c r="G2521" s="17">
        <f>MATCH(E2521,Arenas!$F$8:$F$15)</f>
        <v>6</v>
      </c>
      <c r="H2521" s="29" t="s">
        <v>3891</v>
      </c>
      <c r="I2521" s="33" t="s">
        <v>9692</v>
      </c>
      <c r="J2521" s="47" t="s">
        <v>9693</v>
      </c>
      <c r="K2521" s="61" t="s">
        <v>4779</v>
      </c>
      <c r="L2521" s="12" t="str">
        <f t="shared" si="117"/>
        <v>3,3,3</v>
      </c>
    </row>
    <row r="2522" spans="2:12">
      <c r="B2522" s="17">
        <v>2821</v>
      </c>
      <c r="C2522" s="17">
        <v>3</v>
      </c>
      <c r="D2522" s="17">
        <f t="shared" si="119"/>
        <v>1</v>
      </c>
      <c r="E2522" s="17">
        <f t="shared" si="118"/>
        <v>1988</v>
      </c>
      <c r="F2522" s="17" t="s">
        <v>4813</v>
      </c>
      <c r="G2522" s="17">
        <f>MATCH(E2522,Arenas!$F$8:$F$15)</f>
        <v>6</v>
      </c>
      <c r="H2522" s="29" t="s">
        <v>3892</v>
      </c>
      <c r="I2522" s="33" t="s">
        <v>9694</v>
      </c>
      <c r="J2522" s="47" t="s">
        <v>9695</v>
      </c>
      <c r="K2522" s="61" t="s">
        <v>4779</v>
      </c>
      <c r="L2522" s="12" t="str">
        <f t="shared" si="117"/>
        <v>3,3,3</v>
      </c>
    </row>
    <row r="2523" spans="2:12">
      <c r="B2523" s="17">
        <v>2822</v>
      </c>
      <c r="C2523" s="17">
        <v>3</v>
      </c>
      <c r="D2523" s="17">
        <f t="shared" si="119"/>
        <v>0</v>
      </c>
      <c r="E2523" s="17">
        <f t="shared" si="118"/>
        <v>1988</v>
      </c>
      <c r="F2523" s="17" t="s">
        <v>4813</v>
      </c>
      <c r="G2523" s="17">
        <f>MATCH(E2523,Arenas!$F$8:$F$15)</f>
        <v>6</v>
      </c>
      <c r="H2523" s="29" t="s">
        <v>3893</v>
      </c>
      <c r="I2523" s="33" t="s">
        <v>9696</v>
      </c>
      <c r="J2523" s="47" t="s">
        <v>9697</v>
      </c>
      <c r="K2523" s="61" t="s">
        <v>4779</v>
      </c>
      <c r="L2523" s="12" t="str">
        <f t="shared" si="117"/>
        <v>3,3,3</v>
      </c>
    </row>
    <row r="2524" spans="2:12">
      <c r="B2524" s="17">
        <v>2823</v>
      </c>
      <c r="C2524" s="17">
        <v>3</v>
      </c>
      <c r="D2524" s="17">
        <f t="shared" si="119"/>
        <v>0</v>
      </c>
      <c r="E2524" s="17">
        <f t="shared" si="118"/>
        <v>1988</v>
      </c>
      <c r="F2524" s="17" t="s">
        <v>4813</v>
      </c>
      <c r="G2524" s="17">
        <f>MATCH(E2524,Arenas!$F$8:$F$15)</f>
        <v>6</v>
      </c>
      <c r="H2524" s="29" t="s">
        <v>3894</v>
      </c>
      <c r="I2524" s="33" t="s">
        <v>9698</v>
      </c>
      <c r="J2524" s="47" t="s">
        <v>9699</v>
      </c>
      <c r="K2524" s="61" t="s">
        <v>4779</v>
      </c>
      <c r="L2524" s="12" t="str">
        <f t="shared" si="117"/>
        <v>3,3,3</v>
      </c>
    </row>
    <row r="2525" spans="2:12">
      <c r="B2525" s="17">
        <v>2824</v>
      </c>
      <c r="C2525" s="17">
        <v>3</v>
      </c>
      <c r="D2525" s="17">
        <f t="shared" si="119"/>
        <v>1</v>
      </c>
      <c r="E2525" s="17">
        <f t="shared" si="118"/>
        <v>1989</v>
      </c>
      <c r="F2525" s="17" t="s">
        <v>4813</v>
      </c>
      <c r="G2525" s="17">
        <f>MATCH(E2525,Arenas!$F$8:$F$15)</f>
        <v>6</v>
      </c>
      <c r="H2525" s="29" t="s">
        <v>3895</v>
      </c>
      <c r="I2525" s="33" t="s">
        <v>9700</v>
      </c>
      <c r="J2525" s="47" t="s">
        <v>9701</v>
      </c>
      <c r="K2525" s="61" t="s">
        <v>4779</v>
      </c>
      <c r="L2525" s="12" t="str">
        <f t="shared" si="117"/>
        <v>3,3,3</v>
      </c>
    </row>
    <row r="2526" spans="2:12">
      <c r="B2526" s="17">
        <v>2825</v>
      </c>
      <c r="C2526" s="17">
        <v>3</v>
      </c>
      <c r="D2526" s="17">
        <f t="shared" si="119"/>
        <v>0</v>
      </c>
      <c r="E2526" s="17">
        <f t="shared" si="118"/>
        <v>1989</v>
      </c>
      <c r="F2526" s="17" t="s">
        <v>4813</v>
      </c>
      <c r="G2526" s="17">
        <f>MATCH(E2526,Arenas!$F$8:$F$15)</f>
        <v>6</v>
      </c>
      <c r="H2526" s="29" t="s">
        <v>3896</v>
      </c>
      <c r="I2526" s="33" t="s">
        <v>9702</v>
      </c>
      <c r="J2526" s="47" t="s">
        <v>5166</v>
      </c>
      <c r="K2526" s="61" t="s">
        <v>4779</v>
      </c>
      <c r="L2526" s="12" t="str">
        <f t="shared" si="117"/>
        <v>3,3,3</v>
      </c>
    </row>
    <row r="2527" spans="2:12">
      <c r="B2527" s="17">
        <v>2826</v>
      </c>
      <c r="C2527" s="17">
        <v>3</v>
      </c>
      <c r="D2527" s="17">
        <f t="shared" si="119"/>
        <v>0</v>
      </c>
      <c r="E2527" s="17">
        <f t="shared" si="118"/>
        <v>1989</v>
      </c>
      <c r="F2527" s="17" t="s">
        <v>4813</v>
      </c>
      <c r="G2527" s="17">
        <f>MATCH(E2527,Arenas!$F$8:$F$15)</f>
        <v>6</v>
      </c>
      <c r="H2527" s="29" t="s">
        <v>3897</v>
      </c>
      <c r="I2527" s="33" t="s">
        <v>9703</v>
      </c>
      <c r="J2527" s="47" t="s">
        <v>9704</v>
      </c>
      <c r="K2527" s="61" t="s">
        <v>4808</v>
      </c>
      <c r="L2527" s="12" t="str">
        <f t="shared" si="117"/>
        <v>3,3,3</v>
      </c>
    </row>
    <row r="2528" spans="2:12">
      <c r="B2528" s="17">
        <v>2827</v>
      </c>
      <c r="C2528" s="17">
        <v>3</v>
      </c>
      <c r="D2528" s="17">
        <f t="shared" si="119"/>
        <v>1</v>
      </c>
      <c r="E2528" s="17">
        <f t="shared" si="118"/>
        <v>1990</v>
      </c>
      <c r="F2528" s="17" t="s">
        <v>4813</v>
      </c>
      <c r="G2528" s="17">
        <f>MATCH(E2528,Arenas!$F$8:$F$15)</f>
        <v>6</v>
      </c>
      <c r="H2528" s="29" t="s">
        <v>3898</v>
      </c>
      <c r="I2528" s="33" t="s">
        <v>9705</v>
      </c>
      <c r="J2528" s="47" t="s">
        <v>9706</v>
      </c>
      <c r="K2528" s="61" t="s">
        <v>4779</v>
      </c>
      <c r="L2528" s="12" t="str">
        <f t="shared" si="117"/>
        <v>3,3,3</v>
      </c>
    </row>
    <row r="2529" spans="2:12">
      <c r="B2529" s="17">
        <v>2828</v>
      </c>
      <c r="C2529" s="17">
        <v>3</v>
      </c>
      <c r="D2529" s="17">
        <f t="shared" si="119"/>
        <v>0</v>
      </c>
      <c r="E2529" s="17">
        <f t="shared" si="118"/>
        <v>1990</v>
      </c>
      <c r="F2529" s="17" t="s">
        <v>4813</v>
      </c>
      <c r="G2529" s="17">
        <f>MATCH(E2529,Arenas!$F$8:$F$15)</f>
        <v>6</v>
      </c>
      <c r="H2529" s="29" t="s">
        <v>3899</v>
      </c>
      <c r="I2529" s="33" t="s">
        <v>9707</v>
      </c>
      <c r="J2529" s="47" t="s">
        <v>5809</v>
      </c>
      <c r="K2529" s="61" t="s">
        <v>4779</v>
      </c>
      <c r="L2529" s="12" t="str">
        <f t="shared" si="117"/>
        <v>3,3,3</v>
      </c>
    </row>
    <row r="2530" spans="2:12">
      <c r="B2530" s="17">
        <v>2829</v>
      </c>
      <c r="C2530" s="17">
        <v>3</v>
      </c>
      <c r="D2530" s="17">
        <f t="shared" si="119"/>
        <v>0</v>
      </c>
      <c r="E2530" s="17">
        <f t="shared" si="118"/>
        <v>1990</v>
      </c>
      <c r="F2530" s="17" t="s">
        <v>4813</v>
      </c>
      <c r="G2530" s="17">
        <f>MATCH(E2530,Arenas!$F$8:$F$15)</f>
        <v>6</v>
      </c>
      <c r="H2530" s="29" t="s">
        <v>3900</v>
      </c>
      <c r="I2530" s="33" t="s">
        <v>9708</v>
      </c>
      <c r="J2530" s="47" t="s">
        <v>9709</v>
      </c>
      <c r="K2530" s="61" t="s">
        <v>4809</v>
      </c>
      <c r="L2530" s="12" t="str">
        <f t="shared" si="117"/>
        <v>3,3,3</v>
      </c>
    </row>
    <row r="2531" spans="2:12">
      <c r="B2531" s="17">
        <v>2830</v>
      </c>
      <c r="C2531" s="17">
        <v>3</v>
      </c>
      <c r="D2531" s="17">
        <f t="shared" si="119"/>
        <v>1</v>
      </c>
      <c r="E2531" s="17">
        <f t="shared" si="118"/>
        <v>1991</v>
      </c>
      <c r="F2531" s="17" t="s">
        <v>4813</v>
      </c>
      <c r="G2531" s="17">
        <f>MATCH(E2531,Arenas!$F$8:$F$15)</f>
        <v>6</v>
      </c>
      <c r="H2531" s="29" t="s">
        <v>3901</v>
      </c>
      <c r="I2531" s="33" t="s">
        <v>9710</v>
      </c>
      <c r="J2531" s="47" t="s">
        <v>9711</v>
      </c>
      <c r="K2531" s="61" t="s">
        <v>4779</v>
      </c>
      <c r="L2531" s="12" t="str">
        <f t="shared" si="117"/>
        <v>3,3,3</v>
      </c>
    </row>
    <row r="2532" spans="2:12">
      <c r="B2532" s="17">
        <v>2831</v>
      </c>
      <c r="C2532" s="17">
        <v>3</v>
      </c>
      <c r="D2532" s="17">
        <f t="shared" si="119"/>
        <v>0</v>
      </c>
      <c r="E2532" s="17">
        <f t="shared" si="118"/>
        <v>1991</v>
      </c>
      <c r="F2532" s="17" t="s">
        <v>4813</v>
      </c>
      <c r="G2532" s="17">
        <f>MATCH(E2532,Arenas!$F$8:$F$15)</f>
        <v>6</v>
      </c>
      <c r="H2532" s="29" t="s">
        <v>3902</v>
      </c>
      <c r="I2532" s="33" t="s">
        <v>9712</v>
      </c>
      <c r="J2532" s="47" t="s">
        <v>9713</v>
      </c>
      <c r="K2532" s="61" t="s">
        <v>4779</v>
      </c>
      <c r="L2532" s="12" t="str">
        <f t="shared" si="117"/>
        <v>3,3,3</v>
      </c>
    </row>
    <row r="2533" spans="2:12">
      <c r="B2533" s="17">
        <v>2832</v>
      </c>
      <c r="C2533" s="17">
        <v>3</v>
      </c>
      <c r="D2533" s="17">
        <f t="shared" si="119"/>
        <v>0</v>
      </c>
      <c r="E2533" s="17">
        <f t="shared" si="118"/>
        <v>1991</v>
      </c>
      <c r="F2533" s="17" t="s">
        <v>4813</v>
      </c>
      <c r="G2533" s="17">
        <f>MATCH(E2533,Arenas!$F$8:$F$15)</f>
        <v>6</v>
      </c>
      <c r="H2533" s="29" t="s">
        <v>3903</v>
      </c>
      <c r="I2533" s="33" t="s">
        <v>9714</v>
      </c>
      <c r="J2533" s="47" t="s">
        <v>4725</v>
      </c>
      <c r="K2533" s="61" t="s">
        <v>4809</v>
      </c>
      <c r="L2533" s="12" t="str">
        <f t="shared" si="117"/>
        <v>3,3,3</v>
      </c>
    </row>
    <row r="2534" spans="2:12">
      <c r="B2534" s="17">
        <v>2833</v>
      </c>
      <c r="C2534" s="17">
        <v>3</v>
      </c>
      <c r="D2534" s="17">
        <f t="shared" si="119"/>
        <v>1</v>
      </c>
      <c r="E2534" s="17">
        <f t="shared" si="118"/>
        <v>1992</v>
      </c>
      <c r="F2534" s="17" t="s">
        <v>4813</v>
      </c>
      <c r="G2534" s="17">
        <f>MATCH(E2534,Arenas!$F$8:$F$15)</f>
        <v>6</v>
      </c>
      <c r="H2534" s="29" t="s">
        <v>3904</v>
      </c>
      <c r="I2534" s="33" t="s">
        <v>9715</v>
      </c>
      <c r="J2534" s="47" t="s">
        <v>9716</v>
      </c>
      <c r="K2534" s="61" t="s">
        <v>4779</v>
      </c>
      <c r="L2534" s="12" t="str">
        <f t="shared" si="117"/>
        <v>3,3,3</v>
      </c>
    </row>
    <row r="2535" spans="2:12">
      <c r="B2535" s="17">
        <v>2834</v>
      </c>
      <c r="C2535" s="17">
        <v>3</v>
      </c>
      <c r="D2535" s="17">
        <f t="shared" si="119"/>
        <v>0</v>
      </c>
      <c r="E2535" s="17">
        <f t="shared" si="118"/>
        <v>1992</v>
      </c>
      <c r="F2535" s="17" t="s">
        <v>4813</v>
      </c>
      <c r="G2535" s="17">
        <f>MATCH(E2535,Arenas!$F$8:$F$15)</f>
        <v>6</v>
      </c>
      <c r="H2535" s="29" t="s">
        <v>3905</v>
      </c>
      <c r="I2535" s="33" t="s">
        <v>9717</v>
      </c>
      <c r="J2535" s="47" t="s">
        <v>9718</v>
      </c>
      <c r="K2535" s="61" t="s">
        <v>4807</v>
      </c>
      <c r="L2535" s="12" t="str">
        <f t="shared" si="117"/>
        <v>3,3,3</v>
      </c>
    </row>
    <row r="2536" spans="2:12">
      <c r="B2536" s="17">
        <v>2835</v>
      </c>
      <c r="C2536" s="17">
        <v>3</v>
      </c>
      <c r="D2536" s="17">
        <f t="shared" si="119"/>
        <v>0</v>
      </c>
      <c r="E2536" s="17">
        <f t="shared" si="118"/>
        <v>1992</v>
      </c>
      <c r="F2536" s="17" t="s">
        <v>4813</v>
      </c>
      <c r="G2536" s="17">
        <f>MATCH(E2536,Arenas!$F$8:$F$15)</f>
        <v>6</v>
      </c>
      <c r="H2536" s="29" t="s">
        <v>3906</v>
      </c>
      <c r="I2536" s="33" t="s">
        <v>9719</v>
      </c>
      <c r="J2536" s="47" t="s">
        <v>9720</v>
      </c>
      <c r="K2536" s="61" t="s">
        <v>4779</v>
      </c>
      <c r="L2536" s="12" t="str">
        <f t="shared" si="117"/>
        <v>3,3,3</v>
      </c>
    </row>
    <row r="2537" spans="2:12">
      <c r="B2537" s="17">
        <v>2836</v>
      </c>
      <c r="C2537" s="17">
        <v>3</v>
      </c>
      <c r="D2537" s="17">
        <f t="shared" si="119"/>
        <v>1</v>
      </c>
      <c r="E2537" s="17">
        <f t="shared" si="118"/>
        <v>1993</v>
      </c>
      <c r="F2537" s="17" t="s">
        <v>4813</v>
      </c>
      <c r="G2537" s="17">
        <f>MATCH(E2537,Arenas!$F$8:$F$15)</f>
        <v>6</v>
      </c>
      <c r="H2537" s="29" t="s">
        <v>3907</v>
      </c>
      <c r="I2537" s="33" t="s">
        <v>9721</v>
      </c>
      <c r="J2537" s="47" t="s">
        <v>5167</v>
      </c>
      <c r="K2537" s="61" t="s">
        <v>4779</v>
      </c>
      <c r="L2537" s="12" t="str">
        <f t="shared" si="117"/>
        <v>3,3,3</v>
      </c>
    </row>
    <row r="2538" spans="2:12">
      <c r="B2538" s="17">
        <v>2837</v>
      </c>
      <c r="C2538" s="17">
        <v>3</v>
      </c>
      <c r="D2538" s="17">
        <f t="shared" si="119"/>
        <v>0</v>
      </c>
      <c r="E2538" s="17">
        <f t="shared" si="118"/>
        <v>1993</v>
      </c>
      <c r="F2538" s="17" t="s">
        <v>4813</v>
      </c>
      <c r="G2538" s="17">
        <f>MATCH(E2538,Arenas!$F$8:$F$15)</f>
        <v>6</v>
      </c>
      <c r="H2538" s="29" t="s">
        <v>3908</v>
      </c>
      <c r="I2538" s="33" t="s">
        <v>9722</v>
      </c>
      <c r="J2538" s="47" t="s">
        <v>9723</v>
      </c>
      <c r="K2538" s="61" t="s">
        <v>4779</v>
      </c>
      <c r="L2538" s="12" t="str">
        <f t="shared" si="117"/>
        <v>3,3,3</v>
      </c>
    </row>
    <row r="2539" spans="2:12">
      <c r="B2539" s="17">
        <v>2838</v>
      </c>
      <c r="C2539" s="17">
        <v>3</v>
      </c>
      <c r="D2539" s="17">
        <f t="shared" si="119"/>
        <v>0</v>
      </c>
      <c r="E2539" s="17">
        <f t="shared" si="118"/>
        <v>1993</v>
      </c>
      <c r="F2539" s="17" t="s">
        <v>4813</v>
      </c>
      <c r="G2539" s="17">
        <f>MATCH(E2539,Arenas!$F$8:$F$15)</f>
        <v>6</v>
      </c>
      <c r="H2539" s="29" t="s">
        <v>3909</v>
      </c>
      <c r="I2539" s="33" t="s">
        <v>9724</v>
      </c>
      <c r="J2539" s="47" t="s">
        <v>9725</v>
      </c>
      <c r="K2539" s="61" t="s">
        <v>4779</v>
      </c>
      <c r="L2539" s="12" t="str">
        <f t="shared" si="117"/>
        <v>3,3,3</v>
      </c>
    </row>
    <row r="2540" spans="2:12">
      <c r="B2540" s="17">
        <v>2839</v>
      </c>
      <c r="C2540" s="17">
        <v>3</v>
      </c>
      <c r="D2540" s="17">
        <f t="shared" si="119"/>
        <v>1</v>
      </c>
      <c r="E2540" s="17">
        <f t="shared" si="118"/>
        <v>1994</v>
      </c>
      <c r="F2540" s="17" t="s">
        <v>4813</v>
      </c>
      <c r="G2540" s="17">
        <f>MATCH(E2540,Arenas!$F$8:$F$15)</f>
        <v>6</v>
      </c>
      <c r="H2540" s="29" t="s">
        <v>3910</v>
      </c>
      <c r="I2540" s="33" t="s">
        <v>9726</v>
      </c>
      <c r="J2540" s="47" t="s">
        <v>9727</v>
      </c>
      <c r="K2540" s="61" t="s">
        <v>4779</v>
      </c>
      <c r="L2540" s="12" t="str">
        <f t="shared" si="117"/>
        <v>3,3,3</v>
      </c>
    </row>
    <row r="2541" spans="2:12">
      <c r="B2541" s="17">
        <v>2840</v>
      </c>
      <c r="C2541" s="17">
        <v>3</v>
      </c>
      <c r="D2541" s="17">
        <f t="shared" si="119"/>
        <v>0</v>
      </c>
      <c r="E2541" s="17">
        <f t="shared" si="118"/>
        <v>1994</v>
      </c>
      <c r="F2541" s="17" t="s">
        <v>4813</v>
      </c>
      <c r="G2541" s="17">
        <f>MATCH(E2541,Arenas!$F$8:$F$15)</f>
        <v>6</v>
      </c>
      <c r="H2541" s="29" t="s">
        <v>3911</v>
      </c>
      <c r="I2541" s="33" t="s">
        <v>9728</v>
      </c>
      <c r="J2541" s="47" t="s">
        <v>9729</v>
      </c>
      <c r="K2541" s="61" t="s">
        <v>4779</v>
      </c>
      <c r="L2541" s="12" t="str">
        <f t="shared" si="117"/>
        <v>3,3,3</v>
      </c>
    </row>
    <row r="2542" spans="2:12">
      <c r="B2542" s="17">
        <v>2841</v>
      </c>
      <c r="C2542" s="17">
        <v>3</v>
      </c>
      <c r="D2542" s="17">
        <f t="shared" si="119"/>
        <v>0</v>
      </c>
      <c r="E2542" s="17">
        <f t="shared" si="118"/>
        <v>1994</v>
      </c>
      <c r="F2542" s="17" t="s">
        <v>4813</v>
      </c>
      <c r="G2542" s="17">
        <f>MATCH(E2542,Arenas!$F$8:$F$15)</f>
        <v>6</v>
      </c>
      <c r="H2542" s="29" t="s">
        <v>3912</v>
      </c>
      <c r="I2542" s="33" t="s">
        <v>9730</v>
      </c>
      <c r="J2542" s="47" t="s">
        <v>9731</v>
      </c>
      <c r="K2542" s="61" t="s">
        <v>4779</v>
      </c>
      <c r="L2542" s="12" t="str">
        <f t="shared" si="117"/>
        <v>3,3,3</v>
      </c>
    </row>
    <row r="2543" spans="2:12">
      <c r="B2543" s="17">
        <v>2842</v>
      </c>
      <c r="C2543" s="17">
        <v>3</v>
      </c>
      <c r="D2543" s="17">
        <f t="shared" si="119"/>
        <v>1</v>
      </c>
      <c r="E2543" s="17">
        <f t="shared" si="118"/>
        <v>1995</v>
      </c>
      <c r="F2543" s="17" t="s">
        <v>4813</v>
      </c>
      <c r="G2543" s="17">
        <f>MATCH(E2543,Arenas!$F$8:$F$15)</f>
        <v>6</v>
      </c>
      <c r="H2543" s="29" t="s">
        <v>3913</v>
      </c>
      <c r="I2543" s="33" t="s">
        <v>9732</v>
      </c>
      <c r="J2543" s="47" t="s">
        <v>9733</v>
      </c>
      <c r="K2543" s="61" t="s">
        <v>4779</v>
      </c>
      <c r="L2543" s="12" t="str">
        <f t="shared" si="117"/>
        <v>3,3,3</v>
      </c>
    </row>
    <row r="2544" spans="2:12">
      <c r="B2544" s="17">
        <v>2843</v>
      </c>
      <c r="C2544" s="17">
        <v>3</v>
      </c>
      <c r="D2544" s="17">
        <f t="shared" si="119"/>
        <v>0</v>
      </c>
      <c r="E2544" s="17">
        <f t="shared" si="118"/>
        <v>1995</v>
      </c>
      <c r="F2544" s="17" t="s">
        <v>4813</v>
      </c>
      <c r="G2544" s="17">
        <f>MATCH(E2544,Arenas!$F$8:$F$15)</f>
        <v>6</v>
      </c>
      <c r="H2544" s="29" t="s">
        <v>3914</v>
      </c>
      <c r="I2544" s="33" t="s">
        <v>9734</v>
      </c>
      <c r="J2544" s="47" t="s">
        <v>9735</v>
      </c>
      <c r="K2544" s="61" t="s">
        <v>4779</v>
      </c>
      <c r="L2544" s="12" t="str">
        <f t="shared" si="117"/>
        <v>3,3,3</v>
      </c>
    </row>
    <row r="2545" spans="2:12">
      <c r="B2545" s="17">
        <v>2844</v>
      </c>
      <c r="C2545" s="17">
        <v>3</v>
      </c>
      <c r="D2545" s="17">
        <f t="shared" si="119"/>
        <v>0</v>
      </c>
      <c r="E2545" s="17">
        <f t="shared" si="118"/>
        <v>1995</v>
      </c>
      <c r="F2545" s="17" t="s">
        <v>4813</v>
      </c>
      <c r="G2545" s="17">
        <f>MATCH(E2545,Arenas!$F$8:$F$15)</f>
        <v>6</v>
      </c>
      <c r="H2545" s="29" t="s">
        <v>3915</v>
      </c>
      <c r="I2545" s="33" t="s">
        <v>9736</v>
      </c>
      <c r="J2545" s="47" t="s">
        <v>9737</v>
      </c>
      <c r="K2545" s="61" t="s">
        <v>4779</v>
      </c>
      <c r="L2545" s="12" t="str">
        <f t="shared" si="117"/>
        <v>3,3,3</v>
      </c>
    </row>
    <row r="2546" spans="2:12">
      <c r="B2546" s="17">
        <v>2845</v>
      </c>
      <c r="C2546" s="17">
        <v>3</v>
      </c>
      <c r="D2546" s="17">
        <f t="shared" si="119"/>
        <v>1</v>
      </c>
      <c r="E2546" s="17">
        <f t="shared" si="118"/>
        <v>1996</v>
      </c>
      <c r="F2546" s="17" t="s">
        <v>4813</v>
      </c>
      <c r="G2546" s="17">
        <f>MATCH(E2546,Arenas!$F$8:$F$15)</f>
        <v>6</v>
      </c>
      <c r="H2546" s="29" t="s">
        <v>3916</v>
      </c>
      <c r="I2546" s="33" t="s">
        <v>9738</v>
      </c>
      <c r="J2546" s="47" t="s">
        <v>9739</v>
      </c>
      <c r="K2546" s="61" t="s">
        <v>4779</v>
      </c>
      <c r="L2546" s="12" t="str">
        <f t="shared" si="117"/>
        <v>3,3,3</v>
      </c>
    </row>
    <row r="2547" spans="2:12">
      <c r="B2547" s="17">
        <v>2846</v>
      </c>
      <c r="C2547" s="17">
        <v>3</v>
      </c>
      <c r="D2547" s="17">
        <f t="shared" si="119"/>
        <v>0</v>
      </c>
      <c r="E2547" s="17">
        <f t="shared" si="118"/>
        <v>1996</v>
      </c>
      <c r="F2547" s="17" t="s">
        <v>4813</v>
      </c>
      <c r="G2547" s="17">
        <f>MATCH(E2547,Arenas!$F$8:$F$15)</f>
        <v>6</v>
      </c>
      <c r="H2547" s="29" t="s">
        <v>3917</v>
      </c>
      <c r="I2547" s="33" t="s">
        <v>9740</v>
      </c>
      <c r="J2547" s="47" t="s">
        <v>9741</v>
      </c>
      <c r="K2547" s="61" t="s">
        <v>4779</v>
      </c>
      <c r="L2547" s="12" t="str">
        <f t="shared" si="117"/>
        <v>3,3,3</v>
      </c>
    </row>
    <row r="2548" spans="2:12">
      <c r="B2548" s="17">
        <v>2847</v>
      </c>
      <c r="C2548" s="17">
        <v>3</v>
      </c>
      <c r="D2548" s="17">
        <f t="shared" si="119"/>
        <v>0</v>
      </c>
      <c r="E2548" s="17">
        <f t="shared" si="118"/>
        <v>1996</v>
      </c>
      <c r="F2548" s="17" t="s">
        <v>4813</v>
      </c>
      <c r="G2548" s="17">
        <f>MATCH(E2548,Arenas!$F$8:$F$15)</f>
        <v>6</v>
      </c>
      <c r="H2548" s="29" t="s">
        <v>3918</v>
      </c>
      <c r="I2548" s="33" t="s">
        <v>9742</v>
      </c>
      <c r="J2548" s="47" t="s">
        <v>9743</v>
      </c>
      <c r="K2548" s="61" t="s">
        <v>4806</v>
      </c>
      <c r="L2548" s="12" t="str">
        <f t="shared" si="117"/>
        <v>3,3,3</v>
      </c>
    </row>
    <row r="2549" spans="2:12">
      <c r="B2549" s="17">
        <v>2848</v>
      </c>
      <c r="C2549" s="17">
        <v>3</v>
      </c>
      <c r="D2549" s="17">
        <f t="shared" si="119"/>
        <v>1</v>
      </c>
      <c r="E2549" s="17">
        <f t="shared" si="118"/>
        <v>1997</v>
      </c>
      <c r="F2549" s="17" t="s">
        <v>4813</v>
      </c>
      <c r="G2549" s="17">
        <f>MATCH(E2549,Arenas!$F$8:$F$15)</f>
        <v>6</v>
      </c>
      <c r="H2549" s="29" t="s">
        <v>3919</v>
      </c>
      <c r="I2549" s="33" t="s">
        <v>9744</v>
      </c>
      <c r="J2549" s="47" t="s">
        <v>5723</v>
      </c>
      <c r="K2549" s="61" t="s">
        <v>4779</v>
      </c>
      <c r="L2549" s="12" t="str">
        <f t="shared" si="117"/>
        <v>3,3,3</v>
      </c>
    </row>
    <row r="2550" spans="2:12">
      <c r="B2550" s="17">
        <v>2849</v>
      </c>
      <c r="C2550" s="17">
        <v>3</v>
      </c>
      <c r="D2550" s="17">
        <f t="shared" si="119"/>
        <v>0</v>
      </c>
      <c r="E2550" s="17">
        <f t="shared" si="118"/>
        <v>1997</v>
      </c>
      <c r="F2550" s="17" t="s">
        <v>4813</v>
      </c>
      <c r="G2550" s="17">
        <f>MATCH(E2550,Arenas!$F$8:$F$15)</f>
        <v>6</v>
      </c>
      <c r="H2550" s="29" t="s">
        <v>3920</v>
      </c>
      <c r="I2550" s="33" t="s">
        <v>9745</v>
      </c>
      <c r="J2550" s="47" t="s">
        <v>9746</v>
      </c>
      <c r="K2550" s="61" t="s">
        <v>4779</v>
      </c>
      <c r="L2550" s="12" t="str">
        <f t="shared" si="117"/>
        <v>3,3,3</v>
      </c>
    </row>
    <row r="2551" spans="2:12">
      <c r="B2551" s="17">
        <v>2850</v>
      </c>
      <c r="C2551" s="17">
        <v>3</v>
      </c>
      <c r="D2551" s="17">
        <f t="shared" si="119"/>
        <v>0</v>
      </c>
      <c r="E2551" s="17">
        <f t="shared" si="118"/>
        <v>1997</v>
      </c>
      <c r="F2551" s="17" t="s">
        <v>4813</v>
      </c>
      <c r="G2551" s="17">
        <f>MATCH(E2551,Arenas!$F$8:$F$15)</f>
        <v>6</v>
      </c>
      <c r="H2551" s="29" t="s">
        <v>3921</v>
      </c>
      <c r="I2551" s="33" t="s">
        <v>9747</v>
      </c>
      <c r="J2551" s="47" t="s">
        <v>9748</v>
      </c>
      <c r="K2551" s="61" t="s">
        <v>4779</v>
      </c>
      <c r="L2551" s="12" t="str">
        <f t="shared" si="117"/>
        <v>3,3,3</v>
      </c>
    </row>
    <row r="2552" spans="2:12">
      <c r="B2552" s="17">
        <v>2851</v>
      </c>
      <c r="C2552" s="17">
        <v>3</v>
      </c>
      <c r="D2552" s="17">
        <f t="shared" si="119"/>
        <v>1</v>
      </c>
      <c r="E2552" s="17">
        <f t="shared" si="118"/>
        <v>1998</v>
      </c>
      <c r="F2552" s="17" t="s">
        <v>4813</v>
      </c>
      <c r="G2552" s="17">
        <f>MATCH(E2552,Arenas!$F$8:$F$15)</f>
        <v>6</v>
      </c>
      <c r="H2552" s="29" t="s">
        <v>3922</v>
      </c>
      <c r="I2552" s="33" t="s">
        <v>9749</v>
      </c>
      <c r="J2552" s="47" t="s">
        <v>9750</v>
      </c>
      <c r="K2552" s="61" t="s">
        <v>4779</v>
      </c>
      <c r="L2552" s="12" t="str">
        <f t="shared" si="117"/>
        <v>3,3,3</v>
      </c>
    </row>
    <row r="2553" spans="2:12">
      <c r="B2553" s="17">
        <v>2852</v>
      </c>
      <c r="C2553" s="17">
        <v>3</v>
      </c>
      <c r="D2553" s="17">
        <f t="shared" si="119"/>
        <v>0</v>
      </c>
      <c r="E2553" s="17">
        <f t="shared" si="118"/>
        <v>1998</v>
      </c>
      <c r="F2553" s="17" t="s">
        <v>4813</v>
      </c>
      <c r="G2553" s="17">
        <f>MATCH(E2553,Arenas!$F$8:$F$15)</f>
        <v>6</v>
      </c>
      <c r="H2553" s="29" t="s">
        <v>3923</v>
      </c>
      <c r="I2553" s="33" t="s">
        <v>9751</v>
      </c>
      <c r="J2553" s="47" t="s">
        <v>9752</v>
      </c>
      <c r="K2553" s="61" t="s">
        <v>4779</v>
      </c>
      <c r="L2553" s="12" t="str">
        <f t="shared" si="117"/>
        <v>3,3,3</v>
      </c>
    </row>
    <row r="2554" spans="2:12">
      <c r="B2554" s="17">
        <v>2853</v>
      </c>
      <c r="C2554" s="17">
        <v>3</v>
      </c>
      <c r="D2554" s="17">
        <f t="shared" si="119"/>
        <v>0</v>
      </c>
      <c r="E2554" s="17">
        <f t="shared" si="118"/>
        <v>1998</v>
      </c>
      <c r="F2554" s="17" t="s">
        <v>4813</v>
      </c>
      <c r="G2554" s="17">
        <f>MATCH(E2554,Arenas!$F$8:$F$15)</f>
        <v>6</v>
      </c>
      <c r="H2554" s="29" t="s">
        <v>3924</v>
      </c>
      <c r="I2554" s="33" t="s">
        <v>9753</v>
      </c>
      <c r="J2554" s="47" t="s">
        <v>9754</v>
      </c>
      <c r="K2554" s="61" t="s">
        <v>4779</v>
      </c>
      <c r="L2554" s="12" t="str">
        <f t="shared" si="117"/>
        <v>3,3,3</v>
      </c>
    </row>
    <row r="2555" spans="2:12">
      <c r="B2555" s="17">
        <v>2854</v>
      </c>
      <c r="C2555" s="17">
        <v>3</v>
      </c>
      <c r="D2555" s="17">
        <f t="shared" si="119"/>
        <v>1</v>
      </c>
      <c r="E2555" s="17">
        <f t="shared" si="118"/>
        <v>1999</v>
      </c>
      <c r="F2555" s="17" t="s">
        <v>4813</v>
      </c>
      <c r="G2555" s="17">
        <f>MATCH(E2555,Arenas!$F$8:$F$15)</f>
        <v>6</v>
      </c>
      <c r="H2555" s="29" t="s">
        <v>3925</v>
      </c>
      <c r="I2555" s="33" t="s">
        <v>9755</v>
      </c>
      <c r="J2555" s="47" t="s">
        <v>5121</v>
      </c>
      <c r="K2555" s="61" t="s">
        <v>4779</v>
      </c>
      <c r="L2555" s="12" t="str">
        <f t="shared" si="117"/>
        <v>3,3,3</v>
      </c>
    </row>
    <row r="2556" spans="2:12">
      <c r="B2556" s="17">
        <v>2855</v>
      </c>
      <c r="C2556" s="17">
        <v>3</v>
      </c>
      <c r="D2556" s="17">
        <f t="shared" si="119"/>
        <v>0</v>
      </c>
      <c r="E2556" s="17">
        <f t="shared" si="118"/>
        <v>1999</v>
      </c>
      <c r="F2556" s="17" t="s">
        <v>4813</v>
      </c>
      <c r="G2556" s="17">
        <f>MATCH(E2556,Arenas!$F$8:$F$15)</f>
        <v>6</v>
      </c>
      <c r="H2556" s="29" t="s">
        <v>3926</v>
      </c>
      <c r="I2556" s="33" t="s">
        <v>9756</v>
      </c>
      <c r="J2556" s="47" t="s">
        <v>9757</v>
      </c>
      <c r="K2556" s="61" t="s">
        <v>4779</v>
      </c>
      <c r="L2556" s="12" t="str">
        <f t="shared" si="117"/>
        <v>3,3,3</v>
      </c>
    </row>
    <row r="2557" spans="2:12">
      <c r="B2557" s="17">
        <v>2856</v>
      </c>
      <c r="C2557" s="17">
        <v>3</v>
      </c>
      <c r="D2557" s="17">
        <f t="shared" si="119"/>
        <v>0</v>
      </c>
      <c r="E2557" s="17">
        <f t="shared" si="118"/>
        <v>1999</v>
      </c>
      <c r="F2557" s="17" t="s">
        <v>4813</v>
      </c>
      <c r="G2557" s="17">
        <f>MATCH(E2557,Arenas!$F$8:$F$15)</f>
        <v>6</v>
      </c>
      <c r="H2557" s="29" t="s">
        <v>3927</v>
      </c>
      <c r="I2557" s="33" t="s">
        <v>9758</v>
      </c>
      <c r="J2557" s="47" t="s">
        <v>9759</v>
      </c>
      <c r="K2557" s="61" t="s">
        <v>4779</v>
      </c>
      <c r="L2557" s="12" t="str">
        <f t="shared" si="117"/>
        <v>3,3,3</v>
      </c>
    </row>
    <row r="2558" spans="2:12">
      <c r="B2558" s="17">
        <v>2857</v>
      </c>
      <c r="C2558" s="17">
        <v>3</v>
      </c>
      <c r="D2558" s="17">
        <f t="shared" si="119"/>
        <v>1</v>
      </c>
      <c r="E2558" s="17">
        <f t="shared" si="118"/>
        <v>2000</v>
      </c>
      <c r="F2558" s="17" t="s">
        <v>4813</v>
      </c>
      <c r="G2558" s="17">
        <f>MATCH(E2558,Arenas!$F$8:$F$15)</f>
        <v>6</v>
      </c>
      <c r="H2558" s="29" t="s">
        <v>3928</v>
      </c>
      <c r="I2558" s="33" t="s">
        <v>9760</v>
      </c>
      <c r="J2558" s="47" t="s">
        <v>9761</v>
      </c>
      <c r="K2558" s="61" t="s">
        <v>4810</v>
      </c>
      <c r="L2558" s="12" t="str">
        <f t="shared" si="117"/>
        <v>3,3,3</v>
      </c>
    </row>
    <row r="2559" spans="2:12">
      <c r="B2559" s="17">
        <v>2858</v>
      </c>
      <c r="C2559" s="17">
        <v>3</v>
      </c>
      <c r="D2559" s="17">
        <f t="shared" si="119"/>
        <v>0</v>
      </c>
      <c r="E2559" s="17">
        <f t="shared" si="118"/>
        <v>2000</v>
      </c>
      <c r="F2559" s="17" t="s">
        <v>4813</v>
      </c>
      <c r="G2559" s="17">
        <f>MATCH(E2559,Arenas!$F$8:$F$15)</f>
        <v>6</v>
      </c>
      <c r="H2559" s="29" t="s">
        <v>3929</v>
      </c>
      <c r="I2559" s="33" t="s">
        <v>9762</v>
      </c>
      <c r="J2559" s="47" t="s">
        <v>9763</v>
      </c>
      <c r="K2559" s="61" t="s">
        <v>4779</v>
      </c>
      <c r="L2559" s="12" t="str">
        <f t="shared" si="117"/>
        <v>3,3,3</v>
      </c>
    </row>
    <row r="2560" spans="2:12">
      <c r="B2560" s="17">
        <v>2859</v>
      </c>
      <c r="C2560" s="17">
        <v>3</v>
      </c>
      <c r="D2560" s="17">
        <f t="shared" si="119"/>
        <v>0</v>
      </c>
      <c r="E2560" s="17">
        <f t="shared" si="118"/>
        <v>2000</v>
      </c>
      <c r="F2560" s="17" t="s">
        <v>4813</v>
      </c>
      <c r="G2560" s="17">
        <f>MATCH(E2560,Arenas!$F$8:$F$15)</f>
        <v>6</v>
      </c>
      <c r="H2560" s="29" t="s">
        <v>3930</v>
      </c>
      <c r="I2560" s="33" t="s">
        <v>9764</v>
      </c>
      <c r="J2560" s="47" t="s">
        <v>9765</v>
      </c>
      <c r="K2560" s="61" t="s">
        <v>4779</v>
      </c>
      <c r="L2560" s="12" t="str">
        <f t="shared" si="117"/>
        <v>3,3,3</v>
      </c>
    </row>
    <row r="2561" spans="2:12">
      <c r="B2561" s="17">
        <v>2860</v>
      </c>
      <c r="C2561" s="17">
        <v>3</v>
      </c>
      <c r="D2561" s="17">
        <f t="shared" si="119"/>
        <v>1</v>
      </c>
      <c r="E2561" s="17">
        <f t="shared" si="118"/>
        <v>2001</v>
      </c>
      <c r="F2561" s="17" t="s">
        <v>4813</v>
      </c>
      <c r="G2561" s="17">
        <f>MATCH(E2561,Arenas!$F$8:$F$15)</f>
        <v>6</v>
      </c>
      <c r="H2561" s="29" t="s">
        <v>3931</v>
      </c>
      <c r="I2561" s="33" t="s">
        <v>9766</v>
      </c>
      <c r="J2561" s="47" t="s">
        <v>5930</v>
      </c>
      <c r="K2561" s="61" t="s">
        <v>4809</v>
      </c>
      <c r="L2561" s="12" t="str">
        <f t="shared" si="117"/>
        <v>3,3,3</v>
      </c>
    </row>
    <row r="2562" spans="2:12">
      <c r="B2562" s="17">
        <v>2861</v>
      </c>
      <c r="C2562" s="17">
        <v>3</v>
      </c>
      <c r="D2562" s="17">
        <f t="shared" si="119"/>
        <v>0</v>
      </c>
      <c r="E2562" s="17">
        <f t="shared" si="118"/>
        <v>2001</v>
      </c>
      <c r="F2562" s="17" t="s">
        <v>4813</v>
      </c>
      <c r="G2562" s="17">
        <f>MATCH(E2562,Arenas!$F$8:$F$15)</f>
        <v>6</v>
      </c>
      <c r="H2562" s="29" t="s">
        <v>3932</v>
      </c>
      <c r="I2562" s="33" t="s">
        <v>9767</v>
      </c>
      <c r="J2562" s="47" t="s">
        <v>9768</v>
      </c>
      <c r="K2562" s="61" t="s">
        <v>4779</v>
      </c>
      <c r="L2562" s="12" t="str">
        <f t="shared" ref="L2562:L2625" si="120">C2562&amp;","&amp;C2562&amp;","&amp;C2562</f>
        <v>3,3,3</v>
      </c>
    </row>
    <row r="2563" spans="2:12">
      <c r="B2563" s="17">
        <v>2862</v>
      </c>
      <c r="C2563" s="17">
        <v>3</v>
      </c>
      <c r="D2563" s="17">
        <f t="shared" si="119"/>
        <v>0</v>
      </c>
      <c r="E2563" s="17">
        <f t="shared" ref="E2563:E2626" si="121">D2563+E2562</f>
        <v>2001</v>
      </c>
      <c r="F2563" s="17" t="s">
        <v>4813</v>
      </c>
      <c r="G2563" s="17">
        <f>MATCH(E2563,Arenas!$F$8:$F$15)</f>
        <v>6</v>
      </c>
      <c r="H2563" s="29" t="s">
        <v>3933</v>
      </c>
      <c r="I2563" s="33" t="s">
        <v>9769</v>
      </c>
      <c r="J2563" s="47" t="s">
        <v>5934</v>
      </c>
      <c r="K2563" s="61" t="s">
        <v>4779</v>
      </c>
      <c r="L2563" s="12" t="str">
        <f t="shared" si="120"/>
        <v>3,3,3</v>
      </c>
    </row>
    <row r="2564" spans="2:12">
      <c r="B2564" s="17">
        <v>2863</v>
      </c>
      <c r="C2564" s="17">
        <v>3</v>
      </c>
      <c r="D2564" s="17">
        <f t="shared" si="119"/>
        <v>1</v>
      </c>
      <c r="E2564" s="17">
        <f t="shared" si="121"/>
        <v>2002</v>
      </c>
      <c r="F2564" s="17" t="s">
        <v>4813</v>
      </c>
      <c r="G2564" s="17">
        <f>MATCH(E2564,Arenas!$F$8:$F$15)</f>
        <v>6</v>
      </c>
      <c r="H2564" s="29" t="s">
        <v>3934</v>
      </c>
      <c r="I2564" s="33" t="s">
        <v>9770</v>
      </c>
      <c r="J2564" s="47" t="s">
        <v>9771</v>
      </c>
      <c r="K2564" s="61" t="s">
        <v>4779</v>
      </c>
      <c r="L2564" s="12" t="str">
        <f t="shared" si="120"/>
        <v>3,3,3</v>
      </c>
    </row>
    <row r="2565" spans="2:12">
      <c r="B2565" s="17">
        <v>2864</v>
      </c>
      <c r="C2565" s="17">
        <v>3</v>
      </c>
      <c r="D2565" s="17">
        <f t="shared" ref="D2565:D2628" si="122">D2562</f>
        <v>0</v>
      </c>
      <c r="E2565" s="17">
        <f t="shared" si="121"/>
        <v>2002</v>
      </c>
      <c r="F2565" s="17" t="s">
        <v>4813</v>
      </c>
      <c r="G2565" s="17">
        <f>MATCH(E2565,Arenas!$F$8:$F$15)</f>
        <v>6</v>
      </c>
      <c r="H2565" s="29" t="s">
        <v>3935</v>
      </c>
      <c r="I2565" s="33" t="s">
        <v>9772</v>
      </c>
      <c r="J2565" s="47" t="s">
        <v>9773</v>
      </c>
      <c r="K2565" s="61" t="s">
        <v>4779</v>
      </c>
      <c r="L2565" s="12" t="str">
        <f t="shared" si="120"/>
        <v>3,3,3</v>
      </c>
    </row>
    <row r="2566" spans="2:12">
      <c r="B2566" s="17">
        <v>2865</v>
      </c>
      <c r="C2566" s="17">
        <v>3</v>
      </c>
      <c r="D2566" s="17">
        <f t="shared" si="122"/>
        <v>0</v>
      </c>
      <c r="E2566" s="17">
        <f t="shared" si="121"/>
        <v>2002</v>
      </c>
      <c r="F2566" s="17" t="s">
        <v>4813</v>
      </c>
      <c r="G2566" s="17">
        <f>MATCH(E2566,Arenas!$F$8:$F$15)</f>
        <v>6</v>
      </c>
      <c r="H2566" s="29" t="s">
        <v>3936</v>
      </c>
      <c r="I2566" s="33" t="s">
        <v>9774</v>
      </c>
      <c r="J2566" s="47" t="s">
        <v>9775</v>
      </c>
      <c r="K2566" s="61" t="s">
        <v>4779</v>
      </c>
      <c r="L2566" s="12" t="str">
        <f t="shared" si="120"/>
        <v>3,3,3</v>
      </c>
    </row>
    <row r="2567" spans="2:12">
      <c r="B2567" s="17">
        <v>2866</v>
      </c>
      <c r="C2567" s="17">
        <v>3</v>
      </c>
      <c r="D2567" s="17">
        <f t="shared" si="122"/>
        <v>1</v>
      </c>
      <c r="E2567" s="17">
        <f t="shared" si="121"/>
        <v>2003</v>
      </c>
      <c r="F2567" s="17" t="s">
        <v>4813</v>
      </c>
      <c r="G2567" s="17">
        <f>MATCH(E2567,Arenas!$F$8:$F$15)</f>
        <v>6</v>
      </c>
      <c r="H2567" s="29" t="s">
        <v>3937</v>
      </c>
      <c r="I2567" s="33" t="s">
        <v>9776</v>
      </c>
      <c r="J2567" s="47" t="s">
        <v>5159</v>
      </c>
      <c r="K2567" s="61" t="s">
        <v>4779</v>
      </c>
      <c r="L2567" s="12" t="str">
        <f t="shared" si="120"/>
        <v>3,3,3</v>
      </c>
    </row>
    <row r="2568" spans="2:12">
      <c r="B2568" s="17">
        <v>2867</v>
      </c>
      <c r="C2568" s="17">
        <v>3</v>
      </c>
      <c r="D2568" s="17">
        <f t="shared" si="122"/>
        <v>0</v>
      </c>
      <c r="E2568" s="17">
        <f t="shared" si="121"/>
        <v>2003</v>
      </c>
      <c r="F2568" s="17" t="s">
        <v>4813</v>
      </c>
      <c r="G2568" s="17">
        <f>MATCH(E2568,Arenas!$F$8:$F$15)</f>
        <v>6</v>
      </c>
      <c r="H2568" s="29" t="s">
        <v>3938</v>
      </c>
      <c r="I2568" s="33" t="s">
        <v>9777</v>
      </c>
      <c r="J2568" s="47" t="s">
        <v>9778</v>
      </c>
      <c r="K2568" s="61" t="s">
        <v>4779</v>
      </c>
      <c r="L2568" s="12" t="str">
        <f t="shared" si="120"/>
        <v>3,3,3</v>
      </c>
    </row>
    <row r="2569" spans="2:12">
      <c r="B2569" s="17">
        <v>2868</v>
      </c>
      <c r="C2569" s="17">
        <v>3</v>
      </c>
      <c r="D2569" s="17">
        <f t="shared" si="122"/>
        <v>0</v>
      </c>
      <c r="E2569" s="17">
        <f t="shared" si="121"/>
        <v>2003</v>
      </c>
      <c r="F2569" s="17" t="s">
        <v>4813</v>
      </c>
      <c r="G2569" s="17">
        <f>MATCH(E2569,Arenas!$F$8:$F$15)</f>
        <v>6</v>
      </c>
      <c r="H2569" s="29" t="s">
        <v>3939</v>
      </c>
      <c r="I2569" s="33" t="s">
        <v>9779</v>
      </c>
      <c r="J2569" s="47" t="s">
        <v>9780</v>
      </c>
      <c r="K2569" s="61" t="s">
        <v>4779</v>
      </c>
      <c r="L2569" s="12" t="str">
        <f t="shared" si="120"/>
        <v>3,3,3</v>
      </c>
    </row>
    <row r="2570" spans="2:12">
      <c r="B2570" s="17">
        <v>2869</v>
      </c>
      <c r="C2570" s="17">
        <v>3</v>
      </c>
      <c r="D2570" s="17">
        <f t="shared" si="122"/>
        <v>1</v>
      </c>
      <c r="E2570" s="17">
        <f t="shared" si="121"/>
        <v>2004</v>
      </c>
      <c r="F2570" s="17" t="s">
        <v>4813</v>
      </c>
      <c r="G2570" s="17">
        <f>MATCH(E2570,Arenas!$F$8:$F$15)</f>
        <v>6</v>
      </c>
      <c r="H2570" s="29" t="s">
        <v>3940</v>
      </c>
      <c r="I2570" s="33" t="s">
        <v>9781</v>
      </c>
      <c r="J2570" s="47" t="s">
        <v>9782</v>
      </c>
      <c r="K2570" s="61" t="s">
        <v>4779</v>
      </c>
      <c r="L2570" s="12" t="str">
        <f t="shared" si="120"/>
        <v>3,3,3</v>
      </c>
    </row>
    <row r="2571" spans="2:12">
      <c r="B2571" s="17">
        <v>2870</v>
      </c>
      <c r="C2571" s="17">
        <v>3</v>
      </c>
      <c r="D2571" s="17">
        <f t="shared" si="122"/>
        <v>0</v>
      </c>
      <c r="E2571" s="17">
        <f t="shared" si="121"/>
        <v>2004</v>
      </c>
      <c r="F2571" s="17" t="s">
        <v>4813</v>
      </c>
      <c r="G2571" s="17">
        <f>MATCH(E2571,Arenas!$F$8:$F$15)</f>
        <v>6</v>
      </c>
      <c r="H2571" s="29" t="s">
        <v>3941</v>
      </c>
      <c r="I2571" s="33" t="s">
        <v>9783</v>
      </c>
      <c r="J2571" s="47" t="s">
        <v>9784</v>
      </c>
      <c r="K2571" s="61" t="s">
        <v>4779</v>
      </c>
      <c r="L2571" s="12" t="str">
        <f t="shared" si="120"/>
        <v>3,3,3</v>
      </c>
    </row>
    <row r="2572" spans="2:12">
      <c r="B2572" s="17">
        <v>2871</v>
      </c>
      <c r="C2572" s="17">
        <v>3</v>
      </c>
      <c r="D2572" s="17">
        <f t="shared" si="122"/>
        <v>0</v>
      </c>
      <c r="E2572" s="17">
        <f t="shared" si="121"/>
        <v>2004</v>
      </c>
      <c r="F2572" s="17" t="s">
        <v>4813</v>
      </c>
      <c r="G2572" s="17">
        <f>MATCH(E2572,Arenas!$F$8:$F$15)</f>
        <v>6</v>
      </c>
      <c r="H2572" s="29" t="s">
        <v>3942</v>
      </c>
      <c r="I2572" s="33" t="s">
        <v>9785</v>
      </c>
      <c r="J2572" s="47" t="s">
        <v>9786</v>
      </c>
      <c r="K2572" s="61" t="s">
        <v>4779</v>
      </c>
      <c r="L2572" s="12" t="str">
        <f t="shared" si="120"/>
        <v>3,3,3</v>
      </c>
    </row>
    <row r="2573" spans="2:12">
      <c r="B2573" s="17">
        <v>2872</v>
      </c>
      <c r="C2573" s="17">
        <v>3</v>
      </c>
      <c r="D2573" s="17">
        <f t="shared" si="122"/>
        <v>1</v>
      </c>
      <c r="E2573" s="17">
        <f t="shared" si="121"/>
        <v>2005</v>
      </c>
      <c r="F2573" s="17" t="s">
        <v>4813</v>
      </c>
      <c r="G2573" s="17">
        <f>MATCH(E2573,Arenas!$F$8:$F$15)</f>
        <v>6</v>
      </c>
      <c r="H2573" s="29" t="s">
        <v>3943</v>
      </c>
      <c r="I2573" s="33" t="s">
        <v>9787</v>
      </c>
      <c r="J2573" s="47" t="s">
        <v>5457</v>
      </c>
      <c r="K2573" s="61" t="s">
        <v>4807</v>
      </c>
      <c r="L2573" s="12" t="str">
        <f t="shared" si="120"/>
        <v>3,3,3</v>
      </c>
    </row>
    <row r="2574" spans="2:12">
      <c r="B2574" s="17">
        <v>2873</v>
      </c>
      <c r="C2574" s="17">
        <v>3</v>
      </c>
      <c r="D2574" s="17">
        <f t="shared" si="122"/>
        <v>0</v>
      </c>
      <c r="E2574" s="17">
        <f t="shared" si="121"/>
        <v>2005</v>
      </c>
      <c r="F2574" s="17" t="s">
        <v>4813</v>
      </c>
      <c r="G2574" s="17">
        <f>MATCH(E2574,Arenas!$F$8:$F$15)</f>
        <v>6</v>
      </c>
      <c r="H2574" s="29" t="s">
        <v>3944</v>
      </c>
      <c r="I2574" s="33" t="s">
        <v>9788</v>
      </c>
      <c r="J2574" s="47" t="s">
        <v>9789</v>
      </c>
      <c r="K2574" s="61" t="s">
        <v>4779</v>
      </c>
      <c r="L2574" s="12" t="str">
        <f t="shared" si="120"/>
        <v>3,3,3</v>
      </c>
    </row>
    <row r="2575" spans="2:12">
      <c r="B2575" s="17">
        <v>2874</v>
      </c>
      <c r="C2575" s="17">
        <v>3</v>
      </c>
      <c r="D2575" s="17">
        <f t="shared" si="122"/>
        <v>0</v>
      </c>
      <c r="E2575" s="17">
        <f t="shared" si="121"/>
        <v>2005</v>
      </c>
      <c r="F2575" s="17" t="s">
        <v>4813</v>
      </c>
      <c r="G2575" s="17">
        <f>MATCH(E2575,Arenas!$F$8:$F$15)</f>
        <v>6</v>
      </c>
      <c r="H2575" s="29" t="s">
        <v>3945</v>
      </c>
      <c r="I2575" s="33" t="s">
        <v>9790</v>
      </c>
      <c r="J2575" s="47" t="s">
        <v>9791</v>
      </c>
      <c r="K2575" s="61" t="s">
        <v>4779</v>
      </c>
      <c r="L2575" s="12" t="str">
        <f t="shared" si="120"/>
        <v>3,3,3</v>
      </c>
    </row>
    <row r="2576" spans="2:12">
      <c r="B2576" s="17">
        <v>2875</v>
      </c>
      <c r="C2576" s="17">
        <v>3</v>
      </c>
      <c r="D2576" s="17">
        <f t="shared" si="122"/>
        <v>1</v>
      </c>
      <c r="E2576" s="17">
        <f t="shared" si="121"/>
        <v>2006</v>
      </c>
      <c r="F2576" s="17" t="s">
        <v>4813</v>
      </c>
      <c r="G2576" s="17">
        <f>MATCH(E2576,Arenas!$F$8:$F$15)</f>
        <v>6</v>
      </c>
      <c r="H2576" s="29" t="s">
        <v>3946</v>
      </c>
      <c r="I2576" s="33" t="s">
        <v>9792</v>
      </c>
      <c r="J2576" s="47" t="s">
        <v>9793</v>
      </c>
      <c r="K2576" s="61" t="s">
        <v>4779</v>
      </c>
      <c r="L2576" s="12" t="str">
        <f t="shared" si="120"/>
        <v>3,3,3</v>
      </c>
    </row>
    <row r="2577" spans="2:12">
      <c r="B2577" s="17">
        <v>2876</v>
      </c>
      <c r="C2577" s="17">
        <v>3</v>
      </c>
      <c r="D2577" s="17">
        <f t="shared" si="122"/>
        <v>0</v>
      </c>
      <c r="E2577" s="17">
        <f t="shared" si="121"/>
        <v>2006</v>
      </c>
      <c r="F2577" s="17" t="s">
        <v>4813</v>
      </c>
      <c r="G2577" s="17">
        <f>MATCH(E2577,Arenas!$F$8:$F$15)</f>
        <v>6</v>
      </c>
      <c r="H2577" s="29" t="s">
        <v>3947</v>
      </c>
      <c r="I2577" s="33" t="s">
        <v>9794</v>
      </c>
      <c r="J2577" s="47" t="s">
        <v>9795</v>
      </c>
      <c r="K2577" s="61" t="s">
        <v>4779</v>
      </c>
      <c r="L2577" s="12" t="str">
        <f t="shared" si="120"/>
        <v>3,3,3</v>
      </c>
    </row>
    <row r="2578" spans="2:12">
      <c r="B2578" s="17">
        <v>2877</v>
      </c>
      <c r="C2578" s="17">
        <v>3</v>
      </c>
      <c r="D2578" s="17">
        <f t="shared" si="122"/>
        <v>0</v>
      </c>
      <c r="E2578" s="17">
        <f t="shared" si="121"/>
        <v>2006</v>
      </c>
      <c r="F2578" s="17" t="s">
        <v>4813</v>
      </c>
      <c r="G2578" s="17">
        <f>MATCH(E2578,Arenas!$F$8:$F$15)</f>
        <v>6</v>
      </c>
      <c r="H2578" s="29" t="s">
        <v>3948</v>
      </c>
      <c r="I2578" s="33" t="s">
        <v>9796</v>
      </c>
      <c r="J2578" s="47" t="s">
        <v>9797</v>
      </c>
      <c r="K2578" s="61" t="s">
        <v>4779</v>
      </c>
      <c r="L2578" s="12" t="str">
        <f t="shared" si="120"/>
        <v>3,3,3</v>
      </c>
    </row>
    <row r="2579" spans="2:12">
      <c r="B2579" s="17">
        <v>2878</v>
      </c>
      <c r="C2579" s="17">
        <v>3</v>
      </c>
      <c r="D2579" s="17">
        <f t="shared" si="122"/>
        <v>1</v>
      </c>
      <c r="E2579" s="17">
        <f t="shared" si="121"/>
        <v>2007</v>
      </c>
      <c r="F2579" s="17" t="s">
        <v>4813</v>
      </c>
      <c r="G2579" s="17">
        <f>MATCH(E2579,Arenas!$F$8:$F$15)</f>
        <v>6</v>
      </c>
      <c r="H2579" s="29" t="s">
        <v>3949</v>
      </c>
      <c r="I2579" s="33" t="s">
        <v>9798</v>
      </c>
      <c r="J2579" s="47" t="s">
        <v>9799</v>
      </c>
      <c r="K2579" s="61" t="s">
        <v>4779</v>
      </c>
      <c r="L2579" s="12" t="str">
        <f t="shared" si="120"/>
        <v>3,3,3</v>
      </c>
    </row>
    <row r="2580" spans="2:12">
      <c r="B2580" s="17">
        <v>2879</v>
      </c>
      <c r="C2580" s="17">
        <v>3</v>
      </c>
      <c r="D2580" s="17">
        <f t="shared" si="122"/>
        <v>0</v>
      </c>
      <c r="E2580" s="17">
        <f t="shared" si="121"/>
        <v>2007</v>
      </c>
      <c r="F2580" s="17" t="s">
        <v>4813</v>
      </c>
      <c r="G2580" s="17">
        <f>MATCH(E2580,Arenas!$F$8:$F$15)</f>
        <v>6</v>
      </c>
      <c r="H2580" s="29" t="s">
        <v>3950</v>
      </c>
      <c r="I2580" s="33" t="s">
        <v>9800</v>
      </c>
      <c r="J2580" s="47" t="s">
        <v>9801</v>
      </c>
      <c r="K2580" s="61" t="s">
        <v>4779</v>
      </c>
      <c r="L2580" s="12" t="str">
        <f t="shared" si="120"/>
        <v>3,3,3</v>
      </c>
    </row>
    <row r="2581" spans="2:12">
      <c r="B2581" s="17">
        <v>2880</v>
      </c>
      <c r="C2581" s="17">
        <v>3</v>
      </c>
      <c r="D2581" s="17">
        <f t="shared" si="122"/>
        <v>0</v>
      </c>
      <c r="E2581" s="17">
        <f t="shared" si="121"/>
        <v>2007</v>
      </c>
      <c r="F2581" s="17" t="s">
        <v>4813</v>
      </c>
      <c r="G2581" s="17">
        <f>MATCH(E2581,Arenas!$F$8:$F$15)</f>
        <v>6</v>
      </c>
      <c r="H2581" s="29" t="s">
        <v>3951</v>
      </c>
      <c r="I2581" s="33" t="s">
        <v>9802</v>
      </c>
      <c r="J2581" s="47" t="s">
        <v>9803</v>
      </c>
      <c r="K2581" s="61" t="s">
        <v>4779</v>
      </c>
      <c r="L2581" s="12" t="str">
        <f t="shared" si="120"/>
        <v>3,3,3</v>
      </c>
    </row>
    <row r="2582" spans="2:12">
      <c r="B2582" s="17">
        <v>2881</v>
      </c>
      <c r="C2582" s="17">
        <v>3</v>
      </c>
      <c r="D2582" s="17">
        <f t="shared" si="122"/>
        <v>1</v>
      </c>
      <c r="E2582" s="17">
        <f t="shared" si="121"/>
        <v>2008</v>
      </c>
      <c r="F2582" s="17" t="s">
        <v>4813</v>
      </c>
      <c r="G2582" s="17">
        <f>MATCH(E2582,Arenas!$F$8:$F$15)</f>
        <v>6</v>
      </c>
      <c r="H2582" s="29" t="s">
        <v>3952</v>
      </c>
      <c r="I2582" s="33" t="s">
        <v>9804</v>
      </c>
      <c r="J2582" s="47" t="s">
        <v>5330</v>
      </c>
      <c r="K2582" s="61" t="s">
        <v>4779</v>
      </c>
      <c r="L2582" s="12" t="str">
        <f t="shared" si="120"/>
        <v>3,3,3</v>
      </c>
    </row>
    <row r="2583" spans="2:12">
      <c r="B2583" s="17">
        <v>2882</v>
      </c>
      <c r="C2583" s="17">
        <v>3</v>
      </c>
      <c r="D2583" s="17">
        <f t="shared" si="122"/>
        <v>0</v>
      </c>
      <c r="E2583" s="17">
        <f t="shared" si="121"/>
        <v>2008</v>
      </c>
      <c r="F2583" s="17" t="s">
        <v>4813</v>
      </c>
      <c r="G2583" s="17">
        <f>MATCH(E2583,Arenas!$F$8:$F$15)</f>
        <v>6</v>
      </c>
      <c r="H2583" s="29" t="s">
        <v>3953</v>
      </c>
      <c r="I2583" s="33" t="s">
        <v>9805</v>
      </c>
      <c r="J2583" s="47" t="s">
        <v>9806</v>
      </c>
      <c r="K2583" s="61" t="s">
        <v>4779</v>
      </c>
      <c r="L2583" s="12" t="str">
        <f t="shared" si="120"/>
        <v>3,3,3</v>
      </c>
    </row>
    <row r="2584" spans="2:12">
      <c r="B2584" s="17">
        <v>2883</v>
      </c>
      <c r="C2584" s="17">
        <v>3</v>
      </c>
      <c r="D2584" s="17">
        <f t="shared" si="122"/>
        <v>0</v>
      </c>
      <c r="E2584" s="17">
        <f t="shared" si="121"/>
        <v>2008</v>
      </c>
      <c r="F2584" s="17" t="s">
        <v>4813</v>
      </c>
      <c r="G2584" s="17">
        <f>MATCH(E2584,Arenas!$F$8:$F$15)</f>
        <v>6</v>
      </c>
      <c r="H2584" s="29" t="s">
        <v>3954</v>
      </c>
      <c r="I2584" s="33" t="s">
        <v>9807</v>
      </c>
      <c r="J2584" s="47" t="s">
        <v>9808</v>
      </c>
      <c r="K2584" s="61" t="s">
        <v>4810</v>
      </c>
      <c r="L2584" s="12" t="str">
        <f t="shared" si="120"/>
        <v>3,3,3</v>
      </c>
    </row>
    <row r="2585" spans="2:12">
      <c r="B2585" s="17">
        <v>2884</v>
      </c>
      <c r="C2585" s="17">
        <v>3</v>
      </c>
      <c r="D2585" s="17">
        <f t="shared" si="122"/>
        <v>1</v>
      </c>
      <c r="E2585" s="17">
        <f t="shared" si="121"/>
        <v>2009</v>
      </c>
      <c r="F2585" s="17" t="s">
        <v>4813</v>
      </c>
      <c r="G2585" s="17">
        <f>MATCH(E2585,Arenas!$F$8:$F$15)</f>
        <v>6</v>
      </c>
      <c r="H2585" s="29" t="s">
        <v>3955</v>
      </c>
      <c r="I2585" s="33" t="s">
        <v>9809</v>
      </c>
      <c r="J2585" s="47" t="s">
        <v>9810</v>
      </c>
      <c r="K2585" s="61" t="s">
        <v>4779</v>
      </c>
      <c r="L2585" s="12" t="str">
        <f t="shared" si="120"/>
        <v>3,3,3</v>
      </c>
    </row>
    <row r="2586" spans="2:12">
      <c r="B2586" s="17">
        <v>2885</v>
      </c>
      <c r="C2586" s="17">
        <v>3</v>
      </c>
      <c r="D2586" s="17">
        <f t="shared" si="122"/>
        <v>0</v>
      </c>
      <c r="E2586" s="17">
        <f t="shared" si="121"/>
        <v>2009</v>
      </c>
      <c r="F2586" s="17" t="s">
        <v>4813</v>
      </c>
      <c r="G2586" s="17">
        <f>MATCH(E2586,Arenas!$F$8:$F$15)</f>
        <v>6</v>
      </c>
      <c r="H2586" s="29" t="s">
        <v>3956</v>
      </c>
      <c r="I2586" s="33" t="s">
        <v>9811</v>
      </c>
      <c r="J2586" s="47" t="s">
        <v>9812</v>
      </c>
      <c r="K2586" s="61" t="s">
        <v>4779</v>
      </c>
      <c r="L2586" s="12" t="str">
        <f t="shared" si="120"/>
        <v>3,3,3</v>
      </c>
    </row>
    <row r="2587" spans="2:12">
      <c r="B2587" s="17">
        <v>2886</v>
      </c>
      <c r="C2587" s="17">
        <v>3</v>
      </c>
      <c r="D2587" s="17">
        <f t="shared" si="122"/>
        <v>0</v>
      </c>
      <c r="E2587" s="17">
        <f t="shared" si="121"/>
        <v>2009</v>
      </c>
      <c r="F2587" s="17" t="s">
        <v>4813</v>
      </c>
      <c r="G2587" s="17">
        <f>MATCH(E2587,Arenas!$F$8:$F$15)</f>
        <v>6</v>
      </c>
      <c r="H2587" s="29" t="s">
        <v>3957</v>
      </c>
      <c r="I2587" s="33" t="s">
        <v>9813</v>
      </c>
      <c r="J2587" s="47" t="s">
        <v>9814</v>
      </c>
      <c r="K2587" s="61" t="s">
        <v>4779</v>
      </c>
      <c r="L2587" s="12" t="str">
        <f t="shared" si="120"/>
        <v>3,3,3</v>
      </c>
    </row>
    <row r="2588" spans="2:12">
      <c r="B2588" s="17">
        <v>2887</v>
      </c>
      <c r="C2588" s="17">
        <v>3</v>
      </c>
      <c r="D2588" s="17">
        <f t="shared" si="122"/>
        <v>1</v>
      </c>
      <c r="E2588" s="17">
        <f t="shared" si="121"/>
        <v>2010</v>
      </c>
      <c r="F2588" s="17" t="s">
        <v>4813</v>
      </c>
      <c r="G2588" s="17">
        <f>MATCH(E2588,Arenas!$F$8:$F$15)</f>
        <v>6</v>
      </c>
      <c r="H2588" s="29" t="s">
        <v>3958</v>
      </c>
      <c r="I2588" s="33" t="s">
        <v>9815</v>
      </c>
      <c r="J2588" s="47" t="s">
        <v>9816</v>
      </c>
      <c r="K2588" s="61" t="s">
        <v>4779</v>
      </c>
      <c r="L2588" s="12" t="str">
        <f t="shared" si="120"/>
        <v>3,3,3</v>
      </c>
    </row>
    <row r="2589" spans="2:12">
      <c r="B2589" s="17">
        <v>2888</v>
      </c>
      <c r="C2589" s="17">
        <v>3</v>
      </c>
      <c r="D2589" s="17">
        <f t="shared" si="122"/>
        <v>0</v>
      </c>
      <c r="E2589" s="17">
        <f t="shared" si="121"/>
        <v>2010</v>
      </c>
      <c r="F2589" s="17" t="s">
        <v>4813</v>
      </c>
      <c r="G2589" s="17">
        <f>MATCH(E2589,Arenas!$F$8:$F$15)</f>
        <v>6</v>
      </c>
      <c r="H2589" s="29" t="s">
        <v>3959</v>
      </c>
      <c r="I2589" s="33" t="s">
        <v>9817</v>
      </c>
      <c r="J2589" s="47" t="s">
        <v>5398</v>
      </c>
      <c r="K2589" s="61" t="s">
        <v>4779</v>
      </c>
      <c r="L2589" s="12" t="str">
        <f t="shared" si="120"/>
        <v>3,3,3</v>
      </c>
    </row>
    <row r="2590" spans="2:12">
      <c r="B2590" s="17">
        <v>2889</v>
      </c>
      <c r="C2590" s="17">
        <v>3</v>
      </c>
      <c r="D2590" s="17">
        <f t="shared" si="122"/>
        <v>0</v>
      </c>
      <c r="E2590" s="17">
        <f t="shared" si="121"/>
        <v>2010</v>
      </c>
      <c r="F2590" s="17" t="s">
        <v>4813</v>
      </c>
      <c r="G2590" s="17">
        <f>MATCH(E2590,Arenas!$F$8:$F$15)</f>
        <v>6</v>
      </c>
      <c r="H2590" s="29" t="s">
        <v>3960</v>
      </c>
      <c r="I2590" s="33" t="s">
        <v>9818</v>
      </c>
      <c r="J2590" s="47" t="s">
        <v>5588</v>
      </c>
      <c r="K2590" s="61" t="s">
        <v>4808</v>
      </c>
      <c r="L2590" s="12" t="str">
        <f t="shared" si="120"/>
        <v>3,3,3</v>
      </c>
    </row>
    <row r="2591" spans="2:12">
      <c r="B2591" s="17">
        <v>2890</v>
      </c>
      <c r="C2591" s="17">
        <v>3</v>
      </c>
      <c r="D2591" s="17">
        <f t="shared" si="122"/>
        <v>1</v>
      </c>
      <c r="E2591" s="17">
        <f t="shared" si="121"/>
        <v>2011</v>
      </c>
      <c r="F2591" s="17" t="s">
        <v>4813</v>
      </c>
      <c r="G2591" s="17">
        <f>MATCH(E2591,Arenas!$F$8:$F$15)</f>
        <v>6</v>
      </c>
      <c r="H2591" s="29" t="s">
        <v>3961</v>
      </c>
      <c r="I2591" s="33" t="s">
        <v>9819</v>
      </c>
      <c r="J2591" s="47" t="s">
        <v>9820</v>
      </c>
      <c r="K2591" s="61" t="s">
        <v>4779</v>
      </c>
      <c r="L2591" s="12" t="str">
        <f t="shared" si="120"/>
        <v>3,3,3</v>
      </c>
    </row>
    <row r="2592" spans="2:12">
      <c r="B2592" s="17">
        <v>2891</v>
      </c>
      <c r="C2592" s="17">
        <v>3</v>
      </c>
      <c r="D2592" s="17">
        <f t="shared" si="122"/>
        <v>0</v>
      </c>
      <c r="E2592" s="17">
        <f t="shared" si="121"/>
        <v>2011</v>
      </c>
      <c r="F2592" s="17" t="s">
        <v>4813</v>
      </c>
      <c r="G2592" s="17">
        <f>MATCH(E2592,Arenas!$F$8:$F$15)</f>
        <v>6</v>
      </c>
      <c r="H2592" s="29" t="s">
        <v>3962</v>
      </c>
      <c r="I2592" s="33" t="s">
        <v>9821</v>
      </c>
      <c r="J2592" s="47" t="s">
        <v>9822</v>
      </c>
      <c r="K2592" s="61" t="s">
        <v>4779</v>
      </c>
      <c r="L2592" s="12" t="str">
        <f t="shared" si="120"/>
        <v>3,3,3</v>
      </c>
    </row>
    <row r="2593" spans="2:12">
      <c r="B2593" s="17">
        <v>2892</v>
      </c>
      <c r="C2593" s="17">
        <v>3</v>
      </c>
      <c r="D2593" s="17">
        <f t="shared" si="122"/>
        <v>0</v>
      </c>
      <c r="E2593" s="17">
        <f t="shared" si="121"/>
        <v>2011</v>
      </c>
      <c r="F2593" s="17" t="s">
        <v>4813</v>
      </c>
      <c r="G2593" s="17">
        <f>MATCH(E2593,Arenas!$F$8:$F$15)</f>
        <v>6</v>
      </c>
      <c r="H2593" s="29" t="s">
        <v>3963</v>
      </c>
      <c r="I2593" s="33" t="s">
        <v>9823</v>
      </c>
      <c r="J2593" s="47" t="s">
        <v>9824</v>
      </c>
      <c r="K2593" s="61" t="s">
        <v>4779</v>
      </c>
      <c r="L2593" s="12" t="str">
        <f t="shared" si="120"/>
        <v>3,3,3</v>
      </c>
    </row>
    <row r="2594" spans="2:12">
      <c r="B2594" s="17">
        <v>2893</v>
      </c>
      <c r="C2594" s="17">
        <v>3</v>
      </c>
      <c r="D2594" s="17">
        <f t="shared" si="122"/>
        <v>1</v>
      </c>
      <c r="E2594" s="17">
        <f t="shared" si="121"/>
        <v>2012</v>
      </c>
      <c r="F2594" s="17" t="s">
        <v>4813</v>
      </c>
      <c r="G2594" s="17">
        <f>MATCH(E2594,Arenas!$F$8:$F$15)</f>
        <v>6</v>
      </c>
      <c r="H2594" s="29" t="s">
        <v>3964</v>
      </c>
      <c r="I2594" s="33" t="s">
        <v>9825</v>
      </c>
      <c r="J2594" s="47" t="s">
        <v>9826</v>
      </c>
      <c r="K2594" s="61" t="s">
        <v>4779</v>
      </c>
      <c r="L2594" s="12" t="str">
        <f t="shared" si="120"/>
        <v>3,3,3</v>
      </c>
    </row>
    <row r="2595" spans="2:12">
      <c r="B2595" s="17">
        <v>2894</v>
      </c>
      <c r="C2595" s="17">
        <v>3</v>
      </c>
      <c r="D2595" s="17">
        <f t="shared" si="122"/>
        <v>0</v>
      </c>
      <c r="E2595" s="17">
        <f t="shared" si="121"/>
        <v>2012</v>
      </c>
      <c r="F2595" s="17" t="s">
        <v>4813</v>
      </c>
      <c r="G2595" s="17">
        <f>MATCH(E2595,Arenas!$F$8:$F$15)</f>
        <v>6</v>
      </c>
      <c r="H2595" s="29" t="s">
        <v>3965</v>
      </c>
      <c r="I2595" s="33" t="s">
        <v>9827</v>
      </c>
      <c r="J2595" s="47" t="s">
        <v>9828</v>
      </c>
      <c r="K2595" s="61" t="s">
        <v>4779</v>
      </c>
      <c r="L2595" s="12" t="str">
        <f t="shared" si="120"/>
        <v>3,3,3</v>
      </c>
    </row>
    <row r="2596" spans="2:12">
      <c r="B2596" s="17">
        <v>2895</v>
      </c>
      <c r="C2596" s="17">
        <v>3</v>
      </c>
      <c r="D2596" s="17">
        <f t="shared" si="122"/>
        <v>0</v>
      </c>
      <c r="E2596" s="17">
        <f t="shared" si="121"/>
        <v>2012</v>
      </c>
      <c r="F2596" s="17" t="s">
        <v>4813</v>
      </c>
      <c r="G2596" s="17">
        <f>MATCH(E2596,Arenas!$F$8:$F$15)</f>
        <v>6</v>
      </c>
      <c r="H2596" s="29" t="s">
        <v>3966</v>
      </c>
      <c r="I2596" s="33" t="s">
        <v>9829</v>
      </c>
      <c r="J2596" s="47" t="s">
        <v>9830</v>
      </c>
      <c r="K2596" s="61" t="s">
        <v>4808</v>
      </c>
      <c r="L2596" s="12" t="str">
        <f t="shared" si="120"/>
        <v>3,3,3</v>
      </c>
    </row>
    <row r="2597" spans="2:12">
      <c r="B2597" s="17">
        <v>2896</v>
      </c>
      <c r="C2597" s="17">
        <v>3</v>
      </c>
      <c r="D2597" s="17">
        <f t="shared" si="122"/>
        <v>1</v>
      </c>
      <c r="E2597" s="17">
        <f t="shared" si="121"/>
        <v>2013</v>
      </c>
      <c r="F2597" s="17" t="s">
        <v>4813</v>
      </c>
      <c r="G2597" s="17">
        <f>MATCH(E2597,Arenas!$F$8:$F$15)</f>
        <v>6</v>
      </c>
      <c r="H2597" s="29" t="s">
        <v>3967</v>
      </c>
      <c r="I2597" s="33" t="s">
        <v>9831</v>
      </c>
      <c r="J2597" s="47" t="s">
        <v>9832</v>
      </c>
      <c r="K2597" s="61" t="s">
        <v>4779</v>
      </c>
      <c r="L2597" s="12" t="str">
        <f t="shared" si="120"/>
        <v>3,3,3</v>
      </c>
    </row>
    <row r="2598" spans="2:12">
      <c r="B2598" s="17">
        <v>2897</v>
      </c>
      <c r="C2598" s="17">
        <v>3</v>
      </c>
      <c r="D2598" s="17">
        <f t="shared" si="122"/>
        <v>0</v>
      </c>
      <c r="E2598" s="17">
        <f t="shared" si="121"/>
        <v>2013</v>
      </c>
      <c r="F2598" s="17" t="s">
        <v>4813</v>
      </c>
      <c r="G2598" s="17">
        <f>MATCH(E2598,Arenas!$F$8:$F$15)</f>
        <v>6</v>
      </c>
      <c r="H2598" s="29" t="s">
        <v>3968</v>
      </c>
      <c r="I2598" s="33" t="s">
        <v>9833</v>
      </c>
      <c r="J2598" s="47" t="s">
        <v>9834</v>
      </c>
      <c r="K2598" s="61" t="s">
        <v>4779</v>
      </c>
      <c r="L2598" s="12" t="str">
        <f t="shared" si="120"/>
        <v>3,3,3</v>
      </c>
    </row>
    <row r="2599" spans="2:12">
      <c r="B2599" s="17">
        <v>2898</v>
      </c>
      <c r="C2599" s="17">
        <v>3</v>
      </c>
      <c r="D2599" s="17">
        <f t="shared" si="122"/>
        <v>0</v>
      </c>
      <c r="E2599" s="17">
        <f t="shared" si="121"/>
        <v>2013</v>
      </c>
      <c r="F2599" s="17" t="s">
        <v>4813</v>
      </c>
      <c r="G2599" s="17">
        <f>MATCH(E2599,Arenas!$F$8:$F$15)</f>
        <v>6</v>
      </c>
      <c r="H2599" s="29" t="s">
        <v>3969</v>
      </c>
      <c r="I2599" s="33" t="s">
        <v>9835</v>
      </c>
      <c r="J2599" s="47" t="s">
        <v>9836</v>
      </c>
      <c r="K2599" s="61" t="s">
        <v>4779</v>
      </c>
      <c r="L2599" s="12" t="str">
        <f t="shared" si="120"/>
        <v>3,3,3</v>
      </c>
    </row>
    <row r="2600" spans="2:12">
      <c r="B2600" s="17">
        <v>2899</v>
      </c>
      <c r="C2600" s="17">
        <v>3</v>
      </c>
      <c r="D2600" s="17">
        <f t="shared" si="122"/>
        <v>1</v>
      </c>
      <c r="E2600" s="17">
        <f t="shared" si="121"/>
        <v>2014</v>
      </c>
      <c r="F2600" s="17" t="s">
        <v>4813</v>
      </c>
      <c r="G2600" s="17">
        <f>MATCH(E2600,Arenas!$F$8:$F$15)</f>
        <v>6</v>
      </c>
      <c r="H2600" s="29" t="s">
        <v>3970</v>
      </c>
      <c r="I2600" s="33" t="s">
        <v>9837</v>
      </c>
      <c r="J2600" s="47" t="s">
        <v>9838</v>
      </c>
      <c r="K2600" s="61" t="s">
        <v>4779</v>
      </c>
      <c r="L2600" s="12" t="str">
        <f t="shared" si="120"/>
        <v>3,3,3</v>
      </c>
    </row>
    <row r="2601" spans="2:12">
      <c r="B2601" s="17">
        <v>2900</v>
      </c>
      <c r="C2601" s="17">
        <v>3</v>
      </c>
      <c r="D2601" s="17">
        <f t="shared" si="122"/>
        <v>0</v>
      </c>
      <c r="E2601" s="17">
        <f t="shared" si="121"/>
        <v>2014</v>
      </c>
      <c r="F2601" s="17" t="s">
        <v>4813</v>
      </c>
      <c r="G2601" s="17">
        <f>MATCH(E2601,Arenas!$F$8:$F$15)</f>
        <v>6</v>
      </c>
      <c r="H2601" s="29" t="s">
        <v>3971</v>
      </c>
      <c r="I2601" s="33" t="s">
        <v>9839</v>
      </c>
      <c r="J2601" s="47" t="s">
        <v>5756</v>
      </c>
      <c r="K2601" s="61" t="s">
        <v>4779</v>
      </c>
      <c r="L2601" s="12" t="str">
        <f t="shared" si="120"/>
        <v>3,3,3</v>
      </c>
    </row>
    <row r="2602" spans="2:12">
      <c r="B2602" s="17">
        <v>2901</v>
      </c>
      <c r="C2602" s="17">
        <v>3</v>
      </c>
      <c r="D2602" s="17">
        <f t="shared" si="122"/>
        <v>0</v>
      </c>
      <c r="E2602" s="17">
        <f t="shared" si="121"/>
        <v>2014</v>
      </c>
      <c r="F2602" s="17" t="s">
        <v>4813</v>
      </c>
      <c r="G2602" s="17">
        <f>MATCH(E2602,Arenas!$F$8:$F$15)</f>
        <v>6</v>
      </c>
      <c r="H2602" s="29" t="s">
        <v>3972</v>
      </c>
      <c r="I2602" s="33" t="s">
        <v>9840</v>
      </c>
      <c r="J2602" s="47" t="s">
        <v>5912</v>
      </c>
      <c r="K2602" s="61" t="s">
        <v>4779</v>
      </c>
      <c r="L2602" s="12" t="str">
        <f t="shared" si="120"/>
        <v>3,3,3</v>
      </c>
    </row>
    <row r="2603" spans="2:12">
      <c r="B2603" s="17">
        <v>2902</v>
      </c>
      <c r="C2603" s="17">
        <v>3</v>
      </c>
      <c r="D2603" s="17">
        <f t="shared" si="122"/>
        <v>1</v>
      </c>
      <c r="E2603" s="17">
        <f t="shared" si="121"/>
        <v>2015</v>
      </c>
      <c r="F2603" s="17" t="s">
        <v>4813</v>
      </c>
      <c r="G2603" s="17">
        <f>MATCH(E2603,Arenas!$F$8:$F$15)</f>
        <v>6</v>
      </c>
      <c r="H2603" s="29" t="s">
        <v>3973</v>
      </c>
      <c r="I2603" s="33" t="s">
        <v>9841</v>
      </c>
      <c r="J2603" s="47" t="s">
        <v>9842</v>
      </c>
      <c r="K2603" s="61" t="s">
        <v>4807</v>
      </c>
      <c r="L2603" s="12" t="str">
        <f t="shared" si="120"/>
        <v>3,3,3</v>
      </c>
    </row>
    <row r="2604" spans="2:12">
      <c r="B2604" s="17">
        <v>2903</v>
      </c>
      <c r="C2604" s="17">
        <v>3</v>
      </c>
      <c r="D2604" s="17">
        <f t="shared" si="122"/>
        <v>0</v>
      </c>
      <c r="E2604" s="17">
        <f t="shared" si="121"/>
        <v>2015</v>
      </c>
      <c r="F2604" s="17" t="s">
        <v>4813</v>
      </c>
      <c r="G2604" s="17">
        <f>MATCH(E2604,Arenas!$F$8:$F$15)</f>
        <v>6</v>
      </c>
      <c r="H2604" s="29" t="s">
        <v>3974</v>
      </c>
      <c r="I2604" s="33" t="s">
        <v>9843</v>
      </c>
      <c r="J2604" s="47" t="s">
        <v>9844</v>
      </c>
      <c r="K2604" s="61" t="s">
        <v>4779</v>
      </c>
      <c r="L2604" s="12" t="str">
        <f t="shared" si="120"/>
        <v>3,3,3</v>
      </c>
    </row>
    <row r="2605" spans="2:12">
      <c r="B2605" s="17">
        <v>2904</v>
      </c>
      <c r="C2605" s="17">
        <v>3</v>
      </c>
      <c r="D2605" s="17">
        <f t="shared" si="122"/>
        <v>0</v>
      </c>
      <c r="E2605" s="17">
        <f t="shared" si="121"/>
        <v>2015</v>
      </c>
      <c r="F2605" s="17" t="s">
        <v>4813</v>
      </c>
      <c r="G2605" s="17">
        <f>MATCH(E2605,Arenas!$F$8:$F$15)</f>
        <v>6</v>
      </c>
      <c r="H2605" s="29" t="s">
        <v>3975</v>
      </c>
      <c r="I2605" s="33" t="s">
        <v>9845</v>
      </c>
      <c r="J2605" s="47" t="s">
        <v>9846</v>
      </c>
      <c r="K2605" s="61" t="s">
        <v>4779</v>
      </c>
      <c r="L2605" s="12" t="str">
        <f t="shared" si="120"/>
        <v>3,3,3</v>
      </c>
    </row>
    <row r="2606" spans="2:12">
      <c r="B2606" s="17">
        <v>2905</v>
      </c>
      <c r="C2606" s="17">
        <v>3</v>
      </c>
      <c r="D2606" s="17">
        <f t="shared" si="122"/>
        <v>1</v>
      </c>
      <c r="E2606" s="17">
        <f t="shared" si="121"/>
        <v>2016</v>
      </c>
      <c r="F2606" s="17" t="s">
        <v>4813</v>
      </c>
      <c r="G2606" s="17">
        <f>MATCH(E2606,Arenas!$F$8:$F$15)</f>
        <v>6</v>
      </c>
      <c r="H2606" s="29" t="s">
        <v>3976</v>
      </c>
      <c r="I2606" s="33" t="s">
        <v>9847</v>
      </c>
      <c r="J2606" s="47" t="s">
        <v>5545</v>
      </c>
      <c r="K2606" s="61" t="s">
        <v>4779</v>
      </c>
      <c r="L2606" s="12" t="str">
        <f t="shared" si="120"/>
        <v>3,3,3</v>
      </c>
    </row>
    <row r="2607" spans="2:12">
      <c r="B2607" s="17">
        <v>2906</v>
      </c>
      <c r="C2607" s="17">
        <v>3</v>
      </c>
      <c r="D2607" s="17">
        <f t="shared" si="122"/>
        <v>0</v>
      </c>
      <c r="E2607" s="17">
        <f t="shared" si="121"/>
        <v>2016</v>
      </c>
      <c r="F2607" s="17" t="s">
        <v>4813</v>
      </c>
      <c r="G2607" s="17">
        <f>MATCH(E2607,Arenas!$F$8:$F$15)</f>
        <v>6</v>
      </c>
      <c r="H2607" s="29" t="s">
        <v>3977</v>
      </c>
      <c r="I2607" s="33" t="s">
        <v>9848</v>
      </c>
      <c r="J2607" s="47" t="s">
        <v>5635</v>
      </c>
      <c r="K2607" s="61" t="s">
        <v>4779</v>
      </c>
      <c r="L2607" s="12" t="str">
        <f t="shared" si="120"/>
        <v>3,3,3</v>
      </c>
    </row>
    <row r="2608" spans="2:12">
      <c r="B2608" s="17">
        <v>2907</v>
      </c>
      <c r="C2608" s="17">
        <v>3</v>
      </c>
      <c r="D2608" s="17">
        <f t="shared" si="122"/>
        <v>0</v>
      </c>
      <c r="E2608" s="17">
        <f t="shared" si="121"/>
        <v>2016</v>
      </c>
      <c r="F2608" s="17" t="s">
        <v>4813</v>
      </c>
      <c r="G2608" s="17">
        <f>MATCH(E2608,Arenas!$F$8:$F$15)</f>
        <v>6</v>
      </c>
      <c r="H2608" s="29" t="s">
        <v>3978</v>
      </c>
      <c r="I2608" s="33" t="s">
        <v>9849</v>
      </c>
      <c r="J2608" s="47" t="s">
        <v>9850</v>
      </c>
      <c r="K2608" s="61" t="s">
        <v>4779</v>
      </c>
      <c r="L2608" s="12" t="str">
        <f t="shared" si="120"/>
        <v>3,3,3</v>
      </c>
    </row>
    <row r="2609" spans="2:12">
      <c r="B2609" s="17">
        <v>2908</v>
      </c>
      <c r="C2609" s="17">
        <v>3</v>
      </c>
      <c r="D2609" s="17">
        <f t="shared" si="122"/>
        <v>1</v>
      </c>
      <c r="E2609" s="17">
        <f t="shared" si="121"/>
        <v>2017</v>
      </c>
      <c r="F2609" s="17" t="s">
        <v>4813</v>
      </c>
      <c r="G2609" s="17">
        <f>MATCH(E2609,Arenas!$F$8:$F$15)</f>
        <v>6</v>
      </c>
      <c r="H2609" s="29" t="s">
        <v>3979</v>
      </c>
      <c r="I2609" s="33" t="s">
        <v>9851</v>
      </c>
      <c r="J2609" s="47" t="s">
        <v>8591</v>
      </c>
      <c r="K2609" s="61" t="s">
        <v>4779</v>
      </c>
      <c r="L2609" s="12" t="str">
        <f t="shared" si="120"/>
        <v>3,3,3</v>
      </c>
    </row>
    <row r="2610" spans="2:12">
      <c r="B2610" s="17">
        <v>2909</v>
      </c>
      <c r="C2610" s="17">
        <v>3</v>
      </c>
      <c r="D2610" s="17">
        <f t="shared" si="122"/>
        <v>0</v>
      </c>
      <c r="E2610" s="17">
        <f t="shared" si="121"/>
        <v>2017</v>
      </c>
      <c r="F2610" s="17" t="s">
        <v>4813</v>
      </c>
      <c r="G2610" s="17">
        <f>MATCH(E2610,Arenas!$F$8:$F$15)</f>
        <v>6</v>
      </c>
      <c r="H2610" s="29" t="s">
        <v>3980</v>
      </c>
      <c r="I2610" s="33" t="s">
        <v>9852</v>
      </c>
      <c r="J2610" s="47" t="s">
        <v>9853</v>
      </c>
      <c r="K2610" s="61" t="s">
        <v>4779</v>
      </c>
      <c r="L2610" s="12" t="str">
        <f t="shared" si="120"/>
        <v>3,3,3</v>
      </c>
    </row>
    <row r="2611" spans="2:12">
      <c r="B2611" s="17">
        <v>2910</v>
      </c>
      <c r="C2611" s="17">
        <v>3</v>
      </c>
      <c r="D2611" s="17">
        <f t="shared" si="122"/>
        <v>0</v>
      </c>
      <c r="E2611" s="17">
        <f t="shared" si="121"/>
        <v>2017</v>
      </c>
      <c r="F2611" s="17" t="s">
        <v>4813</v>
      </c>
      <c r="G2611" s="17">
        <f>MATCH(E2611,Arenas!$F$8:$F$15)</f>
        <v>6</v>
      </c>
      <c r="H2611" s="29" t="s">
        <v>3981</v>
      </c>
      <c r="I2611" s="33" t="s">
        <v>9854</v>
      </c>
      <c r="J2611" s="47" t="s">
        <v>9855</v>
      </c>
      <c r="K2611" s="61" t="s">
        <v>4779</v>
      </c>
      <c r="L2611" s="12" t="str">
        <f t="shared" si="120"/>
        <v>3,3,3</v>
      </c>
    </row>
    <row r="2612" spans="2:12">
      <c r="B2612" s="17">
        <v>2911</v>
      </c>
      <c r="C2612" s="17">
        <v>3</v>
      </c>
      <c r="D2612" s="17">
        <f t="shared" si="122"/>
        <v>1</v>
      </c>
      <c r="E2612" s="17">
        <f t="shared" si="121"/>
        <v>2018</v>
      </c>
      <c r="F2612" s="17" t="s">
        <v>4813</v>
      </c>
      <c r="G2612" s="17">
        <f>MATCH(E2612,Arenas!$F$8:$F$15)</f>
        <v>6</v>
      </c>
      <c r="H2612" s="29" t="s">
        <v>3982</v>
      </c>
      <c r="I2612" s="33" t="s">
        <v>9856</v>
      </c>
      <c r="J2612" s="47" t="s">
        <v>9857</v>
      </c>
      <c r="K2612" s="61" t="s">
        <v>4779</v>
      </c>
      <c r="L2612" s="12" t="str">
        <f t="shared" si="120"/>
        <v>3,3,3</v>
      </c>
    </row>
    <row r="2613" spans="2:12">
      <c r="B2613" s="17">
        <v>2912</v>
      </c>
      <c r="C2613" s="17">
        <v>3</v>
      </c>
      <c r="D2613" s="17">
        <f t="shared" si="122"/>
        <v>0</v>
      </c>
      <c r="E2613" s="17">
        <f t="shared" si="121"/>
        <v>2018</v>
      </c>
      <c r="F2613" s="17" t="s">
        <v>4813</v>
      </c>
      <c r="G2613" s="17">
        <f>MATCH(E2613,Arenas!$F$8:$F$15)</f>
        <v>6</v>
      </c>
      <c r="H2613" s="29" t="s">
        <v>3983</v>
      </c>
      <c r="I2613" s="33" t="s">
        <v>9858</v>
      </c>
      <c r="J2613" s="47" t="s">
        <v>9859</v>
      </c>
      <c r="K2613" s="61" t="s">
        <v>4779</v>
      </c>
      <c r="L2613" s="12" t="str">
        <f t="shared" si="120"/>
        <v>3,3,3</v>
      </c>
    </row>
    <row r="2614" spans="2:12">
      <c r="B2614" s="17">
        <v>2913</v>
      </c>
      <c r="C2614" s="17">
        <v>3</v>
      </c>
      <c r="D2614" s="17">
        <f t="shared" si="122"/>
        <v>0</v>
      </c>
      <c r="E2614" s="17">
        <f t="shared" si="121"/>
        <v>2018</v>
      </c>
      <c r="F2614" s="17" t="s">
        <v>4813</v>
      </c>
      <c r="G2614" s="17">
        <f>MATCH(E2614,Arenas!$F$8:$F$15)</f>
        <v>6</v>
      </c>
      <c r="H2614" s="29" t="s">
        <v>3984</v>
      </c>
      <c r="I2614" s="33" t="s">
        <v>9860</v>
      </c>
      <c r="J2614" s="47" t="s">
        <v>9861</v>
      </c>
      <c r="K2614" s="61" t="s">
        <v>4779</v>
      </c>
      <c r="L2614" s="12" t="str">
        <f t="shared" si="120"/>
        <v>3,3,3</v>
      </c>
    </row>
    <row r="2615" spans="2:12">
      <c r="B2615" s="17">
        <v>2914</v>
      </c>
      <c r="C2615" s="17">
        <v>3</v>
      </c>
      <c r="D2615" s="17">
        <f t="shared" si="122"/>
        <v>1</v>
      </c>
      <c r="E2615" s="17">
        <f t="shared" si="121"/>
        <v>2019</v>
      </c>
      <c r="F2615" s="17" t="s">
        <v>4813</v>
      </c>
      <c r="G2615" s="17">
        <f>MATCH(E2615,Arenas!$F$8:$F$15)</f>
        <v>6</v>
      </c>
      <c r="H2615" s="29" t="s">
        <v>3985</v>
      </c>
      <c r="I2615" s="33" t="s">
        <v>9862</v>
      </c>
      <c r="J2615" s="47" t="s">
        <v>9863</v>
      </c>
      <c r="K2615" s="61" t="s">
        <v>4779</v>
      </c>
      <c r="L2615" s="12" t="str">
        <f t="shared" si="120"/>
        <v>3,3,3</v>
      </c>
    </row>
    <row r="2616" spans="2:12">
      <c r="B2616" s="17">
        <v>2915</v>
      </c>
      <c r="C2616" s="17">
        <v>3</v>
      </c>
      <c r="D2616" s="17">
        <f t="shared" si="122"/>
        <v>0</v>
      </c>
      <c r="E2616" s="17">
        <f t="shared" si="121"/>
        <v>2019</v>
      </c>
      <c r="F2616" s="17" t="s">
        <v>4813</v>
      </c>
      <c r="G2616" s="17">
        <f>MATCH(E2616,Arenas!$F$8:$F$15)</f>
        <v>6</v>
      </c>
      <c r="H2616" s="29" t="s">
        <v>3986</v>
      </c>
      <c r="I2616" s="33" t="s">
        <v>9864</v>
      </c>
      <c r="J2616" s="47" t="s">
        <v>9865</v>
      </c>
      <c r="K2616" s="61" t="s">
        <v>4779</v>
      </c>
      <c r="L2616" s="12" t="str">
        <f t="shared" si="120"/>
        <v>3,3,3</v>
      </c>
    </row>
    <row r="2617" spans="2:12">
      <c r="B2617" s="17">
        <v>2916</v>
      </c>
      <c r="C2617" s="17">
        <v>3</v>
      </c>
      <c r="D2617" s="17">
        <f t="shared" si="122"/>
        <v>0</v>
      </c>
      <c r="E2617" s="17">
        <f t="shared" si="121"/>
        <v>2019</v>
      </c>
      <c r="F2617" s="17" t="s">
        <v>4813</v>
      </c>
      <c r="G2617" s="17">
        <f>MATCH(E2617,Arenas!$F$8:$F$15)</f>
        <v>6</v>
      </c>
      <c r="H2617" s="29" t="s">
        <v>3987</v>
      </c>
      <c r="I2617" s="33" t="s">
        <v>9866</v>
      </c>
      <c r="J2617" s="47" t="s">
        <v>9867</v>
      </c>
      <c r="K2617" s="61" t="s">
        <v>4779</v>
      </c>
      <c r="L2617" s="12" t="str">
        <f t="shared" si="120"/>
        <v>3,3,3</v>
      </c>
    </row>
    <row r="2618" spans="2:12">
      <c r="B2618" s="17">
        <v>2917</v>
      </c>
      <c r="C2618" s="17">
        <v>3</v>
      </c>
      <c r="D2618" s="17">
        <f t="shared" si="122"/>
        <v>1</v>
      </c>
      <c r="E2618" s="17">
        <f t="shared" si="121"/>
        <v>2020</v>
      </c>
      <c r="F2618" s="17" t="s">
        <v>4813</v>
      </c>
      <c r="G2618" s="17">
        <f>MATCH(E2618,Arenas!$F$8:$F$15)</f>
        <v>6</v>
      </c>
      <c r="H2618" s="29" t="s">
        <v>3988</v>
      </c>
      <c r="I2618" s="33" t="s">
        <v>9868</v>
      </c>
      <c r="J2618" s="47" t="s">
        <v>9869</v>
      </c>
      <c r="K2618" s="61" t="s">
        <v>4779</v>
      </c>
      <c r="L2618" s="12" t="str">
        <f t="shared" si="120"/>
        <v>3,3,3</v>
      </c>
    </row>
    <row r="2619" spans="2:12">
      <c r="B2619" s="17">
        <v>2918</v>
      </c>
      <c r="C2619" s="17">
        <v>3</v>
      </c>
      <c r="D2619" s="17">
        <f t="shared" si="122"/>
        <v>0</v>
      </c>
      <c r="E2619" s="17">
        <f t="shared" si="121"/>
        <v>2020</v>
      </c>
      <c r="F2619" s="17" t="s">
        <v>4813</v>
      </c>
      <c r="G2619" s="17">
        <f>MATCH(E2619,Arenas!$F$8:$F$15)</f>
        <v>6</v>
      </c>
      <c r="H2619" s="29" t="s">
        <v>3989</v>
      </c>
      <c r="I2619" s="33" t="s">
        <v>9870</v>
      </c>
      <c r="J2619" s="47" t="s">
        <v>9871</v>
      </c>
      <c r="K2619" s="61" t="s">
        <v>4779</v>
      </c>
      <c r="L2619" s="12" t="str">
        <f t="shared" si="120"/>
        <v>3,3,3</v>
      </c>
    </row>
    <row r="2620" spans="2:12">
      <c r="B2620" s="17">
        <v>2919</v>
      </c>
      <c r="C2620" s="17">
        <v>3</v>
      </c>
      <c r="D2620" s="17">
        <f t="shared" si="122"/>
        <v>0</v>
      </c>
      <c r="E2620" s="17">
        <f t="shared" si="121"/>
        <v>2020</v>
      </c>
      <c r="F2620" s="17" t="s">
        <v>4813</v>
      </c>
      <c r="G2620" s="17">
        <f>MATCH(E2620,Arenas!$F$8:$F$15)</f>
        <v>6</v>
      </c>
      <c r="H2620" s="29" t="s">
        <v>3990</v>
      </c>
      <c r="I2620" s="33" t="s">
        <v>9872</v>
      </c>
      <c r="J2620" s="47" t="s">
        <v>5905</v>
      </c>
      <c r="K2620" s="61" t="s">
        <v>4779</v>
      </c>
      <c r="L2620" s="12" t="str">
        <f t="shared" si="120"/>
        <v>3,3,3</v>
      </c>
    </row>
    <row r="2621" spans="2:12">
      <c r="B2621" s="17">
        <v>2920</v>
      </c>
      <c r="C2621" s="17">
        <v>3</v>
      </c>
      <c r="D2621" s="17">
        <f t="shared" si="122"/>
        <v>1</v>
      </c>
      <c r="E2621" s="17">
        <f t="shared" si="121"/>
        <v>2021</v>
      </c>
      <c r="F2621" s="17" t="s">
        <v>4813</v>
      </c>
      <c r="G2621" s="17">
        <f>MATCH(E2621,Arenas!$F$8:$F$15)</f>
        <v>6</v>
      </c>
      <c r="H2621" s="29" t="s">
        <v>3991</v>
      </c>
      <c r="I2621" s="33" t="s">
        <v>9873</v>
      </c>
      <c r="J2621" s="47" t="s">
        <v>9874</v>
      </c>
      <c r="K2621" s="61" t="s">
        <v>4779</v>
      </c>
      <c r="L2621" s="12" t="str">
        <f t="shared" si="120"/>
        <v>3,3,3</v>
      </c>
    </row>
    <row r="2622" spans="2:12">
      <c r="B2622" s="17">
        <v>2921</v>
      </c>
      <c r="C2622" s="17">
        <v>3</v>
      </c>
      <c r="D2622" s="17">
        <f t="shared" si="122"/>
        <v>0</v>
      </c>
      <c r="E2622" s="17">
        <f t="shared" si="121"/>
        <v>2021</v>
      </c>
      <c r="F2622" s="17" t="s">
        <v>4813</v>
      </c>
      <c r="G2622" s="17">
        <f>MATCH(E2622,Arenas!$F$8:$F$15)</f>
        <v>6</v>
      </c>
      <c r="H2622" s="29" t="s">
        <v>3992</v>
      </c>
      <c r="I2622" s="33" t="s">
        <v>9875</v>
      </c>
      <c r="J2622" s="47" t="s">
        <v>9876</v>
      </c>
      <c r="K2622" s="61" t="s">
        <v>4779</v>
      </c>
      <c r="L2622" s="12" t="str">
        <f t="shared" si="120"/>
        <v>3,3,3</v>
      </c>
    </row>
    <row r="2623" spans="2:12">
      <c r="B2623" s="17">
        <v>2922</v>
      </c>
      <c r="C2623" s="17">
        <v>3</v>
      </c>
      <c r="D2623" s="17">
        <f t="shared" si="122"/>
        <v>0</v>
      </c>
      <c r="E2623" s="17">
        <f t="shared" si="121"/>
        <v>2021</v>
      </c>
      <c r="F2623" s="17" t="s">
        <v>4813</v>
      </c>
      <c r="G2623" s="17">
        <f>MATCH(E2623,Arenas!$F$8:$F$15)</f>
        <v>6</v>
      </c>
      <c r="H2623" s="29" t="s">
        <v>3993</v>
      </c>
      <c r="I2623" s="33" t="s">
        <v>9877</v>
      </c>
      <c r="J2623" s="47" t="s">
        <v>9878</v>
      </c>
      <c r="K2623" s="61" t="s">
        <v>4779</v>
      </c>
      <c r="L2623" s="12" t="str">
        <f t="shared" si="120"/>
        <v>3,3,3</v>
      </c>
    </row>
    <row r="2624" spans="2:12">
      <c r="B2624" s="17">
        <v>2923</v>
      </c>
      <c r="C2624" s="17">
        <v>3</v>
      </c>
      <c r="D2624" s="17">
        <f t="shared" si="122"/>
        <v>1</v>
      </c>
      <c r="E2624" s="17">
        <f t="shared" si="121"/>
        <v>2022</v>
      </c>
      <c r="F2624" s="17" t="s">
        <v>4813</v>
      </c>
      <c r="G2624" s="17">
        <f>MATCH(E2624,Arenas!$F$8:$F$15)</f>
        <v>6</v>
      </c>
      <c r="H2624" s="29" t="s">
        <v>3994</v>
      </c>
      <c r="I2624" s="33" t="s">
        <v>9879</v>
      </c>
      <c r="J2624" s="47" t="s">
        <v>9880</v>
      </c>
      <c r="K2624" s="61" t="s">
        <v>4779</v>
      </c>
      <c r="L2624" s="12" t="str">
        <f t="shared" si="120"/>
        <v>3,3,3</v>
      </c>
    </row>
    <row r="2625" spans="2:12">
      <c r="B2625" s="17">
        <v>2924</v>
      </c>
      <c r="C2625" s="17">
        <v>3</v>
      </c>
      <c r="D2625" s="17">
        <f t="shared" si="122"/>
        <v>0</v>
      </c>
      <c r="E2625" s="17">
        <f t="shared" si="121"/>
        <v>2022</v>
      </c>
      <c r="F2625" s="17" t="s">
        <v>4813</v>
      </c>
      <c r="G2625" s="17">
        <f>MATCH(E2625,Arenas!$F$8:$F$15)</f>
        <v>6</v>
      </c>
      <c r="H2625" s="29" t="s">
        <v>3995</v>
      </c>
      <c r="I2625" s="33" t="s">
        <v>9881</v>
      </c>
      <c r="J2625" s="47" t="s">
        <v>9882</v>
      </c>
      <c r="K2625" s="61" t="s">
        <v>4779</v>
      </c>
      <c r="L2625" s="12" t="str">
        <f t="shared" si="120"/>
        <v>3,3,3</v>
      </c>
    </row>
    <row r="2626" spans="2:12">
      <c r="B2626" s="17">
        <v>2925</v>
      </c>
      <c r="C2626" s="17">
        <v>3</v>
      </c>
      <c r="D2626" s="17">
        <f t="shared" si="122"/>
        <v>0</v>
      </c>
      <c r="E2626" s="17">
        <f t="shared" si="121"/>
        <v>2022</v>
      </c>
      <c r="F2626" s="17" t="s">
        <v>4813</v>
      </c>
      <c r="G2626" s="17">
        <f>MATCH(E2626,Arenas!$F$8:$F$15)</f>
        <v>6</v>
      </c>
      <c r="H2626" s="29" t="s">
        <v>3996</v>
      </c>
      <c r="I2626" s="33" t="s">
        <v>9883</v>
      </c>
      <c r="J2626" s="47" t="s">
        <v>9884</v>
      </c>
      <c r="K2626" s="61" t="s">
        <v>4808</v>
      </c>
      <c r="L2626" s="12" t="str">
        <f t="shared" ref="L2626:L2689" si="123">C2626&amp;","&amp;C2626&amp;","&amp;C2626</f>
        <v>3,3,3</v>
      </c>
    </row>
    <row r="2627" spans="2:12">
      <c r="B2627" s="17">
        <v>2926</v>
      </c>
      <c r="C2627" s="17">
        <v>3</v>
      </c>
      <c r="D2627" s="17">
        <f t="shared" si="122"/>
        <v>1</v>
      </c>
      <c r="E2627" s="17">
        <f t="shared" ref="E2627:E2690" si="124">D2627+E2626</f>
        <v>2023</v>
      </c>
      <c r="F2627" s="17" t="s">
        <v>4813</v>
      </c>
      <c r="G2627" s="17">
        <f>MATCH(E2627,Arenas!$F$8:$F$15)</f>
        <v>6</v>
      </c>
      <c r="H2627" s="29" t="s">
        <v>3997</v>
      </c>
      <c r="I2627" s="33" t="s">
        <v>9885</v>
      </c>
      <c r="J2627" s="47" t="s">
        <v>5893</v>
      </c>
      <c r="K2627" s="61" t="s">
        <v>4779</v>
      </c>
      <c r="L2627" s="12" t="str">
        <f t="shared" si="123"/>
        <v>3,3,3</v>
      </c>
    </row>
    <row r="2628" spans="2:12">
      <c r="B2628" s="17">
        <v>2927</v>
      </c>
      <c r="C2628" s="17">
        <v>3</v>
      </c>
      <c r="D2628" s="17">
        <f t="shared" si="122"/>
        <v>0</v>
      </c>
      <c r="E2628" s="17">
        <f t="shared" si="124"/>
        <v>2023</v>
      </c>
      <c r="F2628" s="17" t="s">
        <v>4813</v>
      </c>
      <c r="G2628" s="17">
        <f>MATCH(E2628,Arenas!$F$8:$F$15)</f>
        <v>6</v>
      </c>
      <c r="H2628" s="29" t="s">
        <v>3998</v>
      </c>
      <c r="I2628" s="33" t="s">
        <v>9886</v>
      </c>
      <c r="J2628" s="47" t="s">
        <v>9887</v>
      </c>
      <c r="K2628" s="61" t="s">
        <v>4806</v>
      </c>
      <c r="L2628" s="12" t="str">
        <f t="shared" si="123"/>
        <v>3,3,3</v>
      </c>
    </row>
    <row r="2629" spans="2:12">
      <c r="B2629" s="17">
        <v>2928</v>
      </c>
      <c r="C2629" s="17">
        <v>3</v>
      </c>
      <c r="D2629" s="17">
        <f t="shared" ref="D2629:D2692" si="125">D2626</f>
        <v>0</v>
      </c>
      <c r="E2629" s="17">
        <f t="shared" si="124"/>
        <v>2023</v>
      </c>
      <c r="F2629" s="17" t="s">
        <v>4813</v>
      </c>
      <c r="G2629" s="17">
        <f>MATCH(E2629,Arenas!$F$8:$F$15)</f>
        <v>6</v>
      </c>
      <c r="H2629" s="29" t="s">
        <v>3999</v>
      </c>
      <c r="I2629" s="33" t="s">
        <v>9888</v>
      </c>
      <c r="J2629" s="47" t="s">
        <v>9889</v>
      </c>
      <c r="K2629" s="61" t="s">
        <v>4779</v>
      </c>
      <c r="L2629" s="12" t="str">
        <f t="shared" si="123"/>
        <v>3,3,3</v>
      </c>
    </row>
    <row r="2630" spans="2:12">
      <c r="B2630" s="17">
        <v>2929</v>
      </c>
      <c r="C2630" s="17">
        <v>3</v>
      </c>
      <c r="D2630" s="17">
        <f t="shared" si="125"/>
        <v>1</v>
      </c>
      <c r="E2630" s="17">
        <f t="shared" si="124"/>
        <v>2024</v>
      </c>
      <c r="F2630" s="17" t="s">
        <v>4813</v>
      </c>
      <c r="G2630" s="17">
        <f>MATCH(E2630,Arenas!$F$8:$F$15)</f>
        <v>6</v>
      </c>
      <c r="H2630" s="29" t="s">
        <v>4000</v>
      </c>
      <c r="I2630" s="33" t="s">
        <v>9890</v>
      </c>
      <c r="J2630" s="47" t="s">
        <v>9891</v>
      </c>
      <c r="K2630" s="61" t="s">
        <v>4779</v>
      </c>
      <c r="L2630" s="12" t="str">
        <f t="shared" si="123"/>
        <v>3,3,3</v>
      </c>
    </row>
    <row r="2631" spans="2:12">
      <c r="B2631" s="17">
        <v>2930</v>
      </c>
      <c r="C2631" s="17">
        <v>3</v>
      </c>
      <c r="D2631" s="17">
        <f t="shared" si="125"/>
        <v>0</v>
      </c>
      <c r="E2631" s="17">
        <f t="shared" si="124"/>
        <v>2024</v>
      </c>
      <c r="F2631" s="17" t="s">
        <v>4813</v>
      </c>
      <c r="G2631" s="17">
        <f>MATCH(E2631,Arenas!$F$8:$F$15)</f>
        <v>6</v>
      </c>
      <c r="H2631" s="29" t="s">
        <v>4001</v>
      </c>
      <c r="I2631" s="33" t="s">
        <v>9892</v>
      </c>
      <c r="J2631" s="47" t="s">
        <v>9893</v>
      </c>
      <c r="K2631" s="61" t="s">
        <v>4806</v>
      </c>
      <c r="L2631" s="12" t="str">
        <f t="shared" si="123"/>
        <v>3,3,3</v>
      </c>
    </row>
    <row r="2632" spans="2:12">
      <c r="B2632" s="17">
        <v>2931</v>
      </c>
      <c r="C2632" s="17">
        <v>3</v>
      </c>
      <c r="D2632" s="17">
        <f t="shared" si="125"/>
        <v>0</v>
      </c>
      <c r="E2632" s="17">
        <f t="shared" si="124"/>
        <v>2024</v>
      </c>
      <c r="F2632" s="17" t="s">
        <v>4813</v>
      </c>
      <c r="G2632" s="17">
        <f>MATCH(E2632,Arenas!$F$8:$F$15)</f>
        <v>6</v>
      </c>
      <c r="H2632" s="29" t="s">
        <v>4002</v>
      </c>
      <c r="I2632" s="33" t="s">
        <v>9894</v>
      </c>
      <c r="J2632" s="47" t="s">
        <v>9895</v>
      </c>
      <c r="K2632" s="61" t="s">
        <v>4807</v>
      </c>
      <c r="L2632" s="12" t="str">
        <f t="shared" si="123"/>
        <v>3,3,3</v>
      </c>
    </row>
    <row r="2633" spans="2:12">
      <c r="B2633" s="17">
        <v>2932</v>
      </c>
      <c r="C2633" s="17">
        <v>3</v>
      </c>
      <c r="D2633" s="17">
        <f t="shared" si="125"/>
        <v>1</v>
      </c>
      <c r="E2633" s="17">
        <f t="shared" si="124"/>
        <v>2025</v>
      </c>
      <c r="F2633" s="17" t="s">
        <v>4813</v>
      </c>
      <c r="G2633" s="17">
        <f>MATCH(E2633,Arenas!$F$8:$F$15)</f>
        <v>6</v>
      </c>
      <c r="H2633" s="29" t="s">
        <v>4003</v>
      </c>
      <c r="I2633" s="33" t="s">
        <v>9896</v>
      </c>
      <c r="J2633" s="47" t="s">
        <v>9897</v>
      </c>
      <c r="K2633" s="61" t="s">
        <v>4779</v>
      </c>
      <c r="L2633" s="12" t="str">
        <f t="shared" si="123"/>
        <v>3,3,3</v>
      </c>
    </row>
    <row r="2634" spans="2:12">
      <c r="B2634" s="17">
        <v>2933</v>
      </c>
      <c r="C2634" s="17">
        <v>3</v>
      </c>
      <c r="D2634" s="17">
        <f t="shared" si="125"/>
        <v>0</v>
      </c>
      <c r="E2634" s="17">
        <f t="shared" si="124"/>
        <v>2025</v>
      </c>
      <c r="F2634" s="17" t="s">
        <v>4813</v>
      </c>
      <c r="G2634" s="17">
        <f>MATCH(E2634,Arenas!$F$8:$F$15)</f>
        <v>6</v>
      </c>
      <c r="H2634" s="29" t="s">
        <v>4004</v>
      </c>
      <c r="I2634" s="33" t="s">
        <v>9898</v>
      </c>
      <c r="J2634" s="47" t="s">
        <v>7056</v>
      </c>
      <c r="K2634" s="61" t="s">
        <v>4779</v>
      </c>
      <c r="L2634" s="12" t="str">
        <f t="shared" si="123"/>
        <v>3,3,3</v>
      </c>
    </row>
    <row r="2635" spans="2:12">
      <c r="B2635" s="17">
        <v>2934</v>
      </c>
      <c r="C2635" s="17">
        <v>3</v>
      </c>
      <c r="D2635" s="17">
        <f t="shared" si="125"/>
        <v>0</v>
      </c>
      <c r="E2635" s="17">
        <f t="shared" si="124"/>
        <v>2025</v>
      </c>
      <c r="F2635" s="17" t="s">
        <v>4813</v>
      </c>
      <c r="G2635" s="17">
        <f>MATCH(E2635,Arenas!$F$8:$F$15)</f>
        <v>6</v>
      </c>
      <c r="H2635" s="29" t="s">
        <v>4005</v>
      </c>
      <c r="I2635" s="33" t="s">
        <v>9899</v>
      </c>
      <c r="J2635" s="47" t="s">
        <v>8125</v>
      </c>
      <c r="K2635" s="61" t="s">
        <v>4779</v>
      </c>
      <c r="L2635" s="12" t="str">
        <f t="shared" si="123"/>
        <v>3,3,3</v>
      </c>
    </row>
    <row r="2636" spans="2:12">
      <c r="B2636" s="17">
        <v>2935</v>
      </c>
      <c r="C2636" s="17">
        <v>3</v>
      </c>
      <c r="D2636" s="17">
        <f t="shared" si="125"/>
        <v>1</v>
      </c>
      <c r="E2636" s="17">
        <f t="shared" si="124"/>
        <v>2026</v>
      </c>
      <c r="F2636" s="17" t="s">
        <v>4813</v>
      </c>
      <c r="G2636" s="17">
        <f>MATCH(E2636,Arenas!$F$8:$F$15)</f>
        <v>6</v>
      </c>
      <c r="H2636" s="29" t="s">
        <v>4006</v>
      </c>
      <c r="I2636" s="33" t="s">
        <v>9900</v>
      </c>
      <c r="J2636" s="47" t="s">
        <v>9901</v>
      </c>
      <c r="K2636" s="61" t="s">
        <v>4779</v>
      </c>
      <c r="L2636" s="12" t="str">
        <f t="shared" si="123"/>
        <v>3,3,3</v>
      </c>
    </row>
    <row r="2637" spans="2:12">
      <c r="B2637" s="17">
        <v>2936</v>
      </c>
      <c r="C2637" s="17">
        <v>3</v>
      </c>
      <c r="D2637" s="17">
        <f t="shared" si="125"/>
        <v>0</v>
      </c>
      <c r="E2637" s="17">
        <f t="shared" si="124"/>
        <v>2026</v>
      </c>
      <c r="F2637" s="17" t="s">
        <v>4813</v>
      </c>
      <c r="G2637" s="17">
        <f>MATCH(E2637,Arenas!$F$8:$F$15)</f>
        <v>6</v>
      </c>
      <c r="H2637" s="29" t="s">
        <v>4007</v>
      </c>
      <c r="I2637" s="33" t="s">
        <v>9902</v>
      </c>
      <c r="J2637" s="47" t="s">
        <v>9903</v>
      </c>
      <c r="K2637" s="61" t="s">
        <v>4779</v>
      </c>
      <c r="L2637" s="12" t="str">
        <f t="shared" si="123"/>
        <v>3,3,3</v>
      </c>
    </row>
    <row r="2638" spans="2:12">
      <c r="B2638" s="17">
        <v>2937</v>
      </c>
      <c r="C2638" s="17">
        <v>3</v>
      </c>
      <c r="D2638" s="17">
        <f t="shared" si="125"/>
        <v>0</v>
      </c>
      <c r="E2638" s="17">
        <f t="shared" si="124"/>
        <v>2026</v>
      </c>
      <c r="F2638" s="17" t="s">
        <v>4813</v>
      </c>
      <c r="G2638" s="17">
        <f>MATCH(E2638,Arenas!$F$8:$F$15)</f>
        <v>6</v>
      </c>
      <c r="H2638" s="29" t="s">
        <v>4008</v>
      </c>
      <c r="I2638" s="33" t="s">
        <v>9904</v>
      </c>
      <c r="J2638" s="47" t="s">
        <v>9905</v>
      </c>
      <c r="K2638" s="61" t="s">
        <v>4779</v>
      </c>
      <c r="L2638" s="12" t="str">
        <f t="shared" si="123"/>
        <v>3,3,3</v>
      </c>
    </row>
    <row r="2639" spans="2:12">
      <c r="B2639" s="17">
        <v>2938</v>
      </c>
      <c r="C2639" s="17">
        <v>3</v>
      </c>
      <c r="D2639" s="17">
        <f t="shared" si="125"/>
        <v>1</v>
      </c>
      <c r="E2639" s="17">
        <f t="shared" si="124"/>
        <v>2027</v>
      </c>
      <c r="F2639" s="17" t="s">
        <v>4813</v>
      </c>
      <c r="G2639" s="17">
        <f>MATCH(E2639,Arenas!$F$8:$F$15)</f>
        <v>6</v>
      </c>
      <c r="H2639" s="29" t="s">
        <v>4009</v>
      </c>
      <c r="I2639" s="33" t="s">
        <v>9906</v>
      </c>
      <c r="J2639" s="47" t="s">
        <v>5615</v>
      </c>
      <c r="K2639" s="61" t="s">
        <v>4779</v>
      </c>
      <c r="L2639" s="12" t="str">
        <f t="shared" si="123"/>
        <v>3,3,3</v>
      </c>
    </row>
    <row r="2640" spans="2:12">
      <c r="B2640" s="17">
        <v>2939</v>
      </c>
      <c r="C2640" s="17">
        <v>3</v>
      </c>
      <c r="D2640" s="17">
        <f t="shared" si="125"/>
        <v>0</v>
      </c>
      <c r="E2640" s="17">
        <f t="shared" si="124"/>
        <v>2027</v>
      </c>
      <c r="F2640" s="17" t="s">
        <v>4813</v>
      </c>
      <c r="G2640" s="17">
        <f>MATCH(E2640,Arenas!$F$8:$F$15)</f>
        <v>6</v>
      </c>
      <c r="H2640" s="29" t="s">
        <v>4010</v>
      </c>
      <c r="I2640" s="33" t="s">
        <v>9907</v>
      </c>
      <c r="J2640" s="47" t="s">
        <v>9908</v>
      </c>
      <c r="K2640" s="61" t="s">
        <v>4779</v>
      </c>
      <c r="L2640" s="12" t="str">
        <f t="shared" si="123"/>
        <v>3,3,3</v>
      </c>
    </row>
    <row r="2641" spans="2:12">
      <c r="B2641" s="17">
        <v>2940</v>
      </c>
      <c r="C2641" s="17">
        <v>3</v>
      </c>
      <c r="D2641" s="17">
        <f t="shared" si="125"/>
        <v>0</v>
      </c>
      <c r="E2641" s="17">
        <f t="shared" si="124"/>
        <v>2027</v>
      </c>
      <c r="F2641" s="17" t="s">
        <v>4813</v>
      </c>
      <c r="G2641" s="17">
        <f>MATCH(E2641,Arenas!$F$8:$F$15)</f>
        <v>6</v>
      </c>
      <c r="H2641" s="29" t="s">
        <v>4011</v>
      </c>
      <c r="I2641" s="33" t="s">
        <v>9909</v>
      </c>
      <c r="J2641" s="47" t="s">
        <v>9910</v>
      </c>
      <c r="K2641" s="61" t="s">
        <v>4779</v>
      </c>
      <c r="L2641" s="12" t="str">
        <f t="shared" si="123"/>
        <v>3,3,3</v>
      </c>
    </row>
    <row r="2642" spans="2:12">
      <c r="B2642" s="17">
        <v>2941</v>
      </c>
      <c r="C2642" s="17">
        <v>3</v>
      </c>
      <c r="D2642" s="17">
        <f t="shared" si="125"/>
        <v>1</v>
      </c>
      <c r="E2642" s="17">
        <f t="shared" si="124"/>
        <v>2028</v>
      </c>
      <c r="F2642" s="17" t="s">
        <v>4813</v>
      </c>
      <c r="G2642" s="17">
        <f>MATCH(E2642,Arenas!$F$8:$F$15)</f>
        <v>6</v>
      </c>
      <c r="H2642" s="29" t="s">
        <v>4012</v>
      </c>
      <c r="I2642" s="33" t="s">
        <v>9911</v>
      </c>
      <c r="J2642" s="47" t="s">
        <v>9912</v>
      </c>
      <c r="K2642" s="61" t="s">
        <v>4779</v>
      </c>
      <c r="L2642" s="12" t="str">
        <f t="shared" si="123"/>
        <v>3,3,3</v>
      </c>
    </row>
    <row r="2643" spans="2:12">
      <c r="B2643" s="17">
        <v>2942</v>
      </c>
      <c r="C2643" s="17">
        <v>3</v>
      </c>
      <c r="D2643" s="17">
        <f t="shared" si="125"/>
        <v>0</v>
      </c>
      <c r="E2643" s="17">
        <f t="shared" si="124"/>
        <v>2028</v>
      </c>
      <c r="F2643" s="17" t="s">
        <v>4813</v>
      </c>
      <c r="G2643" s="17">
        <f>MATCH(E2643,Arenas!$F$8:$F$15)</f>
        <v>6</v>
      </c>
      <c r="H2643" s="29" t="s">
        <v>4013</v>
      </c>
      <c r="I2643" s="33" t="s">
        <v>9913</v>
      </c>
      <c r="J2643" s="47" t="s">
        <v>9914</v>
      </c>
      <c r="K2643" s="61" t="s">
        <v>4779</v>
      </c>
      <c r="L2643" s="12" t="str">
        <f t="shared" si="123"/>
        <v>3,3,3</v>
      </c>
    </row>
    <row r="2644" spans="2:12">
      <c r="B2644" s="17">
        <v>2943</v>
      </c>
      <c r="C2644" s="17">
        <v>3</v>
      </c>
      <c r="D2644" s="17">
        <f t="shared" si="125"/>
        <v>0</v>
      </c>
      <c r="E2644" s="17">
        <f t="shared" si="124"/>
        <v>2028</v>
      </c>
      <c r="F2644" s="17" t="s">
        <v>4813</v>
      </c>
      <c r="G2644" s="17">
        <f>MATCH(E2644,Arenas!$F$8:$F$15)</f>
        <v>6</v>
      </c>
      <c r="H2644" s="29" t="s">
        <v>4014</v>
      </c>
      <c r="I2644" s="33" t="s">
        <v>9915</v>
      </c>
      <c r="J2644" s="47" t="s">
        <v>9916</v>
      </c>
      <c r="K2644" s="61" t="s">
        <v>4779</v>
      </c>
      <c r="L2644" s="12" t="str">
        <f t="shared" si="123"/>
        <v>3,3,3</v>
      </c>
    </row>
    <row r="2645" spans="2:12">
      <c r="B2645" s="17">
        <v>2944</v>
      </c>
      <c r="C2645" s="17">
        <v>3</v>
      </c>
      <c r="D2645" s="17">
        <f t="shared" si="125"/>
        <v>1</v>
      </c>
      <c r="E2645" s="17">
        <f t="shared" si="124"/>
        <v>2029</v>
      </c>
      <c r="F2645" s="17" t="s">
        <v>4813</v>
      </c>
      <c r="G2645" s="17">
        <f>MATCH(E2645,Arenas!$F$8:$F$15)</f>
        <v>6</v>
      </c>
      <c r="H2645" s="29" t="s">
        <v>4015</v>
      </c>
      <c r="I2645" s="33" t="s">
        <v>9917</v>
      </c>
      <c r="J2645" s="47" t="s">
        <v>9918</v>
      </c>
      <c r="K2645" s="61" t="s">
        <v>4779</v>
      </c>
      <c r="L2645" s="12" t="str">
        <f t="shared" si="123"/>
        <v>3,3,3</v>
      </c>
    </row>
    <row r="2646" spans="2:12">
      <c r="B2646" s="17">
        <v>2945</v>
      </c>
      <c r="C2646" s="17">
        <v>3</v>
      </c>
      <c r="D2646" s="17">
        <f t="shared" si="125"/>
        <v>0</v>
      </c>
      <c r="E2646" s="17">
        <f t="shared" si="124"/>
        <v>2029</v>
      </c>
      <c r="F2646" s="17" t="s">
        <v>4813</v>
      </c>
      <c r="G2646" s="17">
        <f>MATCH(E2646,Arenas!$F$8:$F$15)</f>
        <v>6</v>
      </c>
      <c r="H2646" s="29" t="s">
        <v>4016</v>
      </c>
      <c r="I2646" s="33" t="s">
        <v>9919</v>
      </c>
      <c r="J2646" s="47" t="s">
        <v>9920</v>
      </c>
      <c r="K2646" s="61" t="s">
        <v>4779</v>
      </c>
      <c r="L2646" s="12" t="str">
        <f t="shared" si="123"/>
        <v>3,3,3</v>
      </c>
    </row>
    <row r="2647" spans="2:12">
      <c r="B2647" s="17">
        <v>2946</v>
      </c>
      <c r="C2647" s="17">
        <v>3</v>
      </c>
      <c r="D2647" s="17">
        <f t="shared" si="125"/>
        <v>0</v>
      </c>
      <c r="E2647" s="17">
        <f t="shared" si="124"/>
        <v>2029</v>
      </c>
      <c r="F2647" s="17" t="s">
        <v>4813</v>
      </c>
      <c r="G2647" s="17">
        <f>MATCH(E2647,Arenas!$F$8:$F$15)</f>
        <v>6</v>
      </c>
      <c r="H2647" s="29" t="s">
        <v>4017</v>
      </c>
      <c r="I2647" s="33" t="s">
        <v>9921</v>
      </c>
      <c r="J2647" s="47" t="s">
        <v>9922</v>
      </c>
      <c r="K2647" s="61" t="s">
        <v>4779</v>
      </c>
      <c r="L2647" s="12" t="str">
        <f t="shared" si="123"/>
        <v>3,3,3</v>
      </c>
    </row>
    <row r="2648" spans="2:12">
      <c r="B2648" s="17">
        <v>2947</v>
      </c>
      <c r="C2648" s="17">
        <v>3</v>
      </c>
      <c r="D2648" s="17">
        <f t="shared" si="125"/>
        <v>1</v>
      </c>
      <c r="E2648" s="17">
        <f t="shared" si="124"/>
        <v>2030</v>
      </c>
      <c r="F2648" s="17" t="s">
        <v>4813</v>
      </c>
      <c r="G2648" s="17">
        <f>MATCH(E2648,Arenas!$F$8:$F$15)</f>
        <v>6</v>
      </c>
      <c r="H2648" s="29" t="s">
        <v>4018</v>
      </c>
      <c r="I2648" s="33" t="s">
        <v>9923</v>
      </c>
      <c r="J2648" s="47" t="s">
        <v>9924</v>
      </c>
      <c r="K2648" s="61" t="s">
        <v>4809</v>
      </c>
      <c r="L2648" s="12" t="str">
        <f t="shared" si="123"/>
        <v>3,3,3</v>
      </c>
    </row>
    <row r="2649" spans="2:12">
      <c r="B2649" s="17">
        <v>2948</v>
      </c>
      <c r="C2649" s="17">
        <v>3</v>
      </c>
      <c r="D2649" s="17">
        <f t="shared" si="125"/>
        <v>0</v>
      </c>
      <c r="E2649" s="17">
        <f t="shared" si="124"/>
        <v>2030</v>
      </c>
      <c r="F2649" s="17" t="s">
        <v>4813</v>
      </c>
      <c r="G2649" s="17">
        <f>MATCH(E2649,Arenas!$F$8:$F$15)</f>
        <v>6</v>
      </c>
      <c r="H2649" s="29" t="s">
        <v>4019</v>
      </c>
      <c r="I2649" s="33" t="s">
        <v>9925</v>
      </c>
      <c r="J2649" s="47" t="s">
        <v>5532</v>
      </c>
      <c r="K2649" s="61" t="s">
        <v>4779</v>
      </c>
      <c r="L2649" s="12" t="str">
        <f t="shared" si="123"/>
        <v>3,3,3</v>
      </c>
    </row>
    <row r="2650" spans="2:12">
      <c r="B2650" s="17">
        <v>2949</v>
      </c>
      <c r="C2650" s="17">
        <v>3</v>
      </c>
      <c r="D2650" s="17">
        <f t="shared" si="125"/>
        <v>0</v>
      </c>
      <c r="E2650" s="17">
        <f t="shared" si="124"/>
        <v>2030</v>
      </c>
      <c r="F2650" s="17" t="s">
        <v>4813</v>
      </c>
      <c r="G2650" s="17">
        <f>MATCH(E2650,Arenas!$F$8:$F$15)</f>
        <v>6</v>
      </c>
      <c r="H2650" s="29" t="s">
        <v>4020</v>
      </c>
      <c r="I2650" s="33" t="s">
        <v>9926</v>
      </c>
      <c r="J2650" s="47" t="s">
        <v>9927</v>
      </c>
      <c r="K2650" s="61" t="s">
        <v>4779</v>
      </c>
      <c r="L2650" s="12" t="str">
        <f t="shared" si="123"/>
        <v>3,3,3</v>
      </c>
    </row>
    <row r="2651" spans="2:12">
      <c r="B2651" s="17">
        <v>2950</v>
      </c>
      <c r="C2651" s="17">
        <v>3</v>
      </c>
      <c r="D2651" s="17">
        <f t="shared" si="125"/>
        <v>1</v>
      </c>
      <c r="E2651" s="17">
        <f t="shared" si="124"/>
        <v>2031</v>
      </c>
      <c r="F2651" s="17" t="s">
        <v>4813</v>
      </c>
      <c r="G2651" s="17">
        <f>MATCH(E2651,Arenas!$F$8:$F$15)</f>
        <v>6</v>
      </c>
      <c r="H2651" s="29" t="s">
        <v>4021</v>
      </c>
      <c r="I2651" s="33" t="s">
        <v>9928</v>
      </c>
      <c r="J2651" s="47" t="s">
        <v>5385</v>
      </c>
      <c r="K2651" s="61" t="s">
        <v>4779</v>
      </c>
      <c r="L2651" s="12" t="str">
        <f t="shared" si="123"/>
        <v>3,3,3</v>
      </c>
    </row>
    <row r="2652" spans="2:12">
      <c r="B2652" s="17">
        <v>2951</v>
      </c>
      <c r="C2652" s="17">
        <v>3</v>
      </c>
      <c r="D2652" s="17">
        <f t="shared" si="125"/>
        <v>0</v>
      </c>
      <c r="E2652" s="17">
        <f t="shared" si="124"/>
        <v>2031</v>
      </c>
      <c r="F2652" s="17" t="s">
        <v>4813</v>
      </c>
      <c r="G2652" s="17">
        <f>MATCH(E2652,Arenas!$F$8:$F$15)</f>
        <v>6</v>
      </c>
      <c r="H2652" s="29" t="s">
        <v>4022</v>
      </c>
      <c r="I2652" s="33" t="s">
        <v>9929</v>
      </c>
      <c r="J2652" s="47" t="s">
        <v>5614</v>
      </c>
      <c r="K2652" s="61" t="s">
        <v>4779</v>
      </c>
      <c r="L2652" s="12" t="str">
        <f t="shared" si="123"/>
        <v>3,3,3</v>
      </c>
    </row>
    <row r="2653" spans="2:12">
      <c r="B2653" s="17">
        <v>2952</v>
      </c>
      <c r="C2653" s="17">
        <v>3</v>
      </c>
      <c r="D2653" s="17">
        <f t="shared" si="125"/>
        <v>0</v>
      </c>
      <c r="E2653" s="17">
        <f t="shared" si="124"/>
        <v>2031</v>
      </c>
      <c r="F2653" s="17" t="s">
        <v>4813</v>
      </c>
      <c r="G2653" s="17">
        <f>MATCH(E2653,Arenas!$F$8:$F$15)</f>
        <v>6</v>
      </c>
      <c r="H2653" s="29" t="s">
        <v>4023</v>
      </c>
      <c r="I2653" s="33" t="s">
        <v>9930</v>
      </c>
      <c r="J2653" s="47" t="s">
        <v>9931</v>
      </c>
      <c r="K2653" s="61" t="s">
        <v>4779</v>
      </c>
      <c r="L2653" s="12" t="str">
        <f t="shared" si="123"/>
        <v>3,3,3</v>
      </c>
    </row>
    <row r="2654" spans="2:12">
      <c r="B2654" s="17">
        <v>2953</v>
      </c>
      <c r="C2654" s="17">
        <v>3</v>
      </c>
      <c r="D2654" s="17">
        <f t="shared" si="125"/>
        <v>1</v>
      </c>
      <c r="E2654" s="17">
        <f t="shared" si="124"/>
        <v>2032</v>
      </c>
      <c r="F2654" s="17" t="s">
        <v>4813</v>
      </c>
      <c r="G2654" s="17">
        <f>MATCH(E2654,Arenas!$F$8:$F$15)</f>
        <v>6</v>
      </c>
      <c r="H2654" s="29" t="s">
        <v>4024</v>
      </c>
      <c r="I2654" s="33" t="s">
        <v>9932</v>
      </c>
      <c r="J2654" s="47" t="s">
        <v>9933</v>
      </c>
      <c r="K2654" s="61" t="s">
        <v>4810</v>
      </c>
      <c r="L2654" s="12" t="str">
        <f t="shared" si="123"/>
        <v>3,3,3</v>
      </c>
    </row>
    <row r="2655" spans="2:12">
      <c r="B2655" s="17">
        <v>2954</v>
      </c>
      <c r="C2655" s="17">
        <v>3</v>
      </c>
      <c r="D2655" s="17">
        <f t="shared" si="125"/>
        <v>0</v>
      </c>
      <c r="E2655" s="17">
        <f t="shared" si="124"/>
        <v>2032</v>
      </c>
      <c r="F2655" s="17" t="s">
        <v>4813</v>
      </c>
      <c r="G2655" s="17">
        <f>MATCH(E2655,Arenas!$F$8:$F$15)</f>
        <v>6</v>
      </c>
      <c r="H2655" s="29" t="s">
        <v>4025</v>
      </c>
      <c r="I2655" s="33" t="s">
        <v>9934</v>
      </c>
      <c r="J2655" s="47" t="s">
        <v>9935</v>
      </c>
      <c r="K2655" s="61" t="s">
        <v>4779</v>
      </c>
      <c r="L2655" s="12" t="str">
        <f t="shared" si="123"/>
        <v>3,3,3</v>
      </c>
    </row>
    <row r="2656" spans="2:12">
      <c r="B2656" s="17">
        <v>2955</v>
      </c>
      <c r="C2656" s="17">
        <v>3</v>
      </c>
      <c r="D2656" s="17">
        <f t="shared" si="125"/>
        <v>0</v>
      </c>
      <c r="E2656" s="17">
        <f t="shared" si="124"/>
        <v>2032</v>
      </c>
      <c r="F2656" s="17" t="s">
        <v>4813</v>
      </c>
      <c r="G2656" s="17">
        <f>MATCH(E2656,Arenas!$F$8:$F$15)</f>
        <v>6</v>
      </c>
      <c r="H2656" s="29" t="s">
        <v>4026</v>
      </c>
      <c r="I2656" s="33" t="s">
        <v>9936</v>
      </c>
      <c r="J2656" s="47" t="s">
        <v>9937</v>
      </c>
      <c r="K2656" s="61" t="s">
        <v>4779</v>
      </c>
      <c r="L2656" s="12" t="str">
        <f t="shared" si="123"/>
        <v>3,3,3</v>
      </c>
    </row>
    <row r="2657" spans="2:12">
      <c r="B2657" s="17">
        <v>2956</v>
      </c>
      <c r="C2657" s="17">
        <v>3</v>
      </c>
      <c r="D2657" s="17">
        <f t="shared" si="125"/>
        <v>1</v>
      </c>
      <c r="E2657" s="17">
        <f t="shared" si="124"/>
        <v>2033</v>
      </c>
      <c r="F2657" s="17" t="s">
        <v>4813</v>
      </c>
      <c r="G2657" s="17">
        <f>MATCH(E2657,Arenas!$F$8:$F$15)</f>
        <v>6</v>
      </c>
      <c r="H2657" s="29" t="s">
        <v>4027</v>
      </c>
      <c r="I2657" s="33" t="s">
        <v>9938</v>
      </c>
      <c r="J2657" s="47" t="s">
        <v>9939</v>
      </c>
      <c r="K2657" s="61" t="s">
        <v>4779</v>
      </c>
      <c r="L2657" s="12" t="str">
        <f t="shared" si="123"/>
        <v>3,3,3</v>
      </c>
    </row>
    <row r="2658" spans="2:12">
      <c r="B2658" s="17">
        <v>2957</v>
      </c>
      <c r="C2658" s="17">
        <v>3</v>
      </c>
      <c r="D2658" s="17">
        <f t="shared" si="125"/>
        <v>0</v>
      </c>
      <c r="E2658" s="17">
        <f t="shared" si="124"/>
        <v>2033</v>
      </c>
      <c r="F2658" s="17" t="s">
        <v>4813</v>
      </c>
      <c r="G2658" s="17">
        <f>MATCH(E2658,Arenas!$F$8:$F$15)</f>
        <v>6</v>
      </c>
      <c r="H2658" s="29" t="s">
        <v>4028</v>
      </c>
      <c r="I2658" s="33" t="s">
        <v>9940</v>
      </c>
      <c r="J2658" s="47" t="s">
        <v>9941</v>
      </c>
      <c r="K2658" s="61" t="s">
        <v>4779</v>
      </c>
      <c r="L2658" s="12" t="str">
        <f t="shared" si="123"/>
        <v>3,3,3</v>
      </c>
    </row>
    <row r="2659" spans="2:12">
      <c r="B2659" s="17">
        <v>2958</v>
      </c>
      <c r="C2659" s="17">
        <v>3</v>
      </c>
      <c r="D2659" s="17">
        <f t="shared" si="125"/>
        <v>0</v>
      </c>
      <c r="E2659" s="17">
        <f t="shared" si="124"/>
        <v>2033</v>
      </c>
      <c r="F2659" s="17" t="s">
        <v>4813</v>
      </c>
      <c r="G2659" s="17">
        <f>MATCH(E2659,Arenas!$F$8:$F$15)</f>
        <v>6</v>
      </c>
      <c r="H2659" s="29" t="s">
        <v>4029</v>
      </c>
      <c r="I2659" s="33" t="s">
        <v>9942</v>
      </c>
      <c r="J2659" s="47" t="s">
        <v>9943</v>
      </c>
      <c r="K2659" s="61" t="s">
        <v>4779</v>
      </c>
      <c r="L2659" s="12" t="str">
        <f t="shared" si="123"/>
        <v>3,3,3</v>
      </c>
    </row>
    <row r="2660" spans="2:12">
      <c r="B2660" s="17">
        <v>2959</v>
      </c>
      <c r="C2660" s="17">
        <v>3</v>
      </c>
      <c r="D2660" s="17">
        <f t="shared" si="125"/>
        <v>1</v>
      </c>
      <c r="E2660" s="17">
        <f t="shared" si="124"/>
        <v>2034</v>
      </c>
      <c r="F2660" s="17" t="s">
        <v>4813</v>
      </c>
      <c r="G2660" s="17">
        <f>MATCH(E2660,Arenas!$F$8:$F$15)</f>
        <v>6</v>
      </c>
      <c r="H2660" s="29" t="s">
        <v>4030</v>
      </c>
      <c r="I2660" s="33" t="s">
        <v>9944</v>
      </c>
      <c r="J2660" s="47" t="s">
        <v>9945</v>
      </c>
      <c r="K2660" s="61" t="s">
        <v>4779</v>
      </c>
      <c r="L2660" s="12" t="str">
        <f t="shared" si="123"/>
        <v>3,3,3</v>
      </c>
    </row>
    <row r="2661" spans="2:12">
      <c r="B2661" s="17">
        <v>2960</v>
      </c>
      <c r="C2661" s="17">
        <v>3</v>
      </c>
      <c r="D2661" s="17">
        <f t="shared" si="125"/>
        <v>0</v>
      </c>
      <c r="E2661" s="17">
        <f t="shared" si="124"/>
        <v>2034</v>
      </c>
      <c r="F2661" s="17" t="s">
        <v>4813</v>
      </c>
      <c r="G2661" s="17">
        <f>MATCH(E2661,Arenas!$F$8:$F$15)</f>
        <v>6</v>
      </c>
      <c r="H2661" s="29" t="s">
        <v>4031</v>
      </c>
      <c r="I2661" s="33" t="s">
        <v>9946</v>
      </c>
      <c r="J2661" s="47" t="s">
        <v>9947</v>
      </c>
      <c r="K2661" s="61" t="s">
        <v>4779</v>
      </c>
      <c r="L2661" s="12" t="str">
        <f t="shared" si="123"/>
        <v>3,3,3</v>
      </c>
    </row>
    <row r="2662" spans="2:12">
      <c r="B2662" s="17">
        <v>2961</v>
      </c>
      <c r="C2662" s="17">
        <v>3</v>
      </c>
      <c r="D2662" s="17">
        <f t="shared" si="125"/>
        <v>0</v>
      </c>
      <c r="E2662" s="17">
        <f t="shared" si="124"/>
        <v>2034</v>
      </c>
      <c r="F2662" s="17" t="s">
        <v>4813</v>
      </c>
      <c r="G2662" s="17">
        <f>MATCH(E2662,Arenas!$F$8:$F$15)</f>
        <v>6</v>
      </c>
      <c r="H2662" s="29" t="s">
        <v>4032</v>
      </c>
      <c r="I2662" s="33" t="s">
        <v>9948</v>
      </c>
      <c r="J2662" s="47" t="s">
        <v>9949</v>
      </c>
      <c r="K2662" s="61" t="s">
        <v>4779</v>
      </c>
      <c r="L2662" s="12" t="str">
        <f t="shared" si="123"/>
        <v>3,3,3</v>
      </c>
    </row>
    <row r="2663" spans="2:12">
      <c r="B2663" s="17">
        <v>2962</v>
      </c>
      <c r="C2663" s="17">
        <v>3</v>
      </c>
      <c r="D2663" s="17">
        <f t="shared" si="125"/>
        <v>1</v>
      </c>
      <c r="E2663" s="17">
        <f t="shared" si="124"/>
        <v>2035</v>
      </c>
      <c r="F2663" s="17" t="s">
        <v>4813</v>
      </c>
      <c r="G2663" s="17">
        <f>MATCH(E2663,Arenas!$F$8:$F$15)</f>
        <v>6</v>
      </c>
      <c r="H2663" s="29" t="s">
        <v>4033</v>
      </c>
      <c r="I2663" s="33" t="s">
        <v>9950</v>
      </c>
      <c r="J2663" s="47" t="s">
        <v>9951</v>
      </c>
      <c r="K2663" s="61" t="s">
        <v>4808</v>
      </c>
      <c r="L2663" s="12" t="str">
        <f t="shared" si="123"/>
        <v>3,3,3</v>
      </c>
    </row>
    <row r="2664" spans="2:12">
      <c r="B2664" s="17">
        <v>2963</v>
      </c>
      <c r="C2664" s="17">
        <v>3</v>
      </c>
      <c r="D2664" s="17">
        <f t="shared" si="125"/>
        <v>0</v>
      </c>
      <c r="E2664" s="17">
        <f t="shared" si="124"/>
        <v>2035</v>
      </c>
      <c r="F2664" s="17" t="s">
        <v>4813</v>
      </c>
      <c r="G2664" s="17">
        <f>MATCH(E2664,Arenas!$F$8:$F$15)</f>
        <v>6</v>
      </c>
      <c r="H2664" s="29" t="s">
        <v>4034</v>
      </c>
      <c r="I2664" s="33" t="s">
        <v>9952</v>
      </c>
      <c r="J2664" s="47" t="s">
        <v>9667</v>
      </c>
      <c r="K2664" s="61" t="s">
        <v>4779</v>
      </c>
      <c r="L2664" s="12" t="str">
        <f t="shared" si="123"/>
        <v>3,3,3</v>
      </c>
    </row>
    <row r="2665" spans="2:12">
      <c r="B2665" s="17">
        <v>2964</v>
      </c>
      <c r="C2665" s="17">
        <v>3</v>
      </c>
      <c r="D2665" s="17">
        <f t="shared" si="125"/>
        <v>0</v>
      </c>
      <c r="E2665" s="17">
        <f t="shared" si="124"/>
        <v>2035</v>
      </c>
      <c r="F2665" s="17" t="s">
        <v>4813</v>
      </c>
      <c r="G2665" s="17">
        <f>MATCH(E2665,Arenas!$F$8:$F$15)</f>
        <v>6</v>
      </c>
      <c r="H2665" s="29" t="s">
        <v>4035</v>
      </c>
      <c r="I2665" s="33" t="s">
        <v>9953</v>
      </c>
      <c r="J2665" s="47" t="s">
        <v>5326</v>
      </c>
      <c r="K2665" s="61" t="s">
        <v>4808</v>
      </c>
      <c r="L2665" s="12" t="str">
        <f t="shared" si="123"/>
        <v>3,3,3</v>
      </c>
    </row>
    <row r="2666" spans="2:12">
      <c r="B2666" s="17">
        <v>2965</v>
      </c>
      <c r="C2666" s="17">
        <v>3</v>
      </c>
      <c r="D2666" s="17">
        <f t="shared" si="125"/>
        <v>1</v>
      </c>
      <c r="E2666" s="17">
        <f t="shared" si="124"/>
        <v>2036</v>
      </c>
      <c r="F2666" s="17" t="s">
        <v>4813</v>
      </c>
      <c r="G2666" s="17">
        <f>MATCH(E2666,Arenas!$F$8:$F$15)</f>
        <v>6</v>
      </c>
      <c r="H2666" s="29" t="s">
        <v>4036</v>
      </c>
      <c r="I2666" s="33" t="s">
        <v>9954</v>
      </c>
      <c r="J2666" s="47" t="s">
        <v>9955</v>
      </c>
      <c r="K2666" s="61" t="s">
        <v>4779</v>
      </c>
      <c r="L2666" s="12" t="str">
        <f t="shared" si="123"/>
        <v>3,3,3</v>
      </c>
    </row>
    <row r="2667" spans="2:12">
      <c r="B2667" s="17">
        <v>2966</v>
      </c>
      <c r="C2667" s="17">
        <v>3</v>
      </c>
      <c r="D2667" s="17">
        <f t="shared" si="125"/>
        <v>0</v>
      </c>
      <c r="E2667" s="17">
        <f t="shared" si="124"/>
        <v>2036</v>
      </c>
      <c r="F2667" s="17" t="s">
        <v>4813</v>
      </c>
      <c r="G2667" s="17">
        <f>MATCH(E2667,Arenas!$F$8:$F$15)</f>
        <v>6</v>
      </c>
      <c r="H2667" s="29" t="s">
        <v>4037</v>
      </c>
      <c r="I2667" s="33" t="s">
        <v>9956</v>
      </c>
      <c r="J2667" s="47" t="s">
        <v>9957</v>
      </c>
      <c r="K2667" s="61" t="s">
        <v>4779</v>
      </c>
      <c r="L2667" s="12" t="str">
        <f t="shared" si="123"/>
        <v>3,3,3</v>
      </c>
    </row>
    <row r="2668" spans="2:12">
      <c r="B2668" s="17">
        <v>2967</v>
      </c>
      <c r="C2668" s="17">
        <v>3</v>
      </c>
      <c r="D2668" s="17">
        <f t="shared" si="125"/>
        <v>0</v>
      </c>
      <c r="E2668" s="17">
        <f t="shared" si="124"/>
        <v>2036</v>
      </c>
      <c r="F2668" s="17" t="s">
        <v>4813</v>
      </c>
      <c r="G2668" s="17">
        <f>MATCH(E2668,Arenas!$F$8:$F$15)</f>
        <v>6</v>
      </c>
      <c r="H2668" s="29" t="s">
        <v>4038</v>
      </c>
      <c r="I2668" s="33" t="s">
        <v>9958</v>
      </c>
      <c r="J2668" s="47" t="s">
        <v>5923</v>
      </c>
      <c r="K2668" s="61" t="s">
        <v>4779</v>
      </c>
      <c r="L2668" s="12" t="str">
        <f t="shared" si="123"/>
        <v>3,3,3</v>
      </c>
    </row>
    <row r="2669" spans="2:12">
      <c r="B2669" s="17">
        <v>2968</v>
      </c>
      <c r="C2669" s="17">
        <v>3</v>
      </c>
      <c r="D2669" s="17">
        <f t="shared" si="125"/>
        <v>1</v>
      </c>
      <c r="E2669" s="17">
        <f t="shared" si="124"/>
        <v>2037</v>
      </c>
      <c r="F2669" s="17" t="s">
        <v>4813</v>
      </c>
      <c r="G2669" s="17">
        <f>MATCH(E2669,Arenas!$F$8:$F$15)</f>
        <v>6</v>
      </c>
      <c r="H2669" s="29" t="s">
        <v>4039</v>
      </c>
      <c r="I2669" s="33" t="s">
        <v>9959</v>
      </c>
      <c r="J2669" s="47" t="s">
        <v>9960</v>
      </c>
      <c r="K2669" s="61" t="s">
        <v>4779</v>
      </c>
      <c r="L2669" s="12" t="str">
        <f t="shared" si="123"/>
        <v>3,3,3</v>
      </c>
    </row>
    <row r="2670" spans="2:12">
      <c r="B2670" s="17">
        <v>2969</v>
      </c>
      <c r="C2670" s="17">
        <v>3</v>
      </c>
      <c r="D2670" s="17">
        <f t="shared" si="125"/>
        <v>0</v>
      </c>
      <c r="E2670" s="17">
        <f t="shared" si="124"/>
        <v>2037</v>
      </c>
      <c r="F2670" s="17" t="s">
        <v>4813</v>
      </c>
      <c r="G2670" s="17">
        <f>MATCH(E2670,Arenas!$F$8:$F$15)</f>
        <v>6</v>
      </c>
      <c r="H2670" s="29" t="s">
        <v>4040</v>
      </c>
      <c r="I2670" s="33" t="s">
        <v>9961</v>
      </c>
      <c r="J2670" s="47" t="s">
        <v>5170</v>
      </c>
      <c r="K2670" s="61" t="s">
        <v>4779</v>
      </c>
      <c r="L2670" s="12" t="str">
        <f t="shared" si="123"/>
        <v>3,3,3</v>
      </c>
    </row>
    <row r="2671" spans="2:12">
      <c r="B2671" s="17">
        <v>2970</v>
      </c>
      <c r="C2671" s="17">
        <v>3</v>
      </c>
      <c r="D2671" s="17">
        <f t="shared" si="125"/>
        <v>0</v>
      </c>
      <c r="E2671" s="17">
        <f t="shared" si="124"/>
        <v>2037</v>
      </c>
      <c r="F2671" s="17" t="s">
        <v>4813</v>
      </c>
      <c r="G2671" s="17">
        <f>MATCH(E2671,Arenas!$F$8:$F$15)</f>
        <v>6</v>
      </c>
      <c r="H2671" s="29" t="s">
        <v>4041</v>
      </c>
      <c r="I2671" s="33" t="s">
        <v>9962</v>
      </c>
      <c r="J2671" s="47" t="s">
        <v>9963</v>
      </c>
      <c r="K2671" s="61" t="s">
        <v>4779</v>
      </c>
      <c r="L2671" s="12" t="str">
        <f t="shared" si="123"/>
        <v>3,3,3</v>
      </c>
    </row>
    <row r="2672" spans="2:12">
      <c r="B2672" s="17">
        <v>2971</v>
      </c>
      <c r="C2672" s="17">
        <v>3</v>
      </c>
      <c r="D2672" s="17">
        <f t="shared" si="125"/>
        <v>1</v>
      </c>
      <c r="E2672" s="17">
        <f t="shared" si="124"/>
        <v>2038</v>
      </c>
      <c r="F2672" s="17" t="s">
        <v>4813</v>
      </c>
      <c r="G2672" s="17">
        <f>MATCH(E2672,Arenas!$F$8:$F$15)</f>
        <v>6</v>
      </c>
      <c r="H2672" s="29" t="s">
        <v>4042</v>
      </c>
      <c r="I2672" s="33" t="s">
        <v>9964</v>
      </c>
      <c r="J2672" s="47" t="s">
        <v>9965</v>
      </c>
      <c r="K2672" s="61" t="s">
        <v>4779</v>
      </c>
      <c r="L2672" s="12" t="str">
        <f t="shared" si="123"/>
        <v>3,3,3</v>
      </c>
    </row>
    <row r="2673" spans="2:12">
      <c r="B2673" s="17">
        <v>2972</v>
      </c>
      <c r="C2673" s="17">
        <v>3</v>
      </c>
      <c r="D2673" s="17">
        <f t="shared" si="125"/>
        <v>0</v>
      </c>
      <c r="E2673" s="17">
        <f t="shared" si="124"/>
        <v>2038</v>
      </c>
      <c r="F2673" s="17" t="s">
        <v>4813</v>
      </c>
      <c r="G2673" s="17">
        <f>MATCH(E2673,Arenas!$F$8:$F$15)</f>
        <v>6</v>
      </c>
      <c r="H2673" s="29" t="s">
        <v>4043</v>
      </c>
      <c r="I2673" s="33" t="s">
        <v>9966</v>
      </c>
      <c r="J2673" s="47" t="s">
        <v>5629</v>
      </c>
      <c r="K2673" s="61" t="s">
        <v>4779</v>
      </c>
      <c r="L2673" s="12" t="str">
        <f t="shared" si="123"/>
        <v>3,3,3</v>
      </c>
    </row>
    <row r="2674" spans="2:12">
      <c r="B2674" s="17">
        <v>2973</v>
      </c>
      <c r="C2674" s="17">
        <v>3</v>
      </c>
      <c r="D2674" s="17">
        <f t="shared" si="125"/>
        <v>0</v>
      </c>
      <c r="E2674" s="17">
        <f t="shared" si="124"/>
        <v>2038</v>
      </c>
      <c r="F2674" s="17" t="s">
        <v>4813</v>
      </c>
      <c r="G2674" s="17">
        <f>MATCH(E2674,Arenas!$F$8:$F$15)</f>
        <v>6</v>
      </c>
      <c r="H2674" s="29" t="s">
        <v>4044</v>
      </c>
      <c r="I2674" s="33" t="s">
        <v>9967</v>
      </c>
      <c r="J2674" s="47" t="s">
        <v>9968</v>
      </c>
      <c r="K2674" s="61" t="s">
        <v>4779</v>
      </c>
      <c r="L2674" s="12" t="str">
        <f t="shared" si="123"/>
        <v>3,3,3</v>
      </c>
    </row>
    <row r="2675" spans="2:12">
      <c r="B2675" s="17">
        <v>2974</v>
      </c>
      <c r="C2675" s="17">
        <v>3</v>
      </c>
      <c r="D2675" s="17">
        <f t="shared" si="125"/>
        <v>1</v>
      </c>
      <c r="E2675" s="17">
        <f t="shared" si="124"/>
        <v>2039</v>
      </c>
      <c r="F2675" s="17" t="s">
        <v>4813</v>
      </c>
      <c r="G2675" s="17">
        <f>MATCH(E2675,Arenas!$F$8:$F$15)</f>
        <v>6</v>
      </c>
      <c r="H2675" s="29" t="s">
        <v>4045</v>
      </c>
      <c r="I2675" s="33" t="s">
        <v>9969</v>
      </c>
      <c r="J2675" s="47" t="s">
        <v>9970</v>
      </c>
      <c r="K2675" s="61" t="s">
        <v>4779</v>
      </c>
      <c r="L2675" s="12" t="str">
        <f t="shared" si="123"/>
        <v>3,3,3</v>
      </c>
    </row>
    <row r="2676" spans="2:12">
      <c r="B2676" s="17">
        <v>2975</v>
      </c>
      <c r="C2676" s="17">
        <v>3</v>
      </c>
      <c r="D2676" s="17">
        <f t="shared" si="125"/>
        <v>0</v>
      </c>
      <c r="E2676" s="17">
        <f t="shared" si="124"/>
        <v>2039</v>
      </c>
      <c r="F2676" s="17" t="s">
        <v>4813</v>
      </c>
      <c r="G2676" s="17">
        <f>MATCH(E2676,Arenas!$F$8:$F$15)</f>
        <v>6</v>
      </c>
      <c r="H2676" s="29" t="s">
        <v>4046</v>
      </c>
      <c r="I2676" s="33" t="s">
        <v>9971</v>
      </c>
      <c r="J2676" s="47" t="s">
        <v>9972</v>
      </c>
      <c r="K2676" s="61" t="s">
        <v>4807</v>
      </c>
      <c r="L2676" s="12" t="str">
        <f t="shared" si="123"/>
        <v>3,3,3</v>
      </c>
    </row>
    <row r="2677" spans="2:12">
      <c r="B2677" s="17">
        <v>2976</v>
      </c>
      <c r="C2677" s="17">
        <v>3</v>
      </c>
      <c r="D2677" s="17">
        <f t="shared" si="125"/>
        <v>0</v>
      </c>
      <c r="E2677" s="17">
        <f t="shared" si="124"/>
        <v>2039</v>
      </c>
      <c r="F2677" s="17" t="s">
        <v>4813</v>
      </c>
      <c r="G2677" s="17">
        <f>MATCH(E2677,Arenas!$F$8:$F$15)</f>
        <v>6</v>
      </c>
      <c r="H2677" s="29" t="s">
        <v>4047</v>
      </c>
      <c r="I2677" s="33" t="s">
        <v>9973</v>
      </c>
      <c r="J2677" s="47" t="s">
        <v>9974</v>
      </c>
      <c r="K2677" s="61" t="s">
        <v>4810</v>
      </c>
      <c r="L2677" s="12" t="str">
        <f t="shared" si="123"/>
        <v>3,3,3</v>
      </c>
    </row>
    <row r="2678" spans="2:12">
      <c r="B2678" s="17">
        <v>2977</v>
      </c>
      <c r="C2678" s="17">
        <v>3</v>
      </c>
      <c r="D2678" s="17">
        <f t="shared" si="125"/>
        <v>1</v>
      </c>
      <c r="E2678" s="17">
        <f t="shared" si="124"/>
        <v>2040</v>
      </c>
      <c r="F2678" s="17" t="s">
        <v>4813</v>
      </c>
      <c r="G2678" s="17">
        <f>MATCH(E2678,Arenas!$F$8:$F$15)</f>
        <v>6</v>
      </c>
      <c r="H2678" s="29" t="s">
        <v>4048</v>
      </c>
      <c r="I2678" s="33" t="s">
        <v>9975</v>
      </c>
      <c r="J2678" s="47" t="s">
        <v>9976</v>
      </c>
      <c r="K2678" s="61" t="s">
        <v>4779</v>
      </c>
      <c r="L2678" s="12" t="str">
        <f t="shared" si="123"/>
        <v>3,3,3</v>
      </c>
    </row>
    <row r="2679" spans="2:12">
      <c r="B2679" s="17">
        <v>2978</v>
      </c>
      <c r="C2679" s="17">
        <v>3</v>
      </c>
      <c r="D2679" s="17">
        <f t="shared" si="125"/>
        <v>0</v>
      </c>
      <c r="E2679" s="17">
        <f t="shared" si="124"/>
        <v>2040</v>
      </c>
      <c r="F2679" s="17" t="s">
        <v>4813</v>
      </c>
      <c r="G2679" s="17">
        <f>MATCH(E2679,Arenas!$F$8:$F$15)</f>
        <v>6</v>
      </c>
      <c r="H2679" s="29" t="s">
        <v>4049</v>
      </c>
      <c r="I2679" s="33" t="s">
        <v>9977</v>
      </c>
      <c r="J2679" s="47" t="s">
        <v>9978</v>
      </c>
      <c r="K2679" s="61" t="s">
        <v>4779</v>
      </c>
      <c r="L2679" s="12" t="str">
        <f t="shared" si="123"/>
        <v>3,3,3</v>
      </c>
    </row>
    <row r="2680" spans="2:12">
      <c r="B2680" s="17">
        <v>2979</v>
      </c>
      <c r="C2680" s="17">
        <v>3</v>
      </c>
      <c r="D2680" s="17">
        <f t="shared" si="125"/>
        <v>0</v>
      </c>
      <c r="E2680" s="17">
        <f t="shared" si="124"/>
        <v>2040</v>
      </c>
      <c r="F2680" s="17" t="s">
        <v>4813</v>
      </c>
      <c r="G2680" s="17">
        <f>MATCH(E2680,Arenas!$F$8:$F$15)</f>
        <v>6</v>
      </c>
      <c r="H2680" s="29" t="s">
        <v>4050</v>
      </c>
      <c r="I2680" s="33" t="s">
        <v>9979</v>
      </c>
      <c r="J2680" s="47" t="s">
        <v>9980</v>
      </c>
      <c r="K2680" s="61" t="s">
        <v>4779</v>
      </c>
      <c r="L2680" s="12" t="str">
        <f t="shared" si="123"/>
        <v>3,3,3</v>
      </c>
    </row>
    <row r="2681" spans="2:12">
      <c r="B2681" s="17">
        <v>2980</v>
      </c>
      <c r="C2681" s="17">
        <v>3</v>
      </c>
      <c r="D2681" s="17">
        <f t="shared" si="125"/>
        <v>1</v>
      </c>
      <c r="E2681" s="17">
        <f t="shared" si="124"/>
        <v>2041</v>
      </c>
      <c r="F2681" s="17" t="s">
        <v>4813</v>
      </c>
      <c r="G2681" s="17">
        <f>MATCH(E2681,Arenas!$F$8:$F$15)</f>
        <v>6</v>
      </c>
      <c r="H2681" s="29" t="s">
        <v>4051</v>
      </c>
      <c r="I2681" s="33" t="s">
        <v>9981</v>
      </c>
      <c r="J2681" s="47" t="s">
        <v>9982</v>
      </c>
      <c r="K2681" s="61" t="s">
        <v>4779</v>
      </c>
      <c r="L2681" s="12" t="str">
        <f t="shared" si="123"/>
        <v>3,3,3</v>
      </c>
    </row>
    <row r="2682" spans="2:12">
      <c r="B2682" s="17">
        <v>2981</v>
      </c>
      <c r="C2682" s="17">
        <v>3</v>
      </c>
      <c r="D2682" s="17">
        <f t="shared" si="125"/>
        <v>0</v>
      </c>
      <c r="E2682" s="17">
        <f t="shared" si="124"/>
        <v>2041</v>
      </c>
      <c r="F2682" s="17" t="s">
        <v>4813</v>
      </c>
      <c r="G2682" s="17">
        <f>MATCH(E2682,Arenas!$F$8:$F$15)</f>
        <v>6</v>
      </c>
      <c r="H2682" s="29" t="s">
        <v>4052</v>
      </c>
      <c r="I2682" s="33" t="s">
        <v>9983</v>
      </c>
      <c r="J2682" s="47" t="s">
        <v>9984</v>
      </c>
      <c r="K2682" s="61" t="s">
        <v>4779</v>
      </c>
      <c r="L2682" s="12" t="str">
        <f t="shared" si="123"/>
        <v>3,3,3</v>
      </c>
    </row>
    <row r="2683" spans="2:12">
      <c r="B2683" s="17">
        <v>2982</v>
      </c>
      <c r="C2683" s="17">
        <v>3</v>
      </c>
      <c r="D2683" s="17">
        <f t="shared" si="125"/>
        <v>0</v>
      </c>
      <c r="E2683" s="17">
        <f t="shared" si="124"/>
        <v>2041</v>
      </c>
      <c r="F2683" s="17" t="s">
        <v>4813</v>
      </c>
      <c r="G2683" s="17">
        <f>MATCH(E2683,Arenas!$F$8:$F$15)</f>
        <v>6</v>
      </c>
      <c r="H2683" s="29" t="s">
        <v>4053</v>
      </c>
      <c r="I2683" s="33" t="s">
        <v>9985</v>
      </c>
      <c r="J2683" s="47" t="s">
        <v>9986</v>
      </c>
      <c r="K2683" s="61" t="s">
        <v>4809</v>
      </c>
      <c r="L2683" s="12" t="str">
        <f t="shared" si="123"/>
        <v>3,3,3</v>
      </c>
    </row>
    <row r="2684" spans="2:12">
      <c r="B2684" s="17">
        <v>2983</v>
      </c>
      <c r="C2684" s="17">
        <v>3</v>
      </c>
      <c r="D2684" s="17">
        <f t="shared" si="125"/>
        <v>1</v>
      </c>
      <c r="E2684" s="17">
        <f t="shared" si="124"/>
        <v>2042</v>
      </c>
      <c r="F2684" s="17" t="s">
        <v>4813</v>
      </c>
      <c r="G2684" s="17">
        <f>MATCH(E2684,Arenas!$F$8:$F$15)</f>
        <v>6</v>
      </c>
      <c r="H2684" s="29" t="s">
        <v>4054</v>
      </c>
      <c r="I2684" s="33" t="s">
        <v>9987</v>
      </c>
      <c r="J2684" s="47" t="s">
        <v>5389</v>
      </c>
      <c r="K2684" s="61" t="s">
        <v>4779</v>
      </c>
      <c r="L2684" s="12" t="str">
        <f t="shared" si="123"/>
        <v>3,3,3</v>
      </c>
    </row>
    <row r="2685" spans="2:12">
      <c r="B2685" s="17">
        <v>2984</v>
      </c>
      <c r="C2685" s="17">
        <v>3</v>
      </c>
      <c r="D2685" s="17">
        <f t="shared" si="125"/>
        <v>0</v>
      </c>
      <c r="E2685" s="17">
        <f t="shared" si="124"/>
        <v>2042</v>
      </c>
      <c r="F2685" s="17" t="s">
        <v>4813</v>
      </c>
      <c r="G2685" s="17">
        <f>MATCH(E2685,Arenas!$F$8:$F$15)</f>
        <v>6</v>
      </c>
      <c r="H2685" s="29" t="s">
        <v>4055</v>
      </c>
      <c r="I2685" s="33" t="s">
        <v>9988</v>
      </c>
      <c r="J2685" s="47" t="s">
        <v>9989</v>
      </c>
      <c r="K2685" s="61" t="s">
        <v>4809</v>
      </c>
      <c r="L2685" s="12" t="str">
        <f t="shared" si="123"/>
        <v>3,3,3</v>
      </c>
    </row>
    <row r="2686" spans="2:12">
      <c r="B2686" s="17">
        <v>2985</v>
      </c>
      <c r="C2686" s="17">
        <v>3</v>
      </c>
      <c r="D2686" s="17">
        <f t="shared" si="125"/>
        <v>0</v>
      </c>
      <c r="E2686" s="17">
        <f t="shared" si="124"/>
        <v>2042</v>
      </c>
      <c r="F2686" s="17" t="s">
        <v>4813</v>
      </c>
      <c r="G2686" s="17">
        <f>MATCH(E2686,Arenas!$F$8:$F$15)</f>
        <v>6</v>
      </c>
      <c r="H2686" s="29" t="s">
        <v>4056</v>
      </c>
      <c r="I2686" s="33" t="s">
        <v>9990</v>
      </c>
      <c r="J2686" s="47" t="s">
        <v>9991</v>
      </c>
      <c r="K2686" s="61" t="s">
        <v>4779</v>
      </c>
      <c r="L2686" s="12" t="str">
        <f t="shared" si="123"/>
        <v>3,3,3</v>
      </c>
    </row>
    <row r="2687" spans="2:12">
      <c r="B2687" s="17">
        <v>2986</v>
      </c>
      <c r="C2687" s="17">
        <v>3</v>
      </c>
      <c r="D2687" s="17">
        <f t="shared" si="125"/>
        <v>1</v>
      </c>
      <c r="E2687" s="17">
        <f t="shared" si="124"/>
        <v>2043</v>
      </c>
      <c r="F2687" s="17" t="s">
        <v>4813</v>
      </c>
      <c r="G2687" s="17">
        <f>MATCH(E2687,Arenas!$F$8:$F$15)</f>
        <v>6</v>
      </c>
      <c r="H2687" s="29" t="s">
        <v>4057</v>
      </c>
      <c r="I2687" s="33" t="s">
        <v>9992</v>
      </c>
      <c r="J2687" s="47" t="s">
        <v>9993</v>
      </c>
      <c r="K2687" s="61" t="s">
        <v>4779</v>
      </c>
      <c r="L2687" s="12" t="str">
        <f t="shared" si="123"/>
        <v>3,3,3</v>
      </c>
    </row>
    <row r="2688" spans="2:12">
      <c r="B2688" s="17">
        <v>2987</v>
      </c>
      <c r="C2688" s="17">
        <v>3</v>
      </c>
      <c r="D2688" s="17">
        <f t="shared" si="125"/>
        <v>0</v>
      </c>
      <c r="E2688" s="17">
        <f t="shared" si="124"/>
        <v>2043</v>
      </c>
      <c r="F2688" s="17" t="s">
        <v>4813</v>
      </c>
      <c r="G2688" s="17">
        <f>MATCH(E2688,Arenas!$F$8:$F$15)</f>
        <v>6</v>
      </c>
      <c r="H2688" s="29" t="s">
        <v>4058</v>
      </c>
      <c r="I2688" s="33" t="s">
        <v>9994</v>
      </c>
      <c r="J2688" s="47" t="s">
        <v>9995</v>
      </c>
      <c r="K2688" s="61" t="s">
        <v>4779</v>
      </c>
      <c r="L2688" s="12" t="str">
        <f t="shared" si="123"/>
        <v>3,3,3</v>
      </c>
    </row>
    <row r="2689" spans="2:12">
      <c r="B2689" s="17">
        <v>2988</v>
      </c>
      <c r="C2689" s="17">
        <v>3</v>
      </c>
      <c r="D2689" s="17">
        <f t="shared" si="125"/>
        <v>0</v>
      </c>
      <c r="E2689" s="17">
        <f t="shared" si="124"/>
        <v>2043</v>
      </c>
      <c r="F2689" s="17" t="s">
        <v>4813</v>
      </c>
      <c r="G2689" s="17">
        <f>MATCH(E2689,Arenas!$F$8:$F$15)</f>
        <v>6</v>
      </c>
      <c r="H2689" s="29" t="s">
        <v>4059</v>
      </c>
      <c r="I2689" s="33" t="s">
        <v>9996</v>
      </c>
      <c r="J2689" s="47" t="s">
        <v>9997</v>
      </c>
      <c r="K2689" s="61" t="s">
        <v>4806</v>
      </c>
      <c r="L2689" s="12" t="str">
        <f t="shared" si="123"/>
        <v>3,3,3</v>
      </c>
    </row>
    <row r="2690" spans="2:12">
      <c r="B2690" s="17">
        <v>2989</v>
      </c>
      <c r="C2690" s="17">
        <v>3</v>
      </c>
      <c r="D2690" s="17">
        <f t="shared" si="125"/>
        <v>1</v>
      </c>
      <c r="E2690" s="17">
        <f t="shared" si="124"/>
        <v>2044</v>
      </c>
      <c r="F2690" s="17" t="s">
        <v>4813</v>
      </c>
      <c r="G2690" s="17">
        <f>MATCH(E2690,Arenas!$F$8:$F$15)</f>
        <v>6</v>
      </c>
      <c r="H2690" s="29" t="s">
        <v>4060</v>
      </c>
      <c r="I2690" s="33" t="s">
        <v>9998</v>
      </c>
      <c r="J2690" s="47" t="s">
        <v>9999</v>
      </c>
      <c r="K2690" s="61" t="s">
        <v>4807</v>
      </c>
      <c r="L2690" s="12" t="str">
        <f t="shared" ref="L2690:L2753" si="126">C2690&amp;","&amp;C2690&amp;","&amp;C2690</f>
        <v>3,3,3</v>
      </c>
    </row>
    <row r="2691" spans="2:12">
      <c r="B2691" s="17">
        <v>2990</v>
      </c>
      <c r="C2691" s="17">
        <v>3</v>
      </c>
      <c r="D2691" s="17">
        <f t="shared" si="125"/>
        <v>0</v>
      </c>
      <c r="E2691" s="17">
        <f t="shared" ref="E2691:E2754" si="127">D2691+E2690</f>
        <v>2044</v>
      </c>
      <c r="F2691" s="17" t="s">
        <v>4813</v>
      </c>
      <c r="G2691" s="17">
        <f>MATCH(E2691,Arenas!$F$8:$F$15)</f>
        <v>6</v>
      </c>
      <c r="H2691" s="29" t="s">
        <v>4061</v>
      </c>
      <c r="I2691" s="33" t="s">
        <v>10000</v>
      </c>
      <c r="J2691" s="47" t="s">
        <v>10001</v>
      </c>
      <c r="K2691" s="61" t="s">
        <v>4779</v>
      </c>
      <c r="L2691" s="12" t="str">
        <f t="shared" si="126"/>
        <v>3,3,3</v>
      </c>
    </row>
    <row r="2692" spans="2:12">
      <c r="B2692" s="17">
        <v>2991</v>
      </c>
      <c r="C2692" s="17">
        <v>3</v>
      </c>
      <c r="D2692" s="17">
        <f t="shared" si="125"/>
        <v>0</v>
      </c>
      <c r="E2692" s="17">
        <f t="shared" si="127"/>
        <v>2044</v>
      </c>
      <c r="F2692" s="17" t="s">
        <v>4813</v>
      </c>
      <c r="G2692" s="17">
        <f>MATCH(E2692,Arenas!$F$8:$F$15)</f>
        <v>6</v>
      </c>
      <c r="H2692" s="29" t="s">
        <v>4062</v>
      </c>
      <c r="I2692" s="33" t="s">
        <v>10002</v>
      </c>
      <c r="J2692" s="47" t="s">
        <v>10003</v>
      </c>
      <c r="K2692" s="61" t="s">
        <v>4779</v>
      </c>
      <c r="L2692" s="12" t="str">
        <f t="shared" si="126"/>
        <v>3,3,3</v>
      </c>
    </row>
    <row r="2693" spans="2:12">
      <c r="B2693" s="17">
        <v>2992</v>
      </c>
      <c r="C2693" s="17">
        <v>3</v>
      </c>
      <c r="D2693" s="17">
        <f t="shared" ref="D2693:D2756" si="128">D2690</f>
        <v>1</v>
      </c>
      <c r="E2693" s="17">
        <f t="shared" si="127"/>
        <v>2045</v>
      </c>
      <c r="F2693" s="17" t="s">
        <v>4813</v>
      </c>
      <c r="G2693" s="17">
        <f>MATCH(E2693,Arenas!$F$8:$F$15)</f>
        <v>6</v>
      </c>
      <c r="H2693" s="29" t="s">
        <v>4063</v>
      </c>
      <c r="I2693" s="33" t="s">
        <v>10004</v>
      </c>
      <c r="J2693" s="47" t="s">
        <v>10005</v>
      </c>
      <c r="K2693" s="61" t="s">
        <v>4779</v>
      </c>
      <c r="L2693" s="12" t="str">
        <f t="shared" si="126"/>
        <v>3,3,3</v>
      </c>
    </row>
    <row r="2694" spans="2:12">
      <c r="B2694" s="17">
        <v>2993</v>
      </c>
      <c r="C2694" s="17">
        <v>3</v>
      </c>
      <c r="D2694" s="17">
        <f t="shared" si="128"/>
        <v>0</v>
      </c>
      <c r="E2694" s="17">
        <f t="shared" si="127"/>
        <v>2045</v>
      </c>
      <c r="F2694" s="17" t="s">
        <v>4813</v>
      </c>
      <c r="G2694" s="17">
        <f>MATCH(E2694,Arenas!$F$8:$F$15)</f>
        <v>6</v>
      </c>
      <c r="H2694" s="29" t="s">
        <v>4064</v>
      </c>
      <c r="I2694" s="33" t="s">
        <v>10006</v>
      </c>
      <c r="J2694" s="47" t="s">
        <v>10007</v>
      </c>
      <c r="K2694" s="61" t="s">
        <v>4779</v>
      </c>
      <c r="L2694" s="12" t="str">
        <f t="shared" si="126"/>
        <v>3,3,3</v>
      </c>
    </row>
    <row r="2695" spans="2:12">
      <c r="B2695" s="17">
        <v>2994</v>
      </c>
      <c r="C2695" s="17">
        <v>3</v>
      </c>
      <c r="D2695" s="17">
        <f t="shared" si="128"/>
        <v>0</v>
      </c>
      <c r="E2695" s="17">
        <f t="shared" si="127"/>
        <v>2045</v>
      </c>
      <c r="F2695" s="17" t="s">
        <v>4813</v>
      </c>
      <c r="G2695" s="17">
        <f>MATCH(E2695,Arenas!$F$8:$F$15)</f>
        <v>6</v>
      </c>
      <c r="H2695" s="29" t="s">
        <v>4065</v>
      </c>
      <c r="I2695" s="33" t="s">
        <v>10008</v>
      </c>
      <c r="J2695" s="47" t="s">
        <v>10009</v>
      </c>
      <c r="K2695" s="61" t="s">
        <v>4806</v>
      </c>
      <c r="L2695" s="12" t="str">
        <f t="shared" si="126"/>
        <v>3,3,3</v>
      </c>
    </row>
    <row r="2696" spans="2:12">
      <c r="B2696" s="17">
        <v>2995</v>
      </c>
      <c r="C2696" s="17">
        <v>3</v>
      </c>
      <c r="D2696" s="17">
        <f t="shared" si="128"/>
        <v>1</v>
      </c>
      <c r="E2696" s="17">
        <f t="shared" si="127"/>
        <v>2046</v>
      </c>
      <c r="F2696" s="17" t="s">
        <v>4813</v>
      </c>
      <c r="G2696" s="17">
        <f>MATCH(E2696,Arenas!$F$8:$F$15)</f>
        <v>6</v>
      </c>
      <c r="H2696" s="29" t="s">
        <v>4066</v>
      </c>
      <c r="I2696" s="33" t="s">
        <v>10010</v>
      </c>
      <c r="J2696" s="47" t="s">
        <v>10011</v>
      </c>
      <c r="K2696" s="61" t="s">
        <v>4806</v>
      </c>
      <c r="L2696" s="12" t="str">
        <f t="shared" si="126"/>
        <v>3,3,3</v>
      </c>
    </row>
    <row r="2697" spans="2:12">
      <c r="B2697" s="17">
        <v>2996</v>
      </c>
      <c r="C2697" s="17">
        <v>3</v>
      </c>
      <c r="D2697" s="17">
        <f t="shared" si="128"/>
        <v>0</v>
      </c>
      <c r="E2697" s="17">
        <f t="shared" si="127"/>
        <v>2046</v>
      </c>
      <c r="F2697" s="17" t="s">
        <v>4813</v>
      </c>
      <c r="G2697" s="17">
        <f>MATCH(E2697,Arenas!$F$8:$F$15)</f>
        <v>6</v>
      </c>
      <c r="H2697" s="29" t="s">
        <v>4067</v>
      </c>
      <c r="I2697" s="33" t="s">
        <v>10012</v>
      </c>
      <c r="J2697" s="47" t="s">
        <v>10013</v>
      </c>
      <c r="K2697" s="61" t="s">
        <v>4779</v>
      </c>
      <c r="L2697" s="12" t="str">
        <f t="shared" si="126"/>
        <v>3,3,3</v>
      </c>
    </row>
    <row r="2698" spans="2:12">
      <c r="B2698" s="17">
        <v>2997</v>
      </c>
      <c r="C2698" s="17">
        <v>3</v>
      </c>
      <c r="D2698" s="17">
        <f t="shared" si="128"/>
        <v>0</v>
      </c>
      <c r="E2698" s="17">
        <f t="shared" si="127"/>
        <v>2046</v>
      </c>
      <c r="F2698" s="17" t="s">
        <v>4813</v>
      </c>
      <c r="G2698" s="17">
        <f>MATCH(E2698,Arenas!$F$8:$F$15)</f>
        <v>6</v>
      </c>
      <c r="H2698" s="29" t="s">
        <v>4068</v>
      </c>
      <c r="I2698" s="33" t="s">
        <v>10014</v>
      </c>
      <c r="J2698" s="47" t="s">
        <v>10015</v>
      </c>
      <c r="K2698" s="61" t="s">
        <v>4779</v>
      </c>
      <c r="L2698" s="12" t="str">
        <f t="shared" si="126"/>
        <v>3,3,3</v>
      </c>
    </row>
    <row r="2699" spans="2:12">
      <c r="B2699" s="17">
        <v>2998</v>
      </c>
      <c r="C2699" s="17">
        <v>3</v>
      </c>
      <c r="D2699" s="17">
        <f t="shared" si="128"/>
        <v>1</v>
      </c>
      <c r="E2699" s="17">
        <f t="shared" si="127"/>
        <v>2047</v>
      </c>
      <c r="F2699" s="17" t="s">
        <v>4813</v>
      </c>
      <c r="G2699" s="17">
        <f>MATCH(E2699,Arenas!$F$8:$F$15)</f>
        <v>6</v>
      </c>
      <c r="H2699" s="29" t="s">
        <v>4069</v>
      </c>
      <c r="I2699" s="33" t="s">
        <v>10016</v>
      </c>
      <c r="J2699" s="47" t="s">
        <v>10017</v>
      </c>
      <c r="K2699" s="61" t="s">
        <v>4806</v>
      </c>
      <c r="L2699" s="12" t="str">
        <f t="shared" si="126"/>
        <v>3,3,3</v>
      </c>
    </row>
    <row r="2700" spans="2:12">
      <c r="B2700" s="17">
        <v>2999</v>
      </c>
      <c r="C2700" s="17">
        <v>3</v>
      </c>
      <c r="D2700" s="17">
        <f t="shared" si="128"/>
        <v>0</v>
      </c>
      <c r="E2700" s="17">
        <f t="shared" si="127"/>
        <v>2047</v>
      </c>
      <c r="F2700" s="17" t="s">
        <v>4813</v>
      </c>
      <c r="G2700" s="17">
        <f>MATCH(E2700,Arenas!$F$8:$F$15)</f>
        <v>6</v>
      </c>
      <c r="H2700" s="29" t="s">
        <v>4070</v>
      </c>
      <c r="I2700" s="33" t="s">
        <v>10018</v>
      </c>
      <c r="J2700" s="47" t="s">
        <v>10019</v>
      </c>
      <c r="K2700" s="61" t="s">
        <v>4779</v>
      </c>
      <c r="L2700" s="12" t="str">
        <f t="shared" si="126"/>
        <v>3,3,3</v>
      </c>
    </row>
    <row r="2701" spans="2:12">
      <c r="B2701" s="17">
        <v>3000</v>
      </c>
      <c r="C2701" s="17">
        <v>3</v>
      </c>
      <c r="D2701" s="17">
        <f t="shared" si="128"/>
        <v>0</v>
      </c>
      <c r="E2701" s="17">
        <f t="shared" si="127"/>
        <v>2047</v>
      </c>
      <c r="F2701" s="17" t="s">
        <v>4813</v>
      </c>
      <c r="G2701" s="17">
        <f>MATCH(E2701,Arenas!$F$8:$F$15)</f>
        <v>6</v>
      </c>
      <c r="H2701" s="29" t="s">
        <v>4071</v>
      </c>
      <c r="I2701" s="33" t="s">
        <v>10020</v>
      </c>
      <c r="J2701" s="47" t="s">
        <v>10021</v>
      </c>
      <c r="K2701" s="61" t="s">
        <v>4779</v>
      </c>
      <c r="L2701" s="12" t="str">
        <f t="shared" si="126"/>
        <v>3,3,3</v>
      </c>
    </row>
    <row r="2702" spans="2:12">
      <c r="B2702" s="17">
        <v>3001</v>
      </c>
      <c r="C2702" s="17">
        <v>3</v>
      </c>
      <c r="D2702" s="17">
        <f t="shared" si="128"/>
        <v>1</v>
      </c>
      <c r="E2702" s="17">
        <f t="shared" si="127"/>
        <v>2048</v>
      </c>
      <c r="F2702" s="17" t="s">
        <v>4813</v>
      </c>
      <c r="G2702" s="17">
        <f>MATCH(E2702,Arenas!$F$8:$F$15)</f>
        <v>6</v>
      </c>
      <c r="H2702" s="29" t="s">
        <v>4072</v>
      </c>
      <c r="I2702" s="33" t="s">
        <v>10022</v>
      </c>
      <c r="J2702" s="47" t="s">
        <v>5908</v>
      </c>
      <c r="K2702" s="61" t="s">
        <v>4807</v>
      </c>
      <c r="L2702" s="12" t="str">
        <f t="shared" si="126"/>
        <v>3,3,3</v>
      </c>
    </row>
    <row r="2703" spans="2:12">
      <c r="B2703" s="17">
        <v>3002</v>
      </c>
      <c r="C2703" s="17">
        <v>3</v>
      </c>
      <c r="D2703" s="17">
        <f t="shared" si="128"/>
        <v>0</v>
      </c>
      <c r="E2703" s="17">
        <f t="shared" si="127"/>
        <v>2048</v>
      </c>
      <c r="F2703" s="17" t="s">
        <v>4813</v>
      </c>
      <c r="G2703" s="17">
        <f>MATCH(E2703,Arenas!$F$8:$F$15)</f>
        <v>6</v>
      </c>
      <c r="H2703" s="29" t="s">
        <v>4073</v>
      </c>
      <c r="I2703" s="33" t="s">
        <v>10023</v>
      </c>
      <c r="J2703" s="47" t="s">
        <v>10024</v>
      </c>
      <c r="K2703" s="61" t="s">
        <v>4779</v>
      </c>
      <c r="L2703" s="12" t="str">
        <f t="shared" si="126"/>
        <v>3,3,3</v>
      </c>
    </row>
    <row r="2704" spans="2:12">
      <c r="B2704" s="17">
        <v>3003</v>
      </c>
      <c r="C2704" s="17">
        <v>3</v>
      </c>
      <c r="D2704" s="17">
        <f t="shared" si="128"/>
        <v>0</v>
      </c>
      <c r="E2704" s="17">
        <f t="shared" si="127"/>
        <v>2048</v>
      </c>
      <c r="F2704" s="17" t="s">
        <v>4813</v>
      </c>
      <c r="G2704" s="17">
        <f>MATCH(E2704,Arenas!$F$8:$F$15)</f>
        <v>6</v>
      </c>
      <c r="H2704" s="29" t="s">
        <v>4074</v>
      </c>
      <c r="I2704" s="33" t="s">
        <v>10025</v>
      </c>
      <c r="J2704" s="47" t="s">
        <v>10026</v>
      </c>
      <c r="K2704" s="61" t="s">
        <v>4779</v>
      </c>
      <c r="L2704" s="12" t="str">
        <f t="shared" si="126"/>
        <v>3,3,3</v>
      </c>
    </row>
    <row r="2705" spans="2:12">
      <c r="B2705" s="17">
        <v>3004</v>
      </c>
      <c r="C2705" s="17">
        <v>3</v>
      </c>
      <c r="D2705" s="17">
        <f t="shared" si="128"/>
        <v>1</v>
      </c>
      <c r="E2705" s="17">
        <f t="shared" si="127"/>
        <v>2049</v>
      </c>
      <c r="F2705" s="17" t="s">
        <v>4813</v>
      </c>
      <c r="G2705" s="17">
        <f>MATCH(E2705,Arenas!$F$8:$F$15)</f>
        <v>6</v>
      </c>
      <c r="H2705" s="29" t="s">
        <v>4075</v>
      </c>
      <c r="I2705" s="33" t="s">
        <v>10027</v>
      </c>
      <c r="J2705" s="47" t="s">
        <v>5621</v>
      </c>
      <c r="K2705" s="61" t="s">
        <v>4779</v>
      </c>
      <c r="L2705" s="12" t="str">
        <f t="shared" si="126"/>
        <v>3,3,3</v>
      </c>
    </row>
    <row r="2706" spans="2:12">
      <c r="B2706" s="17">
        <v>3005</v>
      </c>
      <c r="C2706" s="17">
        <v>3</v>
      </c>
      <c r="D2706" s="17">
        <f t="shared" si="128"/>
        <v>0</v>
      </c>
      <c r="E2706" s="17">
        <f t="shared" si="127"/>
        <v>2049</v>
      </c>
      <c r="F2706" s="17" t="s">
        <v>4813</v>
      </c>
      <c r="G2706" s="17">
        <f>MATCH(E2706,Arenas!$F$8:$F$15)</f>
        <v>6</v>
      </c>
      <c r="H2706" s="29" t="s">
        <v>4076</v>
      </c>
      <c r="I2706" s="33" t="s">
        <v>10028</v>
      </c>
      <c r="J2706" s="47" t="s">
        <v>10029</v>
      </c>
      <c r="K2706" s="61" t="s">
        <v>4779</v>
      </c>
      <c r="L2706" s="12" t="str">
        <f t="shared" si="126"/>
        <v>3,3,3</v>
      </c>
    </row>
    <row r="2707" spans="2:12">
      <c r="B2707" s="17">
        <v>3006</v>
      </c>
      <c r="C2707" s="17">
        <v>3</v>
      </c>
      <c r="D2707" s="17">
        <f t="shared" si="128"/>
        <v>0</v>
      </c>
      <c r="E2707" s="17">
        <f t="shared" si="127"/>
        <v>2049</v>
      </c>
      <c r="F2707" s="17" t="s">
        <v>4813</v>
      </c>
      <c r="G2707" s="17">
        <f>MATCH(E2707,Arenas!$F$8:$F$15)</f>
        <v>6</v>
      </c>
      <c r="H2707" s="29" t="s">
        <v>4077</v>
      </c>
      <c r="I2707" s="33" t="s">
        <v>10030</v>
      </c>
      <c r="J2707" s="47" t="s">
        <v>10031</v>
      </c>
      <c r="K2707" s="61" t="s">
        <v>4779</v>
      </c>
      <c r="L2707" s="12" t="str">
        <f t="shared" si="126"/>
        <v>3,3,3</v>
      </c>
    </row>
    <row r="2708" spans="2:12">
      <c r="B2708" s="17">
        <v>3007</v>
      </c>
      <c r="C2708" s="17">
        <v>3</v>
      </c>
      <c r="D2708" s="17">
        <f t="shared" si="128"/>
        <v>1</v>
      </c>
      <c r="E2708" s="17">
        <f t="shared" si="127"/>
        <v>2050</v>
      </c>
      <c r="F2708" s="17" t="s">
        <v>4813</v>
      </c>
      <c r="G2708" s="17">
        <f>MATCH(E2708,Arenas!$F$8:$F$15)</f>
        <v>6</v>
      </c>
      <c r="H2708" s="29" t="s">
        <v>4078</v>
      </c>
      <c r="I2708" s="33" t="s">
        <v>10032</v>
      </c>
      <c r="J2708" s="47" t="s">
        <v>10033</v>
      </c>
      <c r="K2708" s="61" t="s">
        <v>4779</v>
      </c>
      <c r="L2708" s="12" t="str">
        <f t="shared" si="126"/>
        <v>3,3,3</v>
      </c>
    </row>
    <row r="2709" spans="2:12">
      <c r="B2709" s="17">
        <v>3008</v>
      </c>
      <c r="C2709" s="17">
        <v>3</v>
      </c>
      <c r="D2709" s="17">
        <f t="shared" si="128"/>
        <v>0</v>
      </c>
      <c r="E2709" s="17">
        <f t="shared" si="127"/>
        <v>2050</v>
      </c>
      <c r="F2709" s="17" t="s">
        <v>4813</v>
      </c>
      <c r="G2709" s="17">
        <f>MATCH(E2709,Arenas!$F$8:$F$15)</f>
        <v>6</v>
      </c>
      <c r="H2709" s="29" t="s">
        <v>4079</v>
      </c>
      <c r="I2709" s="33" t="s">
        <v>10034</v>
      </c>
      <c r="J2709" s="47" t="s">
        <v>10035</v>
      </c>
      <c r="K2709" s="61" t="s">
        <v>4810</v>
      </c>
      <c r="L2709" s="12" t="str">
        <f t="shared" si="126"/>
        <v>3,3,3</v>
      </c>
    </row>
    <row r="2710" spans="2:12">
      <c r="B2710" s="17">
        <v>3009</v>
      </c>
      <c r="C2710" s="17">
        <v>3</v>
      </c>
      <c r="D2710" s="17">
        <f t="shared" si="128"/>
        <v>0</v>
      </c>
      <c r="E2710" s="17">
        <f t="shared" si="127"/>
        <v>2050</v>
      </c>
      <c r="F2710" s="17" t="s">
        <v>4813</v>
      </c>
      <c r="G2710" s="17">
        <f>MATCH(E2710,Arenas!$F$8:$F$15)</f>
        <v>6</v>
      </c>
      <c r="H2710" s="29" t="s">
        <v>4080</v>
      </c>
      <c r="I2710" s="33" t="s">
        <v>10036</v>
      </c>
      <c r="J2710" s="47" t="s">
        <v>5882</v>
      </c>
      <c r="K2710" s="61" t="s">
        <v>4779</v>
      </c>
      <c r="L2710" s="12" t="str">
        <f t="shared" si="126"/>
        <v>3,3,3</v>
      </c>
    </row>
    <row r="2711" spans="2:12">
      <c r="B2711" s="17">
        <v>3010</v>
      </c>
      <c r="C2711" s="17">
        <v>3</v>
      </c>
      <c r="D2711" s="17">
        <f t="shared" si="128"/>
        <v>1</v>
      </c>
      <c r="E2711" s="17">
        <f t="shared" si="127"/>
        <v>2051</v>
      </c>
      <c r="F2711" s="17" t="s">
        <v>4813</v>
      </c>
      <c r="G2711" s="17">
        <f>MATCH(E2711,Arenas!$F$8:$F$15)</f>
        <v>6</v>
      </c>
      <c r="H2711" s="29" t="s">
        <v>4081</v>
      </c>
      <c r="I2711" s="33" t="s">
        <v>10037</v>
      </c>
      <c r="J2711" s="47" t="s">
        <v>10038</v>
      </c>
      <c r="K2711" s="61" t="s">
        <v>4779</v>
      </c>
      <c r="L2711" s="12" t="str">
        <f t="shared" si="126"/>
        <v>3,3,3</v>
      </c>
    </row>
    <row r="2712" spans="2:12">
      <c r="B2712" s="17">
        <v>3011</v>
      </c>
      <c r="C2712" s="17">
        <v>3</v>
      </c>
      <c r="D2712" s="17">
        <f t="shared" si="128"/>
        <v>0</v>
      </c>
      <c r="E2712" s="17">
        <f t="shared" si="127"/>
        <v>2051</v>
      </c>
      <c r="F2712" s="17" t="s">
        <v>4813</v>
      </c>
      <c r="G2712" s="17">
        <f>MATCH(E2712,Arenas!$F$8:$F$15)</f>
        <v>6</v>
      </c>
      <c r="H2712" s="29" t="s">
        <v>4082</v>
      </c>
      <c r="I2712" s="33" t="s">
        <v>10039</v>
      </c>
      <c r="J2712" s="47" t="s">
        <v>5109</v>
      </c>
      <c r="K2712" s="61" t="s">
        <v>4779</v>
      </c>
      <c r="L2712" s="12" t="str">
        <f t="shared" si="126"/>
        <v>3,3,3</v>
      </c>
    </row>
    <row r="2713" spans="2:12">
      <c r="B2713" s="17">
        <v>3012</v>
      </c>
      <c r="C2713" s="17">
        <v>3</v>
      </c>
      <c r="D2713" s="17">
        <f t="shared" si="128"/>
        <v>0</v>
      </c>
      <c r="E2713" s="17">
        <f t="shared" si="127"/>
        <v>2051</v>
      </c>
      <c r="F2713" s="17" t="s">
        <v>4813</v>
      </c>
      <c r="G2713" s="17">
        <f>MATCH(E2713,Arenas!$F$8:$F$15)</f>
        <v>6</v>
      </c>
      <c r="H2713" s="29" t="s">
        <v>4083</v>
      </c>
      <c r="I2713" s="33" t="s">
        <v>10040</v>
      </c>
      <c r="J2713" s="47" t="s">
        <v>10041</v>
      </c>
      <c r="K2713" s="61" t="s">
        <v>4779</v>
      </c>
      <c r="L2713" s="12" t="str">
        <f t="shared" si="126"/>
        <v>3,3,3</v>
      </c>
    </row>
    <row r="2714" spans="2:12">
      <c r="B2714" s="17">
        <v>3013</v>
      </c>
      <c r="C2714" s="17">
        <v>3</v>
      </c>
      <c r="D2714" s="17">
        <f t="shared" si="128"/>
        <v>1</v>
      </c>
      <c r="E2714" s="17">
        <f t="shared" si="127"/>
        <v>2052</v>
      </c>
      <c r="F2714" s="17" t="s">
        <v>4813</v>
      </c>
      <c r="G2714" s="17">
        <f>MATCH(E2714,Arenas!$F$8:$F$15)</f>
        <v>6</v>
      </c>
      <c r="H2714" s="29" t="s">
        <v>4084</v>
      </c>
      <c r="I2714" s="33" t="s">
        <v>10042</v>
      </c>
      <c r="J2714" s="47" t="s">
        <v>4712</v>
      </c>
      <c r="K2714" s="61" t="s">
        <v>4779</v>
      </c>
      <c r="L2714" s="12" t="str">
        <f t="shared" si="126"/>
        <v>3,3,3</v>
      </c>
    </row>
    <row r="2715" spans="2:12">
      <c r="B2715" s="17">
        <v>3014</v>
      </c>
      <c r="C2715" s="17">
        <v>3</v>
      </c>
      <c r="D2715" s="17">
        <f t="shared" si="128"/>
        <v>0</v>
      </c>
      <c r="E2715" s="17">
        <f t="shared" si="127"/>
        <v>2052</v>
      </c>
      <c r="F2715" s="17" t="s">
        <v>4813</v>
      </c>
      <c r="G2715" s="17">
        <f>MATCH(E2715,Arenas!$F$8:$F$15)</f>
        <v>6</v>
      </c>
      <c r="H2715" s="29" t="s">
        <v>4085</v>
      </c>
      <c r="I2715" s="33" t="s">
        <v>10043</v>
      </c>
      <c r="J2715" s="47" t="s">
        <v>10044</v>
      </c>
      <c r="K2715" s="61" t="s">
        <v>4779</v>
      </c>
      <c r="L2715" s="12" t="str">
        <f t="shared" si="126"/>
        <v>3,3,3</v>
      </c>
    </row>
    <row r="2716" spans="2:12">
      <c r="B2716" s="17">
        <v>3015</v>
      </c>
      <c r="C2716" s="17">
        <v>3</v>
      </c>
      <c r="D2716" s="17">
        <f t="shared" si="128"/>
        <v>0</v>
      </c>
      <c r="E2716" s="17">
        <f t="shared" si="127"/>
        <v>2052</v>
      </c>
      <c r="F2716" s="17" t="s">
        <v>4813</v>
      </c>
      <c r="G2716" s="17">
        <f>MATCH(E2716,Arenas!$F$8:$F$15)</f>
        <v>6</v>
      </c>
      <c r="H2716" s="29" t="s">
        <v>4086</v>
      </c>
      <c r="I2716" s="33" t="s">
        <v>10045</v>
      </c>
      <c r="J2716" s="47" t="s">
        <v>10046</v>
      </c>
      <c r="K2716" s="61" t="s">
        <v>4807</v>
      </c>
      <c r="L2716" s="12" t="str">
        <f t="shared" si="126"/>
        <v>3,3,3</v>
      </c>
    </row>
    <row r="2717" spans="2:12">
      <c r="B2717" s="17">
        <v>3016</v>
      </c>
      <c r="C2717" s="17">
        <v>3</v>
      </c>
      <c r="D2717" s="17">
        <f t="shared" si="128"/>
        <v>1</v>
      </c>
      <c r="E2717" s="17">
        <f t="shared" si="127"/>
        <v>2053</v>
      </c>
      <c r="F2717" s="17" t="s">
        <v>4813</v>
      </c>
      <c r="G2717" s="17">
        <f>MATCH(E2717,Arenas!$F$8:$F$15)</f>
        <v>6</v>
      </c>
      <c r="H2717" s="29" t="s">
        <v>4087</v>
      </c>
      <c r="I2717" s="33" t="s">
        <v>10047</v>
      </c>
      <c r="J2717" s="47" t="s">
        <v>4718</v>
      </c>
      <c r="K2717" s="61" t="s">
        <v>4779</v>
      </c>
      <c r="L2717" s="12" t="str">
        <f t="shared" si="126"/>
        <v>3,3,3</v>
      </c>
    </row>
    <row r="2718" spans="2:12">
      <c r="B2718" s="17">
        <v>3017</v>
      </c>
      <c r="C2718" s="17">
        <v>3</v>
      </c>
      <c r="D2718" s="17">
        <f t="shared" si="128"/>
        <v>0</v>
      </c>
      <c r="E2718" s="17">
        <f t="shared" si="127"/>
        <v>2053</v>
      </c>
      <c r="F2718" s="17" t="s">
        <v>4813</v>
      </c>
      <c r="G2718" s="17">
        <f>MATCH(E2718,Arenas!$F$8:$F$15)</f>
        <v>6</v>
      </c>
      <c r="H2718" s="29" t="s">
        <v>4088</v>
      </c>
      <c r="I2718" s="33" t="s">
        <v>10048</v>
      </c>
      <c r="J2718" s="47" t="s">
        <v>5936</v>
      </c>
      <c r="K2718" s="61" t="s">
        <v>4807</v>
      </c>
      <c r="L2718" s="12" t="str">
        <f t="shared" si="126"/>
        <v>3,3,3</v>
      </c>
    </row>
    <row r="2719" spans="2:12">
      <c r="B2719" s="17">
        <v>3018</v>
      </c>
      <c r="C2719" s="17">
        <v>3</v>
      </c>
      <c r="D2719" s="17">
        <f t="shared" si="128"/>
        <v>0</v>
      </c>
      <c r="E2719" s="17">
        <f t="shared" si="127"/>
        <v>2053</v>
      </c>
      <c r="F2719" s="17" t="s">
        <v>4813</v>
      </c>
      <c r="G2719" s="17">
        <f>MATCH(E2719,Arenas!$F$8:$F$15)</f>
        <v>6</v>
      </c>
      <c r="H2719" s="29" t="s">
        <v>4089</v>
      </c>
      <c r="I2719" s="33" t="s">
        <v>10049</v>
      </c>
      <c r="J2719" s="47" t="s">
        <v>10050</v>
      </c>
      <c r="K2719" s="61" t="s">
        <v>4779</v>
      </c>
      <c r="L2719" s="12" t="str">
        <f t="shared" si="126"/>
        <v>3,3,3</v>
      </c>
    </row>
    <row r="2720" spans="2:12">
      <c r="B2720" s="17">
        <v>3019</v>
      </c>
      <c r="C2720" s="17">
        <v>3</v>
      </c>
      <c r="D2720" s="17">
        <f t="shared" si="128"/>
        <v>1</v>
      </c>
      <c r="E2720" s="17">
        <f t="shared" si="127"/>
        <v>2054</v>
      </c>
      <c r="F2720" s="17" t="s">
        <v>4813</v>
      </c>
      <c r="G2720" s="17">
        <f>MATCH(E2720,Arenas!$F$8:$F$15)</f>
        <v>6</v>
      </c>
      <c r="H2720" s="29" t="s">
        <v>4090</v>
      </c>
      <c r="I2720" s="33" t="s">
        <v>10051</v>
      </c>
      <c r="J2720" s="47" t="s">
        <v>10052</v>
      </c>
      <c r="K2720" s="61" t="s">
        <v>4807</v>
      </c>
      <c r="L2720" s="12" t="str">
        <f t="shared" si="126"/>
        <v>3,3,3</v>
      </c>
    </row>
    <row r="2721" spans="2:12">
      <c r="B2721" s="17">
        <v>3020</v>
      </c>
      <c r="C2721" s="17">
        <v>3</v>
      </c>
      <c r="D2721" s="17">
        <f t="shared" si="128"/>
        <v>0</v>
      </c>
      <c r="E2721" s="17">
        <f t="shared" si="127"/>
        <v>2054</v>
      </c>
      <c r="F2721" s="17" t="s">
        <v>4813</v>
      </c>
      <c r="G2721" s="17">
        <f>MATCH(E2721,Arenas!$F$8:$F$15)</f>
        <v>6</v>
      </c>
      <c r="H2721" s="29" t="s">
        <v>4091</v>
      </c>
      <c r="I2721" s="33" t="s">
        <v>10053</v>
      </c>
      <c r="J2721" s="47" t="s">
        <v>10054</v>
      </c>
      <c r="K2721" s="61" t="s">
        <v>4779</v>
      </c>
      <c r="L2721" s="12" t="str">
        <f t="shared" si="126"/>
        <v>3,3,3</v>
      </c>
    </row>
    <row r="2722" spans="2:12">
      <c r="B2722" s="17">
        <v>3021</v>
      </c>
      <c r="C2722" s="17">
        <v>3</v>
      </c>
      <c r="D2722" s="17">
        <f t="shared" si="128"/>
        <v>0</v>
      </c>
      <c r="E2722" s="17">
        <f t="shared" si="127"/>
        <v>2054</v>
      </c>
      <c r="F2722" s="17" t="s">
        <v>4813</v>
      </c>
      <c r="G2722" s="17">
        <f>MATCH(E2722,Arenas!$F$8:$F$15)</f>
        <v>6</v>
      </c>
      <c r="H2722" s="29" t="s">
        <v>4092</v>
      </c>
      <c r="I2722" s="33" t="s">
        <v>10055</v>
      </c>
      <c r="J2722" s="47" t="s">
        <v>10056</v>
      </c>
      <c r="K2722" s="61" t="s">
        <v>4779</v>
      </c>
      <c r="L2722" s="12" t="str">
        <f t="shared" si="126"/>
        <v>3,3,3</v>
      </c>
    </row>
    <row r="2723" spans="2:12">
      <c r="B2723" s="17">
        <v>3022</v>
      </c>
      <c r="C2723" s="17">
        <v>3</v>
      </c>
      <c r="D2723" s="17">
        <f t="shared" si="128"/>
        <v>1</v>
      </c>
      <c r="E2723" s="17">
        <f t="shared" si="127"/>
        <v>2055</v>
      </c>
      <c r="F2723" s="17" t="s">
        <v>4813</v>
      </c>
      <c r="G2723" s="17">
        <f>MATCH(E2723,Arenas!$F$8:$F$15)</f>
        <v>6</v>
      </c>
      <c r="H2723" s="29" t="s">
        <v>4093</v>
      </c>
      <c r="I2723" s="33" t="s">
        <v>10057</v>
      </c>
      <c r="J2723" s="47" t="s">
        <v>10058</v>
      </c>
      <c r="K2723" s="61" t="s">
        <v>4779</v>
      </c>
      <c r="L2723" s="12" t="str">
        <f t="shared" si="126"/>
        <v>3,3,3</v>
      </c>
    </row>
    <row r="2724" spans="2:12">
      <c r="B2724" s="17">
        <v>3023</v>
      </c>
      <c r="C2724" s="17">
        <v>3</v>
      </c>
      <c r="D2724" s="17">
        <f t="shared" si="128"/>
        <v>0</v>
      </c>
      <c r="E2724" s="17">
        <f t="shared" si="127"/>
        <v>2055</v>
      </c>
      <c r="F2724" s="17" t="s">
        <v>4813</v>
      </c>
      <c r="G2724" s="17">
        <f>MATCH(E2724,Arenas!$F$8:$F$15)</f>
        <v>6</v>
      </c>
      <c r="H2724" s="29" t="s">
        <v>4094</v>
      </c>
      <c r="I2724" s="33" t="s">
        <v>10059</v>
      </c>
      <c r="J2724" s="47" t="s">
        <v>10060</v>
      </c>
      <c r="K2724" s="61" t="s">
        <v>4779</v>
      </c>
      <c r="L2724" s="12" t="str">
        <f t="shared" si="126"/>
        <v>3,3,3</v>
      </c>
    </row>
    <row r="2725" spans="2:12">
      <c r="B2725" s="17">
        <v>3024</v>
      </c>
      <c r="C2725" s="17">
        <v>3</v>
      </c>
      <c r="D2725" s="17">
        <f t="shared" si="128"/>
        <v>0</v>
      </c>
      <c r="E2725" s="17">
        <f t="shared" si="127"/>
        <v>2055</v>
      </c>
      <c r="F2725" s="17" t="s">
        <v>4813</v>
      </c>
      <c r="G2725" s="17">
        <f>MATCH(E2725,Arenas!$F$8:$F$15)</f>
        <v>6</v>
      </c>
      <c r="H2725" s="29" t="s">
        <v>4095</v>
      </c>
      <c r="I2725" s="33" t="s">
        <v>10061</v>
      </c>
      <c r="J2725" s="47" t="s">
        <v>10062</v>
      </c>
      <c r="K2725" s="61" t="s">
        <v>4810</v>
      </c>
      <c r="L2725" s="12" t="str">
        <f t="shared" si="126"/>
        <v>3,3,3</v>
      </c>
    </row>
    <row r="2726" spans="2:12">
      <c r="B2726" s="17">
        <v>3025</v>
      </c>
      <c r="C2726" s="17">
        <v>3</v>
      </c>
      <c r="D2726" s="17">
        <f t="shared" si="128"/>
        <v>1</v>
      </c>
      <c r="E2726" s="17">
        <f t="shared" si="127"/>
        <v>2056</v>
      </c>
      <c r="F2726" s="17" t="s">
        <v>4813</v>
      </c>
      <c r="G2726" s="17">
        <f>MATCH(E2726,Arenas!$F$8:$F$15)</f>
        <v>6</v>
      </c>
      <c r="H2726" s="29" t="s">
        <v>4096</v>
      </c>
      <c r="I2726" s="33" t="s">
        <v>10063</v>
      </c>
      <c r="J2726" s="47" t="s">
        <v>10064</v>
      </c>
      <c r="K2726" s="61" t="s">
        <v>4779</v>
      </c>
      <c r="L2726" s="12" t="str">
        <f t="shared" si="126"/>
        <v>3,3,3</v>
      </c>
    </row>
    <row r="2727" spans="2:12">
      <c r="B2727" s="17">
        <v>3026</v>
      </c>
      <c r="C2727" s="17">
        <v>3</v>
      </c>
      <c r="D2727" s="17">
        <f t="shared" si="128"/>
        <v>0</v>
      </c>
      <c r="E2727" s="17">
        <f t="shared" si="127"/>
        <v>2056</v>
      </c>
      <c r="F2727" s="17" t="s">
        <v>4813</v>
      </c>
      <c r="G2727" s="17">
        <f>MATCH(E2727,Arenas!$F$8:$F$15)</f>
        <v>6</v>
      </c>
      <c r="H2727" s="29" t="s">
        <v>4097</v>
      </c>
      <c r="I2727" s="33" t="s">
        <v>10065</v>
      </c>
      <c r="J2727" s="47" t="s">
        <v>10066</v>
      </c>
      <c r="K2727" s="61" t="s">
        <v>4779</v>
      </c>
      <c r="L2727" s="12" t="str">
        <f t="shared" si="126"/>
        <v>3,3,3</v>
      </c>
    </row>
    <row r="2728" spans="2:12">
      <c r="B2728" s="17">
        <v>3027</v>
      </c>
      <c r="C2728" s="17">
        <v>3</v>
      </c>
      <c r="D2728" s="17">
        <f t="shared" si="128"/>
        <v>0</v>
      </c>
      <c r="E2728" s="17">
        <f t="shared" si="127"/>
        <v>2056</v>
      </c>
      <c r="F2728" s="17" t="s">
        <v>4813</v>
      </c>
      <c r="G2728" s="17">
        <f>MATCH(E2728,Arenas!$F$8:$F$15)</f>
        <v>6</v>
      </c>
      <c r="H2728" s="29" t="s">
        <v>4098</v>
      </c>
      <c r="I2728" s="33" t="s">
        <v>10067</v>
      </c>
      <c r="J2728" s="47" t="s">
        <v>10068</v>
      </c>
      <c r="K2728" s="61" t="s">
        <v>4779</v>
      </c>
      <c r="L2728" s="12" t="str">
        <f t="shared" si="126"/>
        <v>3,3,3</v>
      </c>
    </row>
    <row r="2729" spans="2:12">
      <c r="B2729" s="17">
        <v>3028</v>
      </c>
      <c r="C2729" s="17">
        <v>3</v>
      </c>
      <c r="D2729" s="17">
        <f t="shared" si="128"/>
        <v>1</v>
      </c>
      <c r="E2729" s="17">
        <f t="shared" si="127"/>
        <v>2057</v>
      </c>
      <c r="F2729" s="17" t="s">
        <v>4813</v>
      </c>
      <c r="G2729" s="17">
        <f>MATCH(E2729,Arenas!$F$8:$F$15)</f>
        <v>6</v>
      </c>
      <c r="H2729" s="29" t="s">
        <v>4099</v>
      </c>
      <c r="I2729" s="33" t="s">
        <v>10069</v>
      </c>
      <c r="J2729" s="47" t="s">
        <v>10070</v>
      </c>
      <c r="K2729" s="61" t="s">
        <v>4806</v>
      </c>
      <c r="L2729" s="12" t="str">
        <f t="shared" si="126"/>
        <v>3,3,3</v>
      </c>
    </row>
    <row r="2730" spans="2:12">
      <c r="B2730" s="17">
        <v>3029</v>
      </c>
      <c r="C2730" s="17">
        <v>3</v>
      </c>
      <c r="D2730" s="17">
        <f t="shared" si="128"/>
        <v>0</v>
      </c>
      <c r="E2730" s="17">
        <f t="shared" si="127"/>
        <v>2057</v>
      </c>
      <c r="F2730" s="17" t="s">
        <v>4813</v>
      </c>
      <c r="G2730" s="17">
        <f>MATCH(E2730,Arenas!$F$8:$F$15)</f>
        <v>6</v>
      </c>
      <c r="H2730" s="29" t="s">
        <v>4100</v>
      </c>
      <c r="I2730" s="33" t="s">
        <v>10071</v>
      </c>
      <c r="J2730" s="47" t="s">
        <v>10072</v>
      </c>
      <c r="K2730" s="61" t="s">
        <v>4779</v>
      </c>
      <c r="L2730" s="12" t="str">
        <f t="shared" si="126"/>
        <v>3,3,3</v>
      </c>
    </row>
    <row r="2731" spans="2:12">
      <c r="B2731" s="17">
        <v>3030</v>
      </c>
      <c r="C2731" s="17">
        <v>3</v>
      </c>
      <c r="D2731" s="17">
        <f t="shared" si="128"/>
        <v>0</v>
      </c>
      <c r="E2731" s="17">
        <f t="shared" si="127"/>
        <v>2057</v>
      </c>
      <c r="F2731" s="17" t="s">
        <v>4813</v>
      </c>
      <c r="G2731" s="17">
        <f>MATCH(E2731,Arenas!$F$8:$F$15)</f>
        <v>6</v>
      </c>
      <c r="H2731" s="29" t="s">
        <v>4101</v>
      </c>
      <c r="I2731" s="33" t="s">
        <v>10073</v>
      </c>
      <c r="J2731" s="47" t="s">
        <v>5539</v>
      </c>
      <c r="K2731" s="61" t="s">
        <v>4779</v>
      </c>
      <c r="L2731" s="12" t="str">
        <f t="shared" si="126"/>
        <v>3,3,3</v>
      </c>
    </row>
    <row r="2732" spans="2:12">
      <c r="B2732" s="17">
        <v>3031</v>
      </c>
      <c r="C2732" s="17">
        <v>3</v>
      </c>
      <c r="D2732" s="17">
        <f t="shared" si="128"/>
        <v>1</v>
      </c>
      <c r="E2732" s="17">
        <f t="shared" si="127"/>
        <v>2058</v>
      </c>
      <c r="F2732" s="17" t="s">
        <v>4813</v>
      </c>
      <c r="G2732" s="17">
        <f>MATCH(E2732,Arenas!$F$8:$F$15)</f>
        <v>6</v>
      </c>
      <c r="H2732" s="29" t="s">
        <v>4102</v>
      </c>
      <c r="I2732" s="33" t="s">
        <v>10074</v>
      </c>
      <c r="J2732" s="47" t="s">
        <v>10075</v>
      </c>
      <c r="K2732" s="61" t="s">
        <v>4779</v>
      </c>
      <c r="L2732" s="12" t="str">
        <f t="shared" si="126"/>
        <v>3,3,3</v>
      </c>
    </row>
    <row r="2733" spans="2:12">
      <c r="B2733" s="17">
        <v>3032</v>
      </c>
      <c r="C2733" s="17">
        <v>3</v>
      </c>
      <c r="D2733" s="17">
        <f t="shared" si="128"/>
        <v>0</v>
      </c>
      <c r="E2733" s="17">
        <f t="shared" si="127"/>
        <v>2058</v>
      </c>
      <c r="F2733" s="17" t="s">
        <v>4813</v>
      </c>
      <c r="G2733" s="17">
        <f>MATCH(E2733,Arenas!$F$8:$F$15)</f>
        <v>6</v>
      </c>
      <c r="H2733" s="29" t="s">
        <v>4103</v>
      </c>
      <c r="I2733" s="33" t="s">
        <v>10076</v>
      </c>
      <c r="J2733" s="47" t="s">
        <v>10077</v>
      </c>
      <c r="K2733" s="61" t="s">
        <v>4779</v>
      </c>
      <c r="L2733" s="12" t="str">
        <f t="shared" si="126"/>
        <v>3,3,3</v>
      </c>
    </row>
    <row r="2734" spans="2:12">
      <c r="B2734" s="17">
        <v>3033</v>
      </c>
      <c r="C2734" s="17">
        <v>3</v>
      </c>
      <c r="D2734" s="17">
        <f t="shared" si="128"/>
        <v>0</v>
      </c>
      <c r="E2734" s="17">
        <f t="shared" si="127"/>
        <v>2058</v>
      </c>
      <c r="F2734" s="17" t="s">
        <v>4813</v>
      </c>
      <c r="G2734" s="17">
        <f>MATCH(E2734,Arenas!$F$8:$F$15)</f>
        <v>6</v>
      </c>
      <c r="H2734" s="29" t="s">
        <v>4104</v>
      </c>
      <c r="I2734" s="33" t="s">
        <v>10078</v>
      </c>
      <c r="J2734" s="47" t="s">
        <v>10079</v>
      </c>
      <c r="K2734" s="61" t="s">
        <v>4779</v>
      </c>
      <c r="L2734" s="12" t="str">
        <f t="shared" si="126"/>
        <v>3,3,3</v>
      </c>
    </row>
    <row r="2735" spans="2:12">
      <c r="B2735" s="17">
        <v>3034</v>
      </c>
      <c r="C2735" s="17">
        <v>3</v>
      </c>
      <c r="D2735" s="17">
        <f t="shared" si="128"/>
        <v>1</v>
      </c>
      <c r="E2735" s="17">
        <f t="shared" si="127"/>
        <v>2059</v>
      </c>
      <c r="F2735" s="17" t="s">
        <v>4813</v>
      </c>
      <c r="G2735" s="17">
        <f>MATCH(E2735,Arenas!$F$8:$F$15)</f>
        <v>6</v>
      </c>
      <c r="H2735" s="29" t="s">
        <v>4105</v>
      </c>
      <c r="I2735" s="33" t="s">
        <v>10080</v>
      </c>
      <c r="J2735" s="47" t="s">
        <v>5039</v>
      </c>
      <c r="K2735" s="61" t="s">
        <v>4779</v>
      </c>
      <c r="L2735" s="12" t="str">
        <f t="shared" si="126"/>
        <v>3,3,3</v>
      </c>
    </row>
    <row r="2736" spans="2:12">
      <c r="B2736" s="17">
        <v>3035</v>
      </c>
      <c r="C2736" s="17">
        <v>3</v>
      </c>
      <c r="D2736" s="17">
        <f t="shared" si="128"/>
        <v>0</v>
      </c>
      <c r="E2736" s="17">
        <f t="shared" si="127"/>
        <v>2059</v>
      </c>
      <c r="F2736" s="17" t="s">
        <v>4813</v>
      </c>
      <c r="G2736" s="17">
        <f>MATCH(E2736,Arenas!$F$8:$F$15)</f>
        <v>6</v>
      </c>
      <c r="H2736" s="29" t="s">
        <v>4106</v>
      </c>
      <c r="I2736" s="33" t="s">
        <v>10081</v>
      </c>
      <c r="J2736" s="47" t="s">
        <v>10082</v>
      </c>
      <c r="K2736" s="61" t="s">
        <v>4779</v>
      </c>
      <c r="L2736" s="12" t="str">
        <f t="shared" si="126"/>
        <v>3,3,3</v>
      </c>
    </row>
    <row r="2737" spans="2:12">
      <c r="B2737" s="17">
        <v>3036</v>
      </c>
      <c r="C2737" s="17">
        <v>3</v>
      </c>
      <c r="D2737" s="17">
        <f t="shared" si="128"/>
        <v>0</v>
      </c>
      <c r="E2737" s="17">
        <f t="shared" si="127"/>
        <v>2059</v>
      </c>
      <c r="F2737" s="17" t="s">
        <v>4813</v>
      </c>
      <c r="G2737" s="17">
        <f>MATCH(E2737,Arenas!$F$8:$F$15)</f>
        <v>6</v>
      </c>
      <c r="H2737" s="29" t="s">
        <v>4107</v>
      </c>
      <c r="I2737" s="33" t="s">
        <v>10083</v>
      </c>
      <c r="J2737" s="47" t="s">
        <v>10084</v>
      </c>
      <c r="K2737" s="61" t="s">
        <v>4779</v>
      </c>
      <c r="L2737" s="12" t="str">
        <f t="shared" si="126"/>
        <v>3,3,3</v>
      </c>
    </row>
    <row r="2738" spans="2:12">
      <c r="B2738" s="17">
        <v>3037</v>
      </c>
      <c r="C2738" s="17">
        <v>3</v>
      </c>
      <c r="D2738" s="17">
        <f t="shared" si="128"/>
        <v>1</v>
      </c>
      <c r="E2738" s="17">
        <f t="shared" si="127"/>
        <v>2060</v>
      </c>
      <c r="F2738" s="17" t="s">
        <v>4813</v>
      </c>
      <c r="G2738" s="17">
        <f>MATCH(E2738,Arenas!$F$8:$F$15)</f>
        <v>6</v>
      </c>
      <c r="H2738" s="29" t="s">
        <v>4108</v>
      </c>
      <c r="I2738" s="33" t="s">
        <v>10085</v>
      </c>
      <c r="J2738" s="47" t="s">
        <v>10086</v>
      </c>
      <c r="K2738" s="61" t="s">
        <v>4779</v>
      </c>
      <c r="L2738" s="12" t="str">
        <f t="shared" si="126"/>
        <v>3,3,3</v>
      </c>
    </row>
    <row r="2739" spans="2:12">
      <c r="B2739" s="17">
        <v>3038</v>
      </c>
      <c r="C2739" s="17">
        <v>3</v>
      </c>
      <c r="D2739" s="17">
        <f t="shared" si="128"/>
        <v>0</v>
      </c>
      <c r="E2739" s="17">
        <f t="shared" si="127"/>
        <v>2060</v>
      </c>
      <c r="F2739" s="17" t="s">
        <v>4813</v>
      </c>
      <c r="G2739" s="17">
        <f>MATCH(E2739,Arenas!$F$8:$F$15)</f>
        <v>6</v>
      </c>
      <c r="H2739" s="29" t="s">
        <v>4109</v>
      </c>
      <c r="I2739" s="33" t="s">
        <v>10087</v>
      </c>
      <c r="J2739" s="47" t="s">
        <v>10088</v>
      </c>
      <c r="K2739" s="61" t="s">
        <v>4779</v>
      </c>
      <c r="L2739" s="12" t="str">
        <f t="shared" si="126"/>
        <v>3,3,3</v>
      </c>
    </row>
    <row r="2740" spans="2:12">
      <c r="B2740" s="17">
        <v>3039</v>
      </c>
      <c r="C2740" s="17">
        <v>3</v>
      </c>
      <c r="D2740" s="17">
        <f t="shared" si="128"/>
        <v>0</v>
      </c>
      <c r="E2740" s="17">
        <f t="shared" si="127"/>
        <v>2060</v>
      </c>
      <c r="F2740" s="17" t="s">
        <v>4813</v>
      </c>
      <c r="G2740" s="17">
        <f>MATCH(E2740,Arenas!$F$8:$F$15)</f>
        <v>6</v>
      </c>
      <c r="H2740" s="29" t="s">
        <v>4110</v>
      </c>
      <c r="I2740" s="33" t="s">
        <v>10089</v>
      </c>
      <c r="J2740" s="47" t="s">
        <v>10090</v>
      </c>
      <c r="K2740" s="61" t="s">
        <v>4779</v>
      </c>
      <c r="L2740" s="12" t="str">
        <f t="shared" si="126"/>
        <v>3,3,3</v>
      </c>
    </row>
    <row r="2741" spans="2:12">
      <c r="B2741" s="17">
        <v>3040</v>
      </c>
      <c r="C2741" s="17">
        <v>3</v>
      </c>
      <c r="D2741" s="17">
        <f t="shared" si="128"/>
        <v>1</v>
      </c>
      <c r="E2741" s="17">
        <f t="shared" si="127"/>
        <v>2061</v>
      </c>
      <c r="F2741" s="17" t="s">
        <v>4813</v>
      </c>
      <c r="G2741" s="17">
        <f>MATCH(E2741,Arenas!$F$8:$F$15)</f>
        <v>6</v>
      </c>
      <c r="H2741" s="29" t="s">
        <v>4111</v>
      </c>
      <c r="I2741" s="33" t="s">
        <v>10091</v>
      </c>
      <c r="J2741" s="47" t="s">
        <v>10092</v>
      </c>
      <c r="K2741" s="61" t="s">
        <v>4779</v>
      </c>
      <c r="L2741" s="12" t="str">
        <f t="shared" si="126"/>
        <v>3,3,3</v>
      </c>
    </row>
    <row r="2742" spans="2:12">
      <c r="B2742" s="17">
        <v>3041</v>
      </c>
      <c r="C2742" s="17">
        <v>3</v>
      </c>
      <c r="D2742" s="17">
        <f t="shared" si="128"/>
        <v>0</v>
      </c>
      <c r="E2742" s="17">
        <f t="shared" si="127"/>
        <v>2061</v>
      </c>
      <c r="F2742" s="17" t="s">
        <v>4813</v>
      </c>
      <c r="G2742" s="17">
        <f>MATCH(E2742,Arenas!$F$8:$F$15)</f>
        <v>6</v>
      </c>
      <c r="H2742" s="29" t="s">
        <v>4112</v>
      </c>
      <c r="I2742" s="33" t="s">
        <v>10093</v>
      </c>
      <c r="J2742" s="47" t="s">
        <v>10094</v>
      </c>
      <c r="K2742" s="61" t="s">
        <v>4779</v>
      </c>
      <c r="L2742" s="12" t="str">
        <f t="shared" si="126"/>
        <v>3,3,3</v>
      </c>
    </row>
    <row r="2743" spans="2:12">
      <c r="B2743" s="17">
        <v>3042</v>
      </c>
      <c r="C2743" s="17">
        <v>3</v>
      </c>
      <c r="D2743" s="17">
        <f t="shared" si="128"/>
        <v>0</v>
      </c>
      <c r="E2743" s="17">
        <f t="shared" si="127"/>
        <v>2061</v>
      </c>
      <c r="F2743" s="17" t="s">
        <v>4813</v>
      </c>
      <c r="G2743" s="17">
        <f>MATCH(E2743,Arenas!$F$8:$F$15)</f>
        <v>6</v>
      </c>
      <c r="H2743" s="29" t="s">
        <v>4113</v>
      </c>
      <c r="I2743" s="33" t="s">
        <v>10095</v>
      </c>
      <c r="J2743" s="47" t="s">
        <v>10096</v>
      </c>
      <c r="K2743" s="61" t="s">
        <v>4809</v>
      </c>
      <c r="L2743" s="12" t="str">
        <f t="shared" si="126"/>
        <v>3,3,3</v>
      </c>
    </row>
    <row r="2744" spans="2:12">
      <c r="B2744" s="17">
        <v>3043</v>
      </c>
      <c r="C2744" s="17">
        <v>3</v>
      </c>
      <c r="D2744" s="17">
        <f t="shared" si="128"/>
        <v>1</v>
      </c>
      <c r="E2744" s="17">
        <f t="shared" si="127"/>
        <v>2062</v>
      </c>
      <c r="F2744" s="17" t="s">
        <v>4813</v>
      </c>
      <c r="G2744" s="17">
        <f>MATCH(E2744,Arenas!$F$8:$F$15)</f>
        <v>6</v>
      </c>
      <c r="H2744" s="29" t="s">
        <v>4114</v>
      </c>
      <c r="I2744" s="33" t="s">
        <v>10097</v>
      </c>
      <c r="J2744" s="47" t="s">
        <v>10098</v>
      </c>
      <c r="K2744" s="61" t="s">
        <v>4779</v>
      </c>
      <c r="L2744" s="12" t="str">
        <f t="shared" si="126"/>
        <v>3,3,3</v>
      </c>
    </row>
    <row r="2745" spans="2:12">
      <c r="B2745" s="17">
        <v>3044</v>
      </c>
      <c r="C2745" s="17">
        <v>3</v>
      </c>
      <c r="D2745" s="17">
        <f t="shared" si="128"/>
        <v>0</v>
      </c>
      <c r="E2745" s="17">
        <f t="shared" si="127"/>
        <v>2062</v>
      </c>
      <c r="F2745" s="17" t="s">
        <v>4813</v>
      </c>
      <c r="G2745" s="17">
        <f>MATCH(E2745,Arenas!$F$8:$F$15)</f>
        <v>6</v>
      </c>
      <c r="H2745" s="29" t="s">
        <v>4115</v>
      </c>
      <c r="I2745" s="33" t="s">
        <v>10099</v>
      </c>
      <c r="J2745" s="47" t="s">
        <v>9047</v>
      </c>
      <c r="K2745" s="61" t="s">
        <v>4779</v>
      </c>
      <c r="L2745" s="12" t="str">
        <f t="shared" si="126"/>
        <v>3,3,3</v>
      </c>
    </row>
    <row r="2746" spans="2:12">
      <c r="B2746" s="17">
        <v>3045</v>
      </c>
      <c r="C2746" s="17">
        <v>3</v>
      </c>
      <c r="D2746" s="17">
        <f t="shared" si="128"/>
        <v>0</v>
      </c>
      <c r="E2746" s="17">
        <f t="shared" si="127"/>
        <v>2062</v>
      </c>
      <c r="F2746" s="17" t="s">
        <v>4813</v>
      </c>
      <c r="G2746" s="17">
        <f>MATCH(E2746,Arenas!$F$8:$F$15)</f>
        <v>6</v>
      </c>
      <c r="H2746" s="29" t="s">
        <v>4116</v>
      </c>
      <c r="I2746" s="33" t="s">
        <v>10100</v>
      </c>
      <c r="J2746" s="47" t="s">
        <v>10101</v>
      </c>
      <c r="K2746" s="61" t="s">
        <v>4779</v>
      </c>
      <c r="L2746" s="12" t="str">
        <f t="shared" si="126"/>
        <v>3,3,3</v>
      </c>
    </row>
    <row r="2747" spans="2:12">
      <c r="B2747" s="17">
        <v>3046</v>
      </c>
      <c r="C2747" s="17">
        <v>3</v>
      </c>
      <c r="D2747" s="17">
        <f t="shared" si="128"/>
        <v>1</v>
      </c>
      <c r="E2747" s="17">
        <f t="shared" si="127"/>
        <v>2063</v>
      </c>
      <c r="F2747" s="17" t="s">
        <v>4813</v>
      </c>
      <c r="G2747" s="17">
        <f>MATCH(E2747,Arenas!$F$8:$F$15)</f>
        <v>6</v>
      </c>
      <c r="H2747" s="29" t="s">
        <v>4117</v>
      </c>
      <c r="I2747" s="33" t="s">
        <v>10102</v>
      </c>
      <c r="J2747" s="47" t="s">
        <v>5897</v>
      </c>
      <c r="K2747" s="61" t="s">
        <v>4779</v>
      </c>
      <c r="L2747" s="12" t="str">
        <f t="shared" si="126"/>
        <v>3,3,3</v>
      </c>
    </row>
    <row r="2748" spans="2:12">
      <c r="B2748" s="17">
        <v>3047</v>
      </c>
      <c r="C2748" s="17">
        <v>3</v>
      </c>
      <c r="D2748" s="17">
        <f t="shared" si="128"/>
        <v>0</v>
      </c>
      <c r="E2748" s="17">
        <f t="shared" si="127"/>
        <v>2063</v>
      </c>
      <c r="F2748" s="17" t="s">
        <v>4813</v>
      </c>
      <c r="G2748" s="17">
        <f>MATCH(E2748,Arenas!$F$8:$F$15)</f>
        <v>6</v>
      </c>
      <c r="H2748" s="29" t="s">
        <v>4118</v>
      </c>
      <c r="I2748" s="33" t="s">
        <v>10103</v>
      </c>
      <c r="J2748" s="47" t="s">
        <v>10104</v>
      </c>
      <c r="K2748" s="61" t="s">
        <v>4809</v>
      </c>
      <c r="L2748" s="12" t="str">
        <f t="shared" si="126"/>
        <v>3,3,3</v>
      </c>
    </row>
    <row r="2749" spans="2:12">
      <c r="B2749" s="17">
        <v>3048</v>
      </c>
      <c r="C2749" s="17">
        <v>3</v>
      </c>
      <c r="D2749" s="17">
        <f t="shared" si="128"/>
        <v>0</v>
      </c>
      <c r="E2749" s="17">
        <f t="shared" si="127"/>
        <v>2063</v>
      </c>
      <c r="F2749" s="17" t="s">
        <v>4813</v>
      </c>
      <c r="G2749" s="17">
        <f>MATCH(E2749,Arenas!$F$8:$F$15)</f>
        <v>6</v>
      </c>
      <c r="H2749" s="29" t="s">
        <v>4119</v>
      </c>
      <c r="I2749" s="33" t="s">
        <v>10105</v>
      </c>
      <c r="J2749" s="47" t="s">
        <v>10106</v>
      </c>
      <c r="K2749" s="61" t="s">
        <v>4809</v>
      </c>
      <c r="L2749" s="12" t="str">
        <f t="shared" si="126"/>
        <v>3,3,3</v>
      </c>
    </row>
    <row r="2750" spans="2:12">
      <c r="B2750" s="17">
        <v>3049</v>
      </c>
      <c r="C2750" s="17">
        <v>3</v>
      </c>
      <c r="D2750" s="17">
        <f t="shared" si="128"/>
        <v>1</v>
      </c>
      <c r="E2750" s="17">
        <f t="shared" si="127"/>
        <v>2064</v>
      </c>
      <c r="F2750" s="17" t="s">
        <v>4813</v>
      </c>
      <c r="G2750" s="17">
        <f>MATCH(E2750,Arenas!$F$8:$F$15)</f>
        <v>6</v>
      </c>
      <c r="H2750" s="29" t="s">
        <v>4120</v>
      </c>
      <c r="I2750" s="33" t="s">
        <v>10107</v>
      </c>
      <c r="J2750" s="47" t="s">
        <v>10108</v>
      </c>
      <c r="K2750" s="61" t="s">
        <v>4806</v>
      </c>
      <c r="L2750" s="12" t="str">
        <f t="shared" si="126"/>
        <v>3,3,3</v>
      </c>
    </row>
    <row r="2751" spans="2:12">
      <c r="B2751" s="17">
        <v>3050</v>
      </c>
      <c r="C2751" s="17">
        <v>3</v>
      </c>
      <c r="D2751" s="17">
        <f t="shared" si="128"/>
        <v>0</v>
      </c>
      <c r="E2751" s="17">
        <f t="shared" si="127"/>
        <v>2064</v>
      </c>
      <c r="F2751" s="17" t="s">
        <v>4813</v>
      </c>
      <c r="G2751" s="17">
        <f>MATCH(E2751,Arenas!$F$8:$F$15)</f>
        <v>6</v>
      </c>
      <c r="H2751" s="29" t="s">
        <v>4121</v>
      </c>
      <c r="I2751" s="33" t="s">
        <v>10109</v>
      </c>
      <c r="J2751" s="47" t="s">
        <v>10110</v>
      </c>
      <c r="K2751" s="61" t="s">
        <v>4779</v>
      </c>
      <c r="L2751" s="12" t="str">
        <f t="shared" si="126"/>
        <v>3,3,3</v>
      </c>
    </row>
    <row r="2752" spans="2:12">
      <c r="B2752" s="17">
        <v>3051</v>
      </c>
      <c r="C2752" s="17">
        <v>3</v>
      </c>
      <c r="D2752" s="17">
        <f t="shared" si="128"/>
        <v>0</v>
      </c>
      <c r="E2752" s="17">
        <f t="shared" si="127"/>
        <v>2064</v>
      </c>
      <c r="F2752" s="17" t="s">
        <v>4813</v>
      </c>
      <c r="G2752" s="17">
        <f>MATCH(E2752,Arenas!$F$8:$F$15)</f>
        <v>6</v>
      </c>
      <c r="H2752" s="29" t="s">
        <v>4122</v>
      </c>
      <c r="I2752" s="33" t="s">
        <v>10111</v>
      </c>
      <c r="J2752" s="47" t="s">
        <v>5458</v>
      </c>
      <c r="K2752" s="61" t="s">
        <v>4779</v>
      </c>
      <c r="L2752" s="12" t="str">
        <f t="shared" si="126"/>
        <v>3,3,3</v>
      </c>
    </row>
    <row r="2753" spans="2:12">
      <c r="B2753" s="17">
        <v>3052</v>
      </c>
      <c r="C2753" s="17">
        <v>3</v>
      </c>
      <c r="D2753" s="17">
        <f t="shared" si="128"/>
        <v>1</v>
      </c>
      <c r="E2753" s="17">
        <f t="shared" si="127"/>
        <v>2065</v>
      </c>
      <c r="F2753" s="17" t="s">
        <v>4813</v>
      </c>
      <c r="G2753" s="17">
        <f>MATCH(E2753,Arenas!$F$8:$F$15)</f>
        <v>6</v>
      </c>
      <c r="H2753" s="29" t="s">
        <v>4123</v>
      </c>
      <c r="I2753" s="33" t="s">
        <v>10112</v>
      </c>
      <c r="J2753" s="47" t="s">
        <v>10113</v>
      </c>
      <c r="K2753" s="61" t="s">
        <v>4779</v>
      </c>
      <c r="L2753" s="12" t="str">
        <f t="shared" si="126"/>
        <v>3,3,3</v>
      </c>
    </row>
    <row r="2754" spans="2:12">
      <c r="B2754" s="17">
        <v>3053</v>
      </c>
      <c r="C2754" s="17">
        <v>3</v>
      </c>
      <c r="D2754" s="17">
        <f t="shared" si="128"/>
        <v>0</v>
      </c>
      <c r="E2754" s="17">
        <f t="shared" si="127"/>
        <v>2065</v>
      </c>
      <c r="F2754" s="17" t="s">
        <v>4813</v>
      </c>
      <c r="G2754" s="17">
        <f>MATCH(E2754,Arenas!$F$8:$F$15)</f>
        <v>6</v>
      </c>
      <c r="H2754" s="29" t="s">
        <v>4124</v>
      </c>
      <c r="I2754" s="33" t="s">
        <v>10114</v>
      </c>
      <c r="J2754" s="47" t="s">
        <v>10115</v>
      </c>
      <c r="K2754" s="61" t="s">
        <v>4779</v>
      </c>
      <c r="L2754" s="12" t="str">
        <f t="shared" ref="L2754:L2817" si="129">C2754&amp;","&amp;C2754&amp;","&amp;C2754</f>
        <v>3,3,3</v>
      </c>
    </row>
    <row r="2755" spans="2:12">
      <c r="B2755" s="17">
        <v>3054</v>
      </c>
      <c r="C2755" s="17">
        <v>3</v>
      </c>
      <c r="D2755" s="17">
        <f t="shared" si="128"/>
        <v>0</v>
      </c>
      <c r="E2755" s="17">
        <f t="shared" ref="E2755:E2818" si="130">D2755+E2754</f>
        <v>2065</v>
      </c>
      <c r="F2755" s="17" t="s">
        <v>4813</v>
      </c>
      <c r="G2755" s="17">
        <f>MATCH(E2755,Arenas!$F$8:$F$15)</f>
        <v>6</v>
      </c>
      <c r="H2755" s="29" t="s">
        <v>4125</v>
      </c>
      <c r="I2755" s="33" t="s">
        <v>10116</v>
      </c>
      <c r="J2755" s="47" t="s">
        <v>10117</v>
      </c>
      <c r="K2755" s="61" t="s">
        <v>4779</v>
      </c>
      <c r="L2755" s="12" t="str">
        <f t="shared" si="129"/>
        <v>3,3,3</v>
      </c>
    </row>
    <row r="2756" spans="2:12">
      <c r="B2756" s="17">
        <v>3055</v>
      </c>
      <c r="C2756" s="17">
        <v>3</v>
      </c>
      <c r="D2756" s="17">
        <f t="shared" si="128"/>
        <v>1</v>
      </c>
      <c r="E2756" s="17">
        <f t="shared" si="130"/>
        <v>2066</v>
      </c>
      <c r="F2756" s="17" t="s">
        <v>4813</v>
      </c>
      <c r="G2756" s="17">
        <f>MATCH(E2756,Arenas!$F$8:$F$15)</f>
        <v>6</v>
      </c>
      <c r="H2756" s="29" t="s">
        <v>4126</v>
      </c>
      <c r="I2756" s="33" t="s">
        <v>10118</v>
      </c>
      <c r="J2756" s="47" t="s">
        <v>10119</v>
      </c>
      <c r="K2756" s="61" t="s">
        <v>4779</v>
      </c>
      <c r="L2756" s="12" t="str">
        <f t="shared" si="129"/>
        <v>3,3,3</v>
      </c>
    </row>
    <row r="2757" spans="2:12">
      <c r="B2757" s="17">
        <v>3056</v>
      </c>
      <c r="C2757" s="17">
        <v>3</v>
      </c>
      <c r="D2757" s="17">
        <f t="shared" ref="D2757:D2820" si="131">D2754</f>
        <v>0</v>
      </c>
      <c r="E2757" s="17">
        <f t="shared" si="130"/>
        <v>2066</v>
      </c>
      <c r="F2757" s="17" t="s">
        <v>4813</v>
      </c>
      <c r="G2757" s="17">
        <f>MATCH(E2757,Arenas!$F$8:$F$15)</f>
        <v>6</v>
      </c>
      <c r="H2757" s="29" t="s">
        <v>4127</v>
      </c>
      <c r="I2757" s="33" t="s">
        <v>10120</v>
      </c>
      <c r="J2757" s="47" t="s">
        <v>10121</v>
      </c>
      <c r="K2757" s="61" t="s">
        <v>4779</v>
      </c>
      <c r="L2757" s="12" t="str">
        <f t="shared" si="129"/>
        <v>3,3,3</v>
      </c>
    </row>
    <row r="2758" spans="2:12">
      <c r="B2758" s="17">
        <v>3057</v>
      </c>
      <c r="C2758" s="17">
        <v>3</v>
      </c>
      <c r="D2758" s="17">
        <f t="shared" si="131"/>
        <v>0</v>
      </c>
      <c r="E2758" s="17">
        <f t="shared" si="130"/>
        <v>2066</v>
      </c>
      <c r="F2758" s="17" t="s">
        <v>4813</v>
      </c>
      <c r="G2758" s="17">
        <f>MATCH(E2758,Arenas!$F$8:$F$15)</f>
        <v>6</v>
      </c>
      <c r="H2758" s="29" t="s">
        <v>4128</v>
      </c>
      <c r="I2758" s="33" t="s">
        <v>10122</v>
      </c>
      <c r="J2758" s="47" t="s">
        <v>10123</v>
      </c>
      <c r="K2758" s="61" t="s">
        <v>4806</v>
      </c>
      <c r="L2758" s="12" t="str">
        <f t="shared" si="129"/>
        <v>3,3,3</v>
      </c>
    </row>
    <row r="2759" spans="2:12">
      <c r="B2759" s="17">
        <v>3058</v>
      </c>
      <c r="C2759" s="17">
        <v>3</v>
      </c>
      <c r="D2759" s="17">
        <f t="shared" si="131"/>
        <v>1</v>
      </c>
      <c r="E2759" s="17">
        <f t="shared" si="130"/>
        <v>2067</v>
      </c>
      <c r="F2759" s="17" t="s">
        <v>4813</v>
      </c>
      <c r="G2759" s="17">
        <f>MATCH(E2759,Arenas!$F$8:$F$15)</f>
        <v>6</v>
      </c>
      <c r="H2759" s="29" t="s">
        <v>4129</v>
      </c>
      <c r="I2759" s="33" t="s">
        <v>10124</v>
      </c>
      <c r="J2759" s="47" t="s">
        <v>10125</v>
      </c>
      <c r="K2759" s="61" t="s">
        <v>4808</v>
      </c>
      <c r="L2759" s="12" t="str">
        <f t="shared" si="129"/>
        <v>3,3,3</v>
      </c>
    </row>
    <row r="2760" spans="2:12">
      <c r="B2760" s="17">
        <v>3059</v>
      </c>
      <c r="C2760" s="17">
        <v>3</v>
      </c>
      <c r="D2760" s="17">
        <f t="shared" si="131"/>
        <v>0</v>
      </c>
      <c r="E2760" s="17">
        <f t="shared" si="130"/>
        <v>2067</v>
      </c>
      <c r="F2760" s="17" t="s">
        <v>4813</v>
      </c>
      <c r="G2760" s="17">
        <f>MATCH(E2760,Arenas!$F$8:$F$15)</f>
        <v>6</v>
      </c>
      <c r="H2760" s="29" t="s">
        <v>4130</v>
      </c>
      <c r="I2760" s="33" t="s">
        <v>10126</v>
      </c>
      <c r="J2760" s="47" t="s">
        <v>10127</v>
      </c>
      <c r="K2760" s="61" t="s">
        <v>4779</v>
      </c>
      <c r="L2760" s="12" t="str">
        <f t="shared" si="129"/>
        <v>3,3,3</v>
      </c>
    </row>
    <row r="2761" spans="2:12">
      <c r="B2761" s="17">
        <v>3060</v>
      </c>
      <c r="C2761" s="17">
        <v>3</v>
      </c>
      <c r="D2761" s="17">
        <f t="shared" si="131"/>
        <v>0</v>
      </c>
      <c r="E2761" s="17">
        <f t="shared" si="130"/>
        <v>2067</v>
      </c>
      <c r="F2761" s="17" t="s">
        <v>4813</v>
      </c>
      <c r="G2761" s="17">
        <f>MATCH(E2761,Arenas!$F$8:$F$15)</f>
        <v>6</v>
      </c>
      <c r="H2761" s="29" t="s">
        <v>4131</v>
      </c>
      <c r="I2761" s="33" t="s">
        <v>10128</v>
      </c>
      <c r="J2761" s="47" t="s">
        <v>10129</v>
      </c>
      <c r="K2761" s="61" t="s">
        <v>4779</v>
      </c>
      <c r="L2761" s="12" t="str">
        <f t="shared" si="129"/>
        <v>3,3,3</v>
      </c>
    </row>
    <row r="2762" spans="2:12">
      <c r="B2762" s="17">
        <v>3061</v>
      </c>
      <c r="C2762" s="17">
        <v>3</v>
      </c>
      <c r="D2762" s="17">
        <f t="shared" si="131"/>
        <v>1</v>
      </c>
      <c r="E2762" s="17">
        <f t="shared" si="130"/>
        <v>2068</v>
      </c>
      <c r="F2762" s="17" t="s">
        <v>4813</v>
      </c>
      <c r="G2762" s="17">
        <f>MATCH(E2762,Arenas!$F$8:$F$15)</f>
        <v>6</v>
      </c>
      <c r="H2762" s="29" t="s">
        <v>4132</v>
      </c>
      <c r="I2762" s="33" t="s">
        <v>10130</v>
      </c>
      <c r="J2762" s="47" t="s">
        <v>10131</v>
      </c>
      <c r="K2762" s="61" t="s">
        <v>4779</v>
      </c>
      <c r="L2762" s="12" t="str">
        <f t="shared" si="129"/>
        <v>3,3,3</v>
      </c>
    </row>
    <row r="2763" spans="2:12">
      <c r="B2763" s="17">
        <v>3062</v>
      </c>
      <c r="C2763" s="17">
        <v>3</v>
      </c>
      <c r="D2763" s="17">
        <f t="shared" si="131"/>
        <v>0</v>
      </c>
      <c r="E2763" s="17">
        <f t="shared" si="130"/>
        <v>2068</v>
      </c>
      <c r="F2763" s="17" t="s">
        <v>4813</v>
      </c>
      <c r="G2763" s="17">
        <f>MATCH(E2763,Arenas!$F$8:$F$15)</f>
        <v>6</v>
      </c>
      <c r="H2763" s="29" t="s">
        <v>4133</v>
      </c>
      <c r="I2763" s="33" t="s">
        <v>10132</v>
      </c>
      <c r="J2763" s="47" t="s">
        <v>10133</v>
      </c>
      <c r="K2763" s="61" t="s">
        <v>4779</v>
      </c>
      <c r="L2763" s="12" t="str">
        <f t="shared" si="129"/>
        <v>3,3,3</v>
      </c>
    </row>
    <row r="2764" spans="2:12">
      <c r="B2764" s="17">
        <v>3063</v>
      </c>
      <c r="C2764" s="17">
        <v>3</v>
      </c>
      <c r="D2764" s="17">
        <f t="shared" si="131"/>
        <v>0</v>
      </c>
      <c r="E2764" s="17">
        <f t="shared" si="130"/>
        <v>2068</v>
      </c>
      <c r="F2764" s="17" t="s">
        <v>4813</v>
      </c>
      <c r="G2764" s="17">
        <f>MATCH(E2764,Arenas!$F$8:$F$15)</f>
        <v>6</v>
      </c>
      <c r="H2764" s="29" t="s">
        <v>4134</v>
      </c>
      <c r="I2764" s="33" t="s">
        <v>10134</v>
      </c>
      <c r="J2764" s="47" t="s">
        <v>10135</v>
      </c>
      <c r="K2764" s="61" t="s">
        <v>4779</v>
      </c>
      <c r="L2764" s="12" t="str">
        <f t="shared" si="129"/>
        <v>3,3,3</v>
      </c>
    </row>
    <row r="2765" spans="2:12">
      <c r="B2765" s="17">
        <v>3064</v>
      </c>
      <c r="C2765" s="17">
        <v>3</v>
      </c>
      <c r="D2765" s="17">
        <f t="shared" si="131"/>
        <v>1</v>
      </c>
      <c r="E2765" s="17">
        <f t="shared" si="130"/>
        <v>2069</v>
      </c>
      <c r="F2765" s="17" t="s">
        <v>4813</v>
      </c>
      <c r="G2765" s="17">
        <f>MATCH(E2765,Arenas!$F$8:$F$15)</f>
        <v>6</v>
      </c>
      <c r="H2765" s="29" t="s">
        <v>4135</v>
      </c>
      <c r="I2765" s="33" t="s">
        <v>10136</v>
      </c>
      <c r="J2765" s="47" t="s">
        <v>5164</v>
      </c>
      <c r="K2765" s="61" t="s">
        <v>4779</v>
      </c>
      <c r="L2765" s="12" t="str">
        <f t="shared" si="129"/>
        <v>3,3,3</v>
      </c>
    </row>
    <row r="2766" spans="2:12">
      <c r="B2766" s="17">
        <v>3065</v>
      </c>
      <c r="C2766" s="17">
        <v>3</v>
      </c>
      <c r="D2766" s="17">
        <f t="shared" si="131"/>
        <v>0</v>
      </c>
      <c r="E2766" s="17">
        <f t="shared" si="130"/>
        <v>2069</v>
      </c>
      <c r="F2766" s="17" t="s">
        <v>4813</v>
      </c>
      <c r="G2766" s="17">
        <f>MATCH(E2766,Arenas!$F$8:$F$15)</f>
        <v>6</v>
      </c>
      <c r="H2766" s="29" t="s">
        <v>4136</v>
      </c>
      <c r="I2766" s="33" t="s">
        <v>10137</v>
      </c>
      <c r="J2766" s="47" t="s">
        <v>10138</v>
      </c>
      <c r="K2766" s="61" t="s">
        <v>4779</v>
      </c>
      <c r="L2766" s="12" t="str">
        <f t="shared" si="129"/>
        <v>3,3,3</v>
      </c>
    </row>
    <row r="2767" spans="2:12">
      <c r="B2767" s="17">
        <v>3066</v>
      </c>
      <c r="C2767" s="17">
        <v>3</v>
      </c>
      <c r="D2767" s="17">
        <f t="shared" si="131"/>
        <v>0</v>
      </c>
      <c r="E2767" s="17">
        <f t="shared" si="130"/>
        <v>2069</v>
      </c>
      <c r="F2767" s="17" t="s">
        <v>4813</v>
      </c>
      <c r="G2767" s="17">
        <f>MATCH(E2767,Arenas!$F$8:$F$15)</f>
        <v>6</v>
      </c>
      <c r="H2767" s="29" t="s">
        <v>4137</v>
      </c>
      <c r="I2767" s="33" t="s">
        <v>10139</v>
      </c>
      <c r="J2767" s="47" t="s">
        <v>10140</v>
      </c>
      <c r="K2767" s="61" t="s">
        <v>4779</v>
      </c>
      <c r="L2767" s="12" t="str">
        <f t="shared" si="129"/>
        <v>3,3,3</v>
      </c>
    </row>
    <row r="2768" spans="2:12">
      <c r="B2768" s="17">
        <v>3067</v>
      </c>
      <c r="C2768" s="17">
        <v>3</v>
      </c>
      <c r="D2768" s="17">
        <f t="shared" si="131"/>
        <v>1</v>
      </c>
      <c r="E2768" s="17">
        <f t="shared" si="130"/>
        <v>2070</v>
      </c>
      <c r="F2768" s="17" t="s">
        <v>4813</v>
      </c>
      <c r="G2768" s="17">
        <f>MATCH(E2768,Arenas!$F$8:$F$15)</f>
        <v>6</v>
      </c>
      <c r="H2768" s="29" t="s">
        <v>4138</v>
      </c>
      <c r="I2768" s="33" t="s">
        <v>10141</v>
      </c>
      <c r="J2768" s="47" t="s">
        <v>5925</v>
      </c>
      <c r="K2768" s="61" t="s">
        <v>4779</v>
      </c>
      <c r="L2768" s="12" t="str">
        <f t="shared" si="129"/>
        <v>3,3,3</v>
      </c>
    </row>
    <row r="2769" spans="2:12">
      <c r="B2769" s="17">
        <v>3068</v>
      </c>
      <c r="C2769" s="17">
        <v>3</v>
      </c>
      <c r="D2769" s="17">
        <f t="shared" si="131"/>
        <v>0</v>
      </c>
      <c r="E2769" s="17">
        <f t="shared" si="130"/>
        <v>2070</v>
      </c>
      <c r="F2769" s="17" t="s">
        <v>4813</v>
      </c>
      <c r="G2769" s="17">
        <f>MATCH(E2769,Arenas!$F$8:$F$15)</f>
        <v>6</v>
      </c>
      <c r="H2769" s="29" t="s">
        <v>4139</v>
      </c>
      <c r="I2769" s="33" t="s">
        <v>10142</v>
      </c>
      <c r="J2769" s="47" t="s">
        <v>10143</v>
      </c>
      <c r="K2769" s="61" t="s">
        <v>4779</v>
      </c>
      <c r="L2769" s="12" t="str">
        <f t="shared" si="129"/>
        <v>3,3,3</v>
      </c>
    </row>
    <row r="2770" spans="2:12">
      <c r="B2770" s="17">
        <v>3069</v>
      </c>
      <c r="C2770" s="17">
        <v>3</v>
      </c>
      <c r="D2770" s="17">
        <f t="shared" si="131"/>
        <v>0</v>
      </c>
      <c r="E2770" s="17">
        <f t="shared" si="130"/>
        <v>2070</v>
      </c>
      <c r="F2770" s="17" t="s">
        <v>4813</v>
      </c>
      <c r="G2770" s="17">
        <f>MATCH(E2770,Arenas!$F$8:$F$15)</f>
        <v>6</v>
      </c>
      <c r="H2770" s="29" t="s">
        <v>4140</v>
      </c>
      <c r="I2770" s="33" t="s">
        <v>10144</v>
      </c>
      <c r="J2770" s="47" t="s">
        <v>10145</v>
      </c>
      <c r="K2770" s="61" t="s">
        <v>4779</v>
      </c>
      <c r="L2770" s="12" t="str">
        <f t="shared" si="129"/>
        <v>3,3,3</v>
      </c>
    </row>
    <row r="2771" spans="2:12">
      <c r="B2771" s="17">
        <v>3070</v>
      </c>
      <c r="C2771" s="17">
        <v>3</v>
      </c>
      <c r="D2771" s="17">
        <f t="shared" si="131"/>
        <v>1</v>
      </c>
      <c r="E2771" s="17">
        <f t="shared" si="130"/>
        <v>2071</v>
      </c>
      <c r="F2771" s="17" t="s">
        <v>4813</v>
      </c>
      <c r="G2771" s="17">
        <f>MATCH(E2771,Arenas!$F$8:$F$15)</f>
        <v>6</v>
      </c>
      <c r="H2771" s="29" t="s">
        <v>4141</v>
      </c>
      <c r="I2771" s="33" t="s">
        <v>10146</v>
      </c>
      <c r="J2771" s="47" t="s">
        <v>10147</v>
      </c>
      <c r="K2771" s="61" t="s">
        <v>4779</v>
      </c>
      <c r="L2771" s="12" t="str">
        <f t="shared" si="129"/>
        <v>3,3,3</v>
      </c>
    </row>
    <row r="2772" spans="2:12">
      <c r="B2772" s="17">
        <v>3071</v>
      </c>
      <c r="C2772" s="17">
        <v>3</v>
      </c>
      <c r="D2772" s="17">
        <f t="shared" si="131"/>
        <v>0</v>
      </c>
      <c r="E2772" s="17">
        <f t="shared" si="130"/>
        <v>2071</v>
      </c>
      <c r="F2772" s="17" t="s">
        <v>4813</v>
      </c>
      <c r="G2772" s="17">
        <f>MATCH(E2772,Arenas!$F$8:$F$15)</f>
        <v>6</v>
      </c>
      <c r="H2772" s="29" t="s">
        <v>4142</v>
      </c>
      <c r="I2772" s="33" t="s">
        <v>10148</v>
      </c>
      <c r="J2772" s="47" t="s">
        <v>10149</v>
      </c>
      <c r="K2772" s="61" t="s">
        <v>4779</v>
      </c>
      <c r="L2772" s="12" t="str">
        <f t="shared" si="129"/>
        <v>3,3,3</v>
      </c>
    </row>
    <row r="2773" spans="2:12">
      <c r="B2773" s="17">
        <v>3072</v>
      </c>
      <c r="C2773" s="17">
        <v>3</v>
      </c>
      <c r="D2773" s="17">
        <f t="shared" si="131"/>
        <v>0</v>
      </c>
      <c r="E2773" s="17">
        <f t="shared" si="130"/>
        <v>2071</v>
      </c>
      <c r="F2773" s="17" t="s">
        <v>4813</v>
      </c>
      <c r="G2773" s="17">
        <f>MATCH(E2773,Arenas!$F$8:$F$15)</f>
        <v>6</v>
      </c>
      <c r="H2773" s="29" t="s">
        <v>4143</v>
      </c>
      <c r="I2773" s="33" t="s">
        <v>10150</v>
      </c>
      <c r="J2773" s="47" t="s">
        <v>10151</v>
      </c>
      <c r="K2773" s="61" t="s">
        <v>4779</v>
      </c>
      <c r="L2773" s="12" t="str">
        <f t="shared" si="129"/>
        <v>3,3,3</v>
      </c>
    </row>
    <row r="2774" spans="2:12">
      <c r="B2774" s="17">
        <v>3073</v>
      </c>
      <c r="C2774" s="17">
        <v>3</v>
      </c>
      <c r="D2774" s="17">
        <f t="shared" si="131"/>
        <v>1</v>
      </c>
      <c r="E2774" s="17">
        <f t="shared" si="130"/>
        <v>2072</v>
      </c>
      <c r="F2774" s="17" t="s">
        <v>4813</v>
      </c>
      <c r="G2774" s="17">
        <f>MATCH(E2774,Arenas!$F$8:$F$15)</f>
        <v>6</v>
      </c>
      <c r="H2774" s="29" t="s">
        <v>4144</v>
      </c>
      <c r="I2774" s="33" t="s">
        <v>10152</v>
      </c>
      <c r="J2774" s="47" t="s">
        <v>10153</v>
      </c>
      <c r="K2774" s="61" t="s">
        <v>4779</v>
      </c>
      <c r="L2774" s="12" t="str">
        <f t="shared" si="129"/>
        <v>3,3,3</v>
      </c>
    </row>
    <row r="2775" spans="2:12">
      <c r="B2775" s="17">
        <v>3074</v>
      </c>
      <c r="C2775" s="17">
        <v>3</v>
      </c>
      <c r="D2775" s="17">
        <f t="shared" si="131"/>
        <v>0</v>
      </c>
      <c r="E2775" s="17">
        <f t="shared" si="130"/>
        <v>2072</v>
      </c>
      <c r="F2775" s="17" t="s">
        <v>4813</v>
      </c>
      <c r="G2775" s="17">
        <f>MATCH(E2775,Arenas!$F$8:$F$15)</f>
        <v>6</v>
      </c>
      <c r="H2775" s="29" t="s">
        <v>4145</v>
      </c>
      <c r="I2775" s="33" t="s">
        <v>10154</v>
      </c>
      <c r="J2775" s="47" t="s">
        <v>10155</v>
      </c>
      <c r="K2775" s="61" t="s">
        <v>4779</v>
      </c>
      <c r="L2775" s="12" t="str">
        <f t="shared" si="129"/>
        <v>3,3,3</v>
      </c>
    </row>
    <row r="2776" spans="2:12">
      <c r="B2776" s="17">
        <v>3075</v>
      </c>
      <c r="C2776" s="17">
        <v>3</v>
      </c>
      <c r="D2776" s="17">
        <f t="shared" si="131"/>
        <v>0</v>
      </c>
      <c r="E2776" s="17">
        <f t="shared" si="130"/>
        <v>2072</v>
      </c>
      <c r="F2776" s="17" t="s">
        <v>4813</v>
      </c>
      <c r="G2776" s="17">
        <f>MATCH(E2776,Arenas!$F$8:$F$15)</f>
        <v>6</v>
      </c>
      <c r="H2776" s="29" t="s">
        <v>4146</v>
      </c>
      <c r="I2776" s="33" t="s">
        <v>10156</v>
      </c>
      <c r="J2776" s="47" t="s">
        <v>10157</v>
      </c>
      <c r="K2776" s="61" t="s">
        <v>4779</v>
      </c>
      <c r="L2776" s="12" t="str">
        <f t="shared" si="129"/>
        <v>3,3,3</v>
      </c>
    </row>
    <row r="2777" spans="2:12">
      <c r="B2777" s="17">
        <v>3076</v>
      </c>
      <c r="C2777" s="17">
        <v>3</v>
      </c>
      <c r="D2777" s="17">
        <f t="shared" si="131"/>
        <v>1</v>
      </c>
      <c r="E2777" s="17">
        <f t="shared" si="130"/>
        <v>2073</v>
      </c>
      <c r="F2777" s="17" t="s">
        <v>4813</v>
      </c>
      <c r="G2777" s="17">
        <f>MATCH(E2777,Arenas!$F$8:$F$15)</f>
        <v>6</v>
      </c>
      <c r="H2777" s="29" t="s">
        <v>4147</v>
      </c>
      <c r="I2777" s="33" t="s">
        <v>10158</v>
      </c>
      <c r="J2777" s="47" t="s">
        <v>10159</v>
      </c>
      <c r="K2777" s="61" t="s">
        <v>4779</v>
      </c>
      <c r="L2777" s="12" t="str">
        <f t="shared" si="129"/>
        <v>3,3,3</v>
      </c>
    </row>
    <row r="2778" spans="2:12">
      <c r="B2778" s="17">
        <v>3077</v>
      </c>
      <c r="C2778" s="17">
        <v>3</v>
      </c>
      <c r="D2778" s="17">
        <f t="shared" si="131"/>
        <v>0</v>
      </c>
      <c r="E2778" s="17">
        <f t="shared" si="130"/>
        <v>2073</v>
      </c>
      <c r="F2778" s="17" t="s">
        <v>4813</v>
      </c>
      <c r="G2778" s="17">
        <f>MATCH(E2778,Arenas!$F$8:$F$15)</f>
        <v>6</v>
      </c>
      <c r="H2778" s="29" t="s">
        <v>4148</v>
      </c>
      <c r="I2778" s="33" t="s">
        <v>10160</v>
      </c>
      <c r="J2778" s="47" t="s">
        <v>5384</v>
      </c>
      <c r="K2778" s="61" t="s">
        <v>4779</v>
      </c>
      <c r="L2778" s="12" t="str">
        <f t="shared" si="129"/>
        <v>3,3,3</v>
      </c>
    </row>
    <row r="2779" spans="2:12">
      <c r="B2779" s="17">
        <v>3078</v>
      </c>
      <c r="C2779" s="17">
        <v>3</v>
      </c>
      <c r="D2779" s="17">
        <f t="shared" si="131"/>
        <v>0</v>
      </c>
      <c r="E2779" s="17">
        <f t="shared" si="130"/>
        <v>2073</v>
      </c>
      <c r="F2779" s="17" t="s">
        <v>4813</v>
      </c>
      <c r="G2779" s="17">
        <f>MATCH(E2779,Arenas!$F$8:$F$15)</f>
        <v>6</v>
      </c>
      <c r="H2779" s="29" t="s">
        <v>4149</v>
      </c>
      <c r="I2779" s="33" t="s">
        <v>10161</v>
      </c>
      <c r="J2779" s="47" t="s">
        <v>10162</v>
      </c>
      <c r="K2779" s="61" t="s">
        <v>4779</v>
      </c>
      <c r="L2779" s="12" t="str">
        <f t="shared" si="129"/>
        <v>3,3,3</v>
      </c>
    </row>
    <row r="2780" spans="2:12">
      <c r="B2780" s="17">
        <v>3079</v>
      </c>
      <c r="C2780" s="17">
        <v>3</v>
      </c>
      <c r="D2780" s="17">
        <f t="shared" si="131"/>
        <v>1</v>
      </c>
      <c r="E2780" s="17">
        <f t="shared" si="130"/>
        <v>2074</v>
      </c>
      <c r="F2780" s="17" t="s">
        <v>4813</v>
      </c>
      <c r="G2780" s="17">
        <f>MATCH(E2780,Arenas!$F$8:$F$15)</f>
        <v>6</v>
      </c>
      <c r="H2780" s="29" t="s">
        <v>4150</v>
      </c>
      <c r="I2780" s="33" t="s">
        <v>10163</v>
      </c>
      <c r="J2780" s="47" t="s">
        <v>10164</v>
      </c>
      <c r="K2780" s="61" t="s">
        <v>4779</v>
      </c>
      <c r="L2780" s="12" t="str">
        <f t="shared" si="129"/>
        <v>3,3,3</v>
      </c>
    </row>
    <row r="2781" spans="2:12">
      <c r="B2781" s="17">
        <v>3080</v>
      </c>
      <c r="C2781" s="17">
        <v>3</v>
      </c>
      <c r="D2781" s="17">
        <f t="shared" si="131"/>
        <v>0</v>
      </c>
      <c r="E2781" s="17">
        <f t="shared" si="130"/>
        <v>2074</v>
      </c>
      <c r="F2781" s="17" t="s">
        <v>4813</v>
      </c>
      <c r="G2781" s="17">
        <f>MATCH(E2781,Arenas!$F$8:$F$15)</f>
        <v>6</v>
      </c>
      <c r="H2781" s="29" t="s">
        <v>4151</v>
      </c>
      <c r="I2781" s="33" t="s">
        <v>10165</v>
      </c>
      <c r="J2781" s="47" t="s">
        <v>10166</v>
      </c>
      <c r="K2781" s="61" t="s">
        <v>4809</v>
      </c>
      <c r="L2781" s="12" t="str">
        <f t="shared" si="129"/>
        <v>3,3,3</v>
      </c>
    </row>
    <row r="2782" spans="2:12">
      <c r="B2782" s="17">
        <v>3081</v>
      </c>
      <c r="C2782" s="17">
        <v>3</v>
      </c>
      <c r="D2782" s="17">
        <f t="shared" si="131"/>
        <v>0</v>
      </c>
      <c r="E2782" s="17">
        <f t="shared" si="130"/>
        <v>2074</v>
      </c>
      <c r="F2782" s="17" t="s">
        <v>4813</v>
      </c>
      <c r="G2782" s="17">
        <f>MATCH(E2782,Arenas!$F$8:$F$15)</f>
        <v>6</v>
      </c>
      <c r="H2782" s="29" t="s">
        <v>4152</v>
      </c>
      <c r="I2782" s="33" t="s">
        <v>10167</v>
      </c>
      <c r="J2782" s="47" t="s">
        <v>5136</v>
      </c>
      <c r="K2782" s="61" t="s">
        <v>4779</v>
      </c>
      <c r="L2782" s="12" t="str">
        <f t="shared" si="129"/>
        <v>3,3,3</v>
      </c>
    </row>
    <row r="2783" spans="2:12">
      <c r="B2783" s="17">
        <v>3082</v>
      </c>
      <c r="C2783" s="17">
        <v>3</v>
      </c>
      <c r="D2783" s="17">
        <f t="shared" si="131"/>
        <v>1</v>
      </c>
      <c r="E2783" s="17">
        <f t="shared" si="130"/>
        <v>2075</v>
      </c>
      <c r="F2783" s="17" t="s">
        <v>4813</v>
      </c>
      <c r="G2783" s="17">
        <f>MATCH(E2783,Arenas!$F$8:$F$15)</f>
        <v>6</v>
      </c>
      <c r="H2783" s="29" t="s">
        <v>4153</v>
      </c>
      <c r="I2783" s="33" t="s">
        <v>10168</v>
      </c>
      <c r="J2783" s="47" t="s">
        <v>4995</v>
      </c>
      <c r="K2783" s="61" t="s">
        <v>4779</v>
      </c>
      <c r="L2783" s="12" t="str">
        <f t="shared" si="129"/>
        <v>3,3,3</v>
      </c>
    </row>
    <row r="2784" spans="2:12">
      <c r="B2784" s="17">
        <v>3083</v>
      </c>
      <c r="C2784" s="17">
        <v>3</v>
      </c>
      <c r="D2784" s="17">
        <f t="shared" si="131"/>
        <v>0</v>
      </c>
      <c r="E2784" s="17">
        <f t="shared" si="130"/>
        <v>2075</v>
      </c>
      <c r="F2784" s="17" t="s">
        <v>4813</v>
      </c>
      <c r="G2784" s="17">
        <f>MATCH(E2784,Arenas!$F$8:$F$15)</f>
        <v>6</v>
      </c>
      <c r="H2784" s="29" t="s">
        <v>4154</v>
      </c>
      <c r="I2784" s="33" t="s">
        <v>10169</v>
      </c>
      <c r="J2784" s="47" t="s">
        <v>10170</v>
      </c>
      <c r="K2784" s="61" t="s">
        <v>4779</v>
      </c>
      <c r="L2784" s="12" t="str">
        <f t="shared" si="129"/>
        <v>3,3,3</v>
      </c>
    </row>
    <row r="2785" spans="2:12">
      <c r="B2785" s="17">
        <v>3084</v>
      </c>
      <c r="C2785" s="17">
        <v>3</v>
      </c>
      <c r="D2785" s="17">
        <f t="shared" si="131"/>
        <v>0</v>
      </c>
      <c r="E2785" s="17">
        <f t="shared" si="130"/>
        <v>2075</v>
      </c>
      <c r="F2785" s="17" t="s">
        <v>4813</v>
      </c>
      <c r="G2785" s="17">
        <f>MATCH(E2785,Arenas!$F$8:$F$15)</f>
        <v>6</v>
      </c>
      <c r="H2785" s="29" t="s">
        <v>4155</v>
      </c>
      <c r="I2785" s="33" t="s">
        <v>10171</v>
      </c>
      <c r="J2785" s="47" t="s">
        <v>10172</v>
      </c>
      <c r="K2785" s="61" t="s">
        <v>4779</v>
      </c>
      <c r="L2785" s="12" t="str">
        <f t="shared" si="129"/>
        <v>3,3,3</v>
      </c>
    </row>
    <row r="2786" spans="2:12">
      <c r="B2786" s="17">
        <v>3085</v>
      </c>
      <c r="C2786" s="17">
        <v>3</v>
      </c>
      <c r="D2786" s="17">
        <f t="shared" si="131"/>
        <v>1</v>
      </c>
      <c r="E2786" s="17">
        <f t="shared" si="130"/>
        <v>2076</v>
      </c>
      <c r="F2786" s="17" t="s">
        <v>4813</v>
      </c>
      <c r="G2786" s="17">
        <f>MATCH(E2786,Arenas!$F$8:$F$15)</f>
        <v>6</v>
      </c>
      <c r="H2786" s="29" t="s">
        <v>4156</v>
      </c>
      <c r="I2786" s="33" t="s">
        <v>10173</v>
      </c>
      <c r="J2786" s="47" t="s">
        <v>10174</v>
      </c>
      <c r="K2786" s="61" t="s">
        <v>4779</v>
      </c>
      <c r="L2786" s="12" t="str">
        <f t="shared" si="129"/>
        <v>3,3,3</v>
      </c>
    </row>
    <row r="2787" spans="2:12">
      <c r="B2787" s="17">
        <v>3086</v>
      </c>
      <c r="C2787" s="17">
        <v>3</v>
      </c>
      <c r="D2787" s="17">
        <f t="shared" si="131"/>
        <v>0</v>
      </c>
      <c r="E2787" s="17">
        <f t="shared" si="130"/>
        <v>2076</v>
      </c>
      <c r="F2787" s="17" t="s">
        <v>4813</v>
      </c>
      <c r="G2787" s="17">
        <f>MATCH(E2787,Arenas!$F$8:$F$15)</f>
        <v>6</v>
      </c>
      <c r="H2787" s="29" t="s">
        <v>4157</v>
      </c>
      <c r="I2787" s="33" t="s">
        <v>10175</v>
      </c>
      <c r="J2787" s="47" t="s">
        <v>10176</v>
      </c>
      <c r="K2787" s="61" t="s">
        <v>4779</v>
      </c>
      <c r="L2787" s="12" t="str">
        <f t="shared" si="129"/>
        <v>3,3,3</v>
      </c>
    </row>
    <row r="2788" spans="2:12">
      <c r="B2788" s="17">
        <v>3087</v>
      </c>
      <c r="C2788" s="17">
        <v>3</v>
      </c>
      <c r="D2788" s="17">
        <f t="shared" si="131"/>
        <v>0</v>
      </c>
      <c r="E2788" s="17">
        <f t="shared" si="130"/>
        <v>2076</v>
      </c>
      <c r="F2788" s="17" t="s">
        <v>4813</v>
      </c>
      <c r="G2788" s="17">
        <f>MATCH(E2788,Arenas!$F$8:$F$15)</f>
        <v>6</v>
      </c>
      <c r="H2788" s="29" t="s">
        <v>4158</v>
      </c>
      <c r="I2788" s="33" t="s">
        <v>10177</v>
      </c>
      <c r="J2788" s="47" t="s">
        <v>10178</v>
      </c>
      <c r="K2788" s="61" t="s">
        <v>4810</v>
      </c>
      <c r="L2788" s="12" t="str">
        <f t="shared" si="129"/>
        <v>3,3,3</v>
      </c>
    </row>
    <row r="2789" spans="2:12">
      <c r="B2789" s="17">
        <v>3088</v>
      </c>
      <c r="C2789" s="17">
        <v>3</v>
      </c>
      <c r="D2789" s="17">
        <f t="shared" si="131"/>
        <v>1</v>
      </c>
      <c r="E2789" s="17">
        <f t="shared" si="130"/>
        <v>2077</v>
      </c>
      <c r="F2789" s="17" t="s">
        <v>4813</v>
      </c>
      <c r="G2789" s="17">
        <f>MATCH(E2789,Arenas!$F$8:$F$15)</f>
        <v>6</v>
      </c>
      <c r="H2789" s="29" t="s">
        <v>4159</v>
      </c>
      <c r="I2789" s="33" t="s">
        <v>10179</v>
      </c>
      <c r="J2789" s="47" t="s">
        <v>10180</v>
      </c>
      <c r="K2789" s="61" t="s">
        <v>4779</v>
      </c>
      <c r="L2789" s="12" t="str">
        <f t="shared" si="129"/>
        <v>3,3,3</v>
      </c>
    </row>
    <row r="2790" spans="2:12">
      <c r="B2790" s="17">
        <v>3089</v>
      </c>
      <c r="C2790" s="17">
        <v>3</v>
      </c>
      <c r="D2790" s="17">
        <f t="shared" si="131"/>
        <v>0</v>
      </c>
      <c r="E2790" s="17">
        <f t="shared" si="130"/>
        <v>2077</v>
      </c>
      <c r="F2790" s="17" t="s">
        <v>4813</v>
      </c>
      <c r="G2790" s="17">
        <f>MATCH(E2790,Arenas!$F$8:$F$15)</f>
        <v>6</v>
      </c>
      <c r="H2790" s="29" t="s">
        <v>4160</v>
      </c>
      <c r="I2790" s="33" t="s">
        <v>10181</v>
      </c>
      <c r="J2790" s="47" t="s">
        <v>10182</v>
      </c>
      <c r="K2790" s="61" t="s">
        <v>4779</v>
      </c>
      <c r="L2790" s="12" t="str">
        <f t="shared" si="129"/>
        <v>3,3,3</v>
      </c>
    </row>
    <row r="2791" spans="2:12">
      <c r="B2791" s="17">
        <v>3090</v>
      </c>
      <c r="C2791" s="17">
        <v>3</v>
      </c>
      <c r="D2791" s="17">
        <f t="shared" si="131"/>
        <v>0</v>
      </c>
      <c r="E2791" s="17">
        <f t="shared" si="130"/>
        <v>2077</v>
      </c>
      <c r="F2791" s="17" t="s">
        <v>4813</v>
      </c>
      <c r="G2791" s="17">
        <f>MATCH(E2791,Arenas!$F$8:$F$15)</f>
        <v>6</v>
      </c>
      <c r="H2791" s="29" t="s">
        <v>4161</v>
      </c>
      <c r="I2791" s="33" t="s">
        <v>10183</v>
      </c>
      <c r="J2791" s="47" t="s">
        <v>10184</v>
      </c>
      <c r="K2791" s="61" t="s">
        <v>4807</v>
      </c>
      <c r="L2791" s="12" t="str">
        <f t="shared" si="129"/>
        <v>3,3,3</v>
      </c>
    </row>
    <row r="2792" spans="2:12">
      <c r="B2792" s="17">
        <v>3091</v>
      </c>
      <c r="C2792" s="17">
        <v>3</v>
      </c>
      <c r="D2792" s="17">
        <f t="shared" si="131"/>
        <v>1</v>
      </c>
      <c r="E2792" s="17">
        <f t="shared" si="130"/>
        <v>2078</v>
      </c>
      <c r="F2792" s="17" t="s">
        <v>4813</v>
      </c>
      <c r="G2792" s="17">
        <f>MATCH(E2792,Arenas!$F$8:$F$15)</f>
        <v>6</v>
      </c>
      <c r="H2792" s="29" t="s">
        <v>4162</v>
      </c>
      <c r="I2792" s="33" t="s">
        <v>10185</v>
      </c>
      <c r="J2792" s="47" t="s">
        <v>10186</v>
      </c>
      <c r="K2792" s="61" t="s">
        <v>4779</v>
      </c>
      <c r="L2792" s="12" t="str">
        <f t="shared" si="129"/>
        <v>3,3,3</v>
      </c>
    </row>
    <row r="2793" spans="2:12">
      <c r="B2793" s="17">
        <v>3092</v>
      </c>
      <c r="C2793" s="17">
        <v>3</v>
      </c>
      <c r="D2793" s="17">
        <f t="shared" si="131"/>
        <v>0</v>
      </c>
      <c r="E2793" s="17">
        <f t="shared" si="130"/>
        <v>2078</v>
      </c>
      <c r="F2793" s="17" t="s">
        <v>4813</v>
      </c>
      <c r="G2793" s="17">
        <f>MATCH(E2793,Arenas!$F$8:$F$15)</f>
        <v>6</v>
      </c>
      <c r="H2793" s="29" t="s">
        <v>4163</v>
      </c>
      <c r="I2793" s="33" t="s">
        <v>10187</v>
      </c>
      <c r="J2793" s="47" t="s">
        <v>10188</v>
      </c>
      <c r="K2793" s="61" t="s">
        <v>4779</v>
      </c>
      <c r="L2793" s="12" t="str">
        <f t="shared" si="129"/>
        <v>3,3,3</v>
      </c>
    </row>
    <row r="2794" spans="2:12">
      <c r="B2794" s="17">
        <v>3093</v>
      </c>
      <c r="C2794" s="17">
        <v>3</v>
      </c>
      <c r="D2794" s="17">
        <f t="shared" si="131"/>
        <v>0</v>
      </c>
      <c r="E2794" s="17">
        <f t="shared" si="130"/>
        <v>2078</v>
      </c>
      <c r="F2794" s="17" t="s">
        <v>4813</v>
      </c>
      <c r="G2794" s="17">
        <f>MATCH(E2794,Arenas!$F$8:$F$15)</f>
        <v>6</v>
      </c>
      <c r="H2794" s="29" t="s">
        <v>4164</v>
      </c>
      <c r="I2794" s="33" t="s">
        <v>10189</v>
      </c>
      <c r="J2794" s="47" t="s">
        <v>10190</v>
      </c>
      <c r="K2794" s="61" t="s">
        <v>4779</v>
      </c>
      <c r="L2794" s="12" t="str">
        <f t="shared" si="129"/>
        <v>3,3,3</v>
      </c>
    </row>
    <row r="2795" spans="2:12">
      <c r="B2795" s="17">
        <v>3094</v>
      </c>
      <c r="C2795" s="17">
        <v>3</v>
      </c>
      <c r="D2795" s="17">
        <f t="shared" si="131"/>
        <v>1</v>
      </c>
      <c r="E2795" s="17">
        <f t="shared" si="130"/>
        <v>2079</v>
      </c>
      <c r="F2795" s="17" t="s">
        <v>4813</v>
      </c>
      <c r="G2795" s="17">
        <f>MATCH(E2795,Arenas!$F$8:$F$15)</f>
        <v>6</v>
      </c>
      <c r="H2795" s="29" t="s">
        <v>4165</v>
      </c>
      <c r="I2795" s="33" t="s">
        <v>10191</v>
      </c>
      <c r="J2795" s="47" t="s">
        <v>5618</v>
      </c>
      <c r="K2795" s="61" t="s">
        <v>4779</v>
      </c>
      <c r="L2795" s="12" t="str">
        <f t="shared" si="129"/>
        <v>3,3,3</v>
      </c>
    </row>
    <row r="2796" spans="2:12">
      <c r="B2796" s="17">
        <v>3095</v>
      </c>
      <c r="C2796" s="17">
        <v>3</v>
      </c>
      <c r="D2796" s="17">
        <f t="shared" si="131"/>
        <v>0</v>
      </c>
      <c r="E2796" s="17">
        <f t="shared" si="130"/>
        <v>2079</v>
      </c>
      <c r="F2796" s="17" t="s">
        <v>4813</v>
      </c>
      <c r="G2796" s="17">
        <f>MATCH(E2796,Arenas!$F$8:$F$15)</f>
        <v>6</v>
      </c>
      <c r="H2796" s="29" t="s">
        <v>4166</v>
      </c>
      <c r="I2796" s="33" t="s">
        <v>10192</v>
      </c>
      <c r="J2796" s="47" t="s">
        <v>10193</v>
      </c>
      <c r="K2796" s="61" t="s">
        <v>4779</v>
      </c>
      <c r="L2796" s="12" t="str">
        <f t="shared" si="129"/>
        <v>3,3,3</v>
      </c>
    </row>
    <row r="2797" spans="2:12">
      <c r="B2797" s="17">
        <v>3096</v>
      </c>
      <c r="C2797" s="17">
        <v>3</v>
      </c>
      <c r="D2797" s="17">
        <f t="shared" si="131"/>
        <v>0</v>
      </c>
      <c r="E2797" s="17">
        <f t="shared" si="130"/>
        <v>2079</v>
      </c>
      <c r="F2797" s="17" t="s">
        <v>4813</v>
      </c>
      <c r="G2797" s="17">
        <f>MATCH(E2797,Arenas!$F$8:$F$15)</f>
        <v>6</v>
      </c>
      <c r="H2797" s="29" t="s">
        <v>4167</v>
      </c>
      <c r="I2797" s="33" t="s">
        <v>10194</v>
      </c>
      <c r="J2797" s="47" t="s">
        <v>10195</v>
      </c>
      <c r="K2797" s="61" t="s">
        <v>4779</v>
      </c>
      <c r="L2797" s="12" t="str">
        <f t="shared" si="129"/>
        <v>3,3,3</v>
      </c>
    </row>
    <row r="2798" spans="2:12">
      <c r="B2798" s="17">
        <v>3097</v>
      </c>
      <c r="C2798" s="17">
        <v>3</v>
      </c>
      <c r="D2798" s="17">
        <f t="shared" si="131"/>
        <v>1</v>
      </c>
      <c r="E2798" s="17">
        <f t="shared" si="130"/>
        <v>2080</v>
      </c>
      <c r="F2798" s="17" t="s">
        <v>4813</v>
      </c>
      <c r="G2798" s="17">
        <f>MATCH(E2798,Arenas!$F$8:$F$15)</f>
        <v>6</v>
      </c>
      <c r="H2798" s="29" t="s">
        <v>4168</v>
      </c>
      <c r="I2798" s="33" t="s">
        <v>10196</v>
      </c>
      <c r="J2798" s="47" t="s">
        <v>5924</v>
      </c>
      <c r="K2798" s="61" t="s">
        <v>4779</v>
      </c>
      <c r="L2798" s="12" t="str">
        <f t="shared" si="129"/>
        <v>3,3,3</v>
      </c>
    </row>
    <row r="2799" spans="2:12">
      <c r="B2799" s="17">
        <v>3098</v>
      </c>
      <c r="C2799" s="17">
        <v>3</v>
      </c>
      <c r="D2799" s="17">
        <f t="shared" si="131"/>
        <v>0</v>
      </c>
      <c r="E2799" s="17">
        <f t="shared" si="130"/>
        <v>2080</v>
      </c>
      <c r="F2799" s="17" t="s">
        <v>4813</v>
      </c>
      <c r="G2799" s="17">
        <f>MATCH(E2799,Arenas!$F$8:$F$15)</f>
        <v>6</v>
      </c>
      <c r="H2799" s="29" t="s">
        <v>4169</v>
      </c>
      <c r="I2799" s="33" t="s">
        <v>10197</v>
      </c>
      <c r="J2799" s="47" t="s">
        <v>10198</v>
      </c>
      <c r="K2799" s="61" t="s">
        <v>4779</v>
      </c>
      <c r="L2799" s="12" t="str">
        <f t="shared" si="129"/>
        <v>3,3,3</v>
      </c>
    </row>
    <row r="2800" spans="2:12">
      <c r="B2800" s="17">
        <v>3099</v>
      </c>
      <c r="C2800" s="17">
        <v>3</v>
      </c>
      <c r="D2800" s="17">
        <f t="shared" si="131"/>
        <v>0</v>
      </c>
      <c r="E2800" s="17">
        <f t="shared" si="130"/>
        <v>2080</v>
      </c>
      <c r="F2800" s="17" t="s">
        <v>4813</v>
      </c>
      <c r="G2800" s="17">
        <f>MATCH(E2800,Arenas!$F$8:$F$15)</f>
        <v>6</v>
      </c>
      <c r="H2800" s="29" t="s">
        <v>4170</v>
      </c>
      <c r="I2800" s="33" t="s">
        <v>10199</v>
      </c>
      <c r="J2800" s="47" t="s">
        <v>5034</v>
      </c>
      <c r="K2800" s="61" t="s">
        <v>4779</v>
      </c>
      <c r="L2800" s="12" t="str">
        <f t="shared" si="129"/>
        <v>3,3,3</v>
      </c>
    </row>
    <row r="2801" spans="2:12">
      <c r="B2801" s="17">
        <v>3100</v>
      </c>
      <c r="C2801" s="17">
        <v>3</v>
      </c>
      <c r="D2801" s="17">
        <f t="shared" si="131"/>
        <v>1</v>
      </c>
      <c r="E2801" s="17">
        <f t="shared" si="130"/>
        <v>2081</v>
      </c>
      <c r="F2801" s="17" t="s">
        <v>4813</v>
      </c>
      <c r="G2801" s="17">
        <f>MATCH(E2801,Arenas!$F$8:$F$15)</f>
        <v>6</v>
      </c>
      <c r="H2801" s="29" t="s">
        <v>4171</v>
      </c>
      <c r="I2801" s="33" t="s">
        <v>10200</v>
      </c>
      <c r="J2801" s="47" t="s">
        <v>10201</v>
      </c>
      <c r="K2801" s="61" t="s">
        <v>4779</v>
      </c>
      <c r="L2801" s="12" t="str">
        <f t="shared" si="129"/>
        <v>3,3,3</v>
      </c>
    </row>
    <row r="2802" spans="2:12">
      <c r="B2802" s="17">
        <v>3101</v>
      </c>
      <c r="C2802" s="17">
        <v>3</v>
      </c>
      <c r="D2802" s="17">
        <f t="shared" si="131"/>
        <v>0</v>
      </c>
      <c r="E2802" s="17">
        <f t="shared" si="130"/>
        <v>2081</v>
      </c>
      <c r="F2802" s="17" t="s">
        <v>4813</v>
      </c>
      <c r="G2802" s="17">
        <f>MATCH(E2802,Arenas!$F$8:$F$15)</f>
        <v>6</v>
      </c>
      <c r="H2802" s="29" t="s">
        <v>4172</v>
      </c>
      <c r="I2802" s="33" t="s">
        <v>10202</v>
      </c>
      <c r="J2802" s="47" t="s">
        <v>5029</v>
      </c>
      <c r="K2802" s="61" t="s">
        <v>4779</v>
      </c>
      <c r="L2802" s="12" t="str">
        <f t="shared" si="129"/>
        <v>3,3,3</v>
      </c>
    </row>
    <row r="2803" spans="2:12">
      <c r="B2803" s="17">
        <v>3102</v>
      </c>
      <c r="C2803" s="17">
        <v>3</v>
      </c>
      <c r="D2803" s="17">
        <f t="shared" si="131"/>
        <v>0</v>
      </c>
      <c r="E2803" s="17">
        <f t="shared" si="130"/>
        <v>2081</v>
      </c>
      <c r="F2803" s="17" t="s">
        <v>4813</v>
      </c>
      <c r="G2803" s="17">
        <f>MATCH(E2803,Arenas!$F$8:$F$15)</f>
        <v>6</v>
      </c>
      <c r="H2803" s="29" t="s">
        <v>4173</v>
      </c>
      <c r="I2803" s="33" t="s">
        <v>10203</v>
      </c>
      <c r="J2803" s="47" t="s">
        <v>10204</v>
      </c>
      <c r="K2803" s="61" t="s">
        <v>4779</v>
      </c>
      <c r="L2803" s="12" t="str">
        <f t="shared" si="129"/>
        <v>3,3,3</v>
      </c>
    </row>
    <row r="2804" spans="2:12">
      <c r="B2804" s="17">
        <v>3103</v>
      </c>
      <c r="C2804" s="17">
        <v>3</v>
      </c>
      <c r="D2804" s="17">
        <f t="shared" si="131"/>
        <v>1</v>
      </c>
      <c r="E2804" s="17">
        <f t="shared" si="130"/>
        <v>2082</v>
      </c>
      <c r="F2804" s="17" t="s">
        <v>4813</v>
      </c>
      <c r="G2804" s="17">
        <f>MATCH(E2804,Arenas!$F$8:$F$15)</f>
        <v>6</v>
      </c>
      <c r="H2804" s="29" t="s">
        <v>4174</v>
      </c>
      <c r="I2804" s="33" t="s">
        <v>10205</v>
      </c>
      <c r="J2804" s="47" t="s">
        <v>10206</v>
      </c>
      <c r="K2804" s="61" t="s">
        <v>4779</v>
      </c>
      <c r="L2804" s="12" t="str">
        <f t="shared" si="129"/>
        <v>3,3,3</v>
      </c>
    </row>
    <row r="2805" spans="2:12">
      <c r="B2805" s="17">
        <v>3104</v>
      </c>
      <c r="C2805" s="17">
        <v>3</v>
      </c>
      <c r="D2805" s="17">
        <f t="shared" si="131"/>
        <v>0</v>
      </c>
      <c r="E2805" s="17">
        <f t="shared" si="130"/>
        <v>2082</v>
      </c>
      <c r="F2805" s="17" t="s">
        <v>4813</v>
      </c>
      <c r="G2805" s="17">
        <f>MATCH(E2805,Arenas!$F$8:$F$15)</f>
        <v>6</v>
      </c>
      <c r="H2805" s="29" t="s">
        <v>4175</v>
      </c>
      <c r="I2805" s="33" t="s">
        <v>10207</v>
      </c>
      <c r="J2805" s="47" t="s">
        <v>10208</v>
      </c>
      <c r="K2805" s="61" t="s">
        <v>4779</v>
      </c>
      <c r="L2805" s="12" t="str">
        <f t="shared" si="129"/>
        <v>3,3,3</v>
      </c>
    </row>
    <row r="2806" spans="2:12">
      <c r="B2806" s="17">
        <v>3105</v>
      </c>
      <c r="C2806" s="17">
        <v>3</v>
      </c>
      <c r="D2806" s="17">
        <f t="shared" si="131"/>
        <v>0</v>
      </c>
      <c r="E2806" s="17">
        <f t="shared" si="130"/>
        <v>2082</v>
      </c>
      <c r="F2806" s="17" t="s">
        <v>4813</v>
      </c>
      <c r="G2806" s="17">
        <f>MATCH(E2806,Arenas!$F$8:$F$15)</f>
        <v>6</v>
      </c>
      <c r="H2806" s="29" t="s">
        <v>4176</v>
      </c>
      <c r="I2806" s="33" t="s">
        <v>10209</v>
      </c>
      <c r="J2806" s="47" t="s">
        <v>5161</v>
      </c>
      <c r="K2806" s="61" t="s">
        <v>4779</v>
      </c>
      <c r="L2806" s="12" t="str">
        <f t="shared" si="129"/>
        <v>3,3,3</v>
      </c>
    </row>
    <row r="2807" spans="2:12">
      <c r="B2807" s="17">
        <v>3106</v>
      </c>
      <c r="C2807" s="17">
        <v>3</v>
      </c>
      <c r="D2807" s="17">
        <f t="shared" si="131"/>
        <v>1</v>
      </c>
      <c r="E2807" s="17">
        <f t="shared" si="130"/>
        <v>2083</v>
      </c>
      <c r="F2807" s="17" t="s">
        <v>4813</v>
      </c>
      <c r="G2807" s="17">
        <f>MATCH(E2807,Arenas!$F$8:$F$15)</f>
        <v>6</v>
      </c>
      <c r="H2807" s="29" t="s">
        <v>4177</v>
      </c>
      <c r="I2807" s="33" t="s">
        <v>10210</v>
      </c>
      <c r="J2807" s="47" t="s">
        <v>4638</v>
      </c>
      <c r="K2807" s="61" t="s">
        <v>4779</v>
      </c>
      <c r="L2807" s="12" t="str">
        <f t="shared" si="129"/>
        <v>3,3,3</v>
      </c>
    </row>
    <row r="2808" spans="2:12">
      <c r="B2808" s="17">
        <v>3107</v>
      </c>
      <c r="C2808" s="17">
        <v>3</v>
      </c>
      <c r="D2808" s="17">
        <f t="shared" si="131"/>
        <v>0</v>
      </c>
      <c r="E2808" s="17">
        <f t="shared" si="130"/>
        <v>2083</v>
      </c>
      <c r="F2808" s="17" t="s">
        <v>4813</v>
      </c>
      <c r="G2808" s="17">
        <f>MATCH(E2808,Arenas!$F$8:$F$15)</f>
        <v>6</v>
      </c>
      <c r="H2808" s="29" t="s">
        <v>4178</v>
      </c>
      <c r="I2808" s="33" t="s">
        <v>10211</v>
      </c>
      <c r="J2808" s="47" t="s">
        <v>5928</v>
      </c>
      <c r="K2808" s="61" t="s">
        <v>4779</v>
      </c>
      <c r="L2808" s="12" t="str">
        <f t="shared" si="129"/>
        <v>3,3,3</v>
      </c>
    </row>
    <row r="2809" spans="2:12">
      <c r="B2809" s="17">
        <v>3108</v>
      </c>
      <c r="C2809" s="17">
        <v>3</v>
      </c>
      <c r="D2809" s="17">
        <f t="shared" si="131"/>
        <v>0</v>
      </c>
      <c r="E2809" s="17">
        <f t="shared" si="130"/>
        <v>2083</v>
      </c>
      <c r="F2809" s="17" t="s">
        <v>4813</v>
      </c>
      <c r="G2809" s="17">
        <f>MATCH(E2809,Arenas!$F$8:$F$15)</f>
        <v>6</v>
      </c>
      <c r="H2809" s="29" t="s">
        <v>4179</v>
      </c>
      <c r="I2809" s="33" t="s">
        <v>10212</v>
      </c>
      <c r="J2809" s="47" t="s">
        <v>10213</v>
      </c>
      <c r="K2809" s="61" t="s">
        <v>4810</v>
      </c>
      <c r="L2809" s="12" t="str">
        <f t="shared" si="129"/>
        <v>3,3,3</v>
      </c>
    </row>
    <row r="2810" spans="2:12">
      <c r="B2810" s="17">
        <v>3109</v>
      </c>
      <c r="C2810" s="17">
        <v>3</v>
      </c>
      <c r="D2810" s="17">
        <f t="shared" si="131"/>
        <v>1</v>
      </c>
      <c r="E2810" s="17">
        <f t="shared" si="130"/>
        <v>2084</v>
      </c>
      <c r="F2810" s="17" t="s">
        <v>4813</v>
      </c>
      <c r="G2810" s="17">
        <f>MATCH(E2810,Arenas!$F$8:$F$15)</f>
        <v>6</v>
      </c>
      <c r="H2810" s="29" t="s">
        <v>4180</v>
      </c>
      <c r="I2810" s="33" t="s">
        <v>10214</v>
      </c>
      <c r="J2810" s="47" t="s">
        <v>10215</v>
      </c>
      <c r="K2810" s="61" t="s">
        <v>4779</v>
      </c>
      <c r="L2810" s="12" t="str">
        <f t="shared" si="129"/>
        <v>3,3,3</v>
      </c>
    </row>
    <row r="2811" spans="2:12">
      <c r="B2811" s="17">
        <v>3110</v>
      </c>
      <c r="C2811" s="17">
        <v>3</v>
      </c>
      <c r="D2811" s="17">
        <f t="shared" si="131"/>
        <v>0</v>
      </c>
      <c r="E2811" s="17">
        <f t="shared" si="130"/>
        <v>2084</v>
      </c>
      <c r="F2811" s="17" t="s">
        <v>4813</v>
      </c>
      <c r="G2811" s="17">
        <f>MATCH(E2811,Arenas!$F$8:$F$15)</f>
        <v>6</v>
      </c>
      <c r="H2811" s="29" t="s">
        <v>4181</v>
      </c>
      <c r="I2811" s="33" t="s">
        <v>10216</v>
      </c>
      <c r="J2811" s="47" t="s">
        <v>9836</v>
      </c>
      <c r="K2811" s="61" t="s">
        <v>4808</v>
      </c>
      <c r="L2811" s="12" t="str">
        <f t="shared" si="129"/>
        <v>3,3,3</v>
      </c>
    </row>
    <row r="2812" spans="2:12">
      <c r="B2812" s="17">
        <v>3111</v>
      </c>
      <c r="C2812" s="17">
        <v>3</v>
      </c>
      <c r="D2812" s="17">
        <f t="shared" si="131"/>
        <v>0</v>
      </c>
      <c r="E2812" s="17">
        <f t="shared" si="130"/>
        <v>2084</v>
      </c>
      <c r="F2812" s="17" t="s">
        <v>4813</v>
      </c>
      <c r="G2812" s="17">
        <f>MATCH(E2812,Arenas!$F$8:$F$15)</f>
        <v>6</v>
      </c>
      <c r="H2812" s="29" t="s">
        <v>4182</v>
      </c>
      <c r="I2812" s="33" t="s">
        <v>10217</v>
      </c>
      <c r="J2812" s="47" t="s">
        <v>10218</v>
      </c>
      <c r="K2812" s="61" t="s">
        <v>4779</v>
      </c>
      <c r="L2812" s="12" t="str">
        <f t="shared" si="129"/>
        <v>3,3,3</v>
      </c>
    </row>
    <row r="2813" spans="2:12">
      <c r="B2813" s="17">
        <v>3112</v>
      </c>
      <c r="C2813" s="17">
        <v>3</v>
      </c>
      <c r="D2813" s="17">
        <f t="shared" si="131"/>
        <v>1</v>
      </c>
      <c r="E2813" s="17">
        <f t="shared" si="130"/>
        <v>2085</v>
      </c>
      <c r="F2813" s="17" t="s">
        <v>4813</v>
      </c>
      <c r="G2813" s="17">
        <f>MATCH(E2813,Arenas!$F$8:$F$15)</f>
        <v>6</v>
      </c>
      <c r="H2813" s="29" t="s">
        <v>4183</v>
      </c>
      <c r="I2813" s="33" t="s">
        <v>10219</v>
      </c>
      <c r="J2813" s="47" t="s">
        <v>10220</v>
      </c>
      <c r="K2813" s="61" t="s">
        <v>4779</v>
      </c>
      <c r="L2813" s="12" t="str">
        <f t="shared" si="129"/>
        <v>3,3,3</v>
      </c>
    </row>
    <row r="2814" spans="2:12">
      <c r="B2814" s="17">
        <v>3113</v>
      </c>
      <c r="C2814" s="17">
        <v>3</v>
      </c>
      <c r="D2814" s="17">
        <f t="shared" si="131"/>
        <v>0</v>
      </c>
      <c r="E2814" s="17">
        <f t="shared" si="130"/>
        <v>2085</v>
      </c>
      <c r="F2814" s="17" t="s">
        <v>4813</v>
      </c>
      <c r="G2814" s="17">
        <f>MATCH(E2814,Arenas!$F$8:$F$15)</f>
        <v>6</v>
      </c>
      <c r="H2814" s="29" t="s">
        <v>4184</v>
      </c>
      <c r="I2814" s="33" t="s">
        <v>10221</v>
      </c>
      <c r="J2814" s="47" t="s">
        <v>5634</v>
      </c>
      <c r="K2814" s="61" t="s">
        <v>4779</v>
      </c>
      <c r="L2814" s="12" t="str">
        <f t="shared" si="129"/>
        <v>3,3,3</v>
      </c>
    </row>
    <row r="2815" spans="2:12">
      <c r="B2815" s="17">
        <v>3114</v>
      </c>
      <c r="C2815" s="17">
        <v>3</v>
      </c>
      <c r="D2815" s="17">
        <f t="shared" si="131"/>
        <v>0</v>
      </c>
      <c r="E2815" s="17">
        <f t="shared" si="130"/>
        <v>2085</v>
      </c>
      <c r="F2815" s="17" t="s">
        <v>4813</v>
      </c>
      <c r="G2815" s="17">
        <f>MATCH(E2815,Arenas!$F$8:$F$15)</f>
        <v>6</v>
      </c>
      <c r="H2815" s="29" t="s">
        <v>4185</v>
      </c>
      <c r="I2815" s="33" t="s">
        <v>10222</v>
      </c>
      <c r="J2815" s="47" t="s">
        <v>10223</v>
      </c>
      <c r="K2815" s="61" t="s">
        <v>4779</v>
      </c>
      <c r="L2815" s="12" t="str">
        <f t="shared" si="129"/>
        <v>3,3,3</v>
      </c>
    </row>
    <row r="2816" spans="2:12">
      <c r="B2816" s="17">
        <v>3115</v>
      </c>
      <c r="C2816" s="17">
        <v>3</v>
      </c>
      <c r="D2816" s="17">
        <f t="shared" si="131"/>
        <v>1</v>
      </c>
      <c r="E2816" s="17">
        <f t="shared" si="130"/>
        <v>2086</v>
      </c>
      <c r="F2816" s="17" t="s">
        <v>4813</v>
      </c>
      <c r="G2816" s="17">
        <f>MATCH(E2816,Arenas!$F$8:$F$15)</f>
        <v>6</v>
      </c>
      <c r="H2816" s="29" t="s">
        <v>4186</v>
      </c>
      <c r="I2816" s="33" t="s">
        <v>10224</v>
      </c>
      <c r="J2816" s="47" t="s">
        <v>10225</v>
      </c>
      <c r="K2816" s="61" t="s">
        <v>4809</v>
      </c>
      <c r="L2816" s="12" t="str">
        <f t="shared" si="129"/>
        <v>3,3,3</v>
      </c>
    </row>
    <row r="2817" spans="2:12">
      <c r="B2817" s="17">
        <v>3116</v>
      </c>
      <c r="C2817" s="17">
        <v>3</v>
      </c>
      <c r="D2817" s="17">
        <f t="shared" si="131"/>
        <v>0</v>
      </c>
      <c r="E2817" s="17">
        <f t="shared" si="130"/>
        <v>2086</v>
      </c>
      <c r="F2817" s="17" t="s">
        <v>4813</v>
      </c>
      <c r="G2817" s="17">
        <f>MATCH(E2817,Arenas!$F$8:$F$15)</f>
        <v>6</v>
      </c>
      <c r="H2817" s="29" t="s">
        <v>4187</v>
      </c>
      <c r="I2817" s="33" t="s">
        <v>10226</v>
      </c>
      <c r="J2817" s="47" t="s">
        <v>10227</v>
      </c>
      <c r="K2817" s="61" t="s">
        <v>4806</v>
      </c>
      <c r="L2817" s="12" t="str">
        <f t="shared" si="129"/>
        <v>3,3,3</v>
      </c>
    </row>
    <row r="2818" spans="2:12">
      <c r="B2818" s="17">
        <v>3117</v>
      </c>
      <c r="C2818" s="17">
        <v>3</v>
      </c>
      <c r="D2818" s="17">
        <f t="shared" si="131"/>
        <v>0</v>
      </c>
      <c r="E2818" s="17">
        <f t="shared" si="130"/>
        <v>2086</v>
      </c>
      <c r="F2818" s="17" t="s">
        <v>4813</v>
      </c>
      <c r="G2818" s="17">
        <f>MATCH(E2818,Arenas!$F$8:$F$15)</f>
        <v>6</v>
      </c>
      <c r="H2818" s="29" t="s">
        <v>4188</v>
      </c>
      <c r="I2818" s="33" t="s">
        <v>10228</v>
      </c>
      <c r="J2818" s="47" t="s">
        <v>10229</v>
      </c>
      <c r="K2818" s="61" t="s">
        <v>4779</v>
      </c>
      <c r="L2818" s="12" t="str">
        <f t="shared" ref="L2818:L2881" si="132">C2818&amp;","&amp;C2818&amp;","&amp;C2818</f>
        <v>3,3,3</v>
      </c>
    </row>
    <row r="2819" spans="2:12">
      <c r="B2819" s="17">
        <v>3118</v>
      </c>
      <c r="C2819" s="17">
        <v>3</v>
      </c>
      <c r="D2819" s="17">
        <f t="shared" si="131"/>
        <v>1</v>
      </c>
      <c r="E2819" s="17">
        <f t="shared" ref="E2819:E2882" si="133">D2819+E2818</f>
        <v>2087</v>
      </c>
      <c r="F2819" s="17" t="s">
        <v>4813</v>
      </c>
      <c r="G2819" s="17">
        <f>MATCH(E2819,Arenas!$F$8:$F$15)</f>
        <v>6</v>
      </c>
      <c r="H2819" s="29" t="s">
        <v>4189</v>
      </c>
      <c r="I2819" s="33" t="s">
        <v>10230</v>
      </c>
      <c r="J2819" s="47" t="s">
        <v>10231</v>
      </c>
      <c r="K2819" s="61" t="s">
        <v>4779</v>
      </c>
      <c r="L2819" s="12" t="str">
        <f t="shared" si="132"/>
        <v>3,3,3</v>
      </c>
    </row>
    <row r="2820" spans="2:12">
      <c r="B2820" s="17">
        <v>3119</v>
      </c>
      <c r="C2820" s="17">
        <v>3</v>
      </c>
      <c r="D2820" s="17">
        <f t="shared" si="131"/>
        <v>0</v>
      </c>
      <c r="E2820" s="17">
        <f t="shared" si="133"/>
        <v>2087</v>
      </c>
      <c r="F2820" s="17" t="s">
        <v>4813</v>
      </c>
      <c r="G2820" s="17">
        <f>MATCH(E2820,Arenas!$F$8:$F$15)</f>
        <v>6</v>
      </c>
      <c r="H2820" s="29" t="s">
        <v>4190</v>
      </c>
      <c r="I2820" s="33" t="s">
        <v>10232</v>
      </c>
      <c r="J2820" s="47" t="s">
        <v>10233</v>
      </c>
      <c r="K2820" s="61" t="s">
        <v>4779</v>
      </c>
      <c r="L2820" s="12" t="str">
        <f t="shared" si="132"/>
        <v>3,3,3</v>
      </c>
    </row>
    <row r="2821" spans="2:12">
      <c r="B2821" s="17">
        <v>3120</v>
      </c>
      <c r="C2821" s="17">
        <v>3</v>
      </c>
      <c r="D2821" s="17">
        <f t="shared" ref="D2821:D2884" si="134">D2818</f>
        <v>0</v>
      </c>
      <c r="E2821" s="17">
        <f t="shared" si="133"/>
        <v>2087</v>
      </c>
      <c r="F2821" s="17" t="s">
        <v>4813</v>
      </c>
      <c r="G2821" s="17">
        <f>MATCH(E2821,Arenas!$F$8:$F$15)</f>
        <v>6</v>
      </c>
      <c r="H2821" s="29" t="s">
        <v>4191</v>
      </c>
      <c r="I2821" s="33" t="s">
        <v>10234</v>
      </c>
      <c r="J2821" s="47" t="s">
        <v>5168</v>
      </c>
      <c r="K2821" s="61" t="s">
        <v>4810</v>
      </c>
      <c r="L2821" s="12" t="str">
        <f t="shared" si="132"/>
        <v>3,3,3</v>
      </c>
    </row>
    <row r="2822" spans="2:12">
      <c r="B2822" s="17">
        <v>3121</v>
      </c>
      <c r="C2822" s="17">
        <v>3</v>
      </c>
      <c r="D2822" s="17">
        <f t="shared" si="134"/>
        <v>1</v>
      </c>
      <c r="E2822" s="17">
        <f t="shared" si="133"/>
        <v>2088</v>
      </c>
      <c r="F2822" s="17" t="s">
        <v>4813</v>
      </c>
      <c r="G2822" s="17">
        <f>MATCH(E2822,Arenas!$F$8:$F$15)</f>
        <v>6</v>
      </c>
      <c r="H2822" s="29" t="s">
        <v>4192</v>
      </c>
      <c r="I2822" s="33" t="s">
        <v>10235</v>
      </c>
      <c r="J2822" s="47" t="s">
        <v>10236</v>
      </c>
      <c r="K2822" s="61" t="s">
        <v>4779</v>
      </c>
      <c r="L2822" s="12" t="str">
        <f t="shared" si="132"/>
        <v>3,3,3</v>
      </c>
    </row>
    <row r="2823" spans="2:12">
      <c r="B2823" s="17">
        <v>3122</v>
      </c>
      <c r="C2823" s="17">
        <v>3</v>
      </c>
      <c r="D2823" s="17">
        <f t="shared" si="134"/>
        <v>0</v>
      </c>
      <c r="E2823" s="17">
        <f t="shared" si="133"/>
        <v>2088</v>
      </c>
      <c r="F2823" s="17" t="s">
        <v>4813</v>
      </c>
      <c r="G2823" s="17">
        <f>MATCH(E2823,Arenas!$F$8:$F$15)</f>
        <v>6</v>
      </c>
      <c r="H2823" s="29" t="s">
        <v>4193</v>
      </c>
      <c r="I2823" s="33" t="s">
        <v>10237</v>
      </c>
      <c r="J2823" s="47" t="s">
        <v>10238</v>
      </c>
      <c r="K2823" s="61" t="s">
        <v>4807</v>
      </c>
      <c r="L2823" s="12" t="str">
        <f t="shared" si="132"/>
        <v>3,3,3</v>
      </c>
    </row>
    <row r="2824" spans="2:12">
      <c r="B2824" s="17">
        <v>3123</v>
      </c>
      <c r="C2824" s="17">
        <v>3</v>
      </c>
      <c r="D2824" s="17">
        <f t="shared" si="134"/>
        <v>0</v>
      </c>
      <c r="E2824" s="17">
        <f t="shared" si="133"/>
        <v>2088</v>
      </c>
      <c r="F2824" s="17" t="s">
        <v>4813</v>
      </c>
      <c r="G2824" s="17">
        <f>MATCH(E2824,Arenas!$F$8:$F$15)</f>
        <v>6</v>
      </c>
      <c r="H2824" s="29" t="s">
        <v>4194</v>
      </c>
      <c r="I2824" s="33" t="s">
        <v>10239</v>
      </c>
      <c r="J2824" s="47" t="s">
        <v>10240</v>
      </c>
      <c r="K2824" s="61" t="s">
        <v>4779</v>
      </c>
      <c r="L2824" s="12" t="str">
        <f t="shared" si="132"/>
        <v>3,3,3</v>
      </c>
    </row>
    <row r="2825" spans="2:12">
      <c r="B2825" s="17">
        <v>3124</v>
      </c>
      <c r="C2825" s="17">
        <v>3</v>
      </c>
      <c r="D2825" s="17">
        <f t="shared" si="134"/>
        <v>1</v>
      </c>
      <c r="E2825" s="17">
        <f t="shared" si="133"/>
        <v>2089</v>
      </c>
      <c r="F2825" s="17" t="s">
        <v>4813</v>
      </c>
      <c r="G2825" s="17">
        <f>MATCH(E2825,Arenas!$F$8:$F$15)</f>
        <v>6</v>
      </c>
      <c r="H2825" s="29" t="s">
        <v>4195</v>
      </c>
      <c r="I2825" s="33" t="s">
        <v>10241</v>
      </c>
      <c r="J2825" s="47" t="s">
        <v>10242</v>
      </c>
      <c r="K2825" s="61" t="s">
        <v>4779</v>
      </c>
      <c r="L2825" s="12" t="str">
        <f t="shared" si="132"/>
        <v>3,3,3</v>
      </c>
    </row>
    <row r="2826" spans="2:12">
      <c r="B2826" s="17">
        <v>3125</v>
      </c>
      <c r="C2826" s="17">
        <v>3</v>
      </c>
      <c r="D2826" s="17">
        <f t="shared" si="134"/>
        <v>0</v>
      </c>
      <c r="E2826" s="17">
        <f t="shared" si="133"/>
        <v>2089</v>
      </c>
      <c r="F2826" s="17" t="s">
        <v>4813</v>
      </c>
      <c r="G2826" s="17">
        <f>MATCH(E2826,Arenas!$F$8:$F$15)</f>
        <v>6</v>
      </c>
      <c r="H2826" s="29" t="s">
        <v>4196</v>
      </c>
      <c r="I2826" s="33" t="s">
        <v>10243</v>
      </c>
      <c r="J2826" s="47" t="s">
        <v>10244</v>
      </c>
      <c r="K2826" s="61" t="s">
        <v>4779</v>
      </c>
      <c r="L2826" s="12" t="str">
        <f t="shared" si="132"/>
        <v>3,3,3</v>
      </c>
    </row>
    <row r="2827" spans="2:12">
      <c r="B2827" s="17">
        <v>3126</v>
      </c>
      <c r="C2827" s="17">
        <v>3</v>
      </c>
      <c r="D2827" s="17">
        <f t="shared" si="134"/>
        <v>0</v>
      </c>
      <c r="E2827" s="17">
        <f t="shared" si="133"/>
        <v>2089</v>
      </c>
      <c r="F2827" s="17" t="s">
        <v>4813</v>
      </c>
      <c r="G2827" s="17">
        <f>MATCH(E2827,Arenas!$F$8:$F$15)</f>
        <v>6</v>
      </c>
      <c r="H2827" s="29" t="s">
        <v>4197</v>
      </c>
      <c r="I2827" s="33" t="s">
        <v>10245</v>
      </c>
      <c r="J2827" s="47" t="s">
        <v>5858</v>
      </c>
      <c r="K2827" s="61" t="s">
        <v>4779</v>
      </c>
      <c r="L2827" s="12" t="str">
        <f t="shared" si="132"/>
        <v>3,3,3</v>
      </c>
    </row>
    <row r="2828" spans="2:12">
      <c r="B2828" s="17">
        <v>3127</v>
      </c>
      <c r="C2828" s="17">
        <v>3</v>
      </c>
      <c r="D2828" s="17">
        <f t="shared" si="134"/>
        <v>1</v>
      </c>
      <c r="E2828" s="17">
        <f t="shared" si="133"/>
        <v>2090</v>
      </c>
      <c r="F2828" s="17" t="s">
        <v>4813</v>
      </c>
      <c r="G2828" s="17">
        <f>MATCH(E2828,Arenas!$F$8:$F$15)</f>
        <v>6</v>
      </c>
      <c r="H2828" s="29" t="s">
        <v>4198</v>
      </c>
      <c r="I2828" s="33" t="s">
        <v>10246</v>
      </c>
      <c r="J2828" s="47" t="s">
        <v>10247</v>
      </c>
      <c r="K2828" s="61" t="s">
        <v>4779</v>
      </c>
      <c r="L2828" s="12" t="str">
        <f t="shared" si="132"/>
        <v>3,3,3</v>
      </c>
    </row>
    <row r="2829" spans="2:12">
      <c r="B2829" s="17">
        <v>3128</v>
      </c>
      <c r="C2829" s="17">
        <v>3</v>
      </c>
      <c r="D2829" s="17">
        <f t="shared" si="134"/>
        <v>0</v>
      </c>
      <c r="E2829" s="17">
        <f t="shared" si="133"/>
        <v>2090</v>
      </c>
      <c r="F2829" s="17" t="s">
        <v>4813</v>
      </c>
      <c r="G2829" s="17">
        <f>MATCH(E2829,Arenas!$F$8:$F$15)</f>
        <v>6</v>
      </c>
      <c r="H2829" s="29" t="s">
        <v>4199</v>
      </c>
      <c r="I2829" s="33" t="s">
        <v>10248</v>
      </c>
      <c r="J2829" s="47" t="s">
        <v>10249</v>
      </c>
      <c r="K2829" s="61" t="s">
        <v>4810</v>
      </c>
      <c r="L2829" s="12" t="str">
        <f t="shared" si="132"/>
        <v>3,3,3</v>
      </c>
    </row>
    <row r="2830" spans="2:12">
      <c r="B2830" s="17">
        <v>3129</v>
      </c>
      <c r="C2830" s="17">
        <v>3</v>
      </c>
      <c r="D2830" s="17">
        <f t="shared" si="134"/>
        <v>0</v>
      </c>
      <c r="E2830" s="17">
        <f t="shared" si="133"/>
        <v>2090</v>
      </c>
      <c r="F2830" s="17" t="s">
        <v>4813</v>
      </c>
      <c r="G2830" s="17">
        <f>MATCH(E2830,Arenas!$F$8:$F$15)</f>
        <v>6</v>
      </c>
      <c r="H2830" s="29" t="s">
        <v>4200</v>
      </c>
      <c r="I2830" s="33" t="s">
        <v>10250</v>
      </c>
      <c r="J2830" s="47" t="s">
        <v>10251</v>
      </c>
      <c r="K2830" s="61" t="s">
        <v>4779</v>
      </c>
      <c r="L2830" s="12" t="str">
        <f t="shared" si="132"/>
        <v>3,3,3</v>
      </c>
    </row>
    <row r="2831" spans="2:12">
      <c r="B2831" s="17">
        <v>3130</v>
      </c>
      <c r="C2831" s="17">
        <v>3</v>
      </c>
      <c r="D2831" s="17">
        <f t="shared" si="134"/>
        <v>1</v>
      </c>
      <c r="E2831" s="17">
        <f t="shared" si="133"/>
        <v>2091</v>
      </c>
      <c r="F2831" s="17" t="s">
        <v>4813</v>
      </c>
      <c r="G2831" s="17">
        <f>MATCH(E2831,Arenas!$F$8:$F$15)</f>
        <v>6</v>
      </c>
      <c r="H2831" s="29" t="s">
        <v>4201</v>
      </c>
      <c r="I2831" s="33" t="s">
        <v>10252</v>
      </c>
      <c r="J2831" s="47" t="s">
        <v>10253</v>
      </c>
      <c r="K2831" s="61" t="s">
        <v>4779</v>
      </c>
      <c r="L2831" s="12" t="str">
        <f t="shared" si="132"/>
        <v>3,3,3</v>
      </c>
    </row>
    <row r="2832" spans="2:12">
      <c r="B2832" s="17">
        <v>3131</v>
      </c>
      <c r="C2832" s="17">
        <v>3</v>
      </c>
      <c r="D2832" s="17">
        <f t="shared" si="134"/>
        <v>0</v>
      </c>
      <c r="E2832" s="17">
        <f t="shared" si="133"/>
        <v>2091</v>
      </c>
      <c r="F2832" s="17" t="s">
        <v>4813</v>
      </c>
      <c r="G2832" s="17">
        <f>MATCH(E2832,Arenas!$F$8:$F$15)</f>
        <v>6</v>
      </c>
      <c r="H2832" s="29" t="s">
        <v>4202</v>
      </c>
      <c r="I2832" s="33" t="s">
        <v>10254</v>
      </c>
      <c r="J2832" s="47" t="s">
        <v>10255</v>
      </c>
      <c r="K2832" s="61" t="s">
        <v>4779</v>
      </c>
      <c r="L2832" s="12" t="str">
        <f t="shared" si="132"/>
        <v>3,3,3</v>
      </c>
    </row>
    <row r="2833" spans="2:12">
      <c r="B2833" s="17">
        <v>3132</v>
      </c>
      <c r="C2833" s="17">
        <v>3</v>
      </c>
      <c r="D2833" s="17">
        <f t="shared" si="134"/>
        <v>0</v>
      </c>
      <c r="E2833" s="17">
        <f t="shared" si="133"/>
        <v>2091</v>
      </c>
      <c r="F2833" s="17" t="s">
        <v>4813</v>
      </c>
      <c r="G2833" s="17">
        <f>MATCH(E2833,Arenas!$F$8:$F$15)</f>
        <v>6</v>
      </c>
      <c r="H2833" s="29" t="s">
        <v>4203</v>
      </c>
      <c r="I2833" s="33" t="s">
        <v>10256</v>
      </c>
      <c r="J2833" s="47" t="s">
        <v>10257</v>
      </c>
      <c r="K2833" s="61" t="s">
        <v>4779</v>
      </c>
      <c r="L2833" s="12" t="str">
        <f t="shared" si="132"/>
        <v>3,3,3</v>
      </c>
    </row>
    <row r="2834" spans="2:12">
      <c r="B2834" s="17">
        <v>3133</v>
      </c>
      <c r="C2834" s="17">
        <v>3</v>
      </c>
      <c r="D2834" s="17">
        <f t="shared" si="134"/>
        <v>1</v>
      </c>
      <c r="E2834" s="17">
        <f t="shared" si="133"/>
        <v>2092</v>
      </c>
      <c r="F2834" s="17" t="s">
        <v>4813</v>
      </c>
      <c r="G2834" s="17">
        <f>MATCH(E2834,Arenas!$F$8:$F$15)</f>
        <v>6</v>
      </c>
      <c r="H2834" s="29" t="s">
        <v>4204</v>
      </c>
      <c r="I2834" s="33" t="s">
        <v>10258</v>
      </c>
      <c r="J2834" s="47" t="s">
        <v>10259</v>
      </c>
      <c r="K2834" s="61" t="s">
        <v>4779</v>
      </c>
      <c r="L2834" s="12" t="str">
        <f t="shared" si="132"/>
        <v>3,3,3</v>
      </c>
    </row>
    <row r="2835" spans="2:12">
      <c r="B2835" s="17">
        <v>3134</v>
      </c>
      <c r="C2835" s="17">
        <v>3</v>
      </c>
      <c r="D2835" s="17">
        <f t="shared" si="134"/>
        <v>0</v>
      </c>
      <c r="E2835" s="17">
        <f t="shared" si="133"/>
        <v>2092</v>
      </c>
      <c r="F2835" s="17" t="s">
        <v>4813</v>
      </c>
      <c r="G2835" s="17">
        <f>MATCH(E2835,Arenas!$F$8:$F$15)</f>
        <v>6</v>
      </c>
      <c r="H2835" s="29" t="s">
        <v>4205</v>
      </c>
      <c r="I2835" s="33" t="s">
        <v>10260</v>
      </c>
      <c r="J2835" s="47" t="s">
        <v>10261</v>
      </c>
      <c r="K2835" s="61" t="s">
        <v>4779</v>
      </c>
      <c r="L2835" s="12" t="str">
        <f t="shared" si="132"/>
        <v>3,3,3</v>
      </c>
    </row>
    <row r="2836" spans="2:12">
      <c r="B2836" s="17">
        <v>3135</v>
      </c>
      <c r="C2836" s="17">
        <v>3</v>
      </c>
      <c r="D2836" s="17">
        <f t="shared" si="134"/>
        <v>0</v>
      </c>
      <c r="E2836" s="17">
        <f t="shared" si="133"/>
        <v>2092</v>
      </c>
      <c r="F2836" s="17" t="s">
        <v>4813</v>
      </c>
      <c r="G2836" s="17">
        <f>MATCH(E2836,Arenas!$F$8:$F$15)</f>
        <v>6</v>
      </c>
      <c r="H2836" s="29" t="s">
        <v>4206</v>
      </c>
      <c r="I2836" s="33" t="s">
        <v>10262</v>
      </c>
      <c r="J2836" s="47" t="s">
        <v>10263</v>
      </c>
      <c r="K2836" s="61" t="s">
        <v>4807</v>
      </c>
      <c r="L2836" s="12" t="str">
        <f t="shared" si="132"/>
        <v>3,3,3</v>
      </c>
    </row>
    <row r="2837" spans="2:12">
      <c r="B2837" s="17">
        <v>3136</v>
      </c>
      <c r="C2837" s="17">
        <v>3</v>
      </c>
      <c r="D2837" s="17">
        <f t="shared" si="134"/>
        <v>1</v>
      </c>
      <c r="E2837" s="17">
        <f t="shared" si="133"/>
        <v>2093</v>
      </c>
      <c r="F2837" s="17" t="s">
        <v>4813</v>
      </c>
      <c r="G2837" s="17">
        <f>MATCH(E2837,Arenas!$F$8:$F$15)</f>
        <v>6</v>
      </c>
      <c r="H2837" s="29" t="s">
        <v>4207</v>
      </c>
      <c r="I2837" s="33" t="s">
        <v>10264</v>
      </c>
      <c r="J2837" s="47" t="s">
        <v>5767</v>
      </c>
      <c r="K2837" s="61" t="s">
        <v>4779</v>
      </c>
      <c r="L2837" s="12" t="str">
        <f t="shared" si="132"/>
        <v>3,3,3</v>
      </c>
    </row>
    <row r="2838" spans="2:12">
      <c r="B2838" s="17">
        <v>3137</v>
      </c>
      <c r="C2838" s="17">
        <v>3</v>
      </c>
      <c r="D2838" s="17">
        <f t="shared" si="134"/>
        <v>0</v>
      </c>
      <c r="E2838" s="17">
        <f t="shared" si="133"/>
        <v>2093</v>
      </c>
      <c r="F2838" s="17" t="s">
        <v>4813</v>
      </c>
      <c r="G2838" s="17">
        <f>MATCH(E2838,Arenas!$F$8:$F$15)</f>
        <v>6</v>
      </c>
      <c r="H2838" s="29" t="s">
        <v>4208</v>
      </c>
      <c r="I2838" s="33" t="s">
        <v>10265</v>
      </c>
      <c r="J2838" s="47" t="s">
        <v>10266</v>
      </c>
      <c r="K2838" s="61" t="s">
        <v>4810</v>
      </c>
      <c r="L2838" s="12" t="str">
        <f t="shared" si="132"/>
        <v>3,3,3</v>
      </c>
    </row>
    <row r="2839" spans="2:12">
      <c r="B2839" s="17">
        <v>3138</v>
      </c>
      <c r="C2839" s="17">
        <v>3</v>
      </c>
      <c r="D2839" s="17">
        <f t="shared" si="134"/>
        <v>0</v>
      </c>
      <c r="E2839" s="17">
        <f t="shared" si="133"/>
        <v>2093</v>
      </c>
      <c r="F2839" s="17" t="s">
        <v>4813</v>
      </c>
      <c r="G2839" s="17">
        <f>MATCH(E2839,Arenas!$F$8:$F$15)</f>
        <v>6</v>
      </c>
      <c r="H2839" s="29" t="s">
        <v>4209</v>
      </c>
      <c r="I2839" s="33" t="s">
        <v>10267</v>
      </c>
      <c r="J2839" s="47" t="s">
        <v>10268</v>
      </c>
      <c r="K2839" s="61" t="s">
        <v>4779</v>
      </c>
      <c r="L2839" s="12" t="str">
        <f t="shared" si="132"/>
        <v>3,3,3</v>
      </c>
    </row>
    <row r="2840" spans="2:12">
      <c r="B2840" s="17">
        <v>3139</v>
      </c>
      <c r="C2840" s="17">
        <v>3</v>
      </c>
      <c r="D2840" s="17">
        <f t="shared" si="134"/>
        <v>1</v>
      </c>
      <c r="E2840" s="17">
        <f t="shared" si="133"/>
        <v>2094</v>
      </c>
      <c r="F2840" s="17" t="s">
        <v>4813</v>
      </c>
      <c r="G2840" s="17">
        <f>MATCH(E2840,Arenas!$F$8:$F$15)</f>
        <v>6</v>
      </c>
      <c r="H2840" s="29" t="s">
        <v>4210</v>
      </c>
      <c r="I2840" s="33" t="s">
        <v>10269</v>
      </c>
      <c r="J2840" s="47" t="s">
        <v>10270</v>
      </c>
      <c r="K2840" s="61" t="s">
        <v>4779</v>
      </c>
      <c r="L2840" s="12" t="str">
        <f t="shared" si="132"/>
        <v>3,3,3</v>
      </c>
    </row>
    <row r="2841" spans="2:12">
      <c r="B2841" s="17">
        <v>3140</v>
      </c>
      <c r="C2841" s="17">
        <v>3</v>
      </c>
      <c r="D2841" s="17">
        <f t="shared" si="134"/>
        <v>0</v>
      </c>
      <c r="E2841" s="17">
        <f t="shared" si="133"/>
        <v>2094</v>
      </c>
      <c r="F2841" s="17" t="s">
        <v>4813</v>
      </c>
      <c r="G2841" s="17">
        <f>MATCH(E2841,Arenas!$F$8:$F$15)</f>
        <v>6</v>
      </c>
      <c r="H2841" s="29" t="s">
        <v>4211</v>
      </c>
      <c r="I2841" s="33" t="s">
        <v>10271</v>
      </c>
      <c r="J2841" s="47" t="s">
        <v>10272</v>
      </c>
      <c r="K2841" s="61" t="s">
        <v>4779</v>
      </c>
      <c r="L2841" s="12" t="str">
        <f t="shared" si="132"/>
        <v>3,3,3</v>
      </c>
    </row>
    <row r="2842" spans="2:12">
      <c r="B2842" s="17">
        <v>3141</v>
      </c>
      <c r="C2842" s="17">
        <v>3</v>
      </c>
      <c r="D2842" s="17">
        <f t="shared" si="134"/>
        <v>0</v>
      </c>
      <c r="E2842" s="17">
        <f t="shared" si="133"/>
        <v>2094</v>
      </c>
      <c r="F2842" s="17" t="s">
        <v>4813</v>
      </c>
      <c r="G2842" s="17">
        <f>MATCH(E2842,Arenas!$F$8:$F$15)</f>
        <v>6</v>
      </c>
      <c r="H2842" s="29" t="s">
        <v>4212</v>
      </c>
      <c r="I2842" s="33" t="s">
        <v>10273</v>
      </c>
      <c r="J2842" s="47" t="s">
        <v>10274</v>
      </c>
      <c r="K2842" s="61" t="s">
        <v>4779</v>
      </c>
      <c r="L2842" s="12" t="str">
        <f t="shared" si="132"/>
        <v>3,3,3</v>
      </c>
    </row>
    <row r="2843" spans="2:12">
      <c r="B2843" s="17">
        <v>3142</v>
      </c>
      <c r="C2843" s="17">
        <v>3</v>
      </c>
      <c r="D2843" s="17">
        <f t="shared" si="134"/>
        <v>1</v>
      </c>
      <c r="E2843" s="17">
        <f t="shared" si="133"/>
        <v>2095</v>
      </c>
      <c r="F2843" s="17" t="s">
        <v>4813</v>
      </c>
      <c r="G2843" s="17">
        <f>MATCH(E2843,Arenas!$F$8:$F$15)</f>
        <v>6</v>
      </c>
      <c r="H2843" s="29" t="s">
        <v>4213</v>
      </c>
      <c r="I2843" s="33" t="s">
        <v>10275</v>
      </c>
      <c r="J2843" s="47" t="s">
        <v>10276</v>
      </c>
      <c r="K2843" s="61" t="s">
        <v>4779</v>
      </c>
      <c r="L2843" s="12" t="str">
        <f t="shared" si="132"/>
        <v>3,3,3</v>
      </c>
    </row>
    <row r="2844" spans="2:12">
      <c r="B2844" s="17">
        <v>3143</v>
      </c>
      <c r="C2844" s="17">
        <v>3</v>
      </c>
      <c r="D2844" s="17">
        <f t="shared" si="134"/>
        <v>0</v>
      </c>
      <c r="E2844" s="17">
        <f t="shared" si="133"/>
        <v>2095</v>
      </c>
      <c r="F2844" s="17" t="s">
        <v>4813</v>
      </c>
      <c r="G2844" s="17">
        <f>MATCH(E2844,Arenas!$F$8:$F$15)</f>
        <v>6</v>
      </c>
      <c r="H2844" s="29" t="s">
        <v>4214</v>
      </c>
      <c r="I2844" s="33" t="s">
        <v>10277</v>
      </c>
      <c r="J2844" s="47" t="s">
        <v>10278</v>
      </c>
      <c r="K2844" s="61" t="s">
        <v>4779</v>
      </c>
      <c r="L2844" s="12" t="str">
        <f t="shared" si="132"/>
        <v>3,3,3</v>
      </c>
    </row>
    <row r="2845" spans="2:12">
      <c r="B2845" s="17">
        <v>3144</v>
      </c>
      <c r="C2845" s="17">
        <v>3</v>
      </c>
      <c r="D2845" s="17">
        <f t="shared" si="134"/>
        <v>0</v>
      </c>
      <c r="E2845" s="17">
        <f t="shared" si="133"/>
        <v>2095</v>
      </c>
      <c r="F2845" s="17" t="s">
        <v>4813</v>
      </c>
      <c r="G2845" s="17">
        <f>MATCH(E2845,Arenas!$F$8:$F$15)</f>
        <v>6</v>
      </c>
      <c r="H2845" s="29" t="s">
        <v>4215</v>
      </c>
      <c r="I2845" s="33" t="s">
        <v>10279</v>
      </c>
      <c r="J2845" s="47" t="s">
        <v>10280</v>
      </c>
      <c r="K2845" s="61" t="s">
        <v>4779</v>
      </c>
      <c r="L2845" s="12" t="str">
        <f t="shared" si="132"/>
        <v>3,3,3</v>
      </c>
    </row>
    <row r="2846" spans="2:12">
      <c r="B2846" s="17">
        <v>3145</v>
      </c>
      <c r="C2846" s="17">
        <v>3</v>
      </c>
      <c r="D2846" s="17">
        <f t="shared" si="134"/>
        <v>1</v>
      </c>
      <c r="E2846" s="17">
        <f t="shared" si="133"/>
        <v>2096</v>
      </c>
      <c r="F2846" s="17" t="s">
        <v>4813</v>
      </c>
      <c r="G2846" s="17">
        <f>MATCH(E2846,Arenas!$F$8:$F$15)</f>
        <v>6</v>
      </c>
      <c r="H2846" s="29" t="s">
        <v>4216</v>
      </c>
      <c r="I2846" s="33" t="s">
        <v>10281</v>
      </c>
      <c r="J2846" s="47" t="s">
        <v>10282</v>
      </c>
      <c r="K2846" s="61" t="s">
        <v>4779</v>
      </c>
      <c r="L2846" s="12" t="str">
        <f t="shared" si="132"/>
        <v>3,3,3</v>
      </c>
    </row>
    <row r="2847" spans="2:12">
      <c r="B2847" s="17">
        <v>3146</v>
      </c>
      <c r="C2847" s="17">
        <v>3</v>
      </c>
      <c r="D2847" s="17">
        <f t="shared" si="134"/>
        <v>0</v>
      </c>
      <c r="E2847" s="17">
        <f t="shared" si="133"/>
        <v>2096</v>
      </c>
      <c r="F2847" s="17" t="s">
        <v>4813</v>
      </c>
      <c r="G2847" s="17">
        <f>MATCH(E2847,Arenas!$F$8:$F$15)</f>
        <v>6</v>
      </c>
      <c r="H2847" s="29" t="s">
        <v>4217</v>
      </c>
      <c r="I2847" s="33" t="s">
        <v>10283</v>
      </c>
      <c r="J2847" s="47" t="s">
        <v>10284</v>
      </c>
      <c r="K2847" s="61" t="s">
        <v>4806</v>
      </c>
      <c r="L2847" s="12" t="str">
        <f t="shared" si="132"/>
        <v>3,3,3</v>
      </c>
    </row>
    <row r="2848" spans="2:12">
      <c r="B2848" s="17">
        <v>3147</v>
      </c>
      <c r="C2848" s="17">
        <v>3</v>
      </c>
      <c r="D2848" s="17">
        <f t="shared" si="134"/>
        <v>0</v>
      </c>
      <c r="E2848" s="17">
        <f t="shared" si="133"/>
        <v>2096</v>
      </c>
      <c r="F2848" s="17" t="s">
        <v>4813</v>
      </c>
      <c r="G2848" s="17">
        <f>MATCH(E2848,Arenas!$F$8:$F$15)</f>
        <v>6</v>
      </c>
      <c r="H2848" s="29" t="s">
        <v>4218</v>
      </c>
      <c r="I2848" s="33" t="s">
        <v>10285</v>
      </c>
      <c r="J2848" s="47" t="s">
        <v>10286</v>
      </c>
      <c r="K2848" s="61" t="s">
        <v>4808</v>
      </c>
      <c r="L2848" s="12" t="str">
        <f t="shared" si="132"/>
        <v>3,3,3</v>
      </c>
    </row>
    <row r="2849" spans="2:12">
      <c r="B2849" s="17">
        <v>3148</v>
      </c>
      <c r="C2849" s="17">
        <v>3</v>
      </c>
      <c r="D2849" s="17">
        <f t="shared" si="134"/>
        <v>1</v>
      </c>
      <c r="E2849" s="17">
        <f t="shared" si="133"/>
        <v>2097</v>
      </c>
      <c r="F2849" s="17" t="s">
        <v>4813</v>
      </c>
      <c r="G2849" s="17">
        <f>MATCH(E2849,Arenas!$F$8:$F$15)</f>
        <v>6</v>
      </c>
      <c r="H2849" s="29" t="s">
        <v>4219</v>
      </c>
      <c r="I2849" s="33" t="s">
        <v>10287</v>
      </c>
      <c r="J2849" s="47" t="s">
        <v>10288</v>
      </c>
      <c r="K2849" s="61" t="s">
        <v>4779</v>
      </c>
      <c r="L2849" s="12" t="str">
        <f t="shared" si="132"/>
        <v>3,3,3</v>
      </c>
    </row>
    <row r="2850" spans="2:12">
      <c r="B2850" s="17">
        <v>3149</v>
      </c>
      <c r="C2850" s="17">
        <v>3</v>
      </c>
      <c r="D2850" s="17">
        <f t="shared" si="134"/>
        <v>0</v>
      </c>
      <c r="E2850" s="17">
        <f t="shared" si="133"/>
        <v>2097</v>
      </c>
      <c r="F2850" s="17" t="s">
        <v>4813</v>
      </c>
      <c r="G2850" s="17">
        <f>MATCH(E2850,Arenas!$F$8:$F$15)</f>
        <v>6</v>
      </c>
      <c r="H2850" s="29" t="s">
        <v>4220</v>
      </c>
      <c r="I2850" s="33" t="s">
        <v>10289</v>
      </c>
      <c r="J2850" s="47" t="s">
        <v>10290</v>
      </c>
      <c r="K2850" s="61" t="s">
        <v>4779</v>
      </c>
      <c r="L2850" s="12" t="str">
        <f t="shared" si="132"/>
        <v>3,3,3</v>
      </c>
    </row>
    <row r="2851" spans="2:12">
      <c r="B2851" s="17">
        <v>3150</v>
      </c>
      <c r="C2851" s="17">
        <v>3</v>
      </c>
      <c r="D2851" s="17">
        <f t="shared" si="134"/>
        <v>0</v>
      </c>
      <c r="E2851" s="17">
        <f t="shared" si="133"/>
        <v>2097</v>
      </c>
      <c r="F2851" s="17" t="s">
        <v>4813</v>
      </c>
      <c r="G2851" s="17">
        <f>MATCH(E2851,Arenas!$F$8:$F$15)</f>
        <v>6</v>
      </c>
      <c r="H2851" s="29" t="s">
        <v>4221</v>
      </c>
      <c r="I2851" s="33" t="s">
        <v>10291</v>
      </c>
      <c r="J2851" s="47" t="s">
        <v>10292</v>
      </c>
      <c r="K2851" s="61" t="s">
        <v>4779</v>
      </c>
      <c r="L2851" s="12" t="str">
        <f t="shared" si="132"/>
        <v>3,3,3</v>
      </c>
    </row>
    <row r="2852" spans="2:12">
      <c r="B2852" s="17">
        <v>3151</v>
      </c>
      <c r="C2852" s="17">
        <v>3</v>
      </c>
      <c r="D2852" s="17">
        <f t="shared" si="134"/>
        <v>1</v>
      </c>
      <c r="E2852" s="17">
        <f t="shared" si="133"/>
        <v>2098</v>
      </c>
      <c r="F2852" s="17" t="s">
        <v>4813</v>
      </c>
      <c r="G2852" s="17">
        <f>MATCH(E2852,Arenas!$F$8:$F$15)</f>
        <v>6</v>
      </c>
      <c r="H2852" s="29" t="s">
        <v>4222</v>
      </c>
      <c r="I2852" s="33" t="s">
        <v>10293</v>
      </c>
      <c r="J2852" s="47" t="s">
        <v>10294</v>
      </c>
      <c r="K2852" s="61" t="s">
        <v>4779</v>
      </c>
      <c r="L2852" s="12" t="str">
        <f t="shared" si="132"/>
        <v>3,3,3</v>
      </c>
    </row>
    <row r="2853" spans="2:12">
      <c r="B2853" s="17">
        <v>3152</v>
      </c>
      <c r="C2853" s="17">
        <v>3</v>
      </c>
      <c r="D2853" s="17">
        <f t="shared" si="134"/>
        <v>0</v>
      </c>
      <c r="E2853" s="17">
        <f t="shared" si="133"/>
        <v>2098</v>
      </c>
      <c r="F2853" s="17" t="s">
        <v>4813</v>
      </c>
      <c r="G2853" s="17">
        <f>MATCH(E2853,Arenas!$F$8:$F$15)</f>
        <v>6</v>
      </c>
      <c r="H2853" s="29" t="s">
        <v>4223</v>
      </c>
      <c r="I2853" s="33" t="s">
        <v>10295</v>
      </c>
      <c r="J2853" s="47" t="s">
        <v>10296</v>
      </c>
      <c r="K2853" s="61" t="s">
        <v>4779</v>
      </c>
      <c r="L2853" s="12" t="str">
        <f t="shared" si="132"/>
        <v>3,3,3</v>
      </c>
    </row>
    <row r="2854" spans="2:12">
      <c r="B2854" s="17">
        <v>3153</v>
      </c>
      <c r="C2854" s="17">
        <v>3</v>
      </c>
      <c r="D2854" s="17">
        <f t="shared" si="134"/>
        <v>0</v>
      </c>
      <c r="E2854" s="17">
        <f t="shared" si="133"/>
        <v>2098</v>
      </c>
      <c r="F2854" s="17" t="s">
        <v>4813</v>
      </c>
      <c r="G2854" s="17">
        <f>MATCH(E2854,Arenas!$F$8:$F$15)</f>
        <v>6</v>
      </c>
      <c r="H2854" s="29" t="s">
        <v>4224</v>
      </c>
      <c r="I2854" s="33" t="s">
        <v>10297</v>
      </c>
      <c r="J2854" s="47" t="s">
        <v>10298</v>
      </c>
      <c r="K2854" s="61" t="s">
        <v>4810</v>
      </c>
      <c r="L2854" s="12" t="str">
        <f t="shared" si="132"/>
        <v>3,3,3</v>
      </c>
    </row>
    <row r="2855" spans="2:12">
      <c r="B2855" s="17">
        <v>3154</v>
      </c>
      <c r="C2855" s="17">
        <v>3</v>
      </c>
      <c r="D2855" s="17">
        <f t="shared" si="134"/>
        <v>1</v>
      </c>
      <c r="E2855" s="17">
        <f t="shared" si="133"/>
        <v>2099</v>
      </c>
      <c r="F2855" s="17" t="s">
        <v>4813</v>
      </c>
      <c r="G2855" s="17">
        <f>MATCH(E2855,Arenas!$F$8:$F$15)</f>
        <v>6</v>
      </c>
      <c r="H2855" s="29" t="s">
        <v>4225</v>
      </c>
      <c r="I2855" s="33" t="s">
        <v>10299</v>
      </c>
      <c r="J2855" s="47" t="s">
        <v>10300</v>
      </c>
      <c r="K2855" s="61" t="s">
        <v>4779</v>
      </c>
      <c r="L2855" s="12" t="str">
        <f t="shared" si="132"/>
        <v>3,3,3</v>
      </c>
    </row>
    <row r="2856" spans="2:12">
      <c r="B2856" s="17">
        <v>3155</v>
      </c>
      <c r="C2856" s="17">
        <v>3</v>
      </c>
      <c r="D2856" s="17">
        <f t="shared" si="134"/>
        <v>0</v>
      </c>
      <c r="E2856" s="17">
        <f t="shared" si="133"/>
        <v>2099</v>
      </c>
      <c r="F2856" s="17" t="s">
        <v>4813</v>
      </c>
      <c r="G2856" s="17">
        <f>MATCH(E2856,Arenas!$F$8:$F$15)</f>
        <v>6</v>
      </c>
      <c r="H2856" s="29" t="s">
        <v>4226</v>
      </c>
      <c r="I2856" s="33" t="s">
        <v>10301</v>
      </c>
      <c r="J2856" s="47" t="s">
        <v>10302</v>
      </c>
      <c r="K2856" s="61" t="s">
        <v>4779</v>
      </c>
      <c r="L2856" s="12" t="str">
        <f t="shared" si="132"/>
        <v>3,3,3</v>
      </c>
    </row>
    <row r="2857" spans="2:12">
      <c r="B2857" s="17">
        <v>3156</v>
      </c>
      <c r="C2857" s="17">
        <v>3</v>
      </c>
      <c r="D2857" s="17">
        <f t="shared" si="134"/>
        <v>0</v>
      </c>
      <c r="E2857" s="17">
        <f t="shared" si="133"/>
        <v>2099</v>
      </c>
      <c r="F2857" s="17" t="s">
        <v>4813</v>
      </c>
      <c r="G2857" s="17">
        <f>MATCH(E2857,Arenas!$F$8:$F$15)</f>
        <v>6</v>
      </c>
      <c r="H2857" s="29" t="s">
        <v>4227</v>
      </c>
      <c r="I2857" s="33" t="s">
        <v>10303</v>
      </c>
      <c r="J2857" s="47" t="s">
        <v>10304</v>
      </c>
      <c r="K2857" s="61" t="s">
        <v>4779</v>
      </c>
      <c r="L2857" s="12" t="str">
        <f t="shared" si="132"/>
        <v>3,3,3</v>
      </c>
    </row>
    <row r="2858" spans="2:12">
      <c r="B2858" s="17">
        <v>3157</v>
      </c>
      <c r="C2858" s="17">
        <v>3</v>
      </c>
      <c r="D2858" s="17">
        <f t="shared" si="134"/>
        <v>1</v>
      </c>
      <c r="E2858" s="17">
        <f t="shared" si="133"/>
        <v>2100</v>
      </c>
      <c r="F2858" s="17" t="s">
        <v>4813</v>
      </c>
      <c r="G2858" s="17">
        <f>MATCH(E2858,Arenas!$F$8:$F$15)</f>
        <v>7</v>
      </c>
      <c r="H2858" s="29" t="s">
        <v>4228</v>
      </c>
      <c r="I2858" s="33" t="s">
        <v>10305</v>
      </c>
      <c r="J2858" s="47" t="s">
        <v>10306</v>
      </c>
      <c r="K2858" s="61" t="s">
        <v>4779</v>
      </c>
      <c r="L2858" s="12" t="str">
        <f t="shared" si="132"/>
        <v>3,3,3</v>
      </c>
    </row>
    <row r="2859" spans="2:12">
      <c r="B2859" s="17">
        <v>3158</v>
      </c>
      <c r="C2859" s="17">
        <v>3</v>
      </c>
      <c r="D2859" s="17">
        <f t="shared" si="134"/>
        <v>0</v>
      </c>
      <c r="E2859" s="17">
        <f t="shared" si="133"/>
        <v>2100</v>
      </c>
      <c r="F2859" s="17" t="s">
        <v>4813</v>
      </c>
      <c r="G2859" s="17">
        <f>MATCH(E2859,Arenas!$F$8:$F$15)</f>
        <v>7</v>
      </c>
      <c r="H2859" s="29" t="s">
        <v>4229</v>
      </c>
      <c r="I2859" s="33" t="s">
        <v>10307</v>
      </c>
      <c r="J2859" s="47" t="s">
        <v>10308</v>
      </c>
      <c r="K2859" s="61" t="s">
        <v>4779</v>
      </c>
      <c r="L2859" s="12" t="str">
        <f t="shared" si="132"/>
        <v>3,3,3</v>
      </c>
    </row>
    <row r="2860" spans="2:12">
      <c r="B2860" s="17">
        <v>3159</v>
      </c>
      <c r="C2860" s="17">
        <v>3</v>
      </c>
      <c r="D2860" s="17">
        <f t="shared" si="134"/>
        <v>0</v>
      </c>
      <c r="E2860" s="17">
        <f t="shared" si="133"/>
        <v>2100</v>
      </c>
      <c r="F2860" s="17" t="s">
        <v>4813</v>
      </c>
      <c r="G2860" s="17">
        <f>MATCH(E2860,Arenas!$F$8:$F$15)</f>
        <v>7</v>
      </c>
      <c r="H2860" s="29" t="s">
        <v>4230</v>
      </c>
      <c r="I2860" s="33" t="s">
        <v>10309</v>
      </c>
      <c r="J2860" s="47" t="s">
        <v>10310</v>
      </c>
      <c r="K2860" s="61" t="s">
        <v>4779</v>
      </c>
      <c r="L2860" s="12" t="str">
        <f t="shared" si="132"/>
        <v>3,3,3</v>
      </c>
    </row>
    <row r="2861" spans="2:12">
      <c r="B2861" s="17">
        <v>3160</v>
      </c>
      <c r="C2861" s="17">
        <v>3</v>
      </c>
      <c r="D2861" s="17">
        <f t="shared" si="134"/>
        <v>1</v>
      </c>
      <c r="E2861" s="17">
        <f t="shared" si="133"/>
        <v>2101</v>
      </c>
      <c r="F2861" s="17" t="s">
        <v>4813</v>
      </c>
      <c r="G2861" s="17">
        <f>MATCH(E2861,Arenas!$F$8:$F$15)</f>
        <v>7</v>
      </c>
      <c r="H2861" s="29" t="s">
        <v>4231</v>
      </c>
      <c r="I2861" s="33" t="s">
        <v>10311</v>
      </c>
      <c r="J2861" s="47" t="s">
        <v>10312</v>
      </c>
      <c r="K2861" s="61" t="s">
        <v>4779</v>
      </c>
      <c r="L2861" s="12" t="str">
        <f t="shared" si="132"/>
        <v>3,3,3</v>
      </c>
    </row>
    <row r="2862" spans="2:12">
      <c r="B2862" s="17">
        <v>3161</v>
      </c>
      <c r="C2862" s="17">
        <v>3</v>
      </c>
      <c r="D2862" s="17">
        <f t="shared" si="134"/>
        <v>0</v>
      </c>
      <c r="E2862" s="17">
        <f t="shared" si="133"/>
        <v>2101</v>
      </c>
      <c r="F2862" s="17" t="s">
        <v>4813</v>
      </c>
      <c r="G2862" s="17">
        <f>MATCH(E2862,Arenas!$F$8:$F$15)</f>
        <v>7</v>
      </c>
      <c r="H2862" s="29" t="s">
        <v>4232</v>
      </c>
      <c r="I2862" s="33" t="s">
        <v>10313</v>
      </c>
      <c r="J2862" s="47" t="s">
        <v>10314</v>
      </c>
      <c r="K2862" s="61" t="s">
        <v>4806</v>
      </c>
      <c r="L2862" s="12" t="str">
        <f t="shared" si="132"/>
        <v>3,3,3</v>
      </c>
    </row>
    <row r="2863" spans="2:12">
      <c r="B2863" s="17">
        <v>3162</v>
      </c>
      <c r="C2863" s="17">
        <v>3</v>
      </c>
      <c r="D2863" s="17">
        <f t="shared" si="134"/>
        <v>0</v>
      </c>
      <c r="E2863" s="17">
        <f t="shared" si="133"/>
        <v>2101</v>
      </c>
      <c r="F2863" s="17" t="s">
        <v>4813</v>
      </c>
      <c r="G2863" s="17">
        <f>MATCH(E2863,Arenas!$F$8:$F$15)</f>
        <v>7</v>
      </c>
      <c r="H2863" s="29" t="s">
        <v>4233</v>
      </c>
      <c r="I2863" s="33" t="s">
        <v>10315</v>
      </c>
      <c r="J2863" s="47" t="s">
        <v>10316</v>
      </c>
      <c r="K2863" s="61" t="s">
        <v>4779</v>
      </c>
      <c r="L2863" s="12" t="str">
        <f t="shared" si="132"/>
        <v>3,3,3</v>
      </c>
    </row>
    <row r="2864" spans="2:12">
      <c r="B2864" s="17">
        <v>3163</v>
      </c>
      <c r="C2864" s="17">
        <v>3</v>
      </c>
      <c r="D2864" s="17">
        <f t="shared" si="134"/>
        <v>1</v>
      </c>
      <c r="E2864" s="17">
        <f t="shared" si="133"/>
        <v>2102</v>
      </c>
      <c r="F2864" s="17" t="s">
        <v>4813</v>
      </c>
      <c r="G2864" s="17">
        <f>MATCH(E2864,Arenas!$F$8:$F$15)</f>
        <v>7</v>
      </c>
      <c r="H2864" s="29" t="s">
        <v>4234</v>
      </c>
      <c r="I2864" s="33" t="s">
        <v>10317</v>
      </c>
      <c r="J2864" s="47" t="s">
        <v>10318</v>
      </c>
      <c r="K2864" s="61" t="s">
        <v>4809</v>
      </c>
      <c r="L2864" s="12" t="str">
        <f t="shared" si="132"/>
        <v>3,3,3</v>
      </c>
    </row>
    <row r="2865" spans="2:12">
      <c r="B2865" s="17">
        <v>3164</v>
      </c>
      <c r="C2865" s="17">
        <v>3</v>
      </c>
      <c r="D2865" s="17">
        <f t="shared" si="134"/>
        <v>0</v>
      </c>
      <c r="E2865" s="17">
        <f t="shared" si="133"/>
        <v>2102</v>
      </c>
      <c r="F2865" s="17" t="s">
        <v>4813</v>
      </c>
      <c r="G2865" s="17">
        <f>MATCH(E2865,Arenas!$F$8:$F$15)</f>
        <v>7</v>
      </c>
      <c r="H2865" s="29" t="s">
        <v>4235</v>
      </c>
      <c r="I2865" s="33" t="s">
        <v>10319</v>
      </c>
      <c r="J2865" s="47" t="s">
        <v>10320</v>
      </c>
      <c r="K2865" s="61" t="s">
        <v>4779</v>
      </c>
      <c r="L2865" s="12" t="str">
        <f t="shared" si="132"/>
        <v>3,3,3</v>
      </c>
    </row>
    <row r="2866" spans="2:12">
      <c r="B2866" s="17">
        <v>3165</v>
      </c>
      <c r="C2866" s="17">
        <v>3</v>
      </c>
      <c r="D2866" s="17">
        <f t="shared" si="134"/>
        <v>0</v>
      </c>
      <c r="E2866" s="17">
        <f t="shared" si="133"/>
        <v>2102</v>
      </c>
      <c r="F2866" s="17" t="s">
        <v>4813</v>
      </c>
      <c r="G2866" s="17">
        <f>MATCH(E2866,Arenas!$F$8:$F$15)</f>
        <v>7</v>
      </c>
      <c r="H2866" s="29" t="s">
        <v>4236</v>
      </c>
      <c r="I2866" s="33" t="s">
        <v>10321</v>
      </c>
      <c r="J2866" s="47" t="s">
        <v>10322</v>
      </c>
      <c r="K2866" s="61" t="s">
        <v>4779</v>
      </c>
      <c r="L2866" s="12" t="str">
        <f t="shared" si="132"/>
        <v>3,3,3</v>
      </c>
    </row>
    <row r="2867" spans="2:12">
      <c r="B2867" s="17">
        <v>3166</v>
      </c>
      <c r="C2867" s="17">
        <v>3</v>
      </c>
      <c r="D2867" s="17">
        <f t="shared" si="134"/>
        <v>1</v>
      </c>
      <c r="E2867" s="17">
        <f t="shared" si="133"/>
        <v>2103</v>
      </c>
      <c r="F2867" s="17" t="s">
        <v>4813</v>
      </c>
      <c r="G2867" s="17">
        <f>MATCH(E2867,Arenas!$F$8:$F$15)</f>
        <v>7</v>
      </c>
      <c r="H2867" s="29" t="s">
        <v>4237</v>
      </c>
      <c r="I2867" s="33" t="s">
        <v>10323</v>
      </c>
      <c r="J2867" s="47" t="s">
        <v>10324</v>
      </c>
      <c r="K2867" s="61" t="s">
        <v>4779</v>
      </c>
      <c r="L2867" s="12" t="str">
        <f t="shared" si="132"/>
        <v>3,3,3</v>
      </c>
    </row>
    <row r="2868" spans="2:12">
      <c r="B2868" s="17">
        <v>3167</v>
      </c>
      <c r="C2868" s="17">
        <v>3</v>
      </c>
      <c r="D2868" s="17">
        <f t="shared" si="134"/>
        <v>0</v>
      </c>
      <c r="E2868" s="17">
        <f t="shared" si="133"/>
        <v>2103</v>
      </c>
      <c r="F2868" s="17" t="s">
        <v>4813</v>
      </c>
      <c r="G2868" s="17">
        <f>MATCH(E2868,Arenas!$F$8:$F$15)</f>
        <v>7</v>
      </c>
      <c r="H2868" s="29" t="s">
        <v>4238</v>
      </c>
      <c r="I2868" s="33" t="s">
        <v>10325</v>
      </c>
      <c r="J2868" s="47" t="s">
        <v>10326</v>
      </c>
      <c r="K2868" s="61" t="s">
        <v>4808</v>
      </c>
      <c r="L2868" s="12" t="str">
        <f t="shared" si="132"/>
        <v>3,3,3</v>
      </c>
    </row>
    <row r="2869" spans="2:12">
      <c r="B2869" s="17">
        <v>3168</v>
      </c>
      <c r="C2869" s="17">
        <v>3</v>
      </c>
      <c r="D2869" s="17">
        <f t="shared" si="134"/>
        <v>0</v>
      </c>
      <c r="E2869" s="17">
        <f t="shared" si="133"/>
        <v>2103</v>
      </c>
      <c r="F2869" s="17" t="s">
        <v>4813</v>
      </c>
      <c r="G2869" s="17">
        <f>MATCH(E2869,Arenas!$F$8:$F$15)</f>
        <v>7</v>
      </c>
      <c r="H2869" s="29" t="s">
        <v>4239</v>
      </c>
      <c r="I2869" s="33" t="s">
        <v>10327</v>
      </c>
      <c r="J2869" s="47" t="s">
        <v>10328</v>
      </c>
      <c r="K2869" s="61" t="s">
        <v>4779</v>
      </c>
      <c r="L2869" s="12" t="str">
        <f t="shared" si="132"/>
        <v>3,3,3</v>
      </c>
    </row>
    <row r="2870" spans="2:12">
      <c r="B2870" s="17">
        <v>3169</v>
      </c>
      <c r="C2870" s="17">
        <v>3</v>
      </c>
      <c r="D2870" s="17">
        <f t="shared" si="134"/>
        <v>1</v>
      </c>
      <c r="E2870" s="17">
        <f t="shared" si="133"/>
        <v>2104</v>
      </c>
      <c r="F2870" s="17" t="s">
        <v>4813</v>
      </c>
      <c r="G2870" s="17">
        <f>MATCH(E2870,Arenas!$F$8:$F$15)</f>
        <v>7</v>
      </c>
      <c r="H2870" s="29" t="s">
        <v>4240</v>
      </c>
      <c r="I2870" s="33" t="s">
        <v>10329</v>
      </c>
      <c r="J2870" s="47" t="s">
        <v>10330</v>
      </c>
      <c r="K2870" s="61" t="s">
        <v>4806</v>
      </c>
      <c r="L2870" s="12" t="str">
        <f t="shared" si="132"/>
        <v>3,3,3</v>
      </c>
    </row>
    <row r="2871" spans="2:12">
      <c r="B2871" s="17">
        <v>3170</v>
      </c>
      <c r="C2871" s="17">
        <v>3</v>
      </c>
      <c r="D2871" s="17">
        <f t="shared" si="134"/>
        <v>0</v>
      </c>
      <c r="E2871" s="17">
        <f t="shared" si="133"/>
        <v>2104</v>
      </c>
      <c r="F2871" s="17" t="s">
        <v>4813</v>
      </c>
      <c r="G2871" s="17">
        <f>MATCH(E2871,Arenas!$F$8:$F$15)</f>
        <v>7</v>
      </c>
      <c r="H2871" s="29" t="s">
        <v>4241</v>
      </c>
      <c r="I2871" s="33" t="s">
        <v>10331</v>
      </c>
      <c r="J2871" s="47" t="s">
        <v>10332</v>
      </c>
      <c r="K2871" s="61" t="s">
        <v>4779</v>
      </c>
      <c r="L2871" s="12" t="str">
        <f t="shared" si="132"/>
        <v>3,3,3</v>
      </c>
    </row>
    <row r="2872" spans="2:12">
      <c r="B2872" s="17">
        <v>3171</v>
      </c>
      <c r="C2872" s="17">
        <v>3</v>
      </c>
      <c r="D2872" s="17">
        <f t="shared" si="134"/>
        <v>0</v>
      </c>
      <c r="E2872" s="17">
        <f t="shared" si="133"/>
        <v>2104</v>
      </c>
      <c r="F2872" s="17" t="s">
        <v>4813</v>
      </c>
      <c r="G2872" s="17">
        <f>MATCH(E2872,Arenas!$F$8:$F$15)</f>
        <v>7</v>
      </c>
      <c r="H2872" s="29" t="s">
        <v>4242</v>
      </c>
      <c r="I2872" s="33" t="s">
        <v>10333</v>
      </c>
      <c r="J2872" s="47" t="s">
        <v>4719</v>
      </c>
      <c r="K2872" s="61" t="s">
        <v>4779</v>
      </c>
      <c r="L2872" s="12" t="str">
        <f t="shared" si="132"/>
        <v>3,3,3</v>
      </c>
    </row>
    <row r="2873" spans="2:12">
      <c r="B2873" s="17">
        <v>3172</v>
      </c>
      <c r="C2873" s="17">
        <v>3</v>
      </c>
      <c r="D2873" s="17">
        <f t="shared" si="134"/>
        <v>1</v>
      </c>
      <c r="E2873" s="17">
        <f t="shared" si="133"/>
        <v>2105</v>
      </c>
      <c r="F2873" s="17" t="s">
        <v>4813</v>
      </c>
      <c r="G2873" s="17">
        <f>MATCH(E2873,Arenas!$F$8:$F$15)</f>
        <v>7</v>
      </c>
      <c r="H2873" s="29" t="s">
        <v>4243</v>
      </c>
      <c r="I2873" s="33" t="s">
        <v>10334</v>
      </c>
      <c r="J2873" s="47" t="s">
        <v>10335</v>
      </c>
      <c r="K2873" s="61" t="s">
        <v>4779</v>
      </c>
      <c r="L2873" s="12" t="str">
        <f t="shared" si="132"/>
        <v>3,3,3</v>
      </c>
    </row>
    <row r="2874" spans="2:12">
      <c r="B2874" s="17">
        <v>3173</v>
      </c>
      <c r="C2874" s="17">
        <v>3</v>
      </c>
      <c r="D2874" s="17">
        <f t="shared" si="134"/>
        <v>0</v>
      </c>
      <c r="E2874" s="17">
        <f t="shared" si="133"/>
        <v>2105</v>
      </c>
      <c r="F2874" s="17" t="s">
        <v>4813</v>
      </c>
      <c r="G2874" s="17">
        <f>MATCH(E2874,Arenas!$F$8:$F$15)</f>
        <v>7</v>
      </c>
      <c r="H2874" s="29" t="s">
        <v>4244</v>
      </c>
      <c r="I2874" s="33" t="s">
        <v>10336</v>
      </c>
      <c r="J2874" s="47" t="s">
        <v>10337</v>
      </c>
      <c r="K2874" s="61" t="s">
        <v>4809</v>
      </c>
      <c r="L2874" s="12" t="str">
        <f t="shared" si="132"/>
        <v>3,3,3</v>
      </c>
    </row>
    <row r="2875" spans="2:12">
      <c r="B2875" s="17">
        <v>3174</v>
      </c>
      <c r="C2875" s="17">
        <v>3</v>
      </c>
      <c r="D2875" s="17">
        <f t="shared" si="134"/>
        <v>0</v>
      </c>
      <c r="E2875" s="17">
        <f t="shared" si="133"/>
        <v>2105</v>
      </c>
      <c r="F2875" s="17" t="s">
        <v>4813</v>
      </c>
      <c r="G2875" s="17">
        <f>MATCH(E2875,Arenas!$F$8:$F$15)</f>
        <v>7</v>
      </c>
      <c r="H2875" s="29" t="s">
        <v>4245</v>
      </c>
      <c r="I2875" s="33" t="s">
        <v>10338</v>
      </c>
      <c r="J2875" s="47" t="s">
        <v>10339</v>
      </c>
      <c r="K2875" s="61" t="s">
        <v>4809</v>
      </c>
      <c r="L2875" s="12" t="str">
        <f t="shared" si="132"/>
        <v>3,3,3</v>
      </c>
    </row>
    <row r="2876" spans="2:12">
      <c r="B2876" s="17">
        <v>3175</v>
      </c>
      <c r="C2876" s="17">
        <v>3</v>
      </c>
      <c r="D2876" s="17">
        <f t="shared" si="134"/>
        <v>1</v>
      </c>
      <c r="E2876" s="17">
        <f t="shared" si="133"/>
        <v>2106</v>
      </c>
      <c r="F2876" s="17" t="s">
        <v>4813</v>
      </c>
      <c r="G2876" s="17">
        <f>MATCH(E2876,Arenas!$F$8:$F$15)</f>
        <v>7</v>
      </c>
      <c r="H2876" s="29" t="s">
        <v>4246</v>
      </c>
      <c r="I2876" s="33" t="s">
        <v>10340</v>
      </c>
      <c r="J2876" s="47" t="s">
        <v>10341</v>
      </c>
      <c r="K2876" s="61" t="s">
        <v>4779</v>
      </c>
      <c r="L2876" s="12" t="str">
        <f t="shared" si="132"/>
        <v>3,3,3</v>
      </c>
    </row>
    <row r="2877" spans="2:12">
      <c r="B2877" s="17">
        <v>3176</v>
      </c>
      <c r="C2877" s="17">
        <v>3</v>
      </c>
      <c r="D2877" s="17">
        <f t="shared" si="134"/>
        <v>0</v>
      </c>
      <c r="E2877" s="17">
        <f t="shared" si="133"/>
        <v>2106</v>
      </c>
      <c r="F2877" s="17" t="s">
        <v>4813</v>
      </c>
      <c r="G2877" s="17">
        <f>MATCH(E2877,Arenas!$F$8:$F$15)</f>
        <v>7</v>
      </c>
      <c r="H2877" s="29" t="s">
        <v>4247</v>
      </c>
      <c r="I2877" s="33" t="s">
        <v>10342</v>
      </c>
      <c r="J2877" s="47" t="s">
        <v>10343</v>
      </c>
      <c r="K2877" s="61" t="s">
        <v>4779</v>
      </c>
      <c r="L2877" s="12" t="str">
        <f t="shared" si="132"/>
        <v>3,3,3</v>
      </c>
    </row>
    <row r="2878" spans="2:12">
      <c r="B2878" s="17">
        <v>3177</v>
      </c>
      <c r="C2878" s="17">
        <v>3</v>
      </c>
      <c r="D2878" s="17">
        <f t="shared" si="134"/>
        <v>0</v>
      </c>
      <c r="E2878" s="17">
        <f t="shared" si="133"/>
        <v>2106</v>
      </c>
      <c r="F2878" s="17" t="s">
        <v>4813</v>
      </c>
      <c r="G2878" s="17">
        <f>MATCH(E2878,Arenas!$F$8:$F$15)</f>
        <v>7</v>
      </c>
      <c r="H2878" s="29" t="s">
        <v>4248</v>
      </c>
      <c r="I2878" s="33" t="s">
        <v>10344</v>
      </c>
      <c r="J2878" s="47" t="s">
        <v>5390</v>
      </c>
      <c r="K2878" s="61" t="s">
        <v>4807</v>
      </c>
      <c r="L2878" s="12" t="str">
        <f t="shared" si="132"/>
        <v>3,3,3</v>
      </c>
    </row>
    <row r="2879" spans="2:12">
      <c r="B2879" s="17">
        <v>3178</v>
      </c>
      <c r="C2879" s="17">
        <v>3</v>
      </c>
      <c r="D2879" s="17">
        <f t="shared" si="134"/>
        <v>1</v>
      </c>
      <c r="E2879" s="17">
        <f t="shared" si="133"/>
        <v>2107</v>
      </c>
      <c r="F2879" s="17" t="s">
        <v>4813</v>
      </c>
      <c r="G2879" s="17">
        <f>MATCH(E2879,Arenas!$F$8:$F$15)</f>
        <v>7</v>
      </c>
      <c r="H2879" s="29" t="s">
        <v>4249</v>
      </c>
      <c r="I2879" s="33" t="s">
        <v>10345</v>
      </c>
      <c r="J2879" s="47" t="s">
        <v>10346</v>
      </c>
      <c r="K2879" s="61" t="s">
        <v>4779</v>
      </c>
      <c r="L2879" s="12" t="str">
        <f t="shared" si="132"/>
        <v>3,3,3</v>
      </c>
    </row>
    <row r="2880" spans="2:12">
      <c r="B2880" s="17">
        <v>3179</v>
      </c>
      <c r="C2880" s="17">
        <v>3</v>
      </c>
      <c r="D2880" s="17">
        <f t="shared" si="134"/>
        <v>0</v>
      </c>
      <c r="E2880" s="17">
        <f t="shared" si="133"/>
        <v>2107</v>
      </c>
      <c r="F2880" s="17" t="s">
        <v>4813</v>
      </c>
      <c r="G2880" s="17">
        <f>MATCH(E2880,Arenas!$F$8:$F$15)</f>
        <v>7</v>
      </c>
      <c r="H2880" s="29" t="s">
        <v>4250</v>
      </c>
      <c r="I2880" s="33" t="s">
        <v>10347</v>
      </c>
      <c r="J2880" s="47" t="s">
        <v>10348</v>
      </c>
      <c r="K2880" s="61" t="s">
        <v>4809</v>
      </c>
      <c r="L2880" s="12" t="str">
        <f t="shared" si="132"/>
        <v>3,3,3</v>
      </c>
    </row>
    <row r="2881" spans="2:12">
      <c r="B2881" s="17">
        <v>3180</v>
      </c>
      <c r="C2881" s="17">
        <v>3</v>
      </c>
      <c r="D2881" s="17">
        <f t="shared" si="134"/>
        <v>0</v>
      </c>
      <c r="E2881" s="17">
        <f t="shared" si="133"/>
        <v>2107</v>
      </c>
      <c r="F2881" s="17" t="s">
        <v>4813</v>
      </c>
      <c r="G2881" s="17">
        <f>MATCH(E2881,Arenas!$F$8:$F$15)</f>
        <v>7</v>
      </c>
      <c r="H2881" s="29" t="s">
        <v>4251</v>
      </c>
      <c r="I2881" s="33" t="s">
        <v>10349</v>
      </c>
      <c r="J2881" s="47" t="s">
        <v>10350</v>
      </c>
      <c r="K2881" s="61" t="s">
        <v>4779</v>
      </c>
      <c r="L2881" s="12" t="str">
        <f t="shared" si="132"/>
        <v>3,3,3</v>
      </c>
    </row>
    <row r="2882" spans="2:12">
      <c r="B2882" s="17">
        <v>3181</v>
      </c>
      <c r="C2882" s="17">
        <v>3</v>
      </c>
      <c r="D2882" s="17">
        <f t="shared" si="134"/>
        <v>1</v>
      </c>
      <c r="E2882" s="17">
        <f t="shared" si="133"/>
        <v>2108</v>
      </c>
      <c r="F2882" s="17" t="s">
        <v>4813</v>
      </c>
      <c r="G2882" s="17">
        <f>MATCH(E2882,Arenas!$F$8:$F$15)</f>
        <v>7</v>
      </c>
      <c r="H2882" s="29" t="s">
        <v>4252</v>
      </c>
      <c r="I2882" s="33" t="s">
        <v>10351</v>
      </c>
      <c r="J2882" s="47" t="s">
        <v>10352</v>
      </c>
      <c r="K2882" s="61" t="s">
        <v>4779</v>
      </c>
      <c r="L2882" s="12" t="str">
        <f t="shared" ref="L2882:L2945" si="135">C2882&amp;","&amp;C2882&amp;","&amp;C2882</f>
        <v>3,3,3</v>
      </c>
    </row>
    <row r="2883" spans="2:12">
      <c r="B2883" s="17">
        <v>3182</v>
      </c>
      <c r="C2883" s="17">
        <v>3</v>
      </c>
      <c r="D2883" s="17">
        <f t="shared" si="134"/>
        <v>0</v>
      </c>
      <c r="E2883" s="17">
        <f t="shared" ref="E2883:E2946" si="136">D2883+E2882</f>
        <v>2108</v>
      </c>
      <c r="F2883" s="17" t="s">
        <v>4813</v>
      </c>
      <c r="G2883" s="17">
        <f>MATCH(E2883,Arenas!$F$8:$F$15)</f>
        <v>7</v>
      </c>
      <c r="H2883" s="29" t="s">
        <v>4253</v>
      </c>
      <c r="I2883" s="33" t="s">
        <v>10353</v>
      </c>
      <c r="J2883" s="47" t="s">
        <v>10354</v>
      </c>
      <c r="K2883" s="61" t="s">
        <v>4779</v>
      </c>
      <c r="L2883" s="12" t="str">
        <f t="shared" si="135"/>
        <v>3,3,3</v>
      </c>
    </row>
    <row r="2884" spans="2:12">
      <c r="B2884" s="17">
        <v>3183</v>
      </c>
      <c r="C2884" s="17">
        <v>3</v>
      </c>
      <c r="D2884" s="17">
        <f t="shared" si="134"/>
        <v>0</v>
      </c>
      <c r="E2884" s="17">
        <f t="shared" si="136"/>
        <v>2108</v>
      </c>
      <c r="F2884" s="17" t="s">
        <v>4813</v>
      </c>
      <c r="G2884" s="17">
        <f>MATCH(E2884,Arenas!$F$8:$F$15)</f>
        <v>7</v>
      </c>
      <c r="H2884" s="29" t="s">
        <v>4254</v>
      </c>
      <c r="I2884" s="33" t="s">
        <v>10355</v>
      </c>
      <c r="J2884" s="47" t="s">
        <v>10356</v>
      </c>
      <c r="K2884" s="61" t="s">
        <v>4779</v>
      </c>
      <c r="L2884" s="12" t="str">
        <f t="shared" si="135"/>
        <v>3,3,3</v>
      </c>
    </row>
    <row r="2885" spans="2:12">
      <c r="B2885" s="17">
        <v>3184</v>
      </c>
      <c r="C2885" s="17">
        <v>3</v>
      </c>
      <c r="D2885" s="17">
        <f t="shared" ref="D2885:D2948" si="137">D2882</f>
        <v>1</v>
      </c>
      <c r="E2885" s="17">
        <f t="shared" si="136"/>
        <v>2109</v>
      </c>
      <c r="F2885" s="17" t="s">
        <v>4813</v>
      </c>
      <c r="G2885" s="17">
        <f>MATCH(E2885,Arenas!$F$8:$F$15)</f>
        <v>7</v>
      </c>
      <c r="H2885" s="29" t="s">
        <v>4255</v>
      </c>
      <c r="I2885" s="33" t="s">
        <v>10357</v>
      </c>
      <c r="J2885" s="47" t="s">
        <v>10358</v>
      </c>
      <c r="K2885" s="61" t="s">
        <v>4779</v>
      </c>
      <c r="L2885" s="12" t="str">
        <f t="shared" si="135"/>
        <v>3,3,3</v>
      </c>
    </row>
    <row r="2886" spans="2:12">
      <c r="B2886" s="17">
        <v>3185</v>
      </c>
      <c r="C2886" s="17">
        <v>4</v>
      </c>
      <c r="D2886" s="17">
        <f t="shared" si="137"/>
        <v>0</v>
      </c>
      <c r="E2886" s="17">
        <f t="shared" si="136"/>
        <v>2109</v>
      </c>
      <c r="F2886" s="17" t="s">
        <v>4813</v>
      </c>
      <c r="G2886" s="17">
        <f>MATCH(E2886,Arenas!$F$8:$F$15)</f>
        <v>7</v>
      </c>
      <c r="H2886" s="29" t="s">
        <v>4256</v>
      </c>
      <c r="I2886" s="33" t="s">
        <v>10359</v>
      </c>
      <c r="J2886" s="47" t="s">
        <v>10360</v>
      </c>
      <c r="K2886" s="61" t="s">
        <v>4779</v>
      </c>
      <c r="L2886" s="12" t="str">
        <f t="shared" si="135"/>
        <v>4,4,4</v>
      </c>
    </row>
    <row r="2887" spans="2:12">
      <c r="B2887" s="17">
        <v>3186</v>
      </c>
      <c r="C2887" s="17">
        <v>4</v>
      </c>
      <c r="D2887" s="17">
        <f t="shared" si="137"/>
        <v>0</v>
      </c>
      <c r="E2887" s="17">
        <f t="shared" si="136"/>
        <v>2109</v>
      </c>
      <c r="F2887" s="17" t="s">
        <v>4813</v>
      </c>
      <c r="G2887" s="17">
        <f>MATCH(E2887,Arenas!$F$8:$F$15)</f>
        <v>7</v>
      </c>
      <c r="H2887" s="29" t="s">
        <v>4257</v>
      </c>
      <c r="I2887" s="33" t="s">
        <v>10361</v>
      </c>
      <c r="J2887" s="47" t="s">
        <v>10362</v>
      </c>
      <c r="K2887" s="61" t="s">
        <v>4806</v>
      </c>
      <c r="L2887" s="12" t="str">
        <f t="shared" si="135"/>
        <v>4,4,4</v>
      </c>
    </row>
    <row r="2888" spans="2:12">
      <c r="B2888" s="17">
        <v>3187</v>
      </c>
      <c r="C2888" s="17">
        <v>4</v>
      </c>
      <c r="D2888" s="17">
        <f t="shared" si="137"/>
        <v>1</v>
      </c>
      <c r="E2888" s="17">
        <f t="shared" si="136"/>
        <v>2110</v>
      </c>
      <c r="F2888" s="17" t="s">
        <v>4813</v>
      </c>
      <c r="G2888" s="17">
        <f>MATCH(E2888,Arenas!$F$8:$F$15)</f>
        <v>7</v>
      </c>
      <c r="H2888" s="29" t="s">
        <v>4258</v>
      </c>
      <c r="I2888" s="33" t="s">
        <v>10363</v>
      </c>
      <c r="J2888" s="47" t="s">
        <v>10364</v>
      </c>
      <c r="K2888" s="61" t="s">
        <v>4779</v>
      </c>
      <c r="L2888" s="12" t="str">
        <f t="shared" si="135"/>
        <v>4,4,4</v>
      </c>
    </row>
    <row r="2889" spans="2:12">
      <c r="B2889" s="17">
        <v>3188</v>
      </c>
      <c r="C2889" s="17">
        <v>4</v>
      </c>
      <c r="D2889" s="17">
        <f t="shared" si="137"/>
        <v>0</v>
      </c>
      <c r="E2889" s="17">
        <f t="shared" si="136"/>
        <v>2110</v>
      </c>
      <c r="F2889" s="17" t="s">
        <v>4813</v>
      </c>
      <c r="G2889" s="17">
        <f>MATCH(E2889,Arenas!$F$8:$F$15)</f>
        <v>7</v>
      </c>
      <c r="H2889" s="29" t="s">
        <v>4259</v>
      </c>
      <c r="I2889" s="33" t="s">
        <v>10365</v>
      </c>
      <c r="J2889" s="47" t="s">
        <v>10366</v>
      </c>
      <c r="K2889" s="61" t="s">
        <v>4779</v>
      </c>
      <c r="L2889" s="12" t="str">
        <f t="shared" si="135"/>
        <v>4,4,4</v>
      </c>
    </row>
    <row r="2890" spans="2:12">
      <c r="B2890" s="17">
        <v>3189</v>
      </c>
      <c r="C2890" s="17">
        <v>4</v>
      </c>
      <c r="D2890" s="17">
        <f t="shared" si="137"/>
        <v>0</v>
      </c>
      <c r="E2890" s="17">
        <f t="shared" si="136"/>
        <v>2110</v>
      </c>
      <c r="F2890" s="17" t="s">
        <v>4813</v>
      </c>
      <c r="G2890" s="17">
        <f>MATCH(E2890,Arenas!$F$8:$F$15)</f>
        <v>7</v>
      </c>
      <c r="H2890" s="29" t="s">
        <v>4260</v>
      </c>
      <c r="I2890" s="33" t="s">
        <v>10367</v>
      </c>
      <c r="J2890" s="47" t="s">
        <v>10368</v>
      </c>
      <c r="K2890" s="61" t="s">
        <v>4779</v>
      </c>
      <c r="L2890" s="12" t="str">
        <f t="shared" si="135"/>
        <v>4,4,4</v>
      </c>
    </row>
    <row r="2891" spans="2:12">
      <c r="B2891" s="17">
        <v>3190</v>
      </c>
      <c r="C2891" s="17">
        <v>4</v>
      </c>
      <c r="D2891" s="17">
        <f t="shared" si="137"/>
        <v>1</v>
      </c>
      <c r="E2891" s="17">
        <f t="shared" si="136"/>
        <v>2111</v>
      </c>
      <c r="F2891" s="17" t="s">
        <v>4813</v>
      </c>
      <c r="G2891" s="17">
        <f>MATCH(E2891,Arenas!$F$8:$F$15)</f>
        <v>7</v>
      </c>
      <c r="H2891" s="29" t="s">
        <v>4261</v>
      </c>
      <c r="I2891" s="33" t="s">
        <v>10369</v>
      </c>
      <c r="J2891" s="47" t="s">
        <v>10370</v>
      </c>
      <c r="K2891" s="61" t="s">
        <v>4779</v>
      </c>
      <c r="L2891" s="12" t="str">
        <f t="shared" si="135"/>
        <v>4,4,4</v>
      </c>
    </row>
    <row r="2892" spans="2:12">
      <c r="B2892" s="17">
        <v>3191</v>
      </c>
      <c r="C2892" s="17">
        <v>4</v>
      </c>
      <c r="D2892" s="17">
        <f t="shared" si="137"/>
        <v>0</v>
      </c>
      <c r="E2892" s="17">
        <f t="shared" si="136"/>
        <v>2111</v>
      </c>
      <c r="F2892" s="17" t="s">
        <v>4813</v>
      </c>
      <c r="G2892" s="17">
        <f>MATCH(E2892,Arenas!$F$8:$F$15)</f>
        <v>7</v>
      </c>
      <c r="H2892" s="29" t="s">
        <v>4262</v>
      </c>
      <c r="I2892" s="33" t="s">
        <v>10371</v>
      </c>
      <c r="J2892" s="47" t="s">
        <v>10372</v>
      </c>
      <c r="K2892" s="61" t="s">
        <v>4779</v>
      </c>
      <c r="L2892" s="12" t="str">
        <f t="shared" si="135"/>
        <v>4,4,4</v>
      </c>
    </row>
    <row r="2893" spans="2:12">
      <c r="B2893" s="17">
        <v>3192</v>
      </c>
      <c r="C2893" s="17">
        <v>4</v>
      </c>
      <c r="D2893" s="17">
        <f t="shared" si="137"/>
        <v>0</v>
      </c>
      <c r="E2893" s="17">
        <f t="shared" si="136"/>
        <v>2111</v>
      </c>
      <c r="F2893" s="17" t="s">
        <v>4813</v>
      </c>
      <c r="G2893" s="17">
        <f>MATCH(E2893,Arenas!$F$8:$F$15)</f>
        <v>7</v>
      </c>
      <c r="H2893" s="29" t="s">
        <v>4263</v>
      </c>
      <c r="I2893" s="33" t="s">
        <v>10373</v>
      </c>
      <c r="J2893" s="47" t="s">
        <v>10374</v>
      </c>
      <c r="K2893" s="61" t="s">
        <v>4779</v>
      </c>
      <c r="L2893" s="12" t="str">
        <f t="shared" si="135"/>
        <v>4,4,4</v>
      </c>
    </row>
    <row r="2894" spans="2:12">
      <c r="B2894" s="17">
        <v>3193</v>
      </c>
      <c r="C2894" s="17">
        <v>4</v>
      </c>
      <c r="D2894" s="17">
        <f t="shared" si="137"/>
        <v>1</v>
      </c>
      <c r="E2894" s="17">
        <f t="shared" si="136"/>
        <v>2112</v>
      </c>
      <c r="F2894" s="17" t="s">
        <v>4813</v>
      </c>
      <c r="G2894" s="17">
        <f>MATCH(E2894,Arenas!$F$8:$F$15)</f>
        <v>7</v>
      </c>
      <c r="H2894" s="29" t="s">
        <v>4264</v>
      </c>
      <c r="I2894" s="33" t="s">
        <v>10375</v>
      </c>
      <c r="J2894" s="47" t="s">
        <v>10376</v>
      </c>
      <c r="K2894" s="61" t="s">
        <v>4779</v>
      </c>
      <c r="L2894" s="12" t="str">
        <f t="shared" si="135"/>
        <v>4,4,4</v>
      </c>
    </row>
    <row r="2895" spans="2:12">
      <c r="B2895" s="17">
        <v>3194</v>
      </c>
      <c r="C2895" s="17">
        <v>4</v>
      </c>
      <c r="D2895" s="17">
        <f t="shared" si="137"/>
        <v>0</v>
      </c>
      <c r="E2895" s="17">
        <f t="shared" si="136"/>
        <v>2112</v>
      </c>
      <c r="F2895" s="17" t="s">
        <v>4813</v>
      </c>
      <c r="G2895" s="17">
        <f>MATCH(E2895,Arenas!$F$8:$F$15)</f>
        <v>7</v>
      </c>
      <c r="H2895" s="29" t="s">
        <v>4265</v>
      </c>
      <c r="I2895" s="33" t="s">
        <v>10377</v>
      </c>
      <c r="J2895" s="47" t="s">
        <v>10378</v>
      </c>
      <c r="K2895" s="61" t="s">
        <v>4779</v>
      </c>
      <c r="L2895" s="12" t="str">
        <f t="shared" si="135"/>
        <v>4,4,4</v>
      </c>
    </row>
    <row r="2896" spans="2:12">
      <c r="B2896" s="17">
        <v>3195</v>
      </c>
      <c r="C2896" s="17">
        <v>4</v>
      </c>
      <c r="D2896" s="17">
        <f t="shared" si="137"/>
        <v>0</v>
      </c>
      <c r="E2896" s="17">
        <f t="shared" si="136"/>
        <v>2112</v>
      </c>
      <c r="F2896" s="17" t="s">
        <v>4813</v>
      </c>
      <c r="G2896" s="17">
        <f>MATCH(E2896,Arenas!$F$8:$F$15)</f>
        <v>7</v>
      </c>
      <c r="H2896" s="29" t="s">
        <v>4266</v>
      </c>
      <c r="I2896" s="33" t="s">
        <v>10379</v>
      </c>
      <c r="J2896" s="47" t="s">
        <v>10380</v>
      </c>
      <c r="K2896" s="61" t="s">
        <v>4779</v>
      </c>
      <c r="L2896" s="12" t="str">
        <f t="shared" si="135"/>
        <v>4,4,4</v>
      </c>
    </row>
    <row r="2897" spans="2:12">
      <c r="B2897" s="17">
        <v>3196</v>
      </c>
      <c r="C2897" s="17">
        <v>4</v>
      </c>
      <c r="D2897" s="17">
        <f t="shared" si="137"/>
        <v>1</v>
      </c>
      <c r="E2897" s="17">
        <f t="shared" si="136"/>
        <v>2113</v>
      </c>
      <c r="F2897" s="17" t="s">
        <v>4813</v>
      </c>
      <c r="G2897" s="17">
        <f>MATCH(E2897,Arenas!$F$8:$F$15)</f>
        <v>7</v>
      </c>
      <c r="H2897" s="29" t="s">
        <v>4267</v>
      </c>
      <c r="I2897" s="33" t="s">
        <v>10381</v>
      </c>
      <c r="J2897" s="47" t="s">
        <v>10382</v>
      </c>
      <c r="K2897" s="61" t="s">
        <v>4779</v>
      </c>
      <c r="L2897" s="12" t="str">
        <f t="shared" si="135"/>
        <v>4,4,4</v>
      </c>
    </row>
    <row r="2898" spans="2:12">
      <c r="B2898" s="17">
        <v>3197</v>
      </c>
      <c r="C2898" s="17">
        <v>4</v>
      </c>
      <c r="D2898" s="17">
        <f t="shared" si="137"/>
        <v>0</v>
      </c>
      <c r="E2898" s="17">
        <f t="shared" si="136"/>
        <v>2113</v>
      </c>
      <c r="F2898" s="17" t="s">
        <v>4813</v>
      </c>
      <c r="G2898" s="17">
        <f>MATCH(E2898,Arenas!$F$8:$F$15)</f>
        <v>7</v>
      </c>
      <c r="H2898" s="29" t="s">
        <v>4268</v>
      </c>
      <c r="I2898" s="33" t="s">
        <v>10383</v>
      </c>
      <c r="J2898" s="47" t="s">
        <v>10384</v>
      </c>
      <c r="K2898" s="61" t="s">
        <v>4779</v>
      </c>
      <c r="L2898" s="12" t="str">
        <f t="shared" si="135"/>
        <v>4,4,4</v>
      </c>
    </row>
    <row r="2899" spans="2:12">
      <c r="B2899" s="17">
        <v>3198</v>
      </c>
      <c r="C2899" s="17">
        <v>4</v>
      </c>
      <c r="D2899" s="17">
        <f t="shared" si="137"/>
        <v>0</v>
      </c>
      <c r="E2899" s="17">
        <f t="shared" si="136"/>
        <v>2113</v>
      </c>
      <c r="F2899" s="17" t="s">
        <v>4813</v>
      </c>
      <c r="G2899" s="17">
        <f>MATCH(E2899,Arenas!$F$8:$F$15)</f>
        <v>7</v>
      </c>
      <c r="H2899" s="29" t="s">
        <v>4269</v>
      </c>
      <c r="I2899" s="33" t="s">
        <v>10385</v>
      </c>
      <c r="J2899" s="47" t="s">
        <v>10386</v>
      </c>
      <c r="K2899" s="61" t="s">
        <v>4779</v>
      </c>
      <c r="L2899" s="12" t="str">
        <f t="shared" si="135"/>
        <v>4,4,4</v>
      </c>
    </row>
    <row r="2900" spans="2:12">
      <c r="B2900" s="17">
        <v>3199</v>
      </c>
      <c r="C2900" s="17">
        <v>4</v>
      </c>
      <c r="D2900" s="17">
        <f t="shared" si="137"/>
        <v>1</v>
      </c>
      <c r="E2900" s="17">
        <f t="shared" si="136"/>
        <v>2114</v>
      </c>
      <c r="F2900" s="17" t="s">
        <v>4813</v>
      </c>
      <c r="G2900" s="17">
        <f>MATCH(E2900,Arenas!$F$8:$F$15)</f>
        <v>7</v>
      </c>
      <c r="H2900" s="29" t="s">
        <v>4270</v>
      </c>
      <c r="I2900" s="33" t="s">
        <v>10387</v>
      </c>
      <c r="J2900" s="47" t="s">
        <v>10388</v>
      </c>
      <c r="K2900" s="61" t="s">
        <v>4779</v>
      </c>
      <c r="L2900" s="12" t="str">
        <f t="shared" si="135"/>
        <v>4,4,4</v>
      </c>
    </row>
    <row r="2901" spans="2:12">
      <c r="B2901" s="17">
        <v>3200</v>
      </c>
      <c r="C2901" s="17">
        <v>4</v>
      </c>
      <c r="D2901" s="17">
        <f t="shared" si="137"/>
        <v>0</v>
      </c>
      <c r="E2901" s="17">
        <f t="shared" si="136"/>
        <v>2114</v>
      </c>
      <c r="F2901" s="17" t="s">
        <v>4813</v>
      </c>
      <c r="G2901" s="17">
        <f>MATCH(E2901,Arenas!$F$8:$F$15)</f>
        <v>7</v>
      </c>
      <c r="H2901" s="29" t="s">
        <v>4271</v>
      </c>
      <c r="I2901" s="33" t="s">
        <v>10389</v>
      </c>
      <c r="J2901" s="47" t="s">
        <v>10390</v>
      </c>
      <c r="K2901" s="61" t="s">
        <v>4779</v>
      </c>
      <c r="L2901" s="12" t="str">
        <f t="shared" si="135"/>
        <v>4,4,4</v>
      </c>
    </row>
    <row r="2902" spans="2:12">
      <c r="B2902" s="17">
        <v>3201</v>
      </c>
      <c r="C2902" s="17">
        <v>4</v>
      </c>
      <c r="D2902" s="17">
        <f t="shared" si="137"/>
        <v>0</v>
      </c>
      <c r="E2902" s="17">
        <f t="shared" si="136"/>
        <v>2114</v>
      </c>
      <c r="F2902" s="17" t="s">
        <v>4813</v>
      </c>
      <c r="G2902" s="17">
        <f>MATCH(E2902,Arenas!$F$8:$F$15)</f>
        <v>7</v>
      </c>
      <c r="H2902" s="29" t="s">
        <v>4272</v>
      </c>
      <c r="I2902" s="33" t="s">
        <v>10391</v>
      </c>
      <c r="J2902" s="47" t="s">
        <v>10392</v>
      </c>
      <c r="K2902" s="61" t="s">
        <v>4779</v>
      </c>
      <c r="L2902" s="12" t="str">
        <f t="shared" si="135"/>
        <v>4,4,4</v>
      </c>
    </row>
    <row r="2903" spans="2:12">
      <c r="B2903" s="17">
        <v>3202</v>
      </c>
      <c r="C2903" s="17">
        <v>4</v>
      </c>
      <c r="D2903" s="17">
        <f t="shared" si="137"/>
        <v>1</v>
      </c>
      <c r="E2903" s="17">
        <f t="shared" si="136"/>
        <v>2115</v>
      </c>
      <c r="F2903" s="17" t="s">
        <v>4813</v>
      </c>
      <c r="G2903" s="17">
        <f>MATCH(E2903,Arenas!$F$8:$F$15)</f>
        <v>7</v>
      </c>
      <c r="H2903" s="29" t="s">
        <v>4273</v>
      </c>
      <c r="I2903" s="33" t="s">
        <v>10393</v>
      </c>
      <c r="J2903" s="47" t="s">
        <v>10394</v>
      </c>
      <c r="K2903" s="61" t="s">
        <v>4779</v>
      </c>
      <c r="L2903" s="12" t="str">
        <f t="shared" si="135"/>
        <v>4,4,4</v>
      </c>
    </row>
    <row r="2904" spans="2:12">
      <c r="B2904" s="17">
        <v>3203</v>
      </c>
      <c r="C2904" s="17">
        <v>4</v>
      </c>
      <c r="D2904" s="17">
        <f t="shared" si="137"/>
        <v>0</v>
      </c>
      <c r="E2904" s="17">
        <f t="shared" si="136"/>
        <v>2115</v>
      </c>
      <c r="F2904" s="17" t="s">
        <v>4813</v>
      </c>
      <c r="G2904" s="17">
        <f>MATCH(E2904,Arenas!$F$8:$F$15)</f>
        <v>7</v>
      </c>
      <c r="H2904" s="29" t="s">
        <v>4274</v>
      </c>
      <c r="I2904" s="33" t="s">
        <v>10395</v>
      </c>
      <c r="J2904" s="47" t="s">
        <v>10396</v>
      </c>
      <c r="K2904" s="61" t="s">
        <v>4779</v>
      </c>
      <c r="L2904" s="12" t="str">
        <f t="shared" si="135"/>
        <v>4,4,4</v>
      </c>
    </row>
    <row r="2905" spans="2:12">
      <c r="B2905" s="17">
        <v>3204</v>
      </c>
      <c r="C2905" s="17">
        <v>4</v>
      </c>
      <c r="D2905" s="17">
        <f t="shared" si="137"/>
        <v>0</v>
      </c>
      <c r="E2905" s="17">
        <f t="shared" si="136"/>
        <v>2115</v>
      </c>
      <c r="F2905" s="17" t="s">
        <v>4813</v>
      </c>
      <c r="G2905" s="17">
        <f>MATCH(E2905,Arenas!$F$8:$F$15)</f>
        <v>7</v>
      </c>
      <c r="H2905" s="29" t="s">
        <v>4275</v>
      </c>
      <c r="I2905" s="33" t="s">
        <v>10397</v>
      </c>
      <c r="J2905" s="47" t="s">
        <v>10398</v>
      </c>
      <c r="K2905" s="61" t="s">
        <v>4779</v>
      </c>
      <c r="L2905" s="12" t="str">
        <f t="shared" si="135"/>
        <v>4,4,4</v>
      </c>
    </row>
    <row r="2906" spans="2:12">
      <c r="B2906" s="17">
        <v>3205</v>
      </c>
      <c r="C2906" s="17">
        <v>4</v>
      </c>
      <c r="D2906" s="17">
        <f t="shared" si="137"/>
        <v>1</v>
      </c>
      <c r="E2906" s="17">
        <f t="shared" si="136"/>
        <v>2116</v>
      </c>
      <c r="F2906" s="17" t="s">
        <v>4813</v>
      </c>
      <c r="G2906" s="17">
        <f>MATCH(E2906,Arenas!$F$8:$F$15)</f>
        <v>7</v>
      </c>
      <c r="H2906" s="29" t="s">
        <v>4276</v>
      </c>
      <c r="I2906" s="33" t="s">
        <v>10399</v>
      </c>
      <c r="J2906" s="47" t="s">
        <v>10400</v>
      </c>
      <c r="K2906" s="61" t="s">
        <v>4779</v>
      </c>
      <c r="L2906" s="12" t="str">
        <f t="shared" si="135"/>
        <v>4,4,4</v>
      </c>
    </row>
    <row r="2907" spans="2:12">
      <c r="B2907" s="17">
        <v>3206</v>
      </c>
      <c r="C2907" s="17">
        <v>4</v>
      </c>
      <c r="D2907" s="17">
        <f t="shared" si="137"/>
        <v>0</v>
      </c>
      <c r="E2907" s="17">
        <f t="shared" si="136"/>
        <v>2116</v>
      </c>
      <c r="F2907" s="17" t="s">
        <v>4813</v>
      </c>
      <c r="G2907" s="17">
        <f>MATCH(E2907,Arenas!$F$8:$F$15)</f>
        <v>7</v>
      </c>
      <c r="H2907" s="29" t="s">
        <v>4277</v>
      </c>
      <c r="I2907" s="33" t="s">
        <v>10401</v>
      </c>
      <c r="J2907" s="47" t="s">
        <v>10402</v>
      </c>
      <c r="K2907" s="61" t="s">
        <v>4779</v>
      </c>
      <c r="L2907" s="12" t="str">
        <f t="shared" si="135"/>
        <v>4,4,4</v>
      </c>
    </row>
    <row r="2908" spans="2:12">
      <c r="B2908" s="17">
        <v>3207</v>
      </c>
      <c r="C2908" s="17">
        <v>4</v>
      </c>
      <c r="D2908" s="17">
        <f t="shared" si="137"/>
        <v>0</v>
      </c>
      <c r="E2908" s="17">
        <f t="shared" si="136"/>
        <v>2116</v>
      </c>
      <c r="F2908" s="17" t="s">
        <v>4813</v>
      </c>
      <c r="G2908" s="17">
        <f>MATCH(E2908,Arenas!$F$8:$F$15)</f>
        <v>7</v>
      </c>
      <c r="H2908" s="29" t="s">
        <v>4278</v>
      </c>
      <c r="I2908" s="33" t="s">
        <v>10403</v>
      </c>
      <c r="J2908" s="47" t="s">
        <v>10404</v>
      </c>
      <c r="K2908" s="61" t="s">
        <v>4779</v>
      </c>
      <c r="L2908" s="12" t="str">
        <f t="shared" si="135"/>
        <v>4,4,4</v>
      </c>
    </row>
    <row r="2909" spans="2:12">
      <c r="B2909" s="17">
        <v>3208</v>
      </c>
      <c r="C2909" s="17">
        <v>4</v>
      </c>
      <c r="D2909" s="17">
        <f t="shared" si="137"/>
        <v>1</v>
      </c>
      <c r="E2909" s="17">
        <f t="shared" si="136"/>
        <v>2117</v>
      </c>
      <c r="F2909" s="17" t="s">
        <v>4813</v>
      </c>
      <c r="G2909" s="17">
        <f>MATCH(E2909,Arenas!$F$8:$F$15)</f>
        <v>7</v>
      </c>
      <c r="H2909" s="29" t="s">
        <v>4279</v>
      </c>
      <c r="I2909" s="33" t="s">
        <v>10405</v>
      </c>
      <c r="J2909" s="47" t="s">
        <v>10406</v>
      </c>
      <c r="K2909" s="61" t="s">
        <v>4779</v>
      </c>
      <c r="L2909" s="12" t="str">
        <f t="shared" si="135"/>
        <v>4,4,4</v>
      </c>
    </row>
    <row r="2910" spans="2:12">
      <c r="B2910" s="17">
        <v>3209</v>
      </c>
      <c r="C2910" s="17">
        <v>4</v>
      </c>
      <c r="D2910" s="17">
        <f t="shared" si="137"/>
        <v>0</v>
      </c>
      <c r="E2910" s="17">
        <f t="shared" si="136"/>
        <v>2117</v>
      </c>
      <c r="F2910" s="17" t="s">
        <v>4813</v>
      </c>
      <c r="G2910" s="17">
        <f>MATCH(E2910,Arenas!$F$8:$F$15)</f>
        <v>7</v>
      </c>
      <c r="H2910" s="29" t="s">
        <v>4280</v>
      </c>
      <c r="I2910" s="33" t="s">
        <v>10407</v>
      </c>
      <c r="J2910" s="47" t="s">
        <v>10408</v>
      </c>
      <c r="K2910" s="61" t="s">
        <v>4779</v>
      </c>
      <c r="L2910" s="12" t="str">
        <f t="shared" si="135"/>
        <v>4,4,4</v>
      </c>
    </row>
    <row r="2911" spans="2:12">
      <c r="B2911" s="17">
        <v>3210</v>
      </c>
      <c r="C2911" s="17">
        <v>4</v>
      </c>
      <c r="D2911" s="17">
        <f t="shared" si="137"/>
        <v>0</v>
      </c>
      <c r="E2911" s="17">
        <f t="shared" si="136"/>
        <v>2117</v>
      </c>
      <c r="F2911" s="17" t="s">
        <v>4813</v>
      </c>
      <c r="G2911" s="17">
        <f>MATCH(E2911,Arenas!$F$8:$F$15)</f>
        <v>7</v>
      </c>
      <c r="H2911" s="29" t="s">
        <v>4281</v>
      </c>
      <c r="I2911" s="33" t="s">
        <v>10409</v>
      </c>
      <c r="J2911" s="47" t="s">
        <v>10410</v>
      </c>
      <c r="K2911" s="61" t="s">
        <v>4779</v>
      </c>
      <c r="L2911" s="12" t="str">
        <f t="shared" si="135"/>
        <v>4,4,4</v>
      </c>
    </row>
    <row r="2912" spans="2:12">
      <c r="B2912" s="17">
        <v>3211</v>
      </c>
      <c r="C2912" s="17">
        <v>4</v>
      </c>
      <c r="D2912" s="17">
        <f t="shared" si="137"/>
        <v>1</v>
      </c>
      <c r="E2912" s="17">
        <f t="shared" si="136"/>
        <v>2118</v>
      </c>
      <c r="F2912" s="17" t="s">
        <v>4813</v>
      </c>
      <c r="G2912" s="17">
        <f>MATCH(E2912,Arenas!$F$8:$F$15)</f>
        <v>7</v>
      </c>
      <c r="H2912" s="29" t="s">
        <v>4282</v>
      </c>
      <c r="I2912" s="33" t="s">
        <v>10411</v>
      </c>
      <c r="J2912" s="47" t="s">
        <v>10412</v>
      </c>
      <c r="K2912" s="61" t="s">
        <v>4779</v>
      </c>
      <c r="L2912" s="12" t="str">
        <f t="shared" si="135"/>
        <v>4,4,4</v>
      </c>
    </row>
    <row r="2913" spans="2:12">
      <c r="B2913" s="17">
        <v>3212</v>
      </c>
      <c r="C2913" s="17">
        <v>4</v>
      </c>
      <c r="D2913" s="17">
        <f t="shared" si="137"/>
        <v>0</v>
      </c>
      <c r="E2913" s="17">
        <f t="shared" si="136"/>
        <v>2118</v>
      </c>
      <c r="F2913" s="17" t="s">
        <v>4813</v>
      </c>
      <c r="G2913" s="17">
        <f>MATCH(E2913,Arenas!$F$8:$F$15)</f>
        <v>7</v>
      </c>
      <c r="H2913" s="29" t="s">
        <v>4283</v>
      </c>
      <c r="I2913" s="33" t="s">
        <v>10413</v>
      </c>
      <c r="J2913" s="47" t="s">
        <v>4994</v>
      </c>
      <c r="K2913" s="61" t="s">
        <v>4779</v>
      </c>
      <c r="L2913" s="12" t="str">
        <f t="shared" si="135"/>
        <v>4,4,4</v>
      </c>
    </row>
    <row r="2914" spans="2:12">
      <c r="B2914" s="17">
        <v>3213</v>
      </c>
      <c r="C2914" s="17">
        <v>4</v>
      </c>
      <c r="D2914" s="17">
        <f t="shared" si="137"/>
        <v>0</v>
      </c>
      <c r="E2914" s="17">
        <f t="shared" si="136"/>
        <v>2118</v>
      </c>
      <c r="F2914" s="17" t="s">
        <v>4813</v>
      </c>
      <c r="G2914" s="17">
        <f>MATCH(E2914,Arenas!$F$8:$F$15)</f>
        <v>7</v>
      </c>
      <c r="H2914" s="29" t="s">
        <v>4284</v>
      </c>
      <c r="I2914" s="33" t="s">
        <v>10414</v>
      </c>
      <c r="J2914" s="47" t="s">
        <v>10415</v>
      </c>
      <c r="K2914" s="61" t="s">
        <v>4779</v>
      </c>
      <c r="L2914" s="12" t="str">
        <f t="shared" si="135"/>
        <v>4,4,4</v>
      </c>
    </row>
    <row r="2915" spans="2:12">
      <c r="B2915" s="17">
        <v>3214</v>
      </c>
      <c r="C2915" s="17">
        <v>4</v>
      </c>
      <c r="D2915" s="17">
        <f t="shared" si="137"/>
        <v>1</v>
      </c>
      <c r="E2915" s="17">
        <f t="shared" si="136"/>
        <v>2119</v>
      </c>
      <c r="F2915" s="17" t="s">
        <v>4813</v>
      </c>
      <c r="G2915" s="17">
        <f>MATCH(E2915,Arenas!$F$8:$F$15)</f>
        <v>7</v>
      </c>
      <c r="H2915" s="29" t="s">
        <v>4285</v>
      </c>
      <c r="I2915" s="33" t="s">
        <v>10416</v>
      </c>
      <c r="J2915" s="47" t="s">
        <v>10417</v>
      </c>
      <c r="K2915" s="61" t="s">
        <v>4779</v>
      </c>
      <c r="L2915" s="12" t="str">
        <f t="shared" si="135"/>
        <v>4,4,4</v>
      </c>
    </row>
    <row r="2916" spans="2:12">
      <c r="B2916" s="17">
        <v>3215</v>
      </c>
      <c r="C2916" s="17">
        <v>4</v>
      </c>
      <c r="D2916" s="17">
        <f t="shared" si="137"/>
        <v>0</v>
      </c>
      <c r="E2916" s="17">
        <f t="shared" si="136"/>
        <v>2119</v>
      </c>
      <c r="F2916" s="17" t="s">
        <v>4813</v>
      </c>
      <c r="G2916" s="17">
        <f>MATCH(E2916,Arenas!$F$8:$F$15)</f>
        <v>7</v>
      </c>
      <c r="H2916" s="29" t="s">
        <v>4286</v>
      </c>
      <c r="I2916" s="33" t="s">
        <v>10418</v>
      </c>
      <c r="J2916" s="47" t="s">
        <v>10419</v>
      </c>
      <c r="K2916" s="61" t="s">
        <v>4810</v>
      </c>
      <c r="L2916" s="12" t="str">
        <f t="shared" si="135"/>
        <v>4,4,4</v>
      </c>
    </row>
    <row r="2917" spans="2:12">
      <c r="B2917" s="17">
        <v>3216</v>
      </c>
      <c r="C2917" s="17">
        <v>4</v>
      </c>
      <c r="D2917" s="17">
        <f t="shared" si="137"/>
        <v>0</v>
      </c>
      <c r="E2917" s="17">
        <f t="shared" si="136"/>
        <v>2119</v>
      </c>
      <c r="F2917" s="17" t="s">
        <v>4813</v>
      </c>
      <c r="G2917" s="17">
        <f>MATCH(E2917,Arenas!$F$8:$F$15)</f>
        <v>7</v>
      </c>
      <c r="H2917" s="29" t="s">
        <v>4287</v>
      </c>
      <c r="I2917" s="33" t="s">
        <v>10420</v>
      </c>
      <c r="J2917" s="47" t="s">
        <v>10421</v>
      </c>
      <c r="K2917" s="61" t="s">
        <v>4779</v>
      </c>
      <c r="L2917" s="12" t="str">
        <f t="shared" si="135"/>
        <v>4,4,4</v>
      </c>
    </row>
    <row r="2918" spans="2:12">
      <c r="B2918" s="17">
        <v>3217</v>
      </c>
      <c r="C2918" s="17">
        <v>4</v>
      </c>
      <c r="D2918" s="17">
        <f t="shared" si="137"/>
        <v>1</v>
      </c>
      <c r="E2918" s="17">
        <f t="shared" si="136"/>
        <v>2120</v>
      </c>
      <c r="F2918" s="17" t="s">
        <v>4813</v>
      </c>
      <c r="G2918" s="17">
        <f>MATCH(E2918,Arenas!$F$8:$F$15)</f>
        <v>7</v>
      </c>
      <c r="H2918" s="29" t="s">
        <v>4288</v>
      </c>
      <c r="I2918" s="33" t="s">
        <v>10422</v>
      </c>
      <c r="J2918" s="47" t="s">
        <v>10423</v>
      </c>
      <c r="K2918" s="61" t="s">
        <v>4779</v>
      </c>
      <c r="L2918" s="12" t="str">
        <f t="shared" si="135"/>
        <v>4,4,4</v>
      </c>
    </row>
    <row r="2919" spans="2:12">
      <c r="B2919" s="17">
        <v>3218</v>
      </c>
      <c r="C2919" s="17">
        <v>4</v>
      </c>
      <c r="D2919" s="17">
        <f t="shared" si="137"/>
        <v>0</v>
      </c>
      <c r="E2919" s="17">
        <f t="shared" si="136"/>
        <v>2120</v>
      </c>
      <c r="F2919" s="17" t="s">
        <v>4813</v>
      </c>
      <c r="G2919" s="17">
        <f>MATCH(E2919,Arenas!$F$8:$F$15)</f>
        <v>7</v>
      </c>
      <c r="H2919" s="29" t="s">
        <v>4289</v>
      </c>
      <c r="I2919" s="33" t="s">
        <v>10424</v>
      </c>
      <c r="J2919" s="47" t="s">
        <v>10425</v>
      </c>
      <c r="K2919" s="61" t="s">
        <v>4779</v>
      </c>
      <c r="L2919" s="12" t="str">
        <f t="shared" si="135"/>
        <v>4,4,4</v>
      </c>
    </row>
    <row r="2920" spans="2:12">
      <c r="B2920" s="17">
        <v>3219</v>
      </c>
      <c r="C2920" s="17">
        <v>4</v>
      </c>
      <c r="D2920" s="17">
        <f t="shared" si="137"/>
        <v>0</v>
      </c>
      <c r="E2920" s="17">
        <f t="shared" si="136"/>
        <v>2120</v>
      </c>
      <c r="F2920" s="17" t="s">
        <v>4813</v>
      </c>
      <c r="G2920" s="17">
        <f>MATCH(E2920,Arenas!$F$8:$F$15)</f>
        <v>7</v>
      </c>
      <c r="H2920" s="29" t="s">
        <v>4290</v>
      </c>
      <c r="I2920" s="33" t="s">
        <v>10426</v>
      </c>
      <c r="J2920" s="47" t="s">
        <v>10427</v>
      </c>
      <c r="K2920" s="61" t="s">
        <v>4779</v>
      </c>
      <c r="L2920" s="12" t="str">
        <f t="shared" si="135"/>
        <v>4,4,4</v>
      </c>
    </row>
    <row r="2921" spans="2:12">
      <c r="B2921" s="17">
        <v>3220</v>
      </c>
      <c r="C2921" s="17">
        <v>4</v>
      </c>
      <c r="D2921" s="17">
        <f t="shared" si="137"/>
        <v>1</v>
      </c>
      <c r="E2921" s="17">
        <f t="shared" si="136"/>
        <v>2121</v>
      </c>
      <c r="F2921" s="17" t="s">
        <v>4813</v>
      </c>
      <c r="G2921" s="17">
        <f>MATCH(E2921,Arenas!$F$8:$F$15)</f>
        <v>7</v>
      </c>
      <c r="H2921" s="29" t="s">
        <v>4291</v>
      </c>
      <c r="I2921" s="33" t="s">
        <v>10428</v>
      </c>
      <c r="J2921" s="47" t="s">
        <v>10429</v>
      </c>
      <c r="K2921" s="61" t="s">
        <v>4779</v>
      </c>
      <c r="L2921" s="12" t="str">
        <f t="shared" si="135"/>
        <v>4,4,4</v>
      </c>
    </row>
    <row r="2922" spans="2:12">
      <c r="B2922" s="17">
        <v>3221</v>
      </c>
      <c r="C2922" s="17">
        <v>4</v>
      </c>
      <c r="D2922" s="17">
        <f t="shared" si="137"/>
        <v>0</v>
      </c>
      <c r="E2922" s="17">
        <f t="shared" si="136"/>
        <v>2121</v>
      </c>
      <c r="F2922" s="17" t="s">
        <v>4813</v>
      </c>
      <c r="G2922" s="17">
        <f>MATCH(E2922,Arenas!$F$8:$F$15)</f>
        <v>7</v>
      </c>
      <c r="H2922" s="29" t="s">
        <v>4292</v>
      </c>
      <c r="I2922" s="33" t="s">
        <v>10430</v>
      </c>
      <c r="J2922" s="47" t="s">
        <v>10431</v>
      </c>
      <c r="K2922" s="61" t="s">
        <v>4779</v>
      </c>
      <c r="L2922" s="12" t="str">
        <f t="shared" si="135"/>
        <v>4,4,4</v>
      </c>
    </row>
    <row r="2923" spans="2:12">
      <c r="B2923" s="17">
        <v>3222</v>
      </c>
      <c r="C2923" s="17">
        <v>4</v>
      </c>
      <c r="D2923" s="17">
        <f t="shared" si="137"/>
        <v>0</v>
      </c>
      <c r="E2923" s="17">
        <f t="shared" si="136"/>
        <v>2121</v>
      </c>
      <c r="F2923" s="17" t="s">
        <v>4813</v>
      </c>
      <c r="G2923" s="17">
        <f>MATCH(E2923,Arenas!$F$8:$F$15)</f>
        <v>7</v>
      </c>
      <c r="H2923" s="29" t="s">
        <v>4293</v>
      </c>
      <c r="I2923" s="33" t="s">
        <v>10432</v>
      </c>
      <c r="J2923" s="47" t="s">
        <v>10433</v>
      </c>
      <c r="K2923" s="61" t="s">
        <v>4779</v>
      </c>
      <c r="L2923" s="12" t="str">
        <f t="shared" si="135"/>
        <v>4,4,4</v>
      </c>
    </row>
    <row r="2924" spans="2:12">
      <c r="B2924" s="17">
        <v>3223</v>
      </c>
      <c r="C2924" s="17">
        <v>4</v>
      </c>
      <c r="D2924" s="17">
        <f t="shared" si="137"/>
        <v>1</v>
      </c>
      <c r="E2924" s="17">
        <f t="shared" si="136"/>
        <v>2122</v>
      </c>
      <c r="F2924" s="17" t="s">
        <v>4813</v>
      </c>
      <c r="G2924" s="17">
        <f>MATCH(E2924,Arenas!$F$8:$F$15)</f>
        <v>7</v>
      </c>
      <c r="H2924" s="29" t="s">
        <v>4294</v>
      </c>
      <c r="I2924" s="33" t="s">
        <v>10434</v>
      </c>
      <c r="J2924" s="47" t="s">
        <v>10435</v>
      </c>
      <c r="K2924" s="61" t="s">
        <v>4779</v>
      </c>
      <c r="L2924" s="12" t="str">
        <f t="shared" si="135"/>
        <v>4,4,4</v>
      </c>
    </row>
    <row r="2925" spans="2:12">
      <c r="B2925" s="17">
        <v>3224</v>
      </c>
      <c r="C2925" s="17">
        <v>4</v>
      </c>
      <c r="D2925" s="17">
        <f t="shared" si="137"/>
        <v>0</v>
      </c>
      <c r="E2925" s="17">
        <f t="shared" si="136"/>
        <v>2122</v>
      </c>
      <c r="F2925" s="17" t="s">
        <v>4813</v>
      </c>
      <c r="G2925" s="17">
        <f>MATCH(E2925,Arenas!$F$8:$F$15)</f>
        <v>7</v>
      </c>
      <c r="H2925" s="29" t="s">
        <v>4295</v>
      </c>
      <c r="I2925" s="33" t="s">
        <v>10436</v>
      </c>
      <c r="J2925" s="47" t="s">
        <v>10437</v>
      </c>
      <c r="K2925" s="61" t="s">
        <v>4806</v>
      </c>
      <c r="L2925" s="12" t="str">
        <f t="shared" si="135"/>
        <v>4,4,4</v>
      </c>
    </row>
    <row r="2926" spans="2:12">
      <c r="B2926" s="17">
        <v>3225</v>
      </c>
      <c r="C2926" s="17">
        <v>4</v>
      </c>
      <c r="D2926" s="17">
        <f t="shared" si="137"/>
        <v>0</v>
      </c>
      <c r="E2926" s="17">
        <f t="shared" si="136"/>
        <v>2122</v>
      </c>
      <c r="F2926" s="17" t="s">
        <v>4813</v>
      </c>
      <c r="G2926" s="17">
        <f>MATCH(E2926,Arenas!$F$8:$F$15)</f>
        <v>7</v>
      </c>
      <c r="H2926" s="29" t="s">
        <v>4296</v>
      </c>
      <c r="I2926" s="33" t="s">
        <v>10438</v>
      </c>
      <c r="J2926" s="47" t="s">
        <v>5933</v>
      </c>
      <c r="K2926" s="61" t="s">
        <v>4779</v>
      </c>
      <c r="L2926" s="12" t="str">
        <f t="shared" si="135"/>
        <v>4,4,4</v>
      </c>
    </row>
    <row r="2927" spans="2:12">
      <c r="B2927" s="17">
        <v>3226</v>
      </c>
      <c r="C2927" s="17">
        <v>4</v>
      </c>
      <c r="D2927" s="17">
        <f t="shared" si="137"/>
        <v>1</v>
      </c>
      <c r="E2927" s="17">
        <f t="shared" si="136"/>
        <v>2123</v>
      </c>
      <c r="F2927" s="17" t="s">
        <v>4813</v>
      </c>
      <c r="G2927" s="17">
        <f>MATCH(E2927,Arenas!$F$8:$F$15)</f>
        <v>7</v>
      </c>
      <c r="H2927" s="29" t="s">
        <v>4297</v>
      </c>
      <c r="I2927" s="33" t="s">
        <v>10439</v>
      </c>
      <c r="J2927" s="47" t="s">
        <v>10440</v>
      </c>
      <c r="K2927" s="61" t="s">
        <v>4779</v>
      </c>
      <c r="L2927" s="12" t="str">
        <f t="shared" si="135"/>
        <v>4,4,4</v>
      </c>
    </row>
    <row r="2928" spans="2:12">
      <c r="B2928" s="17">
        <v>3227</v>
      </c>
      <c r="C2928" s="17">
        <v>4</v>
      </c>
      <c r="D2928" s="17">
        <f t="shared" si="137"/>
        <v>0</v>
      </c>
      <c r="E2928" s="17">
        <f t="shared" si="136"/>
        <v>2123</v>
      </c>
      <c r="F2928" s="17" t="s">
        <v>4813</v>
      </c>
      <c r="G2928" s="17">
        <f>MATCH(E2928,Arenas!$F$8:$F$15)</f>
        <v>7</v>
      </c>
      <c r="H2928" s="29" t="s">
        <v>4298</v>
      </c>
      <c r="I2928" s="33" t="s">
        <v>10441</v>
      </c>
      <c r="J2928" s="47" t="s">
        <v>10442</v>
      </c>
      <c r="K2928" s="61" t="s">
        <v>4779</v>
      </c>
      <c r="L2928" s="12" t="str">
        <f t="shared" si="135"/>
        <v>4,4,4</v>
      </c>
    </row>
    <row r="2929" spans="2:12">
      <c r="B2929" s="17">
        <v>3228</v>
      </c>
      <c r="C2929" s="17">
        <v>4</v>
      </c>
      <c r="D2929" s="17">
        <f t="shared" si="137"/>
        <v>0</v>
      </c>
      <c r="E2929" s="17">
        <f t="shared" si="136"/>
        <v>2123</v>
      </c>
      <c r="F2929" s="17" t="s">
        <v>4813</v>
      </c>
      <c r="G2929" s="17">
        <f>MATCH(E2929,Arenas!$F$8:$F$15)</f>
        <v>7</v>
      </c>
      <c r="H2929" s="29" t="s">
        <v>4299</v>
      </c>
      <c r="I2929" s="33" t="s">
        <v>10443</v>
      </c>
      <c r="J2929" s="47" t="s">
        <v>10444</v>
      </c>
      <c r="K2929" s="61" t="s">
        <v>4779</v>
      </c>
      <c r="L2929" s="12" t="str">
        <f t="shared" si="135"/>
        <v>4,4,4</v>
      </c>
    </row>
    <row r="2930" spans="2:12">
      <c r="B2930" s="17">
        <v>3229</v>
      </c>
      <c r="C2930" s="17">
        <v>4</v>
      </c>
      <c r="D2930" s="17">
        <f t="shared" si="137"/>
        <v>1</v>
      </c>
      <c r="E2930" s="17">
        <f t="shared" si="136"/>
        <v>2124</v>
      </c>
      <c r="F2930" s="17" t="s">
        <v>4813</v>
      </c>
      <c r="G2930" s="17">
        <f>MATCH(E2930,Arenas!$F$8:$F$15)</f>
        <v>7</v>
      </c>
      <c r="H2930" s="29" t="s">
        <v>4300</v>
      </c>
      <c r="I2930" s="33" t="s">
        <v>10445</v>
      </c>
      <c r="J2930" s="47" t="s">
        <v>5162</v>
      </c>
      <c r="K2930" s="61" t="s">
        <v>4808</v>
      </c>
      <c r="L2930" s="12" t="str">
        <f t="shared" si="135"/>
        <v>4,4,4</v>
      </c>
    </row>
    <row r="2931" spans="2:12">
      <c r="B2931" s="17">
        <v>3230</v>
      </c>
      <c r="C2931" s="17">
        <v>4</v>
      </c>
      <c r="D2931" s="17">
        <f t="shared" si="137"/>
        <v>0</v>
      </c>
      <c r="E2931" s="17">
        <f t="shared" si="136"/>
        <v>2124</v>
      </c>
      <c r="F2931" s="17" t="s">
        <v>4813</v>
      </c>
      <c r="G2931" s="17">
        <f>MATCH(E2931,Arenas!$F$8:$F$15)</f>
        <v>7</v>
      </c>
      <c r="H2931" s="29" t="s">
        <v>4301</v>
      </c>
      <c r="I2931" s="33" t="s">
        <v>10446</v>
      </c>
      <c r="J2931" s="47" t="s">
        <v>10447</v>
      </c>
      <c r="K2931" s="61" t="s">
        <v>4810</v>
      </c>
      <c r="L2931" s="12" t="str">
        <f t="shared" si="135"/>
        <v>4,4,4</v>
      </c>
    </row>
    <row r="2932" spans="2:12">
      <c r="B2932" s="17">
        <v>3231</v>
      </c>
      <c r="C2932" s="17">
        <v>4</v>
      </c>
      <c r="D2932" s="17">
        <f t="shared" si="137"/>
        <v>0</v>
      </c>
      <c r="E2932" s="17">
        <f t="shared" si="136"/>
        <v>2124</v>
      </c>
      <c r="F2932" s="17" t="s">
        <v>4813</v>
      </c>
      <c r="G2932" s="17">
        <f>MATCH(E2932,Arenas!$F$8:$F$15)</f>
        <v>7</v>
      </c>
      <c r="H2932" s="29" t="s">
        <v>4302</v>
      </c>
      <c r="I2932" s="33" t="s">
        <v>10448</v>
      </c>
      <c r="J2932" s="47" t="s">
        <v>10449</v>
      </c>
      <c r="K2932" s="61" t="s">
        <v>4779</v>
      </c>
      <c r="L2932" s="12" t="str">
        <f t="shared" si="135"/>
        <v>4,4,4</v>
      </c>
    </row>
    <row r="2933" spans="2:12">
      <c r="B2933" s="17">
        <v>3232</v>
      </c>
      <c r="C2933" s="17">
        <v>4</v>
      </c>
      <c r="D2933" s="17">
        <f t="shared" si="137"/>
        <v>1</v>
      </c>
      <c r="E2933" s="17">
        <f t="shared" si="136"/>
        <v>2125</v>
      </c>
      <c r="F2933" s="17" t="s">
        <v>4813</v>
      </c>
      <c r="G2933" s="17">
        <f>MATCH(E2933,Arenas!$F$8:$F$15)</f>
        <v>7</v>
      </c>
      <c r="H2933" s="29" t="s">
        <v>4303</v>
      </c>
      <c r="I2933" s="33" t="s">
        <v>10450</v>
      </c>
      <c r="J2933" s="47" t="s">
        <v>10451</v>
      </c>
      <c r="K2933" s="61" t="s">
        <v>4779</v>
      </c>
      <c r="L2933" s="12" t="str">
        <f t="shared" si="135"/>
        <v>4,4,4</v>
      </c>
    </row>
    <row r="2934" spans="2:12">
      <c r="B2934" s="17">
        <v>3233</v>
      </c>
      <c r="C2934" s="17">
        <v>4</v>
      </c>
      <c r="D2934" s="17">
        <f t="shared" si="137"/>
        <v>0</v>
      </c>
      <c r="E2934" s="17">
        <f t="shared" si="136"/>
        <v>2125</v>
      </c>
      <c r="F2934" s="17" t="s">
        <v>4813</v>
      </c>
      <c r="G2934" s="17">
        <f>MATCH(E2934,Arenas!$F$8:$F$15)</f>
        <v>7</v>
      </c>
      <c r="H2934" s="29" t="s">
        <v>4304</v>
      </c>
      <c r="I2934" s="33" t="s">
        <v>10452</v>
      </c>
      <c r="J2934" s="47" t="s">
        <v>10453</v>
      </c>
      <c r="K2934" s="61" t="s">
        <v>4779</v>
      </c>
      <c r="L2934" s="12" t="str">
        <f t="shared" si="135"/>
        <v>4,4,4</v>
      </c>
    </row>
    <row r="2935" spans="2:12">
      <c r="B2935" s="17">
        <v>3234</v>
      </c>
      <c r="C2935" s="17">
        <v>4</v>
      </c>
      <c r="D2935" s="17">
        <f t="shared" si="137"/>
        <v>0</v>
      </c>
      <c r="E2935" s="17">
        <f t="shared" si="136"/>
        <v>2125</v>
      </c>
      <c r="F2935" s="17" t="s">
        <v>4813</v>
      </c>
      <c r="G2935" s="17">
        <f>MATCH(E2935,Arenas!$F$8:$F$15)</f>
        <v>7</v>
      </c>
      <c r="H2935" s="29" t="s">
        <v>4305</v>
      </c>
      <c r="I2935" s="33" t="s">
        <v>10454</v>
      </c>
      <c r="J2935" s="47" t="s">
        <v>10455</v>
      </c>
      <c r="K2935" s="61" t="s">
        <v>4779</v>
      </c>
      <c r="L2935" s="12" t="str">
        <f t="shared" si="135"/>
        <v>4,4,4</v>
      </c>
    </row>
    <row r="2936" spans="2:12">
      <c r="B2936" s="17">
        <v>3235</v>
      </c>
      <c r="C2936" s="17">
        <v>4</v>
      </c>
      <c r="D2936" s="17">
        <f t="shared" si="137"/>
        <v>1</v>
      </c>
      <c r="E2936" s="17">
        <f t="shared" si="136"/>
        <v>2126</v>
      </c>
      <c r="F2936" s="17" t="s">
        <v>4813</v>
      </c>
      <c r="G2936" s="17">
        <f>MATCH(E2936,Arenas!$F$8:$F$15)</f>
        <v>7</v>
      </c>
      <c r="H2936" s="29" t="s">
        <v>4306</v>
      </c>
      <c r="I2936" s="33" t="s">
        <v>10456</v>
      </c>
      <c r="J2936" s="47" t="s">
        <v>10457</v>
      </c>
      <c r="K2936" s="61" t="s">
        <v>4779</v>
      </c>
      <c r="L2936" s="12" t="str">
        <f t="shared" si="135"/>
        <v>4,4,4</v>
      </c>
    </row>
    <row r="2937" spans="2:12">
      <c r="B2937" s="17">
        <v>3236</v>
      </c>
      <c r="C2937" s="17">
        <v>4</v>
      </c>
      <c r="D2937" s="17">
        <f t="shared" si="137"/>
        <v>0</v>
      </c>
      <c r="E2937" s="17">
        <f t="shared" si="136"/>
        <v>2126</v>
      </c>
      <c r="F2937" s="17" t="s">
        <v>4813</v>
      </c>
      <c r="G2937" s="17">
        <f>MATCH(E2937,Arenas!$F$8:$F$15)</f>
        <v>7</v>
      </c>
      <c r="H2937" s="29" t="s">
        <v>4307</v>
      </c>
      <c r="I2937" s="33" t="s">
        <v>10458</v>
      </c>
      <c r="J2937" s="47" t="s">
        <v>10459</v>
      </c>
      <c r="K2937" s="61" t="s">
        <v>4779</v>
      </c>
      <c r="L2937" s="12" t="str">
        <f t="shared" si="135"/>
        <v>4,4,4</v>
      </c>
    </row>
    <row r="2938" spans="2:12">
      <c r="B2938" s="17">
        <v>3237</v>
      </c>
      <c r="C2938" s="17">
        <v>4</v>
      </c>
      <c r="D2938" s="17">
        <f t="shared" si="137"/>
        <v>0</v>
      </c>
      <c r="E2938" s="17">
        <f t="shared" si="136"/>
        <v>2126</v>
      </c>
      <c r="F2938" s="17" t="s">
        <v>4813</v>
      </c>
      <c r="G2938" s="17">
        <f>MATCH(E2938,Arenas!$F$8:$F$15)</f>
        <v>7</v>
      </c>
      <c r="H2938" s="29" t="s">
        <v>4308</v>
      </c>
      <c r="I2938" s="33" t="s">
        <v>10460</v>
      </c>
      <c r="J2938" s="47" t="s">
        <v>10461</v>
      </c>
      <c r="K2938" s="61" t="s">
        <v>4806</v>
      </c>
      <c r="L2938" s="12" t="str">
        <f t="shared" si="135"/>
        <v>4,4,4</v>
      </c>
    </row>
    <row r="2939" spans="2:12">
      <c r="B2939" s="17">
        <v>3238</v>
      </c>
      <c r="C2939" s="17">
        <v>4</v>
      </c>
      <c r="D2939" s="17">
        <f t="shared" si="137"/>
        <v>1</v>
      </c>
      <c r="E2939" s="17">
        <f t="shared" si="136"/>
        <v>2127</v>
      </c>
      <c r="F2939" s="17" t="s">
        <v>4813</v>
      </c>
      <c r="G2939" s="17">
        <f>MATCH(E2939,Arenas!$F$8:$F$15)</f>
        <v>7</v>
      </c>
      <c r="H2939" s="29" t="s">
        <v>4309</v>
      </c>
      <c r="I2939" s="33" t="s">
        <v>10462</v>
      </c>
      <c r="J2939" s="47" t="s">
        <v>10463</v>
      </c>
      <c r="K2939" s="61" t="s">
        <v>4779</v>
      </c>
      <c r="L2939" s="12" t="str">
        <f t="shared" si="135"/>
        <v>4,4,4</v>
      </c>
    </row>
    <row r="2940" spans="2:12">
      <c r="B2940" s="17">
        <v>3239</v>
      </c>
      <c r="C2940" s="17">
        <v>4</v>
      </c>
      <c r="D2940" s="17">
        <f t="shared" si="137"/>
        <v>0</v>
      </c>
      <c r="E2940" s="17">
        <f t="shared" si="136"/>
        <v>2127</v>
      </c>
      <c r="F2940" s="17" t="s">
        <v>4813</v>
      </c>
      <c r="G2940" s="17">
        <f>MATCH(E2940,Arenas!$F$8:$F$15)</f>
        <v>7</v>
      </c>
      <c r="H2940" s="29" t="s">
        <v>4310</v>
      </c>
      <c r="I2940" s="33" t="s">
        <v>10464</v>
      </c>
      <c r="J2940" s="47" t="s">
        <v>10465</v>
      </c>
      <c r="K2940" s="61" t="s">
        <v>4779</v>
      </c>
      <c r="L2940" s="12" t="str">
        <f t="shared" si="135"/>
        <v>4,4,4</v>
      </c>
    </row>
    <row r="2941" spans="2:12">
      <c r="B2941" s="17">
        <v>3240</v>
      </c>
      <c r="C2941" s="17">
        <v>4</v>
      </c>
      <c r="D2941" s="17">
        <f t="shared" si="137"/>
        <v>0</v>
      </c>
      <c r="E2941" s="17">
        <f t="shared" si="136"/>
        <v>2127</v>
      </c>
      <c r="F2941" s="17" t="s">
        <v>4813</v>
      </c>
      <c r="G2941" s="17">
        <f>MATCH(E2941,Arenas!$F$8:$F$15)</f>
        <v>7</v>
      </c>
      <c r="H2941" s="29" t="s">
        <v>4311</v>
      </c>
      <c r="I2941" s="33" t="s">
        <v>10466</v>
      </c>
      <c r="J2941" s="47" t="s">
        <v>10467</v>
      </c>
      <c r="K2941" s="61" t="s">
        <v>4779</v>
      </c>
      <c r="L2941" s="12" t="str">
        <f t="shared" si="135"/>
        <v>4,4,4</v>
      </c>
    </row>
    <row r="2942" spans="2:12">
      <c r="B2942" s="17">
        <v>3241</v>
      </c>
      <c r="C2942" s="17">
        <v>4</v>
      </c>
      <c r="D2942" s="17">
        <f t="shared" si="137"/>
        <v>1</v>
      </c>
      <c r="E2942" s="17">
        <f t="shared" si="136"/>
        <v>2128</v>
      </c>
      <c r="F2942" s="17" t="s">
        <v>4813</v>
      </c>
      <c r="G2942" s="17">
        <f>MATCH(E2942,Arenas!$F$8:$F$15)</f>
        <v>7</v>
      </c>
      <c r="H2942" s="29" t="s">
        <v>4312</v>
      </c>
      <c r="I2942" s="33" t="s">
        <v>10468</v>
      </c>
      <c r="J2942" s="47" t="s">
        <v>10469</v>
      </c>
      <c r="K2942" s="61" t="s">
        <v>4779</v>
      </c>
      <c r="L2942" s="12" t="str">
        <f t="shared" si="135"/>
        <v>4,4,4</v>
      </c>
    </row>
    <row r="2943" spans="2:12">
      <c r="B2943" s="17">
        <v>3242</v>
      </c>
      <c r="C2943" s="17">
        <v>4</v>
      </c>
      <c r="D2943" s="17">
        <f t="shared" si="137"/>
        <v>0</v>
      </c>
      <c r="E2943" s="17">
        <f t="shared" si="136"/>
        <v>2128</v>
      </c>
      <c r="F2943" s="17" t="s">
        <v>4813</v>
      </c>
      <c r="G2943" s="17">
        <f>MATCH(E2943,Arenas!$F$8:$F$15)</f>
        <v>7</v>
      </c>
      <c r="H2943" s="29" t="s">
        <v>4313</v>
      </c>
      <c r="I2943" s="33" t="s">
        <v>10470</v>
      </c>
      <c r="J2943" s="47" t="s">
        <v>10471</v>
      </c>
      <c r="K2943" s="61" t="s">
        <v>4779</v>
      </c>
      <c r="L2943" s="12" t="str">
        <f t="shared" si="135"/>
        <v>4,4,4</v>
      </c>
    </row>
    <row r="2944" spans="2:12">
      <c r="B2944" s="17">
        <v>3243</v>
      </c>
      <c r="C2944" s="17">
        <v>4</v>
      </c>
      <c r="D2944" s="17">
        <f t="shared" si="137"/>
        <v>0</v>
      </c>
      <c r="E2944" s="17">
        <f t="shared" si="136"/>
        <v>2128</v>
      </c>
      <c r="F2944" s="17" t="s">
        <v>4813</v>
      </c>
      <c r="G2944" s="17">
        <f>MATCH(E2944,Arenas!$F$8:$F$15)</f>
        <v>7</v>
      </c>
      <c r="H2944" s="29" t="s">
        <v>4314</v>
      </c>
      <c r="I2944" s="33" t="s">
        <v>10472</v>
      </c>
      <c r="J2944" s="47" t="s">
        <v>5915</v>
      </c>
      <c r="K2944" s="61" t="s">
        <v>4779</v>
      </c>
      <c r="L2944" s="12" t="str">
        <f t="shared" si="135"/>
        <v>4,4,4</v>
      </c>
    </row>
    <row r="2945" spans="2:12">
      <c r="B2945" s="17">
        <v>3244</v>
      </c>
      <c r="C2945" s="17">
        <v>4</v>
      </c>
      <c r="D2945" s="17">
        <f t="shared" si="137"/>
        <v>1</v>
      </c>
      <c r="E2945" s="17">
        <f t="shared" si="136"/>
        <v>2129</v>
      </c>
      <c r="F2945" s="17" t="s">
        <v>4813</v>
      </c>
      <c r="G2945" s="17">
        <f>MATCH(E2945,Arenas!$F$8:$F$15)</f>
        <v>7</v>
      </c>
      <c r="H2945" s="29" t="s">
        <v>4315</v>
      </c>
      <c r="I2945" s="33" t="s">
        <v>10473</v>
      </c>
      <c r="J2945" s="47" t="s">
        <v>10474</v>
      </c>
      <c r="K2945" s="61" t="s">
        <v>4810</v>
      </c>
      <c r="L2945" s="12" t="str">
        <f t="shared" si="135"/>
        <v>4,4,4</v>
      </c>
    </row>
    <row r="2946" spans="2:12">
      <c r="B2946" s="17">
        <v>3245</v>
      </c>
      <c r="C2946" s="17">
        <v>4</v>
      </c>
      <c r="D2946" s="17">
        <f t="shared" si="137"/>
        <v>0</v>
      </c>
      <c r="E2946" s="17">
        <f t="shared" si="136"/>
        <v>2129</v>
      </c>
      <c r="F2946" s="17" t="s">
        <v>4813</v>
      </c>
      <c r="G2946" s="17">
        <f>MATCH(E2946,Arenas!$F$8:$F$15)</f>
        <v>7</v>
      </c>
      <c r="H2946" s="29" t="s">
        <v>4316</v>
      </c>
      <c r="I2946" s="33" t="s">
        <v>10475</v>
      </c>
      <c r="J2946" s="47" t="s">
        <v>10476</v>
      </c>
      <c r="K2946" s="61" t="s">
        <v>4779</v>
      </c>
      <c r="L2946" s="12" t="str">
        <f t="shared" ref="L2946:L3009" si="138">C2946&amp;","&amp;C2946&amp;","&amp;C2946</f>
        <v>4,4,4</v>
      </c>
    </row>
    <row r="2947" spans="2:12">
      <c r="B2947" s="17">
        <v>3246</v>
      </c>
      <c r="C2947" s="17">
        <v>4</v>
      </c>
      <c r="D2947" s="17">
        <f t="shared" si="137"/>
        <v>0</v>
      </c>
      <c r="E2947" s="17">
        <f t="shared" ref="E2947:E3010" si="139">D2947+E2946</f>
        <v>2129</v>
      </c>
      <c r="F2947" s="17" t="s">
        <v>4813</v>
      </c>
      <c r="G2947" s="17">
        <f>MATCH(E2947,Arenas!$F$8:$F$15)</f>
        <v>7</v>
      </c>
      <c r="H2947" s="29" t="s">
        <v>4317</v>
      </c>
      <c r="I2947" s="33" t="s">
        <v>10477</v>
      </c>
      <c r="J2947" s="47" t="s">
        <v>10478</v>
      </c>
      <c r="K2947" s="61" t="s">
        <v>4810</v>
      </c>
      <c r="L2947" s="12" t="str">
        <f t="shared" si="138"/>
        <v>4,4,4</v>
      </c>
    </row>
    <row r="2948" spans="2:12">
      <c r="B2948" s="17">
        <v>3247</v>
      </c>
      <c r="C2948" s="17">
        <v>4</v>
      </c>
      <c r="D2948" s="17">
        <f t="shared" si="137"/>
        <v>1</v>
      </c>
      <c r="E2948" s="17">
        <f t="shared" si="139"/>
        <v>2130</v>
      </c>
      <c r="F2948" s="17" t="s">
        <v>4813</v>
      </c>
      <c r="G2948" s="17">
        <f>MATCH(E2948,Arenas!$F$8:$F$15)</f>
        <v>7</v>
      </c>
      <c r="H2948" s="29" t="s">
        <v>4318</v>
      </c>
      <c r="I2948" s="33" t="s">
        <v>10479</v>
      </c>
      <c r="J2948" s="47" t="s">
        <v>10480</v>
      </c>
      <c r="K2948" s="61" t="s">
        <v>4779</v>
      </c>
      <c r="L2948" s="12" t="str">
        <f t="shared" si="138"/>
        <v>4,4,4</v>
      </c>
    </row>
    <row r="2949" spans="2:12">
      <c r="B2949" s="17">
        <v>3248</v>
      </c>
      <c r="C2949" s="17">
        <v>4</v>
      </c>
      <c r="D2949" s="17">
        <f t="shared" ref="D2949:D3012" si="140">D2946</f>
        <v>0</v>
      </c>
      <c r="E2949" s="17">
        <f t="shared" si="139"/>
        <v>2130</v>
      </c>
      <c r="F2949" s="17" t="s">
        <v>4813</v>
      </c>
      <c r="G2949" s="17">
        <f>MATCH(E2949,Arenas!$F$8:$F$15)</f>
        <v>7</v>
      </c>
      <c r="H2949" s="29" t="s">
        <v>4319</v>
      </c>
      <c r="I2949" s="33" t="s">
        <v>10481</v>
      </c>
      <c r="J2949" s="47" t="s">
        <v>10482</v>
      </c>
      <c r="K2949" s="61" t="s">
        <v>4779</v>
      </c>
      <c r="L2949" s="12" t="str">
        <f t="shared" si="138"/>
        <v>4,4,4</v>
      </c>
    </row>
    <row r="2950" spans="2:12">
      <c r="B2950" s="17">
        <v>3249</v>
      </c>
      <c r="C2950" s="17">
        <v>4</v>
      </c>
      <c r="D2950" s="17">
        <f t="shared" si="140"/>
        <v>0</v>
      </c>
      <c r="E2950" s="17">
        <f t="shared" si="139"/>
        <v>2130</v>
      </c>
      <c r="F2950" s="17" t="s">
        <v>4813</v>
      </c>
      <c r="G2950" s="17">
        <f>MATCH(E2950,Arenas!$F$8:$F$15)</f>
        <v>7</v>
      </c>
      <c r="H2950" s="29" t="s">
        <v>4320</v>
      </c>
      <c r="I2950" s="33" t="s">
        <v>10483</v>
      </c>
      <c r="J2950" s="47" t="s">
        <v>10484</v>
      </c>
      <c r="K2950" s="61" t="s">
        <v>4779</v>
      </c>
      <c r="L2950" s="12" t="str">
        <f t="shared" si="138"/>
        <v>4,4,4</v>
      </c>
    </row>
    <row r="2951" spans="2:12">
      <c r="B2951" s="17">
        <v>3250</v>
      </c>
      <c r="C2951" s="17">
        <v>4</v>
      </c>
      <c r="D2951" s="17">
        <f t="shared" si="140"/>
        <v>1</v>
      </c>
      <c r="E2951" s="17">
        <f t="shared" si="139"/>
        <v>2131</v>
      </c>
      <c r="F2951" s="17" t="s">
        <v>4813</v>
      </c>
      <c r="G2951" s="17">
        <f>MATCH(E2951,Arenas!$F$8:$F$15)</f>
        <v>7</v>
      </c>
      <c r="H2951" s="29" t="s">
        <v>4321</v>
      </c>
      <c r="I2951" s="33" t="s">
        <v>10485</v>
      </c>
      <c r="J2951" s="47" t="s">
        <v>10486</v>
      </c>
      <c r="K2951" s="61" t="s">
        <v>4779</v>
      </c>
      <c r="L2951" s="12" t="str">
        <f t="shared" si="138"/>
        <v>4,4,4</v>
      </c>
    </row>
    <row r="2952" spans="2:12">
      <c r="B2952" s="17">
        <v>3251</v>
      </c>
      <c r="C2952" s="17">
        <v>4</v>
      </c>
      <c r="D2952" s="17">
        <f t="shared" si="140"/>
        <v>0</v>
      </c>
      <c r="E2952" s="17">
        <f t="shared" si="139"/>
        <v>2131</v>
      </c>
      <c r="F2952" s="17" t="s">
        <v>4813</v>
      </c>
      <c r="G2952" s="17">
        <f>MATCH(E2952,Arenas!$F$8:$F$15)</f>
        <v>7</v>
      </c>
      <c r="H2952" s="29" t="s">
        <v>4322</v>
      </c>
      <c r="I2952" s="33" t="s">
        <v>10487</v>
      </c>
      <c r="J2952" s="47" t="s">
        <v>10488</v>
      </c>
      <c r="K2952" s="61" t="s">
        <v>4779</v>
      </c>
      <c r="L2952" s="12" t="str">
        <f t="shared" si="138"/>
        <v>4,4,4</v>
      </c>
    </row>
    <row r="2953" spans="2:12">
      <c r="B2953" s="17">
        <v>3252</v>
      </c>
      <c r="C2953" s="17">
        <v>4</v>
      </c>
      <c r="D2953" s="17">
        <f t="shared" si="140"/>
        <v>0</v>
      </c>
      <c r="E2953" s="17">
        <f t="shared" si="139"/>
        <v>2131</v>
      </c>
      <c r="F2953" s="17" t="s">
        <v>4813</v>
      </c>
      <c r="G2953" s="17">
        <f>MATCH(E2953,Arenas!$F$8:$F$15)</f>
        <v>7</v>
      </c>
      <c r="H2953" s="29" t="s">
        <v>4323</v>
      </c>
      <c r="I2953" s="33" t="s">
        <v>10489</v>
      </c>
      <c r="J2953" s="47" t="s">
        <v>10490</v>
      </c>
      <c r="K2953" s="61" t="s">
        <v>4779</v>
      </c>
      <c r="L2953" s="12" t="str">
        <f t="shared" si="138"/>
        <v>4,4,4</v>
      </c>
    </row>
    <row r="2954" spans="2:12">
      <c r="B2954" s="17">
        <v>3253</v>
      </c>
      <c r="C2954" s="17">
        <v>4</v>
      </c>
      <c r="D2954" s="17">
        <f t="shared" si="140"/>
        <v>1</v>
      </c>
      <c r="E2954" s="17">
        <f t="shared" si="139"/>
        <v>2132</v>
      </c>
      <c r="F2954" s="17" t="s">
        <v>4813</v>
      </c>
      <c r="G2954" s="17">
        <f>MATCH(E2954,Arenas!$F$8:$F$15)</f>
        <v>7</v>
      </c>
      <c r="H2954" s="29" t="s">
        <v>4324</v>
      </c>
      <c r="I2954" s="33" t="s">
        <v>10491</v>
      </c>
      <c r="J2954" s="47" t="s">
        <v>10492</v>
      </c>
      <c r="K2954" s="61" t="s">
        <v>4779</v>
      </c>
      <c r="L2954" s="12" t="str">
        <f t="shared" si="138"/>
        <v>4,4,4</v>
      </c>
    </row>
    <row r="2955" spans="2:12">
      <c r="B2955" s="17">
        <v>3254</v>
      </c>
      <c r="C2955" s="17">
        <v>4</v>
      </c>
      <c r="D2955" s="17">
        <f t="shared" si="140"/>
        <v>0</v>
      </c>
      <c r="E2955" s="17">
        <f t="shared" si="139"/>
        <v>2132</v>
      </c>
      <c r="F2955" s="17" t="s">
        <v>4813</v>
      </c>
      <c r="G2955" s="17">
        <f>MATCH(E2955,Arenas!$F$8:$F$15)</f>
        <v>7</v>
      </c>
      <c r="H2955" s="29" t="s">
        <v>4325</v>
      </c>
      <c r="I2955" s="33" t="s">
        <v>10493</v>
      </c>
      <c r="J2955" s="47" t="s">
        <v>10494</v>
      </c>
      <c r="K2955" s="61" t="s">
        <v>4779</v>
      </c>
      <c r="L2955" s="12" t="str">
        <f t="shared" si="138"/>
        <v>4,4,4</v>
      </c>
    </row>
    <row r="2956" spans="2:12">
      <c r="B2956" s="17">
        <v>3255</v>
      </c>
      <c r="C2956" s="17">
        <v>4</v>
      </c>
      <c r="D2956" s="17">
        <f t="shared" si="140"/>
        <v>0</v>
      </c>
      <c r="E2956" s="17">
        <f t="shared" si="139"/>
        <v>2132</v>
      </c>
      <c r="F2956" s="17" t="s">
        <v>4813</v>
      </c>
      <c r="G2956" s="17">
        <f>MATCH(E2956,Arenas!$F$8:$F$15)</f>
        <v>7</v>
      </c>
      <c r="H2956" s="29" t="s">
        <v>4326</v>
      </c>
      <c r="I2956" s="33" t="s">
        <v>10495</v>
      </c>
      <c r="J2956" s="47" t="s">
        <v>10496</v>
      </c>
      <c r="K2956" s="61" t="s">
        <v>4779</v>
      </c>
      <c r="L2956" s="12" t="str">
        <f t="shared" si="138"/>
        <v>4,4,4</v>
      </c>
    </row>
    <row r="2957" spans="2:12">
      <c r="B2957" s="17">
        <v>3256</v>
      </c>
      <c r="C2957" s="17">
        <v>4</v>
      </c>
      <c r="D2957" s="17">
        <f t="shared" si="140"/>
        <v>1</v>
      </c>
      <c r="E2957" s="17">
        <f t="shared" si="139"/>
        <v>2133</v>
      </c>
      <c r="F2957" s="17" t="s">
        <v>4813</v>
      </c>
      <c r="G2957" s="17">
        <f>MATCH(E2957,Arenas!$F$8:$F$15)</f>
        <v>7</v>
      </c>
      <c r="H2957" s="29" t="s">
        <v>4327</v>
      </c>
      <c r="I2957" s="33" t="s">
        <v>10497</v>
      </c>
      <c r="J2957" s="47" t="s">
        <v>10498</v>
      </c>
      <c r="K2957" s="61" t="s">
        <v>4779</v>
      </c>
      <c r="L2957" s="12" t="str">
        <f t="shared" si="138"/>
        <v>4,4,4</v>
      </c>
    </row>
    <row r="2958" spans="2:12">
      <c r="B2958" s="17">
        <v>3257</v>
      </c>
      <c r="C2958" s="17">
        <v>4</v>
      </c>
      <c r="D2958" s="17">
        <f t="shared" si="140"/>
        <v>0</v>
      </c>
      <c r="E2958" s="17">
        <f t="shared" si="139"/>
        <v>2133</v>
      </c>
      <c r="F2958" s="17" t="s">
        <v>4813</v>
      </c>
      <c r="G2958" s="17">
        <f>MATCH(E2958,Arenas!$F$8:$F$15)</f>
        <v>7</v>
      </c>
      <c r="H2958" s="29" t="s">
        <v>4328</v>
      </c>
      <c r="I2958" s="33" t="s">
        <v>10499</v>
      </c>
      <c r="J2958" s="47" t="s">
        <v>10500</v>
      </c>
      <c r="K2958" s="61" t="s">
        <v>4779</v>
      </c>
      <c r="L2958" s="12" t="str">
        <f t="shared" si="138"/>
        <v>4,4,4</v>
      </c>
    </row>
    <row r="2959" spans="2:12">
      <c r="B2959" s="17">
        <v>3258</v>
      </c>
      <c r="C2959" s="17">
        <v>4</v>
      </c>
      <c r="D2959" s="17">
        <f t="shared" si="140"/>
        <v>0</v>
      </c>
      <c r="E2959" s="17">
        <f t="shared" si="139"/>
        <v>2133</v>
      </c>
      <c r="F2959" s="17" t="s">
        <v>4813</v>
      </c>
      <c r="G2959" s="17">
        <f>MATCH(E2959,Arenas!$F$8:$F$15)</f>
        <v>7</v>
      </c>
      <c r="H2959" s="29" t="s">
        <v>4329</v>
      </c>
      <c r="I2959" s="33" t="s">
        <v>10501</v>
      </c>
      <c r="J2959" s="47" t="s">
        <v>10502</v>
      </c>
      <c r="K2959" s="61" t="s">
        <v>4810</v>
      </c>
      <c r="L2959" s="12" t="str">
        <f t="shared" si="138"/>
        <v>4,4,4</v>
      </c>
    </row>
    <row r="2960" spans="2:12">
      <c r="B2960" s="17">
        <v>3259</v>
      </c>
      <c r="C2960" s="17">
        <v>4</v>
      </c>
      <c r="D2960" s="17">
        <f t="shared" si="140"/>
        <v>1</v>
      </c>
      <c r="E2960" s="17">
        <f t="shared" si="139"/>
        <v>2134</v>
      </c>
      <c r="F2960" s="17" t="s">
        <v>4813</v>
      </c>
      <c r="G2960" s="17">
        <f>MATCH(E2960,Arenas!$F$8:$F$15)</f>
        <v>7</v>
      </c>
      <c r="H2960" s="29" t="s">
        <v>4330</v>
      </c>
      <c r="I2960" s="33" t="s">
        <v>10503</v>
      </c>
      <c r="J2960" s="47" t="s">
        <v>10504</v>
      </c>
      <c r="K2960" s="61" t="s">
        <v>4779</v>
      </c>
      <c r="L2960" s="12" t="str">
        <f t="shared" si="138"/>
        <v>4,4,4</v>
      </c>
    </row>
    <row r="2961" spans="2:12">
      <c r="B2961" s="17">
        <v>3260</v>
      </c>
      <c r="C2961" s="17">
        <v>4</v>
      </c>
      <c r="D2961" s="17">
        <f t="shared" si="140"/>
        <v>0</v>
      </c>
      <c r="E2961" s="17">
        <f t="shared" si="139"/>
        <v>2134</v>
      </c>
      <c r="F2961" s="17" t="s">
        <v>4813</v>
      </c>
      <c r="G2961" s="17">
        <f>MATCH(E2961,Arenas!$F$8:$F$15)</f>
        <v>7</v>
      </c>
      <c r="H2961" s="29" t="s">
        <v>4331</v>
      </c>
      <c r="I2961" s="33" t="s">
        <v>10505</v>
      </c>
      <c r="J2961" s="47" t="s">
        <v>5638</v>
      </c>
      <c r="K2961" s="61" t="s">
        <v>4810</v>
      </c>
      <c r="L2961" s="12" t="str">
        <f t="shared" si="138"/>
        <v>4,4,4</v>
      </c>
    </row>
    <row r="2962" spans="2:12">
      <c r="B2962" s="17">
        <v>3261</v>
      </c>
      <c r="C2962" s="17">
        <v>4</v>
      </c>
      <c r="D2962" s="17">
        <f t="shared" si="140"/>
        <v>0</v>
      </c>
      <c r="E2962" s="17">
        <f t="shared" si="139"/>
        <v>2134</v>
      </c>
      <c r="F2962" s="17" t="s">
        <v>4813</v>
      </c>
      <c r="G2962" s="17">
        <f>MATCH(E2962,Arenas!$F$8:$F$15)</f>
        <v>7</v>
      </c>
      <c r="H2962" s="29" t="s">
        <v>4332</v>
      </c>
      <c r="I2962" s="33" t="s">
        <v>10506</v>
      </c>
      <c r="J2962" s="47" t="s">
        <v>10507</v>
      </c>
      <c r="K2962" s="61" t="s">
        <v>4810</v>
      </c>
      <c r="L2962" s="12" t="str">
        <f t="shared" si="138"/>
        <v>4,4,4</v>
      </c>
    </row>
    <row r="2963" spans="2:12">
      <c r="B2963" s="17">
        <v>3262</v>
      </c>
      <c r="C2963" s="17">
        <v>4</v>
      </c>
      <c r="D2963" s="17">
        <f t="shared" si="140"/>
        <v>1</v>
      </c>
      <c r="E2963" s="17">
        <f t="shared" si="139"/>
        <v>2135</v>
      </c>
      <c r="F2963" s="17" t="s">
        <v>4813</v>
      </c>
      <c r="G2963" s="17">
        <f>MATCH(E2963,Arenas!$F$8:$F$15)</f>
        <v>7</v>
      </c>
      <c r="H2963" s="29" t="s">
        <v>4333</v>
      </c>
      <c r="I2963" s="33" t="s">
        <v>10508</v>
      </c>
      <c r="J2963" s="47" t="s">
        <v>10509</v>
      </c>
      <c r="K2963" s="61" t="s">
        <v>4779</v>
      </c>
      <c r="L2963" s="12" t="str">
        <f t="shared" si="138"/>
        <v>4,4,4</v>
      </c>
    </row>
    <row r="2964" spans="2:12">
      <c r="B2964" s="17">
        <v>3263</v>
      </c>
      <c r="C2964" s="17">
        <v>4</v>
      </c>
      <c r="D2964" s="17">
        <f t="shared" si="140"/>
        <v>0</v>
      </c>
      <c r="E2964" s="17">
        <f t="shared" si="139"/>
        <v>2135</v>
      </c>
      <c r="F2964" s="17" t="s">
        <v>4813</v>
      </c>
      <c r="G2964" s="17">
        <f>MATCH(E2964,Arenas!$F$8:$F$15)</f>
        <v>7</v>
      </c>
      <c r="H2964" s="29" t="s">
        <v>4334</v>
      </c>
      <c r="I2964" s="33" t="s">
        <v>10510</v>
      </c>
      <c r="J2964" s="47" t="s">
        <v>10511</v>
      </c>
      <c r="K2964" s="61" t="s">
        <v>4779</v>
      </c>
      <c r="L2964" s="12" t="str">
        <f t="shared" si="138"/>
        <v>4,4,4</v>
      </c>
    </row>
    <row r="2965" spans="2:12">
      <c r="B2965" s="17">
        <v>3264</v>
      </c>
      <c r="C2965" s="17">
        <v>4</v>
      </c>
      <c r="D2965" s="17">
        <f t="shared" si="140"/>
        <v>0</v>
      </c>
      <c r="E2965" s="17">
        <f t="shared" si="139"/>
        <v>2135</v>
      </c>
      <c r="F2965" s="17" t="s">
        <v>4813</v>
      </c>
      <c r="G2965" s="17">
        <f>MATCH(E2965,Arenas!$F$8:$F$15)</f>
        <v>7</v>
      </c>
      <c r="H2965" s="29" t="s">
        <v>4335</v>
      </c>
      <c r="I2965" s="33" t="s">
        <v>10512</v>
      </c>
      <c r="J2965" s="47" t="s">
        <v>5160</v>
      </c>
      <c r="K2965" s="61" t="s">
        <v>4779</v>
      </c>
      <c r="L2965" s="12" t="str">
        <f t="shared" si="138"/>
        <v>4,4,4</v>
      </c>
    </row>
    <row r="2966" spans="2:12">
      <c r="B2966" s="17">
        <v>3265</v>
      </c>
      <c r="C2966" s="17">
        <v>4</v>
      </c>
      <c r="D2966" s="17">
        <f t="shared" si="140"/>
        <v>1</v>
      </c>
      <c r="E2966" s="17">
        <f t="shared" si="139"/>
        <v>2136</v>
      </c>
      <c r="F2966" s="17" t="s">
        <v>4813</v>
      </c>
      <c r="G2966" s="17">
        <f>MATCH(E2966,Arenas!$F$8:$F$15)</f>
        <v>7</v>
      </c>
      <c r="H2966" s="29" t="s">
        <v>4336</v>
      </c>
      <c r="I2966" s="33" t="s">
        <v>10513</v>
      </c>
      <c r="J2966" s="47" t="s">
        <v>10514</v>
      </c>
      <c r="K2966" s="61" t="s">
        <v>4779</v>
      </c>
      <c r="L2966" s="12" t="str">
        <f t="shared" si="138"/>
        <v>4,4,4</v>
      </c>
    </row>
    <row r="2967" spans="2:12">
      <c r="B2967" s="17">
        <v>3266</v>
      </c>
      <c r="C2967" s="17">
        <v>4</v>
      </c>
      <c r="D2967" s="17">
        <f t="shared" si="140"/>
        <v>0</v>
      </c>
      <c r="E2967" s="17">
        <f t="shared" si="139"/>
        <v>2136</v>
      </c>
      <c r="F2967" s="17" t="s">
        <v>4813</v>
      </c>
      <c r="G2967" s="17">
        <f>MATCH(E2967,Arenas!$F$8:$F$15)</f>
        <v>7</v>
      </c>
      <c r="H2967" s="29" t="s">
        <v>4337</v>
      </c>
      <c r="I2967" s="33" t="s">
        <v>10515</v>
      </c>
      <c r="J2967" s="47" t="s">
        <v>10516</v>
      </c>
      <c r="K2967" s="61" t="s">
        <v>4779</v>
      </c>
      <c r="L2967" s="12" t="str">
        <f t="shared" si="138"/>
        <v>4,4,4</v>
      </c>
    </row>
    <row r="2968" spans="2:12">
      <c r="B2968" s="17">
        <v>3267</v>
      </c>
      <c r="C2968" s="17">
        <v>4</v>
      </c>
      <c r="D2968" s="17">
        <f t="shared" si="140"/>
        <v>0</v>
      </c>
      <c r="E2968" s="17">
        <f t="shared" si="139"/>
        <v>2136</v>
      </c>
      <c r="F2968" s="17" t="s">
        <v>4813</v>
      </c>
      <c r="G2968" s="17">
        <f>MATCH(E2968,Arenas!$F$8:$F$15)</f>
        <v>7</v>
      </c>
      <c r="H2968" s="29" t="s">
        <v>4338</v>
      </c>
      <c r="I2968" s="33" t="s">
        <v>10517</v>
      </c>
      <c r="J2968" s="47" t="s">
        <v>10518</v>
      </c>
      <c r="K2968" s="61" t="s">
        <v>4779</v>
      </c>
      <c r="L2968" s="12" t="str">
        <f t="shared" si="138"/>
        <v>4,4,4</v>
      </c>
    </row>
    <row r="2969" spans="2:12">
      <c r="B2969" s="17">
        <v>3268</v>
      </c>
      <c r="C2969" s="17">
        <v>4</v>
      </c>
      <c r="D2969" s="17">
        <f t="shared" si="140"/>
        <v>1</v>
      </c>
      <c r="E2969" s="17">
        <f t="shared" si="139"/>
        <v>2137</v>
      </c>
      <c r="F2969" s="17" t="s">
        <v>4813</v>
      </c>
      <c r="G2969" s="17">
        <f>MATCH(E2969,Arenas!$F$8:$F$15)</f>
        <v>7</v>
      </c>
      <c r="H2969" s="29" t="s">
        <v>4339</v>
      </c>
      <c r="I2969" s="33" t="s">
        <v>10519</v>
      </c>
      <c r="J2969" s="47" t="s">
        <v>10520</v>
      </c>
      <c r="K2969" s="61" t="s">
        <v>4779</v>
      </c>
      <c r="L2969" s="12" t="str">
        <f t="shared" si="138"/>
        <v>4,4,4</v>
      </c>
    </row>
    <row r="2970" spans="2:12">
      <c r="B2970" s="17">
        <v>3269</v>
      </c>
      <c r="C2970" s="17">
        <v>4</v>
      </c>
      <c r="D2970" s="17">
        <f t="shared" si="140"/>
        <v>0</v>
      </c>
      <c r="E2970" s="17">
        <f t="shared" si="139"/>
        <v>2137</v>
      </c>
      <c r="F2970" s="17" t="s">
        <v>4813</v>
      </c>
      <c r="G2970" s="17">
        <f>MATCH(E2970,Arenas!$F$8:$F$15)</f>
        <v>7</v>
      </c>
      <c r="H2970" s="29" t="s">
        <v>4340</v>
      </c>
      <c r="I2970" s="33" t="s">
        <v>10521</v>
      </c>
      <c r="J2970" s="47" t="s">
        <v>10522</v>
      </c>
      <c r="K2970" s="61" t="s">
        <v>4810</v>
      </c>
      <c r="L2970" s="12" t="str">
        <f t="shared" si="138"/>
        <v>4,4,4</v>
      </c>
    </row>
    <row r="2971" spans="2:12">
      <c r="B2971" s="17">
        <v>3270</v>
      </c>
      <c r="C2971" s="17">
        <v>4</v>
      </c>
      <c r="D2971" s="17">
        <f t="shared" si="140"/>
        <v>0</v>
      </c>
      <c r="E2971" s="17">
        <f t="shared" si="139"/>
        <v>2137</v>
      </c>
      <c r="F2971" s="17" t="s">
        <v>4813</v>
      </c>
      <c r="G2971" s="17">
        <f>MATCH(E2971,Arenas!$F$8:$F$15)</f>
        <v>7</v>
      </c>
      <c r="H2971" s="29" t="s">
        <v>4341</v>
      </c>
      <c r="I2971" s="33" t="s">
        <v>10523</v>
      </c>
      <c r="J2971" s="47" t="s">
        <v>10524</v>
      </c>
      <c r="K2971" s="61" t="s">
        <v>4806</v>
      </c>
      <c r="L2971" s="12" t="str">
        <f t="shared" si="138"/>
        <v>4,4,4</v>
      </c>
    </row>
    <row r="2972" spans="2:12">
      <c r="B2972" s="17">
        <v>3271</v>
      </c>
      <c r="C2972" s="17">
        <v>4</v>
      </c>
      <c r="D2972" s="17">
        <f t="shared" si="140"/>
        <v>1</v>
      </c>
      <c r="E2972" s="17">
        <f t="shared" si="139"/>
        <v>2138</v>
      </c>
      <c r="F2972" s="17" t="s">
        <v>4813</v>
      </c>
      <c r="G2972" s="17">
        <f>MATCH(E2972,Arenas!$F$8:$F$15)</f>
        <v>7</v>
      </c>
      <c r="H2972" s="29" t="s">
        <v>4342</v>
      </c>
      <c r="I2972" s="33" t="s">
        <v>10525</v>
      </c>
      <c r="J2972" s="47" t="s">
        <v>10526</v>
      </c>
      <c r="K2972" s="61" t="s">
        <v>4779</v>
      </c>
      <c r="L2972" s="12" t="str">
        <f t="shared" si="138"/>
        <v>4,4,4</v>
      </c>
    </row>
    <row r="2973" spans="2:12">
      <c r="B2973" s="17">
        <v>3272</v>
      </c>
      <c r="C2973" s="17">
        <v>4</v>
      </c>
      <c r="D2973" s="17">
        <f t="shared" si="140"/>
        <v>0</v>
      </c>
      <c r="E2973" s="17">
        <f t="shared" si="139"/>
        <v>2138</v>
      </c>
      <c r="F2973" s="17" t="s">
        <v>4813</v>
      </c>
      <c r="G2973" s="17">
        <f>MATCH(E2973,Arenas!$F$8:$F$15)</f>
        <v>7</v>
      </c>
      <c r="H2973" s="29" t="s">
        <v>4343</v>
      </c>
      <c r="I2973" s="33" t="s">
        <v>10527</v>
      </c>
      <c r="J2973" s="47" t="s">
        <v>10528</v>
      </c>
      <c r="K2973" s="61" t="s">
        <v>4807</v>
      </c>
      <c r="L2973" s="12" t="str">
        <f t="shared" si="138"/>
        <v>4,4,4</v>
      </c>
    </row>
    <row r="2974" spans="2:12">
      <c r="B2974" s="17">
        <v>3273</v>
      </c>
      <c r="C2974" s="17">
        <v>4</v>
      </c>
      <c r="D2974" s="17">
        <f t="shared" si="140"/>
        <v>0</v>
      </c>
      <c r="E2974" s="17">
        <f t="shared" si="139"/>
        <v>2138</v>
      </c>
      <c r="F2974" s="17" t="s">
        <v>4813</v>
      </c>
      <c r="G2974" s="17">
        <f>MATCH(E2974,Arenas!$F$8:$F$15)</f>
        <v>7</v>
      </c>
      <c r="H2974" s="29" t="s">
        <v>4344</v>
      </c>
      <c r="I2974" s="33" t="s">
        <v>10529</v>
      </c>
      <c r="J2974" s="47" t="s">
        <v>10530</v>
      </c>
      <c r="K2974" s="61" t="s">
        <v>4779</v>
      </c>
      <c r="L2974" s="12" t="str">
        <f t="shared" si="138"/>
        <v>4,4,4</v>
      </c>
    </row>
    <row r="2975" spans="2:12">
      <c r="B2975" s="17">
        <v>3274</v>
      </c>
      <c r="C2975" s="17">
        <v>4</v>
      </c>
      <c r="D2975" s="17">
        <f t="shared" si="140"/>
        <v>1</v>
      </c>
      <c r="E2975" s="17">
        <f t="shared" si="139"/>
        <v>2139</v>
      </c>
      <c r="F2975" s="17" t="s">
        <v>4813</v>
      </c>
      <c r="G2975" s="17">
        <f>MATCH(E2975,Arenas!$F$8:$F$15)</f>
        <v>7</v>
      </c>
      <c r="H2975" s="29" t="s">
        <v>4345</v>
      </c>
      <c r="I2975" s="33" t="s">
        <v>10531</v>
      </c>
      <c r="J2975" s="47" t="s">
        <v>10532</v>
      </c>
      <c r="K2975" s="61" t="s">
        <v>4779</v>
      </c>
      <c r="L2975" s="12" t="str">
        <f t="shared" si="138"/>
        <v>4,4,4</v>
      </c>
    </row>
    <row r="2976" spans="2:12">
      <c r="B2976" s="17">
        <v>3275</v>
      </c>
      <c r="C2976" s="17">
        <v>4</v>
      </c>
      <c r="D2976" s="17">
        <f t="shared" si="140"/>
        <v>0</v>
      </c>
      <c r="E2976" s="17">
        <f t="shared" si="139"/>
        <v>2139</v>
      </c>
      <c r="F2976" s="17" t="s">
        <v>4813</v>
      </c>
      <c r="G2976" s="17">
        <f>MATCH(E2976,Arenas!$F$8:$F$15)</f>
        <v>7</v>
      </c>
      <c r="H2976" s="29" t="s">
        <v>4346</v>
      </c>
      <c r="I2976" s="33" t="s">
        <v>10533</v>
      </c>
      <c r="J2976" s="47" t="s">
        <v>10534</v>
      </c>
      <c r="K2976" s="61" t="s">
        <v>4809</v>
      </c>
      <c r="L2976" s="12" t="str">
        <f t="shared" si="138"/>
        <v>4,4,4</v>
      </c>
    </row>
    <row r="2977" spans="2:12">
      <c r="B2977" s="17">
        <v>3276</v>
      </c>
      <c r="C2977" s="17">
        <v>4</v>
      </c>
      <c r="D2977" s="17">
        <f t="shared" si="140"/>
        <v>0</v>
      </c>
      <c r="E2977" s="17">
        <f t="shared" si="139"/>
        <v>2139</v>
      </c>
      <c r="F2977" s="17" t="s">
        <v>4813</v>
      </c>
      <c r="G2977" s="17">
        <f>MATCH(E2977,Arenas!$F$8:$F$15)</f>
        <v>7</v>
      </c>
      <c r="H2977" s="29" t="s">
        <v>4347</v>
      </c>
      <c r="I2977" s="33" t="s">
        <v>10535</v>
      </c>
      <c r="J2977" s="47" t="s">
        <v>10536</v>
      </c>
      <c r="K2977" s="61" t="s">
        <v>4779</v>
      </c>
      <c r="L2977" s="12" t="str">
        <f t="shared" si="138"/>
        <v>4,4,4</v>
      </c>
    </row>
    <row r="2978" spans="2:12">
      <c r="B2978" s="17">
        <v>3277</v>
      </c>
      <c r="C2978" s="17">
        <v>4</v>
      </c>
      <c r="D2978" s="17">
        <f t="shared" si="140"/>
        <v>1</v>
      </c>
      <c r="E2978" s="17">
        <f t="shared" si="139"/>
        <v>2140</v>
      </c>
      <c r="F2978" s="17" t="s">
        <v>4813</v>
      </c>
      <c r="G2978" s="17">
        <f>MATCH(E2978,Arenas!$F$8:$F$15)</f>
        <v>7</v>
      </c>
      <c r="H2978" s="29" t="s">
        <v>4348</v>
      </c>
      <c r="I2978" s="33" t="s">
        <v>10537</v>
      </c>
      <c r="J2978" s="47" t="s">
        <v>10538</v>
      </c>
      <c r="K2978" s="61" t="s">
        <v>4808</v>
      </c>
      <c r="L2978" s="12" t="str">
        <f t="shared" si="138"/>
        <v>4,4,4</v>
      </c>
    </row>
    <row r="2979" spans="2:12">
      <c r="B2979" s="17">
        <v>3278</v>
      </c>
      <c r="C2979" s="17">
        <v>4</v>
      </c>
      <c r="D2979" s="17">
        <f t="shared" si="140"/>
        <v>0</v>
      </c>
      <c r="E2979" s="17">
        <f t="shared" si="139"/>
        <v>2140</v>
      </c>
      <c r="F2979" s="17" t="s">
        <v>4813</v>
      </c>
      <c r="G2979" s="17">
        <f>MATCH(E2979,Arenas!$F$8:$F$15)</f>
        <v>7</v>
      </c>
      <c r="H2979" s="29" t="s">
        <v>4349</v>
      </c>
      <c r="I2979" s="33" t="s">
        <v>10539</v>
      </c>
      <c r="J2979" s="47" t="s">
        <v>10540</v>
      </c>
      <c r="K2979" s="61" t="s">
        <v>4779</v>
      </c>
      <c r="L2979" s="12" t="str">
        <f t="shared" si="138"/>
        <v>4,4,4</v>
      </c>
    </row>
    <row r="2980" spans="2:12">
      <c r="B2980" s="17">
        <v>3279</v>
      </c>
      <c r="C2980" s="17">
        <v>4</v>
      </c>
      <c r="D2980" s="17">
        <f t="shared" si="140"/>
        <v>0</v>
      </c>
      <c r="E2980" s="17">
        <f t="shared" si="139"/>
        <v>2140</v>
      </c>
      <c r="F2980" s="17" t="s">
        <v>4813</v>
      </c>
      <c r="G2980" s="17">
        <f>MATCH(E2980,Arenas!$F$8:$F$15)</f>
        <v>7</v>
      </c>
      <c r="H2980" s="29" t="s">
        <v>4350</v>
      </c>
      <c r="I2980" s="33" t="s">
        <v>10541</v>
      </c>
      <c r="J2980" s="47" t="s">
        <v>10542</v>
      </c>
      <c r="K2980" s="61" t="s">
        <v>4779</v>
      </c>
      <c r="L2980" s="12" t="str">
        <f t="shared" si="138"/>
        <v>4,4,4</v>
      </c>
    </row>
    <row r="2981" spans="2:12">
      <c r="B2981" s="17">
        <v>3280</v>
      </c>
      <c r="C2981" s="17">
        <v>4</v>
      </c>
      <c r="D2981" s="17">
        <f t="shared" si="140"/>
        <v>1</v>
      </c>
      <c r="E2981" s="17">
        <f t="shared" si="139"/>
        <v>2141</v>
      </c>
      <c r="F2981" s="17" t="s">
        <v>4813</v>
      </c>
      <c r="G2981" s="17">
        <f>MATCH(E2981,Arenas!$F$8:$F$15)</f>
        <v>7</v>
      </c>
      <c r="H2981" s="29" t="s">
        <v>4351</v>
      </c>
      <c r="I2981" s="33" t="s">
        <v>10543</v>
      </c>
      <c r="J2981" s="47" t="s">
        <v>10544</v>
      </c>
      <c r="K2981" s="61" t="s">
        <v>4809</v>
      </c>
      <c r="L2981" s="12" t="str">
        <f t="shared" si="138"/>
        <v>4,4,4</v>
      </c>
    </row>
    <row r="2982" spans="2:12">
      <c r="B2982" s="17">
        <v>3281</v>
      </c>
      <c r="C2982" s="17">
        <v>4</v>
      </c>
      <c r="D2982" s="17">
        <f t="shared" si="140"/>
        <v>0</v>
      </c>
      <c r="E2982" s="17">
        <f t="shared" si="139"/>
        <v>2141</v>
      </c>
      <c r="F2982" s="17" t="s">
        <v>4813</v>
      </c>
      <c r="G2982" s="17">
        <f>MATCH(E2982,Arenas!$F$8:$F$15)</f>
        <v>7</v>
      </c>
      <c r="H2982" s="29" t="s">
        <v>4352</v>
      </c>
      <c r="I2982" s="33" t="s">
        <v>10545</v>
      </c>
      <c r="J2982" s="47" t="s">
        <v>10546</v>
      </c>
      <c r="K2982" s="61" t="s">
        <v>4779</v>
      </c>
      <c r="L2982" s="12" t="str">
        <f t="shared" si="138"/>
        <v>4,4,4</v>
      </c>
    </row>
    <row r="2983" spans="2:12">
      <c r="B2983" s="17">
        <v>3282</v>
      </c>
      <c r="C2983" s="17">
        <v>4</v>
      </c>
      <c r="D2983" s="17">
        <f t="shared" si="140"/>
        <v>0</v>
      </c>
      <c r="E2983" s="17">
        <f t="shared" si="139"/>
        <v>2141</v>
      </c>
      <c r="F2983" s="17" t="s">
        <v>4813</v>
      </c>
      <c r="G2983" s="17">
        <f>MATCH(E2983,Arenas!$F$8:$F$15)</f>
        <v>7</v>
      </c>
      <c r="H2983" s="29" t="s">
        <v>4353</v>
      </c>
      <c r="I2983" s="33" t="s">
        <v>10547</v>
      </c>
      <c r="J2983" s="47" t="s">
        <v>10548</v>
      </c>
      <c r="K2983" s="61" t="s">
        <v>4779</v>
      </c>
      <c r="L2983" s="12" t="str">
        <f t="shared" si="138"/>
        <v>4,4,4</v>
      </c>
    </row>
    <row r="2984" spans="2:12">
      <c r="B2984" s="17">
        <v>3283</v>
      </c>
      <c r="C2984" s="17">
        <v>4</v>
      </c>
      <c r="D2984" s="17">
        <f t="shared" si="140"/>
        <v>1</v>
      </c>
      <c r="E2984" s="17">
        <f t="shared" si="139"/>
        <v>2142</v>
      </c>
      <c r="F2984" s="17" t="s">
        <v>4813</v>
      </c>
      <c r="G2984" s="17">
        <f>MATCH(E2984,Arenas!$F$8:$F$15)</f>
        <v>7</v>
      </c>
      <c r="H2984" s="29" t="s">
        <v>4354</v>
      </c>
      <c r="I2984" s="33" t="s">
        <v>10549</v>
      </c>
      <c r="J2984" s="47" t="s">
        <v>10550</v>
      </c>
      <c r="K2984" s="61" t="s">
        <v>4810</v>
      </c>
      <c r="L2984" s="12" t="str">
        <f t="shared" si="138"/>
        <v>4,4,4</v>
      </c>
    </row>
    <row r="2985" spans="2:12">
      <c r="B2985" s="17">
        <v>3284</v>
      </c>
      <c r="C2985" s="17">
        <v>4</v>
      </c>
      <c r="D2985" s="17">
        <f t="shared" si="140"/>
        <v>0</v>
      </c>
      <c r="E2985" s="17">
        <f t="shared" si="139"/>
        <v>2142</v>
      </c>
      <c r="F2985" s="17" t="s">
        <v>4813</v>
      </c>
      <c r="G2985" s="17">
        <f>MATCH(E2985,Arenas!$F$8:$F$15)</f>
        <v>7</v>
      </c>
      <c r="H2985" s="29" t="s">
        <v>4355</v>
      </c>
      <c r="I2985" s="33" t="s">
        <v>10551</v>
      </c>
      <c r="J2985" s="47" t="s">
        <v>10552</v>
      </c>
      <c r="K2985" s="61" t="s">
        <v>4779</v>
      </c>
      <c r="L2985" s="12" t="str">
        <f t="shared" si="138"/>
        <v>4,4,4</v>
      </c>
    </row>
    <row r="2986" spans="2:12">
      <c r="B2986" s="17">
        <v>3285</v>
      </c>
      <c r="C2986" s="17">
        <v>4</v>
      </c>
      <c r="D2986" s="17">
        <f t="shared" si="140"/>
        <v>0</v>
      </c>
      <c r="E2986" s="17">
        <f t="shared" si="139"/>
        <v>2142</v>
      </c>
      <c r="F2986" s="17" t="s">
        <v>4813</v>
      </c>
      <c r="G2986" s="17">
        <f>MATCH(E2986,Arenas!$F$8:$F$15)</f>
        <v>7</v>
      </c>
      <c r="H2986" s="29" t="s">
        <v>4356</v>
      </c>
      <c r="I2986" s="33" t="s">
        <v>10553</v>
      </c>
      <c r="J2986" s="47" t="s">
        <v>10554</v>
      </c>
      <c r="K2986" s="61" t="s">
        <v>4779</v>
      </c>
      <c r="L2986" s="12" t="str">
        <f t="shared" si="138"/>
        <v>4,4,4</v>
      </c>
    </row>
    <row r="2987" spans="2:12">
      <c r="B2987" s="17">
        <v>3286</v>
      </c>
      <c r="C2987" s="17">
        <v>4</v>
      </c>
      <c r="D2987" s="17">
        <f t="shared" si="140"/>
        <v>1</v>
      </c>
      <c r="E2987" s="17">
        <f t="shared" si="139"/>
        <v>2143</v>
      </c>
      <c r="F2987" s="17" t="s">
        <v>4813</v>
      </c>
      <c r="G2987" s="17">
        <f>MATCH(E2987,Arenas!$F$8:$F$15)</f>
        <v>7</v>
      </c>
      <c r="H2987" s="29" t="s">
        <v>4357</v>
      </c>
      <c r="I2987" s="33" t="s">
        <v>10555</v>
      </c>
      <c r="J2987" s="47" t="s">
        <v>10556</v>
      </c>
      <c r="K2987" s="61" t="s">
        <v>4808</v>
      </c>
      <c r="L2987" s="12" t="str">
        <f t="shared" si="138"/>
        <v>4,4,4</v>
      </c>
    </row>
    <row r="2988" spans="2:12">
      <c r="B2988" s="17">
        <v>3287</v>
      </c>
      <c r="C2988" s="17">
        <v>4</v>
      </c>
      <c r="D2988" s="17">
        <f t="shared" si="140"/>
        <v>0</v>
      </c>
      <c r="E2988" s="17">
        <f t="shared" si="139"/>
        <v>2143</v>
      </c>
      <c r="F2988" s="17" t="s">
        <v>4813</v>
      </c>
      <c r="G2988" s="17">
        <f>MATCH(E2988,Arenas!$F$8:$F$15)</f>
        <v>7</v>
      </c>
      <c r="H2988" s="29" t="s">
        <v>4358</v>
      </c>
      <c r="I2988" s="33" t="s">
        <v>10557</v>
      </c>
      <c r="J2988" s="47" t="s">
        <v>10558</v>
      </c>
      <c r="K2988" s="61" t="s">
        <v>4779</v>
      </c>
      <c r="L2988" s="12" t="str">
        <f t="shared" si="138"/>
        <v>4,4,4</v>
      </c>
    </row>
    <row r="2989" spans="2:12">
      <c r="B2989" s="17">
        <v>3288</v>
      </c>
      <c r="C2989" s="17">
        <v>4</v>
      </c>
      <c r="D2989" s="17">
        <f t="shared" si="140"/>
        <v>0</v>
      </c>
      <c r="E2989" s="17">
        <f t="shared" si="139"/>
        <v>2143</v>
      </c>
      <c r="F2989" s="17" t="s">
        <v>4813</v>
      </c>
      <c r="G2989" s="17">
        <f>MATCH(E2989,Arenas!$F$8:$F$15)</f>
        <v>7</v>
      </c>
      <c r="H2989" s="29" t="s">
        <v>4359</v>
      </c>
      <c r="I2989" s="33" t="s">
        <v>10559</v>
      </c>
      <c r="J2989" s="47" t="s">
        <v>10560</v>
      </c>
      <c r="K2989" s="61" t="s">
        <v>4779</v>
      </c>
      <c r="L2989" s="12" t="str">
        <f t="shared" si="138"/>
        <v>4,4,4</v>
      </c>
    </row>
    <row r="2990" spans="2:12">
      <c r="B2990" s="17">
        <v>3289</v>
      </c>
      <c r="C2990" s="17">
        <v>4</v>
      </c>
      <c r="D2990" s="17">
        <f t="shared" si="140"/>
        <v>1</v>
      </c>
      <c r="E2990" s="17">
        <f t="shared" si="139"/>
        <v>2144</v>
      </c>
      <c r="F2990" s="17" t="s">
        <v>4813</v>
      </c>
      <c r="G2990" s="17">
        <f>MATCH(E2990,Arenas!$F$8:$F$15)</f>
        <v>7</v>
      </c>
      <c r="H2990" s="29" t="s">
        <v>4360</v>
      </c>
      <c r="I2990" s="33" t="s">
        <v>10561</v>
      </c>
      <c r="J2990" s="47" t="s">
        <v>10562</v>
      </c>
      <c r="K2990" s="61" t="s">
        <v>4779</v>
      </c>
      <c r="L2990" s="12" t="str">
        <f t="shared" si="138"/>
        <v>4,4,4</v>
      </c>
    </row>
    <row r="2991" spans="2:12">
      <c r="B2991" s="17">
        <v>3290</v>
      </c>
      <c r="C2991" s="17">
        <v>4</v>
      </c>
      <c r="D2991" s="17">
        <f t="shared" si="140"/>
        <v>0</v>
      </c>
      <c r="E2991" s="17">
        <f t="shared" si="139"/>
        <v>2144</v>
      </c>
      <c r="F2991" s="17" t="s">
        <v>4813</v>
      </c>
      <c r="G2991" s="17">
        <f>MATCH(E2991,Arenas!$F$8:$F$15)</f>
        <v>7</v>
      </c>
      <c r="H2991" s="29" t="s">
        <v>4361</v>
      </c>
      <c r="I2991" s="33" t="s">
        <v>10563</v>
      </c>
      <c r="J2991" s="47" t="s">
        <v>10564</v>
      </c>
      <c r="K2991" s="61" t="s">
        <v>4779</v>
      </c>
      <c r="L2991" s="12" t="str">
        <f t="shared" si="138"/>
        <v>4,4,4</v>
      </c>
    </row>
    <row r="2992" spans="2:12">
      <c r="B2992" s="17">
        <v>3291</v>
      </c>
      <c r="C2992" s="17">
        <v>4</v>
      </c>
      <c r="D2992" s="17">
        <f t="shared" si="140"/>
        <v>0</v>
      </c>
      <c r="E2992" s="17">
        <f t="shared" si="139"/>
        <v>2144</v>
      </c>
      <c r="F2992" s="17" t="s">
        <v>4813</v>
      </c>
      <c r="G2992" s="17">
        <f>MATCH(E2992,Arenas!$F$8:$F$15)</f>
        <v>7</v>
      </c>
      <c r="H2992" s="29" t="s">
        <v>4362</v>
      </c>
      <c r="I2992" s="33" t="s">
        <v>10565</v>
      </c>
      <c r="J2992" s="47" t="s">
        <v>10566</v>
      </c>
      <c r="K2992" s="61" t="s">
        <v>4779</v>
      </c>
      <c r="L2992" s="12" t="str">
        <f t="shared" si="138"/>
        <v>4,4,4</v>
      </c>
    </row>
    <row r="2993" spans="2:12">
      <c r="B2993" s="17">
        <v>3292</v>
      </c>
      <c r="C2993" s="17">
        <v>4</v>
      </c>
      <c r="D2993" s="17">
        <f t="shared" si="140"/>
        <v>1</v>
      </c>
      <c r="E2993" s="17">
        <f t="shared" si="139"/>
        <v>2145</v>
      </c>
      <c r="F2993" s="17" t="s">
        <v>4813</v>
      </c>
      <c r="G2993" s="17">
        <f>MATCH(E2993,Arenas!$F$8:$F$15)</f>
        <v>7</v>
      </c>
      <c r="H2993" s="29" t="s">
        <v>4363</v>
      </c>
      <c r="I2993" s="33" t="s">
        <v>10567</v>
      </c>
      <c r="J2993" s="47" t="s">
        <v>10568</v>
      </c>
      <c r="K2993" s="61" t="s">
        <v>4806</v>
      </c>
      <c r="L2993" s="12" t="str">
        <f t="shared" si="138"/>
        <v>4,4,4</v>
      </c>
    </row>
    <row r="2994" spans="2:12">
      <c r="B2994" s="17">
        <v>3293</v>
      </c>
      <c r="C2994" s="17">
        <v>4</v>
      </c>
      <c r="D2994" s="17">
        <f t="shared" si="140"/>
        <v>0</v>
      </c>
      <c r="E2994" s="17">
        <f t="shared" si="139"/>
        <v>2145</v>
      </c>
      <c r="F2994" s="17" t="s">
        <v>4813</v>
      </c>
      <c r="G2994" s="17">
        <f>MATCH(E2994,Arenas!$F$8:$F$15)</f>
        <v>7</v>
      </c>
      <c r="H2994" s="29" t="s">
        <v>4364</v>
      </c>
      <c r="I2994" s="33" t="s">
        <v>10569</v>
      </c>
      <c r="J2994" s="47" t="s">
        <v>10570</v>
      </c>
      <c r="K2994" s="61" t="s">
        <v>4779</v>
      </c>
      <c r="L2994" s="12" t="str">
        <f t="shared" si="138"/>
        <v>4,4,4</v>
      </c>
    </row>
    <row r="2995" spans="2:12">
      <c r="B2995" s="17">
        <v>3294</v>
      </c>
      <c r="C2995" s="17">
        <v>4</v>
      </c>
      <c r="D2995" s="17">
        <f t="shared" si="140"/>
        <v>0</v>
      </c>
      <c r="E2995" s="17">
        <f t="shared" si="139"/>
        <v>2145</v>
      </c>
      <c r="F2995" s="17" t="s">
        <v>4813</v>
      </c>
      <c r="G2995" s="17">
        <f>MATCH(E2995,Arenas!$F$8:$F$15)</f>
        <v>7</v>
      </c>
      <c r="H2995" s="29" t="s">
        <v>4365</v>
      </c>
      <c r="I2995" s="33" t="s">
        <v>10571</v>
      </c>
      <c r="J2995" s="47" t="s">
        <v>10572</v>
      </c>
      <c r="K2995" s="61" t="s">
        <v>4779</v>
      </c>
      <c r="L2995" s="12" t="str">
        <f t="shared" si="138"/>
        <v>4,4,4</v>
      </c>
    </row>
    <row r="2996" spans="2:12">
      <c r="B2996" s="17">
        <v>3295</v>
      </c>
      <c r="C2996" s="17">
        <v>4</v>
      </c>
      <c r="D2996" s="17">
        <f t="shared" si="140"/>
        <v>1</v>
      </c>
      <c r="E2996" s="17">
        <f t="shared" si="139"/>
        <v>2146</v>
      </c>
      <c r="F2996" s="17" t="s">
        <v>4813</v>
      </c>
      <c r="G2996" s="17">
        <f>MATCH(E2996,Arenas!$F$8:$F$15)</f>
        <v>7</v>
      </c>
      <c r="H2996" s="29" t="s">
        <v>4366</v>
      </c>
      <c r="I2996" s="33" t="s">
        <v>10573</v>
      </c>
      <c r="J2996" s="47" t="s">
        <v>10574</v>
      </c>
      <c r="K2996" s="61" t="s">
        <v>4810</v>
      </c>
      <c r="L2996" s="12" t="str">
        <f t="shared" si="138"/>
        <v>4,4,4</v>
      </c>
    </row>
    <row r="2997" spans="2:12">
      <c r="B2997" s="17">
        <v>3296</v>
      </c>
      <c r="C2997" s="17">
        <v>4</v>
      </c>
      <c r="D2997" s="17">
        <f t="shared" si="140"/>
        <v>0</v>
      </c>
      <c r="E2997" s="17">
        <f t="shared" si="139"/>
        <v>2146</v>
      </c>
      <c r="F2997" s="17" t="s">
        <v>4813</v>
      </c>
      <c r="G2997" s="17">
        <f>MATCH(E2997,Arenas!$F$8:$F$15)</f>
        <v>7</v>
      </c>
      <c r="H2997" s="29" t="s">
        <v>4367</v>
      </c>
      <c r="I2997" s="33" t="s">
        <v>10575</v>
      </c>
      <c r="J2997" s="47" t="s">
        <v>10576</v>
      </c>
      <c r="K2997" s="61" t="s">
        <v>4779</v>
      </c>
      <c r="L2997" s="12" t="str">
        <f t="shared" si="138"/>
        <v>4,4,4</v>
      </c>
    </row>
    <row r="2998" spans="2:12">
      <c r="B2998" s="17">
        <v>3297</v>
      </c>
      <c r="C2998" s="17">
        <v>4</v>
      </c>
      <c r="D2998" s="17">
        <f t="shared" si="140"/>
        <v>0</v>
      </c>
      <c r="E2998" s="17">
        <f t="shared" si="139"/>
        <v>2146</v>
      </c>
      <c r="F2998" s="17" t="s">
        <v>4813</v>
      </c>
      <c r="G2998" s="17">
        <f>MATCH(E2998,Arenas!$F$8:$F$15)</f>
        <v>7</v>
      </c>
      <c r="H2998" s="29" t="s">
        <v>4368</v>
      </c>
      <c r="I2998" s="33" t="s">
        <v>10577</v>
      </c>
      <c r="J2998" s="47" t="s">
        <v>10578</v>
      </c>
      <c r="K2998" s="61" t="s">
        <v>4779</v>
      </c>
      <c r="L2998" s="12" t="str">
        <f t="shared" si="138"/>
        <v>4,4,4</v>
      </c>
    </row>
    <row r="2999" spans="2:12">
      <c r="B2999" s="17">
        <v>3298</v>
      </c>
      <c r="C2999" s="17">
        <v>4</v>
      </c>
      <c r="D2999" s="17">
        <f t="shared" si="140"/>
        <v>1</v>
      </c>
      <c r="E2999" s="17">
        <f t="shared" si="139"/>
        <v>2147</v>
      </c>
      <c r="F2999" s="17" t="s">
        <v>4813</v>
      </c>
      <c r="G2999" s="17">
        <f>MATCH(E2999,Arenas!$F$8:$F$15)</f>
        <v>7</v>
      </c>
      <c r="H2999" s="29" t="s">
        <v>4369</v>
      </c>
      <c r="I2999" s="33" t="s">
        <v>10579</v>
      </c>
      <c r="J2999" s="47" t="s">
        <v>10580</v>
      </c>
      <c r="K2999" s="61" t="s">
        <v>4779</v>
      </c>
      <c r="L2999" s="12" t="str">
        <f t="shared" si="138"/>
        <v>4,4,4</v>
      </c>
    </row>
    <row r="3000" spans="2:12">
      <c r="B3000" s="17">
        <v>3299</v>
      </c>
      <c r="C3000" s="17">
        <v>4</v>
      </c>
      <c r="D3000" s="17">
        <f t="shared" si="140"/>
        <v>0</v>
      </c>
      <c r="E3000" s="17">
        <f t="shared" si="139"/>
        <v>2147</v>
      </c>
      <c r="F3000" s="17" t="s">
        <v>4813</v>
      </c>
      <c r="G3000" s="17">
        <f>MATCH(E3000,Arenas!$F$8:$F$15)</f>
        <v>7</v>
      </c>
      <c r="H3000" s="29" t="s">
        <v>4370</v>
      </c>
      <c r="I3000" s="33" t="s">
        <v>10581</v>
      </c>
      <c r="J3000" s="47" t="s">
        <v>10582</v>
      </c>
      <c r="K3000" s="61" t="s">
        <v>4779</v>
      </c>
      <c r="L3000" s="12" t="str">
        <f t="shared" si="138"/>
        <v>4,4,4</v>
      </c>
    </row>
    <row r="3001" spans="2:12">
      <c r="B3001" s="17">
        <v>3300</v>
      </c>
      <c r="C3001" s="17">
        <v>4</v>
      </c>
      <c r="D3001" s="17">
        <f t="shared" si="140"/>
        <v>0</v>
      </c>
      <c r="E3001" s="17">
        <f t="shared" si="139"/>
        <v>2147</v>
      </c>
      <c r="F3001" s="17" t="s">
        <v>4813</v>
      </c>
      <c r="G3001" s="17">
        <f>MATCH(E3001,Arenas!$F$8:$F$15)</f>
        <v>7</v>
      </c>
      <c r="H3001" s="29" t="s">
        <v>4371</v>
      </c>
      <c r="I3001" s="33" t="s">
        <v>10583</v>
      </c>
      <c r="J3001" s="47" t="s">
        <v>10584</v>
      </c>
      <c r="K3001" s="61" t="s">
        <v>4779</v>
      </c>
      <c r="L3001" s="12" t="str">
        <f t="shared" si="138"/>
        <v>4,4,4</v>
      </c>
    </row>
    <row r="3002" spans="2:12">
      <c r="B3002" s="17">
        <v>3301</v>
      </c>
      <c r="C3002" s="17">
        <v>4</v>
      </c>
      <c r="D3002" s="17">
        <f t="shared" si="140"/>
        <v>1</v>
      </c>
      <c r="E3002" s="17">
        <f t="shared" si="139"/>
        <v>2148</v>
      </c>
      <c r="F3002" s="17" t="s">
        <v>4813</v>
      </c>
      <c r="G3002" s="17">
        <f>MATCH(E3002,Arenas!$F$8:$F$15)</f>
        <v>7</v>
      </c>
      <c r="H3002" s="29" t="s">
        <v>4372</v>
      </c>
      <c r="I3002" s="33" t="s">
        <v>10585</v>
      </c>
      <c r="J3002" s="47" t="s">
        <v>10586</v>
      </c>
      <c r="K3002" s="61" t="s">
        <v>4779</v>
      </c>
      <c r="L3002" s="12" t="str">
        <f t="shared" si="138"/>
        <v>4,4,4</v>
      </c>
    </row>
    <row r="3003" spans="2:12">
      <c r="B3003" s="17">
        <v>3302</v>
      </c>
      <c r="C3003" s="17">
        <v>4</v>
      </c>
      <c r="D3003" s="17">
        <f t="shared" si="140"/>
        <v>0</v>
      </c>
      <c r="E3003" s="17">
        <f t="shared" si="139"/>
        <v>2148</v>
      </c>
      <c r="F3003" s="17" t="s">
        <v>4813</v>
      </c>
      <c r="G3003" s="17">
        <f>MATCH(E3003,Arenas!$F$8:$F$15)</f>
        <v>7</v>
      </c>
      <c r="H3003" s="29" t="s">
        <v>4373</v>
      </c>
      <c r="I3003" s="33" t="s">
        <v>10587</v>
      </c>
      <c r="J3003" s="47" t="s">
        <v>10588</v>
      </c>
      <c r="K3003" s="61" t="s">
        <v>4779</v>
      </c>
      <c r="L3003" s="12" t="str">
        <f t="shared" si="138"/>
        <v>4,4,4</v>
      </c>
    </row>
    <row r="3004" spans="2:12">
      <c r="B3004" s="17">
        <v>3303</v>
      </c>
      <c r="C3004" s="17">
        <v>4</v>
      </c>
      <c r="D3004" s="17">
        <f t="shared" si="140"/>
        <v>0</v>
      </c>
      <c r="E3004" s="17">
        <f t="shared" si="139"/>
        <v>2148</v>
      </c>
      <c r="F3004" s="17" t="s">
        <v>4813</v>
      </c>
      <c r="G3004" s="17">
        <f>MATCH(E3004,Arenas!$F$8:$F$15)</f>
        <v>7</v>
      </c>
      <c r="H3004" s="29" t="s">
        <v>4374</v>
      </c>
      <c r="I3004" s="33" t="s">
        <v>10589</v>
      </c>
      <c r="J3004" s="47" t="s">
        <v>7735</v>
      </c>
      <c r="K3004" s="61" t="s">
        <v>4779</v>
      </c>
      <c r="L3004" s="12" t="str">
        <f t="shared" si="138"/>
        <v>4,4,4</v>
      </c>
    </row>
    <row r="3005" spans="2:12">
      <c r="B3005" s="17">
        <v>3304</v>
      </c>
      <c r="C3005" s="17">
        <v>4</v>
      </c>
      <c r="D3005" s="17">
        <f t="shared" si="140"/>
        <v>1</v>
      </c>
      <c r="E3005" s="17">
        <f t="shared" si="139"/>
        <v>2149</v>
      </c>
      <c r="F3005" s="17" t="s">
        <v>4813</v>
      </c>
      <c r="G3005" s="17">
        <f>MATCH(E3005,Arenas!$F$8:$F$15)</f>
        <v>7</v>
      </c>
      <c r="H3005" s="29" t="s">
        <v>4375</v>
      </c>
      <c r="I3005" s="33" t="s">
        <v>10590</v>
      </c>
      <c r="J3005" s="47" t="s">
        <v>10591</v>
      </c>
      <c r="K3005" s="61" t="s">
        <v>4779</v>
      </c>
      <c r="L3005" s="12" t="str">
        <f t="shared" si="138"/>
        <v>4,4,4</v>
      </c>
    </row>
    <row r="3006" spans="2:12">
      <c r="B3006" s="17">
        <v>3305</v>
      </c>
      <c r="C3006" s="17">
        <v>4</v>
      </c>
      <c r="D3006" s="17">
        <f t="shared" si="140"/>
        <v>0</v>
      </c>
      <c r="E3006" s="17">
        <f t="shared" si="139"/>
        <v>2149</v>
      </c>
      <c r="F3006" s="17" t="s">
        <v>4813</v>
      </c>
      <c r="G3006" s="17">
        <f>MATCH(E3006,Arenas!$F$8:$F$15)</f>
        <v>7</v>
      </c>
      <c r="H3006" s="29" t="s">
        <v>4376</v>
      </c>
      <c r="I3006" s="33" t="s">
        <v>10592</v>
      </c>
      <c r="J3006" s="47" t="s">
        <v>10593</v>
      </c>
      <c r="K3006" s="61" t="s">
        <v>4779</v>
      </c>
      <c r="L3006" s="12" t="str">
        <f t="shared" si="138"/>
        <v>4,4,4</v>
      </c>
    </row>
    <row r="3007" spans="2:12">
      <c r="B3007" s="17">
        <v>3306</v>
      </c>
      <c r="C3007" s="17">
        <v>4</v>
      </c>
      <c r="D3007" s="17">
        <f t="shared" si="140"/>
        <v>0</v>
      </c>
      <c r="E3007" s="17">
        <f t="shared" si="139"/>
        <v>2149</v>
      </c>
      <c r="F3007" s="17" t="s">
        <v>4813</v>
      </c>
      <c r="G3007" s="17">
        <f>MATCH(E3007,Arenas!$F$8:$F$15)</f>
        <v>7</v>
      </c>
      <c r="H3007" s="29" t="s">
        <v>4377</v>
      </c>
      <c r="I3007" s="33" t="s">
        <v>10594</v>
      </c>
      <c r="J3007" s="47" t="s">
        <v>10595</v>
      </c>
      <c r="K3007" s="61" t="s">
        <v>4779</v>
      </c>
      <c r="L3007" s="12" t="str">
        <f t="shared" si="138"/>
        <v>4,4,4</v>
      </c>
    </row>
    <row r="3008" spans="2:12">
      <c r="B3008" s="17">
        <v>3307</v>
      </c>
      <c r="C3008" s="17">
        <v>4</v>
      </c>
      <c r="D3008" s="17">
        <f t="shared" si="140"/>
        <v>1</v>
      </c>
      <c r="E3008" s="17">
        <f t="shared" si="139"/>
        <v>2150</v>
      </c>
      <c r="F3008" s="17" t="s">
        <v>4813</v>
      </c>
      <c r="G3008" s="17">
        <f>MATCH(E3008,Arenas!$F$8:$F$15)</f>
        <v>7</v>
      </c>
      <c r="H3008" s="29" t="s">
        <v>4378</v>
      </c>
      <c r="I3008" s="33" t="s">
        <v>10596</v>
      </c>
      <c r="J3008" s="47" t="s">
        <v>10597</v>
      </c>
      <c r="K3008" s="61" t="s">
        <v>4779</v>
      </c>
      <c r="L3008" s="12" t="str">
        <f t="shared" si="138"/>
        <v>4,4,4</v>
      </c>
    </row>
    <row r="3009" spans="2:12">
      <c r="B3009" s="17">
        <v>3308</v>
      </c>
      <c r="C3009" s="17">
        <v>4</v>
      </c>
      <c r="D3009" s="17">
        <f t="shared" si="140"/>
        <v>0</v>
      </c>
      <c r="E3009" s="17">
        <f t="shared" si="139"/>
        <v>2150</v>
      </c>
      <c r="F3009" s="17" t="s">
        <v>4813</v>
      </c>
      <c r="G3009" s="17">
        <f>MATCH(E3009,Arenas!$F$8:$F$15)</f>
        <v>7</v>
      </c>
      <c r="H3009" s="29" t="s">
        <v>4379</v>
      </c>
      <c r="I3009" s="33" t="s">
        <v>10598</v>
      </c>
      <c r="J3009" s="47" t="s">
        <v>10599</v>
      </c>
      <c r="K3009" s="61" t="s">
        <v>4779</v>
      </c>
      <c r="L3009" s="12" t="str">
        <f t="shared" si="138"/>
        <v>4,4,4</v>
      </c>
    </row>
    <row r="3010" spans="2:12">
      <c r="B3010" s="17">
        <v>3309</v>
      </c>
      <c r="C3010" s="17">
        <v>4</v>
      </c>
      <c r="D3010" s="17">
        <f t="shared" si="140"/>
        <v>0</v>
      </c>
      <c r="E3010" s="17">
        <f t="shared" si="139"/>
        <v>2150</v>
      </c>
      <c r="F3010" s="17" t="s">
        <v>4813</v>
      </c>
      <c r="G3010" s="17">
        <f>MATCH(E3010,Arenas!$F$8:$F$15)</f>
        <v>7</v>
      </c>
      <c r="H3010" s="29" t="s">
        <v>4380</v>
      </c>
      <c r="I3010" s="33" t="s">
        <v>10600</v>
      </c>
      <c r="J3010" s="47" t="s">
        <v>8671</v>
      </c>
      <c r="K3010" s="61" t="s">
        <v>4779</v>
      </c>
      <c r="L3010" s="12" t="str">
        <f t="shared" ref="L3010:L3073" si="141">C3010&amp;","&amp;C3010&amp;","&amp;C3010</f>
        <v>4,4,4</v>
      </c>
    </row>
    <row r="3011" spans="2:12">
      <c r="B3011" s="17">
        <v>3310</v>
      </c>
      <c r="C3011" s="17">
        <v>4</v>
      </c>
      <c r="D3011" s="17">
        <f t="shared" si="140"/>
        <v>1</v>
      </c>
      <c r="E3011" s="17">
        <f t="shared" ref="E3011:E3074" si="142">D3011+E3010</f>
        <v>2151</v>
      </c>
      <c r="F3011" s="17" t="s">
        <v>4813</v>
      </c>
      <c r="G3011" s="17">
        <f>MATCH(E3011,Arenas!$F$8:$F$15)</f>
        <v>7</v>
      </c>
      <c r="H3011" s="29" t="s">
        <v>4381</v>
      </c>
      <c r="I3011" s="33" t="s">
        <v>10601</v>
      </c>
      <c r="J3011" s="47" t="s">
        <v>10602</v>
      </c>
      <c r="K3011" s="61" t="s">
        <v>4779</v>
      </c>
      <c r="L3011" s="12" t="str">
        <f t="shared" si="141"/>
        <v>4,4,4</v>
      </c>
    </row>
    <row r="3012" spans="2:12">
      <c r="B3012" s="17">
        <v>3311</v>
      </c>
      <c r="C3012" s="17">
        <v>4</v>
      </c>
      <c r="D3012" s="17">
        <f t="shared" si="140"/>
        <v>0</v>
      </c>
      <c r="E3012" s="17">
        <f t="shared" si="142"/>
        <v>2151</v>
      </c>
      <c r="F3012" s="17" t="s">
        <v>4813</v>
      </c>
      <c r="G3012" s="17">
        <f>MATCH(E3012,Arenas!$F$8:$F$15)</f>
        <v>7</v>
      </c>
      <c r="H3012" s="29" t="s">
        <v>4382</v>
      </c>
      <c r="I3012" s="33" t="s">
        <v>10603</v>
      </c>
      <c r="J3012" s="47" t="s">
        <v>10604</v>
      </c>
      <c r="K3012" s="61" t="s">
        <v>4810</v>
      </c>
      <c r="L3012" s="12" t="str">
        <f t="shared" si="141"/>
        <v>4,4,4</v>
      </c>
    </row>
    <row r="3013" spans="2:12">
      <c r="B3013" s="17">
        <v>3312</v>
      </c>
      <c r="C3013" s="17">
        <v>4</v>
      </c>
      <c r="D3013" s="17">
        <f t="shared" ref="D3013:D3076" si="143">D3010</f>
        <v>0</v>
      </c>
      <c r="E3013" s="17">
        <f t="shared" si="142"/>
        <v>2151</v>
      </c>
      <c r="F3013" s="17" t="s">
        <v>4813</v>
      </c>
      <c r="G3013" s="17">
        <f>MATCH(E3013,Arenas!$F$8:$F$15)</f>
        <v>7</v>
      </c>
      <c r="H3013" s="29" t="s">
        <v>4383</v>
      </c>
      <c r="I3013" s="33" t="s">
        <v>10605</v>
      </c>
      <c r="J3013" s="47" t="s">
        <v>10606</v>
      </c>
      <c r="K3013" s="61" t="s">
        <v>4779</v>
      </c>
      <c r="L3013" s="12" t="str">
        <f t="shared" si="141"/>
        <v>4,4,4</v>
      </c>
    </row>
    <row r="3014" spans="2:12">
      <c r="B3014" s="17">
        <v>3313</v>
      </c>
      <c r="C3014" s="17">
        <v>4</v>
      </c>
      <c r="D3014" s="17">
        <f t="shared" si="143"/>
        <v>1</v>
      </c>
      <c r="E3014" s="17">
        <f t="shared" si="142"/>
        <v>2152</v>
      </c>
      <c r="F3014" s="17" t="s">
        <v>4813</v>
      </c>
      <c r="G3014" s="17">
        <f>MATCH(E3014,Arenas!$F$8:$F$15)</f>
        <v>7</v>
      </c>
      <c r="H3014" s="29" t="s">
        <v>4384</v>
      </c>
      <c r="I3014" s="33" t="s">
        <v>10607</v>
      </c>
      <c r="J3014" s="47" t="s">
        <v>10608</v>
      </c>
      <c r="K3014" s="61" t="s">
        <v>4779</v>
      </c>
      <c r="L3014" s="12" t="str">
        <f t="shared" si="141"/>
        <v>4,4,4</v>
      </c>
    </row>
    <row r="3015" spans="2:12">
      <c r="B3015" s="17">
        <v>3314</v>
      </c>
      <c r="C3015" s="17">
        <v>4</v>
      </c>
      <c r="D3015" s="17">
        <f t="shared" si="143"/>
        <v>0</v>
      </c>
      <c r="E3015" s="17">
        <f t="shared" si="142"/>
        <v>2152</v>
      </c>
      <c r="F3015" s="17" t="s">
        <v>4813</v>
      </c>
      <c r="G3015" s="17">
        <f>MATCH(E3015,Arenas!$F$8:$F$15)</f>
        <v>7</v>
      </c>
      <c r="H3015" s="29" t="s">
        <v>4385</v>
      </c>
      <c r="I3015" s="33" t="s">
        <v>10609</v>
      </c>
      <c r="J3015" s="47" t="s">
        <v>10610</v>
      </c>
      <c r="K3015" s="61" t="s">
        <v>4779</v>
      </c>
      <c r="L3015" s="12" t="str">
        <f t="shared" si="141"/>
        <v>4,4,4</v>
      </c>
    </row>
    <row r="3016" spans="2:12">
      <c r="B3016" s="17">
        <v>3315</v>
      </c>
      <c r="C3016" s="17">
        <v>4</v>
      </c>
      <c r="D3016" s="17">
        <f t="shared" si="143"/>
        <v>0</v>
      </c>
      <c r="E3016" s="17">
        <f t="shared" si="142"/>
        <v>2152</v>
      </c>
      <c r="F3016" s="17" t="s">
        <v>4813</v>
      </c>
      <c r="G3016" s="17">
        <f>MATCH(E3016,Arenas!$F$8:$F$15)</f>
        <v>7</v>
      </c>
      <c r="H3016" s="29" t="s">
        <v>4386</v>
      </c>
      <c r="I3016" s="33" t="s">
        <v>10611</v>
      </c>
      <c r="J3016" s="47" t="s">
        <v>10612</v>
      </c>
      <c r="K3016" s="61" t="s">
        <v>4779</v>
      </c>
      <c r="L3016" s="12" t="str">
        <f t="shared" si="141"/>
        <v>4,4,4</v>
      </c>
    </row>
    <row r="3017" spans="2:12">
      <c r="B3017" s="17">
        <v>3316</v>
      </c>
      <c r="C3017" s="17">
        <v>4</v>
      </c>
      <c r="D3017" s="17">
        <f t="shared" si="143"/>
        <v>1</v>
      </c>
      <c r="E3017" s="17">
        <f t="shared" si="142"/>
        <v>2153</v>
      </c>
      <c r="F3017" s="17" t="s">
        <v>4813</v>
      </c>
      <c r="G3017" s="17">
        <f>MATCH(E3017,Arenas!$F$8:$F$15)</f>
        <v>7</v>
      </c>
      <c r="H3017" s="29" t="s">
        <v>4387</v>
      </c>
      <c r="I3017" s="33" t="s">
        <v>10613</v>
      </c>
      <c r="J3017" s="47" t="s">
        <v>10614</v>
      </c>
      <c r="K3017" s="61" t="s">
        <v>4779</v>
      </c>
      <c r="L3017" s="12" t="str">
        <f t="shared" si="141"/>
        <v>4,4,4</v>
      </c>
    </row>
    <row r="3018" spans="2:12">
      <c r="B3018" s="17">
        <v>3317</v>
      </c>
      <c r="C3018" s="17">
        <v>4</v>
      </c>
      <c r="D3018" s="17">
        <f t="shared" si="143"/>
        <v>0</v>
      </c>
      <c r="E3018" s="17">
        <f t="shared" si="142"/>
        <v>2153</v>
      </c>
      <c r="F3018" s="17" t="s">
        <v>4813</v>
      </c>
      <c r="G3018" s="17">
        <f>MATCH(E3018,Arenas!$F$8:$F$15)</f>
        <v>7</v>
      </c>
      <c r="H3018" s="29" t="s">
        <v>4388</v>
      </c>
      <c r="I3018" s="33" t="s">
        <v>10615</v>
      </c>
      <c r="J3018" s="47" t="s">
        <v>5728</v>
      </c>
      <c r="K3018" s="61" t="s">
        <v>4779</v>
      </c>
      <c r="L3018" s="12" t="str">
        <f t="shared" si="141"/>
        <v>4,4,4</v>
      </c>
    </row>
    <row r="3019" spans="2:12">
      <c r="B3019" s="17">
        <v>3318</v>
      </c>
      <c r="C3019" s="17">
        <v>4</v>
      </c>
      <c r="D3019" s="17">
        <f t="shared" si="143"/>
        <v>0</v>
      </c>
      <c r="E3019" s="17">
        <f t="shared" si="142"/>
        <v>2153</v>
      </c>
      <c r="F3019" s="17" t="s">
        <v>4813</v>
      </c>
      <c r="G3019" s="17">
        <f>MATCH(E3019,Arenas!$F$8:$F$15)</f>
        <v>7</v>
      </c>
      <c r="H3019" s="29" t="s">
        <v>4389</v>
      </c>
      <c r="I3019" s="33" t="s">
        <v>10616</v>
      </c>
      <c r="J3019" s="47" t="s">
        <v>10617</v>
      </c>
      <c r="K3019" s="61" t="s">
        <v>4806</v>
      </c>
      <c r="L3019" s="12" t="str">
        <f t="shared" si="141"/>
        <v>4,4,4</v>
      </c>
    </row>
    <row r="3020" spans="2:12">
      <c r="B3020" s="17">
        <v>3319</v>
      </c>
      <c r="C3020" s="17">
        <v>4</v>
      </c>
      <c r="D3020" s="17">
        <f t="shared" si="143"/>
        <v>1</v>
      </c>
      <c r="E3020" s="17">
        <f t="shared" si="142"/>
        <v>2154</v>
      </c>
      <c r="F3020" s="17" t="s">
        <v>4813</v>
      </c>
      <c r="G3020" s="17">
        <f>MATCH(E3020,Arenas!$F$8:$F$15)</f>
        <v>7</v>
      </c>
      <c r="H3020" s="29" t="s">
        <v>4390</v>
      </c>
      <c r="I3020" s="33" t="s">
        <v>10618</v>
      </c>
      <c r="J3020" s="47" t="s">
        <v>10619</v>
      </c>
      <c r="K3020" s="61" t="s">
        <v>4779</v>
      </c>
      <c r="L3020" s="12" t="str">
        <f t="shared" si="141"/>
        <v>4,4,4</v>
      </c>
    </row>
    <row r="3021" spans="2:12">
      <c r="B3021" s="17">
        <v>3320</v>
      </c>
      <c r="C3021" s="17">
        <v>4</v>
      </c>
      <c r="D3021" s="17">
        <f t="shared" si="143"/>
        <v>0</v>
      </c>
      <c r="E3021" s="17">
        <f t="shared" si="142"/>
        <v>2154</v>
      </c>
      <c r="F3021" s="17" t="s">
        <v>4813</v>
      </c>
      <c r="G3021" s="17">
        <f>MATCH(E3021,Arenas!$F$8:$F$15)</f>
        <v>7</v>
      </c>
      <c r="H3021" s="29" t="s">
        <v>4391</v>
      </c>
      <c r="I3021" s="33" t="s">
        <v>10620</v>
      </c>
      <c r="J3021" s="47" t="s">
        <v>10621</v>
      </c>
      <c r="K3021" s="61" t="s">
        <v>4779</v>
      </c>
      <c r="L3021" s="12" t="str">
        <f t="shared" si="141"/>
        <v>4,4,4</v>
      </c>
    </row>
    <row r="3022" spans="2:12">
      <c r="B3022" s="17">
        <v>3321</v>
      </c>
      <c r="C3022" s="17">
        <v>4</v>
      </c>
      <c r="D3022" s="17">
        <f t="shared" si="143"/>
        <v>0</v>
      </c>
      <c r="E3022" s="17">
        <f t="shared" si="142"/>
        <v>2154</v>
      </c>
      <c r="F3022" s="17" t="s">
        <v>4813</v>
      </c>
      <c r="G3022" s="17">
        <f>MATCH(E3022,Arenas!$F$8:$F$15)</f>
        <v>7</v>
      </c>
      <c r="H3022" s="29" t="s">
        <v>4392</v>
      </c>
      <c r="I3022" s="33" t="s">
        <v>10622</v>
      </c>
      <c r="J3022" s="47" t="s">
        <v>10623</v>
      </c>
      <c r="K3022" s="61" t="s">
        <v>4779</v>
      </c>
      <c r="L3022" s="12" t="str">
        <f t="shared" si="141"/>
        <v>4,4,4</v>
      </c>
    </row>
    <row r="3023" spans="2:12">
      <c r="B3023" s="17">
        <v>3322</v>
      </c>
      <c r="C3023" s="17">
        <v>4</v>
      </c>
      <c r="D3023" s="17">
        <f t="shared" si="143"/>
        <v>1</v>
      </c>
      <c r="E3023" s="17">
        <f t="shared" si="142"/>
        <v>2155</v>
      </c>
      <c r="F3023" s="17" t="s">
        <v>4813</v>
      </c>
      <c r="G3023" s="17">
        <f>MATCH(E3023,Arenas!$F$8:$F$15)</f>
        <v>7</v>
      </c>
      <c r="H3023" s="29" t="s">
        <v>4393</v>
      </c>
      <c r="I3023" s="33" t="s">
        <v>10624</v>
      </c>
      <c r="J3023" s="47" t="s">
        <v>10625</v>
      </c>
      <c r="K3023" s="61" t="s">
        <v>4810</v>
      </c>
      <c r="L3023" s="12" t="str">
        <f t="shared" si="141"/>
        <v>4,4,4</v>
      </c>
    </row>
    <row r="3024" spans="2:12">
      <c r="B3024" s="17">
        <v>3323</v>
      </c>
      <c r="C3024" s="17">
        <v>4</v>
      </c>
      <c r="D3024" s="17">
        <f t="shared" si="143"/>
        <v>0</v>
      </c>
      <c r="E3024" s="17">
        <f t="shared" si="142"/>
        <v>2155</v>
      </c>
      <c r="F3024" s="17" t="s">
        <v>4813</v>
      </c>
      <c r="G3024" s="17">
        <f>MATCH(E3024,Arenas!$F$8:$F$15)</f>
        <v>7</v>
      </c>
      <c r="H3024" s="29" t="s">
        <v>4394</v>
      </c>
      <c r="I3024" s="33" t="s">
        <v>10626</v>
      </c>
      <c r="J3024" s="47" t="s">
        <v>10627</v>
      </c>
      <c r="K3024" s="61" t="s">
        <v>4779</v>
      </c>
      <c r="L3024" s="12" t="str">
        <f t="shared" si="141"/>
        <v>4,4,4</v>
      </c>
    </row>
    <row r="3025" spans="2:12">
      <c r="B3025" s="17">
        <v>3324</v>
      </c>
      <c r="C3025" s="17">
        <v>4</v>
      </c>
      <c r="D3025" s="17">
        <f t="shared" si="143"/>
        <v>0</v>
      </c>
      <c r="E3025" s="17">
        <f t="shared" si="142"/>
        <v>2155</v>
      </c>
      <c r="F3025" s="17" t="s">
        <v>4813</v>
      </c>
      <c r="G3025" s="17">
        <f>MATCH(E3025,Arenas!$F$8:$F$15)</f>
        <v>7</v>
      </c>
      <c r="H3025" s="29" t="s">
        <v>4395</v>
      </c>
      <c r="I3025" s="33" t="s">
        <v>10628</v>
      </c>
      <c r="J3025" s="47" t="s">
        <v>10629</v>
      </c>
      <c r="K3025" s="61" t="s">
        <v>4779</v>
      </c>
      <c r="L3025" s="12" t="str">
        <f t="shared" si="141"/>
        <v>4,4,4</v>
      </c>
    </row>
    <row r="3026" spans="2:12">
      <c r="B3026" s="17">
        <v>3325</v>
      </c>
      <c r="C3026" s="17">
        <v>4</v>
      </c>
      <c r="D3026" s="17">
        <f t="shared" si="143"/>
        <v>1</v>
      </c>
      <c r="E3026" s="17">
        <f t="shared" si="142"/>
        <v>2156</v>
      </c>
      <c r="F3026" s="17" t="s">
        <v>4813</v>
      </c>
      <c r="G3026" s="17">
        <f>MATCH(E3026,Arenas!$F$8:$F$15)</f>
        <v>7</v>
      </c>
      <c r="H3026" s="29" t="s">
        <v>4396</v>
      </c>
      <c r="I3026" s="33" t="s">
        <v>10630</v>
      </c>
      <c r="J3026" s="47" t="s">
        <v>10631</v>
      </c>
      <c r="K3026" s="61" t="s">
        <v>4779</v>
      </c>
      <c r="L3026" s="12" t="str">
        <f t="shared" si="141"/>
        <v>4,4,4</v>
      </c>
    </row>
    <row r="3027" spans="2:12">
      <c r="B3027" s="17">
        <v>3326</v>
      </c>
      <c r="C3027" s="17">
        <v>4</v>
      </c>
      <c r="D3027" s="17">
        <f t="shared" si="143"/>
        <v>0</v>
      </c>
      <c r="E3027" s="17">
        <f t="shared" si="142"/>
        <v>2156</v>
      </c>
      <c r="F3027" s="17" t="s">
        <v>4813</v>
      </c>
      <c r="G3027" s="17">
        <f>MATCH(E3027,Arenas!$F$8:$F$15)</f>
        <v>7</v>
      </c>
      <c r="H3027" s="29" t="s">
        <v>4397</v>
      </c>
      <c r="I3027" s="33" t="s">
        <v>10632</v>
      </c>
      <c r="J3027" s="47" t="s">
        <v>10633</v>
      </c>
      <c r="K3027" s="61" t="s">
        <v>4810</v>
      </c>
      <c r="L3027" s="12" t="str">
        <f t="shared" si="141"/>
        <v>4,4,4</v>
      </c>
    </row>
    <row r="3028" spans="2:12">
      <c r="B3028" s="17">
        <v>3327</v>
      </c>
      <c r="C3028" s="17">
        <v>4</v>
      </c>
      <c r="D3028" s="17">
        <f t="shared" si="143"/>
        <v>0</v>
      </c>
      <c r="E3028" s="17">
        <f t="shared" si="142"/>
        <v>2156</v>
      </c>
      <c r="F3028" s="17" t="s">
        <v>4813</v>
      </c>
      <c r="G3028" s="17">
        <f>MATCH(E3028,Arenas!$F$8:$F$15)</f>
        <v>7</v>
      </c>
      <c r="H3028" s="29" t="s">
        <v>4398</v>
      </c>
      <c r="I3028" s="33" t="s">
        <v>10634</v>
      </c>
      <c r="J3028" s="47" t="s">
        <v>10635</v>
      </c>
      <c r="K3028" s="61" t="s">
        <v>4779</v>
      </c>
      <c r="L3028" s="12" t="str">
        <f t="shared" si="141"/>
        <v>4,4,4</v>
      </c>
    </row>
    <row r="3029" spans="2:12">
      <c r="B3029" s="17">
        <v>3328</v>
      </c>
      <c r="C3029" s="17">
        <v>4</v>
      </c>
      <c r="D3029" s="17">
        <f t="shared" si="143"/>
        <v>1</v>
      </c>
      <c r="E3029" s="17">
        <f t="shared" si="142"/>
        <v>2157</v>
      </c>
      <c r="F3029" s="17" t="s">
        <v>4813</v>
      </c>
      <c r="G3029" s="17">
        <f>MATCH(E3029,Arenas!$F$8:$F$15)</f>
        <v>7</v>
      </c>
      <c r="H3029" s="29" t="s">
        <v>4399</v>
      </c>
      <c r="I3029" s="33" t="s">
        <v>10636</v>
      </c>
      <c r="J3029" s="47" t="s">
        <v>10637</v>
      </c>
      <c r="K3029" s="61" t="s">
        <v>4779</v>
      </c>
      <c r="L3029" s="12" t="str">
        <f t="shared" si="141"/>
        <v>4,4,4</v>
      </c>
    </row>
    <row r="3030" spans="2:12">
      <c r="B3030" s="17">
        <v>3329</v>
      </c>
      <c r="C3030" s="17">
        <v>4</v>
      </c>
      <c r="D3030" s="17">
        <f t="shared" si="143"/>
        <v>0</v>
      </c>
      <c r="E3030" s="17">
        <f t="shared" si="142"/>
        <v>2157</v>
      </c>
      <c r="F3030" s="17" t="s">
        <v>4813</v>
      </c>
      <c r="G3030" s="17">
        <f>MATCH(E3030,Arenas!$F$8:$F$15)</f>
        <v>7</v>
      </c>
      <c r="H3030" s="29" t="s">
        <v>4400</v>
      </c>
      <c r="I3030" s="33" t="s">
        <v>10638</v>
      </c>
      <c r="J3030" s="47" t="s">
        <v>10639</v>
      </c>
      <c r="K3030" s="61" t="s">
        <v>4779</v>
      </c>
      <c r="L3030" s="12" t="str">
        <f t="shared" si="141"/>
        <v>4,4,4</v>
      </c>
    </row>
    <row r="3031" spans="2:12">
      <c r="B3031" s="17">
        <v>3330</v>
      </c>
      <c r="C3031" s="17">
        <v>4</v>
      </c>
      <c r="D3031" s="17">
        <f t="shared" si="143"/>
        <v>0</v>
      </c>
      <c r="E3031" s="17">
        <f t="shared" si="142"/>
        <v>2157</v>
      </c>
      <c r="F3031" s="17" t="s">
        <v>4813</v>
      </c>
      <c r="G3031" s="17">
        <f>MATCH(E3031,Arenas!$F$8:$F$15)</f>
        <v>7</v>
      </c>
      <c r="H3031" s="29" t="s">
        <v>4401</v>
      </c>
      <c r="I3031" s="33" t="s">
        <v>10640</v>
      </c>
      <c r="J3031" s="47" t="s">
        <v>10641</v>
      </c>
      <c r="K3031" s="61" t="s">
        <v>4809</v>
      </c>
      <c r="L3031" s="12" t="str">
        <f t="shared" si="141"/>
        <v>4,4,4</v>
      </c>
    </row>
    <row r="3032" spans="2:12">
      <c r="B3032" s="17">
        <v>3331</v>
      </c>
      <c r="C3032" s="17">
        <v>4</v>
      </c>
      <c r="D3032" s="17">
        <f t="shared" si="143"/>
        <v>1</v>
      </c>
      <c r="E3032" s="17">
        <f t="shared" si="142"/>
        <v>2158</v>
      </c>
      <c r="F3032" s="17" t="s">
        <v>4813</v>
      </c>
      <c r="G3032" s="17">
        <f>MATCH(E3032,Arenas!$F$8:$F$15)</f>
        <v>7</v>
      </c>
      <c r="H3032" s="29" t="s">
        <v>4402</v>
      </c>
      <c r="I3032" s="33" t="s">
        <v>10642</v>
      </c>
      <c r="J3032" s="47" t="s">
        <v>10643</v>
      </c>
      <c r="K3032" s="61" t="s">
        <v>4779</v>
      </c>
      <c r="L3032" s="12" t="str">
        <f t="shared" si="141"/>
        <v>4,4,4</v>
      </c>
    </row>
    <row r="3033" spans="2:12">
      <c r="B3033" s="17">
        <v>3332</v>
      </c>
      <c r="C3033" s="17">
        <v>4</v>
      </c>
      <c r="D3033" s="17">
        <f t="shared" si="143"/>
        <v>0</v>
      </c>
      <c r="E3033" s="17">
        <f t="shared" si="142"/>
        <v>2158</v>
      </c>
      <c r="F3033" s="17" t="s">
        <v>4813</v>
      </c>
      <c r="G3033" s="17">
        <f>MATCH(E3033,Arenas!$F$8:$F$15)</f>
        <v>7</v>
      </c>
      <c r="H3033" s="29" t="s">
        <v>4403</v>
      </c>
      <c r="I3033" s="33" t="s">
        <v>10644</v>
      </c>
      <c r="J3033" s="47" t="s">
        <v>10645</v>
      </c>
      <c r="K3033" s="61" t="s">
        <v>4779</v>
      </c>
      <c r="L3033" s="12" t="str">
        <f t="shared" si="141"/>
        <v>4,4,4</v>
      </c>
    </row>
    <row r="3034" spans="2:12">
      <c r="B3034" s="17">
        <v>3333</v>
      </c>
      <c r="C3034" s="17">
        <v>4</v>
      </c>
      <c r="D3034" s="17">
        <f t="shared" si="143"/>
        <v>0</v>
      </c>
      <c r="E3034" s="17">
        <f t="shared" si="142"/>
        <v>2158</v>
      </c>
      <c r="F3034" s="17" t="s">
        <v>4813</v>
      </c>
      <c r="G3034" s="17">
        <f>MATCH(E3034,Arenas!$F$8:$F$15)</f>
        <v>7</v>
      </c>
      <c r="H3034" s="29" t="s">
        <v>4404</v>
      </c>
      <c r="I3034" s="33" t="s">
        <v>10646</v>
      </c>
      <c r="J3034" s="47" t="s">
        <v>10647</v>
      </c>
      <c r="K3034" s="61" t="s">
        <v>4779</v>
      </c>
      <c r="L3034" s="12" t="str">
        <f t="shared" si="141"/>
        <v>4,4,4</v>
      </c>
    </row>
    <row r="3035" spans="2:12">
      <c r="B3035" s="17">
        <v>3334</v>
      </c>
      <c r="C3035" s="17">
        <v>4</v>
      </c>
      <c r="D3035" s="17">
        <f t="shared" si="143"/>
        <v>1</v>
      </c>
      <c r="E3035" s="17">
        <f t="shared" si="142"/>
        <v>2159</v>
      </c>
      <c r="F3035" s="17" t="s">
        <v>4813</v>
      </c>
      <c r="G3035" s="17">
        <f>MATCH(E3035,Arenas!$F$8:$F$15)</f>
        <v>7</v>
      </c>
      <c r="H3035" s="29" t="s">
        <v>4405</v>
      </c>
      <c r="I3035" s="33" t="s">
        <v>10648</v>
      </c>
      <c r="J3035" s="47" t="s">
        <v>10649</v>
      </c>
      <c r="K3035" s="61" t="s">
        <v>4779</v>
      </c>
      <c r="L3035" s="12" t="str">
        <f t="shared" si="141"/>
        <v>4,4,4</v>
      </c>
    </row>
    <row r="3036" spans="2:12">
      <c r="B3036" s="17">
        <v>3335</v>
      </c>
      <c r="C3036" s="17">
        <v>4</v>
      </c>
      <c r="D3036" s="17">
        <f t="shared" si="143"/>
        <v>0</v>
      </c>
      <c r="E3036" s="17">
        <f t="shared" si="142"/>
        <v>2159</v>
      </c>
      <c r="F3036" s="17" t="s">
        <v>4813</v>
      </c>
      <c r="G3036" s="17">
        <f>MATCH(E3036,Arenas!$F$8:$F$15)</f>
        <v>7</v>
      </c>
      <c r="H3036" s="29" t="s">
        <v>4406</v>
      </c>
      <c r="I3036" s="33" t="s">
        <v>10650</v>
      </c>
      <c r="J3036" s="47" t="s">
        <v>10651</v>
      </c>
      <c r="K3036" s="61" t="s">
        <v>4779</v>
      </c>
      <c r="L3036" s="12" t="str">
        <f t="shared" si="141"/>
        <v>4,4,4</v>
      </c>
    </row>
    <row r="3037" spans="2:12">
      <c r="B3037" s="17">
        <v>3336</v>
      </c>
      <c r="C3037" s="17">
        <v>4</v>
      </c>
      <c r="D3037" s="17">
        <f t="shared" si="143"/>
        <v>0</v>
      </c>
      <c r="E3037" s="17">
        <f t="shared" si="142"/>
        <v>2159</v>
      </c>
      <c r="F3037" s="17" t="s">
        <v>4813</v>
      </c>
      <c r="G3037" s="17">
        <f>MATCH(E3037,Arenas!$F$8:$F$15)</f>
        <v>7</v>
      </c>
      <c r="H3037" s="29" t="s">
        <v>4407</v>
      </c>
      <c r="I3037" s="33" t="s">
        <v>10652</v>
      </c>
      <c r="J3037" s="47" t="s">
        <v>10653</v>
      </c>
      <c r="K3037" s="61" t="s">
        <v>4806</v>
      </c>
      <c r="L3037" s="12" t="str">
        <f t="shared" si="141"/>
        <v>4,4,4</v>
      </c>
    </row>
    <row r="3038" spans="2:12">
      <c r="B3038" s="17">
        <v>3337</v>
      </c>
      <c r="C3038" s="17">
        <v>4</v>
      </c>
      <c r="D3038" s="17">
        <f t="shared" si="143"/>
        <v>1</v>
      </c>
      <c r="E3038" s="17">
        <f t="shared" si="142"/>
        <v>2160</v>
      </c>
      <c r="F3038" s="17" t="s">
        <v>4813</v>
      </c>
      <c r="G3038" s="17">
        <f>MATCH(E3038,Arenas!$F$8:$F$15)</f>
        <v>7</v>
      </c>
      <c r="H3038" s="29" t="s">
        <v>4408</v>
      </c>
      <c r="I3038" s="33" t="s">
        <v>10654</v>
      </c>
      <c r="J3038" s="47" t="s">
        <v>10655</v>
      </c>
      <c r="K3038" s="61" t="s">
        <v>4779</v>
      </c>
      <c r="L3038" s="12" t="str">
        <f t="shared" si="141"/>
        <v>4,4,4</v>
      </c>
    </row>
    <row r="3039" spans="2:12">
      <c r="B3039" s="17">
        <v>3338</v>
      </c>
      <c r="C3039" s="17">
        <v>4</v>
      </c>
      <c r="D3039" s="17">
        <f t="shared" si="143"/>
        <v>0</v>
      </c>
      <c r="E3039" s="17">
        <f t="shared" si="142"/>
        <v>2160</v>
      </c>
      <c r="F3039" s="17" t="s">
        <v>4813</v>
      </c>
      <c r="G3039" s="17">
        <f>MATCH(E3039,Arenas!$F$8:$F$15)</f>
        <v>7</v>
      </c>
      <c r="H3039" s="29" t="s">
        <v>4409</v>
      </c>
      <c r="I3039" s="33" t="s">
        <v>10656</v>
      </c>
      <c r="J3039" s="47" t="s">
        <v>10657</v>
      </c>
      <c r="K3039" s="61" t="s">
        <v>4806</v>
      </c>
      <c r="L3039" s="12" t="str">
        <f t="shared" si="141"/>
        <v>4,4,4</v>
      </c>
    </row>
    <row r="3040" spans="2:12">
      <c r="B3040" s="17">
        <v>3339</v>
      </c>
      <c r="C3040" s="17">
        <v>4</v>
      </c>
      <c r="D3040" s="17">
        <f t="shared" si="143"/>
        <v>0</v>
      </c>
      <c r="E3040" s="17">
        <f t="shared" si="142"/>
        <v>2160</v>
      </c>
      <c r="F3040" s="17" t="s">
        <v>4813</v>
      </c>
      <c r="G3040" s="17">
        <f>MATCH(E3040,Arenas!$F$8:$F$15)</f>
        <v>7</v>
      </c>
      <c r="H3040" s="29" t="s">
        <v>4410</v>
      </c>
      <c r="I3040" s="33" t="s">
        <v>10658</v>
      </c>
      <c r="J3040" s="47" t="s">
        <v>10659</v>
      </c>
      <c r="K3040" s="61" t="s">
        <v>4810</v>
      </c>
      <c r="L3040" s="12" t="str">
        <f t="shared" si="141"/>
        <v>4,4,4</v>
      </c>
    </row>
    <row r="3041" spans="2:12">
      <c r="B3041" s="17">
        <v>3340</v>
      </c>
      <c r="C3041" s="17">
        <v>4</v>
      </c>
      <c r="D3041" s="17">
        <f t="shared" si="143"/>
        <v>1</v>
      </c>
      <c r="E3041" s="17">
        <f t="shared" si="142"/>
        <v>2161</v>
      </c>
      <c r="F3041" s="17" t="s">
        <v>4813</v>
      </c>
      <c r="G3041" s="17">
        <f>MATCH(E3041,Arenas!$F$8:$F$15)</f>
        <v>7</v>
      </c>
      <c r="H3041" s="29" t="s">
        <v>4411</v>
      </c>
      <c r="I3041" s="33" t="s">
        <v>10660</v>
      </c>
      <c r="J3041" s="47" t="s">
        <v>10661</v>
      </c>
      <c r="K3041" s="61" t="s">
        <v>4779</v>
      </c>
      <c r="L3041" s="12" t="str">
        <f t="shared" si="141"/>
        <v>4,4,4</v>
      </c>
    </row>
    <row r="3042" spans="2:12">
      <c r="B3042" s="17">
        <v>3341</v>
      </c>
      <c r="C3042" s="17">
        <v>4</v>
      </c>
      <c r="D3042" s="17">
        <f t="shared" si="143"/>
        <v>0</v>
      </c>
      <c r="E3042" s="17">
        <f t="shared" si="142"/>
        <v>2161</v>
      </c>
      <c r="F3042" s="17" t="s">
        <v>4813</v>
      </c>
      <c r="G3042" s="17">
        <f>MATCH(E3042,Arenas!$F$8:$F$15)</f>
        <v>7</v>
      </c>
      <c r="H3042" s="29" t="s">
        <v>4412</v>
      </c>
      <c r="I3042" s="33" t="s">
        <v>10662</v>
      </c>
      <c r="J3042" s="47" t="s">
        <v>5165</v>
      </c>
      <c r="K3042" s="61" t="s">
        <v>4779</v>
      </c>
      <c r="L3042" s="12" t="str">
        <f t="shared" si="141"/>
        <v>4,4,4</v>
      </c>
    </row>
    <row r="3043" spans="2:12">
      <c r="B3043" s="17">
        <v>3342</v>
      </c>
      <c r="C3043" s="17">
        <v>4</v>
      </c>
      <c r="D3043" s="17">
        <f t="shared" si="143"/>
        <v>0</v>
      </c>
      <c r="E3043" s="17">
        <f t="shared" si="142"/>
        <v>2161</v>
      </c>
      <c r="F3043" s="17" t="s">
        <v>4813</v>
      </c>
      <c r="G3043" s="17">
        <f>MATCH(E3043,Arenas!$F$8:$F$15)</f>
        <v>7</v>
      </c>
      <c r="H3043" s="29" t="s">
        <v>4413</v>
      </c>
      <c r="I3043" s="33" t="s">
        <v>10663</v>
      </c>
      <c r="J3043" s="47" t="s">
        <v>5153</v>
      </c>
      <c r="K3043" s="61" t="s">
        <v>4779</v>
      </c>
      <c r="L3043" s="12" t="str">
        <f t="shared" si="141"/>
        <v>4,4,4</v>
      </c>
    </row>
    <row r="3044" spans="2:12">
      <c r="B3044" s="17">
        <v>3343</v>
      </c>
      <c r="C3044" s="17">
        <v>4</v>
      </c>
      <c r="D3044" s="17">
        <f t="shared" si="143"/>
        <v>1</v>
      </c>
      <c r="E3044" s="17">
        <f t="shared" si="142"/>
        <v>2162</v>
      </c>
      <c r="F3044" s="17" t="s">
        <v>4813</v>
      </c>
      <c r="G3044" s="17">
        <f>MATCH(E3044,Arenas!$F$8:$F$15)</f>
        <v>7</v>
      </c>
      <c r="H3044" s="29" t="s">
        <v>4414</v>
      </c>
      <c r="I3044" s="33" t="s">
        <v>10664</v>
      </c>
      <c r="J3044" s="47" t="s">
        <v>10665</v>
      </c>
      <c r="K3044" s="61" t="s">
        <v>4806</v>
      </c>
      <c r="L3044" s="12" t="str">
        <f t="shared" si="141"/>
        <v>4,4,4</v>
      </c>
    </row>
    <row r="3045" spans="2:12">
      <c r="B3045" s="17">
        <v>3344</v>
      </c>
      <c r="C3045" s="17">
        <v>4</v>
      </c>
      <c r="D3045" s="17">
        <f t="shared" si="143"/>
        <v>0</v>
      </c>
      <c r="E3045" s="17">
        <f t="shared" si="142"/>
        <v>2162</v>
      </c>
      <c r="F3045" s="17" t="s">
        <v>4813</v>
      </c>
      <c r="G3045" s="17">
        <f>MATCH(E3045,Arenas!$F$8:$F$15)</f>
        <v>7</v>
      </c>
      <c r="H3045" s="29" t="s">
        <v>4415</v>
      </c>
      <c r="I3045" s="33" t="s">
        <v>10666</v>
      </c>
      <c r="J3045" s="47" t="s">
        <v>10667</v>
      </c>
      <c r="K3045" s="61" t="s">
        <v>4779</v>
      </c>
      <c r="L3045" s="12" t="str">
        <f t="shared" si="141"/>
        <v>4,4,4</v>
      </c>
    </row>
    <row r="3046" spans="2:12">
      <c r="B3046" s="17">
        <v>3345</v>
      </c>
      <c r="C3046" s="17">
        <v>4</v>
      </c>
      <c r="D3046" s="17">
        <f t="shared" si="143"/>
        <v>0</v>
      </c>
      <c r="E3046" s="17">
        <f t="shared" si="142"/>
        <v>2162</v>
      </c>
      <c r="F3046" s="17" t="s">
        <v>4813</v>
      </c>
      <c r="G3046" s="17">
        <f>MATCH(E3046,Arenas!$F$8:$F$15)</f>
        <v>7</v>
      </c>
      <c r="H3046" s="29" t="s">
        <v>4416</v>
      </c>
      <c r="I3046" s="33" t="s">
        <v>10668</v>
      </c>
      <c r="J3046" s="47" t="s">
        <v>10669</v>
      </c>
      <c r="K3046" s="61" t="s">
        <v>4779</v>
      </c>
      <c r="L3046" s="12" t="str">
        <f t="shared" si="141"/>
        <v>4,4,4</v>
      </c>
    </row>
    <row r="3047" spans="2:12">
      <c r="B3047" s="17">
        <v>3346</v>
      </c>
      <c r="C3047" s="17">
        <v>4</v>
      </c>
      <c r="D3047" s="17">
        <f t="shared" si="143"/>
        <v>1</v>
      </c>
      <c r="E3047" s="17">
        <f t="shared" si="142"/>
        <v>2163</v>
      </c>
      <c r="F3047" s="17" t="s">
        <v>4813</v>
      </c>
      <c r="G3047" s="17">
        <f>MATCH(E3047,Arenas!$F$8:$F$15)</f>
        <v>7</v>
      </c>
      <c r="H3047" s="29" t="s">
        <v>4417</v>
      </c>
      <c r="I3047" s="33" t="s">
        <v>10670</v>
      </c>
      <c r="J3047" s="47" t="s">
        <v>10671</v>
      </c>
      <c r="K3047" s="61" t="s">
        <v>4779</v>
      </c>
      <c r="L3047" s="12" t="str">
        <f t="shared" si="141"/>
        <v>4,4,4</v>
      </c>
    </row>
    <row r="3048" spans="2:12">
      <c r="B3048" s="17">
        <v>3347</v>
      </c>
      <c r="C3048" s="17">
        <v>4</v>
      </c>
      <c r="D3048" s="17">
        <f t="shared" si="143"/>
        <v>0</v>
      </c>
      <c r="E3048" s="17">
        <f t="shared" si="142"/>
        <v>2163</v>
      </c>
      <c r="F3048" s="17" t="s">
        <v>4813</v>
      </c>
      <c r="G3048" s="17">
        <f>MATCH(E3048,Arenas!$F$8:$F$15)</f>
        <v>7</v>
      </c>
      <c r="H3048" s="29" t="s">
        <v>4418</v>
      </c>
      <c r="I3048" s="33" t="s">
        <v>10672</v>
      </c>
      <c r="J3048" s="47" t="s">
        <v>10673</v>
      </c>
      <c r="K3048" s="61" t="s">
        <v>4779</v>
      </c>
      <c r="L3048" s="12" t="str">
        <f t="shared" si="141"/>
        <v>4,4,4</v>
      </c>
    </row>
    <row r="3049" spans="2:12">
      <c r="B3049" s="17">
        <v>3348</v>
      </c>
      <c r="C3049" s="17">
        <v>4</v>
      </c>
      <c r="D3049" s="17">
        <f t="shared" si="143"/>
        <v>0</v>
      </c>
      <c r="E3049" s="17">
        <f t="shared" si="142"/>
        <v>2163</v>
      </c>
      <c r="F3049" s="17" t="s">
        <v>4813</v>
      </c>
      <c r="G3049" s="17">
        <f>MATCH(E3049,Arenas!$F$8:$F$15)</f>
        <v>7</v>
      </c>
      <c r="H3049" s="29" t="s">
        <v>4419</v>
      </c>
      <c r="I3049" s="33" t="s">
        <v>10674</v>
      </c>
      <c r="J3049" s="47" t="s">
        <v>10675</v>
      </c>
      <c r="K3049" s="61" t="s">
        <v>4779</v>
      </c>
      <c r="L3049" s="12" t="str">
        <f t="shared" si="141"/>
        <v>4,4,4</v>
      </c>
    </row>
    <row r="3050" spans="2:12">
      <c r="B3050" s="17">
        <v>3349</v>
      </c>
      <c r="C3050" s="17">
        <v>4</v>
      </c>
      <c r="D3050" s="17">
        <f t="shared" si="143"/>
        <v>1</v>
      </c>
      <c r="E3050" s="17">
        <f t="shared" si="142"/>
        <v>2164</v>
      </c>
      <c r="F3050" s="17" t="s">
        <v>4813</v>
      </c>
      <c r="G3050" s="17">
        <f>MATCH(E3050,Arenas!$F$8:$F$15)</f>
        <v>7</v>
      </c>
      <c r="H3050" s="29" t="s">
        <v>4420</v>
      </c>
      <c r="I3050" s="33" t="s">
        <v>10676</v>
      </c>
      <c r="J3050" s="47" t="s">
        <v>10677</v>
      </c>
      <c r="K3050" s="61" t="s">
        <v>4779</v>
      </c>
      <c r="L3050" s="12" t="str">
        <f t="shared" si="141"/>
        <v>4,4,4</v>
      </c>
    </row>
    <row r="3051" spans="2:12">
      <c r="B3051" s="17">
        <v>3350</v>
      </c>
      <c r="C3051" s="17">
        <v>4</v>
      </c>
      <c r="D3051" s="17">
        <f t="shared" si="143"/>
        <v>0</v>
      </c>
      <c r="E3051" s="17">
        <f t="shared" si="142"/>
        <v>2164</v>
      </c>
      <c r="F3051" s="17" t="s">
        <v>4813</v>
      </c>
      <c r="G3051" s="17">
        <f>MATCH(E3051,Arenas!$F$8:$F$15)</f>
        <v>7</v>
      </c>
      <c r="H3051" s="29" t="s">
        <v>4421</v>
      </c>
      <c r="I3051" s="33" t="s">
        <v>10678</v>
      </c>
      <c r="J3051" s="47" t="s">
        <v>5939</v>
      </c>
      <c r="K3051" s="61" t="s">
        <v>4779</v>
      </c>
      <c r="L3051" s="12" t="str">
        <f t="shared" si="141"/>
        <v>4,4,4</v>
      </c>
    </row>
    <row r="3052" spans="2:12">
      <c r="B3052" s="17">
        <v>3351</v>
      </c>
      <c r="C3052" s="17">
        <v>4</v>
      </c>
      <c r="D3052" s="17">
        <f t="shared" si="143"/>
        <v>0</v>
      </c>
      <c r="E3052" s="17">
        <f t="shared" si="142"/>
        <v>2164</v>
      </c>
      <c r="F3052" s="17" t="s">
        <v>4813</v>
      </c>
      <c r="G3052" s="17">
        <f>MATCH(E3052,Arenas!$F$8:$F$15)</f>
        <v>7</v>
      </c>
      <c r="H3052" s="29" t="s">
        <v>4422</v>
      </c>
      <c r="I3052" s="33" t="s">
        <v>10679</v>
      </c>
      <c r="J3052" s="47" t="s">
        <v>10680</v>
      </c>
      <c r="K3052" s="61" t="s">
        <v>4779</v>
      </c>
      <c r="L3052" s="12" t="str">
        <f t="shared" si="141"/>
        <v>4,4,4</v>
      </c>
    </row>
    <row r="3053" spans="2:12">
      <c r="B3053" s="17">
        <v>3352</v>
      </c>
      <c r="C3053" s="17">
        <v>4</v>
      </c>
      <c r="D3053" s="17">
        <f t="shared" si="143"/>
        <v>1</v>
      </c>
      <c r="E3053" s="17">
        <f t="shared" si="142"/>
        <v>2165</v>
      </c>
      <c r="F3053" s="17" t="s">
        <v>4813</v>
      </c>
      <c r="G3053" s="17">
        <f>MATCH(E3053,Arenas!$F$8:$F$15)</f>
        <v>7</v>
      </c>
      <c r="H3053" s="29" t="s">
        <v>4423</v>
      </c>
      <c r="I3053" s="33" t="s">
        <v>10681</v>
      </c>
      <c r="J3053" s="47" t="s">
        <v>10682</v>
      </c>
      <c r="K3053" s="61" t="s">
        <v>4779</v>
      </c>
      <c r="L3053" s="12" t="str">
        <f t="shared" si="141"/>
        <v>4,4,4</v>
      </c>
    </row>
    <row r="3054" spans="2:12">
      <c r="B3054" s="17">
        <v>3353</v>
      </c>
      <c r="C3054" s="17">
        <v>4</v>
      </c>
      <c r="D3054" s="17">
        <f t="shared" si="143"/>
        <v>0</v>
      </c>
      <c r="E3054" s="17">
        <f t="shared" si="142"/>
        <v>2165</v>
      </c>
      <c r="F3054" s="17" t="s">
        <v>4813</v>
      </c>
      <c r="G3054" s="17">
        <f>MATCH(E3054,Arenas!$F$8:$F$15)</f>
        <v>7</v>
      </c>
      <c r="H3054" s="29" t="s">
        <v>4424</v>
      </c>
      <c r="I3054" s="33" t="s">
        <v>10683</v>
      </c>
      <c r="J3054" s="47" t="s">
        <v>10684</v>
      </c>
      <c r="K3054" s="61" t="s">
        <v>4779</v>
      </c>
      <c r="L3054" s="12" t="str">
        <f t="shared" si="141"/>
        <v>4,4,4</v>
      </c>
    </row>
    <row r="3055" spans="2:12">
      <c r="B3055" s="17">
        <v>3354</v>
      </c>
      <c r="C3055" s="17">
        <v>4</v>
      </c>
      <c r="D3055" s="17">
        <f t="shared" si="143"/>
        <v>0</v>
      </c>
      <c r="E3055" s="17">
        <f t="shared" si="142"/>
        <v>2165</v>
      </c>
      <c r="F3055" s="17" t="s">
        <v>4813</v>
      </c>
      <c r="G3055" s="17">
        <f>MATCH(E3055,Arenas!$F$8:$F$15)</f>
        <v>7</v>
      </c>
      <c r="H3055" s="29" t="s">
        <v>4425</v>
      </c>
      <c r="I3055" s="33" t="s">
        <v>10685</v>
      </c>
      <c r="J3055" s="47" t="s">
        <v>10686</v>
      </c>
      <c r="K3055" s="61" t="s">
        <v>4779</v>
      </c>
      <c r="L3055" s="12" t="str">
        <f t="shared" si="141"/>
        <v>4,4,4</v>
      </c>
    </row>
    <row r="3056" spans="2:12">
      <c r="B3056" s="17">
        <v>3355</v>
      </c>
      <c r="C3056" s="17">
        <v>4</v>
      </c>
      <c r="D3056" s="17">
        <f t="shared" si="143"/>
        <v>1</v>
      </c>
      <c r="E3056" s="17">
        <f t="shared" si="142"/>
        <v>2166</v>
      </c>
      <c r="F3056" s="17" t="s">
        <v>4813</v>
      </c>
      <c r="G3056" s="17">
        <f>MATCH(E3056,Arenas!$F$8:$F$15)</f>
        <v>7</v>
      </c>
      <c r="H3056" s="29" t="s">
        <v>4426</v>
      </c>
      <c r="I3056" s="33" t="s">
        <v>10687</v>
      </c>
      <c r="J3056" s="47" t="s">
        <v>10688</v>
      </c>
      <c r="K3056" s="61" t="s">
        <v>4779</v>
      </c>
      <c r="L3056" s="12" t="str">
        <f t="shared" si="141"/>
        <v>4,4,4</v>
      </c>
    </row>
    <row r="3057" spans="2:12">
      <c r="B3057" s="17">
        <v>3356</v>
      </c>
      <c r="C3057" s="17">
        <v>4</v>
      </c>
      <c r="D3057" s="17">
        <f t="shared" si="143"/>
        <v>0</v>
      </c>
      <c r="E3057" s="17">
        <f t="shared" si="142"/>
        <v>2166</v>
      </c>
      <c r="F3057" s="17" t="s">
        <v>4813</v>
      </c>
      <c r="G3057" s="17">
        <f>MATCH(E3057,Arenas!$F$8:$F$15)</f>
        <v>7</v>
      </c>
      <c r="H3057" s="29" t="s">
        <v>4427</v>
      </c>
      <c r="I3057" s="33" t="s">
        <v>10689</v>
      </c>
      <c r="J3057" s="47" t="s">
        <v>10690</v>
      </c>
      <c r="K3057" s="61" t="s">
        <v>4779</v>
      </c>
      <c r="L3057" s="12" t="str">
        <f t="shared" si="141"/>
        <v>4,4,4</v>
      </c>
    </row>
    <row r="3058" spans="2:12">
      <c r="B3058" s="17">
        <v>3357</v>
      </c>
      <c r="C3058" s="17">
        <v>4</v>
      </c>
      <c r="D3058" s="17">
        <f t="shared" si="143"/>
        <v>0</v>
      </c>
      <c r="E3058" s="17">
        <f t="shared" si="142"/>
        <v>2166</v>
      </c>
      <c r="F3058" s="17" t="s">
        <v>4813</v>
      </c>
      <c r="G3058" s="17">
        <f>MATCH(E3058,Arenas!$F$8:$F$15)</f>
        <v>7</v>
      </c>
      <c r="H3058" s="29" t="s">
        <v>4428</v>
      </c>
      <c r="I3058" s="33" t="s">
        <v>10691</v>
      </c>
      <c r="J3058" s="47" t="s">
        <v>10692</v>
      </c>
      <c r="K3058" s="61" t="s">
        <v>4779</v>
      </c>
      <c r="L3058" s="12" t="str">
        <f t="shared" si="141"/>
        <v>4,4,4</v>
      </c>
    </row>
    <row r="3059" spans="2:12">
      <c r="B3059" s="17">
        <v>3358</v>
      </c>
      <c r="C3059" s="17">
        <v>4</v>
      </c>
      <c r="D3059" s="17">
        <f t="shared" si="143"/>
        <v>1</v>
      </c>
      <c r="E3059" s="17">
        <f t="shared" si="142"/>
        <v>2167</v>
      </c>
      <c r="F3059" s="17" t="s">
        <v>4813</v>
      </c>
      <c r="G3059" s="17">
        <f>MATCH(E3059,Arenas!$F$8:$F$15)</f>
        <v>7</v>
      </c>
      <c r="H3059" s="29" t="s">
        <v>4429</v>
      </c>
      <c r="I3059" s="33" t="s">
        <v>10693</v>
      </c>
      <c r="J3059" s="47" t="s">
        <v>10694</v>
      </c>
      <c r="K3059" s="61" t="s">
        <v>4779</v>
      </c>
      <c r="L3059" s="12" t="str">
        <f t="shared" si="141"/>
        <v>4,4,4</v>
      </c>
    </row>
    <row r="3060" spans="2:12">
      <c r="B3060" s="17">
        <v>3359</v>
      </c>
      <c r="C3060" s="17">
        <v>4</v>
      </c>
      <c r="D3060" s="17">
        <f t="shared" si="143"/>
        <v>0</v>
      </c>
      <c r="E3060" s="17">
        <f t="shared" si="142"/>
        <v>2167</v>
      </c>
      <c r="F3060" s="17" t="s">
        <v>4813</v>
      </c>
      <c r="G3060" s="17">
        <f>MATCH(E3060,Arenas!$F$8:$F$15)</f>
        <v>7</v>
      </c>
      <c r="H3060" s="29" t="s">
        <v>4430</v>
      </c>
      <c r="I3060" s="33" t="s">
        <v>10695</v>
      </c>
      <c r="J3060" s="47" t="s">
        <v>10696</v>
      </c>
      <c r="K3060" s="61" t="s">
        <v>4779</v>
      </c>
      <c r="L3060" s="12" t="str">
        <f t="shared" si="141"/>
        <v>4,4,4</v>
      </c>
    </row>
    <row r="3061" spans="2:12">
      <c r="B3061" s="17">
        <v>3360</v>
      </c>
      <c r="C3061" s="17">
        <v>4</v>
      </c>
      <c r="D3061" s="17">
        <f t="shared" si="143"/>
        <v>0</v>
      </c>
      <c r="E3061" s="17">
        <f t="shared" si="142"/>
        <v>2167</v>
      </c>
      <c r="F3061" s="17" t="s">
        <v>4813</v>
      </c>
      <c r="G3061" s="17">
        <f>MATCH(E3061,Arenas!$F$8:$F$15)</f>
        <v>7</v>
      </c>
      <c r="H3061" s="29" t="s">
        <v>4431</v>
      </c>
      <c r="I3061" s="33" t="s">
        <v>10697</v>
      </c>
      <c r="J3061" s="47" t="s">
        <v>10698</v>
      </c>
      <c r="K3061" s="61" t="s">
        <v>4779</v>
      </c>
      <c r="L3061" s="12" t="str">
        <f t="shared" si="141"/>
        <v>4,4,4</v>
      </c>
    </row>
    <row r="3062" spans="2:12">
      <c r="B3062" s="17">
        <v>3361</v>
      </c>
      <c r="C3062" s="17">
        <v>4</v>
      </c>
      <c r="D3062" s="17">
        <f t="shared" si="143"/>
        <v>1</v>
      </c>
      <c r="E3062" s="17">
        <f t="shared" si="142"/>
        <v>2168</v>
      </c>
      <c r="F3062" s="17" t="s">
        <v>4813</v>
      </c>
      <c r="G3062" s="17">
        <f>MATCH(E3062,Arenas!$F$8:$F$15)</f>
        <v>7</v>
      </c>
      <c r="H3062" s="29" t="s">
        <v>4432</v>
      </c>
      <c r="I3062" s="33" t="s">
        <v>10699</v>
      </c>
      <c r="J3062" s="47" t="s">
        <v>10700</v>
      </c>
      <c r="K3062" s="61" t="s">
        <v>4779</v>
      </c>
      <c r="L3062" s="12" t="str">
        <f t="shared" si="141"/>
        <v>4,4,4</v>
      </c>
    </row>
    <row r="3063" spans="2:12">
      <c r="B3063" s="17">
        <v>3362</v>
      </c>
      <c r="C3063" s="17">
        <v>4</v>
      </c>
      <c r="D3063" s="17">
        <f t="shared" si="143"/>
        <v>0</v>
      </c>
      <c r="E3063" s="17">
        <f t="shared" si="142"/>
        <v>2168</v>
      </c>
      <c r="F3063" s="17" t="s">
        <v>4813</v>
      </c>
      <c r="G3063" s="17">
        <f>MATCH(E3063,Arenas!$F$8:$F$15)</f>
        <v>7</v>
      </c>
      <c r="H3063" s="29" t="s">
        <v>4433</v>
      </c>
      <c r="I3063" s="33" t="s">
        <v>10701</v>
      </c>
      <c r="J3063" s="47" t="s">
        <v>10702</v>
      </c>
      <c r="K3063" s="61" t="s">
        <v>4779</v>
      </c>
      <c r="L3063" s="12" t="str">
        <f t="shared" si="141"/>
        <v>4,4,4</v>
      </c>
    </row>
    <row r="3064" spans="2:12">
      <c r="B3064" s="17">
        <v>3363</v>
      </c>
      <c r="C3064" s="17">
        <v>4</v>
      </c>
      <c r="D3064" s="17">
        <f t="shared" si="143"/>
        <v>0</v>
      </c>
      <c r="E3064" s="17">
        <f t="shared" si="142"/>
        <v>2168</v>
      </c>
      <c r="F3064" s="17" t="s">
        <v>4813</v>
      </c>
      <c r="G3064" s="17">
        <f>MATCH(E3064,Arenas!$F$8:$F$15)</f>
        <v>7</v>
      </c>
      <c r="H3064" s="29" t="s">
        <v>4434</v>
      </c>
      <c r="I3064" s="33" t="s">
        <v>10703</v>
      </c>
      <c r="J3064" s="47" t="s">
        <v>10704</v>
      </c>
      <c r="K3064" s="61" t="s">
        <v>4810</v>
      </c>
      <c r="L3064" s="12" t="str">
        <f t="shared" si="141"/>
        <v>4,4,4</v>
      </c>
    </row>
    <row r="3065" spans="2:12">
      <c r="B3065" s="17">
        <v>3364</v>
      </c>
      <c r="C3065" s="17">
        <v>4</v>
      </c>
      <c r="D3065" s="17">
        <f t="shared" si="143"/>
        <v>1</v>
      </c>
      <c r="E3065" s="17">
        <f t="shared" si="142"/>
        <v>2169</v>
      </c>
      <c r="F3065" s="17" t="s">
        <v>4813</v>
      </c>
      <c r="G3065" s="17">
        <f>MATCH(E3065,Arenas!$F$8:$F$15)</f>
        <v>7</v>
      </c>
      <c r="H3065" s="29" t="s">
        <v>4435</v>
      </c>
      <c r="I3065" s="33" t="s">
        <v>10705</v>
      </c>
      <c r="J3065" s="47" t="s">
        <v>10706</v>
      </c>
      <c r="K3065" s="61" t="s">
        <v>4779</v>
      </c>
      <c r="L3065" s="12" t="str">
        <f t="shared" si="141"/>
        <v>4,4,4</v>
      </c>
    </row>
    <row r="3066" spans="2:12">
      <c r="B3066" s="17">
        <v>3365</v>
      </c>
      <c r="C3066" s="17">
        <v>4</v>
      </c>
      <c r="D3066" s="17">
        <f t="shared" si="143"/>
        <v>0</v>
      </c>
      <c r="E3066" s="17">
        <f t="shared" si="142"/>
        <v>2169</v>
      </c>
      <c r="F3066" s="17" t="s">
        <v>4813</v>
      </c>
      <c r="G3066" s="17">
        <f>MATCH(E3066,Arenas!$F$8:$F$15)</f>
        <v>7</v>
      </c>
      <c r="H3066" s="29" t="s">
        <v>4436</v>
      </c>
      <c r="I3066" s="33" t="s">
        <v>10707</v>
      </c>
      <c r="J3066" s="47" t="s">
        <v>10708</v>
      </c>
      <c r="K3066" s="61" t="s">
        <v>4779</v>
      </c>
      <c r="L3066" s="12" t="str">
        <f t="shared" si="141"/>
        <v>4,4,4</v>
      </c>
    </row>
    <row r="3067" spans="2:12">
      <c r="B3067" s="17">
        <v>3366</v>
      </c>
      <c r="C3067" s="17">
        <v>4</v>
      </c>
      <c r="D3067" s="17">
        <f t="shared" si="143"/>
        <v>0</v>
      </c>
      <c r="E3067" s="17">
        <f t="shared" si="142"/>
        <v>2169</v>
      </c>
      <c r="F3067" s="17" t="s">
        <v>4813</v>
      </c>
      <c r="G3067" s="17">
        <f>MATCH(E3067,Arenas!$F$8:$F$15)</f>
        <v>7</v>
      </c>
      <c r="H3067" s="29" t="s">
        <v>4437</v>
      </c>
      <c r="I3067" s="33" t="s">
        <v>10709</v>
      </c>
      <c r="J3067" s="47" t="s">
        <v>10710</v>
      </c>
      <c r="K3067" s="61" t="s">
        <v>4779</v>
      </c>
      <c r="L3067" s="12" t="str">
        <f t="shared" si="141"/>
        <v>4,4,4</v>
      </c>
    </row>
    <row r="3068" spans="2:12">
      <c r="B3068" s="17">
        <v>3367</v>
      </c>
      <c r="C3068" s="17">
        <v>4</v>
      </c>
      <c r="D3068" s="17">
        <f t="shared" si="143"/>
        <v>1</v>
      </c>
      <c r="E3068" s="17">
        <f t="shared" si="142"/>
        <v>2170</v>
      </c>
      <c r="F3068" s="17" t="s">
        <v>4813</v>
      </c>
      <c r="G3068" s="17">
        <f>MATCH(E3068,Arenas!$F$8:$F$15)</f>
        <v>7</v>
      </c>
      <c r="H3068" s="29" t="s">
        <v>4438</v>
      </c>
      <c r="I3068" s="33" t="s">
        <v>10711</v>
      </c>
      <c r="J3068" s="47" t="s">
        <v>10712</v>
      </c>
      <c r="K3068" s="61" t="s">
        <v>4810</v>
      </c>
      <c r="L3068" s="12" t="str">
        <f t="shared" si="141"/>
        <v>4,4,4</v>
      </c>
    </row>
    <row r="3069" spans="2:12">
      <c r="B3069" s="17">
        <v>3368</v>
      </c>
      <c r="C3069" s="17">
        <v>4</v>
      </c>
      <c r="D3069" s="17">
        <f t="shared" si="143"/>
        <v>0</v>
      </c>
      <c r="E3069" s="17">
        <f t="shared" si="142"/>
        <v>2170</v>
      </c>
      <c r="F3069" s="17" t="s">
        <v>4813</v>
      </c>
      <c r="G3069" s="17">
        <f>MATCH(E3069,Arenas!$F$8:$F$15)</f>
        <v>7</v>
      </c>
      <c r="H3069" s="29" t="s">
        <v>4439</v>
      </c>
      <c r="I3069" s="33" t="s">
        <v>10713</v>
      </c>
      <c r="J3069" s="47" t="s">
        <v>10714</v>
      </c>
      <c r="K3069" s="61" t="s">
        <v>4779</v>
      </c>
      <c r="L3069" s="12" t="str">
        <f t="shared" si="141"/>
        <v>4,4,4</v>
      </c>
    </row>
    <row r="3070" spans="2:12">
      <c r="B3070" s="17">
        <v>3369</v>
      </c>
      <c r="C3070" s="17">
        <v>4</v>
      </c>
      <c r="D3070" s="17">
        <f t="shared" si="143"/>
        <v>0</v>
      </c>
      <c r="E3070" s="17">
        <f t="shared" si="142"/>
        <v>2170</v>
      </c>
      <c r="F3070" s="17" t="s">
        <v>4813</v>
      </c>
      <c r="G3070" s="17">
        <f>MATCH(E3070,Arenas!$F$8:$F$15)</f>
        <v>7</v>
      </c>
      <c r="H3070" s="29" t="s">
        <v>4440</v>
      </c>
      <c r="I3070" s="33" t="s">
        <v>10715</v>
      </c>
      <c r="J3070" s="47" t="s">
        <v>10716</v>
      </c>
      <c r="K3070" s="61" t="s">
        <v>4779</v>
      </c>
      <c r="L3070" s="12" t="str">
        <f t="shared" si="141"/>
        <v>4,4,4</v>
      </c>
    </row>
    <row r="3071" spans="2:12">
      <c r="B3071" s="17">
        <v>3370</v>
      </c>
      <c r="C3071" s="17">
        <v>4</v>
      </c>
      <c r="D3071" s="17">
        <f t="shared" si="143"/>
        <v>1</v>
      </c>
      <c r="E3071" s="17">
        <f t="shared" si="142"/>
        <v>2171</v>
      </c>
      <c r="F3071" s="17" t="s">
        <v>4813</v>
      </c>
      <c r="G3071" s="17">
        <f>MATCH(E3071,Arenas!$F$8:$F$15)</f>
        <v>7</v>
      </c>
      <c r="H3071" s="29" t="s">
        <v>4441</v>
      </c>
      <c r="I3071" s="33" t="s">
        <v>10717</v>
      </c>
      <c r="J3071" s="47" t="s">
        <v>10718</v>
      </c>
      <c r="K3071" s="61" t="s">
        <v>4807</v>
      </c>
      <c r="L3071" s="12" t="str">
        <f t="shared" si="141"/>
        <v>4,4,4</v>
      </c>
    </row>
    <row r="3072" spans="2:12">
      <c r="B3072" s="17">
        <v>3371</v>
      </c>
      <c r="C3072" s="17">
        <v>4</v>
      </c>
      <c r="D3072" s="17">
        <f t="shared" si="143"/>
        <v>0</v>
      </c>
      <c r="E3072" s="17">
        <f t="shared" si="142"/>
        <v>2171</v>
      </c>
      <c r="F3072" s="17" t="s">
        <v>4813</v>
      </c>
      <c r="G3072" s="17">
        <f>MATCH(E3072,Arenas!$F$8:$F$15)</f>
        <v>7</v>
      </c>
      <c r="H3072" s="29" t="s">
        <v>4442</v>
      </c>
      <c r="I3072" s="33" t="s">
        <v>10719</v>
      </c>
      <c r="J3072" s="47" t="s">
        <v>10720</v>
      </c>
      <c r="K3072" s="61" t="s">
        <v>4779</v>
      </c>
      <c r="L3072" s="12" t="str">
        <f t="shared" si="141"/>
        <v>4,4,4</v>
      </c>
    </row>
    <row r="3073" spans="2:12">
      <c r="B3073" s="17">
        <v>3372</v>
      </c>
      <c r="C3073" s="17">
        <v>4</v>
      </c>
      <c r="D3073" s="17">
        <f t="shared" si="143"/>
        <v>0</v>
      </c>
      <c r="E3073" s="17">
        <f t="shared" si="142"/>
        <v>2171</v>
      </c>
      <c r="F3073" s="17" t="s">
        <v>4813</v>
      </c>
      <c r="G3073" s="17">
        <f>MATCH(E3073,Arenas!$F$8:$F$15)</f>
        <v>7</v>
      </c>
      <c r="H3073" s="29" t="s">
        <v>4443</v>
      </c>
      <c r="I3073" s="33" t="s">
        <v>10721</v>
      </c>
      <c r="J3073" s="47" t="s">
        <v>10722</v>
      </c>
      <c r="K3073" s="61" t="s">
        <v>4779</v>
      </c>
      <c r="L3073" s="12" t="str">
        <f t="shared" si="141"/>
        <v>4,4,4</v>
      </c>
    </row>
    <row r="3074" spans="2:12">
      <c r="B3074" s="17">
        <v>3373</v>
      </c>
      <c r="C3074" s="17">
        <v>4</v>
      </c>
      <c r="D3074" s="17">
        <f t="shared" si="143"/>
        <v>1</v>
      </c>
      <c r="E3074" s="17">
        <f t="shared" si="142"/>
        <v>2172</v>
      </c>
      <c r="F3074" s="17" t="s">
        <v>4813</v>
      </c>
      <c r="G3074" s="17">
        <f>MATCH(E3074,Arenas!$F$8:$F$15)</f>
        <v>7</v>
      </c>
      <c r="H3074" s="29" t="s">
        <v>4444</v>
      </c>
      <c r="I3074" s="33" t="s">
        <v>10723</v>
      </c>
      <c r="J3074" s="47" t="s">
        <v>10724</v>
      </c>
      <c r="K3074" s="61" t="s">
        <v>4779</v>
      </c>
      <c r="L3074" s="12" t="str">
        <f t="shared" ref="L3074:L3137" si="144">C3074&amp;","&amp;C3074&amp;","&amp;C3074</f>
        <v>4,4,4</v>
      </c>
    </row>
    <row r="3075" spans="2:12">
      <c r="B3075" s="17">
        <v>3374</v>
      </c>
      <c r="C3075" s="17">
        <v>4</v>
      </c>
      <c r="D3075" s="17">
        <f t="shared" si="143"/>
        <v>0</v>
      </c>
      <c r="E3075" s="17">
        <f t="shared" ref="E3075:E3138" si="145">D3075+E3074</f>
        <v>2172</v>
      </c>
      <c r="F3075" s="17" t="s">
        <v>4813</v>
      </c>
      <c r="G3075" s="17">
        <f>MATCH(E3075,Arenas!$F$8:$F$15)</f>
        <v>7</v>
      </c>
      <c r="H3075" s="29" t="s">
        <v>4445</v>
      </c>
      <c r="I3075" s="33" t="s">
        <v>10725</v>
      </c>
      <c r="J3075" s="47" t="s">
        <v>10726</v>
      </c>
      <c r="K3075" s="61" t="s">
        <v>4779</v>
      </c>
      <c r="L3075" s="12" t="str">
        <f t="shared" si="144"/>
        <v>4,4,4</v>
      </c>
    </row>
    <row r="3076" spans="2:12">
      <c r="B3076" s="17">
        <v>3375</v>
      </c>
      <c r="C3076" s="17">
        <v>4</v>
      </c>
      <c r="D3076" s="17">
        <f t="shared" si="143"/>
        <v>0</v>
      </c>
      <c r="E3076" s="17">
        <f t="shared" si="145"/>
        <v>2172</v>
      </c>
      <c r="F3076" s="17" t="s">
        <v>4813</v>
      </c>
      <c r="G3076" s="17">
        <f>MATCH(E3076,Arenas!$F$8:$F$15)</f>
        <v>7</v>
      </c>
      <c r="H3076" s="29" t="s">
        <v>4446</v>
      </c>
      <c r="I3076" s="33" t="s">
        <v>10727</v>
      </c>
      <c r="J3076" s="47" t="s">
        <v>10728</v>
      </c>
      <c r="K3076" s="61" t="s">
        <v>4779</v>
      </c>
      <c r="L3076" s="12" t="str">
        <f t="shared" si="144"/>
        <v>4,4,4</v>
      </c>
    </row>
    <row r="3077" spans="2:12">
      <c r="B3077" s="17">
        <v>3376</v>
      </c>
      <c r="C3077" s="17">
        <v>4</v>
      </c>
      <c r="D3077" s="17">
        <f t="shared" ref="D3077:D3140" si="146">D3074</f>
        <v>1</v>
      </c>
      <c r="E3077" s="17">
        <f t="shared" si="145"/>
        <v>2173</v>
      </c>
      <c r="F3077" s="17" t="s">
        <v>4813</v>
      </c>
      <c r="G3077" s="17">
        <f>MATCH(E3077,Arenas!$F$8:$F$15)</f>
        <v>7</v>
      </c>
      <c r="H3077" s="29" t="s">
        <v>4447</v>
      </c>
      <c r="I3077" s="33" t="s">
        <v>10729</v>
      </c>
      <c r="J3077" s="47" t="s">
        <v>10730</v>
      </c>
      <c r="K3077" s="61" t="s">
        <v>4779</v>
      </c>
      <c r="L3077" s="12" t="str">
        <f t="shared" si="144"/>
        <v>4,4,4</v>
      </c>
    </row>
    <row r="3078" spans="2:12">
      <c r="B3078" s="17">
        <v>3377</v>
      </c>
      <c r="C3078" s="17">
        <v>4</v>
      </c>
      <c r="D3078" s="17">
        <f t="shared" si="146"/>
        <v>0</v>
      </c>
      <c r="E3078" s="17">
        <f t="shared" si="145"/>
        <v>2173</v>
      </c>
      <c r="F3078" s="17" t="s">
        <v>4813</v>
      </c>
      <c r="G3078" s="17">
        <f>MATCH(E3078,Arenas!$F$8:$F$15)</f>
        <v>7</v>
      </c>
      <c r="H3078" s="29" t="s">
        <v>4448</v>
      </c>
      <c r="I3078" s="33" t="s">
        <v>10731</v>
      </c>
      <c r="J3078" s="47" t="s">
        <v>10732</v>
      </c>
      <c r="K3078" s="61" t="s">
        <v>4779</v>
      </c>
      <c r="L3078" s="12" t="str">
        <f t="shared" si="144"/>
        <v>4,4,4</v>
      </c>
    </row>
    <row r="3079" spans="2:12">
      <c r="B3079" s="17">
        <v>3378</v>
      </c>
      <c r="C3079" s="17">
        <v>4</v>
      </c>
      <c r="D3079" s="17">
        <f t="shared" si="146"/>
        <v>0</v>
      </c>
      <c r="E3079" s="17">
        <f t="shared" si="145"/>
        <v>2173</v>
      </c>
      <c r="F3079" s="17" t="s">
        <v>4813</v>
      </c>
      <c r="G3079" s="17">
        <f>MATCH(E3079,Arenas!$F$8:$F$15)</f>
        <v>7</v>
      </c>
      <c r="H3079" s="29" t="s">
        <v>4449</v>
      </c>
      <c r="I3079" s="33" t="s">
        <v>10733</v>
      </c>
      <c r="J3079" s="47" t="s">
        <v>10734</v>
      </c>
      <c r="K3079" s="61" t="s">
        <v>4779</v>
      </c>
      <c r="L3079" s="12" t="str">
        <f t="shared" si="144"/>
        <v>4,4,4</v>
      </c>
    </row>
    <row r="3080" spans="2:12">
      <c r="B3080" s="17">
        <v>3379</v>
      </c>
      <c r="C3080" s="17">
        <v>4</v>
      </c>
      <c r="D3080" s="17">
        <f t="shared" si="146"/>
        <v>1</v>
      </c>
      <c r="E3080" s="17">
        <f t="shared" si="145"/>
        <v>2174</v>
      </c>
      <c r="F3080" s="17" t="s">
        <v>4813</v>
      </c>
      <c r="G3080" s="17">
        <f>MATCH(E3080,Arenas!$F$8:$F$15)</f>
        <v>7</v>
      </c>
      <c r="H3080" s="29" t="s">
        <v>4450</v>
      </c>
      <c r="I3080" s="33" t="s">
        <v>10735</v>
      </c>
      <c r="J3080" s="47" t="s">
        <v>10736</v>
      </c>
      <c r="K3080" s="61" t="s">
        <v>4810</v>
      </c>
      <c r="L3080" s="12" t="str">
        <f t="shared" si="144"/>
        <v>4,4,4</v>
      </c>
    </row>
    <row r="3081" spans="2:12">
      <c r="B3081" s="17">
        <v>3380</v>
      </c>
      <c r="C3081" s="17">
        <v>4</v>
      </c>
      <c r="D3081" s="17">
        <f t="shared" si="146"/>
        <v>0</v>
      </c>
      <c r="E3081" s="17">
        <f t="shared" si="145"/>
        <v>2174</v>
      </c>
      <c r="F3081" s="17" t="s">
        <v>4813</v>
      </c>
      <c r="G3081" s="17">
        <f>MATCH(E3081,Arenas!$F$8:$F$15)</f>
        <v>7</v>
      </c>
      <c r="H3081" s="29" t="s">
        <v>4451</v>
      </c>
      <c r="I3081" s="33" t="s">
        <v>10737</v>
      </c>
      <c r="J3081" s="47" t="s">
        <v>10738</v>
      </c>
      <c r="K3081" s="61" t="s">
        <v>4779</v>
      </c>
      <c r="L3081" s="12" t="str">
        <f t="shared" si="144"/>
        <v>4,4,4</v>
      </c>
    </row>
    <row r="3082" spans="2:12">
      <c r="B3082" s="17">
        <v>3381</v>
      </c>
      <c r="C3082" s="17">
        <v>4</v>
      </c>
      <c r="D3082" s="17">
        <f t="shared" si="146"/>
        <v>0</v>
      </c>
      <c r="E3082" s="17">
        <f t="shared" si="145"/>
        <v>2174</v>
      </c>
      <c r="F3082" s="17" t="s">
        <v>4813</v>
      </c>
      <c r="G3082" s="17">
        <f>MATCH(E3082,Arenas!$F$8:$F$15)</f>
        <v>7</v>
      </c>
      <c r="H3082" s="29" t="s">
        <v>4452</v>
      </c>
      <c r="I3082" s="33" t="s">
        <v>10739</v>
      </c>
      <c r="J3082" s="47" t="s">
        <v>10740</v>
      </c>
      <c r="K3082" s="61" t="s">
        <v>4779</v>
      </c>
      <c r="L3082" s="12" t="str">
        <f t="shared" si="144"/>
        <v>4,4,4</v>
      </c>
    </row>
    <row r="3083" spans="2:12">
      <c r="B3083" s="17">
        <v>3382</v>
      </c>
      <c r="C3083" s="17">
        <v>4</v>
      </c>
      <c r="D3083" s="17">
        <f t="shared" si="146"/>
        <v>1</v>
      </c>
      <c r="E3083" s="17">
        <f t="shared" si="145"/>
        <v>2175</v>
      </c>
      <c r="F3083" s="17" t="s">
        <v>4813</v>
      </c>
      <c r="G3083" s="17">
        <f>MATCH(E3083,Arenas!$F$8:$F$15)</f>
        <v>7</v>
      </c>
      <c r="H3083" s="29" t="s">
        <v>4453</v>
      </c>
      <c r="I3083" s="33" t="s">
        <v>10741</v>
      </c>
      <c r="J3083" s="47" t="s">
        <v>10742</v>
      </c>
      <c r="K3083" s="61" t="s">
        <v>4779</v>
      </c>
      <c r="L3083" s="12" t="str">
        <f t="shared" si="144"/>
        <v>4,4,4</v>
      </c>
    </row>
    <row r="3084" spans="2:12">
      <c r="B3084" s="17">
        <v>3383</v>
      </c>
      <c r="C3084" s="17">
        <v>4</v>
      </c>
      <c r="D3084" s="17">
        <f t="shared" si="146"/>
        <v>0</v>
      </c>
      <c r="E3084" s="17">
        <f t="shared" si="145"/>
        <v>2175</v>
      </c>
      <c r="F3084" s="17" t="s">
        <v>4813</v>
      </c>
      <c r="G3084" s="17">
        <f>MATCH(E3084,Arenas!$F$8:$F$15)</f>
        <v>7</v>
      </c>
      <c r="H3084" s="29" t="s">
        <v>4454</v>
      </c>
      <c r="I3084" s="33" t="s">
        <v>10743</v>
      </c>
      <c r="J3084" s="47" t="s">
        <v>10744</v>
      </c>
      <c r="K3084" s="61" t="s">
        <v>4779</v>
      </c>
      <c r="L3084" s="12" t="str">
        <f t="shared" si="144"/>
        <v>4,4,4</v>
      </c>
    </row>
    <row r="3085" spans="2:12">
      <c r="B3085" s="17">
        <v>3384</v>
      </c>
      <c r="C3085" s="17">
        <v>4</v>
      </c>
      <c r="D3085" s="17">
        <f t="shared" si="146"/>
        <v>0</v>
      </c>
      <c r="E3085" s="17">
        <f t="shared" si="145"/>
        <v>2175</v>
      </c>
      <c r="F3085" s="17" t="s">
        <v>4813</v>
      </c>
      <c r="G3085" s="17">
        <f>MATCH(E3085,Arenas!$F$8:$F$15)</f>
        <v>7</v>
      </c>
      <c r="H3085" s="29" t="s">
        <v>4455</v>
      </c>
      <c r="I3085" s="33" t="s">
        <v>10745</v>
      </c>
      <c r="J3085" s="47" t="s">
        <v>10746</v>
      </c>
      <c r="K3085" s="61" t="s">
        <v>4779</v>
      </c>
      <c r="L3085" s="12" t="str">
        <f t="shared" si="144"/>
        <v>4,4,4</v>
      </c>
    </row>
    <row r="3086" spans="2:12">
      <c r="B3086" s="17">
        <v>3385</v>
      </c>
      <c r="C3086" s="17">
        <v>4</v>
      </c>
      <c r="D3086" s="17">
        <f t="shared" si="146"/>
        <v>1</v>
      </c>
      <c r="E3086" s="17">
        <f t="shared" si="145"/>
        <v>2176</v>
      </c>
      <c r="F3086" s="17" t="s">
        <v>4813</v>
      </c>
      <c r="G3086" s="17">
        <f>MATCH(E3086,Arenas!$F$8:$F$15)</f>
        <v>7</v>
      </c>
      <c r="H3086" s="29" t="s">
        <v>4456</v>
      </c>
      <c r="I3086" s="33" t="s">
        <v>10747</v>
      </c>
      <c r="J3086" s="47" t="s">
        <v>10748</v>
      </c>
      <c r="K3086" s="61" t="s">
        <v>4779</v>
      </c>
      <c r="L3086" s="12" t="str">
        <f t="shared" si="144"/>
        <v>4,4,4</v>
      </c>
    </row>
    <row r="3087" spans="2:12">
      <c r="B3087" s="17">
        <v>3386</v>
      </c>
      <c r="C3087" s="17">
        <v>4</v>
      </c>
      <c r="D3087" s="17">
        <f t="shared" si="146"/>
        <v>0</v>
      </c>
      <c r="E3087" s="17">
        <f t="shared" si="145"/>
        <v>2176</v>
      </c>
      <c r="F3087" s="17" t="s">
        <v>4813</v>
      </c>
      <c r="G3087" s="17">
        <f>MATCH(E3087,Arenas!$F$8:$F$15)</f>
        <v>7</v>
      </c>
      <c r="H3087" s="29" t="s">
        <v>4457</v>
      </c>
      <c r="I3087" s="33" t="s">
        <v>10749</v>
      </c>
      <c r="J3087" s="47" t="s">
        <v>10750</v>
      </c>
      <c r="K3087" s="61" t="s">
        <v>4779</v>
      </c>
      <c r="L3087" s="12" t="str">
        <f t="shared" si="144"/>
        <v>4,4,4</v>
      </c>
    </row>
    <row r="3088" spans="2:12">
      <c r="B3088" s="17">
        <v>3387</v>
      </c>
      <c r="C3088" s="17">
        <v>4</v>
      </c>
      <c r="D3088" s="17">
        <f t="shared" si="146"/>
        <v>0</v>
      </c>
      <c r="E3088" s="17">
        <f t="shared" si="145"/>
        <v>2176</v>
      </c>
      <c r="F3088" s="17" t="s">
        <v>4813</v>
      </c>
      <c r="G3088" s="17">
        <f>MATCH(E3088,Arenas!$F$8:$F$15)</f>
        <v>7</v>
      </c>
      <c r="H3088" s="29" t="s">
        <v>4458</v>
      </c>
      <c r="I3088" s="33" t="s">
        <v>10751</v>
      </c>
      <c r="J3088" s="47" t="s">
        <v>10752</v>
      </c>
      <c r="K3088" s="61" t="s">
        <v>4779</v>
      </c>
      <c r="L3088" s="12" t="str">
        <f t="shared" si="144"/>
        <v>4,4,4</v>
      </c>
    </row>
    <row r="3089" spans="2:12">
      <c r="B3089" s="17">
        <v>3388</v>
      </c>
      <c r="C3089" s="17">
        <v>4</v>
      </c>
      <c r="D3089" s="17">
        <f t="shared" si="146"/>
        <v>1</v>
      </c>
      <c r="E3089" s="17">
        <f t="shared" si="145"/>
        <v>2177</v>
      </c>
      <c r="F3089" s="17" t="s">
        <v>4813</v>
      </c>
      <c r="G3089" s="17">
        <f>MATCH(E3089,Arenas!$F$8:$F$15)</f>
        <v>7</v>
      </c>
      <c r="H3089" s="29" t="s">
        <v>4459</v>
      </c>
      <c r="I3089" s="33" t="s">
        <v>10753</v>
      </c>
      <c r="J3089" s="47" t="s">
        <v>10754</v>
      </c>
      <c r="K3089" s="61" t="s">
        <v>4779</v>
      </c>
      <c r="L3089" s="12" t="str">
        <f t="shared" si="144"/>
        <v>4,4,4</v>
      </c>
    </row>
    <row r="3090" spans="2:12">
      <c r="B3090" s="17">
        <v>3389</v>
      </c>
      <c r="C3090" s="17">
        <v>4</v>
      </c>
      <c r="D3090" s="17">
        <f t="shared" si="146"/>
        <v>0</v>
      </c>
      <c r="E3090" s="17">
        <f t="shared" si="145"/>
        <v>2177</v>
      </c>
      <c r="F3090" s="17" t="s">
        <v>4813</v>
      </c>
      <c r="G3090" s="17">
        <f>MATCH(E3090,Arenas!$F$8:$F$15)</f>
        <v>7</v>
      </c>
      <c r="H3090" s="29" t="s">
        <v>4460</v>
      </c>
      <c r="I3090" s="33" t="s">
        <v>10755</v>
      </c>
      <c r="J3090" s="47" t="s">
        <v>10756</v>
      </c>
      <c r="K3090" s="61" t="s">
        <v>4779</v>
      </c>
      <c r="L3090" s="12" t="str">
        <f t="shared" si="144"/>
        <v>4,4,4</v>
      </c>
    </row>
    <row r="3091" spans="2:12">
      <c r="B3091" s="17">
        <v>3390</v>
      </c>
      <c r="C3091" s="17">
        <v>4</v>
      </c>
      <c r="D3091" s="17">
        <f t="shared" si="146"/>
        <v>0</v>
      </c>
      <c r="E3091" s="17">
        <f t="shared" si="145"/>
        <v>2177</v>
      </c>
      <c r="F3091" s="17" t="s">
        <v>4813</v>
      </c>
      <c r="G3091" s="17">
        <f>MATCH(E3091,Arenas!$F$8:$F$15)</f>
        <v>7</v>
      </c>
      <c r="H3091" s="29" t="s">
        <v>4461</v>
      </c>
      <c r="I3091" s="33" t="s">
        <v>10757</v>
      </c>
      <c r="J3091" s="47" t="s">
        <v>10758</v>
      </c>
      <c r="K3091" s="61" t="s">
        <v>4810</v>
      </c>
      <c r="L3091" s="12" t="str">
        <f t="shared" si="144"/>
        <v>4,4,4</v>
      </c>
    </row>
    <row r="3092" spans="2:12">
      <c r="B3092" s="17">
        <v>3391</v>
      </c>
      <c r="C3092" s="17">
        <v>4</v>
      </c>
      <c r="D3092" s="17">
        <f t="shared" si="146"/>
        <v>1</v>
      </c>
      <c r="E3092" s="17">
        <f t="shared" si="145"/>
        <v>2178</v>
      </c>
      <c r="F3092" s="17" t="s">
        <v>4813</v>
      </c>
      <c r="G3092" s="17">
        <f>MATCH(E3092,Arenas!$F$8:$F$15)</f>
        <v>7</v>
      </c>
      <c r="H3092" s="29" t="s">
        <v>4462</v>
      </c>
      <c r="I3092" s="33" t="s">
        <v>10759</v>
      </c>
      <c r="J3092" s="47" t="s">
        <v>10760</v>
      </c>
      <c r="K3092" s="61" t="s">
        <v>4810</v>
      </c>
      <c r="L3092" s="12" t="str">
        <f t="shared" si="144"/>
        <v>4,4,4</v>
      </c>
    </row>
    <row r="3093" spans="2:12">
      <c r="B3093" s="17">
        <v>3392</v>
      </c>
      <c r="C3093" s="17">
        <v>4</v>
      </c>
      <c r="D3093" s="17">
        <f t="shared" si="146"/>
        <v>0</v>
      </c>
      <c r="E3093" s="17">
        <f t="shared" si="145"/>
        <v>2178</v>
      </c>
      <c r="F3093" s="17" t="s">
        <v>4813</v>
      </c>
      <c r="G3093" s="17">
        <f>MATCH(E3093,Arenas!$F$8:$F$15)</f>
        <v>7</v>
      </c>
      <c r="H3093" s="29" t="s">
        <v>4463</v>
      </c>
      <c r="I3093" s="33" t="s">
        <v>10761</v>
      </c>
      <c r="J3093" s="47" t="s">
        <v>10762</v>
      </c>
      <c r="K3093" s="61" t="s">
        <v>4779</v>
      </c>
      <c r="L3093" s="12" t="str">
        <f t="shared" si="144"/>
        <v>4,4,4</v>
      </c>
    </row>
    <row r="3094" spans="2:12">
      <c r="B3094" s="17">
        <v>3393</v>
      </c>
      <c r="C3094" s="17">
        <v>4</v>
      </c>
      <c r="D3094" s="17">
        <f t="shared" si="146"/>
        <v>0</v>
      </c>
      <c r="E3094" s="17">
        <f t="shared" si="145"/>
        <v>2178</v>
      </c>
      <c r="F3094" s="17" t="s">
        <v>4813</v>
      </c>
      <c r="G3094" s="17">
        <f>MATCH(E3094,Arenas!$F$8:$F$15)</f>
        <v>7</v>
      </c>
      <c r="H3094" s="29" t="s">
        <v>4464</v>
      </c>
      <c r="I3094" s="33" t="s">
        <v>10763</v>
      </c>
      <c r="J3094" s="47" t="s">
        <v>10764</v>
      </c>
      <c r="K3094" s="61" t="s">
        <v>4806</v>
      </c>
      <c r="L3094" s="12" t="str">
        <f t="shared" si="144"/>
        <v>4,4,4</v>
      </c>
    </row>
    <row r="3095" spans="2:12">
      <c r="B3095" s="17">
        <v>3394</v>
      </c>
      <c r="C3095" s="17">
        <v>4</v>
      </c>
      <c r="D3095" s="17">
        <f t="shared" si="146"/>
        <v>1</v>
      </c>
      <c r="E3095" s="17">
        <f t="shared" si="145"/>
        <v>2179</v>
      </c>
      <c r="F3095" s="17" t="s">
        <v>4813</v>
      </c>
      <c r="G3095" s="17">
        <f>MATCH(E3095,Arenas!$F$8:$F$15)</f>
        <v>7</v>
      </c>
      <c r="H3095" s="29" t="s">
        <v>4465</v>
      </c>
      <c r="I3095" s="33" t="s">
        <v>10765</v>
      </c>
      <c r="J3095" s="47" t="s">
        <v>10766</v>
      </c>
      <c r="K3095" s="61" t="s">
        <v>4779</v>
      </c>
      <c r="L3095" s="12" t="str">
        <f t="shared" si="144"/>
        <v>4,4,4</v>
      </c>
    </row>
    <row r="3096" spans="2:12">
      <c r="B3096" s="17">
        <v>3395</v>
      </c>
      <c r="C3096" s="17">
        <v>4</v>
      </c>
      <c r="D3096" s="17">
        <f t="shared" si="146"/>
        <v>0</v>
      </c>
      <c r="E3096" s="17">
        <f t="shared" si="145"/>
        <v>2179</v>
      </c>
      <c r="F3096" s="17" t="s">
        <v>4813</v>
      </c>
      <c r="G3096" s="17">
        <f>MATCH(E3096,Arenas!$F$8:$F$15)</f>
        <v>7</v>
      </c>
      <c r="H3096" s="29" t="s">
        <v>4466</v>
      </c>
      <c r="I3096" s="33" t="s">
        <v>10767</v>
      </c>
      <c r="J3096" s="47" t="s">
        <v>10768</v>
      </c>
      <c r="K3096" s="61" t="s">
        <v>4779</v>
      </c>
      <c r="L3096" s="12" t="str">
        <f t="shared" si="144"/>
        <v>4,4,4</v>
      </c>
    </row>
    <row r="3097" spans="2:12">
      <c r="B3097" s="17">
        <v>3396</v>
      </c>
      <c r="C3097" s="17">
        <v>4</v>
      </c>
      <c r="D3097" s="17">
        <f t="shared" si="146"/>
        <v>0</v>
      </c>
      <c r="E3097" s="17">
        <f t="shared" si="145"/>
        <v>2179</v>
      </c>
      <c r="F3097" s="17" t="s">
        <v>4813</v>
      </c>
      <c r="G3097" s="17">
        <f>MATCH(E3097,Arenas!$F$8:$F$15)</f>
        <v>7</v>
      </c>
      <c r="H3097" s="29" t="s">
        <v>4467</v>
      </c>
      <c r="I3097" s="33" t="s">
        <v>10769</v>
      </c>
      <c r="J3097" s="47" t="s">
        <v>10770</v>
      </c>
      <c r="K3097" s="61" t="s">
        <v>4809</v>
      </c>
      <c r="L3097" s="12" t="str">
        <f t="shared" si="144"/>
        <v>4,4,4</v>
      </c>
    </row>
    <row r="3098" spans="2:12">
      <c r="B3098" s="17">
        <v>3397</v>
      </c>
      <c r="C3098" s="17">
        <v>4</v>
      </c>
      <c r="D3098" s="17">
        <f t="shared" si="146"/>
        <v>1</v>
      </c>
      <c r="E3098" s="17">
        <f t="shared" si="145"/>
        <v>2180</v>
      </c>
      <c r="F3098" s="17" t="s">
        <v>4813</v>
      </c>
      <c r="G3098" s="17">
        <f>MATCH(E3098,Arenas!$F$8:$F$15)</f>
        <v>7</v>
      </c>
      <c r="H3098" s="29" t="s">
        <v>4468</v>
      </c>
      <c r="I3098" s="33" t="s">
        <v>10771</v>
      </c>
      <c r="J3098" s="47" t="s">
        <v>10772</v>
      </c>
      <c r="K3098" s="61" t="s">
        <v>4779</v>
      </c>
      <c r="L3098" s="12" t="str">
        <f t="shared" si="144"/>
        <v>4,4,4</v>
      </c>
    </row>
    <row r="3099" spans="2:12">
      <c r="B3099" s="17">
        <v>3398</v>
      </c>
      <c r="C3099" s="17">
        <v>4</v>
      </c>
      <c r="D3099" s="17">
        <f t="shared" si="146"/>
        <v>0</v>
      </c>
      <c r="E3099" s="17">
        <f t="shared" si="145"/>
        <v>2180</v>
      </c>
      <c r="F3099" s="17" t="s">
        <v>4813</v>
      </c>
      <c r="G3099" s="17">
        <f>MATCH(E3099,Arenas!$F$8:$F$15)</f>
        <v>7</v>
      </c>
      <c r="H3099" s="29" t="s">
        <v>4469</v>
      </c>
      <c r="I3099" s="33" t="s">
        <v>10773</v>
      </c>
      <c r="J3099" s="47" t="s">
        <v>10774</v>
      </c>
      <c r="K3099" s="61" t="s">
        <v>4779</v>
      </c>
      <c r="L3099" s="12" t="str">
        <f t="shared" si="144"/>
        <v>4,4,4</v>
      </c>
    </row>
    <row r="3100" spans="2:12">
      <c r="B3100" s="17">
        <v>3399</v>
      </c>
      <c r="C3100" s="17">
        <v>4</v>
      </c>
      <c r="D3100" s="17">
        <f t="shared" si="146"/>
        <v>0</v>
      </c>
      <c r="E3100" s="17">
        <f t="shared" si="145"/>
        <v>2180</v>
      </c>
      <c r="F3100" s="17" t="s">
        <v>4813</v>
      </c>
      <c r="G3100" s="17">
        <f>MATCH(E3100,Arenas!$F$8:$F$15)</f>
        <v>7</v>
      </c>
      <c r="H3100" s="29" t="s">
        <v>4470</v>
      </c>
      <c r="I3100" s="33" t="s">
        <v>10775</v>
      </c>
      <c r="J3100" s="47" t="s">
        <v>10776</v>
      </c>
      <c r="K3100" s="61" t="s">
        <v>4779</v>
      </c>
      <c r="L3100" s="12" t="str">
        <f t="shared" si="144"/>
        <v>4,4,4</v>
      </c>
    </row>
    <row r="3101" spans="2:12">
      <c r="B3101" s="17">
        <v>3400</v>
      </c>
      <c r="C3101" s="17">
        <v>4</v>
      </c>
      <c r="D3101" s="17">
        <f t="shared" si="146"/>
        <v>1</v>
      </c>
      <c r="E3101" s="17">
        <f t="shared" si="145"/>
        <v>2181</v>
      </c>
      <c r="F3101" s="17" t="s">
        <v>4813</v>
      </c>
      <c r="G3101" s="17">
        <f>MATCH(E3101,Arenas!$F$8:$F$15)</f>
        <v>7</v>
      </c>
      <c r="H3101" s="29" t="s">
        <v>4471</v>
      </c>
      <c r="I3101" s="33" t="s">
        <v>10777</v>
      </c>
      <c r="J3101" s="47" t="s">
        <v>10778</v>
      </c>
      <c r="K3101" s="61" t="s">
        <v>4806</v>
      </c>
      <c r="L3101" s="12" t="str">
        <f t="shared" si="144"/>
        <v>4,4,4</v>
      </c>
    </row>
    <row r="3102" spans="2:12">
      <c r="B3102" s="17">
        <v>3401</v>
      </c>
      <c r="C3102" s="17">
        <v>4</v>
      </c>
      <c r="D3102" s="17">
        <f t="shared" si="146"/>
        <v>0</v>
      </c>
      <c r="E3102" s="17">
        <f t="shared" si="145"/>
        <v>2181</v>
      </c>
      <c r="F3102" s="17" t="s">
        <v>4813</v>
      </c>
      <c r="G3102" s="17">
        <f>MATCH(E3102,Arenas!$F$8:$F$15)</f>
        <v>7</v>
      </c>
      <c r="H3102" s="29" t="s">
        <v>4472</v>
      </c>
      <c r="I3102" s="33" t="s">
        <v>10779</v>
      </c>
      <c r="J3102" s="47" t="s">
        <v>10780</v>
      </c>
      <c r="K3102" s="61" t="s">
        <v>4779</v>
      </c>
      <c r="L3102" s="12" t="str">
        <f t="shared" si="144"/>
        <v>4,4,4</v>
      </c>
    </row>
    <row r="3103" spans="2:12">
      <c r="B3103" s="17">
        <v>3402</v>
      </c>
      <c r="C3103" s="17">
        <v>4</v>
      </c>
      <c r="D3103" s="17">
        <f t="shared" si="146"/>
        <v>0</v>
      </c>
      <c r="E3103" s="17">
        <f t="shared" si="145"/>
        <v>2181</v>
      </c>
      <c r="F3103" s="17" t="s">
        <v>4813</v>
      </c>
      <c r="G3103" s="17">
        <f>MATCH(E3103,Arenas!$F$8:$F$15)</f>
        <v>7</v>
      </c>
      <c r="H3103" s="29" t="s">
        <v>4473</v>
      </c>
      <c r="I3103" s="33" t="s">
        <v>10781</v>
      </c>
      <c r="J3103" s="47" t="s">
        <v>10782</v>
      </c>
      <c r="K3103" s="61" t="s">
        <v>4779</v>
      </c>
      <c r="L3103" s="12" t="str">
        <f t="shared" si="144"/>
        <v>4,4,4</v>
      </c>
    </row>
    <row r="3104" spans="2:12">
      <c r="B3104" s="17">
        <v>3403</v>
      </c>
      <c r="C3104" s="17">
        <v>4</v>
      </c>
      <c r="D3104" s="17">
        <f t="shared" si="146"/>
        <v>1</v>
      </c>
      <c r="E3104" s="17">
        <f t="shared" si="145"/>
        <v>2182</v>
      </c>
      <c r="F3104" s="17" t="s">
        <v>4813</v>
      </c>
      <c r="G3104" s="17">
        <f>MATCH(E3104,Arenas!$F$8:$F$15)</f>
        <v>7</v>
      </c>
      <c r="H3104" s="29" t="s">
        <v>4474</v>
      </c>
      <c r="I3104" s="33" t="s">
        <v>10783</v>
      </c>
      <c r="J3104" s="47" t="s">
        <v>10784</v>
      </c>
      <c r="K3104" s="61" t="s">
        <v>4779</v>
      </c>
      <c r="L3104" s="12" t="str">
        <f t="shared" si="144"/>
        <v>4,4,4</v>
      </c>
    </row>
    <row r="3105" spans="2:12">
      <c r="B3105" s="17">
        <v>3404</v>
      </c>
      <c r="C3105" s="17">
        <v>4</v>
      </c>
      <c r="D3105" s="17">
        <f t="shared" si="146"/>
        <v>0</v>
      </c>
      <c r="E3105" s="17">
        <f t="shared" si="145"/>
        <v>2182</v>
      </c>
      <c r="F3105" s="17" t="s">
        <v>4813</v>
      </c>
      <c r="G3105" s="17">
        <f>MATCH(E3105,Arenas!$F$8:$F$15)</f>
        <v>7</v>
      </c>
      <c r="H3105" s="29" t="s">
        <v>4475</v>
      </c>
      <c r="I3105" s="33" t="s">
        <v>10785</v>
      </c>
      <c r="J3105" s="47" t="s">
        <v>10786</v>
      </c>
      <c r="K3105" s="61" t="s">
        <v>4779</v>
      </c>
      <c r="L3105" s="12" t="str">
        <f t="shared" si="144"/>
        <v>4,4,4</v>
      </c>
    </row>
    <row r="3106" spans="2:12">
      <c r="B3106" s="17">
        <v>3405</v>
      </c>
      <c r="C3106" s="17">
        <v>4</v>
      </c>
      <c r="D3106" s="17">
        <f t="shared" si="146"/>
        <v>0</v>
      </c>
      <c r="E3106" s="17">
        <f t="shared" si="145"/>
        <v>2182</v>
      </c>
      <c r="F3106" s="17" t="s">
        <v>4813</v>
      </c>
      <c r="G3106" s="17">
        <f>MATCH(E3106,Arenas!$F$8:$F$15)</f>
        <v>7</v>
      </c>
      <c r="H3106" s="29" t="s">
        <v>4476</v>
      </c>
      <c r="I3106" s="33" t="s">
        <v>10787</v>
      </c>
      <c r="J3106" s="47" t="s">
        <v>10788</v>
      </c>
      <c r="K3106" s="61" t="s">
        <v>4779</v>
      </c>
      <c r="L3106" s="12" t="str">
        <f t="shared" si="144"/>
        <v>4,4,4</v>
      </c>
    </row>
    <row r="3107" spans="2:12">
      <c r="B3107" s="17">
        <v>3406</v>
      </c>
      <c r="C3107" s="17">
        <v>4</v>
      </c>
      <c r="D3107" s="17">
        <f t="shared" si="146"/>
        <v>1</v>
      </c>
      <c r="E3107" s="17">
        <f t="shared" si="145"/>
        <v>2183</v>
      </c>
      <c r="F3107" s="17" t="s">
        <v>4813</v>
      </c>
      <c r="G3107" s="17">
        <f>MATCH(E3107,Arenas!$F$8:$F$15)</f>
        <v>7</v>
      </c>
      <c r="H3107" s="29" t="s">
        <v>4477</v>
      </c>
      <c r="I3107" s="33" t="s">
        <v>10789</v>
      </c>
      <c r="J3107" s="47" t="s">
        <v>10790</v>
      </c>
      <c r="K3107" s="61" t="s">
        <v>4779</v>
      </c>
      <c r="L3107" s="12" t="str">
        <f t="shared" si="144"/>
        <v>4,4,4</v>
      </c>
    </row>
    <row r="3108" spans="2:12">
      <c r="B3108" s="17">
        <v>3407</v>
      </c>
      <c r="C3108" s="17">
        <v>4</v>
      </c>
      <c r="D3108" s="17">
        <f t="shared" si="146"/>
        <v>0</v>
      </c>
      <c r="E3108" s="17">
        <f t="shared" si="145"/>
        <v>2183</v>
      </c>
      <c r="F3108" s="17" t="s">
        <v>4813</v>
      </c>
      <c r="G3108" s="17">
        <f>MATCH(E3108,Arenas!$F$8:$F$15)</f>
        <v>7</v>
      </c>
      <c r="H3108" s="29" t="s">
        <v>4478</v>
      </c>
      <c r="I3108" s="33" t="s">
        <v>10791</v>
      </c>
      <c r="J3108" s="47" t="s">
        <v>10792</v>
      </c>
      <c r="K3108" s="61" t="s">
        <v>4779</v>
      </c>
      <c r="L3108" s="12" t="str">
        <f t="shared" si="144"/>
        <v>4,4,4</v>
      </c>
    </row>
    <row r="3109" spans="2:12">
      <c r="B3109" s="17">
        <v>3408</v>
      </c>
      <c r="C3109" s="17">
        <v>4</v>
      </c>
      <c r="D3109" s="17">
        <f t="shared" si="146"/>
        <v>0</v>
      </c>
      <c r="E3109" s="17">
        <f t="shared" si="145"/>
        <v>2183</v>
      </c>
      <c r="F3109" s="17" t="s">
        <v>4813</v>
      </c>
      <c r="G3109" s="17">
        <f>MATCH(E3109,Arenas!$F$8:$F$15)</f>
        <v>7</v>
      </c>
      <c r="H3109" s="29" t="s">
        <v>4479</v>
      </c>
      <c r="I3109" s="33" t="s">
        <v>10793</v>
      </c>
      <c r="J3109" s="47" t="s">
        <v>10794</v>
      </c>
      <c r="K3109" s="61" t="s">
        <v>4779</v>
      </c>
      <c r="L3109" s="12" t="str">
        <f t="shared" si="144"/>
        <v>4,4,4</v>
      </c>
    </row>
    <row r="3110" spans="2:12">
      <c r="B3110" s="17">
        <v>3409</v>
      </c>
      <c r="C3110" s="17">
        <v>4</v>
      </c>
      <c r="D3110" s="17">
        <f t="shared" si="146"/>
        <v>1</v>
      </c>
      <c r="E3110" s="17">
        <f t="shared" si="145"/>
        <v>2184</v>
      </c>
      <c r="F3110" s="17" t="s">
        <v>4813</v>
      </c>
      <c r="G3110" s="17">
        <f>MATCH(E3110,Arenas!$F$8:$F$15)</f>
        <v>7</v>
      </c>
      <c r="H3110" s="29" t="s">
        <v>4480</v>
      </c>
      <c r="I3110" s="33" t="s">
        <v>10795</v>
      </c>
      <c r="J3110" s="47" t="s">
        <v>10796</v>
      </c>
      <c r="K3110" s="61" t="s">
        <v>4809</v>
      </c>
      <c r="L3110" s="12" t="str">
        <f t="shared" si="144"/>
        <v>4,4,4</v>
      </c>
    </row>
    <row r="3111" spans="2:12">
      <c r="B3111" s="17">
        <v>3410</v>
      </c>
      <c r="C3111" s="17">
        <v>4</v>
      </c>
      <c r="D3111" s="17">
        <f t="shared" si="146"/>
        <v>0</v>
      </c>
      <c r="E3111" s="17">
        <f t="shared" si="145"/>
        <v>2184</v>
      </c>
      <c r="F3111" s="17" t="s">
        <v>4813</v>
      </c>
      <c r="G3111" s="17">
        <f>MATCH(E3111,Arenas!$F$8:$F$15)</f>
        <v>7</v>
      </c>
      <c r="H3111" s="29" t="s">
        <v>4481</v>
      </c>
      <c r="I3111" s="33" t="s">
        <v>10797</v>
      </c>
      <c r="J3111" s="47" t="s">
        <v>10798</v>
      </c>
      <c r="K3111" s="61" t="s">
        <v>4806</v>
      </c>
      <c r="L3111" s="12" t="str">
        <f t="shared" si="144"/>
        <v>4,4,4</v>
      </c>
    </row>
    <row r="3112" spans="2:12">
      <c r="B3112" s="17">
        <v>3411</v>
      </c>
      <c r="C3112" s="17">
        <v>4</v>
      </c>
      <c r="D3112" s="17">
        <f t="shared" si="146"/>
        <v>0</v>
      </c>
      <c r="E3112" s="17">
        <f t="shared" si="145"/>
        <v>2184</v>
      </c>
      <c r="F3112" s="17" t="s">
        <v>4813</v>
      </c>
      <c r="G3112" s="17">
        <f>MATCH(E3112,Arenas!$F$8:$F$15)</f>
        <v>7</v>
      </c>
      <c r="H3112" s="29" t="s">
        <v>4482</v>
      </c>
      <c r="I3112" s="33" t="s">
        <v>10799</v>
      </c>
      <c r="J3112" s="47" t="s">
        <v>10800</v>
      </c>
      <c r="K3112" s="61" t="s">
        <v>4779</v>
      </c>
      <c r="L3112" s="12" t="str">
        <f t="shared" si="144"/>
        <v>4,4,4</v>
      </c>
    </row>
    <row r="3113" spans="2:12">
      <c r="B3113" s="17">
        <v>3412</v>
      </c>
      <c r="C3113" s="17">
        <v>4</v>
      </c>
      <c r="D3113" s="17">
        <f t="shared" si="146"/>
        <v>1</v>
      </c>
      <c r="E3113" s="17">
        <f t="shared" si="145"/>
        <v>2185</v>
      </c>
      <c r="F3113" s="17" t="s">
        <v>4813</v>
      </c>
      <c r="G3113" s="17">
        <f>MATCH(E3113,Arenas!$F$8:$F$15)</f>
        <v>7</v>
      </c>
      <c r="H3113" s="29" t="s">
        <v>4483</v>
      </c>
      <c r="I3113" s="33" t="s">
        <v>10801</v>
      </c>
      <c r="J3113" s="47" t="s">
        <v>10802</v>
      </c>
      <c r="K3113" s="61" t="s">
        <v>4779</v>
      </c>
      <c r="L3113" s="12" t="str">
        <f t="shared" si="144"/>
        <v>4,4,4</v>
      </c>
    </row>
    <row r="3114" spans="2:12">
      <c r="B3114" s="17">
        <v>3413</v>
      </c>
      <c r="C3114" s="17">
        <v>4</v>
      </c>
      <c r="D3114" s="17">
        <f t="shared" si="146"/>
        <v>0</v>
      </c>
      <c r="E3114" s="17">
        <f t="shared" si="145"/>
        <v>2185</v>
      </c>
      <c r="F3114" s="17" t="s">
        <v>4813</v>
      </c>
      <c r="G3114" s="17">
        <f>MATCH(E3114,Arenas!$F$8:$F$15)</f>
        <v>7</v>
      </c>
      <c r="H3114" s="29" t="s">
        <v>4484</v>
      </c>
      <c r="I3114" s="33" t="s">
        <v>10803</v>
      </c>
      <c r="J3114" s="47" t="s">
        <v>10804</v>
      </c>
      <c r="K3114" s="61" t="s">
        <v>4779</v>
      </c>
      <c r="L3114" s="12" t="str">
        <f t="shared" si="144"/>
        <v>4,4,4</v>
      </c>
    </row>
    <row r="3115" spans="2:12">
      <c r="B3115" s="17">
        <v>3414</v>
      </c>
      <c r="C3115" s="17">
        <v>4</v>
      </c>
      <c r="D3115" s="17">
        <f t="shared" si="146"/>
        <v>0</v>
      </c>
      <c r="E3115" s="17">
        <f t="shared" si="145"/>
        <v>2185</v>
      </c>
      <c r="F3115" s="17" t="s">
        <v>4813</v>
      </c>
      <c r="G3115" s="17">
        <f>MATCH(E3115,Arenas!$F$8:$F$15)</f>
        <v>7</v>
      </c>
      <c r="H3115" s="29" t="s">
        <v>4485</v>
      </c>
      <c r="I3115" s="33" t="s">
        <v>10805</v>
      </c>
      <c r="J3115" s="47" t="s">
        <v>10806</v>
      </c>
      <c r="K3115" s="61" t="s">
        <v>4779</v>
      </c>
      <c r="L3115" s="12" t="str">
        <f t="shared" si="144"/>
        <v>4,4,4</v>
      </c>
    </row>
    <row r="3116" spans="2:12">
      <c r="B3116" s="17">
        <v>3415</v>
      </c>
      <c r="C3116" s="17">
        <v>4</v>
      </c>
      <c r="D3116" s="17">
        <f t="shared" si="146"/>
        <v>1</v>
      </c>
      <c r="E3116" s="17">
        <f t="shared" si="145"/>
        <v>2186</v>
      </c>
      <c r="F3116" s="17" t="s">
        <v>4813</v>
      </c>
      <c r="G3116" s="17">
        <f>MATCH(E3116,Arenas!$F$8:$F$15)</f>
        <v>7</v>
      </c>
      <c r="H3116" s="29" t="s">
        <v>4486</v>
      </c>
      <c r="I3116" s="33" t="s">
        <v>10807</v>
      </c>
      <c r="J3116" s="47" t="s">
        <v>10808</v>
      </c>
      <c r="K3116" s="61" t="s">
        <v>4779</v>
      </c>
      <c r="L3116" s="12" t="str">
        <f t="shared" si="144"/>
        <v>4,4,4</v>
      </c>
    </row>
    <row r="3117" spans="2:12">
      <c r="B3117" s="17">
        <v>3416</v>
      </c>
      <c r="C3117" s="17">
        <v>4</v>
      </c>
      <c r="D3117" s="17">
        <f t="shared" si="146"/>
        <v>0</v>
      </c>
      <c r="E3117" s="17">
        <f t="shared" si="145"/>
        <v>2186</v>
      </c>
      <c r="F3117" s="17" t="s">
        <v>4813</v>
      </c>
      <c r="G3117" s="17">
        <f>MATCH(E3117,Arenas!$F$8:$F$15)</f>
        <v>7</v>
      </c>
      <c r="H3117" s="29" t="s">
        <v>4487</v>
      </c>
      <c r="I3117" s="33" t="s">
        <v>10809</v>
      </c>
      <c r="J3117" s="47" t="s">
        <v>10810</v>
      </c>
      <c r="K3117" s="61" t="s">
        <v>4779</v>
      </c>
      <c r="L3117" s="12" t="str">
        <f t="shared" si="144"/>
        <v>4,4,4</v>
      </c>
    </row>
    <row r="3118" spans="2:12">
      <c r="B3118" s="17">
        <v>3417</v>
      </c>
      <c r="C3118" s="17">
        <v>4</v>
      </c>
      <c r="D3118" s="17">
        <f t="shared" si="146"/>
        <v>0</v>
      </c>
      <c r="E3118" s="17">
        <f t="shared" si="145"/>
        <v>2186</v>
      </c>
      <c r="F3118" s="17" t="s">
        <v>4813</v>
      </c>
      <c r="G3118" s="17">
        <f>MATCH(E3118,Arenas!$F$8:$F$15)</f>
        <v>7</v>
      </c>
      <c r="H3118" s="29" t="s">
        <v>4488</v>
      </c>
      <c r="I3118" s="33" t="s">
        <v>10811</v>
      </c>
      <c r="J3118" s="47" t="s">
        <v>10812</v>
      </c>
      <c r="K3118" s="61" t="s">
        <v>4779</v>
      </c>
      <c r="L3118" s="12" t="str">
        <f t="shared" si="144"/>
        <v>4,4,4</v>
      </c>
    </row>
    <row r="3119" spans="2:12">
      <c r="B3119" s="17">
        <v>3418</v>
      </c>
      <c r="C3119" s="17">
        <v>4</v>
      </c>
      <c r="D3119" s="17">
        <f t="shared" si="146"/>
        <v>1</v>
      </c>
      <c r="E3119" s="17">
        <f t="shared" si="145"/>
        <v>2187</v>
      </c>
      <c r="F3119" s="17" t="s">
        <v>4813</v>
      </c>
      <c r="G3119" s="17">
        <f>MATCH(E3119,Arenas!$F$8:$F$15)</f>
        <v>7</v>
      </c>
      <c r="H3119" s="29" t="s">
        <v>4489</v>
      </c>
      <c r="I3119" s="33" t="s">
        <v>10813</v>
      </c>
      <c r="J3119" s="47" t="s">
        <v>10814</v>
      </c>
      <c r="K3119" s="61" t="s">
        <v>4779</v>
      </c>
      <c r="L3119" s="12" t="str">
        <f t="shared" si="144"/>
        <v>4,4,4</v>
      </c>
    </row>
    <row r="3120" spans="2:12">
      <c r="B3120" s="17">
        <v>3419</v>
      </c>
      <c r="C3120" s="17">
        <v>4</v>
      </c>
      <c r="D3120" s="17">
        <f t="shared" si="146"/>
        <v>0</v>
      </c>
      <c r="E3120" s="17">
        <f t="shared" si="145"/>
        <v>2187</v>
      </c>
      <c r="F3120" s="17" t="s">
        <v>4813</v>
      </c>
      <c r="G3120" s="17">
        <f>MATCH(E3120,Arenas!$F$8:$F$15)</f>
        <v>7</v>
      </c>
      <c r="H3120" s="29" t="s">
        <v>4490</v>
      </c>
      <c r="I3120" s="33" t="s">
        <v>10815</v>
      </c>
      <c r="J3120" s="47" t="s">
        <v>10816</v>
      </c>
      <c r="K3120" s="61" t="s">
        <v>4779</v>
      </c>
      <c r="L3120" s="12" t="str">
        <f t="shared" si="144"/>
        <v>4,4,4</v>
      </c>
    </row>
    <row r="3121" spans="2:12">
      <c r="B3121" s="17">
        <v>3420</v>
      </c>
      <c r="C3121" s="17">
        <v>4</v>
      </c>
      <c r="D3121" s="17">
        <f t="shared" si="146"/>
        <v>0</v>
      </c>
      <c r="E3121" s="17">
        <f t="shared" si="145"/>
        <v>2187</v>
      </c>
      <c r="F3121" s="17" t="s">
        <v>4813</v>
      </c>
      <c r="G3121" s="17">
        <f>MATCH(E3121,Arenas!$F$8:$F$15)</f>
        <v>7</v>
      </c>
      <c r="H3121" s="29" t="s">
        <v>4491</v>
      </c>
      <c r="I3121" s="33" t="s">
        <v>10817</v>
      </c>
      <c r="J3121" s="47" t="s">
        <v>5843</v>
      </c>
      <c r="K3121" s="61" t="s">
        <v>4779</v>
      </c>
      <c r="L3121" s="12" t="str">
        <f t="shared" si="144"/>
        <v>4,4,4</v>
      </c>
    </row>
    <row r="3122" spans="2:12">
      <c r="B3122" s="17">
        <v>3421</v>
      </c>
      <c r="C3122" s="17">
        <v>4</v>
      </c>
      <c r="D3122" s="17">
        <f t="shared" si="146"/>
        <v>1</v>
      </c>
      <c r="E3122" s="17">
        <f t="shared" si="145"/>
        <v>2188</v>
      </c>
      <c r="F3122" s="17" t="s">
        <v>4813</v>
      </c>
      <c r="G3122" s="17">
        <f>MATCH(E3122,Arenas!$F$8:$F$15)</f>
        <v>7</v>
      </c>
      <c r="H3122" s="29" t="s">
        <v>4492</v>
      </c>
      <c r="I3122" s="33" t="s">
        <v>10818</v>
      </c>
      <c r="J3122" s="47" t="s">
        <v>10819</v>
      </c>
      <c r="K3122" s="61" t="s">
        <v>4779</v>
      </c>
      <c r="L3122" s="12" t="str">
        <f t="shared" si="144"/>
        <v>4,4,4</v>
      </c>
    </row>
    <row r="3123" spans="2:12">
      <c r="B3123" s="17">
        <v>3422</v>
      </c>
      <c r="C3123" s="17">
        <v>4</v>
      </c>
      <c r="D3123" s="17">
        <f t="shared" si="146"/>
        <v>0</v>
      </c>
      <c r="E3123" s="17">
        <f t="shared" si="145"/>
        <v>2188</v>
      </c>
      <c r="F3123" s="17" t="s">
        <v>4813</v>
      </c>
      <c r="G3123" s="17">
        <f>MATCH(E3123,Arenas!$F$8:$F$15)</f>
        <v>7</v>
      </c>
      <c r="H3123" s="29" t="s">
        <v>4493</v>
      </c>
      <c r="I3123" s="33" t="s">
        <v>10820</v>
      </c>
      <c r="J3123" s="47" t="s">
        <v>10821</v>
      </c>
      <c r="K3123" s="61" t="s">
        <v>4779</v>
      </c>
      <c r="L3123" s="12" t="str">
        <f t="shared" si="144"/>
        <v>4,4,4</v>
      </c>
    </row>
    <row r="3124" spans="2:12">
      <c r="B3124" s="17">
        <v>3423</v>
      </c>
      <c r="C3124" s="17">
        <v>4</v>
      </c>
      <c r="D3124" s="17">
        <f t="shared" si="146"/>
        <v>0</v>
      </c>
      <c r="E3124" s="17">
        <f t="shared" si="145"/>
        <v>2188</v>
      </c>
      <c r="F3124" s="17" t="s">
        <v>4813</v>
      </c>
      <c r="G3124" s="17">
        <f>MATCH(E3124,Arenas!$F$8:$F$15)</f>
        <v>7</v>
      </c>
      <c r="H3124" s="29" t="s">
        <v>4494</v>
      </c>
      <c r="I3124" s="33" t="s">
        <v>10822</v>
      </c>
      <c r="J3124" s="47" t="s">
        <v>10823</v>
      </c>
      <c r="K3124" s="61" t="s">
        <v>4779</v>
      </c>
      <c r="L3124" s="12" t="str">
        <f t="shared" si="144"/>
        <v>4,4,4</v>
      </c>
    </row>
    <row r="3125" spans="2:12">
      <c r="B3125" s="17">
        <v>3424</v>
      </c>
      <c r="C3125" s="17">
        <v>4</v>
      </c>
      <c r="D3125" s="17">
        <f t="shared" si="146"/>
        <v>1</v>
      </c>
      <c r="E3125" s="17">
        <f t="shared" si="145"/>
        <v>2189</v>
      </c>
      <c r="F3125" s="17" t="s">
        <v>4813</v>
      </c>
      <c r="G3125" s="17">
        <f>MATCH(E3125,Arenas!$F$8:$F$15)</f>
        <v>7</v>
      </c>
      <c r="H3125" s="29" t="s">
        <v>4495</v>
      </c>
      <c r="I3125" s="33" t="s">
        <v>10824</v>
      </c>
      <c r="J3125" s="47" t="s">
        <v>10825</v>
      </c>
      <c r="K3125" s="61" t="s">
        <v>4779</v>
      </c>
      <c r="L3125" s="12" t="str">
        <f t="shared" si="144"/>
        <v>4,4,4</v>
      </c>
    </row>
    <row r="3126" spans="2:12">
      <c r="B3126" s="17">
        <v>3425</v>
      </c>
      <c r="C3126" s="17">
        <v>4</v>
      </c>
      <c r="D3126" s="17">
        <f t="shared" si="146"/>
        <v>0</v>
      </c>
      <c r="E3126" s="17">
        <f t="shared" si="145"/>
        <v>2189</v>
      </c>
      <c r="F3126" s="17" t="s">
        <v>4813</v>
      </c>
      <c r="G3126" s="17">
        <f>MATCH(E3126,Arenas!$F$8:$F$15)</f>
        <v>7</v>
      </c>
      <c r="H3126" s="29" t="s">
        <v>4496</v>
      </c>
      <c r="I3126" s="33" t="s">
        <v>10826</v>
      </c>
      <c r="J3126" s="47" t="s">
        <v>10827</v>
      </c>
      <c r="K3126" s="61" t="s">
        <v>4809</v>
      </c>
      <c r="L3126" s="12" t="str">
        <f t="shared" si="144"/>
        <v>4,4,4</v>
      </c>
    </row>
    <row r="3127" spans="2:12">
      <c r="B3127" s="17">
        <v>3426</v>
      </c>
      <c r="C3127" s="17">
        <v>4</v>
      </c>
      <c r="D3127" s="17">
        <f t="shared" si="146"/>
        <v>0</v>
      </c>
      <c r="E3127" s="17">
        <f t="shared" si="145"/>
        <v>2189</v>
      </c>
      <c r="F3127" s="17" t="s">
        <v>4813</v>
      </c>
      <c r="G3127" s="17">
        <f>MATCH(E3127,Arenas!$F$8:$F$15)</f>
        <v>7</v>
      </c>
      <c r="H3127" s="29" t="s">
        <v>4497</v>
      </c>
      <c r="I3127" s="33" t="s">
        <v>10828</v>
      </c>
      <c r="J3127" s="47" t="s">
        <v>5911</v>
      </c>
      <c r="K3127" s="61" t="s">
        <v>4779</v>
      </c>
      <c r="L3127" s="12" t="str">
        <f t="shared" si="144"/>
        <v>4,4,4</v>
      </c>
    </row>
    <row r="3128" spans="2:12">
      <c r="B3128" s="17">
        <v>3427</v>
      </c>
      <c r="C3128" s="17">
        <v>4</v>
      </c>
      <c r="D3128" s="17">
        <f t="shared" si="146"/>
        <v>1</v>
      </c>
      <c r="E3128" s="17">
        <f t="shared" si="145"/>
        <v>2190</v>
      </c>
      <c r="F3128" s="17" t="s">
        <v>4813</v>
      </c>
      <c r="G3128" s="17">
        <f>MATCH(E3128,Arenas!$F$8:$F$15)</f>
        <v>7</v>
      </c>
      <c r="H3128" s="29" t="s">
        <v>4498</v>
      </c>
      <c r="I3128" s="33" t="s">
        <v>10829</v>
      </c>
      <c r="J3128" s="47" t="s">
        <v>10830</v>
      </c>
      <c r="K3128" s="61" t="s">
        <v>4779</v>
      </c>
      <c r="L3128" s="12" t="str">
        <f t="shared" si="144"/>
        <v>4,4,4</v>
      </c>
    </row>
    <row r="3129" spans="2:12">
      <c r="B3129" s="17">
        <v>3428</v>
      </c>
      <c r="C3129" s="17">
        <v>4</v>
      </c>
      <c r="D3129" s="17">
        <f t="shared" si="146"/>
        <v>0</v>
      </c>
      <c r="E3129" s="17">
        <f t="shared" si="145"/>
        <v>2190</v>
      </c>
      <c r="F3129" s="17" t="s">
        <v>4813</v>
      </c>
      <c r="G3129" s="17">
        <f>MATCH(E3129,Arenas!$F$8:$F$15)</f>
        <v>7</v>
      </c>
      <c r="H3129" s="29" t="s">
        <v>4499</v>
      </c>
      <c r="I3129" s="33" t="s">
        <v>10831</v>
      </c>
      <c r="J3129" s="47" t="s">
        <v>10832</v>
      </c>
      <c r="K3129" s="61" t="s">
        <v>4779</v>
      </c>
      <c r="L3129" s="12" t="str">
        <f t="shared" si="144"/>
        <v>4,4,4</v>
      </c>
    </row>
    <row r="3130" spans="2:12">
      <c r="B3130" s="17">
        <v>3429</v>
      </c>
      <c r="C3130" s="17">
        <v>4</v>
      </c>
      <c r="D3130" s="17">
        <f t="shared" si="146"/>
        <v>0</v>
      </c>
      <c r="E3130" s="17">
        <f t="shared" si="145"/>
        <v>2190</v>
      </c>
      <c r="F3130" s="17" t="s">
        <v>4813</v>
      </c>
      <c r="G3130" s="17">
        <f>MATCH(E3130,Arenas!$F$8:$F$15)</f>
        <v>7</v>
      </c>
      <c r="H3130" s="29" t="s">
        <v>4500</v>
      </c>
      <c r="I3130" s="33" t="s">
        <v>10833</v>
      </c>
      <c r="J3130" s="47" t="s">
        <v>10834</v>
      </c>
      <c r="K3130" s="61" t="s">
        <v>4779</v>
      </c>
      <c r="L3130" s="12" t="str">
        <f t="shared" si="144"/>
        <v>4,4,4</v>
      </c>
    </row>
    <row r="3131" spans="2:12">
      <c r="B3131" s="17">
        <v>3430</v>
      </c>
      <c r="C3131" s="17">
        <v>4</v>
      </c>
      <c r="D3131" s="17">
        <f t="shared" si="146"/>
        <v>1</v>
      </c>
      <c r="E3131" s="17">
        <f t="shared" si="145"/>
        <v>2191</v>
      </c>
      <c r="F3131" s="17" t="s">
        <v>4813</v>
      </c>
      <c r="G3131" s="17">
        <f>MATCH(E3131,Arenas!$F$8:$F$15)</f>
        <v>7</v>
      </c>
      <c r="H3131" s="29" t="s">
        <v>4501</v>
      </c>
      <c r="I3131" s="33" t="s">
        <v>10835</v>
      </c>
      <c r="J3131" s="47" t="s">
        <v>10836</v>
      </c>
      <c r="K3131" s="61" t="s">
        <v>4807</v>
      </c>
      <c r="L3131" s="12" t="str">
        <f t="shared" si="144"/>
        <v>4,4,4</v>
      </c>
    </row>
    <row r="3132" spans="2:12">
      <c r="B3132" s="17">
        <v>3431</v>
      </c>
      <c r="C3132" s="17">
        <v>4</v>
      </c>
      <c r="D3132" s="17">
        <f t="shared" si="146"/>
        <v>0</v>
      </c>
      <c r="E3132" s="17">
        <f t="shared" si="145"/>
        <v>2191</v>
      </c>
      <c r="F3132" s="17" t="s">
        <v>4813</v>
      </c>
      <c r="G3132" s="17">
        <f>MATCH(E3132,Arenas!$F$8:$F$15)</f>
        <v>7</v>
      </c>
      <c r="H3132" s="29" t="s">
        <v>4502</v>
      </c>
      <c r="I3132" s="33" t="s">
        <v>10837</v>
      </c>
      <c r="J3132" s="47" t="s">
        <v>10838</v>
      </c>
      <c r="K3132" s="61" t="s">
        <v>4810</v>
      </c>
      <c r="L3132" s="12" t="str">
        <f t="shared" si="144"/>
        <v>4,4,4</v>
      </c>
    </row>
    <row r="3133" spans="2:12">
      <c r="B3133" s="17">
        <v>3432</v>
      </c>
      <c r="C3133" s="17">
        <v>4</v>
      </c>
      <c r="D3133" s="17">
        <f t="shared" si="146"/>
        <v>0</v>
      </c>
      <c r="E3133" s="17">
        <f t="shared" si="145"/>
        <v>2191</v>
      </c>
      <c r="F3133" s="17" t="s">
        <v>4813</v>
      </c>
      <c r="G3133" s="17">
        <f>MATCH(E3133,Arenas!$F$8:$F$15)</f>
        <v>7</v>
      </c>
      <c r="H3133" s="29" t="s">
        <v>4503</v>
      </c>
      <c r="I3133" s="33" t="s">
        <v>10839</v>
      </c>
      <c r="J3133" s="47" t="s">
        <v>10840</v>
      </c>
      <c r="K3133" s="61" t="s">
        <v>4779</v>
      </c>
      <c r="L3133" s="12" t="str">
        <f t="shared" si="144"/>
        <v>4,4,4</v>
      </c>
    </row>
    <row r="3134" spans="2:12">
      <c r="B3134" s="17">
        <v>3433</v>
      </c>
      <c r="C3134" s="17">
        <v>4</v>
      </c>
      <c r="D3134" s="17">
        <f t="shared" si="146"/>
        <v>1</v>
      </c>
      <c r="E3134" s="17">
        <f t="shared" si="145"/>
        <v>2192</v>
      </c>
      <c r="F3134" s="17" t="s">
        <v>4813</v>
      </c>
      <c r="G3134" s="17">
        <f>MATCH(E3134,Arenas!$F$8:$F$15)</f>
        <v>7</v>
      </c>
      <c r="H3134" s="29" t="s">
        <v>4504</v>
      </c>
      <c r="I3134" s="33" t="s">
        <v>10841</v>
      </c>
      <c r="J3134" s="47" t="s">
        <v>10842</v>
      </c>
      <c r="K3134" s="61" t="s">
        <v>4779</v>
      </c>
      <c r="L3134" s="12" t="str">
        <f t="shared" si="144"/>
        <v>4,4,4</v>
      </c>
    </row>
    <row r="3135" spans="2:12">
      <c r="B3135" s="17">
        <v>3434</v>
      </c>
      <c r="C3135" s="17">
        <v>4</v>
      </c>
      <c r="D3135" s="17">
        <f t="shared" si="146"/>
        <v>0</v>
      </c>
      <c r="E3135" s="17">
        <f t="shared" si="145"/>
        <v>2192</v>
      </c>
      <c r="F3135" s="17" t="s">
        <v>4813</v>
      </c>
      <c r="G3135" s="17">
        <f>MATCH(E3135,Arenas!$F$8:$F$15)</f>
        <v>7</v>
      </c>
      <c r="H3135" s="29" t="s">
        <v>4505</v>
      </c>
      <c r="I3135" s="33" t="s">
        <v>10843</v>
      </c>
      <c r="J3135" s="47" t="s">
        <v>10844</v>
      </c>
      <c r="K3135" s="61" t="s">
        <v>4779</v>
      </c>
      <c r="L3135" s="12" t="str">
        <f t="shared" si="144"/>
        <v>4,4,4</v>
      </c>
    </row>
    <row r="3136" spans="2:12">
      <c r="B3136" s="17">
        <v>3435</v>
      </c>
      <c r="C3136" s="17">
        <v>4</v>
      </c>
      <c r="D3136" s="17">
        <f t="shared" si="146"/>
        <v>0</v>
      </c>
      <c r="E3136" s="17">
        <f t="shared" si="145"/>
        <v>2192</v>
      </c>
      <c r="F3136" s="17" t="s">
        <v>4813</v>
      </c>
      <c r="G3136" s="17">
        <f>MATCH(E3136,Arenas!$F$8:$F$15)</f>
        <v>7</v>
      </c>
      <c r="H3136" s="29" t="s">
        <v>4506</v>
      </c>
      <c r="I3136" s="33" t="s">
        <v>10845</v>
      </c>
      <c r="J3136" s="47" t="s">
        <v>5620</v>
      </c>
      <c r="K3136" s="61" t="s">
        <v>4779</v>
      </c>
      <c r="L3136" s="12" t="str">
        <f t="shared" si="144"/>
        <v>4,4,4</v>
      </c>
    </row>
    <row r="3137" spans="2:12">
      <c r="B3137" s="17">
        <v>3436</v>
      </c>
      <c r="C3137" s="17">
        <v>4</v>
      </c>
      <c r="D3137" s="17">
        <f t="shared" si="146"/>
        <v>1</v>
      </c>
      <c r="E3137" s="17">
        <f t="shared" si="145"/>
        <v>2193</v>
      </c>
      <c r="F3137" s="17" t="s">
        <v>4813</v>
      </c>
      <c r="G3137" s="17">
        <f>MATCH(E3137,Arenas!$F$8:$F$15)</f>
        <v>7</v>
      </c>
      <c r="H3137" s="29" t="s">
        <v>4507</v>
      </c>
      <c r="I3137" s="33" t="s">
        <v>10846</v>
      </c>
      <c r="J3137" s="47" t="s">
        <v>10847</v>
      </c>
      <c r="K3137" s="61" t="s">
        <v>4779</v>
      </c>
      <c r="L3137" s="12" t="str">
        <f t="shared" si="144"/>
        <v>4,4,4</v>
      </c>
    </row>
    <row r="3138" spans="2:12">
      <c r="B3138" s="17">
        <v>3437</v>
      </c>
      <c r="C3138" s="17">
        <v>4</v>
      </c>
      <c r="D3138" s="17">
        <f t="shared" si="146"/>
        <v>0</v>
      </c>
      <c r="E3138" s="17">
        <f t="shared" si="145"/>
        <v>2193</v>
      </c>
      <c r="F3138" s="17" t="s">
        <v>4813</v>
      </c>
      <c r="G3138" s="17">
        <f>MATCH(E3138,Arenas!$F$8:$F$15)</f>
        <v>7</v>
      </c>
      <c r="H3138" s="29" t="s">
        <v>4508</v>
      </c>
      <c r="I3138" s="33" t="s">
        <v>10848</v>
      </c>
      <c r="J3138" s="47" t="s">
        <v>10849</v>
      </c>
      <c r="K3138" s="61" t="s">
        <v>4809</v>
      </c>
      <c r="L3138" s="12" t="str">
        <f t="shared" ref="L3138:L3164" si="147">C3138&amp;","&amp;C3138&amp;","&amp;C3138</f>
        <v>4,4,4</v>
      </c>
    </row>
    <row r="3139" spans="2:12">
      <c r="B3139" s="17">
        <v>3438</v>
      </c>
      <c r="C3139" s="17">
        <v>4</v>
      </c>
      <c r="D3139" s="17">
        <f t="shared" si="146"/>
        <v>0</v>
      </c>
      <c r="E3139" s="17">
        <f t="shared" ref="E3139:E3149" si="148">D3139+E3138</f>
        <v>2193</v>
      </c>
      <c r="F3139" s="17" t="s">
        <v>4813</v>
      </c>
      <c r="G3139" s="17">
        <f>MATCH(E3139,Arenas!$F$8:$F$15)</f>
        <v>7</v>
      </c>
      <c r="H3139" s="29" t="s">
        <v>4509</v>
      </c>
      <c r="I3139" s="33" t="s">
        <v>10850</v>
      </c>
      <c r="J3139" s="47" t="s">
        <v>10851</v>
      </c>
      <c r="K3139" s="61" t="s">
        <v>4779</v>
      </c>
      <c r="L3139" s="12" t="str">
        <f t="shared" si="147"/>
        <v>4,4,4</v>
      </c>
    </row>
    <row r="3140" spans="2:12">
      <c r="B3140" s="17">
        <v>3439</v>
      </c>
      <c r="C3140" s="17">
        <v>4</v>
      </c>
      <c r="D3140" s="17">
        <f t="shared" si="146"/>
        <v>1</v>
      </c>
      <c r="E3140" s="17">
        <f t="shared" si="148"/>
        <v>2194</v>
      </c>
      <c r="F3140" s="17" t="s">
        <v>4813</v>
      </c>
      <c r="G3140" s="17">
        <f>MATCH(E3140,Arenas!$F$8:$F$15)</f>
        <v>7</v>
      </c>
      <c r="H3140" s="29" t="s">
        <v>4510</v>
      </c>
      <c r="I3140" s="33" t="s">
        <v>10852</v>
      </c>
      <c r="J3140" s="47" t="s">
        <v>10853</v>
      </c>
      <c r="K3140" s="61" t="s">
        <v>4779</v>
      </c>
      <c r="L3140" s="12" t="str">
        <f t="shared" si="147"/>
        <v>4,4,4</v>
      </c>
    </row>
    <row r="3141" spans="2:12">
      <c r="B3141" s="17">
        <v>3440</v>
      </c>
      <c r="C3141" s="17">
        <v>4</v>
      </c>
      <c r="D3141" s="17">
        <f t="shared" ref="D3141:D3164" si="149">D3138</f>
        <v>0</v>
      </c>
      <c r="E3141" s="17">
        <f t="shared" si="148"/>
        <v>2194</v>
      </c>
      <c r="F3141" s="17" t="s">
        <v>4813</v>
      </c>
      <c r="G3141" s="17">
        <f>MATCH(E3141,Arenas!$F$8:$F$15)</f>
        <v>7</v>
      </c>
      <c r="H3141" s="29" t="s">
        <v>4511</v>
      </c>
      <c r="I3141" s="33" t="s">
        <v>10854</v>
      </c>
      <c r="J3141" s="47" t="s">
        <v>10855</v>
      </c>
      <c r="K3141" s="61" t="s">
        <v>4779</v>
      </c>
      <c r="L3141" s="12" t="str">
        <f t="shared" si="147"/>
        <v>4,4,4</v>
      </c>
    </row>
    <row r="3142" spans="2:12">
      <c r="B3142" s="17">
        <v>3441</v>
      </c>
      <c r="C3142" s="17">
        <v>4</v>
      </c>
      <c r="D3142" s="17">
        <f t="shared" si="149"/>
        <v>0</v>
      </c>
      <c r="E3142" s="17">
        <f t="shared" si="148"/>
        <v>2194</v>
      </c>
      <c r="F3142" s="17" t="s">
        <v>4813</v>
      </c>
      <c r="G3142" s="17">
        <f>MATCH(E3142,Arenas!$F$8:$F$15)</f>
        <v>7</v>
      </c>
      <c r="H3142" s="29" t="s">
        <v>4512</v>
      </c>
      <c r="I3142" s="33" t="s">
        <v>10856</v>
      </c>
      <c r="J3142" s="47" t="s">
        <v>10857</v>
      </c>
      <c r="K3142" s="61" t="s">
        <v>4779</v>
      </c>
      <c r="L3142" s="12" t="str">
        <f t="shared" si="147"/>
        <v>4,4,4</v>
      </c>
    </row>
    <row r="3143" spans="2:12">
      <c r="B3143" s="17">
        <v>3442</v>
      </c>
      <c r="C3143" s="17">
        <v>4</v>
      </c>
      <c r="D3143" s="17">
        <f t="shared" si="149"/>
        <v>1</v>
      </c>
      <c r="E3143" s="17">
        <f t="shared" si="148"/>
        <v>2195</v>
      </c>
      <c r="F3143" s="17" t="s">
        <v>4813</v>
      </c>
      <c r="G3143" s="17">
        <f>MATCH(E3143,Arenas!$F$8:$F$15)</f>
        <v>7</v>
      </c>
      <c r="H3143" s="29" t="s">
        <v>4513</v>
      </c>
      <c r="I3143" s="33" t="s">
        <v>10858</v>
      </c>
      <c r="J3143" s="47" t="s">
        <v>10859</v>
      </c>
      <c r="K3143" s="61" t="s">
        <v>4810</v>
      </c>
      <c r="L3143" s="12" t="str">
        <f t="shared" si="147"/>
        <v>4,4,4</v>
      </c>
    </row>
    <row r="3144" spans="2:12">
      <c r="B3144" s="17">
        <v>3443</v>
      </c>
      <c r="C3144" s="17">
        <v>4</v>
      </c>
      <c r="D3144" s="17">
        <f t="shared" si="149"/>
        <v>0</v>
      </c>
      <c r="E3144" s="17">
        <f t="shared" si="148"/>
        <v>2195</v>
      </c>
      <c r="F3144" s="17" t="s">
        <v>4813</v>
      </c>
      <c r="G3144" s="17">
        <f>MATCH(E3144,Arenas!$F$8:$F$15)</f>
        <v>7</v>
      </c>
      <c r="H3144" s="29" t="s">
        <v>4514</v>
      </c>
      <c r="I3144" s="33" t="s">
        <v>10860</v>
      </c>
      <c r="J3144" s="47" t="s">
        <v>10861</v>
      </c>
      <c r="K3144" s="61" t="s">
        <v>4779</v>
      </c>
      <c r="L3144" s="12" t="str">
        <f t="shared" si="147"/>
        <v>4,4,4</v>
      </c>
    </row>
    <row r="3145" spans="2:12">
      <c r="B3145" s="17">
        <v>3444</v>
      </c>
      <c r="C3145" s="17">
        <v>4</v>
      </c>
      <c r="D3145" s="17">
        <f t="shared" si="149"/>
        <v>0</v>
      </c>
      <c r="E3145" s="17">
        <f t="shared" si="148"/>
        <v>2195</v>
      </c>
      <c r="F3145" s="17" t="s">
        <v>4813</v>
      </c>
      <c r="G3145" s="17">
        <f>MATCH(E3145,Arenas!$F$8:$F$15)</f>
        <v>7</v>
      </c>
      <c r="H3145" s="29" t="s">
        <v>4515</v>
      </c>
      <c r="I3145" s="33" t="s">
        <v>10862</v>
      </c>
      <c r="J3145" s="47" t="s">
        <v>10863</v>
      </c>
      <c r="K3145" s="61" t="s">
        <v>4779</v>
      </c>
      <c r="L3145" s="12" t="str">
        <f t="shared" si="147"/>
        <v>4,4,4</v>
      </c>
    </row>
    <row r="3146" spans="2:12">
      <c r="B3146" s="17">
        <v>3445</v>
      </c>
      <c r="C3146" s="17">
        <v>4</v>
      </c>
      <c r="D3146" s="17">
        <f t="shared" si="149"/>
        <v>1</v>
      </c>
      <c r="E3146" s="17">
        <f t="shared" si="148"/>
        <v>2196</v>
      </c>
      <c r="F3146" s="17" t="s">
        <v>4813</v>
      </c>
      <c r="G3146" s="17">
        <f>MATCH(E3146,Arenas!$F$8:$F$15)</f>
        <v>7</v>
      </c>
      <c r="H3146" s="29" t="s">
        <v>4516</v>
      </c>
      <c r="I3146" s="33" t="s">
        <v>10864</v>
      </c>
      <c r="J3146" s="47" t="s">
        <v>10865</v>
      </c>
      <c r="K3146" s="61" t="s">
        <v>4779</v>
      </c>
      <c r="L3146" s="12" t="str">
        <f t="shared" si="147"/>
        <v>4,4,4</v>
      </c>
    </row>
    <row r="3147" spans="2:12">
      <c r="B3147" s="17">
        <v>3446</v>
      </c>
      <c r="C3147" s="17">
        <v>4</v>
      </c>
      <c r="D3147" s="17">
        <f t="shared" si="149"/>
        <v>0</v>
      </c>
      <c r="E3147" s="17">
        <f t="shared" si="148"/>
        <v>2196</v>
      </c>
      <c r="F3147" s="17" t="s">
        <v>4813</v>
      </c>
      <c r="G3147" s="17">
        <f>MATCH(E3147,Arenas!$F$8:$F$15)</f>
        <v>7</v>
      </c>
      <c r="H3147" s="29" t="s">
        <v>4517</v>
      </c>
      <c r="I3147" s="33" t="s">
        <v>10866</v>
      </c>
      <c r="J3147" s="47" t="s">
        <v>10867</v>
      </c>
      <c r="K3147" s="61" t="s">
        <v>4779</v>
      </c>
      <c r="L3147" s="12" t="str">
        <f t="shared" si="147"/>
        <v>4,4,4</v>
      </c>
    </row>
    <row r="3148" spans="2:12">
      <c r="B3148" s="17">
        <v>3447</v>
      </c>
      <c r="C3148" s="17">
        <v>4</v>
      </c>
      <c r="D3148" s="17">
        <f t="shared" si="149"/>
        <v>0</v>
      </c>
      <c r="E3148" s="17">
        <f t="shared" si="148"/>
        <v>2196</v>
      </c>
      <c r="F3148" s="17" t="s">
        <v>4813</v>
      </c>
      <c r="G3148" s="17">
        <f>MATCH(E3148,Arenas!$F$8:$F$15)</f>
        <v>7</v>
      </c>
      <c r="H3148" s="29" t="s">
        <v>4518</v>
      </c>
      <c r="I3148" s="33" t="s">
        <v>10868</v>
      </c>
      <c r="J3148" s="47" t="s">
        <v>10869</v>
      </c>
      <c r="K3148" s="61" t="s">
        <v>4779</v>
      </c>
      <c r="L3148" s="12" t="str">
        <f t="shared" si="147"/>
        <v>4,4,4</v>
      </c>
    </row>
    <row r="3149" spans="2:12">
      <c r="B3149" s="17">
        <v>3448</v>
      </c>
      <c r="C3149" s="17">
        <v>4</v>
      </c>
      <c r="D3149" s="17">
        <f t="shared" si="149"/>
        <v>1</v>
      </c>
      <c r="E3149" s="17">
        <f t="shared" si="148"/>
        <v>2197</v>
      </c>
      <c r="F3149" s="17" t="s">
        <v>4813</v>
      </c>
      <c r="G3149" s="17">
        <f>MATCH(E3149,Arenas!$F$8:$F$15)</f>
        <v>7</v>
      </c>
      <c r="H3149" s="29" t="s">
        <v>4519</v>
      </c>
      <c r="I3149" s="33" t="s">
        <v>10870</v>
      </c>
      <c r="J3149" s="47" t="s">
        <v>10871</v>
      </c>
      <c r="K3149" s="61" t="s">
        <v>4779</v>
      </c>
      <c r="L3149" s="12" t="str">
        <f t="shared" si="147"/>
        <v>4,4,4</v>
      </c>
    </row>
    <row r="3150" spans="2:12">
      <c r="B3150" s="17">
        <v>3449</v>
      </c>
      <c r="C3150" s="17">
        <v>5</v>
      </c>
      <c r="D3150" s="17">
        <f t="shared" si="149"/>
        <v>0</v>
      </c>
      <c r="E3150" s="17">
        <v>1520</v>
      </c>
      <c r="F3150" s="17" t="s">
        <v>4813</v>
      </c>
      <c r="G3150" s="17">
        <f>MATCH(E3150,Arenas!$F$8:$F$15)</f>
        <v>5</v>
      </c>
      <c r="H3150" s="29" t="s">
        <v>4520</v>
      </c>
      <c r="I3150" s="33" t="s">
        <v>10872</v>
      </c>
      <c r="J3150" s="47" t="s">
        <v>10873</v>
      </c>
      <c r="K3150" s="61" t="s">
        <v>4779</v>
      </c>
      <c r="L3150" s="12" t="str">
        <f t="shared" si="147"/>
        <v>5,5,5</v>
      </c>
    </row>
    <row r="3151" spans="2:12">
      <c r="B3151" s="17">
        <v>3450</v>
      </c>
      <c r="C3151" s="17">
        <v>5</v>
      </c>
      <c r="D3151" s="17">
        <f t="shared" si="149"/>
        <v>0</v>
      </c>
      <c r="E3151" s="17">
        <v>1652</v>
      </c>
      <c r="F3151" s="17" t="s">
        <v>4813</v>
      </c>
      <c r="G3151" s="17">
        <f>MATCH(E3151,Arenas!$F$8:$F$15)</f>
        <v>5</v>
      </c>
      <c r="H3151" s="29" t="s">
        <v>4521</v>
      </c>
      <c r="I3151" s="33" t="s">
        <v>10874</v>
      </c>
      <c r="J3151" s="47" t="s">
        <v>10875</v>
      </c>
      <c r="K3151" s="61" t="s">
        <v>4779</v>
      </c>
      <c r="L3151" s="12" t="str">
        <f t="shared" si="147"/>
        <v>5,5,5</v>
      </c>
    </row>
    <row r="3152" spans="2:12">
      <c r="B3152" s="17">
        <v>3451</v>
      </c>
      <c r="C3152" s="17">
        <v>5</v>
      </c>
      <c r="D3152" s="17">
        <f t="shared" si="149"/>
        <v>1</v>
      </c>
      <c r="E3152" s="17">
        <v>1784</v>
      </c>
      <c r="F3152" s="17" t="s">
        <v>4813</v>
      </c>
      <c r="G3152" s="17">
        <f>MATCH(E3152,Arenas!$F$8:$F$15)</f>
        <v>6</v>
      </c>
      <c r="H3152" s="29" t="s">
        <v>4522</v>
      </c>
      <c r="I3152" s="33" t="s">
        <v>10876</v>
      </c>
      <c r="J3152" s="47" t="s">
        <v>10877</v>
      </c>
      <c r="K3152" s="61" t="s">
        <v>4779</v>
      </c>
      <c r="L3152" s="12" t="str">
        <f t="shared" si="147"/>
        <v>5,5,5</v>
      </c>
    </row>
    <row r="3153" spans="2:12">
      <c r="B3153" s="17">
        <v>3452</v>
      </c>
      <c r="C3153" s="17">
        <v>5</v>
      </c>
      <c r="D3153" s="17">
        <f t="shared" si="149"/>
        <v>0</v>
      </c>
      <c r="E3153" s="17">
        <v>1916</v>
      </c>
      <c r="F3153" s="17" t="s">
        <v>4813</v>
      </c>
      <c r="G3153" s="17">
        <f>MATCH(E3153,Arenas!$F$8:$F$15)</f>
        <v>6</v>
      </c>
      <c r="H3153" s="29" t="s">
        <v>4523</v>
      </c>
      <c r="I3153" s="33" t="s">
        <v>10878</v>
      </c>
      <c r="J3153" s="47" t="s">
        <v>10879</v>
      </c>
      <c r="K3153" s="61" t="s">
        <v>4779</v>
      </c>
      <c r="L3153" s="12" t="str">
        <f t="shared" si="147"/>
        <v>5,5,5</v>
      </c>
    </row>
    <row r="3154" spans="2:12">
      <c r="B3154" s="17">
        <v>3453</v>
      </c>
      <c r="C3154" s="17">
        <v>5</v>
      </c>
      <c r="D3154" s="17">
        <f t="shared" si="149"/>
        <v>0</v>
      </c>
      <c r="E3154" s="17">
        <v>2048</v>
      </c>
      <c r="F3154" s="17" t="s">
        <v>4813</v>
      </c>
      <c r="G3154" s="17">
        <f>MATCH(E3154,Arenas!$F$8:$F$15)</f>
        <v>6</v>
      </c>
      <c r="H3154" s="29" t="s">
        <v>4524</v>
      </c>
      <c r="I3154" s="33" t="s">
        <v>10880</v>
      </c>
      <c r="J3154" s="47" t="s">
        <v>10881</v>
      </c>
      <c r="K3154" s="61" t="s">
        <v>4779</v>
      </c>
      <c r="L3154" s="12" t="str">
        <f t="shared" si="147"/>
        <v>5,5,5</v>
      </c>
    </row>
    <row r="3155" spans="2:12">
      <c r="B3155" s="17">
        <v>3454</v>
      </c>
      <c r="C3155" s="17">
        <v>6</v>
      </c>
      <c r="D3155" s="17">
        <f t="shared" si="149"/>
        <v>1</v>
      </c>
      <c r="E3155" s="17">
        <v>2180</v>
      </c>
      <c r="F3155" s="17" t="s">
        <v>4813</v>
      </c>
      <c r="G3155" s="17">
        <f>MATCH(E3155,Arenas!$F$8:$F$15)</f>
        <v>7</v>
      </c>
      <c r="H3155" s="29" t="s">
        <v>4525</v>
      </c>
      <c r="I3155" s="33" t="s">
        <v>10882</v>
      </c>
      <c r="J3155" s="47" t="s">
        <v>10883</v>
      </c>
      <c r="K3155" s="61" t="s">
        <v>4779</v>
      </c>
      <c r="L3155" s="12" t="str">
        <f t="shared" si="147"/>
        <v>6,6,6</v>
      </c>
    </row>
    <row r="3156" spans="2:12">
      <c r="B3156" s="17">
        <v>3455</v>
      </c>
      <c r="C3156" s="17">
        <v>6</v>
      </c>
      <c r="D3156" s="17">
        <f t="shared" si="149"/>
        <v>0</v>
      </c>
      <c r="E3156" s="17">
        <v>2312</v>
      </c>
      <c r="F3156" s="17" t="s">
        <v>4813</v>
      </c>
      <c r="G3156" s="17">
        <f>MATCH(E3156,Arenas!$F$8:$F$15)</f>
        <v>7</v>
      </c>
      <c r="H3156" s="29" t="s">
        <v>4526</v>
      </c>
      <c r="I3156" s="33" t="s">
        <v>10884</v>
      </c>
      <c r="J3156" s="47" t="s">
        <v>10885</v>
      </c>
      <c r="K3156" s="61" t="s">
        <v>4779</v>
      </c>
      <c r="L3156" s="12" t="str">
        <f t="shared" si="147"/>
        <v>6,6,6</v>
      </c>
    </row>
    <row r="3157" spans="2:12">
      <c r="B3157" s="17">
        <v>3456</v>
      </c>
      <c r="C3157" s="17">
        <v>6</v>
      </c>
      <c r="D3157" s="17">
        <f t="shared" si="149"/>
        <v>0</v>
      </c>
      <c r="E3157" s="17">
        <v>2444</v>
      </c>
      <c r="F3157" s="17" t="s">
        <v>4813</v>
      </c>
      <c r="G3157" s="17">
        <f>MATCH(E3157,Arenas!$F$8:$F$15)</f>
        <v>7</v>
      </c>
      <c r="H3157" s="29" t="s">
        <v>4527</v>
      </c>
      <c r="I3157" s="33" t="s">
        <v>10886</v>
      </c>
      <c r="J3157" s="47" t="s">
        <v>10887</v>
      </c>
      <c r="K3157" s="61" t="s">
        <v>4779</v>
      </c>
      <c r="L3157" s="12" t="str">
        <f t="shared" si="147"/>
        <v>6,6,6</v>
      </c>
    </row>
    <row r="3158" spans="2:12">
      <c r="B3158" s="17">
        <v>3457</v>
      </c>
      <c r="C3158" s="17">
        <v>6</v>
      </c>
      <c r="D3158" s="17">
        <f t="shared" si="149"/>
        <v>1</v>
      </c>
      <c r="E3158" s="17">
        <v>2576</v>
      </c>
      <c r="F3158" s="17" t="s">
        <v>4813</v>
      </c>
      <c r="G3158" s="17">
        <f>MATCH(E3158,Arenas!$F$8:$F$15)</f>
        <v>8</v>
      </c>
      <c r="H3158" s="29" t="s">
        <v>4528</v>
      </c>
      <c r="I3158" s="33" t="s">
        <v>10888</v>
      </c>
      <c r="J3158" s="47" t="s">
        <v>10889</v>
      </c>
      <c r="K3158" s="61" t="s">
        <v>4779</v>
      </c>
      <c r="L3158" s="12" t="str">
        <f t="shared" si="147"/>
        <v>6,6,6</v>
      </c>
    </row>
    <row r="3159" spans="2:12">
      <c r="B3159" s="17">
        <v>3458</v>
      </c>
      <c r="C3159" s="17">
        <v>7</v>
      </c>
      <c r="D3159" s="17">
        <f t="shared" si="149"/>
        <v>0</v>
      </c>
      <c r="E3159" s="17">
        <v>2708</v>
      </c>
      <c r="F3159" s="17" t="s">
        <v>4813</v>
      </c>
      <c r="G3159" s="17">
        <f>MATCH(E3159,Arenas!$F$8:$F$15)</f>
        <v>8</v>
      </c>
      <c r="H3159" s="29" t="s">
        <v>4529</v>
      </c>
      <c r="I3159" s="33" t="s">
        <v>10890</v>
      </c>
      <c r="J3159" s="47" t="s">
        <v>10891</v>
      </c>
      <c r="K3159" s="61" t="s">
        <v>4779</v>
      </c>
      <c r="L3159" s="12" t="str">
        <f t="shared" si="147"/>
        <v>7,7,7</v>
      </c>
    </row>
    <row r="3160" spans="2:12">
      <c r="B3160" s="17">
        <v>3459</v>
      </c>
      <c r="C3160" s="17">
        <v>7</v>
      </c>
      <c r="D3160" s="17">
        <f t="shared" si="149"/>
        <v>0</v>
      </c>
      <c r="E3160" s="17">
        <v>2840</v>
      </c>
      <c r="F3160" s="17" t="s">
        <v>4813</v>
      </c>
      <c r="G3160" s="17">
        <f>MATCH(E3160,Arenas!$F$8:$F$15)</f>
        <v>8</v>
      </c>
      <c r="H3160" s="29" t="s">
        <v>4530</v>
      </c>
      <c r="I3160" s="33" t="s">
        <v>10892</v>
      </c>
      <c r="J3160" s="47" t="s">
        <v>10893</v>
      </c>
      <c r="K3160" s="61" t="s">
        <v>4779</v>
      </c>
      <c r="L3160" s="12" t="str">
        <f t="shared" si="147"/>
        <v>7,7,7</v>
      </c>
    </row>
    <row r="3161" spans="2:12">
      <c r="B3161" s="17">
        <v>3460</v>
      </c>
      <c r="C3161" s="17">
        <v>7</v>
      </c>
      <c r="D3161" s="17">
        <f t="shared" si="149"/>
        <v>1</v>
      </c>
      <c r="E3161" s="17">
        <v>2972</v>
      </c>
      <c r="F3161" s="17" t="s">
        <v>4813</v>
      </c>
      <c r="G3161" s="17">
        <f>MATCH(E3161,Arenas!$F$8:$F$15)</f>
        <v>8</v>
      </c>
      <c r="H3161" s="29" t="s">
        <v>4531</v>
      </c>
      <c r="I3161" s="33" t="s">
        <v>10894</v>
      </c>
      <c r="J3161" s="47" t="s">
        <v>10895</v>
      </c>
      <c r="K3161" s="61" t="s">
        <v>4779</v>
      </c>
      <c r="L3161" s="12" t="str">
        <f t="shared" si="147"/>
        <v>7,7,7</v>
      </c>
    </row>
    <row r="3162" spans="2:12">
      <c r="B3162" s="17">
        <v>3461</v>
      </c>
      <c r="C3162" s="17">
        <v>8</v>
      </c>
      <c r="D3162" s="17">
        <f t="shared" si="149"/>
        <v>0</v>
      </c>
      <c r="E3162" s="17">
        <v>3104</v>
      </c>
      <c r="F3162" s="17" t="s">
        <v>4813</v>
      </c>
      <c r="G3162" s="17">
        <f>MATCH(E3162,Arenas!$F$8:$F$15)</f>
        <v>8</v>
      </c>
      <c r="H3162" s="29" t="s">
        <v>4532</v>
      </c>
      <c r="I3162" s="33" t="s">
        <v>10896</v>
      </c>
      <c r="J3162" s="47" t="s">
        <v>10897</v>
      </c>
      <c r="K3162" s="61" t="s">
        <v>4779</v>
      </c>
      <c r="L3162" s="12" t="str">
        <f t="shared" si="147"/>
        <v>8,8,8</v>
      </c>
    </row>
    <row r="3163" spans="2:12">
      <c r="B3163" s="17">
        <v>3462</v>
      </c>
      <c r="C3163" s="17">
        <v>8</v>
      </c>
      <c r="D3163" s="17">
        <f t="shared" si="149"/>
        <v>0</v>
      </c>
      <c r="E3163" s="17">
        <v>3236</v>
      </c>
      <c r="F3163" s="17" t="s">
        <v>4813</v>
      </c>
      <c r="G3163" s="17">
        <f>MATCH(E3163,Arenas!$F$8:$F$15)</f>
        <v>8</v>
      </c>
      <c r="H3163" s="29" t="s">
        <v>4533</v>
      </c>
      <c r="I3163" s="33" t="s">
        <v>10898</v>
      </c>
      <c r="J3163" s="47" t="s">
        <v>10899</v>
      </c>
      <c r="K3163" s="61" t="s">
        <v>4779</v>
      </c>
      <c r="L3163" s="12" t="str">
        <f t="shared" si="147"/>
        <v>8,8,8</v>
      </c>
    </row>
    <row r="3164" spans="2:12">
      <c r="B3164" s="17">
        <v>3463</v>
      </c>
      <c r="C3164" s="17">
        <v>9</v>
      </c>
      <c r="D3164" s="17">
        <f t="shared" si="149"/>
        <v>1</v>
      </c>
      <c r="E3164" s="17">
        <v>3368</v>
      </c>
      <c r="F3164" s="17" t="s">
        <v>4813</v>
      </c>
      <c r="G3164" s="17">
        <f>MATCH(E3164,Arenas!$F$8:$F$15)</f>
        <v>8</v>
      </c>
      <c r="H3164" s="29" t="s">
        <v>4534</v>
      </c>
      <c r="I3164" s="33" t="s">
        <v>10900</v>
      </c>
      <c r="J3164" s="47" t="s">
        <v>10901</v>
      </c>
      <c r="K3164" s="61" t="s">
        <v>4810</v>
      </c>
      <c r="L3164" s="12" t="str">
        <f t="shared" si="147"/>
        <v>9,9,9</v>
      </c>
    </row>
  </sheetData>
  <sortState ref="A3172:L6319">
    <sortCondition ref="A3172"/>
  </sortState>
  <phoneticPr fontId="4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2:AJ68"/>
  <sheetViews>
    <sheetView topLeftCell="A4" zoomScaleNormal="100" workbookViewId="0">
      <selection activeCell="L39" sqref="L39"/>
    </sheetView>
  </sheetViews>
  <sheetFormatPr defaultRowHeight="13.5"/>
  <cols>
    <col min="5" max="5" width="15.875" customWidth="1"/>
    <col min="7" max="8" width="6.5" customWidth="1"/>
    <col min="12" max="12" width="7.5" customWidth="1"/>
    <col min="16" max="16" width="7.5" customWidth="1"/>
    <col min="17" max="17" width="9.5" customWidth="1"/>
    <col min="18" max="18" width="5.75" customWidth="1"/>
    <col min="19" max="19" width="5.5" customWidth="1"/>
    <col min="20" max="20" width="5.875" customWidth="1"/>
  </cols>
  <sheetData>
    <row r="2" spans="3:36">
      <c r="S2" s="1">
        <v>0</v>
      </c>
      <c r="T2" s="1">
        <v>1</v>
      </c>
      <c r="U2" s="1">
        <v>2</v>
      </c>
      <c r="V2" s="1">
        <v>3</v>
      </c>
      <c r="W2" s="1">
        <v>4</v>
      </c>
      <c r="X2" s="1">
        <v>5</v>
      </c>
      <c r="Y2" s="1">
        <v>6</v>
      </c>
      <c r="Z2" s="1">
        <v>7</v>
      </c>
      <c r="AA2" s="1">
        <v>8</v>
      </c>
      <c r="AB2" s="1">
        <v>9</v>
      </c>
      <c r="AC2" s="1">
        <v>10</v>
      </c>
      <c r="AD2" s="1">
        <v>11</v>
      </c>
      <c r="AE2" s="1">
        <v>12</v>
      </c>
      <c r="AF2" s="1">
        <v>13</v>
      </c>
      <c r="AG2" s="1">
        <v>14</v>
      </c>
      <c r="AH2" s="1">
        <v>15</v>
      </c>
      <c r="AI2" s="1">
        <v>16</v>
      </c>
    </row>
    <row r="3" spans="3:36" ht="54">
      <c r="C3" s="54" t="s">
        <v>4840</v>
      </c>
      <c r="D3" s="54" t="str">
        <f>[2]一级属性!A1</f>
        <v>id</v>
      </c>
      <c r="E3" s="54" t="str">
        <f>[2]一级属性!B1</f>
        <v>名称</v>
      </c>
      <c r="F3" s="54" t="str">
        <f>[2]一级属性!D1</f>
        <v>是卡牌</v>
      </c>
      <c r="G3" s="54" t="str">
        <f>[2]一级属性!E1</f>
        <v>竞技场解锁等级</v>
      </c>
      <c r="H3" s="54" t="str">
        <f>[2]一级属性!H1</f>
        <v>品质</v>
      </c>
      <c r="I3" s="27"/>
      <c r="J3" s="27" t="s">
        <v>1060</v>
      </c>
      <c r="K3" s="27" t="s">
        <v>1061</v>
      </c>
      <c r="L3" s="27" t="s">
        <v>4839</v>
      </c>
      <c r="M3" s="27"/>
      <c r="AB3" s="26">
        <v>9</v>
      </c>
      <c r="AD3" s="26">
        <v>7</v>
      </c>
      <c r="AE3" s="48">
        <v>-2</v>
      </c>
      <c r="AF3" s="26">
        <v>4</v>
      </c>
      <c r="AG3" s="48">
        <v>-5</v>
      </c>
      <c r="AH3" s="26">
        <v>1</v>
      </c>
      <c r="AI3" s="48">
        <v>-8</v>
      </c>
    </row>
    <row r="4" spans="3:36">
      <c r="C4" s="55" t="s">
        <v>31</v>
      </c>
      <c r="D4" s="56">
        <v>4</v>
      </c>
      <c r="E4" s="57" t="str">
        <f>VLOOKUP($D4,[2]一级属性!$A:$H,2,)</f>
        <v>花椰射手</v>
      </c>
      <c r="F4" s="57">
        <f>VLOOKUP($D4,[2]一级属性!$A:$H,4,)</f>
        <v>1</v>
      </c>
      <c r="G4" s="57">
        <f>VLOOKUP($D4,[2]一级属性!$A:$H,5,)</f>
        <v>0</v>
      </c>
      <c r="H4" s="56">
        <f>VLOOKUP($D4,[2]一级属性!$A:$H,8,)</f>
        <v>0</v>
      </c>
      <c r="I4" s="12"/>
      <c r="J4" s="1">
        <v>0</v>
      </c>
      <c r="K4" s="1">
        <f>COUNTIF($G$4:$G$46,J4)</f>
        <v>10</v>
      </c>
      <c r="L4" s="1">
        <f>K4</f>
        <v>10</v>
      </c>
      <c r="M4" s="1"/>
      <c r="P4" s="64" t="s">
        <v>4541</v>
      </c>
      <c r="Q4" s="64" t="s">
        <v>4544</v>
      </c>
      <c r="R4" s="65" t="s">
        <v>4545</v>
      </c>
      <c r="S4" s="67" t="s">
        <v>4543</v>
      </c>
      <c r="T4" s="67" t="s">
        <v>4542</v>
      </c>
      <c r="U4" s="67" t="s">
        <v>4836</v>
      </c>
      <c r="V4" s="72" t="s">
        <v>4847</v>
      </c>
      <c r="W4" s="73"/>
      <c r="X4" s="74" t="s">
        <v>4837</v>
      </c>
      <c r="Y4" s="75"/>
      <c r="Z4" s="76" t="s">
        <v>4838</v>
      </c>
      <c r="AA4" s="77"/>
      <c r="AB4" s="78" t="s">
        <v>4537</v>
      </c>
      <c r="AC4" s="78"/>
      <c r="AD4" s="69" t="s">
        <v>4538</v>
      </c>
      <c r="AE4" s="69"/>
      <c r="AF4" s="70" t="s">
        <v>4539</v>
      </c>
      <c r="AG4" s="70"/>
      <c r="AH4" s="71" t="s">
        <v>4540</v>
      </c>
      <c r="AI4" s="71"/>
      <c r="AJ4" s="13" t="s">
        <v>4778</v>
      </c>
    </row>
    <row r="5" spans="3:36">
      <c r="C5" s="55" t="s">
        <v>38</v>
      </c>
      <c r="D5" s="56">
        <v>5</v>
      </c>
      <c r="E5" s="57" t="str">
        <f>VLOOKUP($D5,[2]一级属性!$A:$H,2,)</f>
        <v>邦尼</v>
      </c>
      <c r="F5" s="57">
        <f>VLOOKUP($D5,[2]一级属性!$A:$H,4,)</f>
        <v>1</v>
      </c>
      <c r="G5" s="57">
        <f>VLOOKUP($D5,[2]一级属性!$A:$H,5,)</f>
        <v>0</v>
      </c>
      <c r="H5" s="56">
        <f>VLOOKUP($D5,[2]一级属性!$A:$H,8,)</f>
        <v>0</v>
      </c>
      <c r="I5" s="12"/>
      <c r="J5" s="1">
        <v>1</v>
      </c>
      <c r="K5" s="1">
        <f t="shared" ref="K5:K12" si="0">COUNTIF($G$4:$G$46,J5)</f>
        <v>6</v>
      </c>
      <c r="L5" s="1">
        <f>K5+L4</f>
        <v>16</v>
      </c>
      <c r="M5" s="1"/>
      <c r="P5" s="64"/>
      <c r="Q5" s="64"/>
      <c r="R5" s="66"/>
      <c r="S5" s="68"/>
      <c r="T5" s="68"/>
      <c r="U5" s="68"/>
      <c r="V5" s="51" t="s">
        <v>4841</v>
      </c>
      <c r="W5" s="51" t="s">
        <v>4842</v>
      </c>
      <c r="X5" s="51" t="s">
        <v>4841</v>
      </c>
      <c r="Y5" s="51" t="s">
        <v>4842</v>
      </c>
      <c r="Z5" s="51" t="s">
        <v>4841</v>
      </c>
      <c r="AA5" s="51" t="s">
        <v>4842</v>
      </c>
      <c r="AB5" s="52" t="s">
        <v>4535</v>
      </c>
      <c r="AC5" s="52" t="s">
        <v>4536</v>
      </c>
      <c r="AD5" s="52" t="s">
        <v>4535</v>
      </c>
      <c r="AE5" s="52" t="s">
        <v>4536</v>
      </c>
      <c r="AF5" s="52" t="s">
        <v>4535</v>
      </c>
      <c r="AG5" s="52" t="s">
        <v>4536</v>
      </c>
      <c r="AH5" s="52" t="s">
        <v>4535</v>
      </c>
      <c r="AI5" s="52" t="s">
        <v>4536</v>
      </c>
      <c r="AJ5" s="59" t="s">
        <v>10904</v>
      </c>
    </row>
    <row r="6" spans="3:36">
      <c r="C6" s="55" t="s">
        <v>36</v>
      </c>
      <c r="D6" s="56">
        <v>101</v>
      </c>
      <c r="E6" s="57" t="str">
        <f>VLOOKUP($D6,[2]一级属性!$A:$H,2,)</f>
        <v>万箭齐发</v>
      </c>
      <c r="F6" s="57">
        <f>VLOOKUP($D6,[2]一级属性!$A:$H,4,)</f>
        <v>1</v>
      </c>
      <c r="G6" s="57">
        <f>VLOOKUP($D6,[2]一级属性!$A:$H,5,)</f>
        <v>0</v>
      </c>
      <c r="H6" s="56">
        <f>VLOOKUP($D6,[2]一级属性!$A:$H,8,)</f>
        <v>0</v>
      </c>
      <c r="I6" s="12"/>
      <c r="J6" s="1">
        <v>2</v>
      </c>
      <c r="K6" s="1">
        <f t="shared" si="0"/>
        <v>6</v>
      </c>
      <c r="L6" s="1">
        <f t="shared" ref="L6:L7" si="1">K6+L5</f>
        <v>22</v>
      </c>
      <c r="M6" s="1"/>
      <c r="P6" s="46">
        <v>1</v>
      </c>
      <c r="Q6" s="28">
        <f>COUNTIF(J:J,P6)</f>
        <v>2</v>
      </c>
      <c r="R6" s="30">
        <v>1</v>
      </c>
      <c r="S6" s="49">
        <v>151</v>
      </c>
      <c r="T6" s="50">
        <v>0</v>
      </c>
      <c r="U6" s="49">
        <v>12</v>
      </c>
      <c r="V6" s="49">
        <v>2</v>
      </c>
      <c r="W6" s="49">
        <v>0.8</v>
      </c>
      <c r="X6" s="49">
        <v>0</v>
      </c>
      <c r="Y6" s="49">
        <v>0</v>
      </c>
      <c r="Z6" s="49">
        <v>0</v>
      </c>
      <c r="AA6" s="49">
        <v>0</v>
      </c>
      <c r="AB6" s="49">
        <v>1</v>
      </c>
      <c r="AC6" s="53">
        <v>1</v>
      </c>
      <c r="AD6" s="49">
        <f t="shared" ref="AD6:AD35" si="2">MAX(1,AB6+$AE$3)</f>
        <v>1</v>
      </c>
      <c r="AE6" s="53">
        <f t="shared" ref="AE6:AE35" si="3">MAX(1,AC6+$AE$3)</f>
        <v>1</v>
      </c>
      <c r="AF6" s="49">
        <f t="shared" ref="AF6:AF35" si="4">MAX(1,AB6+$AG$3)</f>
        <v>1</v>
      </c>
      <c r="AG6" s="53">
        <f t="shared" ref="AG6:AG35" si="5">MAX(1,AC6+$AG$3)</f>
        <v>1</v>
      </c>
      <c r="AH6" s="49">
        <v>1</v>
      </c>
      <c r="AI6" s="53">
        <v>1</v>
      </c>
      <c r="AJ6" s="60">
        <v>1</v>
      </c>
    </row>
    <row r="7" spans="3:36">
      <c r="C7" s="55" t="s">
        <v>4590</v>
      </c>
      <c r="D7" s="56">
        <v>2</v>
      </c>
      <c r="E7" s="57" t="str">
        <f>VLOOKUP($D7,[2]一级属性!$A:$H,2,)</f>
        <v>梅赛德斯</v>
      </c>
      <c r="F7" s="57">
        <f>VLOOKUP($D7,[2]一级属性!$A:$H,4,)</f>
        <v>1</v>
      </c>
      <c r="G7" s="57">
        <f>VLOOKUP($D7,[2]一级属性!$A:$H,5,)</f>
        <v>1</v>
      </c>
      <c r="H7" s="56">
        <f>VLOOKUP($D7,[2]一级属性!$A:$H,8,)</f>
        <v>0</v>
      </c>
      <c r="I7" s="12"/>
      <c r="J7" s="1">
        <v>3</v>
      </c>
      <c r="K7" s="1">
        <f t="shared" si="0"/>
        <v>5</v>
      </c>
      <c r="L7" s="1">
        <f t="shared" si="1"/>
        <v>27</v>
      </c>
      <c r="M7" s="1"/>
      <c r="P7" s="30">
        <f t="shared" ref="P7:P13" si="6">P6</f>
        <v>1</v>
      </c>
      <c r="Q7" s="30">
        <f>SUM(S6:S13)</f>
        <v>1197</v>
      </c>
      <c r="R7" s="30">
        <f>R6+S6</f>
        <v>152</v>
      </c>
      <c r="S7" s="49">
        <v>151</v>
      </c>
      <c r="T7" s="50">
        <v>1</v>
      </c>
      <c r="U7" s="49">
        <v>12</v>
      </c>
      <c r="V7" s="49">
        <v>2</v>
      </c>
      <c r="W7" s="49">
        <v>1</v>
      </c>
      <c r="X7" s="49">
        <v>0</v>
      </c>
      <c r="Y7" s="49">
        <v>0</v>
      </c>
      <c r="Z7" s="49">
        <v>0</v>
      </c>
      <c r="AA7" s="49">
        <v>0</v>
      </c>
      <c r="AB7" s="53">
        <v>1</v>
      </c>
      <c r="AC7" s="53">
        <v>1</v>
      </c>
      <c r="AD7" s="53">
        <f t="shared" si="2"/>
        <v>1</v>
      </c>
      <c r="AE7" s="53">
        <f t="shared" si="3"/>
        <v>1</v>
      </c>
      <c r="AF7" s="53">
        <f t="shared" si="4"/>
        <v>1</v>
      </c>
      <c r="AG7" s="53">
        <f t="shared" si="5"/>
        <v>1</v>
      </c>
      <c r="AH7" s="53">
        <v>1</v>
      </c>
      <c r="AI7" s="53">
        <v>1</v>
      </c>
      <c r="AJ7" s="60">
        <v>1</v>
      </c>
    </row>
    <row r="8" spans="3:36">
      <c r="C8" s="55" t="s">
        <v>32</v>
      </c>
      <c r="D8" s="56">
        <v>3</v>
      </c>
      <c r="E8" s="57" t="str">
        <f>VLOOKUP($D8,[2]一级属性!$A:$H,2,)</f>
        <v>哈根达斯</v>
      </c>
      <c r="F8" s="57">
        <f>VLOOKUP($D8,[2]一级属性!$A:$H,4,)</f>
        <v>1</v>
      </c>
      <c r="G8" s="57">
        <f>VLOOKUP($D8,[2]一级属性!$A:$H,5,)</f>
        <v>1</v>
      </c>
      <c r="H8" s="56">
        <f>VLOOKUP($D8,[2]一级属性!$A:$H,8,)</f>
        <v>0</v>
      </c>
      <c r="I8" s="12"/>
      <c r="J8" s="1">
        <v>4</v>
      </c>
      <c r="K8" s="1">
        <f t="shared" si="0"/>
        <v>6</v>
      </c>
      <c r="L8" s="1">
        <f t="shared" ref="L8:L12" si="7">K8+L7</f>
        <v>33</v>
      </c>
      <c r="M8" s="1"/>
      <c r="P8" s="30">
        <f t="shared" si="6"/>
        <v>1</v>
      </c>
      <c r="Q8" s="30"/>
      <c r="R8" s="30">
        <f t="shared" ref="R8:R35" si="8">R7+S7</f>
        <v>303</v>
      </c>
      <c r="S8" s="49">
        <v>151</v>
      </c>
      <c r="T8" s="50">
        <v>2</v>
      </c>
      <c r="U8" s="49">
        <v>13</v>
      </c>
      <c r="V8" s="49">
        <v>2</v>
      </c>
      <c r="W8" s="49">
        <v>1.2</v>
      </c>
      <c r="X8" s="49">
        <v>1</v>
      </c>
      <c r="Y8" s="49">
        <v>0.2</v>
      </c>
      <c r="Z8" s="49">
        <v>0</v>
      </c>
      <c r="AA8" s="49">
        <v>0</v>
      </c>
      <c r="AB8" s="53">
        <v>1</v>
      </c>
      <c r="AC8" s="53">
        <v>2</v>
      </c>
      <c r="AD8" s="53">
        <f t="shared" si="2"/>
        <v>1</v>
      </c>
      <c r="AE8" s="53">
        <f t="shared" si="3"/>
        <v>1</v>
      </c>
      <c r="AF8" s="53">
        <f t="shared" si="4"/>
        <v>1</v>
      </c>
      <c r="AG8" s="53">
        <f t="shared" si="5"/>
        <v>1</v>
      </c>
      <c r="AH8" s="53">
        <v>1</v>
      </c>
      <c r="AI8" s="53">
        <v>1</v>
      </c>
      <c r="AJ8" s="60">
        <v>0.99</v>
      </c>
    </row>
    <row r="9" spans="3:36">
      <c r="C9" s="55" t="s">
        <v>37</v>
      </c>
      <c r="D9" s="56">
        <v>1</v>
      </c>
      <c r="E9" s="57" t="str">
        <f>VLOOKUP($D9,[2]一级属性!$A:$H,2,)</f>
        <v>骨头</v>
      </c>
      <c r="F9" s="57">
        <f>VLOOKUP($D9,[2]一级属性!$A:$H,4,)</f>
        <v>1</v>
      </c>
      <c r="G9" s="57">
        <f>VLOOKUP($D9,[2]一级属性!$A:$H,5,)</f>
        <v>2</v>
      </c>
      <c r="H9" s="56">
        <f>VLOOKUP($D9,[2]一级属性!$A:$H,8,)</f>
        <v>0</v>
      </c>
      <c r="I9" s="12"/>
      <c r="J9" s="1">
        <v>5</v>
      </c>
      <c r="K9" s="1">
        <f t="shared" si="0"/>
        <v>5</v>
      </c>
      <c r="L9" s="1">
        <f t="shared" si="7"/>
        <v>38</v>
      </c>
      <c r="M9" s="1"/>
      <c r="P9" s="30">
        <f t="shared" si="6"/>
        <v>1</v>
      </c>
      <c r="Q9" s="30"/>
      <c r="R9" s="30">
        <f t="shared" si="8"/>
        <v>454</v>
      </c>
      <c r="S9" s="49">
        <v>151</v>
      </c>
      <c r="T9" s="50">
        <v>3</v>
      </c>
      <c r="U9" s="49">
        <v>14</v>
      </c>
      <c r="V9" s="49">
        <v>2</v>
      </c>
      <c r="W9" s="49">
        <v>1.4</v>
      </c>
      <c r="X9" s="49">
        <v>1</v>
      </c>
      <c r="Y9" s="49">
        <v>0.3</v>
      </c>
      <c r="Z9" s="49">
        <v>0</v>
      </c>
      <c r="AA9" s="49">
        <v>0</v>
      </c>
      <c r="AB9" s="53">
        <v>1</v>
      </c>
      <c r="AC9" s="53">
        <v>2</v>
      </c>
      <c r="AD9" s="53">
        <f t="shared" si="2"/>
        <v>1</v>
      </c>
      <c r="AE9" s="53">
        <f t="shared" si="3"/>
        <v>1</v>
      </c>
      <c r="AF9" s="53">
        <f t="shared" si="4"/>
        <v>1</v>
      </c>
      <c r="AG9" s="53">
        <f t="shared" si="5"/>
        <v>1</v>
      </c>
      <c r="AH9" s="53">
        <v>1</v>
      </c>
      <c r="AI9" s="53">
        <v>1</v>
      </c>
      <c r="AJ9" s="60">
        <v>0.98</v>
      </c>
    </row>
    <row r="10" spans="3:36">
      <c r="C10" s="55" t="s">
        <v>1024</v>
      </c>
      <c r="D10" s="56">
        <v>7</v>
      </c>
      <c r="E10" s="57" t="str">
        <f>VLOOKUP($D10,[2]一级属性!$A:$H,2,)</f>
        <v>小丸子</v>
      </c>
      <c r="F10" s="57">
        <f>VLOOKUP($D10,[2]一级属性!$A:$H,4,)</f>
        <v>1</v>
      </c>
      <c r="G10" s="57">
        <f>VLOOKUP($D10,[2]一级属性!$A:$H,5,)</f>
        <v>2</v>
      </c>
      <c r="H10" s="56">
        <f>VLOOKUP($D10,[2]一级属性!$A:$H,8,)</f>
        <v>0</v>
      </c>
      <c r="I10" s="12"/>
      <c r="J10" s="1">
        <v>6</v>
      </c>
      <c r="K10" s="1">
        <f t="shared" si="0"/>
        <v>3</v>
      </c>
      <c r="L10" s="1">
        <f t="shared" si="7"/>
        <v>41</v>
      </c>
      <c r="M10" s="1"/>
      <c r="P10" s="30">
        <f t="shared" si="6"/>
        <v>1</v>
      </c>
      <c r="Q10" s="30"/>
      <c r="R10" s="30">
        <f t="shared" si="8"/>
        <v>605</v>
      </c>
      <c r="S10" s="49">
        <v>151</v>
      </c>
      <c r="T10" s="50">
        <v>4</v>
      </c>
      <c r="U10" s="49">
        <v>15</v>
      </c>
      <c r="V10" s="49">
        <v>2</v>
      </c>
      <c r="W10" s="49">
        <v>1.6</v>
      </c>
      <c r="X10" s="49">
        <v>1</v>
      </c>
      <c r="Y10" s="49">
        <v>0.4</v>
      </c>
      <c r="Z10" s="49">
        <v>0</v>
      </c>
      <c r="AA10" s="49">
        <v>0</v>
      </c>
      <c r="AB10" s="53">
        <v>1</v>
      </c>
      <c r="AC10" s="53">
        <v>2</v>
      </c>
      <c r="AD10" s="53">
        <f t="shared" si="2"/>
        <v>1</v>
      </c>
      <c r="AE10" s="53">
        <f t="shared" si="3"/>
        <v>1</v>
      </c>
      <c r="AF10" s="53">
        <f t="shared" si="4"/>
        <v>1</v>
      </c>
      <c r="AG10" s="53">
        <f t="shared" si="5"/>
        <v>1</v>
      </c>
      <c r="AH10" s="53">
        <v>1</v>
      </c>
      <c r="AI10" s="53">
        <v>1</v>
      </c>
      <c r="AJ10" s="60">
        <v>0.97</v>
      </c>
    </row>
    <row r="11" spans="3:36">
      <c r="C11" s="55" t="s">
        <v>1025</v>
      </c>
      <c r="D11" s="56">
        <v>8</v>
      </c>
      <c r="E11" s="57" t="str">
        <f>VLOOKUP($D11,[2]一级属性!$A:$H,2,)</f>
        <v>盖奇</v>
      </c>
      <c r="F11" s="57">
        <f>VLOOKUP($D11,[2]一级属性!$A:$H,4,)</f>
        <v>1</v>
      </c>
      <c r="G11" s="57">
        <f>VLOOKUP($D11,[2]一级属性!$A:$H,5,)</f>
        <v>3</v>
      </c>
      <c r="H11" s="56">
        <f>VLOOKUP($D11,[2]一级属性!$A:$H,8,)</f>
        <v>0</v>
      </c>
      <c r="I11" s="12"/>
      <c r="J11" s="1">
        <v>7</v>
      </c>
      <c r="K11" s="1">
        <f t="shared" si="0"/>
        <v>2</v>
      </c>
      <c r="L11" s="1">
        <f t="shared" si="7"/>
        <v>43</v>
      </c>
      <c r="M11" s="1"/>
      <c r="P11" s="30">
        <f t="shared" si="6"/>
        <v>1</v>
      </c>
      <c r="Q11" s="30"/>
      <c r="R11" s="30">
        <f t="shared" si="8"/>
        <v>756</v>
      </c>
      <c r="S11" s="49">
        <v>151</v>
      </c>
      <c r="T11" s="50">
        <v>5</v>
      </c>
      <c r="U11" s="49">
        <v>16</v>
      </c>
      <c r="V11" s="49">
        <v>2</v>
      </c>
      <c r="W11" s="49">
        <v>1.8</v>
      </c>
      <c r="X11" s="49">
        <v>1</v>
      </c>
      <c r="Y11" s="49">
        <v>0.4</v>
      </c>
      <c r="Z11" s="49">
        <v>0</v>
      </c>
      <c r="AA11" s="49">
        <v>0</v>
      </c>
      <c r="AB11" s="53">
        <v>1</v>
      </c>
      <c r="AC11" s="53">
        <v>3</v>
      </c>
      <c r="AD11" s="53">
        <f t="shared" si="2"/>
        <v>1</v>
      </c>
      <c r="AE11" s="53">
        <f t="shared" si="3"/>
        <v>1</v>
      </c>
      <c r="AF11" s="53">
        <f t="shared" si="4"/>
        <v>1</v>
      </c>
      <c r="AG11" s="53">
        <f t="shared" si="5"/>
        <v>1</v>
      </c>
      <c r="AH11" s="53">
        <v>1</v>
      </c>
      <c r="AI11" s="53">
        <v>1</v>
      </c>
      <c r="AJ11" s="60">
        <v>0.96</v>
      </c>
    </row>
    <row r="12" spans="3:36">
      <c r="C12" s="55" t="s">
        <v>33</v>
      </c>
      <c r="D12" s="56">
        <v>13</v>
      </c>
      <c r="E12" s="57" t="str">
        <f>VLOOKUP($D12,[2]一级属性!$A:$H,2,)</f>
        <v>大猫</v>
      </c>
      <c r="F12" s="57">
        <f>VLOOKUP($D12,[2]一级属性!$A:$H,4,)</f>
        <v>1</v>
      </c>
      <c r="G12" s="57">
        <f>VLOOKUP($D12,[2]一级属性!$A:$H,5,)</f>
        <v>0</v>
      </c>
      <c r="H12" s="57">
        <f>VLOOKUP($D12,[2]一级属性!$A:$H,8,)</f>
        <v>1</v>
      </c>
      <c r="I12" s="12"/>
      <c r="J12" s="1">
        <v>8</v>
      </c>
      <c r="K12" s="1">
        <f t="shared" si="0"/>
        <v>0</v>
      </c>
      <c r="L12" s="1">
        <f t="shared" si="7"/>
        <v>43</v>
      </c>
      <c r="M12" s="1"/>
      <c r="P12" s="30">
        <f t="shared" si="6"/>
        <v>1</v>
      </c>
      <c r="Q12" s="30"/>
      <c r="R12" s="30">
        <f t="shared" si="8"/>
        <v>907</v>
      </c>
      <c r="S12" s="49">
        <v>151</v>
      </c>
      <c r="T12" s="50">
        <v>6</v>
      </c>
      <c r="U12" s="49">
        <v>16</v>
      </c>
      <c r="V12" s="49">
        <v>3</v>
      </c>
      <c r="W12" s="49">
        <v>1.8</v>
      </c>
      <c r="X12" s="49">
        <v>1</v>
      </c>
      <c r="Y12" s="49">
        <v>0.4</v>
      </c>
      <c r="Z12" s="49">
        <v>0</v>
      </c>
      <c r="AA12" s="49">
        <v>0</v>
      </c>
      <c r="AB12" s="53">
        <v>1</v>
      </c>
      <c r="AC12" s="53">
        <v>3</v>
      </c>
      <c r="AD12" s="53">
        <f t="shared" si="2"/>
        <v>1</v>
      </c>
      <c r="AE12" s="53">
        <f t="shared" si="3"/>
        <v>1</v>
      </c>
      <c r="AF12" s="53">
        <f t="shared" si="4"/>
        <v>1</v>
      </c>
      <c r="AG12" s="53">
        <f t="shared" si="5"/>
        <v>1</v>
      </c>
      <c r="AH12" s="53">
        <v>1</v>
      </c>
      <c r="AI12" s="53">
        <v>1</v>
      </c>
      <c r="AJ12" s="60">
        <v>0.95</v>
      </c>
    </row>
    <row r="13" spans="3:36">
      <c r="C13" s="55" t="s">
        <v>1028</v>
      </c>
      <c r="D13" s="56">
        <v>14</v>
      </c>
      <c r="E13" s="57" t="str">
        <f>VLOOKUP($D13,[2]一级属性!$A:$H,2,)</f>
        <v>安卡斯</v>
      </c>
      <c r="F13" s="57">
        <f>VLOOKUP($D13,[2]一级属性!$A:$H,4,)</f>
        <v>1</v>
      </c>
      <c r="G13" s="57">
        <f>VLOOKUP($D13,[2]一级属性!$A:$H,5,)</f>
        <v>0</v>
      </c>
      <c r="H13" s="57">
        <f>VLOOKUP($D13,[2]一级属性!$A:$H,8,)</f>
        <v>1</v>
      </c>
      <c r="I13" s="12"/>
      <c r="P13" s="30">
        <f t="shared" si="6"/>
        <v>1</v>
      </c>
      <c r="Q13" s="30"/>
      <c r="R13" s="30">
        <f t="shared" si="8"/>
        <v>1058</v>
      </c>
      <c r="S13" s="49">
        <v>140</v>
      </c>
      <c r="T13" s="50">
        <v>7</v>
      </c>
      <c r="U13" s="49">
        <v>16</v>
      </c>
      <c r="V13" s="49">
        <v>3</v>
      </c>
      <c r="W13" s="49">
        <v>1.8</v>
      </c>
      <c r="X13" s="49">
        <v>1</v>
      </c>
      <c r="Y13" s="49">
        <v>0.4</v>
      </c>
      <c r="Z13" s="49">
        <v>0</v>
      </c>
      <c r="AA13" s="49">
        <v>0</v>
      </c>
      <c r="AB13" s="53">
        <v>1</v>
      </c>
      <c r="AC13" s="49">
        <v>4</v>
      </c>
      <c r="AD13" s="53">
        <f t="shared" si="2"/>
        <v>1</v>
      </c>
      <c r="AE13" s="49">
        <f t="shared" si="3"/>
        <v>2</v>
      </c>
      <c r="AF13" s="53">
        <f t="shared" si="4"/>
        <v>1</v>
      </c>
      <c r="AG13" s="49">
        <f t="shared" si="5"/>
        <v>1</v>
      </c>
      <c r="AH13" s="53">
        <v>1</v>
      </c>
      <c r="AI13" s="49">
        <v>1</v>
      </c>
      <c r="AJ13" s="60">
        <v>0.94</v>
      </c>
    </row>
    <row r="14" spans="3:36">
      <c r="C14" s="55" t="s">
        <v>34</v>
      </c>
      <c r="D14" s="56">
        <v>103</v>
      </c>
      <c r="E14" s="57" t="str">
        <f>VLOOKUP($D14,[2]一级属性!$A:$H,2,)</f>
        <v>飞火流星</v>
      </c>
      <c r="F14" s="57">
        <f>VLOOKUP($D14,[2]一级属性!$A:$H,4,)</f>
        <v>1</v>
      </c>
      <c r="G14" s="57">
        <f>VLOOKUP($D14,[2]一级属性!$A:$H,5,)</f>
        <v>0</v>
      </c>
      <c r="H14" s="57">
        <f>VLOOKUP($D14,[2]一级属性!$A:$H,8,)</f>
        <v>1</v>
      </c>
      <c r="I14" s="12"/>
      <c r="P14" s="46">
        <v>2</v>
      </c>
      <c r="Q14" s="28">
        <f>COUNTIF(J:J,P14)</f>
        <v>2</v>
      </c>
      <c r="R14" s="30">
        <f t="shared" si="8"/>
        <v>1198</v>
      </c>
      <c r="S14" s="49">
        <v>200</v>
      </c>
      <c r="T14" s="50">
        <v>8</v>
      </c>
      <c r="U14" s="49">
        <v>20</v>
      </c>
      <c r="V14" s="49">
        <v>3</v>
      </c>
      <c r="W14" s="49">
        <v>2</v>
      </c>
      <c r="X14" s="49">
        <v>2</v>
      </c>
      <c r="Y14" s="49">
        <v>0.6</v>
      </c>
      <c r="Z14" s="49">
        <v>0</v>
      </c>
      <c r="AA14" s="49">
        <v>0</v>
      </c>
      <c r="AB14" s="53">
        <v>1</v>
      </c>
      <c r="AC14" s="53">
        <v>4</v>
      </c>
      <c r="AD14" s="53">
        <f t="shared" si="2"/>
        <v>1</v>
      </c>
      <c r="AE14" s="53">
        <f t="shared" si="3"/>
        <v>2</v>
      </c>
      <c r="AF14" s="53">
        <f t="shared" si="4"/>
        <v>1</v>
      </c>
      <c r="AG14" s="53">
        <f t="shared" si="5"/>
        <v>1</v>
      </c>
      <c r="AH14" s="53">
        <v>1</v>
      </c>
      <c r="AI14" s="53">
        <v>1</v>
      </c>
      <c r="AJ14" s="60">
        <v>0.93</v>
      </c>
    </row>
    <row r="15" spans="3:36">
      <c r="C15" s="55" t="s">
        <v>35</v>
      </c>
      <c r="D15" s="56">
        <v>16</v>
      </c>
      <c r="E15" s="57" t="str">
        <f>VLOOKUP($D15,[2]一级属性!$A:$H,2,)</f>
        <v>飞龙</v>
      </c>
      <c r="F15" s="57">
        <f>VLOOKUP($D15,[2]一级属性!$A:$H,4,)</f>
        <v>1</v>
      </c>
      <c r="G15" s="57">
        <f>VLOOKUP($D15,[2]一级属性!$A:$H,5,)</f>
        <v>0</v>
      </c>
      <c r="H15" s="57">
        <f>VLOOKUP($D15,[2]一级属性!$A:$H,8,)</f>
        <v>2</v>
      </c>
      <c r="I15" s="12"/>
      <c r="J15" s="27" t="s">
        <v>1062</v>
      </c>
      <c r="K15" s="27" t="s">
        <v>1063</v>
      </c>
      <c r="P15" s="30">
        <f t="shared" ref="P15:P19" si="9">P14</f>
        <v>2</v>
      </c>
      <c r="Q15" s="1">
        <f>SUM(S14:S19)</f>
        <v>1200</v>
      </c>
      <c r="R15" s="30">
        <f t="shared" si="8"/>
        <v>1398</v>
      </c>
      <c r="S15" s="49">
        <v>200</v>
      </c>
      <c r="T15" s="50">
        <v>9</v>
      </c>
      <c r="U15" s="49">
        <v>20</v>
      </c>
      <c r="V15" s="49">
        <v>3</v>
      </c>
      <c r="W15" s="49">
        <v>2</v>
      </c>
      <c r="X15" s="49">
        <v>2</v>
      </c>
      <c r="Y15" s="49">
        <v>0.6</v>
      </c>
      <c r="Z15" s="49">
        <v>0</v>
      </c>
      <c r="AA15" s="49">
        <v>0</v>
      </c>
      <c r="AB15" s="53">
        <v>2</v>
      </c>
      <c r="AC15" s="53">
        <v>4</v>
      </c>
      <c r="AD15" s="53">
        <f t="shared" si="2"/>
        <v>1</v>
      </c>
      <c r="AE15" s="53">
        <f t="shared" si="3"/>
        <v>2</v>
      </c>
      <c r="AF15" s="53">
        <f t="shared" si="4"/>
        <v>1</v>
      </c>
      <c r="AG15" s="53">
        <f t="shared" si="5"/>
        <v>1</v>
      </c>
      <c r="AH15" s="53">
        <v>1</v>
      </c>
      <c r="AI15" s="53">
        <v>1</v>
      </c>
      <c r="AJ15" s="60">
        <v>0.92</v>
      </c>
    </row>
    <row r="16" spans="3:36">
      <c r="C16" s="55" t="s">
        <v>1030</v>
      </c>
      <c r="D16" s="56">
        <v>17</v>
      </c>
      <c r="E16" s="57" t="str">
        <f>VLOOKUP($D16,[2]一级属性!$A:$H,2,)</f>
        <v>骨头兄弟</v>
      </c>
      <c r="F16" s="57">
        <f>VLOOKUP($D16,[2]一级属性!$A:$H,4,)</f>
        <v>1</v>
      </c>
      <c r="G16" s="57">
        <f>VLOOKUP($D16,[2]一级属性!$A:$H,5,)</f>
        <v>0</v>
      </c>
      <c r="H16" s="57">
        <f>VLOOKUP($D16,[2]一级属性!$A:$H,8,)</f>
        <v>2</v>
      </c>
      <c r="I16" s="12"/>
      <c r="J16" s="21">
        <v>0</v>
      </c>
      <c r="K16" s="21">
        <v>13</v>
      </c>
      <c r="P16" s="30">
        <f t="shared" si="9"/>
        <v>2</v>
      </c>
      <c r="Q16" s="30"/>
      <c r="R16" s="30">
        <f t="shared" si="8"/>
        <v>1598</v>
      </c>
      <c r="S16" s="49">
        <v>200</v>
      </c>
      <c r="T16" s="50">
        <v>10</v>
      </c>
      <c r="U16" s="49">
        <v>22</v>
      </c>
      <c r="V16" s="49">
        <v>3</v>
      </c>
      <c r="W16" s="49">
        <v>2</v>
      </c>
      <c r="X16" s="49">
        <v>2</v>
      </c>
      <c r="Y16" s="49">
        <v>0.6</v>
      </c>
      <c r="Z16" s="49">
        <v>0</v>
      </c>
      <c r="AA16" s="49">
        <v>0</v>
      </c>
      <c r="AB16" s="53">
        <v>2</v>
      </c>
      <c r="AC16" s="53">
        <v>4</v>
      </c>
      <c r="AD16" s="53">
        <f t="shared" si="2"/>
        <v>1</v>
      </c>
      <c r="AE16" s="53">
        <f t="shared" si="3"/>
        <v>2</v>
      </c>
      <c r="AF16" s="53">
        <f t="shared" si="4"/>
        <v>1</v>
      </c>
      <c r="AG16" s="53">
        <f t="shared" si="5"/>
        <v>1</v>
      </c>
      <c r="AH16" s="53">
        <v>1</v>
      </c>
      <c r="AI16" s="53">
        <v>1</v>
      </c>
      <c r="AJ16" s="60">
        <v>0.91</v>
      </c>
    </row>
    <row r="17" spans="3:36">
      <c r="C17" s="55" t="s">
        <v>1031</v>
      </c>
      <c r="D17" s="56">
        <v>20</v>
      </c>
      <c r="E17" s="57" t="str">
        <f>VLOOKUP($D17,[2]一级属性!$A:$H,2,)</f>
        <v>布莱尔</v>
      </c>
      <c r="F17" s="57">
        <f>VLOOKUP($D17,[2]一级属性!$A:$H,4,)</f>
        <v>1</v>
      </c>
      <c r="G17" s="57">
        <f>VLOOKUP($D17,[2]一级属性!$A:$H,5,)</f>
        <v>0</v>
      </c>
      <c r="H17" s="57">
        <f>VLOOKUP($D17,[2]一级属性!$A:$H,8,)</f>
        <v>2</v>
      </c>
      <c r="I17" s="12"/>
      <c r="J17" s="21">
        <v>1</v>
      </c>
      <c r="K17" s="21">
        <v>11</v>
      </c>
      <c r="P17" s="30">
        <f t="shared" si="9"/>
        <v>2</v>
      </c>
      <c r="Q17" s="30"/>
      <c r="R17" s="30">
        <f t="shared" si="8"/>
        <v>1798</v>
      </c>
      <c r="S17" s="49">
        <v>200</v>
      </c>
      <c r="T17" s="50">
        <v>11</v>
      </c>
      <c r="U17" s="49">
        <v>22</v>
      </c>
      <c r="V17" s="49">
        <v>3</v>
      </c>
      <c r="W17" s="49">
        <v>2</v>
      </c>
      <c r="X17" s="49">
        <v>2</v>
      </c>
      <c r="Y17" s="49">
        <v>0.6</v>
      </c>
      <c r="Z17" s="49">
        <v>0</v>
      </c>
      <c r="AA17" s="49">
        <v>0</v>
      </c>
      <c r="AB17" s="53">
        <v>2</v>
      </c>
      <c r="AC17" s="53">
        <v>4</v>
      </c>
      <c r="AD17" s="53">
        <f t="shared" si="2"/>
        <v>1</v>
      </c>
      <c r="AE17" s="53">
        <f t="shared" si="3"/>
        <v>2</v>
      </c>
      <c r="AF17" s="53">
        <f t="shared" si="4"/>
        <v>1</v>
      </c>
      <c r="AG17" s="53">
        <f t="shared" si="5"/>
        <v>1</v>
      </c>
      <c r="AH17" s="53">
        <v>1</v>
      </c>
      <c r="AI17" s="53">
        <v>1</v>
      </c>
      <c r="AJ17" s="60">
        <v>0.9</v>
      </c>
    </row>
    <row r="18" spans="3:36">
      <c r="C18" s="55" t="s">
        <v>80</v>
      </c>
      <c r="D18" s="56">
        <v>19</v>
      </c>
      <c r="E18" s="57" t="str">
        <f>VLOOKUP($D18,[2]一级属性!$A:$H,2,)</f>
        <v>小王子</v>
      </c>
      <c r="F18" s="57">
        <f>VLOOKUP($D18,[2]一级属性!$A:$H,4,)</f>
        <v>1</v>
      </c>
      <c r="G18" s="57">
        <f>VLOOKUP($D18,[2]一级属性!$A:$H,5,)</f>
        <v>0</v>
      </c>
      <c r="H18" s="57">
        <f>VLOOKUP($D18,[2]一级属性!$A:$H,8,)</f>
        <v>2</v>
      </c>
      <c r="I18" s="12"/>
      <c r="J18" s="21">
        <v>2</v>
      </c>
      <c r="K18" s="21">
        <v>8</v>
      </c>
      <c r="P18" s="30">
        <f t="shared" si="9"/>
        <v>2</v>
      </c>
      <c r="Q18" s="30"/>
      <c r="R18" s="30">
        <f t="shared" si="8"/>
        <v>1998</v>
      </c>
      <c r="S18" s="49">
        <v>200</v>
      </c>
      <c r="T18" s="50">
        <v>12</v>
      </c>
      <c r="U18" s="49">
        <v>22</v>
      </c>
      <c r="V18" s="49">
        <v>3</v>
      </c>
      <c r="W18" s="49">
        <v>2</v>
      </c>
      <c r="X18" s="49">
        <v>2</v>
      </c>
      <c r="Y18" s="49">
        <v>0.8</v>
      </c>
      <c r="Z18" s="49">
        <v>0</v>
      </c>
      <c r="AA18" s="49">
        <v>0</v>
      </c>
      <c r="AB18" s="53">
        <v>2</v>
      </c>
      <c r="AC18" s="53">
        <v>4</v>
      </c>
      <c r="AD18" s="53">
        <f t="shared" si="2"/>
        <v>1</v>
      </c>
      <c r="AE18" s="53">
        <f t="shared" si="3"/>
        <v>2</v>
      </c>
      <c r="AF18" s="53">
        <f t="shared" si="4"/>
        <v>1</v>
      </c>
      <c r="AG18" s="53">
        <f t="shared" si="5"/>
        <v>1</v>
      </c>
      <c r="AH18" s="53">
        <v>1</v>
      </c>
      <c r="AI18" s="53">
        <v>1</v>
      </c>
      <c r="AJ18" s="60">
        <v>0.89</v>
      </c>
    </row>
    <row r="19" spans="3:36">
      <c r="C19" s="55" t="s">
        <v>1027</v>
      </c>
      <c r="D19" s="56">
        <v>12</v>
      </c>
      <c r="E19" s="57" t="str">
        <f>VLOOKUP($D19,[2]一级属性!$A:$H,2,)</f>
        <v>莫西干战神</v>
      </c>
      <c r="F19" s="57">
        <f>VLOOKUP($D19,[2]一级属性!$A:$H,4,)</f>
        <v>1</v>
      </c>
      <c r="G19" s="57">
        <f>VLOOKUP($D19,[2]一级属性!$A:$H,5,)</f>
        <v>1</v>
      </c>
      <c r="H19" s="57">
        <f>VLOOKUP($D19,[2]一级属性!$A:$H,8,)</f>
        <v>1</v>
      </c>
      <c r="I19" s="12"/>
      <c r="J19" s="21">
        <v>3</v>
      </c>
      <c r="K19" s="21">
        <v>5</v>
      </c>
      <c r="P19" s="30">
        <f t="shared" si="9"/>
        <v>2</v>
      </c>
      <c r="Q19" s="30"/>
      <c r="R19" s="30">
        <f t="shared" si="8"/>
        <v>2198</v>
      </c>
      <c r="S19" s="49">
        <v>200</v>
      </c>
      <c r="T19" s="50">
        <v>13</v>
      </c>
      <c r="U19" s="49">
        <v>22</v>
      </c>
      <c r="V19" s="49">
        <v>3</v>
      </c>
      <c r="W19" s="49">
        <v>2</v>
      </c>
      <c r="X19" s="49">
        <v>2</v>
      </c>
      <c r="Y19" s="49">
        <v>0.8</v>
      </c>
      <c r="Z19" s="49">
        <v>0</v>
      </c>
      <c r="AA19" s="49">
        <v>0</v>
      </c>
      <c r="AB19" s="53">
        <v>2</v>
      </c>
      <c r="AC19" s="49">
        <v>5</v>
      </c>
      <c r="AD19" s="53">
        <f t="shared" si="2"/>
        <v>1</v>
      </c>
      <c r="AE19" s="49">
        <f t="shared" si="3"/>
        <v>3</v>
      </c>
      <c r="AF19" s="53">
        <f t="shared" si="4"/>
        <v>1</v>
      </c>
      <c r="AG19" s="49">
        <f t="shared" si="5"/>
        <v>1</v>
      </c>
      <c r="AH19" s="53">
        <v>1</v>
      </c>
      <c r="AI19" s="53">
        <v>1</v>
      </c>
      <c r="AJ19" s="60">
        <v>0.88</v>
      </c>
    </row>
    <row r="20" spans="3:36">
      <c r="C20" s="55" t="s">
        <v>1056</v>
      </c>
      <c r="D20" s="56">
        <v>207</v>
      </c>
      <c r="E20" s="57" t="str">
        <f>VLOOKUP($D20,[2]一级属性!$A:$H,2,)</f>
        <v>梅赛德斯中心</v>
      </c>
      <c r="F20" s="57">
        <f>VLOOKUP($D20,[2]一级属性!$A:$H,4,)</f>
        <v>1</v>
      </c>
      <c r="G20" s="57">
        <f>VLOOKUP($D20,[2]一级属性!$A:$H,5,)</f>
        <v>1</v>
      </c>
      <c r="H20" s="57">
        <f>VLOOKUP($D20,[2]一级属性!$A:$H,8,)</f>
        <v>1</v>
      </c>
      <c r="I20" s="12"/>
      <c r="P20" s="46">
        <v>3</v>
      </c>
      <c r="Q20" s="28">
        <f>COUNTIF(J:J,P20)</f>
        <v>2</v>
      </c>
      <c r="R20" s="30">
        <f t="shared" si="8"/>
        <v>2398</v>
      </c>
      <c r="S20" s="49">
        <v>200</v>
      </c>
      <c r="T20" s="50">
        <v>14</v>
      </c>
      <c r="U20" s="49">
        <v>25</v>
      </c>
      <c r="V20" s="49">
        <v>3</v>
      </c>
      <c r="W20" s="49">
        <v>2</v>
      </c>
      <c r="X20" s="49">
        <v>2</v>
      </c>
      <c r="Y20" s="49">
        <v>0.8</v>
      </c>
      <c r="Z20" s="49">
        <v>1</v>
      </c>
      <c r="AA20" s="49">
        <v>0.01</v>
      </c>
      <c r="AB20" s="53">
        <v>2</v>
      </c>
      <c r="AC20" s="53">
        <v>5</v>
      </c>
      <c r="AD20" s="53">
        <f t="shared" si="2"/>
        <v>1</v>
      </c>
      <c r="AE20" s="53">
        <f t="shared" si="3"/>
        <v>3</v>
      </c>
      <c r="AF20" s="53">
        <f t="shared" si="4"/>
        <v>1</v>
      </c>
      <c r="AG20" s="53">
        <f t="shared" si="5"/>
        <v>1</v>
      </c>
      <c r="AH20" s="53">
        <v>1</v>
      </c>
      <c r="AI20" s="53">
        <v>1</v>
      </c>
      <c r="AJ20" s="60">
        <v>0.87</v>
      </c>
    </row>
    <row r="21" spans="3:36">
      <c r="C21" s="55" t="s">
        <v>1041</v>
      </c>
      <c r="D21" s="56">
        <v>109</v>
      </c>
      <c r="E21" s="57" t="str">
        <f>VLOOKUP($D21,[2]一级属性!$A:$H,2,)</f>
        <v>闪电术</v>
      </c>
      <c r="F21" s="57">
        <f>VLOOKUP($D21,[2]一级属性!$A:$H,4,)</f>
        <v>1</v>
      </c>
      <c r="G21" s="57">
        <f>VLOOKUP($D21,[2]一级属性!$A:$H,5,)</f>
        <v>1</v>
      </c>
      <c r="H21" s="57">
        <f>VLOOKUP($D21,[2]一级属性!$A:$H,8,)</f>
        <v>2</v>
      </c>
      <c r="I21" s="12"/>
      <c r="J21" s="21"/>
      <c r="K21" s="21"/>
      <c r="P21" s="30">
        <f t="shared" ref="P21:P24" si="10">P20</f>
        <v>3</v>
      </c>
      <c r="Q21" s="30">
        <f>SUM(S20:S24)</f>
        <v>900</v>
      </c>
      <c r="R21" s="30">
        <f t="shared" si="8"/>
        <v>2598</v>
      </c>
      <c r="S21" s="49">
        <v>200</v>
      </c>
      <c r="T21" s="50">
        <v>15</v>
      </c>
      <c r="U21" s="49">
        <v>25</v>
      </c>
      <c r="V21" s="49">
        <v>3</v>
      </c>
      <c r="W21" s="49">
        <v>2</v>
      </c>
      <c r="X21" s="49">
        <v>2</v>
      </c>
      <c r="Y21" s="49">
        <v>0.8</v>
      </c>
      <c r="Z21" s="49">
        <v>1</v>
      </c>
      <c r="AA21" s="49">
        <v>1.6E-2</v>
      </c>
      <c r="AB21" s="53">
        <v>2</v>
      </c>
      <c r="AC21" s="53">
        <v>5</v>
      </c>
      <c r="AD21" s="53">
        <f t="shared" si="2"/>
        <v>1</v>
      </c>
      <c r="AE21" s="53">
        <f t="shared" si="3"/>
        <v>3</v>
      </c>
      <c r="AF21" s="53">
        <f t="shared" si="4"/>
        <v>1</v>
      </c>
      <c r="AG21" s="53">
        <f t="shared" si="5"/>
        <v>1</v>
      </c>
      <c r="AH21" s="53">
        <v>1</v>
      </c>
      <c r="AI21" s="53">
        <v>1</v>
      </c>
      <c r="AJ21" s="60">
        <v>0.86</v>
      </c>
    </row>
    <row r="22" spans="3:36">
      <c r="C22" s="55" t="s">
        <v>4832</v>
      </c>
      <c r="D22" s="58">
        <v>30</v>
      </c>
      <c r="E22" s="57" t="s">
        <v>4835</v>
      </c>
      <c r="F22" s="57">
        <f>VLOOKUP($D22,[2]一级属性!$A:$H,4,)</f>
        <v>1</v>
      </c>
      <c r="G22" s="57">
        <f>VLOOKUP($D22,[2]一级属性!$A:$H,5,)</f>
        <v>1</v>
      </c>
      <c r="H22" s="57">
        <f>VLOOKUP($D22,[2]一级属性!$A:$H,8,)</f>
        <v>3</v>
      </c>
      <c r="I22" s="12"/>
      <c r="J22" s="21"/>
      <c r="K22" s="21"/>
      <c r="P22" s="30">
        <f t="shared" si="10"/>
        <v>3</v>
      </c>
      <c r="Q22" s="30"/>
      <c r="R22" s="30">
        <f t="shared" si="8"/>
        <v>2798</v>
      </c>
      <c r="S22" s="49">
        <v>200</v>
      </c>
      <c r="T22" s="50">
        <v>16</v>
      </c>
      <c r="U22" s="49">
        <v>27</v>
      </c>
      <c r="V22" s="49">
        <v>4</v>
      </c>
      <c r="W22" s="49">
        <v>2</v>
      </c>
      <c r="X22" s="49">
        <v>2</v>
      </c>
      <c r="Y22" s="49">
        <v>0.8</v>
      </c>
      <c r="Z22" s="49">
        <v>1</v>
      </c>
      <c r="AA22" s="49">
        <v>2.1999999999999999E-2</v>
      </c>
      <c r="AB22" s="53">
        <v>3</v>
      </c>
      <c r="AC22" s="53">
        <v>5</v>
      </c>
      <c r="AD22" s="53">
        <f t="shared" si="2"/>
        <v>1</v>
      </c>
      <c r="AE22" s="53">
        <f t="shared" si="3"/>
        <v>3</v>
      </c>
      <c r="AF22" s="53">
        <f t="shared" si="4"/>
        <v>1</v>
      </c>
      <c r="AG22" s="53">
        <f t="shared" si="5"/>
        <v>1</v>
      </c>
      <c r="AH22" s="53">
        <v>1</v>
      </c>
      <c r="AI22" s="53">
        <v>1</v>
      </c>
      <c r="AJ22" s="60">
        <v>0.85</v>
      </c>
    </row>
    <row r="23" spans="3:36">
      <c r="C23" s="55" t="s">
        <v>1046</v>
      </c>
      <c r="D23" s="56">
        <v>204</v>
      </c>
      <c r="E23" s="57" t="str">
        <f>VLOOKUP($D23,[2]一级属性!$A:$H,2,)</f>
        <v>骨头营地</v>
      </c>
      <c r="F23" s="57">
        <f>VLOOKUP($D23,[2]一级属性!$A:$H,4,)</f>
        <v>1</v>
      </c>
      <c r="G23" s="57">
        <f>VLOOKUP($D23,[2]一级属性!$A:$H,5,)</f>
        <v>2</v>
      </c>
      <c r="H23" s="57">
        <f>VLOOKUP($D23,[2]一级属性!$A:$H,8,)</f>
        <v>1</v>
      </c>
      <c r="I23" s="12"/>
      <c r="J23" s="21"/>
      <c r="K23" s="21"/>
      <c r="P23" s="30">
        <f t="shared" si="10"/>
        <v>3</v>
      </c>
      <c r="Q23" s="30"/>
      <c r="R23" s="30">
        <f t="shared" si="8"/>
        <v>2998</v>
      </c>
      <c r="S23" s="49">
        <v>150</v>
      </c>
      <c r="T23" s="50">
        <v>17</v>
      </c>
      <c r="U23" s="49">
        <v>27</v>
      </c>
      <c r="V23" s="49">
        <v>4</v>
      </c>
      <c r="W23" s="49">
        <v>2</v>
      </c>
      <c r="X23" s="49">
        <v>2</v>
      </c>
      <c r="Y23" s="49">
        <v>0.9</v>
      </c>
      <c r="Z23" s="49">
        <v>1</v>
      </c>
      <c r="AA23" s="49">
        <v>2.8000000000000001E-2</v>
      </c>
      <c r="AB23" s="53">
        <v>3</v>
      </c>
      <c r="AC23" s="53">
        <v>5</v>
      </c>
      <c r="AD23" s="53">
        <f t="shared" si="2"/>
        <v>1</v>
      </c>
      <c r="AE23" s="53">
        <f t="shared" si="3"/>
        <v>3</v>
      </c>
      <c r="AF23" s="53">
        <f t="shared" si="4"/>
        <v>1</v>
      </c>
      <c r="AG23" s="53">
        <f t="shared" si="5"/>
        <v>1</v>
      </c>
      <c r="AH23" s="53">
        <v>1</v>
      </c>
      <c r="AI23" s="53">
        <v>1</v>
      </c>
      <c r="AJ23" s="60">
        <v>0.84</v>
      </c>
    </row>
    <row r="24" spans="3:36">
      <c r="C24" s="55" t="s">
        <v>1048</v>
      </c>
      <c r="D24" s="56">
        <v>209</v>
      </c>
      <c r="E24" s="57" t="str">
        <f>VLOOKUP($D24,[2]一级属性!$A:$H,2,)</f>
        <v>萌萌塔</v>
      </c>
      <c r="F24" s="57">
        <f>VLOOKUP($D24,[2]一级属性!$A:$H,4,)</f>
        <v>1</v>
      </c>
      <c r="G24" s="57">
        <f>VLOOKUP($D24,[2]一级属性!$A:$H,5,)</f>
        <v>2</v>
      </c>
      <c r="H24" s="57">
        <f>VLOOKUP($D24,[2]一级属性!$A:$H,8,)</f>
        <v>1</v>
      </c>
      <c r="I24" s="12"/>
      <c r="J24" s="21"/>
      <c r="K24" s="21"/>
      <c r="P24" s="30">
        <f t="shared" si="10"/>
        <v>3</v>
      </c>
      <c r="Q24" s="30"/>
      <c r="R24" s="30">
        <f t="shared" si="8"/>
        <v>3148</v>
      </c>
      <c r="S24" s="49">
        <v>150</v>
      </c>
      <c r="T24" s="50">
        <v>18</v>
      </c>
      <c r="U24" s="49">
        <v>27</v>
      </c>
      <c r="V24" s="49">
        <v>4</v>
      </c>
      <c r="W24" s="49">
        <v>2</v>
      </c>
      <c r="X24" s="49">
        <v>2</v>
      </c>
      <c r="Y24" s="49">
        <v>0.9</v>
      </c>
      <c r="Z24" s="49">
        <v>1</v>
      </c>
      <c r="AA24" s="49">
        <v>3.4000000000000002E-2</v>
      </c>
      <c r="AB24" s="53">
        <v>3</v>
      </c>
      <c r="AC24" s="49">
        <v>6</v>
      </c>
      <c r="AD24" s="53">
        <f t="shared" si="2"/>
        <v>1</v>
      </c>
      <c r="AE24" s="49">
        <f t="shared" si="3"/>
        <v>4</v>
      </c>
      <c r="AF24" s="53">
        <f t="shared" si="4"/>
        <v>1</v>
      </c>
      <c r="AG24" s="49">
        <f t="shared" si="5"/>
        <v>1</v>
      </c>
      <c r="AH24" s="53">
        <v>1</v>
      </c>
      <c r="AI24" s="53">
        <v>1</v>
      </c>
      <c r="AJ24" s="60">
        <v>0.83</v>
      </c>
    </row>
    <row r="25" spans="3:36">
      <c r="C25" s="55" t="s">
        <v>1054</v>
      </c>
      <c r="D25" s="56">
        <v>18</v>
      </c>
      <c r="E25" s="57" t="str">
        <f>VLOOKUP($D25,[2]一级属性!$A:$H,2,)</f>
        <v>飞艇</v>
      </c>
      <c r="F25" s="57">
        <f>VLOOKUP($D25,[2]一级属性!$A:$H,4,)</f>
        <v>1</v>
      </c>
      <c r="G25" s="57">
        <f>VLOOKUP($D25,[2]一级属性!$A:$H,5,)</f>
        <v>2</v>
      </c>
      <c r="H25" s="57">
        <f>VLOOKUP($D25,[2]一级属性!$A:$H,8,)</f>
        <v>2</v>
      </c>
      <c r="I25" s="12"/>
      <c r="J25" s="21"/>
      <c r="K25" s="21"/>
      <c r="P25" s="46">
        <v>4</v>
      </c>
      <c r="Q25" s="28">
        <f>COUNTIF(J:J,P25)</f>
        <v>1</v>
      </c>
      <c r="R25" s="30">
        <f t="shared" si="8"/>
        <v>3298</v>
      </c>
      <c r="S25" s="49">
        <v>51</v>
      </c>
      <c r="T25" s="50">
        <v>19</v>
      </c>
      <c r="U25" s="49">
        <v>30</v>
      </c>
      <c r="V25" s="49">
        <v>4</v>
      </c>
      <c r="W25" s="49">
        <v>2.5</v>
      </c>
      <c r="X25" s="49">
        <v>2</v>
      </c>
      <c r="Y25" s="49">
        <v>0.9</v>
      </c>
      <c r="Z25" s="49">
        <v>1</v>
      </c>
      <c r="AA25" s="49">
        <v>0.04</v>
      </c>
      <c r="AB25" s="53">
        <v>3</v>
      </c>
      <c r="AC25" s="53">
        <v>6</v>
      </c>
      <c r="AD25" s="53">
        <f t="shared" si="2"/>
        <v>1</v>
      </c>
      <c r="AE25" s="53">
        <f t="shared" si="3"/>
        <v>4</v>
      </c>
      <c r="AF25" s="53">
        <f t="shared" si="4"/>
        <v>1</v>
      </c>
      <c r="AG25" s="53">
        <f t="shared" si="5"/>
        <v>1</v>
      </c>
      <c r="AH25" s="53">
        <v>1</v>
      </c>
      <c r="AI25" s="53">
        <v>1</v>
      </c>
      <c r="AJ25" s="60">
        <v>0.82</v>
      </c>
    </row>
    <row r="26" spans="3:36">
      <c r="C26" s="55" t="s">
        <v>1032</v>
      </c>
      <c r="D26" s="56">
        <v>21</v>
      </c>
      <c r="E26" s="57" t="str">
        <f>VLOOKUP($D26,[2]一级属性!$A:$H,2,)</f>
        <v>兀鹰战士</v>
      </c>
      <c r="F26" s="57">
        <f>VLOOKUP($D26,[2]一级属性!$A:$H,4,)</f>
        <v>1</v>
      </c>
      <c r="G26" s="57">
        <f>VLOOKUP($D26,[2]一级属性!$A:$H,5,)</f>
        <v>2</v>
      </c>
      <c r="H26" s="57">
        <f>VLOOKUP($D26,[2]一级属性!$A:$H,8,)</f>
        <v>2</v>
      </c>
      <c r="I26" s="12"/>
      <c r="J26" s="21"/>
      <c r="K26" s="21"/>
      <c r="P26" s="30">
        <f t="shared" ref="P26:P27" si="11">P25</f>
        <v>4</v>
      </c>
      <c r="Q26" s="30">
        <f>SUM(S25:S27)</f>
        <v>151</v>
      </c>
      <c r="R26" s="30">
        <f t="shared" si="8"/>
        <v>3349</v>
      </c>
      <c r="S26" s="49">
        <v>50</v>
      </c>
      <c r="T26" s="50">
        <v>20</v>
      </c>
      <c r="U26" s="49">
        <v>33</v>
      </c>
      <c r="V26" s="49">
        <v>4</v>
      </c>
      <c r="W26" s="49">
        <v>2.5</v>
      </c>
      <c r="X26" s="49">
        <v>2</v>
      </c>
      <c r="Y26" s="49">
        <v>0.9</v>
      </c>
      <c r="Z26" s="49">
        <v>1</v>
      </c>
      <c r="AA26" s="49">
        <v>4.5999999999999999E-2</v>
      </c>
      <c r="AB26" s="53">
        <v>3</v>
      </c>
      <c r="AC26" s="53">
        <v>6</v>
      </c>
      <c r="AD26" s="53">
        <f t="shared" si="2"/>
        <v>1</v>
      </c>
      <c r="AE26" s="53">
        <f t="shared" si="3"/>
        <v>4</v>
      </c>
      <c r="AF26" s="53">
        <f t="shared" si="4"/>
        <v>1</v>
      </c>
      <c r="AG26" s="53">
        <f t="shared" si="5"/>
        <v>1</v>
      </c>
      <c r="AH26" s="53">
        <v>1</v>
      </c>
      <c r="AI26" s="53">
        <v>1</v>
      </c>
      <c r="AJ26" s="60">
        <v>0.81</v>
      </c>
    </row>
    <row r="27" spans="3:36">
      <c r="C27" s="55" t="s">
        <v>1043</v>
      </c>
      <c r="D27" s="56">
        <v>201</v>
      </c>
      <c r="E27" s="57" t="str">
        <f>VLOOKUP($D27,[2]一级属性!$A:$H,2,)</f>
        <v>加农炮</v>
      </c>
      <c r="F27" s="57">
        <f>VLOOKUP($D27,[2]一级属性!$A:$H,4,)</f>
        <v>1</v>
      </c>
      <c r="G27" s="57">
        <f>VLOOKUP($D27,[2]一级属性!$A:$H,5,)</f>
        <v>3</v>
      </c>
      <c r="H27" s="57">
        <f>VLOOKUP($D27,[2]一级属性!$A:$H,8,)</f>
        <v>0</v>
      </c>
      <c r="I27" s="12"/>
      <c r="P27" s="30">
        <f t="shared" si="11"/>
        <v>4</v>
      </c>
      <c r="Q27" s="30"/>
      <c r="R27" s="30">
        <f t="shared" si="8"/>
        <v>3399</v>
      </c>
      <c r="S27" s="49">
        <v>50</v>
      </c>
      <c r="T27" s="50">
        <v>21</v>
      </c>
      <c r="U27" s="49">
        <v>33</v>
      </c>
      <c r="V27" s="49">
        <v>4</v>
      </c>
      <c r="W27" s="49">
        <v>2.5</v>
      </c>
      <c r="X27" s="49">
        <v>2</v>
      </c>
      <c r="Y27" s="49">
        <v>1.2</v>
      </c>
      <c r="Z27" s="49">
        <v>1</v>
      </c>
      <c r="AA27" s="49">
        <v>5.1999999999999998E-2</v>
      </c>
      <c r="AB27" s="53">
        <v>3</v>
      </c>
      <c r="AC27" s="49">
        <v>6</v>
      </c>
      <c r="AD27" s="53">
        <f t="shared" si="2"/>
        <v>1</v>
      </c>
      <c r="AE27" s="49">
        <f t="shared" si="3"/>
        <v>4</v>
      </c>
      <c r="AF27" s="53">
        <f t="shared" si="4"/>
        <v>1</v>
      </c>
      <c r="AG27" s="49">
        <f t="shared" si="5"/>
        <v>1</v>
      </c>
      <c r="AH27" s="53">
        <v>1</v>
      </c>
      <c r="AI27" s="53">
        <v>1</v>
      </c>
      <c r="AJ27" s="60">
        <v>0.8</v>
      </c>
    </row>
    <row r="28" spans="3:36">
      <c r="C28" s="55" t="s">
        <v>1057</v>
      </c>
      <c r="D28" s="56">
        <v>208</v>
      </c>
      <c r="E28" s="57" t="str">
        <f>VLOOKUP($D28,[2]一级属性!$A:$H,2,)</f>
        <v>盖奇小屋</v>
      </c>
      <c r="F28" s="57">
        <f>VLOOKUP($D28,[2]一级属性!$A:$H,4,)</f>
        <v>1</v>
      </c>
      <c r="G28" s="57">
        <f>VLOOKUP($D28,[2]一级属性!$A:$H,5,)</f>
        <v>3</v>
      </c>
      <c r="H28" s="57">
        <f>VLOOKUP($D28,[2]一级属性!$A:$H,8,)</f>
        <v>1</v>
      </c>
      <c r="I28" s="12"/>
      <c r="J28" s="21"/>
      <c r="K28" s="21"/>
      <c r="P28" s="46">
        <v>5</v>
      </c>
      <c r="Q28" s="28">
        <f>COUNTIF(J:J,P28)</f>
        <v>1</v>
      </c>
      <c r="R28" s="30">
        <f t="shared" si="8"/>
        <v>3449</v>
      </c>
      <c r="S28" s="49">
        <v>1</v>
      </c>
      <c r="T28" s="50">
        <v>22</v>
      </c>
      <c r="U28" s="49">
        <v>36</v>
      </c>
      <c r="V28" s="49">
        <v>4</v>
      </c>
      <c r="W28" s="49">
        <v>2.5</v>
      </c>
      <c r="X28" s="49">
        <v>2</v>
      </c>
      <c r="Y28" s="49">
        <v>1.2</v>
      </c>
      <c r="Z28" s="49">
        <v>1</v>
      </c>
      <c r="AA28" s="49">
        <v>5.8000000000000003E-2</v>
      </c>
      <c r="AB28" s="53">
        <v>3</v>
      </c>
      <c r="AC28" s="53">
        <v>6</v>
      </c>
      <c r="AD28" s="53">
        <f t="shared" si="2"/>
        <v>1</v>
      </c>
      <c r="AE28" s="53">
        <f t="shared" si="3"/>
        <v>4</v>
      </c>
      <c r="AF28" s="53">
        <f t="shared" si="4"/>
        <v>1</v>
      </c>
      <c r="AG28" s="53">
        <f t="shared" si="5"/>
        <v>1</v>
      </c>
      <c r="AH28" s="53">
        <v>1</v>
      </c>
      <c r="AI28" s="53">
        <v>1</v>
      </c>
      <c r="AJ28" s="60">
        <v>0.79</v>
      </c>
    </row>
    <row r="29" spans="3:36">
      <c r="C29" s="55" t="s">
        <v>1058</v>
      </c>
      <c r="D29" s="56">
        <v>108</v>
      </c>
      <c r="E29" s="57" t="str">
        <f>VLOOKUP($D29,[2]一级属性!$A:$H,2,)</f>
        <v>狂暴术</v>
      </c>
      <c r="F29" s="57">
        <f>VLOOKUP($D29,[2]一级属性!$A:$H,4,)</f>
        <v>1</v>
      </c>
      <c r="G29" s="57">
        <f>VLOOKUP($D29,[2]一级属性!$A:$H,5,)</f>
        <v>3</v>
      </c>
      <c r="H29" s="57">
        <f>VLOOKUP($D29,[2]一级属性!$A:$H,8,)</f>
        <v>2</v>
      </c>
      <c r="I29" s="12"/>
      <c r="J29" s="21"/>
      <c r="K29" s="21"/>
      <c r="P29" s="30">
        <f>P28</f>
        <v>5</v>
      </c>
      <c r="Q29" s="30">
        <f>SUM(S28:S29)</f>
        <v>2</v>
      </c>
      <c r="R29" s="30">
        <f t="shared" si="8"/>
        <v>3450</v>
      </c>
      <c r="S29" s="49">
        <v>1</v>
      </c>
      <c r="T29" s="50">
        <v>23</v>
      </c>
      <c r="U29" s="49">
        <v>38</v>
      </c>
      <c r="V29" s="49">
        <v>4</v>
      </c>
      <c r="W29" s="49">
        <v>2.5</v>
      </c>
      <c r="X29" s="49">
        <v>2</v>
      </c>
      <c r="Y29" s="49">
        <v>1.2</v>
      </c>
      <c r="Z29" s="49">
        <v>1</v>
      </c>
      <c r="AA29" s="49">
        <v>6.4000000000000001E-2</v>
      </c>
      <c r="AB29" s="53">
        <v>4</v>
      </c>
      <c r="AC29" s="49">
        <v>7</v>
      </c>
      <c r="AD29" s="53">
        <f t="shared" si="2"/>
        <v>2</v>
      </c>
      <c r="AE29" s="49">
        <f t="shared" si="3"/>
        <v>5</v>
      </c>
      <c r="AF29" s="53">
        <f t="shared" si="4"/>
        <v>1</v>
      </c>
      <c r="AG29" s="49">
        <f t="shared" si="5"/>
        <v>2</v>
      </c>
      <c r="AH29" s="53">
        <v>1</v>
      </c>
      <c r="AI29" s="53">
        <v>1</v>
      </c>
      <c r="AJ29" s="60">
        <v>0.78</v>
      </c>
    </row>
    <row r="30" spans="3:36">
      <c r="C30" s="55" t="s">
        <v>1049</v>
      </c>
      <c r="D30" s="56">
        <v>210</v>
      </c>
      <c r="E30" s="57" t="str">
        <f>VLOOKUP($D30,[2]一级属性!$A:$H,2,)</f>
        <v>强弩</v>
      </c>
      <c r="F30" s="57">
        <f>VLOOKUP($D30,[2]一级属性!$A:$H,4,)</f>
        <v>1</v>
      </c>
      <c r="G30" s="57">
        <f>VLOOKUP($D30,[2]一级属性!$A:$H,5,)</f>
        <v>3</v>
      </c>
      <c r="H30" s="57">
        <f>VLOOKUP($D30,[2]一级属性!$A:$H,8,)</f>
        <v>2</v>
      </c>
      <c r="P30" s="46">
        <v>6</v>
      </c>
      <c r="Q30" s="28">
        <f>COUNTIF(J:J,P30)</f>
        <v>1</v>
      </c>
      <c r="R30" s="30">
        <f t="shared" si="8"/>
        <v>3451</v>
      </c>
      <c r="S30" s="49">
        <v>1</v>
      </c>
      <c r="T30" s="50">
        <v>24</v>
      </c>
      <c r="U30" s="49">
        <v>39</v>
      </c>
      <c r="V30" s="49">
        <v>4</v>
      </c>
      <c r="W30" s="49">
        <v>2.5</v>
      </c>
      <c r="X30" s="49">
        <v>3</v>
      </c>
      <c r="Y30" s="49">
        <v>1.2</v>
      </c>
      <c r="Z30" s="49">
        <v>1</v>
      </c>
      <c r="AA30" s="49">
        <v>7.0000000000000007E-2</v>
      </c>
      <c r="AB30" s="53">
        <v>4</v>
      </c>
      <c r="AC30" s="53">
        <v>7</v>
      </c>
      <c r="AD30" s="53">
        <f t="shared" si="2"/>
        <v>2</v>
      </c>
      <c r="AE30" s="53">
        <f t="shared" si="3"/>
        <v>5</v>
      </c>
      <c r="AF30" s="53">
        <f t="shared" si="4"/>
        <v>1</v>
      </c>
      <c r="AG30" s="53">
        <f t="shared" si="5"/>
        <v>2</v>
      </c>
      <c r="AH30" s="53">
        <v>1</v>
      </c>
      <c r="AI30" s="53">
        <v>1</v>
      </c>
      <c r="AJ30" s="60">
        <v>0.77</v>
      </c>
    </row>
    <row r="31" spans="3:36">
      <c r="C31" s="55" t="s">
        <v>1052</v>
      </c>
      <c r="D31" s="56">
        <v>9</v>
      </c>
      <c r="E31" s="57" t="str">
        <f>VLOOKUP($D31,[2]一级属性!$A:$H,2,)</f>
        <v>丸子兵团</v>
      </c>
      <c r="F31" s="57">
        <f>VLOOKUP($D31,[2]一级属性!$A:$H,4,)</f>
        <v>1</v>
      </c>
      <c r="G31" s="57">
        <f>VLOOKUP($D31,[2]一级属性!$A:$H,5,)</f>
        <v>4</v>
      </c>
      <c r="H31" s="57">
        <f>VLOOKUP($D31,[2]一级属性!$A:$H,8,)</f>
        <v>0</v>
      </c>
      <c r="P31" s="30">
        <f>P30</f>
        <v>6</v>
      </c>
      <c r="Q31" s="30">
        <f>SUM(S30:S31)</f>
        <v>2</v>
      </c>
      <c r="R31" s="30">
        <f t="shared" si="8"/>
        <v>3452</v>
      </c>
      <c r="S31" s="49">
        <v>1</v>
      </c>
      <c r="T31" s="50">
        <v>25</v>
      </c>
      <c r="U31" s="49">
        <v>40</v>
      </c>
      <c r="V31" s="49">
        <v>4</v>
      </c>
      <c r="W31" s="49">
        <v>2.5</v>
      </c>
      <c r="X31" s="49">
        <v>3</v>
      </c>
      <c r="Y31" s="49">
        <v>1.2</v>
      </c>
      <c r="Z31" s="49">
        <v>1</v>
      </c>
      <c r="AA31" s="49">
        <v>7.5999999999999998E-2</v>
      </c>
      <c r="AB31" s="53">
        <v>5</v>
      </c>
      <c r="AC31" s="49">
        <v>8</v>
      </c>
      <c r="AD31" s="53">
        <f t="shared" si="2"/>
        <v>3</v>
      </c>
      <c r="AE31" s="49">
        <f t="shared" si="3"/>
        <v>6</v>
      </c>
      <c r="AF31" s="53">
        <f t="shared" si="4"/>
        <v>1</v>
      </c>
      <c r="AG31" s="49">
        <f t="shared" si="5"/>
        <v>3</v>
      </c>
      <c r="AH31" s="53">
        <v>1</v>
      </c>
      <c r="AI31" s="53">
        <v>1</v>
      </c>
      <c r="AJ31" s="60">
        <v>0.76</v>
      </c>
    </row>
    <row r="32" spans="3:36">
      <c r="C32" s="55" t="s">
        <v>1044</v>
      </c>
      <c r="D32" s="56">
        <v>202</v>
      </c>
      <c r="E32" s="57" t="str">
        <f>VLOOKUP($D32,[2]一级属性!$A:$H,2,)</f>
        <v>幽灵之塔</v>
      </c>
      <c r="F32" s="57">
        <f>VLOOKUP($D32,[2]一级属性!$A:$H,4,)</f>
        <v>1</v>
      </c>
      <c r="G32" s="57">
        <f>VLOOKUP($D32,[2]一级属性!$A:$H,5,)</f>
        <v>4</v>
      </c>
      <c r="H32" s="57">
        <f>VLOOKUP($D32,[2]一级属性!$A:$H,8,)</f>
        <v>0</v>
      </c>
      <c r="P32" s="46">
        <v>7</v>
      </c>
      <c r="Q32" s="28">
        <f>COUNTIF(J:J,P32)</f>
        <v>1</v>
      </c>
      <c r="R32" s="30">
        <f t="shared" si="8"/>
        <v>3453</v>
      </c>
      <c r="S32" s="49">
        <v>4</v>
      </c>
      <c r="T32" s="50">
        <v>26</v>
      </c>
      <c r="U32" s="49">
        <v>41</v>
      </c>
      <c r="V32" s="49">
        <v>4</v>
      </c>
      <c r="W32" s="49">
        <v>2.5</v>
      </c>
      <c r="X32" s="49">
        <v>3</v>
      </c>
      <c r="Y32" s="49">
        <v>1.2</v>
      </c>
      <c r="Z32" s="49">
        <v>1</v>
      </c>
      <c r="AA32" s="49">
        <v>8.2000000000000003E-2</v>
      </c>
      <c r="AB32" s="53">
        <v>5</v>
      </c>
      <c r="AC32" s="53">
        <v>8</v>
      </c>
      <c r="AD32" s="53">
        <f t="shared" si="2"/>
        <v>3</v>
      </c>
      <c r="AE32" s="53">
        <f t="shared" si="3"/>
        <v>6</v>
      </c>
      <c r="AF32" s="53">
        <f t="shared" si="4"/>
        <v>1</v>
      </c>
      <c r="AG32" s="53">
        <f t="shared" si="5"/>
        <v>3</v>
      </c>
      <c r="AH32" s="53">
        <v>1</v>
      </c>
      <c r="AI32" s="53">
        <v>1</v>
      </c>
      <c r="AJ32" s="60">
        <v>0.75</v>
      </c>
    </row>
    <row r="33" spans="3:36">
      <c r="C33" s="55" t="s">
        <v>1053</v>
      </c>
      <c r="D33" s="56">
        <v>10</v>
      </c>
      <c r="E33" s="57" t="str">
        <f>VLOOKUP($D33,[2]一级属性!$A:$H,2,)</f>
        <v>哈雷</v>
      </c>
      <c r="F33" s="57">
        <f>VLOOKUP($D33,[2]一级属性!$A:$H,4,)</f>
        <v>1</v>
      </c>
      <c r="G33" s="57">
        <f>VLOOKUP($D33,[2]一级属性!$A:$H,5,)</f>
        <v>4</v>
      </c>
      <c r="H33" s="57">
        <f>VLOOKUP($D33,[2]一级属性!$A:$H,8,)</f>
        <v>1</v>
      </c>
      <c r="P33" s="30">
        <f>P32</f>
        <v>7</v>
      </c>
      <c r="Q33" s="30">
        <f>SUM(S32:S33)</f>
        <v>8</v>
      </c>
      <c r="R33" s="30">
        <f t="shared" si="8"/>
        <v>3457</v>
      </c>
      <c r="S33" s="49">
        <v>4</v>
      </c>
      <c r="T33" s="50">
        <v>27</v>
      </c>
      <c r="U33" s="49">
        <v>42</v>
      </c>
      <c r="V33" s="49">
        <v>4</v>
      </c>
      <c r="W33" s="49">
        <v>2.5</v>
      </c>
      <c r="X33" s="49">
        <v>3</v>
      </c>
      <c r="Y33" s="49">
        <v>1.2</v>
      </c>
      <c r="Z33" s="49">
        <v>1</v>
      </c>
      <c r="AA33" s="49">
        <v>8.7999999999999995E-2</v>
      </c>
      <c r="AB33" s="53">
        <v>6</v>
      </c>
      <c r="AC33" s="49">
        <v>9</v>
      </c>
      <c r="AD33" s="53">
        <f t="shared" si="2"/>
        <v>4</v>
      </c>
      <c r="AE33" s="49">
        <f t="shared" si="3"/>
        <v>7</v>
      </c>
      <c r="AF33" s="53">
        <f t="shared" si="4"/>
        <v>1</v>
      </c>
      <c r="AG33" s="49">
        <f t="shared" si="5"/>
        <v>4</v>
      </c>
      <c r="AH33" s="53">
        <v>1</v>
      </c>
      <c r="AI33" s="53">
        <v>1</v>
      </c>
      <c r="AJ33" s="60">
        <v>0.74</v>
      </c>
    </row>
    <row r="34" spans="3:36">
      <c r="C34" s="55" t="s">
        <v>1047</v>
      </c>
      <c r="D34" s="56">
        <v>205</v>
      </c>
      <c r="E34" s="57" t="str">
        <f>VLOOKUP($D34,[2]一级属性!$A:$H,2,)</f>
        <v>恶魔之塔</v>
      </c>
      <c r="F34" s="57">
        <f>VLOOKUP($D34,[2]一级属性!$A:$H,4,)</f>
        <v>1</v>
      </c>
      <c r="G34" s="57">
        <f>VLOOKUP($D34,[2]一级属性!$A:$H,5,)</f>
        <v>4</v>
      </c>
      <c r="H34" s="57">
        <f>VLOOKUP($D34,[2]一级属性!$A:$H,8,)</f>
        <v>1</v>
      </c>
      <c r="J34" s="13" t="s">
        <v>10902</v>
      </c>
      <c r="K34" s="13" t="s">
        <v>4778</v>
      </c>
      <c r="P34" s="46">
        <v>8</v>
      </c>
      <c r="Q34" s="28">
        <f>COUNTIF(J:J,P34)</f>
        <v>1</v>
      </c>
      <c r="R34" s="30">
        <f t="shared" si="8"/>
        <v>3461</v>
      </c>
      <c r="S34" s="49">
        <v>2</v>
      </c>
      <c r="T34" s="50">
        <v>28</v>
      </c>
      <c r="U34" s="49">
        <v>43</v>
      </c>
      <c r="V34" s="49">
        <v>4</v>
      </c>
      <c r="W34" s="49">
        <v>2.5</v>
      </c>
      <c r="X34" s="49">
        <v>3</v>
      </c>
      <c r="Y34" s="49">
        <v>1.2</v>
      </c>
      <c r="Z34" s="49">
        <v>1</v>
      </c>
      <c r="AA34" s="49">
        <v>9.4E-2</v>
      </c>
      <c r="AB34" s="53">
        <v>6</v>
      </c>
      <c r="AC34" s="53">
        <v>9</v>
      </c>
      <c r="AD34" s="53">
        <f t="shared" si="2"/>
        <v>4</v>
      </c>
      <c r="AE34" s="53">
        <f t="shared" si="3"/>
        <v>7</v>
      </c>
      <c r="AF34" s="53">
        <f t="shared" si="4"/>
        <v>1</v>
      </c>
      <c r="AG34" s="53">
        <f t="shared" si="5"/>
        <v>4</v>
      </c>
      <c r="AH34" s="53">
        <v>1</v>
      </c>
      <c r="AI34" s="53">
        <v>1</v>
      </c>
      <c r="AJ34" s="60">
        <v>0.73</v>
      </c>
    </row>
    <row r="35" spans="3:36">
      <c r="C35" s="55" t="s">
        <v>4599</v>
      </c>
      <c r="D35" s="56">
        <v>22</v>
      </c>
      <c r="E35" s="57" t="str">
        <f>VLOOKUP($D35,[2]一级属性!$A:$H,2,)</f>
        <v>战争古树</v>
      </c>
      <c r="F35" s="57">
        <f>VLOOKUP($D35,[2]一级属性!$A:$H,4,)</f>
        <v>1</v>
      </c>
      <c r="G35" s="57">
        <f>VLOOKUP($D35,[2]一级属性!$A:$H,5,)</f>
        <v>4</v>
      </c>
      <c r="H35" s="57">
        <f>VLOOKUP($D35,[2]一级属性!$A:$H,8,)</f>
        <v>2</v>
      </c>
      <c r="J35" s="21" t="s">
        <v>10903</v>
      </c>
      <c r="K35" s="40" t="s">
        <v>10905</v>
      </c>
      <c r="L35" s="12"/>
      <c r="P35" s="30">
        <f>P34</f>
        <v>8</v>
      </c>
      <c r="Q35" s="30">
        <f>SUM(S34:S35)</f>
        <v>3</v>
      </c>
      <c r="R35" s="30">
        <f t="shared" si="8"/>
        <v>3463</v>
      </c>
      <c r="S35" s="49">
        <v>1</v>
      </c>
      <c r="T35" s="50">
        <v>29</v>
      </c>
      <c r="U35" s="49">
        <v>43</v>
      </c>
      <c r="V35" s="49">
        <v>4</v>
      </c>
      <c r="W35" s="49">
        <v>2.5</v>
      </c>
      <c r="X35" s="49">
        <v>3</v>
      </c>
      <c r="Y35" s="49">
        <v>1.2</v>
      </c>
      <c r="Z35" s="49">
        <v>1</v>
      </c>
      <c r="AA35" s="49">
        <v>0.1</v>
      </c>
      <c r="AB35" s="53">
        <v>7</v>
      </c>
      <c r="AC35" s="49">
        <v>10</v>
      </c>
      <c r="AD35" s="53">
        <f t="shared" si="2"/>
        <v>5</v>
      </c>
      <c r="AE35" s="49">
        <f t="shared" si="3"/>
        <v>8</v>
      </c>
      <c r="AF35" s="53">
        <f t="shared" si="4"/>
        <v>2</v>
      </c>
      <c r="AG35" s="49">
        <f t="shared" si="5"/>
        <v>5</v>
      </c>
      <c r="AH35" s="53">
        <v>1</v>
      </c>
      <c r="AI35" s="53">
        <v>1</v>
      </c>
      <c r="AJ35" s="60">
        <v>0.72</v>
      </c>
    </row>
    <row r="36" spans="3:36">
      <c r="C36" s="55" t="s">
        <v>1039</v>
      </c>
      <c r="D36" s="56">
        <v>106</v>
      </c>
      <c r="E36" s="57" t="str">
        <f>VLOOKUP($D36,[2]一级属性!$A:$H,2,)</f>
        <v>冰冻术</v>
      </c>
      <c r="F36" s="57">
        <f>VLOOKUP($D36,[2]一级属性!$A:$H,4,)</f>
        <v>1</v>
      </c>
      <c r="G36" s="57">
        <f>VLOOKUP($D36,[2]一级属性!$A:$H,5,)</f>
        <v>4</v>
      </c>
      <c r="H36" s="57">
        <f>VLOOKUP($D36,[2]一级属性!$A:$H,8,)</f>
        <v>2</v>
      </c>
      <c r="J36" s="21" t="s">
        <v>10903</v>
      </c>
      <c r="K36" s="40" t="s">
        <v>4806</v>
      </c>
      <c r="L36" s="12"/>
    </row>
    <row r="37" spans="3:36">
      <c r="C37" s="55" t="s">
        <v>1036</v>
      </c>
      <c r="D37" s="56">
        <v>102</v>
      </c>
      <c r="E37" s="57" t="str">
        <f>VLOOKUP($D37,[2]一级属性!$A:$H,2,)</f>
        <v>电击术</v>
      </c>
      <c r="F37" s="57">
        <f>VLOOKUP($D37,[2]一级属性!$A:$H,4,)</f>
        <v>1</v>
      </c>
      <c r="G37" s="57">
        <f>VLOOKUP($D37,[2]一级属性!$A:$H,5,)</f>
        <v>5</v>
      </c>
      <c r="H37" s="57">
        <f>VLOOKUP($D37,[2]一级属性!$A:$H,8,)</f>
        <v>0</v>
      </c>
      <c r="I37" s="12"/>
      <c r="J37" s="21" t="s">
        <v>10903</v>
      </c>
      <c r="K37" s="40" t="s">
        <v>4807</v>
      </c>
      <c r="L37" s="12"/>
    </row>
    <row r="38" spans="3:36">
      <c r="C38" s="55" t="s">
        <v>1029</v>
      </c>
      <c r="D38" s="56">
        <v>15</v>
      </c>
      <c r="E38" s="57" t="str">
        <f>VLOOKUP($D38,[2]一级属性!$A:$H,2,)</f>
        <v>烈火陨石</v>
      </c>
      <c r="F38" s="57">
        <f>VLOOKUP($D38,[2]一级属性!$A:$H,4,)</f>
        <v>1</v>
      </c>
      <c r="G38" s="57">
        <f>VLOOKUP($D38,[2]一级属性!$A:$H,5,)</f>
        <v>5</v>
      </c>
      <c r="H38" s="57">
        <f>VLOOKUP($D38,[2]一级属性!$A:$H,8,)</f>
        <v>1</v>
      </c>
      <c r="I38" s="12"/>
      <c r="J38" s="21" t="s">
        <v>10903</v>
      </c>
      <c r="K38" s="40" t="s">
        <v>4808</v>
      </c>
      <c r="L38" s="12"/>
    </row>
    <row r="39" spans="3:36">
      <c r="C39" s="55" t="s">
        <v>1040</v>
      </c>
      <c r="D39" s="56">
        <v>107</v>
      </c>
      <c r="E39" s="57" t="str">
        <f>VLOOKUP($D39,[2]一级属性!$A:$H,2,)</f>
        <v>镜像术</v>
      </c>
      <c r="F39" s="57">
        <f>VLOOKUP($D39,[2]一级属性!$A:$H,4,)</f>
        <v>1</v>
      </c>
      <c r="G39" s="57">
        <f>VLOOKUP($D39,[2]一级属性!$A:$H,5,)</f>
        <v>5</v>
      </c>
      <c r="H39" s="57">
        <f>VLOOKUP($D39,[2]一级属性!$A:$H,8,)</f>
        <v>2</v>
      </c>
      <c r="I39" s="12"/>
      <c r="J39" s="21" t="s">
        <v>10903</v>
      </c>
      <c r="K39" s="40" t="s">
        <v>4809</v>
      </c>
      <c r="L39" s="12"/>
      <c r="X39" s="12" t="s">
        <v>4843</v>
      </c>
      <c r="Y39" s="12"/>
    </row>
    <row r="40" spans="3:36">
      <c r="C40" s="55" t="s">
        <v>1042</v>
      </c>
      <c r="D40" s="56">
        <v>110</v>
      </c>
      <c r="E40" s="57" t="str">
        <f>VLOOKUP($D40,[2]一级属性!$A:$H,2,)</f>
        <v>诅咒</v>
      </c>
      <c r="F40" s="57">
        <f>VLOOKUP($D40,[2]一级属性!$A:$H,4,)</f>
        <v>1</v>
      </c>
      <c r="G40" s="57">
        <f>VLOOKUP($D40,[2]一级属性!$A:$H,5,)</f>
        <v>5</v>
      </c>
      <c r="H40" s="57">
        <f>VLOOKUP($D40,[2]一级属性!$A:$H,8,)</f>
        <v>2</v>
      </c>
      <c r="I40" s="12"/>
      <c r="J40" s="21" t="s">
        <v>10903</v>
      </c>
      <c r="K40" s="40" t="s">
        <v>4810</v>
      </c>
      <c r="L40" s="12"/>
      <c r="AA40" s="21"/>
    </row>
    <row r="41" spans="3:36">
      <c r="C41" s="55" t="s">
        <v>1035</v>
      </c>
      <c r="D41" s="56">
        <v>25</v>
      </c>
      <c r="E41" s="57" t="str">
        <f>VLOOKUP($D41,[2]一级属性!$A:$H,2,)</f>
        <v>寒冰陨石</v>
      </c>
      <c r="F41" s="57">
        <f>VLOOKUP($D41,[2]一级属性!$A:$H,4,)</f>
        <v>1</v>
      </c>
      <c r="G41" s="57">
        <f>VLOOKUP($D41,[2]一级属性!$A:$H,5,)</f>
        <v>5</v>
      </c>
      <c r="H41" s="57">
        <f>VLOOKUP($D41,[2]一级属性!$A:$H,8,)</f>
        <v>3</v>
      </c>
      <c r="I41" s="12"/>
      <c r="L41" s="12"/>
      <c r="X41" s="12" t="s">
        <v>4844</v>
      </c>
      <c r="AA41" s="21"/>
    </row>
    <row r="42" spans="3:36">
      <c r="C42" s="55" t="s">
        <v>1045</v>
      </c>
      <c r="D42" s="56">
        <v>203</v>
      </c>
      <c r="E42" s="57" t="str">
        <f>VLOOKUP($D42,[2]一级属性!$A:$H,2,)</f>
        <v>投石机</v>
      </c>
      <c r="F42" s="57">
        <f>VLOOKUP($D42,[2]一级属性!$A:$H,4,)</f>
        <v>1</v>
      </c>
      <c r="G42" s="57">
        <f>VLOOKUP($D42,[2]一级属性!$A:$H,5,)</f>
        <v>6</v>
      </c>
      <c r="H42" s="57">
        <f>VLOOKUP($D42,[2]一级属性!$A:$H,8,)</f>
        <v>0</v>
      </c>
      <c r="I42" s="12"/>
      <c r="L42" s="12"/>
      <c r="X42" s="12" t="s">
        <v>4845</v>
      </c>
      <c r="AA42" s="21"/>
    </row>
    <row r="43" spans="3:36">
      <c r="C43" s="55" t="s">
        <v>1055</v>
      </c>
      <c r="D43" s="56">
        <v>206</v>
      </c>
      <c r="E43" s="57" t="str">
        <f>VLOOKUP($D43,[2]一级属性!$A:$H,2,)</f>
        <v>原力圣殿</v>
      </c>
      <c r="F43" s="57">
        <f>VLOOKUP($D43,[2]一级属性!$A:$H,4,)</f>
        <v>1</v>
      </c>
      <c r="G43" s="57">
        <f>VLOOKUP($D43,[2]一级属性!$A:$H,5,)</f>
        <v>6</v>
      </c>
      <c r="H43" s="57">
        <f>VLOOKUP($D43,[2]一级属性!$A:$H,8,)</f>
        <v>1</v>
      </c>
      <c r="I43" s="12"/>
      <c r="L43" s="12"/>
      <c r="AA43" s="21"/>
    </row>
    <row r="44" spans="3:36">
      <c r="C44" s="55" t="s">
        <v>1033</v>
      </c>
      <c r="D44" s="56">
        <v>23</v>
      </c>
      <c r="E44" s="57" t="str">
        <f>VLOOKUP($D44,[2]一级属性!$A:$H,2,)</f>
        <v>泰山</v>
      </c>
      <c r="F44" s="57">
        <f>VLOOKUP($D44,[2]一级属性!$A:$H,4,)</f>
        <v>1</v>
      </c>
      <c r="G44" s="57">
        <f>VLOOKUP($D44,[2]一级属性!$A:$H,5,)</f>
        <v>6</v>
      </c>
      <c r="H44" s="57">
        <f>VLOOKUP($D44,[2]一级属性!$A:$H,8,)</f>
        <v>2</v>
      </c>
      <c r="I44" s="12"/>
      <c r="L44" s="12"/>
    </row>
    <row r="45" spans="3:36">
      <c r="C45" s="55" t="s">
        <v>1050</v>
      </c>
      <c r="D45" s="56">
        <v>28</v>
      </c>
      <c r="E45" s="57" t="str">
        <f>VLOOKUP($D45,[2]一级属性!$A:$H,2,)</f>
        <v>安卡斯兄弟</v>
      </c>
      <c r="F45" s="57">
        <f>VLOOKUP($D45,[2]一级属性!$A:$H,4,)</f>
        <v>1</v>
      </c>
      <c r="G45" s="57">
        <f>VLOOKUP($D45,[2]一级属性!$A:$H,5,)</f>
        <v>7</v>
      </c>
      <c r="H45" s="57">
        <f>VLOOKUP($D45,[2]一级属性!$A:$H,8,)</f>
        <v>1</v>
      </c>
      <c r="I45" s="12"/>
      <c r="L45" s="12"/>
      <c r="X45" s="12" t="s">
        <v>4846</v>
      </c>
    </row>
    <row r="46" spans="3:36">
      <c r="C46" s="55" t="s">
        <v>4833</v>
      </c>
      <c r="D46" s="58">
        <v>105</v>
      </c>
      <c r="E46" s="57" t="s">
        <v>4834</v>
      </c>
      <c r="F46" s="57">
        <f>VLOOKUP($D46,[2]一级属性!$A:$H,4,)</f>
        <v>1</v>
      </c>
      <c r="G46" s="57">
        <f>VLOOKUP($D46,[2]一级属性!$A:$H,5,)</f>
        <v>7</v>
      </c>
      <c r="H46" s="57">
        <f>VLOOKUP($D46,[2]一级属性!$A:$H,8,)</f>
        <v>3</v>
      </c>
      <c r="I46" s="12"/>
      <c r="L46" s="12"/>
      <c r="V46">
        <v>1</v>
      </c>
      <c r="W46">
        <f>3.5/10</f>
        <v>0.35</v>
      </c>
    </row>
    <row r="47" spans="3:36">
      <c r="I47" s="12"/>
      <c r="L47" s="12"/>
      <c r="V47">
        <v>2</v>
      </c>
      <c r="W47">
        <f t="shared" ref="W47:W49" si="12">3.5/10</f>
        <v>0.35</v>
      </c>
    </row>
    <row r="48" spans="3:36">
      <c r="I48" s="12"/>
      <c r="L48" s="12"/>
      <c r="V48">
        <v>3</v>
      </c>
      <c r="W48">
        <f t="shared" si="12"/>
        <v>0.35</v>
      </c>
    </row>
    <row r="49" spans="3:24">
      <c r="I49" s="12"/>
      <c r="L49" s="12"/>
      <c r="V49">
        <v>4</v>
      </c>
      <c r="W49">
        <f t="shared" si="12"/>
        <v>0.35</v>
      </c>
      <c r="X49">
        <f>W49*2.5</f>
        <v>0.875</v>
      </c>
    </row>
    <row r="50" spans="3:24">
      <c r="I50" s="12"/>
      <c r="L50" s="12"/>
    </row>
    <row r="51" spans="3:24">
      <c r="I51" s="12"/>
      <c r="L51" s="12"/>
    </row>
    <row r="52" spans="3:24">
      <c r="I52" s="12"/>
      <c r="L52" s="12"/>
    </row>
    <row r="53" spans="3:24">
      <c r="I53" s="12"/>
      <c r="L53" s="12"/>
    </row>
    <row r="54" spans="3:24">
      <c r="I54" s="12"/>
      <c r="L54" s="12"/>
    </row>
    <row r="55" spans="3:24">
      <c r="I55" s="12"/>
      <c r="L55" s="12"/>
    </row>
    <row r="56" spans="3:24">
      <c r="L56" s="12"/>
    </row>
    <row r="57" spans="3:24">
      <c r="L57" s="12"/>
    </row>
    <row r="58" spans="3:24">
      <c r="L58" s="12"/>
    </row>
    <row r="60" spans="3:24">
      <c r="C60" s="26" t="s">
        <v>4589</v>
      </c>
      <c r="D60" s="17">
        <v>26</v>
      </c>
      <c r="E60" s="21" t="str">
        <f>VLOOKUP($D60,[2]一级属性!$A:$H,2,)</f>
        <v>皇家巨人</v>
      </c>
      <c r="F60" s="21">
        <f>VLOOKUP($D60,[2]一级属性!$A:$H,4,)</f>
        <v>1</v>
      </c>
      <c r="G60" s="21">
        <f>VLOOKUP($D60,[2]一级属性!$A:$H,5,)</f>
        <v>7</v>
      </c>
      <c r="H60" s="21">
        <f>VLOOKUP($D60,[2]一级属性!$A:$H,8,)</f>
        <v>0</v>
      </c>
    </row>
    <row r="61" spans="3:24">
      <c r="C61" s="26" t="s">
        <v>30</v>
      </c>
      <c r="D61" s="31">
        <v>6</v>
      </c>
      <c r="E61" s="21" t="str">
        <f>VLOOKUP($D61,[2]一级属性!$A:$H,2,)</f>
        <v>桑切斯</v>
      </c>
      <c r="F61" s="21">
        <f>VLOOKUP($D61,[2]一级属性!$A:$H,4,)</f>
        <v>1</v>
      </c>
      <c r="G61" s="21">
        <f>VLOOKUP($D61,[2]一级属性!$A:$H,5,)</f>
        <v>0</v>
      </c>
      <c r="H61" s="21">
        <f>VLOOKUP($D61,[2]一级属性!$A:$H,8,)</f>
        <v>1</v>
      </c>
    </row>
    <row r="62" spans="3:24">
      <c r="C62" s="26" t="s">
        <v>1026</v>
      </c>
      <c r="D62" s="17">
        <v>11</v>
      </c>
      <c r="E62" s="21" t="str">
        <f>VLOOKUP($D62,[2]一级属性!$A:$H,2,)</f>
        <v>迷你皮卡</v>
      </c>
      <c r="F62" s="21">
        <f>VLOOKUP($D62,[2]一级属性!$A:$H,4,)</f>
        <v>1</v>
      </c>
      <c r="G62" s="21">
        <f>VLOOKUP($D62,[2]一级属性!$A:$H,5,)</f>
        <v>0</v>
      </c>
      <c r="H62" s="21">
        <f>VLOOKUP($D62,[2]一级属性!$A:$H,8,)</f>
        <v>1</v>
      </c>
    </row>
    <row r="63" spans="3:24">
      <c r="C63" t="s">
        <v>1034</v>
      </c>
      <c r="D63" s="17">
        <v>24</v>
      </c>
      <c r="E63" s="21" t="str">
        <f>VLOOKUP($D63,[2]一级属性!$A:$H,2,)</f>
        <v>泰山宝宝</v>
      </c>
      <c r="F63" s="21">
        <f>VLOOKUP($D63,[2]一级属性!$A:$H,4,)</f>
        <v>0</v>
      </c>
      <c r="G63" s="21">
        <f>VLOOKUP($D63,[2]一级属性!$A:$H,5,)</f>
        <v>6</v>
      </c>
      <c r="H63" s="21">
        <f>VLOOKUP($D63,[2]一级属性!$A:$H,8,)</f>
        <v>2</v>
      </c>
    </row>
    <row r="64" spans="3:24">
      <c r="C64">
        <v>0</v>
      </c>
      <c r="D64" s="17">
        <v>0</v>
      </c>
      <c r="E64" s="21" t="e">
        <f>VLOOKUP($D64,[2]一级属性!$A:$H,2,)</f>
        <v>#N/A</v>
      </c>
      <c r="F64" s="21" t="e">
        <f>VLOOKUP($D64,[2]一级属性!$A:$H,4,)</f>
        <v>#N/A</v>
      </c>
      <c r="G64" s="21" t="e">
        <f>VLOOKUP($D64,[2]一级属性!$A:$H,5,)</f>
        <v>#N/A</v>
      </c>
      <c r="H64" s="21" t="e">
        <f>VLOOKUP($D64,[2]一级属性!$A:$H,8,)</f>
        <v>#N/A</v>
      </c>
    </row>
    <row r="65" spans="3:8">
      <c r="C65" s="26" t="s">
        <v>1051</v>
      </c>
      <c r="D65" s="17">
        <v>27</v>
      </c>
      <c r="E65" s="21" t="str">
        <f>VLOOKUP($D65,[2]一级属性!$A:$H,2,)</f>
        <v>黑暗王子</v>
      </c>
      <c r="F65" s="21">
        <f>VLOOKUP($D65,[2]一级属性!$A:$H,4,)</f>
        <v>1</v>
      </c>
      <c r="G65" s="21">
        <f>VLOOKUP($D65,[2]一级属性!$A:$H,5,)</f>
        <v>7</v>
      </c>
      <c r="H65" s="21">
        <f>VLOOKUP($D65,[2]一级属性!$A:$H,8,)</f>
        <v>2</v>
      </c>
    </row>
    <row r="66" spans="3:8">
      <c r="C66" s="26" t="s">
        <v>862</v>
      </c>
      <c r="D66" s="17">
        <v>29</v>
      </c>
      <c r="E66" s="21" t="str">
        <f>VLOOKUP($D66,[2]一级属性!$A:$H,2,)</f>
        <v>公主</v>
      </c>
      <c r="F66" s="21">
        <f>VLOOKUP($D66,[2]一级属性!$A:$H,4,)</f>
        <v>1</v>
      </c>
      <c r="G66" s="21">
        <f>VLOOKUP($D66,[2]一级属性!$A:$H,5,)</f>
        <v>7</v>
      </c>
      <c r="H66" s="21">
        <f>VLOOKUP($D66,[2]一级属性!$A:$H,8,)</f>
        <v>3</v>
      </c>
    </row>
    <row r="67" spans="3:8">
      <c r="C67" s="26" t="s">
        <v>1037</v>
      </c>
      <c r="D67" s="17">
        <v>104</v>
      </c>
      <c r="E67" s="21" t="str">
        <f>VLOOKUP($D67,[2]一级属性!$A:$H,2,)</f>
        <v>火箭</v>
      </c>
      <c r="F67" s="21">
        <f>VLOOKUP($D67,[2]一级属性!$A:$H,4,)</f>
        <v>1</v>
      </c>
      <c r="G67" s="21">
        <f>VLOOKUP($D67,[2]一级属性!$A:$H,5,)</f>
        <v>3</v>
      </c>
      <c r="H67" s="21">
        <f>VLOOKUP($D67,[2]一级属性!$A:$H,8,)</f>
        <v>1</v>
      </c>
    </row>
    <row r="68" spans="3:8">
      <c r="C68" s="26" t="s">
        <v>1038</v>
      </c>
      <c r="D68" s="17">
        <v>105</v>
      </c>
      <c r="E68" s="21" t="str">
        <f>VLOOKUP($D68,[2]一级属性!$A:$H,2,)</f>
        <v>宝箱怪</v>
      </c>
      <c r="F68" s="21">
        <f>VLOOKUP($D68,[2]一级属性!$A:$H,4,)</f>
        <v>1</v>
      </c>
      <c r="G68" s="21">
        <f>VLOOKUP($D68,[2]一级属性!$A:$H,5,)</f>
        <v>7</v>
      </c>
      <c r="H68" s="21">
        <f>VLOOKUP($D68,[2]一级属性!$A:$H,8,)</f>
        <v>3</v>
      </c>
    </row>
  </sheetData>
  <sortState ref="C4:H58">
    <sortCondition ref="G4:G58"/>
    <sortCondition ref="H4:H58"/>
  </sortState>
  <mergeCells count="13">
    <mergeCell ref="AD4:AE4"/>
    <mergeCell ref="AF4:AG4"/>
    <mergeCell ref="AH4:AI4"/>
    <mergeCell ref="U4:U5"/>
    <mergeCell ref="V4:W4"/>
    <mergeCell ref="X4:Y4"/>
    <mergeCell ref="Z4:AA4"/>
    <mergeCell ref="AB4:AC4"/>
    <mergeCell ref="P4:P5"/>
    <mergeCell ref="Q4:Q5"/>
    <mergeCell ref="R4:R5"/>
    <mergeCell ref="S4:S5"/>
    <mergeCell ref="T4:T5"/>
  </mergeCells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:P3463"/>
  <sheetViews>
    <sheetView topLeftCell="C1" workbookViewId="0">
      <selection activeCell="F13" sqref="F13"/>
    </sheetView>
  </sheetViews>
  <sheetFormatPr defaultRowHeight="13.5"/>
  <cols>
    <col min="6" max="6" width="30.5" bestFit="1" customWidth="1"/>
    <col min="7" max="7" width="17.25" bestFit="1" customWidth="1"/>
    <col min="12" max="12" width="18.375" customWidth="1"/>
  </cols>
  <sheetData>
    <row r="1" spans="6:16">
      <c r="F1" t="s">
        <v>11100</v>
      </c>
      <c r="G1" t="s">
        <v>1065</v>
      </c>
      <c r="H1">
        <v>8</v>
      </c>
      <c r="I1">
        <v>0</v>
      </c>
      <c r="J1">
        <v>0</v>
      </c>
      <c r="K1">
        <v>0</v>
      </c>
      <c r="L1" s="61" t="s">
        <v>4779</v>
      </c>
    </row>
    <row r="2" spans="6:16">
      <c r="F2" t="s">
        <v>11101</v>
      </c>
      <c r="G2" t="s">
        <v>1065</v>
      </c>
      <c r="H2">
        <v>8</v>
      </c>
      <c r="I2">
        <v>0</v>
      </c>
      <c r="J2">
        <v>0</v>
      </c>
      <c r="K2">
        <v>0</v>
      </c>
      <c r="L2" s="61" t="s">
        <v>4779</v>
      </c>
      <c r="O2">
        <v>1</v>
      </c>
      <c r="P2">
        <f t="shared" ref="P2:P9" si="0">COUNTIF(H:H,O2)</f>
        <v>0</v>
      </c>
    </row>
    <row r="3" spans="6:16">
      <c r="F3" t="s">
        <v>11102</v>
      </c>
      <c r="G3" t="s">
        <v>1065</v>
      </c>
      <c r="H3">
        <v>8</v>
      </c>
      <c r="I3">
        <v>0</v>
      </c>
      <c r="J3">
        <v>0</v>
      </c>
      <c r="K3">
        <v>0</v>
      </c>
      <c r="L3" s="61" t="s">
        <v>4779</v>
      </c>
      <c r="O3">
        <v>2</v>
      </c>
      <c r="P3">
        <f t="shared" si="0"/>
        <v>57</v>
      </c>
    </row>
    <row r="4" spans="6:16">
      <c r="F4" t="s">
        <v>11103</v>
      </c>
      <c r="G4" t="s">
        <v>1065</v>
      </c>
      <c r="H4">
        <v>8</v>
      </c>
      <c r="I4">
        <v>0</v>
      </c>
      <c r="J4">
        <v>0</v>
      </c>
      <c r="K4">
        <v>0</v>
      </c>
      <c r="L4" s="61" t="s">
        <v>4779</v>
      </c>
      <c r="O4">
        <v>3</v>
      </c>
      <c r="P4">
        <f t="shared" si="0"/>
        <v>209</v>
      </c>
    </row>
    <row r="5" spans="6:16">
      <c r="F5" t="s">
        <v>11104</v>
      </c>
      <c r="G5" t="s">
        <v>1065</v>
      </c>
      <c r="H5">
        <v>7</v>
      </c>
      <c r="I5">
        <v>1</v>
      </c>
      <c r="J5">
        <v>0</v>
      </c>
      <c r="K5">
        <v>0</v>
      </c>
      <c r="L5" s="61" t="s">
        <v>4779</v>
      </c>
      <c r="O5">
        <v>4</v>
      </c>
      <c r="P5">
        <f t="shared" si="0"/>
        <v>436</v>
      </c>
    </row>
    <row r="6" spans="6:16">
      <c r="F6" t="s">
        <v>11105</v>
      </c>
      <c r="G6" t="s">
        <v>1065</v>
      </c>
      <c r="H6">
        <v>6</v>
      </c>
      <c r="I6">
        <v>2</v>
      </c>
      <c r="J6">
        <v>0</v>
      </c>
      <c r="K6">
        <v>0</v>
      </c>
      <c r="L6" s="61" t="s">
        <v>4779</v>
      </c>
      <c r="M6" s="32"/>
      <c r="O6">
        <v>5</v>
      </c>
      <c r="P6">
        <f t="shared" si="0"/>
        <v>848</v>
      </c>
    </row>
    <row r="7" spans="6:16">
      <c r="F7" t="s">
        <v>11106</v>
      </c>
      <c r="G7" t="s">
        <v>1065</v>
      </c>
      <c r="H7">
        <v>7</v>
      </c>
      <c r="I7">
        <v>1</v>
      </c>
      <c r="J7">
        <v>0</v>
      </c>
      <c r="K7">
        <v>0</v>
      </c>
      <c r="L7" s="61" t="s">
        <v>4779</v>
      </c>
      <c r="O7">
        <v>6</v>
      </c>
      <c r="P7">
        <f t="shared" si="0"/>
        <v>1017</v>
      </c>
    </row>
    <row r="8" spans="6:16">
      <c r="F8" t="s">
        <v>11107</v>
      </c>
      <c r="G8" t="s">
        <v>1065</v>
      </c>
      <c r="H8">
        <v>7</v>
      </c>
      <c r="I8">
        <v>1</v>
      </c>
      <c r="J8">
        <v>0</v>
      </c>
      <c r="K8">
        <v>0</v>
      </c>
      <c r="L8" s="61" t="s">
        <v>4779</v>
      </c>
      <c r="O8">
        <v>7</v>
      </c>
      <c r="P8">
        <f t="shared" si="0"/>
        <v>681</v>
      </c>
    </row>
    <row r="9" spans="6:16">
      <c r="F9" t="s">
        <v>11108</v>
      </c>
      <c r="G9" t="s">
        <v>1065</v>
      </c>
      <c r="H9">
        <v>7</v>
      </c>
      <c r="I9">
        <v>1</v>
      </c>
      <c r="J9">
        <v>0</v>
      </c>
      <c r="K9">
        <v>0</v>
      </c>
      <c r="L9" s="61" t="s">
        <v>4779</v>
      </c>
      <c r="O9">
        <v>8</v>
      </c>
      <c r="P9">
        <f t="shared" si="0"/>
        <v>215</v>
      </c>
    </row>
    <row r="10" spans="6:16">
      <c r="F10" t="s">
        <v>11109</v>
      </c>
      <c r="G10" t="s">
        <v>1065</v>
      </c>
      <c r="H10">
        <v>6</v>
      </c>
      <c r="I10">
        <v>2</v>
      </c>
      <c r="J10">
        <v>0</v>
      </c>
      <c r="K10">
        <v>0</v>
      </c>
      <c r="L10" s="61" t="s">
        <v>4779</v>
      </c>
    </row>
    <row r="11" spans="6:16">
      <c r="F11" t="s">
        <v>11110</v>
      </c>
      <c r="G11" t="s">
        <v>1065</v>
      </c>
      <c r="H11">
        <v>7</v>
      </c>
      <c r="I11">
        <v>1</v>
      </c>
      <c r="J11">
        <v>0</v>
      </c>
      <c r="K11">
        <v>0</v>
      </c>
      <c r="L11" s="61" t="s">
        <v>4779</v>
      </c>
    </row>
    <row r="12" spans="6:16">
      <c r="F12" t="s">
        <v>11111</v>
      </c>
      <c r="G12" t="s">
        <v>1065</v>
      </c>
      <c r="H12">
        <v>8</v>
      </c>
      <c r="I12">
        <v>0</v>
      </c>
      <c r="J12">
        <v>0</v>
      </c>
      <c r="K12">
        <v>0</v>
      </c>
      <c r="L12" s="61" t="s">
        <v>4779</v>
      </c>
    </row>
    <row r="13" spans="6:16">
      <c r="F13" t="s">
        <v>11112</v>
      </c>
      <c r="G13" t="s">
        <v>1065</v>
      </c>
      <c r="H13">
        <v>8</v>
      </c>
      <c r="I13">
        <v>0</v>
      </c>
      <c r="J13">
        <v>0</v>
      </c>
      <c r="K13">
        <v>0</v>
      </c>
      <c r="L13" s="61" t="s">
        <v>4779</v>
      </c>
    </row>
    <row r="14" spans="6:16">
      <c r="F14" t="s">
        <v>11113</v>
      </c>
      <c r="G14" t="s">
        <v>1065</v>
      </c>
      <c r="H14">
        <v>6</v>
      </c>
      <c r="I14">
        <v>2</v>
      </c>
      <c r="J14">
        <v>0</v>
      </c>
      <c r="K14">
        <v>0</v>
      </c>
      <c r="L14" s="61" t="s">
        <v>4779</v>
      </c>
    </row>
    <row r="15" spans="6:16">
      <c r="F15" t="s">
        <v>11114</v>
      </c>
      <c r="G15" t="s">
        <v>1065</v>
      </c>
      <c r="H15">
        <v>7</v>
      </c>
      <c r="I15">
        <v>1</v>
      </c>
      <c r="J15">
        <v>0</v>
      </c>
      <c r="K15">
        <v>0</v>
      </c>
      <c r="L15" s="61" t="s">
        <v>4779</v>
      </c>
    </row>
    <row r="16" spans="6:16">
      <c r="F16" t="s">
        <v>11115</v>
      </c>
      <c r="G16" t="s">
        <v>1065</v>
      </c>
      <c r="H16">
        <v>8</v>
      </c>
      <c r="I16">
        <v>0</v>
      </c>
      <c r="J16">
        <v>0</v>
      </c>
      <c r="K16">
        <v>0</v>
      </c>
      <c r="L16" s="61" t="s">
        <v>4779</v>
      </c>
    </row>
    <row r="17" spans="6:12">
      <c r="F17" t="s">
        <v>11116</v>
      </c>
      <c r="G17" t="s">
        <v>1065</v>
      </c>
      <c r="H17">
        <v>6</v>
      </c>
      <c r="I17">
        <v>2</v>
      </c>
      <c r="J17">
        <v>0</v>
      </c>
      <c r="K17">
        <v>0</v>
      </c>
      <c r="L17" s="61" t="s">
        <v>4779</v>
      </c>
    </row>
    <row r="18" spans="6:12">
      <c r="F18" t="s">
        <v>11117</v>
      </c>
      <c r="G18" t="s">
        <v>1065</v>
      </c>
      <c r="H18">
        <v>7</v>
      </c>
      <c r="I18">
        <v>1</v>
      </c>
      <c r="J18">
        <v>0</v>
      </c>
      <c r="K18">
        <v>0</v>
      </c>
      <c r="L18" s="61" t="s">
        <v>4779</v>
      </c>
    </row>
    <row r="19" spans="6:12">
      <c r="F19" t="s">
        <v>11118</v>
      </c>
      <c r="G19" t="s">
        <v>1065</v>
      </c>
      <c r="H19">
        <v>6</v>
      </c>
      <c r="I19">
        <v>2</v>
      </c>
      <c r="J19">
        <v>0</v>
      </c>
      <c r="K19">
        <v>0</v>
      </c>
      <c r="L19" s="61" t="s">
        <v>4779</v>
      </c>
    </row>
    <row r="20" spans="6:12">
      <c r="F20" t="s">
        <v>11119</v>
      </c>
      <c r="G20" t="s">
        <v>1065</v>
      </c>
      <c r="H20">
        <v>6</v>
      </c>
      <c r="I20">
        <v>2</v>
      </c>
      <c r="J20">
        <v>0</v>
      </c>
      <c r="K20">
        <v>0</v>
      </c>
      <c r="L20" s="61" t="s">
        <v>4779</v>
      </c>
    </row>
    <row r="21" spans="6:12">
      <c r="F21" t="s">
        <v>11120</v>
      </c>
      <c r="G21" t="s">
        <v>1065</v>
      </c>
      <c r="H21">
        <v>6</v>
      </c>
      <c r="I21">
        <v>2</v>
      </c>
      <c r="J21">
        <v>0</v>
      </c>
      <c r="K21">
        <v>0</v>
      </c>
      <c r="L21" s="61" t="s">
        <v>4779</v>
      </c>
    </row>
    <row r="22" spans="6:12">
      <c r="F22" t="s">
        <v>11121</v>
      </c>
      <c r="G22" t="s">
        <v>1065</v>
      </c>
      <c r="H22">
        <v>6</v>
      </c>
      <c r="I22">
        <v>2</v>
      </c>
      <c r="J22">
        <v>0</v>
      </c>
      <c r="K22">
        <v>0</v>
      </c>
      <c r="L22" s="61" t="s">
        <v>4779</v>
      </c>
    </row>
    <row r="23" spans="6:12">
      <c r="F23" t="s">
        <v>11122</v>
      </c>
      <c r="G23" t="s">
        <v>1065</v>
      </c>
      <c r="H23">
        <v>6</v>
      </c>
      <c r="I23">
        <v>2</v>
      </c>
      <c r="J23">
        <v>0</v>
      </c>
      <c r="K23">
        <v>0</v>
      </c>
      <c r="L23" s="61" t="s">
        <v>4779</v>
      </c>
    </row>
    <row r="24" spans="6:12">
      <c r="F24" t="s">
        <v>11123</v>
      </c>
      <c r="G24" t="s">
        <v>1065</v>
      </c>
      <c r="H24">
        <v>8</v>
      </c>
      <c r="I24">
        <v>0</v>
      </c>
      <c r="J24">
        <v>0</v>
      </c>
      <c r="K24">
        <v>0</v>
      </c>
      <c r="L24" s="61" t="s">
        <v>4779</v>
      </c>
    </row>
    <row r="25" spans="6:12">
      <c r="F25" t="s">
        <v>11124</v>
      </c>
      <c r="G25" t="s">
        <v>1065</v>
      </c>
      <c r="H25">
        <v>7</v>
      </c>
      <c r="I25">
        <v>1</v>
      </c>
      <c r="J25">
        <v>0</v>
      </c>
      <c r="K25">
        <v>0</v>
      </c>
      <c r="L25" s="61" t="s">
        <v>4779</v>
      </c>
    </row>
    <row r="26" spans="6:12">
      <c r="F26" t="s">
        <v>11125</v>
      </c>
      <c r="G26" t="s">
        <v>1065</v>
      </c>
      <c r="H26">
        <v>7</v>
      </c>
      <c r="I26">
        <v>1</v>
      </c>
      <c r="J26">
        <v>0</v>
      </c>
      <c r="K26">
        <v>0</v>
      </c>
      <c r="L26" s="61" t="s">
        <v>4779</v>
      </c>
    </row>
    <row r="27" spans="6:12">
      <c r="F27" t="s">
        <v>11126</v>
      </c>
      <c r="G27" t="s">
        <v>1065</v>
      </c>
      <c r="H27">
        <v>7</v>
      </c>
      <c r="I27">
        <v>1</v>
      </c>
      <c r="J27">
        <v>0</v>
      </c>
      <c r="K27">
        <v>0</v>
      </c>
      <c r="L27" s="61" t="s">
        <v>4779</v>
      </c>
    </row>
    <row r="28" spans="6:12">
      <c r="F28" t="s">
        <v>11127</v>
      </c>
      <c r="G28" t="s">
        <v>1065</v>
      </c>
      <c r="H28">
        <v>8</v>
      </c>
      <c r="I28">
        <v>0</v>
      </c>
      <c r="J28">
        <v>0</v>
      </c>
      <c r="K28">
        <v>0</v>
      </c>
      <c r="L28" s="61" t="s">
        <v>4779</v>
      </c>
    </row>
    <row r="29" spans="6:12">
      <c r="F29" t="s">
        <v>11128</v>
      </c>
      <c r="G29" t="s">
        <v>1065</v>
      </c>
      <c r="H29">
        <v>8</v>
      </c>
      <c r="I29">
        <v>0</v>
      </c>
      <c r="J29">
        <v>0</v>
      </c>
      <c r="K29">
        <v>0</v>
      </c>
      <c r="L29" s="61" t="s">
        <v>4779</v>
      </c>
    </row>
    <row r="30" spans="6:12">
      <c r="F30" t="s">
        <v>11129</v>
      </c>
      <c r="G30" t="s">
        <v>1065</v>
      </c>
      <c r="H30">
        <v>8</v>
      </c>
      <c r="I30">
        <v>0</v>
      </c>
      <c r="J30">
        <v>0</v>
      </c>
      <c r="K30">
        <v>0</v>
      </c>
      <c r="L30" s="61" t="s">
        <v>4779</v>
      </c>
    </row>
    <row r="31" spans="6:12">
      <c r="F31" t="s">
        <v>11130</v>
      </c>
      <c r="G31" t="s">
        <v>1065</v>
      </c>
      <c r="H31">
        <v>6</v>
      </c>
      <c r="I31">
        <v>2</v>
      </c>
      <c r="J31">
        <v>0</v>
      </c>
      <c r="K31">
        <v>0</v>
      </c>
      <c r="L31" s="61" t="s">
        <v>4779</v>
      </c>
    </row>
    <row r="32" spans="6:12">
      <c r="F32" t="s">
        <v>11131</v>
      </c>
      <c r="G32" t="s">
        <v>1065</v>
      </c>
      <c r="H32">
        <v>6</v>
      </c>
      <c r="I32">
        <v>2</v>
      </c>
      <c r="J32">
        <v>0</v>
      </c>
      <c r="K32">
        <v>0</v>
      </c>
      <c r="L32" s="61" t="s">
        <v>4779</v>
      </c>
    </row>
    <row r="33" spans="6:16">
      <c r="F33" t="s">
        <v>11132</v>
      </c>
      <c r="G33" t="s">
        <v>1065</v>
      </c>
      <c r="H33">
        <v>7</v>
      </c>
      <c r="I33">
        <v>1</v>
      </c>
      <c r="J33">
        <v>0</v>
      </c>
      <c r="K33">
        <v>0</v>
      </c>
      <c r="L33" s="61" t="s">
        <v>4779</v>
      </c>
    </row>
    <row r="34" spans="6:16">
      <c r="F34" t="s">
        <v>11133</v>
      </c>
      <c r="G34" t="s">
        <v>1065</v>
      </c>
      <c r="H34">
        <v>7</v>
      </c>
      <c r="I34">
        <v>1</v>
      </c>
      <c r="J34">
        <v>0</v>
      </c>
      <c r="K34">
        <v>0</v>
      </c>
      <c r="L34" s="61" t="s">
        <v>4779</v>
      </c>
    </row>
    <row r="35" spans="6:16">
      <c r="F35" t="s">
        <v>11134</v>
      </c>
      <c r="G35" t="s">
        <v>1065</v>
      </c>
      <c r="H35">
        <v>8</v>
      </c>
      <c r="I35">
        <v>0</v>
      </c>
      <c r="J35">
        <v>0</v>
      </c>
      <c r="K35">
        <v>0</v>
      </c>
      <c r="L35" s="61" t="s">
        <v>4779</v>
      </c>
    </row>
    <row r="36" spans="6:16">
      <c r="F36" t="s">
        <v>11135</v>
      </c>
      <c r="G36" t="s">
        <v>1065</v>
      </c>
      <c r="H36">
        <v>7</v>
      </c>
      <c r="I36">
        <v>1</v>
      </c>
      <c r="J36">
        <v>0</v>
      </c>
      <c r="K36">
        <v>0</v>
      </c>
      <c r="L36" s="61" t="s">
        <v>4779</v>
      </c>
    </row>
    <row r="37" spans="6:16">
      <c r="F37" t="s">
        <v>11136</v>
      </c>
      <c r="G37" t="s">
        <v>1065</v>
      </c>
      <c r="H37">
        <v>8</v>
      </c>
      <c r="I37">
        <v>0</v>
      </c>
      <c r="J37">
        <v>0</v>
      </c>
      <c r="K37">
        <v>0</v>
      </c>
      <c r="L37" s="61" t="s">
        <v>4779</v>
      </c>
    </row>
    <row r="38" spans="6:16">
      <c r="F38" t="s">
        <v>11137</v>
      </c>
      <c r="G38" t="s">
        <v>1065</v>
      </c>
      <c r="H38">
        <v>7</v>
      </c>
      <c r="I38">
        <v>1</v>
      </c>
      <c r="J38">
        <v>0</v>
      </c>
      <c r="K38">
        <v>0</v>
      </c>
      <c r="L38" s="61" t="s">
        <v>4779</v>
      </c>
      <c r="O38">
        <v>1</v>
      </c>
      <c r="P38">
        <f t="shared" ref="P38:P44" si="1">COUNTIF($H$3264:$H$3463,O38)</f>
        <v>0</v>
      </c>
    </row>
    <row r="39" spans="6:16">
      <c r="F39" t="s">
        <v>11138</v>
      </c>
      <c r="G39" t="s">
        <v>1065</v>
      </c>
      <c r="H39">
        <v>7</v>
      </c>
      <c r="I39">
        <v>1</v>
      </c>
      <c r="J39">
        <v>0</v>
      </c>
      <c r="K39">
        <v>0</v>
      </c>
      <c r="L39" s="61" t="s">
        <v>4779</v>
      </c>
      <c r="O39">
        <v>2</v>
      </c>
      <c r="P39">
        <f t="shared" si="1"/>
        <v>22</v>
      </c>
    </row>
    <row r="40" spans="6:16">
      <c r="F40" t="s">
        <v>5174</v>
      </c>
      <c r="G40" t="s">
        <v>1065</v>
      </c>
      <c r="H40">
        <v>8</v>
      </c>
      <c r="I40">
        <v>0</v>
      </c>
      <c r="J40">
        <v>0</v>
      </c>
      <c r="K40">
        <v>0</v>
      </c>
      <c r="L40" s="61" t="s">
        <v>4779</v>
      </c>
      <c r="O40">
        <v>3</v>
      </c>
      <c r="P40">
        <f t="shared" si="1"/>
        <v>41</v>
      </c>
    </row>
    <row r="41" spans="6:16">
      <c r="F41" t="s">
        <v>5097</v>
      </c>
      <c r="G41" t="s">
        <v>1065</v>
      </c>
      <c r="H41">
        <v>8</v>
      </c>
      <c r="I41">
        <v>0</v>
      </c>
      <c r="J41">
        <v>0</v>
      </c>
      <c r="K41">
        <v>0</v>
      </c>
      <c r="L41" s="61" t="s">
        <v>4779</v>
      </c>
      <c r="O41">
        <v>4</v>
      </c>
      <c r="P41">
        <f t="shared" si="1"/>
        <v>49</v>
      </c>
    </row>
    <row r="42" spans="6:16">
      <c r="F42" t="s">
        <v>11139</v>
      </c>
      <c r="G42" t="s">
        <v>1065</v>
      </c>
      <c r="H42">
        <v>8</v>
      </c>
      <c r="I42">
        <v>0</v>
      </c>
      <c r="J42">
        <v>0</v>
      </c>
      <c r="K42">
        <v>0</v>
      </c>
      <c r="L42" s="61" t="s">
        <v>4779</v>
      </c>
      <c r="O42">
        <v>5</v>
      </c>
      <c r="P42">
        <f t="shared" si="1"/>
        <v>45</v>
      </c>
    </row>
    <row r="43" spans="6:16">
      <c r="F43" t="s">
        <v>11140</v>
      </c>
      <c r="G43" t="s">
        <v>1065</v>
      </c>
      <c r="H43">
        <v>8</v>
      </c>
      <c r="I43">
        <v>0</v>
      </c>
      <c r="J43">
        <v>0</v>
      </c>
      <c r="K43">
        <v>0</v>
      </c>
      <c r="L43" s="61" t="s">
        <v>4779</v>
      </c>
      <c r="O43">
        <v>6</v>
      </c>
      <c r="P43">
        <f t="shared" si="1"/>
        <v>31</v>
      </c>
    </row>
    <row r="44" spans="6:16">
      <c r="F44" t="s">
        <v>11141</v>
      </c>
      <c r="G44" t="s">
        <v>1065</v>
      </c>
      <c r="H44">
        <v>8</v>
      </c>
      <c r="I44">
        <v>0</v>
      </c>
      <c r="J44">
        <v>0</v>
      </c>
      <c r="K44">
        <v>0</v>
      </c>
      <c r="L44" s="61" t="s">
        <v>4779</v>
      </c>
      <c r="O44">
        <v>7</v>
      </c>
      <c r="P44">
        <f t="shared" si="1"/>
        <v>10</v>
      </c>
    </row>
    <row r="45" spans="6:16">
      <c r="F45" t="s">
        <v>11142</v>
      </c>
      <c r="G45" t="s">
        <v>1065</v>
      </c>
      <c r="H45">
        <v>7</v>
      </c>
      <c r="I45">
        <v>1</v>
      </c>
      <c r="J45">
        <v>0</v>
      </c>
      <c r="K45">
        <v>0</v>
      </c>
      <c r="L45" s="61" t="s">
        <v>4779</v>
      </c>
      <c r="O45">
        <v>8</v>
      </c>
      <c r="P45">
        <f>COUNTIF($H$3264:$H$3463,O45)</f>
        <v>2</v>
      </c>
    </row>
    <row r="46" spans="6:16">
      <c r="F46" t="s">
        <v>11143</v>
      </c>
      <c r="G46" t="s">
        <v>1065</v>
      </c>
      <c r="H46">
        <v>8</v>
      </c>
      <c r="I46">
        <v>0</v>
      </c>
      <c r="J46">
        <v>0</v>
      </c>
      <c r="K46">
        <v>0</v>
      </c>
      <c r="L46" s="61" t="s">
        <v>4779</v>
      </c>
    </row>
    <row r="47" spans="6:16">
      <c r="F47" t="s">
        <v>11144</v>
      </c>
      <c r="G47" t="s">
        <v>1065</v>
      </c>
      <c r="H47">
        <v>8</v>
      </c>
      <c r="I47">
        <v>0</v>
      </c>
      <c r="J47">
        <v>0</v>
      </c>
      <c r="K47">
        <v>0</v>
      </c>
      <c r="L47" s="61" t="s">
        <v>4779</v>
      </c>
    </row>
    <row r="48" spans="6:16">
      <c r="F48" t="s">
        <v>11145</v>
      </c>
      <c r="G48" t="s">
        <v>1065</v>
      </c>
      <c r="H48">
        <v>7</v>
      </c>
      <c r="I48">
        <v>1</v>
      </c>
      <c r="J48">
        <v>0</v>
      </c>
      <c r="K48">
        <v>0</v>
      </c>
      <c r="L48" s="61" t="s">
        <v>4779</v>
      </c>
    </row>
    <row r="49" spans="6:12">
      <c r="F49" t="s">
        <v>11146</v>
      </c>
      <c r="G49" t="s">
        <v>1065</v>
      </c>
      <c r="H49">
        <v>7</v>
      </c>
      <c r="I49">
        <v>1</v>
      </c>
      <c r="J49">
        <v>0</v>
      </c>
      <c r="K49">
        <v>0</v>
      </c>
      <c r="L49" s="61" t="s">
        <v>4779</v>
      </c>
    </row>
    <row r="50" spans="6:12">
      <c r="F50" t="s">
        <v>11147</v>
      </c>
      <c r="G50" t="s">
        <v>1065</v>
      </c>
      <c r="H50">
        <v>6</v>
      </c>
      <c r="I50">
        <v>2</v>
      </c>
      <c r="J50">
        <v>0</v>
      </c>
      <c r="K50">
        <v>0</v>
      </c>
      <c r="L50" s="61" t="s">
        <v>4779</v>
      </c>
    </row>
    <row r="51" spans="6:12">
      <c r="F51" t="s">
        <v>11148</v>
      </c>
      <c r="G51" t="s">
        <v>1065</v>
      </c>
      <c r="H51">
        <v>7</v>
      </c>
      <c r="I51">
        <v>1</v>
      </c>
      <c r="J51">
        <v>0</v>
      </c>
      <c r="K51">
        <v>0</v>
      </c>
      <c r="L51" s="61" t="s">
        <v>4779</v>
      </c>
    </row>
    <row r="52" spans="6:12">
      <c r="F52" t="s">
        <v>11149</v>
      </c>
      <c r="G52" t="s">
        <v>1065</v>
      </c>
      <c r="H52">
        <v>8</v>
      </c>
      <c r="I52">
        <v>0</v>
      </c>
      <c r="J52">
        <v>0</v>
      </c>
      <c r="K52">
        <v>0</v>
      </c>
      <c r="L52" s="61" t="s">
        <v>4779</v>
      </c>
    </row>
    <row r="53" spans="6:12">
      <c r="F53" t="s">
        <v>11150</v>
      </c>
      <c r="G53" t="s">
        <v>1065</v>
      </c>
      <c r="H53">
        <v>8</v>
      </c>
      <c r="I53">
        <v>0</v>
      </c>
      <c r="J53">
        <v>0</v>
      </c>
      <c r="K53">
        <v>0</v>
      </c>
      <c r="L53" s="61" t="s">
        <v>4779</v>
      </c>
    </row>
    <row r="54" spans="6:12">
      <c r="F54" t="s">
        <v>11151</v>
      </c>
      <c r="G54" t="s">
        <v>1065</v>
      </c>
      <c r="H54">
        <v>8</v>
      </c>
      <c r="I54">
        <v>0</v>
      </c>
      <c r="J54">
        <v>0</v>
      </c>
      <c r="K54">
        <v>0</v>
      </c>
      <c r="L54" s="61" t="s">
        <v>4779</v>
      </c>
    </row>
    <row r="55" spans="6:12">
      <c r="F55" t="s">
        <v>11152</v>
      </c>
      <c r="G55" t="s">
        <v>1065</v>
      </c>
      <c r="H55">
        <v>6</v>
      </c>
      <c r="I55">
        <v>2</v>
      </c>
      <c r="J55">
        <v>0</v>
      </c>
      <c r="K55">
        <v>0</v>
      </c>
      <c r="L55" s="61" t="s">
        <v>4779</v>
      </c>
    </row>
    <row r="56" spans="6:12">
      <c r="F56" t="s">
        <v>11153</v>
      </c>
      <c r="G56" t="s">
        <v>1065</v>
      </c>
      <c r="H56">
        <v>8</v>
      </c>
      <c r="I56">
        <v>0</v>
      </c>
      <c r="J56">
        <v>0</v>
      </c>
      <c r="K56">
        <v>0</v>
      </c>
      <c r="L56" s="61" t="s">
        <v>4779</v>
      </c>
    </row>
    <row r="57" spans="6:12">
      <c r="F57" t="s">
        <v>11154</v>
      </c>
      <c r="G57" t="s">
        <v>1065</v>
      </c>
      <c r="H57">
        <v>6</v>
      </c>
      <c r="I57">
        <v>2</v>
      </c>
      <c r="J57">
        <v>0</v>
      </c>
      <c r="K57">
        <v>0</v>
      </c>
      <c r="L57" s="61" t="s">
        <v>4779</v>
      </c>
    </row>
    <row r="58" spans="6:12">
      <c r="F58" t="s">
        <v>11155</v>
      </c>
      <c r="G58" t="s">
        <v>1065</v>
      </c>
      <c r="H58">
        <v>8</v>
      </c>
      <c r="I58">
        <v>0</v>
      </c>
      <c r="J58">
        <v>0</v>
      </c>
      <c r="K58">
        <v>0</v>
      </c>
      <c r="L58" s="61" t="s">
        <v>4779</v>
      </c>
    </row>
    <row r="59" spans="6:12">
      <c r="F59" t="s">
        <v>11156</v>
      </c>
      <c r="G59" t="s">
        <v>1065</v>
      </c>
      <c r="H59">
        <v>8</v>
      </c>
      <c r="I59">
        <v>0</v>
      </c>
      <c r="J59">
        <v>0</v>
      </c>
      <c r="K59">
        <v>0</v>
      </c>
      <c r="L59" s="61" t="s">
        <v>4779</v>
      </c>
    </row>
    <row r="60" spans="6:12">
      <c r="F60" t="s">
        <v>10906</v>
      </c>
      <c r="G60" t="s">
        <v>1065</v>
      </c>
      <c r="H60">
        <v>6</v>
      </c>
      <c r="I60">
        <v>2</v>
      </c>
      <c r="J60">
        <v>0</v>
      </c>
      <c r="K60">
        <v>0</v>
      </c>
      <c r="L60" s="61" t="s">
        <v>4779</v>
      </c>
    </row>
    <row r="61" spans="6:12">
      <c r="F61" t="s">
        <v>11157</v>
      </c>
      <c r="G61" t="s">
        <v>1065</v>
      </c>
      <c r="H61">
        <v>8</v>
      </c>
      <c r="I61">
        <v>0</v>
      </c>
      <c r="J61">
        <v>0</v>
      </c>
      <c r="K61">
        <v>0</v>
      </c>
      <c r="L61" s="61" t="s">
        <v>4779</v>
      </c>
    </row>
    <row r="62" spans="6:12">
      <c r="F62" t="s">
        <v>11158</v>
      </c>
      <c r="G62" t="s">
        <v>1065</v>
      </c>
      <c r="H62">
        <v>7</v>
      </c>
      <c r="I62">
        <v>1</v>
      </c>
      <c r="J62">
        <v>0</v>
      </c>
      <c r="K62">
        <v>0</v>
      </c>
      <c r="L62" s="61" t="s">
        <v>4779</v>
      </c>
    </row>
    <row r="63" spans="6:12">
      <c r="F63" t="s">
        <v>11159</v>
      </c>
      <c r="G63" t="s">
        <v>1065</v>
      </c>
      <c r="H63">
        <v>6</v>
      </c>
      <c r="I63">
        <v>2</v>
      </c>
      <c r="J63">
        <v>0</v>
      </c>
      <c r="K63">
        <v>0</v>
      </c>
      <c r="L63" s="61" t="s">
        <v>4779</v>
      </c>
    </row>
    <row r="64" spans="6:12">
      <c r="F64" t="s">
        <v>11160</v>
      </c>
      <c r="G64" t="s">
        <v>1065</v>
      </c>
      <c r="H64">
        <v>8</v>
      </c>
      <c r="I64">
        <v>0</v>
      </c>
      <c r="J64">
        <v>0</v>
      </c>
      <c r="K64">
        <v>0</v>
      </c>
      <c r="L64" s="61" t="s">
        <v>4779</v>
      </c>
    </row>
    <row r="65" spans="6:12">
      <c r="F65" t="s">
        <v>11161</v>
      </c>
      <c r="G65" t="s">
        <v>1065</v>
      </c>
      <c r="H65">
        <v>8</v>
      </c>
      <c r="I65">
        <v>0</v>
      </c>
      <c r="J65">
        <v>0</v>
      </c>
      <c r="K65">
        <v>0</v>
      </c>
      <c r="L65" s="61" t="s">
        <v>4779</v>
      </c>
    </row>
    <row r="66" spans="6:12">
      <c r="F66" t="s">
        <v>11162</v>
      </c>
      <c r="G66" t="s">
        <v>1065</v>
      </c>
      <c r="H66">
        <v>8</v>
      </c>
      <c r="I66">
        <v>0</v>
      </c>
      <c r="J66">
        <v>0</v>
      </c>
      <c r="K66">
        <v>0</v>
      </c>
      <c r="L66" s="61" t="s">
        <v>4779</v>
      </c>
    </row>
    <row r="67" spans="6:12">
      <c r="F67" t="s">
        <v>11163</v>
      </c>
      <c r="G67" t="s">
        <v>1065</v>
      </c>
      <c r="H67">
        <v>8</v>
      </c>
      <c r="I67">
        <v>0</v>
      </c>
      <c r="J67">
        <v>0</v>
      </c>
      <c r="K67">
        <v>0</v>
      </c>
      <c r="L67" s="61" t="s">
        <v>4779</v>
      </c>
    </row>
    <row r="68" spans="6:12">
      <c r="F68" t="s">
        <v>11164</v>
      </c>
      <c r="G68" t="s">
        <v>1065</v>
      </c>
      <c r="H68">
        <v>8</v>
      </c>
      <c r="I68">
        <v>0</v>
      </c>
      <c r="J68">
        <v>0</v>
      </c>
      <c r="K68">
        <v>0</v>
      </c>
      <c r="L68" s="61" t="s">
        <v>4779</v>
      </c>
    </row>
    <row r="69" spans="6:12">
      <c r="F69" t="s">
        <v>11165</v>
      </c>
      <c r="G69" t="s">
        <v>1065</v>
      </c>
      <c r="H69">
        <v>7</v>
      </c>
      <c r="I69">
        <v>1</v>
      </c>
      <c r="J69">
        <v>0</v>
      </c>
      <c r="K69">
        <v>0</v>
      </c>
      <c r="L69" s="61" t="s">
        <v>4779</v>
      </c>
    </row>
    <row r="70" spans="6:12">
      <c r="F70" t="s">
        <v>11166</v>
      </c>
      <c r="G70" t="s">
        <v>1065</v>
      </c>
      <c r="H70">
        <v>6</v>
      </c>
      <c r="I70">
        <v>2</v>
      </c>
      <c r="J70">
        <v>0</v>
      </c>
      <c r="K70">
        <v>0</v>
      </c>
      <c r="L70" s="61" t="s">
        <v>4779</v>
      </c>
    </row>
    <row r="71" spans="6:12">
      <c r="F71" t="s">
        <v>11167</v>
      </c>
      <c r="G71" t="s">
        <v>1065</v>
      </c>
      <c r="H71">
        <v>7</v>
      </c>
      <c r="I71">
        <v>1</v>
      </c>
      <c r="J71">
        <v>0</v>
      </c>
      <c r="K71">
        <v>0</v>
      </c>
      <c r="L71" s="61" t="s">
        <v>4779</v>
      </c>
    </row>
    <row r="72" spans="6:12">
      <c r="F72" t="s">
        <v>11168</v>
      </c>
      <c r="G72" t="s">
        <v>1065</v>
      </c>
      <c r="H72">
        <v>7</v>
      </c>
      <c r="I72">
        <v>1</v>
      </c>
      <c r="J72">
        <v>0</v>
      </c>
      <c r="K72">
        <v>0</v>
      </c>
      <c r="L72" s="61" t="s">
        <v>4779</v>
      </c>
    </row>
    <row r="73" spans="6:12">
      <c r="F73" t="s">
        <v>11169</v>
      </c>
      <c r="G73" t="s">
        <v>1065</v>
      </c>
      <c r="H73">
        <v>7</v>
      </c>
      <c r="I73">
        <v>1</v>
      </c>
      <c r="J73">
        <v>0</v>
      </c>
      <c r="K73">
        <v>0</v>
      </c>
      <c r="L73" s="61" t="s">
        <v>4779</v>
      </c>
    </row>
    <row r="74" spans="6:12">
      <c r="F74" t="s">
        <v>11170</v>
      </c>
      <c r="G74" t="s">
        <v>1065</v>
      </c>
      <c r="H74">
        <v>8</v>
      </c>
      <c r="I74">
        <v>0</v>
      </c>
      <c r="J74">
        <v>0</v>
      </c>
      <c r="K74">
        <v>0</v>
      </c>
      <c r="L74" s="61" t="s">
        <v>4779</v>
      </c>
    </row>
    <row r="75" spans="6:12">
      <c r="F75" t="s">
        <v>11171</v>
      </c>
      <c r="G75" t="s">
        <v>1065</v>
      </c>
      <c r="H75">
        <v>6</v>
      </c>
      <c r="I75">
        <v>2</v>
      </c>
      <c r="J75">
        <v>0</v>
      </c>
      <c r="K75">
        <v>0</v>
      </c>
      <c r="L75" s="61" t="s">
        <v>4779</v>
      </c>
    </row>
    <row r="76" spans="6:12">
      <c r="F76" t="s">
        <v>11172</v>
      </c>
      <c r="G76" t="s">
        <v>1065</v>
      </c>
      <c r="H76">
        <v>6</v>
      </c>
      <c r="I76">
        <v>2</v>
      </c>
      <c r="J76">
        <v>0</v>
      </c>
      <c r="K76">
        <v>0</v>
      </c>
      <c r="L76" s="61" t="s">
        <v>4779</v>
      </c>
    </row>
    <row r="77" spans="6:12">
      <c r="F77" t="s">
        <v>11173</v>
      </c>
      <c r="G77" t="s">
        <v>1065</v>
      </c>
      <c r="H77">
        <v>6</v>
      </c>
      <c r="I77">
        <v>2</v>
      </c>
      <c r="J77">
        <v>0</v>
      </c>
      <c r="K77">
        <v>0</v>
      </c>
      <c r="L77" s="61" t="s">
        <v>4779</v>
      </c>
    </row>
    <row r="78" spans="6:12">
      <c r="F78" t="s">
        <v>11174</v>
      </c>
      <c r="G78" t="s">
        <v>1065</v>
      </c>
      <c r="H78">
        <v>8</v>
      </c>
      <c r="I78">
        <v>0</v>
      </c>
      <c r="J78">
        <v>0</v>
      </c>
      <c r="K78">
        <v>0</v>
      </c>
      <c r="L78" s="61" t="s">
        <v>4779</v>
      </c>
    </row>
    <row r="79" spans="6:12">
      <c r="F79" t="s">
        <v>11175</v>
      </c>
      <c r="G79" t="s">
        <v>1065</v>
      </c>
      <c r="H79">
        <v>8</v>
      </c>
      <c r="I79">
        <v>0</v>
      </c>
      <c r="J79">
        <v>0</v>
      </c>
      <c r="K79">
        <v>0</v>
      </c>
      <c r="L79" s="61" t="s">
        <v>4779</v>
      </c>
    </row>
    <row r="80" spans="6:12">
      <c r="F80" t="s">
        <v>11176</v>
      </c>
      <c r="G80" t="s">
        <v>1065</v>
      </c>
      <c r="H80">
        <v>7</v>
      </c>
      <c r="I80">
        <v>1</v>
      </c>
      <c r="J80">
        <v>0</v>
      </c>
      <c r="K80">
        <v>0</v>
      </c>
      <c r="L80" s="61" t="s">
        <v>4779</v>
      </c>
    </row>
    <row r="81" spans="6:12">
      <c r="F81" t="s">
        <v>11177</v>
      </c>
      <c r="G81" t="s">
        <v>1065</v>
      </c>
      <c r="H81">
        <v>7</v>
      </c>
      <c r="I81">
        <v>1</v>
      </c>
      <c r="J81">
        <v>0</v>
      </c>
      <c r="K81">
        <v>0</v>
      </c>
      <c r="L81" s="61" t="s">
        <v>4779</v>
      </c>
    </row>
    <row r="82" spans="6:12">
      <c r="F82" t="s">
        <v>11178</v>
      </c>
      <c r="G82" t="s">
        <v>1065</v>
      </c>
      <c r="H82">
        <v>8</v>
      </c>
      <c r="I82">
        <v>0</v>
      </c>
      <c r="J82">
        <v>0</v>
      </c>
      <c r="K82">
        <v>0</v>
      </c>
      <c r="L82" s="61" t="s">
        <v>4779</v>
      </c>
    </row>
    <row r="83" spans="6:12">
      <c r="F83" t="s">
        <v>11179</v>
      </c>
      <c r="G83" t="s">
        <v>1065</v>
      </c>
      <c r="H83">
        <v>6</v>
      </c>
      <c r="I83">
        <v>2</v>
      </c>
      <c r="J83">
        <v>0</v>
      </c>
      <c r="K83">
        <v>0</v>
      </c>
      <c r="L83" s="61" t="s">
        <v>4779</v>
      </c>
    </row>
    <row r="84" spans="6:12">
      <c r="F84" t="s">
        <v>11180</v>
      </c>
      <c r="G84" t="s">
        <v>1065</v>
      </c>
      <c r="H84">
        <v>6</v>
      </c>
      <c r="I84">
        <v>2</v>
      </c>
      <c r="J84">
        <v>0</v>
      </c>
      <c r="K84">
        <v>0</v>
      </c>
      <c r="L84" s="61" t="s">
        <v>4779</v>
      </c>
    </row>
    <row r="85" spans="6:12">
      <c r="F85" t="s">
        <v>11181</v>
      </c>
      <c r="G85" t="s">
        <v>1065</v>
      </c>
      <c r="H85">
        <v>8</v>
      </c>
      <c r="I85">
        <v>0</v>
      </c>
      <c r="J85">
        <v>0</v>
      </c>
      <c r="K85">
        <v>0</v>
      </c>
      <c r="L85" s="61" t="s">
        <v>4779</v>
      </c>
    </row>
    <row r="86" spans="6:12">
      <c r="F86" t="s">
        <v>11182</v>
      </c>
      <c r="G86" t="s">
        <v>1065</v>
      </c>
      <c r="H86">
        <v>8</v>
      </c>
      <c r="I86">
        <v>0</v>
      </c>
      <c r="J86">
        <v>0</v>
      </c>
      <c r="K86">
        <v>0</v>
      </c>
      <c r="L86" s="61" t="s">
        <v>4779</v>
      </c>
    </row>
    <row r="87" spans="6:12">
      <c r="F87" t="s">
        <v>11183</v>
      </c>
      <c r="G87" t="s">
        <v>1065</v>
      </c>
      <c r="H87">
        <v>8</v>
      </c>
      <c r="I87">
        <v>0</v>
      </c>
      <c r="J87">
        <v>0</v>
      </c>
      <c r="K87">
        <v>0</v>
      </c>
      <c r="L87" s="61" t="s">
        <v>4779</v>
      </c>
    </row>
    <row r="88" spans="6:12">
      <c r="F88" t="s">
        <v>11184</v>
      </c>
      <c r="G88" t="s">
        <v>1065</v>
      </c>
      <c r="H88">
        <v>7</v>
      </c>
      <c r="I88">
        <v>1</v>
      </c>
      <c r="J88">
        <v>0</v>
      </c>
      <c r="K88">
        <v>0</v>
      </c>
      <c r="L88" s="61" t="s">
        <v>4779</v>
      </c>
    </row>
    <row r="89" spans="6:12">
      <c r="F89" t="s">
        <v>11185</v>
      </c>
      <c r="G89" t="s">
        <v>1065</v>
      </c>
      <c r="H89">
        <v>7</v>
      </c>
      <c r="I89">
        <v>1</v>
      </c>
      <c r="J89">
        <v>0</v>
      </c>
      <c r="K89">
        <v>0</v>
      </c>
      <c r="L89" s="61" t="s">
        <v>4779</v>
      </c>
    </row>
    <row r="90" spans="6:12">
      <c r="F90" t="s">
        <v>11186</v>
      </c>
      <c r="G90" t="s">
        <v>1065</v>
      </c>
      <c r="H90">
        <v>7</v>
      </c>
      <c r="I90">
        <v>1</v>
      </c>
      <c r="J90">
        <v>0</v>
      </c>
      <c r="K90">
        <v>0</v>
      </c>
      <c r="L90" s="61" t="s">
        <v>4779</v>
      </c>
    </row>
    <row r="91" spans="6:12">
      <c r="F91" t="s">
        <v>11187</v>
      </c>
      <c r="G91" t="s">
        <v>1065</v>
      </c>
      <c r="H91">
        <v>7</v>
      </c>
      <c r="I91">
        <v>1</v>
      </c>
      <c r="J91">
        <v>0</v>
      </c>
      <c r="K91">
        <v>0</v>
      </c>
      <c r="L91" s="61" t="s">
        <v>4779</v>
      </c>
    </row>
    <row r="92" spans="6:12">
      <c r="F92" t="s">
        <v>11188</v>
      </c>
      <c r="G92" t="s">
        <v>1065</v>
      </c>
      <c r="H92">
        <v>8</v>
      </c>
      <c r="I92">
        <v>0</v>
      </c>
      <c r="J92">
        <v>0</v>
      </c>
      <c r="K92">
        <v>0</v>
      </c>
      <c r="L92" s="61" t="s">
        <v>4779</v>
      </c>
    </row>
    <row r="93" spans="6:12">
      <c r="F93" t="s">
        <v>11189</v>
      </c>
      <c r="G93" t="s">
        <v>1065</v>
      </c>
      <c r="H93">
        <v>8</v>
      </c>
      <c r="I93">
        <v>0</v>
      </c>
      <c r="J93">
        <v>0</v>
      </c>
      <c r="K93">
        <v>0</v>
      </c>
      <c r="L93" s="61" t="s">
        <v>4779</v>
      </c>
    </row>
    <row r="94" spans="6:12">
      <c r="F94" t="s">
        <v>11190</v>
      </c>
      <c r="G94" t="s">
        <v>1065</v>
      </c>
      <c r="H94">
        <v>6</v>
      </c>
      <c r="I94">
        <v>2</v>
      </c>
      <c r="J94">
        <v>0</v>
      </c>
      <c r="K94">
        <v>0</v>
      </c>
      <c r="L94" s="61" t="s">
        <v>4779</v>
      </c>
    </row>
    <row r="95" spans="6:12">
      <c r="F95" t="s">
        <v>11191</v>
      </c>
      <c r="G95" t="s">
        <v>1065</v>
      </c>
      <c r="H95">
        <v>6</v>
      </c>
      <c r="I95">
        <v>2</v>
      </c>
      <c r="J95">
        <v>0</v>
      </c>
      <c r="K95">
        <v>0</v>
      </c>
      <c r="L95" s="61" t="s">
        <v>4779</v>
      </c>
    </row>
    <row r="96" spans="6:12">
      <c r="F96" t="s">
        <v>11192</v>
      </c>
      <c r="G96" t="s">
        <v>1065</v>
      </c>
      <c r="H96">
        <v>8</v>
      </c>
      <c r="I96">
        <v>0</v>
      </c>
      <c r="J96">
        <v>0</v>
      </c>
      <c r="K96">
        <v>0</v>
      </c>
      <c r="L96" s="61" t="s">
        <v>4779</v>
      </c>
    </row>
    <row r="97" spans="6:12">
      <c r="F97" t="s">
        <v>11193</v>
      </c>
      <c r="G97" t="s">
        <v>1065</v>
      </c>
      <c r="H97">
        <v>6</v>
      </c>
      <c r="I97">
        <v>2</v>
      </c>
      <c r="J97">
        <v>0</v>
      </c>
      <c r="K97">
        <v>0</v>
      </c>
      <c r="L97" s="61" t="s">
        <v>4779</v>
      </c>
    </row>
    <row r="98" spans="6:12">
      <c r="F98" t="s">
        <v>5195</v>
      </c>
      <c r="G98" t="s">
        <v>1065</v>
      </c>
      <c r="H98">
        <v>8</v>
      </c>
      <c r="I98">
        <v>0</v>
      </c>
      <c r="J98">
        <v>0</v>
      </c>
      <c r="K98">
        <v>0</v>
      </c>
      <c r="L98" s="61" t="s">
        <v>4779</v>
      </c>
    </row>
    <row r="99" spans="6:12">
      <c r="F99" t="s">
        <v>11194</v>
      </c>
      <c r="G99" t="s">
        <v>1065</v>
      </c>
      <c r="H99">
        <v>7</v>
      </c>
      <c r="I99">
        <v>1</v>
      </c>
      <c r="J99">
        <v>0</v>
      </c>
      <c r="K99">
        <v>0</v>
      </c>
      <c r="L99" s="61" t="s">
        <v>4779</v>
      </c>
    </row>
    <row r="100" spans="6:12">
      <c r="F100" t="s">
        <v>11195</v>
      </c>
      <c r="G100" t="s">
        <v>1065</v>
      </c>
      <c r="H100">
        <v>6</v>
      </c>
      <c r="I100">
        <v>2</v>
      </c>
      <c r="J100">
        <v>0</v>
      </c>
      <c r="K100">
        <v>0</v>
      </c>
      <c r="L100" s="61" t="s">
        <v>4779</v>
      </c>
    </row>
    <row r="101" spans="6:12">
      <c r="F101" t="s">
        <v>11196</v>
      </c>
      <c r="G101" t="s">
        <v>1065</v>
      </c>
      <c r="H101">
        <v>7</v>
      </c>
      <c r="I101">
        <v>1</v>
      </c>
      <c r="J101">
        <v>0</v>
      </c>
      <c r="K101">
        <v>0</v>
      </c>
      <c r="L101" s="61" t="s">
        <v>4779</v>
      </c>
    </row>
    <row r="102" spans="6:12">
      <c r="F102" t="s">
        <v>11197</v>
      </c>
      <c r="G102" t="s">
        <v>1065</v>
      </c>
      <c r="H102">
        <v>8</v>
      </c>
      <c r="I102">
        <v>0</v>
      </c>
      <c r="J102">
        <v>0</v>
      </c>
      <c r="K102">
        <v>0</v>
      </c>
      <c r="L102" s="61" t="s">
        <v>4779</v>
      </c>
    </row>
    <row r="103" spans="6:12">
      <c r="F103" t="s">
        <v>11198</v>
      </c>
      <c r="G103" t="s">
        <v>1065</v>
      </c>
      <c r="H103">
        <v>8</v>
      </c>
      <c r="I103">
        <v>0</v>
      </c>
      <c r="J103">
        <v>0</v>
      </c>
      <c r="K103">
        <v>0</v>
      </c>
      <c r="L103" s="61" t="s">
        <v>4779</v>
      </c>
    </row>
    <row r="104" spans="6:12">
      <c r="F104" t="s">
        <v>11199</v>
      </c>
      <c r="G104" t="s">
        <v>1065</v>
      </c>
      <c r="H104">
        <v>8</v>
      </c>
      <c r="I104">
        <v>0</v>
      </c>
      <c r="J104">
        <v>0</v>
      </c>
      <c r="K104">
        <v>0</v>
      </c>
      <c r="L104" s="61" t="s">
        <v>4779</v>
      </c>
    </row>
    <row r="105" spans="6:12">
      <c r="F105" t="s">
        <v>11200</v>
      </c>
      <c r="G105" t="s">
        <v>1065</v>
      </c>
      <c r="H105">
        <v>8</v>
      </c>
      <c r="I105">
        <v>0</v>
      </c>
      <c r="J105">
        <v>0</v>
      </c>
      <c r="K105">
        <v>0</v>
      </c>
      <c r="L105" s="61" t="s">
        <v>4779</v>
      </c>
    </row>
    <row r="106" spans="6:12">
      <c r="F106" t="s">
        <v>11201</v>
      </c>
      <c r="G106" t="s">
        <v>1065</v>
      </c>
      <c r="H106">
        <v>6</v>
      </c>
      <c r="I106">
        <v>2</v>
      </c>
      <c r="J106">
        <v>0</v>
      </c>
      <c r="K106">
        <v>0</v>
      </c>
      <c r="L106" s="61" t="s">
        <v>4779</v>
      </c>
    </row>
    <row r="107" spans="6:12">
      <c r="F107" t="s">
        <v>11202</v>
      </c>
      <c r="G107" t="s">
        <v>1065</v>
      </c>
      <c r="H107">
        <v>8</v>
      </c>
      <c r="I107">
        <v>0</v>
      </c>
      <c r="J107">
        <v>0</v>
      </c>
      <c r="K107">
        <v>0</v>
      </c>
      <c r="L107" s="61" t="s">
        <v>4779</v>
      </c>
    </row>
    <row r="108" spans="6:12">
      <c r="F108" t="s">
        <v>11203</v>
      </c>
      <c r="G108" t="s">
        <v>1065</v>
      </c>
      <c r="H108">
        <v>8</v>
      </c>
      <c r="I108">
        <v>0</v>
      </c>
      <c r="J108">
        <v>0</v>
      </c>
      <c r="K108">
        <v>0</v>
      </c>
      <c r="L108" s="61" t="s">
        <v>4779</v>
      </c>
    </row>
    <row r="109" spans="6:12">
      <c r="F109" t="s">
        <v>11204</v>
      </c>
      <c r="G109" t="s">
        <v>1065</v>
      </c>
      <c r="H109">
        <v>8</v>
      </c>
      <c r="I109">
        <v>0</v>
      </c>
      <c r="J109">
        <v>0</v>
      </c>
      <c r="K109">
        <v>0</v>
      </c>
      <c r="L109" s="61" t="s">
        <v>4779</v>
      </c>
    </row>
    <row r="110" spans="6:12">
      <c r="F110" t="s">
        <v>11205</v>
      </c>
      <c r="G110" t="s">
        <v>1065</v>
      </c>
      <c r="H110">
        <v>7</v>
      </c>
      <c r="I110">
        <v>1</v>
      </c>
      <c r="J110">
        <v>0</v>
      </c>
      <c r="K110">
        <v>0</v>
      </c>
      <c r="L110" s="61" t="s">
        <v>4779</v>
      </c>
    </row>
    <row r="111" spans="6:12">
      <c r="F111" t="s">
        <v>5966</v>
      </c>
      <c r="G111" t="s">
        <v>1065</v>
      </c>
      <c r="H111">
        <v>8</v>
      </c>
      <c r="I111">
        <v>0</v>
      </c>
      <c r="J111">
        <v>0</v>
      </c>
      <c r="K111">
        <v>0</v>
      </c>
      <c r="L111" s="61" t="s">
        <v>4779</v>
      </c>
    </row>
    <row r="112" spans="6:12">
      <c r="F112" t="s">
        <v>11206</v>
      </c>
      <c r="G112" t="s">
        <v>1065</v>
      </c>
      <c r="H112">
        <v>8</v>
      </c>
      <c r="I112">
        <v>0</v>
      </c>
      <c r="J112">
        <v>0</v>
      </c>
      <c r="K112">
        <v>0</v>
      </c>
      <c r="L112" s="61" t="s">
        <v>4779</v>
      </c>
    </row>
    <row r="113" spans="6:12">
      <c r="F113" t="s">
        <v>11207</v>
      </c>
      <c r="G113" t="s">
        <v>1065</v>
      </c>
      <c r="H113">
        <v>8</v>
      </c>
      <c r="I113">
        <v>0</v>
      </c>
      <c r="J113">
        <v>0</v>
      </c>
      <c r="K113">
        <v>0</v>
      </c>
      <c r="L113" s="61" t="s">
        <v>4779</v>
      </c>
    </row>
    <row r="114" spans="6:12">
      <c r="F114" t="s">
        <v>11208</v>
      </c>
      <c r="G114" t="s">
        <v>1065</v>
      </c>
      <c r="H114">
        <v>7</v>
      </c>
      <c r="I114">
        <v>1</v>
      </c>
      <c r="J114">
        <v>0</v>
      </c>
      <c r="K114">
        <v>0</v>
      </c>
      <c r="L114" s="61" t="s">
        <v>4779</v>
      </c>
    </row>
    <row r="115" spans="6:12">
      <c r="F115" t="s">
        <v>11209</v>
      </c>
      <c r="G115" t="s">
        <v>1065</v>
      </c>
      <c r="H115">
        <v>8</v>
      </c>
      <c r="I115">
        <v>0</v>
      </c>
      <c r="J115">
        <v>0</v>
      </c>
      <c r="K115">
        <v>0</v>
      </c>
      <c r="L115" s="61" t="s">
        <v>4779</v>
      </c>
    </row>
    <row r="116" spans="6:12">
      <c r="F116" t="s">
        <v>11210</v>
      </c>
      <c r="G116" t="s">
        <v>1065</v>
      </c>
      <c r="H116">
        <v>8</v>
      </c>
      <c r="I116">
        <v>0</v>
      </c>
      <c r="J116">
        <v>0</v>
      </c>
      <c r="K116">
        <v>0</v>
      </c>
      <c r="L116" s="61" t="s">
        <v>4779</v>
      </c>
    </row>
    <row r="117" spans="6:12">
      <c r="F117" t="s">
        <v>11211</v>
      </c>
      <c r="G117" t="s">
        <v>1065</v>
      </c>
      <c r="H117">
        <v>6</v>
      </c>
      <c r="I117">
        <v>2</v>
      </c>
      <c r="J117">
        <v>0</v>
      </c>
      <c r="K117">
        <v>0</v>
      </c>
      <c r="L117" s="61" t="s">
        <v>4779</v>
      </c>
    </row>
    <row r="118" spans="6:12">
      <c r="F118" t="s">
        <v>11212</v>
      </c>
      <c r="G118" t="s">
        <v>1065</v>
      </c>
      <c r="H118">
        <v>7</v>
      </c>
      <c r="I118">
        <v>1</v>
      </c>
      <c r="J118">
        <v>0</v>
      </c>
      <c r="K118">
        <v>0</v>
      </c>
      <c r="L118" s="61" t="s">
        <v>4779</v>
      </c>
    </row>
    <row r="119" spans="6:12">
      <c r="F119" t="s">
        <v>11213</v>
      </c>
      <c r="G119" t="s">
        <v>1065</v>
      </c>
      <c r="H119">
        <v>8</v>
      </c>
      <c r="I119">
        <v>0</v>
      </c>
      <c r="J119">
        <v>0</v>
      </c>
      <c r="K119">
        <v>0</v>
      </c>
      <c r="L119" s="61" t="s">
        <v>4779</v>
      </c>
    </row>
    <row r="120" spans="6:12">
      <c r="F120" t="s">
        <v>11214</v>
      </c>
      <c r="G120" t="s">
        <v>1065</v>
      </c>
      <c r="H120">
        <v>8</v>
      </c>
      <c r="I120">
        <v>0</v>
      </c>
      <c r="J120">
        <v>0</v>
      </c>
      <c r="K120">
        <v>0</v>
      </c>
      <c r="L120" s="61" t="s">
        <v>4779</v>
      </c>
    </row>
    <row r="121" spans="6:12">
      <c r="F121" t="s">
        <v>11215</v>
      </c>
      <c r="G121" t="s">
        <v>1065</v>
      </c>
      <c r="H121">
        <v>8</v>
      </c>
      <c r="I121">
        <v>0</v>
      </c>
      <c r="J121">
        <v>0</v>
      </c>
      <c r="K121">
        <v>0</v>
      </c>
      <c r="L121" s="61" t="s">
        <v>4779</v>
      </c>
    </row>
    <row r="122" spans="6:12">
      <c r="F122" t="s">
        <v>11216</v>
      </c>
      <c r="G122" t="s">
        <v>1065</v>
      </c>
      <c r="H122">
        <v>8</v>
      </c>
      <c r="I122">
        <v>0</v>
      </c>
      <c r="J122">
        <v>0</v>
      </c>
      <c r="K122">
        <v>0</v>
      </c>
      <c r="L122" s="61" t="s">
        <v>4779</v>
      </c>
    </row>
    <row r="123" spans="6:12">
      <c r="F123" t="s">
        <v>11217</v>
      </c>
      <c r="G123" t="s">
        <v>1065</v>
      </c>
      <c r="H123">
        <v>7</v>
      </c>
      <c r="I123">
        <v>1</v>
      </c>
      <c r="J123">
        <v>0</v>
      </c>
      <c r="K123">
        <v>0</v>
      </c>
      <c r="L123" s="61" t="s">
        <v>4779</v>
      </c>
    </row>
    <row r="124" spans="6:12">
      <c r="F124" t="s">
        <v>11218</v>
      </c>
      <c r="G124" t="s">
        <v>1065</v>
      </c>
      <c r="H124">
        <v>7</v>
      </c>
      <c r="I124">
        <v>1</v>
      </c>
      <c r="J124">
        <v>0</v>
      </c>
      <c r="K124">
        <v>0</v>
      </c>
      <c r="L124" s="61" t="s">
        <v>4779</v>
      </c>
    </row>
    <row r="125" spans="6:12">
      <c r="F125" t="s">
        <v>11219</v>
      </c>
      <c r="G125" t="s">
        <v>1065</v>
      </c>
      <c r="H125">
        <v>8</v>
      </c>
      <c r="I125">
        <v>0</v>
      </c>
      <c r="J125">
        <v>0</v>
      </c>
      <c r="K125">
        <v>0</v>
      </c>
      <c r="L125" s="61" t="s">
        <v>4779</v>
      </c>
    </row>
    <row r="126" spans="6:12">
      <c r="F126" t="s">
        <v>11220</v>
      </c>
      <c r="G126" t="s">
        <v>1065</v>
      </c>
      <c r="H126">
        <v>6</v>
      </c>
      <c r="I126">
        <v>2</v>
      </c>
      <c r="J126">
        <v>0</v>
      </c>
      <c r="K126">
        <v>0</v>
      </c>
      <c r="L126" s="61" t="s">
        <v>4779</v>
      </c>
    </row>
    <row r="127" spans="6:12">
      <c r="F127" t="s">
        <v>11221</v>
      </c>
      <c r="G127" t="s">
        <v>1065</v>
      </c>
      <c r="H127">
        <v>8</v>
      </c>
      <c r="I127">
        <v>0</v>
      </c>
      <c r="J127">
        <v>0</v>
      </c>
      <c r="K127">
        <v>0</v>
      </c>
      <c r="L127" s="61" t="s">
        <v>4779</v>
      </c>
    </row>
    <row r="128" spans="6:12">
      <c r="F128" t="s">
        <v>11222</v>
      </c>
      <c r="G128" t="s">
        <v>1065</v>
      </c>
      <c r="H128">
        <v>8</v>
      </c>
      <c r="I128">
        <v>0</v>
      </c>
      <c r="J128">
        <v>0</v>
      </c>
      <c r="K128">
        <v>0</v>
      </c>
      <c r="L128" s="61" t="s">
        <v>4779</v>
      </c>
    </row>
    <row r="129" spans="6:12">
      <c r="F129" t="s">
        <v>11223</v>
      </c>
      <c r="G129" t="s">
        <v>1065</v>
      </c>
      <c r="H129">
        <v>8</v>
      </c>
      <c r="I129">
        <v>0</v>
      </c>
      <c r="J129">
        <v>0</v>
      </c>
      <c r="K129">
        <v>0</v>
      </c>
      <c r="L129" s="61" t="s">
        <v>4779</v>
      </c>
    </row>
    <row r="130" spans="6:12">
      <c r="F130" t="s">
        <v>11224</v>
      </c>
      <c r="G130" t="s">
        <v>1065</v>
      </c>
      <c r="H130">
        <v>6</v>
      </c>
      <c r="I130">
        <v>2</v>
      </c>
      <c r="J130">
        <v>0</v>
      </c>
      <c r="K130">
        <v>0</v>
      </c>
      <c r="L130" s="61" t="s">
        <v>4779</v>
      </c>
    </row>
    <row r="131" spans="6:12">
      <c r="F131" t="s">
        <v>11225</v>
      </c>
      <c r="G131" t="s">
        <v>1065</v>
      </c>
      <c r="H131">
        <v>7</v>
      </c>
      <c r="I131">
        <v>1</v>
      </c>
      <c r="J131">
        <v>0</v>
      </c>
      <c r="K131">
        <v>0</v>
      </c>
      <c r="L131" s="61" t="s">
        <v>4779</v>
      </c>
    </row>
    <row r="132" spans="6:12">
      <c r="F132" t="s">
        <v>11226</v>
      </c>
      <c r="G132" t="s">
        <v>1065</v>
      </c>
      <c r="H132">
        <v>7</v>
      </c>
      <c r="I132">
        <v>1</v>
      </c>
      <c r="J132">
        <v>0</v>
      </c>
      <c r="K132">
        <v>0</v>
      </c>
      <c r="L132" s="61" t="s">
        <v>4779</v>
      </c>
    </row>
    <row r="133" spans="6:12">
      <c r="F133" t="s">
        <v>11227</v>
      </c>
      <c r="G133" t="s">
        <v>1065</v>
      </c>
      <c r="H133">
        <v>7</v>
      </c>
      <c r="I133">
        <v>1</v>
      </c>
      <c r="J133">
        <v>0</v>
      </c>
      <c r="K133">
        <v>0</v>
      </c>
      <c r="L133" s="61" t="s">
        <v>4779</v>
      </c>
    </row>
    <row r="134" spans="6:12">
      <c r="F134" t="s">
        <v>11228</v>
      </c>
      <c r="G134" t="s">
        <v>1065</v>
      </c>
      <c r="H134">
        <v>7</v>
      </c>
      <c r="I134">
        <v>1</v>
      </c>
      <c r="J134">
        <v>0</v>
      </c>
      <c r="K134">
        <v>0</v>
      </c>
      <c r="L134" s="61" t="s">
        <v>4779</v>
      </c>
    </row>
    <row r="135" spans="6:12">
      <c r="F135" t="s">
        <v>11229</v>
      </c>
      <c r="G135" t="s">
        <v>1065</v>
      </c>
      <c r="H135">
        <v>7</v>
      </c>
      <c r="I135">
        <v>1</v>
      </c>
      <c r="J135">
        <v>0</v>
      </c>
      <c r="K135">
        <v>0</v>
      </c>
      <c r="L135" s="61" t="s">
        <v>4779</v>
      </c>
    </row>
    <row r="136" spans="6:12">
      <c r="F136" t="s">
        <v>11230</v>
      </c>
      <c r="G136" t="s">
        <v>1065</v>
      </c>
      <c r="H136">
        <v>8</v>
      </c>
      <c r="I136">
        <v>0</v>
      </c>
      <c r="J136">
        <v>0</v>
      </c>
      <c r="K136">
        <v>0</v>
      </c>
      <c r="L136" s="61" t="s">
        <v>4779</v>
      </c>
    </row>
    <row r="137" spans="6:12">
      <c r="F137" t="s">
        <v>11231</v>
      </c>
      <c r="G137" t="s">
        <v>1065</v>
      </c>
      <c r="H137">
        <v>8</v>
      </c>
      <c r="I137">
        <v>0</v>
      </c>
      <c r="J137">
        <v>0</v>
      </c>
      <c r="K137">
        <v>0</v>
      </c>
      <c r="L137" s="61" t="s">
        <v>4779</v>
      </c>
    </row>
    <row r="138" spans="6:12">
      <c r="F138" t="s">
        <v>11232</v>
      </c>
      <c r="G138" t="s">
        <v>1065</v>
      </c>
      <c r="H138">
        <v>6</v>
      </c>
      <c r="I138">
        <v>2</v>
      </c>
      <c r="J138">
        <v>0</v>
      </c>
      <c r="K138">
        <v>0</v>
      </c>
      <c r="L138" s="61" t="s">
        <v>4779</v>
      </c>
    </row>
    <row r="139" spans="6:12">
      <c r="F139" t="s">
        <v>11233</v>
      </c>
      <c r="G139" t="s">
        <v>1065</v>
      </c>
      <c r="H139">
        <v>7</v>
      </c>
      <c r="I139">
        <v>1</v>
      </c>
      <c r="J139">
        <v>0</v>
      </c>
      <c r="K139">
        <v>0</v>
      </c>
      <c r="L139" s="61" t="s">
        <v>4779</v>
      </c>
    </row>
    <row r="140" spans="6:12">
      <c r="F140" t="s">
        <v>11234</v>
      </c>
      <c r="G140" t="s">
        <v>1065</v>
      </c>
      <c r="H140">
        <v>8</v>
      </c>
      <c r="I140">
        <v>0</v>
      </c>
      <c r="J140">
        <v>0</v>
      </c>
      <c r="K140">
        <v>0</v>
      </c>
      <c r="L140" s="61" t="s">
        <v>4779</v>
      </c>
    </row>
    <row r="141" spans="6:12">
      <c r="F141" t="s">
        <v>11235</v>
      </c>
      <c r="G141" t="s">
        <v>1065</v>
      </c>
      <c r="H141">
        <v>6</v>
      </c>
      <c r="I141">
        <v>2</v>
      </c>
      <c r="J141">
        <v>0</v>
      </c>
      <c r="K141">
        <v>0</v>
      </c>
      <c r="L141" s="61" t="s">
        <v>4779</v>
      </c>
    </row>
    <row r="142" spans="6:12">
      <c r="F142" t="s">
        <v>11236</v>
      </c>
      <c r="G142" t="s">
        <v>1065</v>
      </c>
      <c r="H142">
        <v>7</v>
      </c>
      <c r="I142">
        <v>1</v>
      </c>
      <c r="J142">
        <v>0</v>
      </c>
      <c r="K142">
        <v>0</v>
      </c>
      <c r="L142" s="61" t="s">
        <v>4779</v>
      </c>
    </row>
    <row r="143" spans="6:12">
      <c r="F143" t="s">
        <v>11237</v>
      </c>
      <c r="G143" t="s">
        <v>1065</v>
      </c>
      <c r="H143">
        <v>7</v>
      </c>
      <c r="I143">
        <v>1</v>
      </c>
      <c r="J143">
        <v>0</v>
      </c>
      <c r="K143">
        <v>0</v>
      </c>
      <c r="L143" s="61" t="s">
        <v>4779</v>
      </c>
    </row>
    <row r="144" spans="6:12">
      <c r="F144" t="s">
        <v>11238</v>
      </c>
      <c r="G144" t="s">
        <v>1065</v>
      </c>
      <c r="H144">
        <v>8</v>
      </c>
      <c r="I144">
        <v>0</v>
      </c>
      <c r="J144">
        <v>0</v>
      </c>
      <c r="K144">
        <v>0</v>
      </c>
      <c r="L144" s="61" t="s">
        <v>4779</v>
      </c>
    </row>
    <row r="145" spans="6:12">
      <c r="F145" t="s">
        <v>11239</v>
      </c>
      <c r="G145" t="s">
        <v>1065</v>
      </c>
      <c r="H145">
        <v>6</v>
      </c>
      <c r="I145">
        <v>2</v>
      </c>
      <c r="J145">
        <v>0</v>
      </c>
      <c r="K145">
        <v>0</v>
      </c>
      <c r="L145" s="61" t="s">
        <v>4779</v>
      </c>
    </row>
    <row r="146" spans="6:12">
      <c r="F146" t="s">
        <v>5399</v>
      </c>
      <c r="G146" t="s">
        <v>1065</v>
      </c>
      <c r="H146">
        <v>7</v>
      </c>
      <c r="I146">
        <v>1</v>
      </c>
      <c r="J146">
        <v>0</v>
      </c>
      <c r="K146">
        <v>0</v>
      </c>
      <c r="L146" s="61" t="s">
        <v>4779</v>
      </c>
    </row>
    <row r="147" spans="6:12">
      <c r="F147" t="s">
        <v>11240</v>
      </c>
      <c r="G147" t="s">
        <v>1065</v>
      </c>
      <c r="H147">
        <v>6</v>
      </c>
      <c r="I147">
        <v>2</v>
      </c>
      <c r="J147">
        <v>0</v>
      </c>
      <c r="K147">
        <v>0</v>
      </c>
      <c r="L147" s="61" t="s">
        <v>4779</v>
      </c>
    </row>
    <row r="148" spans="6:12">
      <c r="F148" t="s">
        <v>11241</v>
      </c>
      <c r="G148" t="s">
        <v>1065</v>
      </c>
      <c r="H148">
        <v>6</v>
      </c>
      <c r="I148">
        <v>2</v>
      </c>
      <c r="J148">
        <v>0</v>
      </c>
      <c r="K148">
        <v>0</v>
      </c>
      <c r="L148" s="61" t="s">
        <v>4779</v>
      </c>
    </row>
    <row r="149" spans="6:12">
      <c r="F149" t="s">
        <v>5451</v>
      </c>
      <c r="G149" t="s">
        <v>1065</v>
      </c>
      <c r="H149">
        <v>7</v>
      </c>
      <c r="I149">
        <v>1</v>
      </c>
      <c r="J149">
        <v>0</v>
      </c>
      <c r="K149">
        <v>0</v>
      </c>
      <c r="L149" s="61" t="s">
        <v>4779</v>
      </c>
    </row>
    <row r="150" spans="6:12">
      <c r="F150" t="s">
        <v>11242</v>
      </c>
      <c r="G150" t="s">
        <v>1065</v>
      </c>
      <c r="H150">
        <v>7</v>
      </c>
      <c r="I150">
        <v>1</v>
      </c>
      <c r="J150">
        <v>0</v>
      </c>
      <c r="K150">
        <v>0</v>
      </c>
      <c r="L150" s="61" t="s">
        <v>4779</v>
      </c>
    </row>
    <row r="151" spans="6:12">
      <c r="F151" t="s">
        <v>11243</v>
      </c>
      <c r="G151" t="s">
        <v>1065</v>
      </c>
      <c r="H151">
        <v>8</v>
      </c>
      <c r="I151">
        <v>0</v>
      </c>
      <c r="J151">
        <v>0</v>
      </c>
      <c r="K151">
        <v>0</v>
      </c>
      <c r="L151" s="61" t="s">
        <v>4779</v>
      </c>
    </row>
    <row r="152" spans="6:12">
      <c r="F152" t="s">
        <v>11244</v>
      </c>
      <c r="G152" t="s">
        <v>1065</v>
      </c>
      <c r="H152">
        <v>6</v>
      </c>
      <c r="I152">
        <v>2</v>
      </c>
      <c r="J152">
        <v>0</v>
      </c>
      <c r="K152">
        <v>0</v>
      </c>
      <c r="L152" s="61" t="s">
        <v>4779</v>
      </c>
    </row>
    <row r="153" spans="6:12">
      <c r="F153" t="s">
        <v>11245</v>
      </c>
      <c r="G153" t="s">
        <v>1065</v>
      </c>
      <c r="H153">
        <v>6</v>
      </c>
      <c r="I153">
        <v>2</v>
      </c>
      <c r="J153">
        <v>0</v>
      </c>
      <c r="K153">
        <v>0</v>
      </c>
      <c r="L153" s="61" t="s">
        <v>4779</v>
      </c>
    </row>
    <row r="154" spans="6:12">
      <c r="F154" t="s">
        <v>11246</v>
      </c>
      <c r="G154" t="s">
        <v>1065</v>
      </c>
      <c r="H154">
        <v>6</v>
      </c>
      <c r="I154">
        <v>2</v>
      </c>
      <c r="J154">
        <v>0</v>
      </c>
      <c r="K154">
        <v>0</v>
      </c>
      <c r="L154" s="61" t="s">
        <v>4779</v>
      </c>
    </row>
    <row r="155" spans="6:12">
      <c r="F155" t="s">
        <v>11247</v>
      </c>
      <c r="G155" t="s">
        <v>1065</v>
      </c>
      <c r="H155">
        <v>8</v>
      </c>
      <c r="I155">
        <v>0</v>
      </c>
      <c r="J155">
        <v>0</v>
      </c>
      <c r="K155">
        <v>0</v>
      </c>
      <c r="L155" s="61" t="s">
        <v>4779</v>
      </c>
    </row>
    <row r="156" spans="6:12">
      <c r="F156" t="s">
        <v>11248</v>
      </c>
      <c r="G156" t="s">
        <v>1065</v>
      </c>
      <c r="H156">
        <v>8</v>
      </c>
      <c r="I156">
        <v>0</v>
      </c>
      <c r="J156">
        <v>0</v>
      </c>
      <c r="K156">
        <v>0</v>
      </c>
      <c r="L156" s="61" t="s">
        <v>4779</v>
      </c>
    </row>
    <row r="157" spans="6:12">
      <c r="F157" t="s">
        <v>11249</v>
      </c>
      <c r="G157" t="s">
        <v>1065</v>
      </c>
      <c r="H157">
        <v>6</v>
      </c>
      <c r="I157">
        <v>2</v>
      </c>
      <c r="J157">
        <v>0</v>
      </c>
      <c r="K157">
        <v>0</v>
      </c>
      <c r="L157" s="61" t="s">
        <v>4779</v>
      </c>
    </row>
    <row r="158" spans="6:12">
      <c r="F158" t="s">
        <v>11250</v>
      </c>
      <c r="G158" t="s">
        <v>1065</v>
      </c>
      <c r="H158">
        <v>6</v>
      </c>
      <c r="I158">
        <v>2</v>
      </c>
      <c r="J158">
        <v>0</v>
      </c>
      <c r="K158">
        <v>0</v>
      </c>
      <c r="L158" s="61" t="s">
        <v>4779</v>
      </c>
    </row>
    <row r="159" spans="6:12">
      <c r="F159" t="s">
        <v>11251</v>
      </c>
      <c r="G159" t="s">
        <v>1065</v>
      </c>
      <c r="H159">
        <v>7</v>
      </c>
      <c r="I159">
        <v>1</v>
      </c>
      <c r="J159">
        <v>0</v>
      </c>
      <c r="K159">
        <v>0</v>
      </c>
      <c r="L159" s="61" t="s">
        <v>4779</v>
      </c>
    </row>
    <row r="160" spans="6:12">
      <c r="F160" t="s">
        <v>11252</v>
      </c>
      <c r="G160" t="s">
        <v>1065</v>
      </c>
      <c r="H160">
        <v>8</v>
      </c>
      <c r="I160">
        <v>0</v>
      </c>
      <c r="J160">
        <v>0</v>
      </c>
      <c r="K160">
        <v>0</v>
      </c>
      <c r="L160" s="61" t="s">
        <v>4779</v>
      </c>
    </row>
    <row r="161" spans="6:12">
      <c r="F161" t="s">
        <v>11253</v>
      </c>
      <c r="G161" t="s">
        <v>1065</v>
      </c>
      <c r="H161">
        <v>7</v>
      </c>
      <c r="I161">
        <v>1</v>
      </c>
      <c r="J161">
        <v>0</v>
      </c>
      <c r="K161">
        <v>0</v>
      </c>
      <c r="L161" s="61" t="s">
        <v>4779</v>
      </c>
    </row>
    <row r="162" spans="6:12">
      <c r="F162" t="s">
        <v>11254</v>
      </c>
      <c r="G162" t="s">
        <v>1065</v>
      </c>
      <c r="H162">
        <v>8</v>
      </c>
      <c r="I162">
        <v>0</v>
      </c>
      <c r="J162">
        <v>0</v>
      </c>
      <c r="K162">
        <v>0</v>
      </c>
      <c r="L162" s="61" t="s">
        <v>4779</v>
      </c>
    </row>
    <row r="163" spans="6:12">
      <c r="F163" t="s">
        <v>11255</v>
      </c>
      <c r="G163" t="s">
        <v>1065</v>
      </c>
      <c r="H163">
        <v>8</v>
      </c>
      <c r="I163">
        <v>0</v>
      </c>
      <c r="J163">
        <v>0</v>
      </c>
      <c r="K163">
        <v>0</v>
      </c>
      <c r="L163" s="61" t="s">
        <v>4779</v>
      </c>
    </row>
    <row r="164" spans="6:12">
      <c r="F164" t="s">
        <v>11256</v>
      </c>
      <c r="G164" t="s">
        <v>1065</v>
      </c>
      <c r="H164">
        <v>6</v>
      </c>
      <c r="I164">
        <v>2</v>
      </c>
      <c r="J164">
        <v>0</v>
      </c>
      <c r="K164">
        <v>0</v>
      </c>
      <c r="L164" s="61" t="s">
        <v>4779</v>
      </c>
    </row>
    <row r="165" spans="6:12">
      <c r="F165" t="s">
        <v>11257</v>
      </c>
      <c r="G165" t="s">
        <v>1065</v>
      </c>
      <c r="H165">
        <v>7</v>
      </c>
      <c r="I165">
        <v>1</v>
      </c>
      <c r="J165">
        <v>0</v>
      </c>
      <c r="K165">
        <v>0</v>
      </c>
      <c r="L165" s="61" t="s">
        <v>4779</v>
      </c>
    </row>
    <row r="166" spans="6:12">
      <c r="F166" t="s">
        <v>11258</v>
      </c>
      <c r="G166" t="s">
        <v>1065</v>
      </c>
      <c r="H166">
        <v>6</v>
      </c>
      <c r="I166">
        <v>2</v>
      </c>
      <c r="J166">
        <v>0</v>
      </c>
      <c r="K166">
        <v>0</v>
      </c>
      <c r="L166" s="61" t="s">
        <v>4779</v>
      </c>
    </row>
    <row r="167" spans="6:12">
      <c r="F167" t="s">
        <v>11259</v>
      </c>
      <c r="G167" t="s">
        <v>1065</v>
      </c>
      <c r="H167">
        <v>7</v>
      </c>
      <c r="I167">
        <v>1</v>
      </c>
      <c r="J167">
        <v>0</v>
      </c>
      <c r="K167">
        <v>0</v>
      </c>
      <c r="L167" s="61" t="s">
        <v>4779</v>
      </c>
    </row>
    <row r="168" spans="6:12">
      <c r="F168" t="s">
        <v>11260</v>
      </c>
      <c r="G168" t="s">
        <v>1065</v>
      </c>
      <c r="H168">
        <v>6</v>
      </c>
      <c r="I168">
        <v>2</v>
      </c>
      <c r="J168">
        <v>0</v>
      </c>
      <c r="K168">
        <v>0</v>
      </c>
      <c r="L168" s="61" t="s">
        <v>4779</v>
      </c>
    </row>
    <row r="169" spans="6:12">
      <c r="F169" t="s">
        <v>11261</v>
      </c>
      <c r="G169" t="s">
        <v>1065</v>
      </c>
      <c r="H169">
        <v>7</v>
      </c>
      <c r="I169">
        <v>1</v>
      </c>
      <c r="J169">
        <v>0</v>
      </c>
      <c r="K169">
        <v>0</v>
      </c>
      <c r="L169" s="61" t="s">
        <v>4779</v>
      </c>
    </row>
    <row r="170" spans="6:12">
      <c r="F170" t="s">
        <v>11262</v>
      </c>
      <c r="G170" t="s">
        <v>1065</v>
      </c>
      <c r="H170">
        <v>6</v>
      </c>
      <c r="I170">
        <v>2</v>
      </c>
      <c r="J170">
        <v>0</v>
      </c>
      <c r="K170">
        <v>0</v>
      </c>
      <c r="L170" s="61" t="s">
        <v>4779</v>
      </c>
    </row>
    <row r="171" spans="6:12">
      <c r="F171" t="s">
        <v>11263</v>
      </c>
      <c r="G171" t="s">
        <v>1065</v>
      </c>
      <c r="H171">
        <v>8</v>
      </c>
      <c r="I171">
        <v>0</v>
      </c>
      <c r="J171">
        <v>0</v>
      </c>
      <c r="K171">
        <v>0</v>
      </c>
      <c r="L171" s="61" t="s">
        <v>4779</v>
      </c>
    </row>
    <row r="172" spans="6:12">
      <c r="F172" t="s">
        <v>11264</v>
      </c>
      <c r="G172" t="s">
        <v>1065</v>
      </c>
      <c r="H172">
        <v>6</v>
      </c>
      <c r="I172">
        <v>2</v>
      </c>
      <c r="J172">
        <v>0</v>
      </c>
      <c r="K172">
        <v>0</v>
      </c>
      <c r="L172" s="61" t="s">
        <v>4779</v>
      </c>
    </row>
    <row r="173" spans="6:12">
      <c r="F173" t="s">
        <v>11265</v>
      </c>
      <c r="G173" t="s">
        <v>1065</v>
      </c>
      <c r="H173">
        <v>8</v>
      </c>
      <c r="I173">
        <v>0</v>
      </c>
      <c r="J173">
        <v>0</v>
      </c>
      <c r="K173">
        <v>0</v>
      </c>
      <c r="L173" s="61" t="s">
        <v>4779</v>
      </c>
    </row>
    <row r="174" spans="6:12">
      <c r="F174" t="s">
        <v>11266</v>
      </c>
      <c r="G174" t="s">
        <v>1065</v>
      </c>
      <c r="H174">
        <v>6</v>
      </c>
      <c r="I174">
        <v>2</v>
      </c>
      <c r="J174">
        <v>0</v>
      </c>
      <c r="K174">
        <v>0</v>
      </c>
      <c r="L174" s="61" t="s">
        <v>4779</v>
      </c>
    </row>
    <row r="175" spans="6:12">
      <c r="F175" t="s">
        <v>11267</v>
      </c>
      <c r="G175" t="s">
        <v>1065</v>
      </c>
      <c r="H175">
        <v>6</v>
      </c>
      <c r="I175">
        <v>2</v>
      </c>
      <c r="J175">
        <v>0</v>
      </c>
      <c r="K175">
        <v>0</v>
      </c>
      <c r="L175" s="61" t="s">
        <v>4779</v>
      </c>
    </row>
    <row r="176" spans="6:12">
      <c r="F176" t="s">
        <v>11268</v>
      </c>
      <c r="G176" t="s">
        <v>1065</v>
      </c>
      <c r="H176">
        <v>6</v>
      </c>
      <c r="I176">
        <v>2</v>
      </c>
      <c r="J176">
        <v>0</v>
      </c>
      <c r="K176">
        <v>0</v>
      </c>
      <c r="L176" s="61" t="s">
        <v>4779</v>
      </c>
    </row>
    <row r="177" spans="6:12">
      <c r="F177" t="s">
        <v>11269</v>
      </c>
      <c r="G177" t="s">
        <v>1065</v>
      </c>
      <c r="H177">
        <v>7</v>
      </c>
      <c r="I177">
        <v>1</v>
      </c>
      <c r="J177">
        <v>0</v>
      </c>
      <c r="K177">
        <v>0</v>
      </c>
      <c r="L177" s="61" t="s">
        <v>4779</v>
      </c>
    </row>
    <row r="178" spans="6:12">
      <c r="F178" t="s">
        <v>11270</v>
      </c>
      <c r="G178" t="s">
        <v>1065</v>
      </c>
      <c r="H178">
        <v>8</v>
      </c>
      <c r="I178">
        <v>0</v>
      </c>
      <c r="J178">
        <v>0</v>
      </c>
      <c r="K178">
        <v>0</v>
      </c>
      <c r="L178" s="61" t="s">
        <v>4779</v>
      </c>
    </row>
    <row r="179" spans="6:12">
      <c r="F179" t="s">
        <v>11271</v>
      </c>
      <c r="G179" t="s">
        <v>1065</v>
      </c>
      <c r="H179">
        <v>8</v>
      </c>
      <c r="I179">
        <v>0</v>
      </c>
      <c r="J179">
        <v>0</v>
      </c>
      <c r="K179">
        <v>0</v>
      </c>
      <c r="L179" s="61" t="s">
        <v>4779</v>
      </c>
    </row>
    <row r="180" spans="6:12">
      <c r="F180" t="s">
        <v>11272</v>
      </c>
      <c r="G180" t="s">
        <v>1065</v>
      </c>
      <c r="H180">
        <v>7</v>
      </c>
      <c r="I180">
        <v>1</v>
      </c>
      <c r="J180">
        <v>0</v>
      </c>
      <c r="K180">
        <v>0</v>
      </c>
      <c r="L180" s="61" t="s">
        <v>4779</v>
      </c>
    </row>
    <row r="181" spans="6:12">
      <c r="F181" t="s">
        <v>11273</v>
      </c>
      <c r="G181" t="s">
        <v>1065</v>
      </c>
      <c r="H181">
        <v>7</v>
      </c>
      <c r="I181">
        <v>1</v>
      </c>
      <c r="J181">
        <v>0</v>
      </c>
      <c r="K181">
        <v>0</v>
      </c>
      <c r="L181" s="61" t="s">
        <v>4779</v>
      </c>
    </row>
    <row r="182" spans="6:12">
      <c r="F182" t="s">
        <v>11274</v>
      </c>
      <c r="G182" t="s">
        <v>1065</v>
      </c>
      <c r="H182">
        <v>6</v>
      </c>
      <c r="I182">
        <v>2</v>
      </c>
      <c r="J182">
        <v>0</v>
      </c>
      <c r="K182">
        <v>0</v>
      </c>
      <c r="L182" s="61" t="s">
        <v>4779</v>
      </c>
    </row>
    <row r="183" spans="6:12">
      <c r="F183" t="s">
        <v>11275</v>
      </c>
      <c r="G183" t="s">
        <v>1065</v>
      </c>
      <c r="H183">
        <v>7</v>
      </c>
      <c r="I183">
        <v>1</v>
      </c>
      <c r="J183">
        <v>0</v>
      </c>
      <c r="K183">
        <v>0</v>
      </c>
      <c r="L183" s="61" t="s">
        <v>4779</v>
      </c>
    </row>
    <row r="184" spans="6:12">
      <c r="F184" t="s">
        <v>11276</v>
      </c>
      <c r="G184" t="s">
        <v>1065</v>
      </c>
      <c r="H184">
        <v>7</v>
      </c>
      <c r="I184">
        <v>1</v>
      </c>
      <c r="J184">
        <v>0</v>
      </c>
      <c r="K184">
        <v>0</v>
      </c>
      <c r="L184" s="61" t="s">
        <v>4779</v>
      </c>
    </row>
    <row r="185" spans="6:12">
      <c r="F185" t="s">
        <v>11277</v>
      </c>
      <c r="G185" t="s">
        <v>1065</v>
      </c>
      <c r="H185">
        <v>7</v>
      </c>
      <c r="I185">
        <v>1</v>
      </c>
      <c r="J185">
        <v>0</v>
      </c>
      <c r="K185">
        <v>0</v>
      </c>
      <c r="L185" s="61" t="s">
        <v>4779</v>
      </c>
    </row>
    <row r="186" spans="6:12">
      <c r="F186" t="s">
        <v>11278</v>
      </c>
      <c r="G186" t="s">
        <v>1065</v>
      </c>
      <c r="H186">
        <v>8</v>
      </c>
      <c r="I186">
        <v>0</v>
      </c>
      <c r="J186">
        <v>0</v>
      </c>
      <c r="K186">
        <v>0</v>
      </c>
      <c r="L186" s="61" t="s">
        <v>4779</v>
      </c>
    </row>
    <row r="187" spans="6:12">
      <c r="F187" t="s">
        <v>11279</v>
      </c>
      <c r="G187" t="s">
        <v>1065</v>
      </c>
      <c r="H187">
        <v>7</v>
      </c>
      <c r="I187">
        <v>1</v>
      </c>
      <c r="J187">
        <v>0</v>
      </c>
      <c r="K187">
        <v>0</v>
      </c>
      <c r="L187" s="61" t="s">
        <v>4779</v>
      </c>
    </row>
    <row r="188" spans="6:12">
      <c r="F188" t="s">
        <v>11280</v>
      </c>
      <c r="G188" t="s">
        <v>1065</v>
      </c>
      <c r="H188">
        <v>7</v>
      </c>
      <c r="I188">
        <v>1</v>
      </c>
      <c r="J188">
        <v>0</v>
      </c>
      <c r="K188">
        <v>0</v>
      </c>
      <c r="L188" s="61" t="s">
        <v>4779</v>
      </c>
    </row>
    <row r="189" spans="6:12">
      <c r="F189" t="s">
        <v>11281</v>
      </c>
      <c r="G189" t="s">
        <v>1065</v>
      </c>
      <c r="H189">
        <v>6</v>
      </c>
      <c r="I189">
        <v>2</v>
      </c>
      <c r="J189">
        <v>0</v>
      </c>
      <c r="K189">
        <v>0</v>
      </c>
      <c r="L189" s="61" t="s">
        <v>4779</v>
      </c>
    </row>
    <row r="190" spans="6:12">
      <c r="F190" t="s">
        <v>11282</v>
      </c>
      <c r="G190" t="s">
        <v>1065</v>
      </c>
      <c r="H190">
        <v>8</v>
      </c>
      <c r="I190">
        <v>0</v>
      </c>
      <c r="J190">
        <v>0</v>
      </c>
      <c r="K190">
        <v>0</v>
      </c>
      <c r="L190" s="61" t="s">
        <v>4779</v>
      </c>
    </row>
    <row r="191" spans="6:12">
      <c r="F191" t="s">
        <v>11283</v>
      </c>
      <c r="G191" t="s">
        <v>1065</v>
      </c>
      <c r="H191">
        <v>6</v>
      </c>
      <c r="I191">
        <v>2</v>
      </c>
      <c r="J191">
        <v>0</v>
      </c>
      <c r="K191">
        <v>0</v>
      </c>
      <c r="L191" s="61" t="s">
        <v>4779</v>
      </c>
    </row>
    <row r="192" spans="6:12">
      <c r="F192" t="s">
        <v>11284</v>
      </c>
      <c r="G192" t="s">
        <v>1065</v>
      </c>
      <c r="H192">
        <v>6</v>
      </c>
      <c r="I192">
        <v>2</v>
      </c>
      <c r="J192">
        <v>0</v>
      </c>
      <c r="K192">
        <v>0</v>
      </c>
      <c r="L192" s="61" t="s">
        <v>4779</v>
      </c>
    </row>
    <row r="193" spans="6:12">
      <c r="F193" t="s">
        <v>11285</v>
      </c>
      <c r="G193" t="s">
        <v>1065</v>
      </c>
      <c r="H193">
        <v>6</v>
      </c>
      <c r="I193">
        <v>2</v>
      </c>
      <c r="J193">
        <v>0</v>
      </c>
      <c r="K193">
        <v>0</v>
      </c>
      <c r="L193" s="61" t="s">
        <v>4779</v>
      </c>
    </row>
    <row r="194" spans="6:12">
      <c r="F194" t="s">
        <v>11286</v>
      </c>
      <c r="G194" t="s">
        <v>1065</v>
      </c>
      <c r="H194">
        <v>8</v>
      </c>
      <c r="I194">
        <v>0</v>
      </c>
      <c r="J194">
        <v>0</v>
      </c>
      <c r="K194">
        <v>0</v>
      </c>
      <c r="L194" s="61" t="s">
        <v>4779</v>
      </c>
    </row>
    <row r="195" spans="6:12">
      <c r="F195" t="s">
        <v>11287</v>
      </c>
      <c r="G195" t="s">
        <v>1065</v>
      </c>
      <c r="H195">
        <v>7</v>
      </c>
      <c r="I195">
        <v>1</v>
      </c>
      <c r="J195">
        <v>0</v>
      </c>
      <c r="K195">
        <v>0</v>
      </c>
      <c r="L195" s="61" t="s">
        <v>4779</v>
      </c>
    </row>
    <row r="196" spans="6:12">
      <c r="F196" t="s">
        <v>11288</v>
      </c>
      <c r="G196" t="s">
        <v>1065</v>
      </c>
      <c r="H196">
        <v>7</v>
      </c>
      <c r="I196">
        <v>1</v>
      </c>
      <c r="J196">
        <v>0</v>
      </c>
      <c r="K196">
        <v>0</v>
      </c>
      <c r="L196" s="61" t="s">
        <v>4779</v>
      </c>
    </row>
    <row r="197" spans="6:12">
      <c r="F197" t="s">
        <v>11289</v>
      </c>
      <c r="G197" t="s">
        <v>1065</v>
      </c>
      <c r="H197">
        <v>8</v>
      </c>
      <c r="I197">
        <v>0</v>
      </c>
      <c r="J197">
        <v>0</v>
      </c>
      <c r="K197">
        <v>0</v>
      </c>
      <c r="L197" s="61" t="s">
        <v>4779</v>
      </c>
    </row>
    <row r="198" spans="6:12">
      <c r="F198" t="s">
        <v>11290</v>
      </c>
      <c r="G198" t="s">
        <v>1065</v>
      </c>
      <c r="H198">
        <v>8</v>
      </c>
      <c r="I198">
        <v>0</v>
      </c>
      <c r="J198">
        <v>0</v>
      </c>
      <c r="K198">
        <v>0</v>
      </c>
      <c r="L198" s="61" t="s">
        <v>4779</v>
      </c>
    </row>
    <row r="199" spans="6:12">
      <c r="F199" t="s">
        <v>11291</v>
      </c>
      <c r="G199" t="s">
        <v>1065</v>
      </c>
      <c r="H199">
        <v>6</v>
      </c>
      <c r="I199">
        <v>2</v>
      </c>
      <c r="J199">
        <v>0</v>
      </c>
      <c r="K199">
        <v>0</v>
      </c>
      <c r="L199" s="61" t="s">
        <v>4779</v>
      </c>
    </row>
    <row r="200" spans="6:12">
      <c r="F200" t="s">
        <v>11292</v>
      </c>
      <c r="G200" t="s">
        <v>1065</v>
      </c>
      <c r="H200">
        <v>6</v>
      </c>
      <c r="I200">
        <v>2</v>
      </c>
      <c r="J200">
        <v>0</v>
      </c>
      <c r="K200">
        <v>0</v>
      </c>
      <c r="L200" s="61" t="s">
        <v>4779</v>
      </c>
    </row>
    <row r="201" spans="6:12">
      <c r="F201" t="s">
        <v>5264</v>
      </c>
      <c r="G201" t="s">
        <v>1065</v>
      </c>
      <c r="H201">
        <v>8</v>
      </c>
      <c r="I201">
        <v>0</v>
      </c>
      <c r="J201">
        <v>0</v>
      </c>
      <c r="K201">
        <v>0</v>
      </c>
      <c r="L201" s="61" t="s">
        <v>4779</v>
      </c>
    </row>
    <row r="202" spans="6:12">
      <c r="F202" t="s">
        <v>11293</v>
      </c>
      <c r="G202" t="s">
        <v>1065</v>
      </c>
      <c r="H202">
        <v>8</v>
      </c>
      <c r="I202">
        <v>0</v>
      </c>
      <c r="J202">
        <v>0</v>
      </c>
      <c r="K202">
        <v>0</v>
      </c>
      <c r="L202" s="61" t="s">
        <v>4779</v>
      </c>
    </row>
    <row r="203" spans="6:12">
      <c r="F203" t="s">
        <v>11294</v>
      </c>
      <c r="G203" t="s">
        <v>1065</v>
      </c>
      <c r="H203">
        <v>7</v>
      </c>
      <c r="I203">
        <v>1</v>
      </c>
      <c r="J203">
        <v>0</v>
      </c>
      <c r="K203">
        <v>0</v>
      </c>
      <c r="L203" s="61" t="s">
        <v>4779</v>
      </c>
    </row>
    <row r="204" spans="6:12">
      <c r="F204" t="s">
        <v>11295</v>
      </c>
      <c r="G204" t="s">
        <v>1065</v>
      </c>
      <c r="H204">
        <v>7</v>
      </c>
      <c r="I204">
        <v>1</v>
      </c>
      <c r="J204">
        <v>0</v>
      </c>
      <c r="K204">
        <v>0</v>
      </c>
      <c r="L204" s="61" t="s">
        <v>4779</v>
      </c>
    </row>
    <row r="205" spans="6:12">
      <c r="F205" t="s">
        <v>11296</v>
      </c>
      <c r="G205" t="s">
        <v>1065</v>
      </c>
      <c r="H205">
        <v>8</v>
      </c>
      <c r="I205">
        <v>0</v>
      </c>
      <c r="J205">
        <v>0</v>
      </c>
      <c r="K205">
        <v>0</v>
      </c>
      <c r="L205" s="61" t="s">
        <v>4779</v>
      </c>
    </row>
    <row r="206" spans="6:12">
      <c r="F206" t="s">
        <v>11297</v>
      </c>
      <c r="G206" t="s">
        <v>1065</v>
      </c>
      <c r="H206">
        <v>8</v>
      </c>
      <c r="I206">
        <v>0</v>
      </c>
      <c r="J206">
        <v>0</v>
      </c>
      <c r="K206">
        <v>0</v>
      </c>
      <c r="L206" s="61" t="s">
        <v>4779</v>
      </c>
    </row>
    <row r="207" spans="6:12">
      <c r="F207" t="s">
        <v>11298</v>
      </c>
      <c r="G207" t="s">
        <v>1065</v>
      </c>
      <c r="H207">
        <v>6</v>
      </c>
      <c r="I207">
        <v>2</v>
      </c>
      <c r="J207">
        <v>0</v>
      </c>
      <c r="K207">
        <v>0</v>
      </c>
      <c r="L207" s="61" t="s">
        <v>4779</v>
      </c>
    </row>
    <row r="208" spans="6:12">
      <c r="F208" t="s">
        <v>11299</v>
      </c>
      <c r="G208" t="s">
        <v>1065</v>
      </c>
      <c r="H208">
        <v>6</v>
      </c>
      <c r="I208">
        <v>2</v>
      </c>
      <c r="J208">
        <v>0</v>
      </c>
      <c r="K208">
        <v>0</v>
      </c>
      <c r="L208" s="61" t="s">
        <v>4779</v>
      </c>
    </row>
    <row r="209" spans="6:12">
      <c r="F209" t="s">
        <v>11300</v>
      </c>
      <c r="G209" t="s">
        <v>1065</v>
      </c>
      <c r="H209">
        <v>7</v>
      </c>
      <c r="I209">
        <v>1</v>
      </c>
      <c r="J209">
        <v>0</v>
      </c>
      <c r="K209">
        <v>0</v>
      </c>
      <c r="L209" s="61" t="s">
        <v>4779</v>
      </c>
    </row>
    <row r="210" spans="6:12">
      <c r="F210" t="s">
        <v>11301</v>
      </c>
      <c r="G210" t="s">
        <v>1065</v>
      </c>
      <c r="H210">
        <v>7</v>
      </c>
      <c r="I210">
        <v>1</v>
      </c>
      <c r="J210">
        <v>0</v>
      </c>
      <c r="K210">
        <v>0</v>
      </c>
      <c r="L210" s="61" t="s">
        <v>4779</v>
      </c>
    </row>
    <row r="211" spans="6:12">
      <c r="F211" t="s">
        <v>11302</v>
      </c>
      <c r="G211" t="s">
        <v>1065</v>
      </c>
      <c r="H211">
        <v>6</v>
      </c>
      <c r="I211">
        <v>2</v>
      </c>
      <c r="J211">
        <v>0</v>
      </c>
      <c r="K211">
        <v>0</v>
      </c>
      <c r="L211" s="61" t="s">
        <v>4779</v>
      </c>
    </row>
    <row r="212" spans="6:12">
      <c r="F212" t="s">
        <v>11303</v>
      </c>
      <c r="G212" t="s">
        <v>1065</v>
      </c>
      <c r="H212">
        <v>6</v>
      </c>
      <c r="I212">
        <v>2</v>
      </c>
      <c r="J212">
        <v>0</v>
      </c>
      <c r="K212">
        <v>0</v>
      </c>
      <c r="L212" s="61" t="s">
        <v>4779</v>
      </c>
    </row>
    <row r="213" spans="6:12">
      <c r="F213" t="s">
        <v>11304</v>
      </c>
      <c r="G213" t="s">
        <v>1065</v>
      </c>
      <c r="H213">
        <v>6</v>
      </c>
      <c r="I213">
        <v>2</v>
      </c>
      <c r="J213">
        <v>0</v>
      </c>
      <c r="K213">
        <v>0</v>
      </c>
      <c r="L213" s="61" t="s">
        <v>4779</v>
      </c>
    </row>
    <row r="214" spans="6:12">
      <c r="F214" t="s">
        <v>11305</v>
      </c>
      <c r="G214" t="s">
        <v>1065</v>
      </c>
      <c r="H214">
        <v>6</v>
      </c>
      <c r="I214">
        <v>2</v>
      </c>
      <c r="J214">
        <v>0</v>
      </c>
      <c r="K214">
        <v>0</v>
      </c>
      <c r="L214" s="61" t="s">
        <v>4779</v>
      </c>
    </row>
    <row r="215" spans="6:12">
      <c r="F215" t="s">
        <v>11306</v>
      </c>
      <c r="G215" t="s">
        <v>1065</v>
      </c>
      <c r="H215">
        <v>6</v>
      </c>
      <c r="I215">
        <v>2</v>
      </c>
      <c r="J215">
        <v>0</v>
      </c>
      <c r="K215">
        <v>0</v>
      </c>
      <c r="L215" s="61" t="s">
        <v>4779</v>
      </c>
    </row>
    <row r="216" spans="6:12">
      <c r="F216" t="s">
        <v>11307</v>
      </c>
      <c r="G216" t="s">
        <v>1065</v>
      </c>
      <c r="H216">
        <v>6</v>
      </c>
      <c r="I216">
        <v>2</v>
      </c>
      <c r="J216">
        <v>0</v>
      </c>
      <c r="K216">
        <v>0</v>
      </c>
      <c r="L216" s="61" t="s">
        <v>4779</v>
      </c>
    </row>
    <row r="217" spans="6:12">
      <c r="F217" t="s">
        <v>11308</v>
      </c>
      <c r="G217" t="s">
        <v>1065</v>
      </c>
      <c r="H217">
        <v>6</v>
      </c>
      <c r="I217">
        <v>2</v>
      </c>
      <c r="J217">
        <v>0</v>
      </c>
      <c r="K217">
        <v>0</v>
      </c>
      <c r="L217" s="61" t="s">
        <v>4779</v>
      </c>
    </row>
    <row r="218" spans="6:12">
      <c r="F218" t="s">
        <v>11309</v>
      </c>
      <c r="G218" t="s">
        <v>1065</v>
      </c>
      <c r="H218">
        <v>8</v>
      </c>
      <c r="I218">
        <v>0</v>
      </c>
      <c r="J218">
        <v>0</v>
      </c>
      <c r="K218">
        <v>0</v>
      </c>
      <c r="L218" s="61" t="s">
        <v>4779</v>
      </c>
    </row>
    <row r="219" spans="6:12">
      <c r="F219" t="s">
        <v>11310</v>
      </c>
      <c r="G219" t="s">
        <v>1065</v>
      </c>
      <c r="H219">
        <v>7</v>
      </c>
      <c r="I219">
        <v>1</v>
      </c>
      <c r="J219">
        <v>0</v>
      </c>
      <c r="K219">
        <v>0</v>
      </c>
      <c r="L219" s="61" t="s">
        <v>4779</v>
      </c>
    </row>
    <row r="220" spans="6:12">
      <c r="F220" t="s">
        <v>11311</v>
      </c>
      <c r="G220" t="s">
        <v>1065</v>
      </c>
      <c r="H220">
        <v>7</v>
      </c>
      <c r="I220">
        <v>1</v>
      </c>
      <c r="J220">
        <v>0</v>
      </c>
      <c r="K220">
        <v>0</v>
      </c>
      <c r="L220" s="61" t="s">
        <v>4779</v>
      </c>
    </row>
    <row r="221" spans="6:12">
      <c r="F221" t="s">
        <v>11312</v>
      </c>
      <c r="G221" t="s">
        <v>1065</v>
      </c>
      <c r="H221">
        <v>7</v>
      </c>
      <c r="I221">
        <v>1</v>
      </c>
      <c r="J221">
        <v>0</v>
      </c>
      <c r="K221">
        <v>0</v>
      </c>
      <c r="L221" s="61" t="s">
        <v>4779</v>
      </c>
    </row>
    <row r="222" spans="6:12">
      <c r="F222" t="s">
        <v>11313</v>
      </c>
      <c r="G222" t="s">
        <v>1065</v>
      </c>
      <c r="H222">
        <v>7</v>
      </c>
      <c r="I222">
        <v>1</v>
      </c>
      <c r="J222">
        <v>0</v>
      </c>
      <c r="K222">
        <v>0</v>
      </c>
      <c r="L222" s="61" t="s">
        <v>4779</v>
      </c>
    </row>
    <row r="223" spans="6:12">
      <c r="F223" t="s">
        <v>11314</v>
      </c>
      <c r="G223" t="s">
        <v>1065</v>
      </c>
      <c r="H223">
        <v>8</v>
      </c>
      <c r="I223">
        <v>0</v>
      </c>
      <c r="J223">
        <v>0</v>
      </c>
      <c r="K223">
        <v>0</v>
      </c>
      <c r="L223" s="61" t="s">
        <v>4779</v>
      </c>
    </row>
    <row r="224" spans="6:12">
      <c r="F224" t="s">
        <v>11315</v>
      </c>
      <c r="G224" t="s">
        <v>1065</v>
      </c>
      <c r="H224">
        <v>6</v>
      </c>
      <c r="I224">
        <v>2</v>
      </c>
      <c r="J224">
        <v>0</v>
      </c>
      <c r="K224">
        <v>0</v>
      </c>
      <c r="L224" s="61" t="s">
        <v>4779</v>
      </c>
    </row>
    <row r="225" spans="6:12">
      <c r="F225" t="s">
        <v>11316</v>
      </c>
      <c r="G225" t="s">
        <v>1065</v>
      </c>
      <c r="H225">
        <v>6</v>
      </c>
      <c r="I225">
        <v>2</v>
      </c>
      <c r="J225">
        <v>0</v>
      </c>
      <c r="K225">
        <v>0</v>
      </c>
      <c r="L225" s="61" t="s">
        <v>4779</v>
      </c>
    </row>
    <row r="226" spans="6:12">
      <c r="F226" t="s">
        <v>11317</v>
      </c>
      <c r="G226" t="s">
        <v>1065</v>
      </c>
      <c r="H226">
        <v>7</v>
      </c>
      <c r="I226">
        <v>1</v>
      </c>
      <c r="J226">
        <v>0</v>
      </c>
      <c r="K226">
        <v>0</v>
      </c>
      <c r="L226" s="61" t="s">
        <v>4779</v>
      </c>
    </row>
    <row r="227" spans="6:12">
      <c r="F227" t="s">
        <v>11318</v>
      </c>
      <c r="G227" t="s">
        <v>1065</v>
      </c>
      <c r="H227">
        <v>6</v>
      </c>
      <c r="I227">
        <v>2</v>
      </c>
      <c r="J227">
        <v>0</v>
      </c>
      <c r="K227">
        <v>0</v>
      </c>
      <c r="L227" s="61" t="s">
        <v>4779</v>
      </c>
    </row>
    <row r="228" spans="6:12">
      <c r="F228" t="s">
        <v>11319</v>
      </c>
      <c r="G228" t="s">
        <v>1065</v>
      </c>
      <c r="H228">
        <v>8</v>
      </c>
      <c r="I228">
        <v>0</v>
      </c>
      <c r="J228">
        <v>0</v>
      </c>
      <c r="K228">
        <v>0</v>
      </c>
      <c r="L228" s="61" t="s">
        <v>4779</v>
      </c>
    </row>
    <row r="229" spans="6:12">
      <c r="F229" t="s">
        <v>11320</v>
      </c>
      <c r="G229" t="s">
        <v>1065</v>
      </c>
      <c r="H229">
        <v>6</v>
      </c>
      <c r="I229">
        <v>2</v>
      </c>
      <c r="J229">
        <v>0</v>
      </c>
      <c r="K229">
        <v>0</v>
      </c>
      <c r="L229" s="61" t="s">
        <v>4779</v>
      </c>
    </row>
    <row r="230" spans="6:12">
      <c r="F230" t="s">
        <v>11321</v>
      </c>
      <c r="G230" t="s">
        <v>1065</v>
      </c>
      <c r="H230">
        <v>8</v>
      </c>
      <c r="I230">
        <v>0</v>
      </c>
      <c r="J230">
        <v>0</v>
      </c>
      <c r="K230">
        <v>0</v>
      </c>
      <c r="L230" s="61" t="s">
        <v>4779</v>
      </c>
    </row>
    <row r="231" spans="6:12">
      <c r="F231" t="s">
        <v>11322</v>
      </c>
      <c r="G231" t="s">
        <v>1065</v>
      </c>
      <c r="H231">
        <v>6</v>
      </c>
      <c r="I231">
        <v>2</v>
      </c>
      <c r="J231">
        <v>0</v>
      </c>
      <c r="K231">
        <v>0</v>
      </c>
      <c r="L231" s="61" t="s">
        <v>4779</v>
      </c>
    </row>
    <row r="232" spans="6:12">
      <c r="F232" t="s">
        <v>11323</v>
      </c>
      <c r="G232" t="s">
        <v>1065</v>
      </c>
      <c r="H232">
        <v>8</v>
      </c>
      <c r="I232">
        <v>0</v>
      </c>
      <c r="J232">
        <v>0</v>
      </c>
      <c r="K232">
        <v>0</v>
      </c>
      <c r="L232" s="61" t="s">
        <v>4779</v>
      </c>
    </row>
    <row r="233" spans="6:12">
      <c r="F233" t="s">
        <v>11324</v>
      </c>
      <c r="G233" t="s">
        <v>1065</v>
      </c>
      <c r="H233">
        <v>8</v>
      </c>
      <c r="I233">
        <v>0</v>
      </c>
      <c r="J233">
        <v>0</v>
      </c>
      <c r="K233">
        <v>0</v>
      </c>
      <c r="L233" s="61" t="s">
        <v>4779</v>
      </c>
    </row>
    <row r="234" spans="6:12">
      <c r="F234" t="s">
        <v>11325</v>
      </c>
      <c r="G234" t="s">
        <v>1065</v>
      </c>
      <c r="H234">
        <v>8</v>
      </c>
      <c r="I234">
        <v>0</v>
      </c>
      <c r="J234">
        <v>0</v>
      </c>
      <c r="K234">
        <v>0</v>
      </c>
      <c r="L234" s="61" t="s">
        <v>4779</v>
      </c>
    </row>
    <row r="235" spans="6:12">
      <c r="F235" t="s">
        <v>11326</v>
      </c>
      <c r="G235" t="s">
        <v>1065</v>
      </c>
      <c r="H235">
        <v>7</v>
      </c>
      <c r="I235">
        <v>1</v>
      </c>
      <c r="J235">
        <v>0</v>
      </c>
      <c r="K235">
        <v>0</v>
      </c>
      <c r="L235" s="61" t="s">
        <v>4779</v>
      </c>
    </row>
    <row r="236" spans="6:12">
      <c r="F236" t="s">
        <v>11327</v>
      </c>
      <c r="G236" t="s">
        <v>1065</v>
      </c>
      <c r="H236">
        <v>8</v>
      </c>
      <c r="I236">
        <v>0</v>
      </c>
      <c r="J236">
        <v>0</v>
      </c>
      <c r="K236">
        <v>0</v>
      </c>
      <c r="L236" s="61" t="s">
        <v>4779</v>
      </c>
    </row>
    <row r="237" spans="6:12">
      <c r="F237" t="s">
        <v>11328</v>
      </c>
      <c r="G237" t="s">
        <v>1065</v>
      </c>
      <c r="H237">
        <v>7</v>
      </c>
      <c r="I237">
        <v>1</v>
      </c>
      <c r="J237">
        <v>0</v>
      </c>
      <c r="K237">
        <v>0</v>
      </c>
      <c r="L237" s="61" t="s">
        <v>4779</v>
      </c>
    </row>
    <row r="238" spans="6:12">
      <c r="F238" t="s">
        <v>11329</v>
      </c>
      <c r="G238" t="s">
        <v>1065</v>
      </c>
      <c r="H238">
        <v>7</v>
      </c>
      <c r="I238">
        <v>1</v>
      </c>
      <c r="J238">
        <v>0</v>
      </c>
      <c r="K238">
        <v>0</v>
      </c>
      <c r="L238" s="61" t="s">
        <v>4779</v>
      </c>
    </row>
    <row r="239" spans="6:12">
      <c r="F239" t="s">
        <v>11330</v>
      </c>
      <c r="G239" t="s">
        <v>1065</v>
      </c>
      <c r="H239">
        <v>7</v>
      </c>
      <c r="I239">
        <v>1</v>
      </c>
      <c r="J239">
        <v>0</v>
      </c>
      <c r="K239">
        <v>0</v>
      </c>
      <c r="L239" s="61" t="s">
        <v>4779</v>
      </c>
    </row>
    <row r="240" spans="6:12">
      <c r="F240" t="s">
        <v>11331</v>
      </c>
      <c r="G240" t="s">
        <v>1065</v>
      </c>
      <c r="H240">
        <v>8</v>
      </c>
      <c r="I240">
        <v>0</v>
      </c>
      <c r="J240">
        <v>0</v>
      </c>
      <c r="K240">
        <v>0</v>
      </c>
      <c r="L240" s="61" t="s">
        <v>4779</v>
      </c>
    </row>
    <row r="241" spans="6:12">
      <c r="F241" t="s">
        <v>11332</v>
      </c>
      <c r="G241" t="s">
        <v>1065</v>
      </c>
      <c r="H241">
        <v>6</v>
      </c>
      <c r="I241">
        <v>2</v>
      </c>
      <c r="J241">
        <v>0</v>
      </c>
      <c r="K241">
        <v>0</v>
      </c>
      <c r="L241" s="61" t="s">
        <v>4779</v>
      </c>
    </row>
    <row r="242" spans="6:12">
      <c r="F242" t="s">
        <v>11333</v>
      </c>
      <c r="G242" t="s">
        <v>1065</v>
      </c>
      <c r="H242">
        <v>6</v>
      </c>
      <c r="I242">
        <v>2</v>
      </c>
      <c r="J242">
        <v>0</v>
      </c>
      <c r="K242">
        <v>0</v>
      </c>
      <c r="L242" s="61" t="s">
        <v>4779</v>
      </c>
    </row>
    <row r="243" spans="6:12">
      <c r="F243" t="s">
        <v>11334</v>
      </c>
      <c r="G243" t="s">
        <v>1065</v>
      </c>
      <c r="H243">
        <v>7</v>
      </c>
      <c r="I243">
        <v>1</v>
      </c>
      <c r="J243">
        <v>0</v>
      </c>
      <c r="K243">
        <v>0</v>
      </c>
      <c r="L243" s="61" t="s">
        <v>4779</v>
      </c>
    </row>
    <row r="244" spans="6:12">
      <c r="F244" t="s">
        <v>11335</v>
      </c>
      <c r="G244" t="s">
        <v>1065</v>
      </c>
      <c r="H244">
        <v>7</v>
      </c>
      <c r="I244">
        <v>1</v>
      </c>
      <c r="J244">
        <v>0</v>
      </c>
      <c r="K244">
        <v>0</v>
      </c>
      <c r="L244" s="61" t="s">
        <v>4779</v>
      </c>
    </row>
    <row r="245" spans="6:12">
      <c r="F245" t="s">
        <v>11336</v>
      </c>
      <c r="G245" t="s">
        <v>1065</v>
      </c>
      <c r="H245">
        <v>7</v>
      </c>
      <c r="I245">
        <v>1</v>
      </c>
      <c r="J245">
        <v>0</v>
      </c>
      <c r="K245">
        <v>0</v>
      </c>
      <c r="L245" s="61" t="s">
        <v>4779</v>
      </c>
    </row>
    <row r="246" spans="6:12">
      <c r="F246" t="s">
        <v>11337</v>
      </c>
      <c r="G246" t="s">
        <v>1065</v>
      </c>
      <c r="H246">
        <v>6</v>
      </c>
      <c r="I246">
        <v>2</v>
      </c>
      <c r="J246">
        <v>0</v>
      </c>
      <c r="K246">
        <v>0</v>
      </c>
      <c r="L246" s="61" t="s">
        <v>4779</v>
      </c>
    </row>
    <row r="247" spans="6:12">
      <c r="F247" t="s">
        <v>11338</v>
      </c>
      <c r="G247" t="s">
        <v>1065</v>
      </c>
      <c r="H247">
        <v>6</v>
      </c>
      <c r="I247">
        <v>2</v>
      </c>
      <c r="J247">
        <v>0</v>
      </c>
      <c r="K247">
        <v>0</v>
      </c>
      <c r="L247" s="61" t="s">
        <v>4779</v>
      </c>
    </row>
    <row r="248" spans="6:12">
      <c r="F248" t="s">
        <v>11339</v>
      </c>
      <c r="G248" t="s">
        <v>1065</v>
      </c>
      <c r="H248">
        <v>8</v>
      </c>
      <c r="I248">
        <v>0</v>
      </c>
      <c r="J248">
        <v>0</v>
      </c>
      <c r="K248">
        <v>0</v>
      </c>
      <c r="L248" s="61" t="s">
        <v>4779</v>
      </c>
    </row>
    <row r="249" spans="6:12">
      <c r="F249" t="s">
        <v>11340</v>
      </c>
      <c r="G249" t="s">
        <v>1065</v>
      </c>
      <c r="H249">
        <v>6</v>
      </c>
      <c r="I249">
        <v>2</v>
      </c>
      <c r="J249">
        <v>0</v>
      </c>
      <c r="K249">
        <v>0</v>
      </c>
      <c r="L249" s="61" t="s">
        <v>4779</v>
      </c>
    </row>
    <row r="250" spans="6:12">
      <c r="F250" t="s">
        <v>11341</v>
      </c>
      <c r="G250" t="s">
        <v>1065</v>
      </c>
      <c r="H250">
        <v>6</v>
      </c>
      <c r="I250">
        <v>2</v>
      </c>
      <c r="J250">
        <v>0</v>
      </c>
      <c r="K250">
        <v>0</v>
      </c>
      <c r="L250" s="61" t="s">
        <v>4779</v>
      </c>
    </row>
    <row r="251" spans="6:12">
      <c r="F251" t="s">
        <v>11342</v>
      </c>
      <c r="G251" t="s">
        <v>1065</v>
      </c>
      <c r="H251">
        <v>6</v>
      </c>
      <c r="I251">
        <v>2</v>
      </c>
      <c r="J251">
        <v>0</v>
      </c>
      <c r="K251">
        <v>0</v>
      </c>
      <c r="L251" s="61" t="s">
        <v>4779</v>
      </c>
    </row>
    <row r="252" spans="6:12">
      <c r="F252" t="s">
        <v>11343</v>
      </c>
      <c r="G252" t="s">
        <v>1065</v>
      </c>
      <c r="H252">
        <v>8</v>
      </c>
      <c r="I252">
        <v>0</v>
      </c>
      <c r="J252">
        <v>0</v>
      </c>
      <c r="K252">
        <v>0</v>
      </c>
      <c r="L252" s="61" t="s">
        <v>4779</v>
      </c>
    </row>
    <row r="253" spans="6:12">
      <c r="F253" t="s">
        <v>11344</v>
      </c>
      <c r="G253" t="s">
        <v>1065</v>
      </c>
      <c r="H253">
        <v>6</v>
      </c>
      <c r="I253">
        <v>2</v>
      </c>
      <c r="J253">
        <v>0</v>
      </c>
      <c r="K253">
        <v>0</v>
      </c>
      <c r="L253" s="61" t="s">
        <v>4779</v>
      </c>
    </row>
    <row r="254" spans="6:12">
      <c r="F254" t="s">
        <v>11345</v>
      </c>
      <c r="G254" t="s">
        <v>1065</v>
      </c>
      <c r="H254">
        <v>6</v>
      </c>
      <c r="I254">
        <v>2</v>
      </c>
      <c r="J254">
        <v>0</v>
      </c>
      <c r="K254">
        <v>0</v>
      </c>
      <c r="L254" s="61" t="s">
        <v>4779</v>
      </c>
    </row>
    <row r="255" spans="6:12">
      <c r="F255" t="s">
        <v>11346</v>
      </c>
      <c r="G255" t="s">
        <v>1065</v>
      </c>
      <c r="H255">
        <v>6</v>
      </c>
      <c r="I255">
        <v>2</v>
      </c>
      <c r="J255">
        <v>0</v>
      </c>
      <c r="K255">
        <v>0</v>
      </c>
      <c r="L255" s="61" t="s">
        <v>4779</v>
      </c>
    </row>
    <row r="256" spans="6:12">
      <c r="F256" t="s">
        <v>11347</v>
      </c>
      <c r="G256" t="s">
        <v>1065</v>
      </c>
      <c r="H256">
        <v>7</v>
      </c>
      <c r="I256">
        <v>1</v>
      </c>
      <c r="J256">
        <v>0</v>
      </c>
      <c r="K256">
        <v>0</v>
      </c>
      <c r="L256" s="61" t="s">
        <v>4779</v>
      </c>
    </row>
    <row r="257" spans="6:12">
      <c r="F257" t="s">
        <v>11348</v>
      </c>
      <c r="G257" t="s">
        <v>1065</v>
      </c>
      <c r="H257">
        <v>8</v>
      </c>
      <c r="I257">
        <v>0</v>
      </c>
      <c r="J257">
        <v>0</v>
      </c>
      <c r="K257">
        <v>0</v>
      </c>
      <c r="L257" s="61" t="s">
        <v>4779</v>
      </c>
    </row>
    <row r="258" spans="6:12">
      <c r="F258" t="s">
        <v>11349</v>
      </c>
      <c r="G258" t="s">
        <v>1065</v>
      </c>
      <c r="H258">
        <v>8</v>
      </c>
      <c r="I258">
        <v>0</v>
      </c>
      <c r="J258">
        <v>0</v>
      </c>
      <c r="K258">
        <v>0</v>
      </c>
      <c r="L258" s="61" t="s">
        <v>4779</v>
      </c>
    </row>
    <row r="259" spans="6:12">
      <c r="F259" t="s">
        <v>11350</v>
      </c>
      <c r="G259" t="s">
        <v>1065</v>
      </c>
      <c r="H259">
        <v>7</v>
      </c>
      <c r="I259">
        <v>1</v>
      </c>
      <c r="J259">
        <v>0</v>
      </c>
      <c r="K259">
        <v>0</v>
      </c>
      <c r="L259" s="61" t="s">
        <v>4779</v>
      </c>
    </row>
    <row r="260" spans="6:12">
      <c r="F260" t="s">
        <v>11351</v>
      </c>
      <c r="G260" t="s">
        <v>1065</v>
      </c>
      <c r="H260">
        <v>6</v>
      </c>
      <c r="I260">
        <v>2</v>
      </c>
      <c r="J260">
        <v>0</v>
      </c>
      <c r="K260">
        <v>0</v>
      </c>
      <c r="L260" s="61" t="s">
        <v>4779</v>
      </c>
    </row>
    <row r="261" spans="6:12">
      <c r="F261" t="s">
        <v>11352</v>
      </c>
      <c r="G261" t="s">
        <v>1065</v>
      </c>
      <c r="H261">
        <v>8</v>
      </c>
      <c r="I261">
        <v>0</v>
      </c>
      <c r="J261">
        <v>0</v>
      </c>
      <c r="K261">
        <v>0</v>
      </c>
      <c r="L261" s="61" t="s">
        <v>4779</v>
      </c>
    </row>
    <row r="262" spans="6:12">
      <c r="F262" t="s">
        <v>11353</v>
      </c>
      <c r="G262" t="s">
        <v>1065</v>
      </c>
      <c r="H262">
        <v>7</v>
      </c>
      <c r="I262">
        <v>1</v>
      </c>
      <c r="J262">
        <v>0</v>
      </c>
      <c r="K262">
        <v>0</v>
      </c>
      <c r="L262" s="61" t="s">
        <v>4779</v>
      </c>
    </row>
    <row r="263" spans="6:12">
      <c r="F263" t="s">
        <v>11354</v>
      </c>
      <c r="G263" t="s">
        <v>1065</v>
      </c>
      <c r="H263">
        <v>8</v>
      </c>
      <c r="I263">
        <v>0</v>
      </c>
      <c r="J263">
        <v>0</v>
      </c>
      <c r="K263">
        <v>0</v>
      </c>
      <c r="L263" s="61" t="s">
        <v>4779</v>
      </c>
    </row>
    <row r="264" spans="6:12">
      <c r="F264" t="s">
        <v>11355</v>
      </c>
      <c r="G264" t="s">
        <v>1065</v>
      </c>
      <c r="H264">
        <v>6</v>
      </c>
      <c r="I264">
        <v>2</v>
      </c>
      <c r="J264">
        <v>0</v>
      </c>
      <c r="K264">
        <v>0</v>
      </c>
      <c r="L264" s="61" t="s">
        <v>4779</v>
      </c>
    </row>
    <row r="265" spans="6:12">
      <c r="F265" t="s">
        <v>11356</v>
      </c>
      <c r="G265" t="s">
        <v>1065</v>
      </c>
      <c r="H265">
        <v>8</v>
      </c>
      <c r="I265">
        <v>0</v>
      </c>
      <c r="J265">
        <v>0</v>
      </c>
      <c r="K265">
        <v>0</v>
      </c>
      <c r="L265" s="61" t="s">
        <v>4779</v>
      </c>
    </row>
    <row r="266" spans="6:12">
      <c r="F266" t="s">
        <v>11357</v>
      </c>
      <c r="G266" t="s">
        <v>1065</v>
      </c>
      <c r="H266">
        <v>7</v>
      </c>
      <c r="I266">
        <v>1</v>
      </c>
      <c r="J266">
        <v>0</v>
      </c>
      <c r="K266">
        <v>0</v>
      </c>
      <c r="L266" s="61" t="s">
        <v>4779</v>
      </c>
    </row>
    <row r="267" spans="6:12">
      <c r="F267" t="s">
        <v>11358</v>
      </c>
      <c r="G267" t="s">
        <v>1065</v>
      </c>
      <c r="H267">
        <v>6</v>
      </c>
      <c r="I267">
        <v>2</v>
      </c>
      <c r="J267">
        <v>0</v>
      </c>
      <c r="K267">
        <v>0</v>
      </c>
      <c r="L267" s="61" t="s">
        <v>4779</v>
      </c>
    </row>
    <row r="268" spans="6:12">
      <c r="F268" t="s">
        <v>11359</v>
      </c>
      <c r="G268" t="s">
        <v>1065</v>
      </c>
      <c r="H268">
        <v>8</v>
      </c>
      <c r="I268">
        <v>0</v>
      </c>
      <c r="J268">
        <v>0</v>
      </c>
      <c r="K268">
        <v>0</v>
      </c>
      <c r="L268" s="61" t="s">
        <v>4779</v>
      </c>
    </row>
    <row r="269" spans="6:12">
      <c r="F269" t="s">
        <v>11360</v>
      </c>
      <c r="G269" t="s">
        <v>1065</v>
      </c>
      <c r="H269">
        <v>6</v>
      </c>
      <c r="I269">
        <v>2</v>
      </c>
      <c r="J269">
        <v>0</v>
      </c>
      <c r="K269">
        <v>0</v>
      </c>
      <c r="L269" s="61" t="s">
        <v>4779</v>
      </c>
    </row>
    <row r="270" spans="6:12">
      <c r="F270" t="s">
        <v>11361</v>
      </c>
      <c r="G270" t="s">
        <v>1065</v>
      </c>
      <c r="H270">
        <v>6</v>
      </c>
      <c r="I270">
        <v>2</v>
      </c>
      <c r="J270">
        <v>0</v>
      </c>
      <c r="K270">
        <v>0</v>
      </c>
      <c r="L270" s="61" t="s">
        <v>4779</v>
      </c>
    </row>
    <row r="271" spans="6:12">
      <c r="F271" t="s">
        <v>11362</v>
      </c>
      <c r="G271" t="s">
        <v>1065</v>
      </c>
      <c r="H271">
        <v>6</v>
      </c>
      <c r="I271">
        <v>2</v>
      </c>
      <c r="J271">
        <v>0</v>
      </c>
      <c r="K271">
        <v>0</v>
      </c>
      <c r="L271" s="61" t="s">
        <v>4779</v>
      </c>
    </row>
    <row r="272" spans="6:12">
      <c r="F272" t="s">
        <v>11363</v>
      </c>
      <c r="G272" t="s">
        <v>1065</v>
      </c>
      <c r="H272">
        <v>8</v>
      </c>
      <c r="I272">
        <v>0</v>
      </c>
      <c r="J272">
        <v>0</v>
      </c>
      <c r="K272">
        <v>0</v>
      </c>
      <c r="L272" s="61" t="s">
        <v>4779</v>
      </c>
    </row>
    <row r="273" spans="6:12">
      <c r="F273" t="s">
        <v>11364</v>
      </c>
      <c r="G273" t="s">
        <v>1065</v>
      </c>
      <c r="H273">
        <v>8</v>
      </c>
      <c r="I273">
        <v>0</v>
      </c>
      <c r="J273">
        <v>0</v>
      </c>
      <c r="K273">
        <v>0</v>
      </c>
      <c r="L273" s="61" t="s">
        <v>4779</v>
      </c>
    </row>
    <row r="274" spans="6:12">
      <c r="F274" t="s">
        <v>11365</v>
      </c>
      <c r="G274" t="s">
        <v>1065</v>
      </c>
      <c r="H274">
        <v>7</v>
      </c>
      <c r="I274">
        <v>1</v>
      </c>
      <c r="J274">
        <v>0</v>
      </c>
      <c r="K274">
        <v>0</v>
      </c>
      <c r="L274" s="61" t="s">
        <v>4779</v>
      </c>
    </row>
    <row r="275" spans="6:12">
      <c r="F275" t="s">
        <v>11366</v>
      </c>
      <c r="G275" t="s">
        <v>1065</v>
      </c>
      <c r="H275">
        <v>6</v>
      </c>
      <c r="I275">
        <v>2</v>
      </c>
      <c r="J275">
        <v>0</v>
      </c>
      <c r="K275">
        <v>0</v>
      </c>
      <c r="L275" s="61" t="s">
        <v>4779</v>
      </c>
    </row>
    <row r="276" spans="6:12">
      <c r="F276" t="s">
        <v>11367</v>
      </c>
      <c r="G276" t="s">
        <v>1065</v>
      </c>
      <c r="H276">
        <v>7</v>
      </c>
      <c r="I276">
        <v>1</v>
      </c>
      <c r="J276">
        <v>0</v>
      </c>
      <c r="K276">
        <v>0</v>
      </c>
      <c r="L276" s="61" t="s">
        <v>4779</v>
      </c>
    </row>
    <row r="277" spans="6:12">
      <c r="F277" t="s">
        <v>11368</v>
      </c>
      <c r="G277" t="s">
        <v>1065</v>
      </c>
      <c r="H277">
        <v>7</v>
      </c>
      <c r="I277">
        <v>1</v>
      </c>
      <c r="J277">
        <v>0</v>
      </c>
      <c r="K277">
        <v>0</v>
      </c>
      <c r="L277" s="61" t="s">
        <v>4779</v>
      </c>
    </row>
    <row r="278" spans="6:12">
      <c r="F278" t="s">
        <v>11369</v>
      </c>
      <c r="G278" t="s">
        <v>1065</v>
      </c>
      <c r="H278">
        <v>6</v>
      </c>
      <c r="I278">
        <v>2</v>
      </c>
      <c r="J278">
        <v>0</v>
      </c>
      <c r="K278">
        <v>0</v>
      </c>
      <c r="L278" s="61" t="s">
        <v>4779</v>
      </c>
    </row>
    <row r="279" spans="6:12">
      <c r="F279" t="s">
        <v>5038</v>
      </c>
      <c r="G279" t="s">
        <v>1065</v>
      </c>
      <c r="H279">
        <v>8</v>
      </c>
      <c r="I279">
        <v>0</v>
      </c>
      <c r="J279">
        <v>0</v>
      </c>
      <c r="K279">
        <v>0</v>
      </c>
      <c r="L279" s="61" t="s">
        <v>4779</v>
      </c>
    </row>
    <row r="280" spans="6:12">
      <c r="F280" t="s">
        <v>11370</v>
      </c>
      <c r="G280" t="s">
        <v>1065</v>
      </c>
      <c r="H280">
        <v>7</v>
      </c>
      <c r="I280">
        <v>1</v>
      </c>
      <c r="J280">
        <v>0</v>
      </c>
      <c r="K280">
        <v>0</v>
      </c>
      <c r="L280" s="61" t="s">
        <v>4779</v>
      </c>
    </row>
    <row r="281" spans="6:12">
      <c r="F281" t="s">
        <v>11371</v>
      </c>
      <c r="G281" t="s">
        <v>1065</v>
      </c>
      <c r="H281">
        <v>6</v>
      </c>
      <c r="I281">
        <v>2</v>
      </c>
      <c r="J281">
        <v>0</v>
      </c>
      <c r="K281">
        <v>0</v>
      </c>
      <c r="L281" s="61" t="s">
        <v>4779</v>
      </c>
    </row>
    <row r="282" spans="6:12">
      <c r="F282" t="s">
        <v>11372</v>
      </c>
      <c r="G282" t="s">
        <v>1065</v>
      </c>
      <c r="H282">
        <v>8</v>
      </c>
      <c r="I282">
        <v>0</v>
      </c>
      <c r="J282">
        <v>0</v>
      </c>
      <c r="K282">
        <v>0</v>
      </c>
      <c r="L282" s="61" t="s">
        <v>4779</v>
      </c>
    </row>
    <row r="283" spans="6:12">
      <c r="F283" t="s">
        <v>11373</v>
      </c>
      <c r="G283" t="s">
        <v>1065</v>
      </c>
      <c r="H283">
        <v>8</v>
      </c>
      <c r="I283">
        <v>0</v>
      </c>
      <c r="J283">
        <v>0</v>
      </c>
      <c r="K283">
        <v>0</v>
      </c>
      <c r="L283" s="61" t="s">
        <v>4779</v>
      </c>
    </row>
    <row r="284" spans="6:12">
      <c r="F284" t="s">
        <v>11374</v>
      </c>
      <c r="G284" t="s">
        <v>1065</v>
      </c>
      <c r="H284">
        <v>7</v>
      </c>
      <c r="I284">
        <v>1</v>
      </c>
      <c r="J284">
        <v>0</v>
      </c>
      <c r="K284">
        <v>0</v>
      </c>
      <c r="L284" s="61" t="s">
        <v>4779</v>
      </c>
    </row>
    <row r="285" spans="6:12">
      <c r="F285" t="s">
        <v>11375</v>
      </c>
      <c r="G285" t="s">
        <v>1065</v>
      </c>
      <c r="H285">
        <v>7</v>
      </c>
      <c r="I285">
        <v>1</v>
      </c>
      <c r="J285">
        <v>0</v>
      </c>
      <c r="K285">
        <v>0</v>
      </c>
      <c r="L285" s="61" t="s">
        <v>4779</v>
      </c>
    </row>
    <row r="286" spans="6:12">
      <c r="F286" t="s">
        <v>11376</v>
      </c>
      <c r="G286" t="s">
        <v>1065</v>
      </c>
      <c r="H286">
        <v>8</v>
      </c>
      <c r="I286">
        <v>0</v>
      </c>
      <c r="J286">
        <v>0</v>
      </c>
      <c r="K286">
        <v>0</v>
      </c>
      <c r="L286" s="61" t="s">
        <v>4779</v>
      </c>
    </row>
    <row r="287" spans="6:12">
      <c r="F287" t="s">
        <v>11377</v>
      </c>
      <c r="G287" t="s">
        <v>1065</v>
      </c>
      <c r="H287">
        <v>6</v>
      </c>
      <c r="I287">
        <v>2</v>
      </c>
      <c r="J287">
        <v>0</v>
      </c>
      <c r="K287">
        <v>0</v>
      </c>
      <c r="L287" s="61" t="s">
        <v>4779</v>
      </c>
    </row>
    <row r="288" spans="6:12">
      <c r="F288" t="s">
        <v>11378</v>
      </c>
      <c r="G288" t="s">
        <v>1065</v>
      </c>
      <c r="H288">
        <v>8</v>
      </c>
      <c r="I288">
        <v>0</v>
      </c>
      <c r="J288">
        <v>0</v>
      </c>
      <c r="K288">
        <v>0</v>
      </c>
      <c r="L288" s="61" t="s">
        <v>4779</v>
      </c>
    </row>
    <row r="289" spans="6:12">
      <c r="F289" t="s">
        <v>11379</v>
      </c>
      <c r="G289" t="s">
        <v>1065</v>
      </c>
      <c r="H289">
        <v>8</v>
      </c>
      <c r="I289">
        <v>0</v>
      </c>
      <c r="J289">
        <v>0</v>
      </c>
      <c r="K289">
        <v>0</v>
      </c>
      <c r="L289" s="61" t="s">
        <v>4779</v>
      </c>
    </row>
    <row r="290" spans="6:12">
      <c r="F290" t="s">
        <v>11380</v>
      </c>
      <c r="G290" t="s">
        <v>1065</v>
      </c>
      <c r="H290">
        <v>8</v>
      </c>
      <c r="I290">
        <v>0</v>
      </c>
      <c r="J290">
        <v>0</v>
      </c>
      <c r="K290">
        <v>0</v>
      </c>
      <c r="L290" s="61" t="s">
        <v>4779</v>
      </c>
    </row>
    <row r="291" spans="6:12">
      <c r="F291" t="s">
        <v>11381</v>
      </c>
      <c r="G291" t="s">
        <v>1065</v>
      </c>
      <c r="H291">
        <v>8</v>
      </c>
      <c r="I291">
        <v>0</v>
      </c>
      <c r="J291">
        <v>0</v>
      </c>
      <c r="K291">
        <v>0</v>
      </c>
      <c r="L291" s="61" t="s">
        <v>4779</v>
      </c>
    </row>
    <row r="292" spans="6:12">
      <c r="F292" t="s">
        <v>11382</v>
      </c>
      <c r="G292" t="s">
        <v>1065</v>
      </c>
      <c r="H292">
        <v>7</v>
      </c>
      <c r="I292">
        <v>1</v>
      </c>
      <c r="J292">
        <v>0</v>
      </c>
      <c r="K292">
        <v>0</v>
      </c>
      <c r="L292" s="61" t="s">
        <v>4779</v>
      </c>
    </row>
    <row r="293" spans="6:12">
      <c r="F293" t="s">
        <v>11383</v>
      </c>
      <c r="G293" t="s">
        <v>1065</v>
      </c>
      <c r="H293">
        <v>8</v>
      </c>
      <c r="I293">
        <v>0</v>
      </c>
      <c r="J293">
        <v>0</v>
      </c>
      <c r="K293">
        <v>0</v>
      </c>
      <c r="L293" s="61" t="s">
        <v>4779</v>
      </c>
    </row>
    <row r="294" spans="6:12">
      <c r="F294" t="s">
        <v>11384</v>
      </c>
      <c r="G294" t="s">
        <v>1065</v>
      </c>
      <c r="H294">
        <v>8</v>
      </c>
      <c r="I294">
        <v>0</v>
      </c>
      <c r="J294">
        <v>0</v>
      </c>
      <c r="K294">
        <v>0</v>
      </c>
      <c r="L294" s="61" t="s">
        <v>4779</v>
      </c>
    </row>
    <row r="295" spans="6:12">
      <c r="F295" t="s">
        <v>11385</v>
      </c>
      <c r="G295" t="s">
        <v>1065</v>
      </c>
      <c r="H295">
        <v>6</v>
      </c>
      <c r="I295">
        <v>2</v>
      </c>
      <c r="J295">
        <v>0</v>
      </c>
      <c r="K295">
        <v>0</v>
      </c>
      <c r="L295" s="61" t="s">
        <v>4779</v>
      </c>
    </row>
    <row r="296" spans="6:12">
      <c r="F296" t="s">
        <v>11386</v>
      </c>
      <c r="G296" t="s">
        <v>1065</v>
      </c>
      <c r="H296">
        <v>8</v>
      </c>
      <c r="I296">
        <v>0</v>
      </c>
      <c r="J296">
        <v>0</v>
      </c>
      <c r="K296">
        <v>0</v>
      </c>
      <c r="L296" s="61" t="s">
        <v>4779</v>
      </c>
    </row>
    <row r="297" spans="6:12">
      <c r="F297" t="s">
        <v>11387</v>
      </c>
      <c r="G297" t="s">
        <v>1065</v>
      </c>
      <c r="H297">
        <v>8</v>
      </c>
      <c r="I297">
        <v>0</v>
      </c>
      <c r="J297">
        <v>0</v>
      </c>
      <c r="K297">
        <v>0</v>
      </c>
      <c r="L297" s="61" t="s">
        <v>4779</v>
      </c>
    </row>
    <row r="298" spans="6:12">
      <c r="F298" t="s">
        <v>11388</v>
      </c>
      <c r="G298" t="s">
        <v>1065</v>
      </c>
      <c r="H298">
        <v>8</v>
      </c>
      <c r="I298">
        <v>0</v>
      </c>
      <c r="J298">
        <v>0</v>
      </c>
      <c r="K298">
        <v>0</v>
      </c>
      <c r="L298" s="61" t="s">
        <v>4779</v>
      </c>
    </row>
    <row r="299" spans="6:12">
      <c r="F299" t="s">
        <v>11389</v>
      </c>
      <c r="G299" t="s">
        <v>1065</v>
      </c>
      <c r="H299">
        <v>7</v>
      </c>
      <c r="I299">
        <v>1</v>
      </c>
      <c r="J299">
        <v>0</v>
      </c>
      <c r="K299">
        <v>0</v>
      </c>
      <c r="L299" s="61" t="s">
        <v>4779</v>
      </c>
    </row>
    <row r="300" spans="6:12">
      <c r="F300" t="s">
        <v>11390</v>
      </c>
      <c r="G300" t="s">
        <v>1065</v>
      </c>
      <c r="H300">
        <v>6</v>
      </c>
      <c r="I300">
        <v>2</v>
      </c>
      <c r="J300">
        <v>0</v>
      </c>
      <c r="K300">
        <v>0</v>
      </c>
      <c r="L300" s="61" t="s">
        <v>4779</v>
      </c>
    </row>
    <row r="301" spans="6:12">
      <c r="F301" t="s">
        <v>5642</v>
      </c>
      <c r="G301" t="s">
        <v>1065</v>
      </c>
      <c r="H301">
        <v>6</v>
      </c>
      <c r="I301">
        <v>2</v>
      </c>
      <c r="J301">
        <v>0</v>
      </c>
      <c r="K301">
        <v>0</v>
      </c>
      <c r="L301" s="61" t="s">
        <v>4779</v>
      </c>
    </row>
    <row r="302" spans="6:12">
      <c r="F302" t="s">
        <v>11391</v>
      </c>
      <c r="G302" t="s">
        <v>1065</v>
      </c>
      <c r="H302">
        <v>6</v>
      </c>
      <c r="I302">
        <v>2</v>
      </c>
      <c r="J302">
        <v>0</v>
      </c>
      <c r="K302">
        <v>0</v>
      </c>
      <c r="L302" s="61" t="s">
        <v>4779</v>
      </c>
    </row>
    <row r="303" spans="6:12">
      <c r="F303" t="s">
        <v>11392</v>
      </c>
      <c r="G303" t="s">
        <v>1066</v>
      </c>
      <c r="H303">
        <v>5</v>
      </c>
      <c r="I303">
        <v>2</v>
      </c>
      <c r="J303">
        <v>1</v>
      </c>
      <c r="K303">
        <v>0</v>
      </c>
      <c r="L303" s="61" t="s">
        <v>4779</v>
      </c>
    </row>
    <row r="304" spans="6:12">
      <c r="F304" t="s">
        <v>11393</v>
      </c>
      <c r="G304" t="s">
        <v>5188</v>
      </c>
      <c r="H304">
        <v>7</v>
      </c>
      <c r="I304">
        <v>1</v>
      </c>
      <c r="J304">
        <v>0</v>
      </c>
      <c r="K304">
        <v>0</v>
      </c>
      <c r="L304" s="61" t="s">
        <v>4779</v>
      </c>
    </row>
    <row r="305" spans="6:12">
      <c r="F305" t="s">
        <v>11394</v>
      </c>
      <c r="G305" t="s">
        <v>4939</v>
      </c>
      <c r="H305">
        <v>7</v>
      </c>
      <c r="I305">
        <v>0</v>
      </c>
      <c r="J305">
        <v>1</v>
      </c>
      <c r="K305">
        <v>0</v>
      </c>
      <c r="L305" s="61" t="s">
        <v>4779</v>
      </c>
    </row>
    <row r="306" spans="6:12">
      <c r="F306" t="s">
        <v>11395</v>
      </c>
      <c r="G306" t="s">
        <v>1069</v>
      </c>
      <c r="H306">
        <v>5</v>
      </c>
      <c r="I306">
        <v>2</v>
      </c>
      <c r="J306">
        <v>1</v>
      </c>
      <c r="K306">
        <v>0</v>
      </c>
      <c r="L306" s="61" t="s">
        <v>4779</v>
      </c>
    </row>
    <row r="307" spans="6:12">
      <c r="F307" t="s">
        <v>11396</v>
      </c>
      <c r="G307" t="s">
        <v>4877</v>
      </c>
      <c r="H307">
        <v>6</v>
      </c>
      <c r="I307">
        <v>2</v>
      </c>
      <c r="J307">
        <v>0</v>
      </c>
      <c r="K307">
        <v>0</v>
      </c>
      <c r="L307" s="61" t="s">
        <v>4779</v>
      </c>
    </row>
    <row r="308" spans="6:12">
      <c r="F308" t="s">
        <v>11397</v>
      </c>
      <c r="G308" t="s">
        <v>4555</v>
      </c>
      <c r="H308">
        <v>6</v>
      </c>
      <c r="I308">
        <v>2</v>
      </c>
      <c r="J308">
        <v>0</v>
      </c>
      <c r="K308">
        <v>0</v>
      </c>
      <c r="L308" s="61" t="s">
        <v>4779</v>
      </c>
    </row>
    <row r="309" spans="6:12">
      <c r="F309" t="s">
        <v>11398</v>
      </c>
      <c r="G309" t="s">
        <v>4551</v>
      </c>
      <c r="H309">
        <v>8</v>
      </c>
      <c r="I309">
        <v>0</v>
      </c>
      <c r="J309">
        <v>0</v>
      </c>
      <c r="K309">
        <v>0</v>
      </c>
      <c r="L309" s="61" t="s">
        <v>4779</v>
      </c>
    </row>
    <row r="310" spans="6:12">
      <c r="F310" t="s">
        <v>11399</v>
      </c>
      <c r="G310" t="s">
        <v>4632</v>
      </c>
      <c r="H310">
        <v>7</v>
      </c>
      <c r="I310">
        <v>1</v>
      </c>
      <c r="J310">
        <v>0</v>
      </c>
      <c r="K310">
        <v>0</v>
      </c>
      <c r="L310" s="61" t="s">
        <v>4779</v>
      </c>
    </row>
    <row r="311" spans="6:12">
      <c r="F311" t="s">
        <v>11400</v>
      </c>
      <c r="G311" t="s">
        <v>5187</v>
      </c>
      <c r="H311">
        <v>7</v>
      </c>
      <c r="I311">
        <v>1</v>
      </c>
      <c r="J311">
        <v>0</v>
      </c>
      <c r="K311">
        <v>0</v>
      </c>
      <c r="L311" s="61" t="s">
        <v>4779</v>
      </c>
    </row>
    <row r="312" spans="6:12">
      <c r="F312" t="s">
        <v>11401</v>
      </c>
      <c r="G312" t="s">
        <v>4596</v>
      </c>
      <c r="H312">
        <v>5</v>
      </c>
      <c r="I312">
        <v>2</v>
      </c>
      <c r="J312">
        <v>1</v>
      </c>
      <c r="K312">
        <v>0</v>
      </c>
      <c r="L312" s="61" t="s">
        <v>4779</v>
      </c>
    </row>
    <row r="313" spans="6:12">
      <c r="F313" t="s">
        <v>11402</v>
      </c>
      <c r="G313" t="s">
        <v>4616</v>
      </c>
      <c r="H313">
        <v>7</v>
      </c>
      <c r="I313">
        <v>1</v>
      </c>
      <c r="J313">
        <v>0</v>
      </c>
      <c r="K313">
        <v>0</v>
      </c>
      <c r="L313" s="61" t="s">
        <v>4779</v>
      </c>
    </row>
    <row r="314" spans="6:12">
      <c r="F314" t="s">
        <v>11403</v>
      </c>
      <c r="G314" t="s">
        <v>4886</v>
      </c>
      <c r="H314">
        <v>8</v>
      </c>
      <c r="I314">
        <v>0</v>
      </c>
      <c r="J314">
        <v>0</v>
      </c>
      <c r="K314">
        <v>0</v>
      </c>
      <c r="L314" s="61" t="s">
        <v>4779</v>
      </c>
    </row>
    <row r="315" spans="6:12">
      <c r="F315" t="s">
        <v>11404</v>
      </c>
      <c r="G315" t="s">
        <v>4568</v>
      </c>
      <c r="H315">
        <v>6</v>
      </c>
      <c r="I315">
        <v>2</v>
      </c>
      <c r="J315">
        <v>0</v>
      </c>
      <c r="K315">
        <v>0</v>
      </c>
      <c r="L315" s="61" t="s">
        <v>4779</v>
      </c>
    </row>
    <row r="316" spans="6:12">
      <c r="F316" t="s">
        <v>11405</v>
      </c>
      <c r="G316" t="s">
        <v>4889</v>
      </c>
      <c r="H316">
        <v>7</v>
      </c>
      <c r="I316">
        <v>1</v>
      </c>
      <c r="J316">
        <v>0</v>
      </c>
      <c r="K316">
        <v>0</v>
      </c>
      <c r="L316" s="61" t="s">
        <v>4779</v>
      </c>
    </row>
    <row r="317" spans="6:12">
      <c r="F317" t="s">
        <v>11406</v>
      </c>
      <c r="G317" t="s">
        <v>5191</v>
      </c>
      <c r="H317">
        <v>6</v>
      </c>
      <c r="I317">
        <v>2</v>
      </c>
      <c r="J317">
        <v>0</v>
      </c>
      <c r="K317">
        <v>0</v>
      </c>
      <c r="L317" s="61" t="s">
        <v>4779</v>
      </c>
    </row>
    <row r="318" spans="6:12">
      <c r="F318" t="s">
        <v>11407</v>
      </c>
      <c r="G318" t="s">
        <v>4556</v>
      </c>
      <c r="H318">
        <v>6</v>
      </c>
      <c r="I318">
        <v>1</v>
      </c>
      <c r="J318">
        <v>1</v>
      </c>
      <c r="K318">
        <v>0</v>
      </c>
      <c r="L318" s="61" t="s">
        <v>4779</v>
      </c>
    </row>
    <row r="319" spans="6:12">
      <c r="F319" t="s">
        <v>11408</v>
      </c>
      <c r="G319" t="s">
        <v>4891</v>
      </c>
      <c r="H319">
        <v>6</v>
      </c>
      <c r="I319">
        <v>2</v>
      </c>
      <c r="J319">
        <v>0</v>
      </c>
      <c r="K319">
        <v>0</v>
      </c>
      <c r="L319" s="61" t="s">
        <v>4779</v>
      </c>
    </row>
    <row r="320" spans="6:12">
      <c r="F320" t="s">
        <v>11409</v>
      </c>
      <c r="G320" t="s">
        <v>6057</v>
      </c>
      <c r="H320">
        <v>8</v>
      </c>
      <c r="I320">
        <v>0</v>
      </c>
      <c r="J320">
        <v>0</v>
      </c>
      <c r="K320">
        <v>0</v>
      </c>
      <c r="L320" s="61" t="s">
        <v>4779</v>
      </c>
    </row>
    <row r="321" spans="6:12">
      <c r="F321" t="s">
        <v>11410</v>
      </c>
      <c r="G321" t="s">
        <v>4676</v>
      </c>
      <c r="H321">
        <v>6</v>
      </c>
      <c r="I321">
        <v>2</v>
      </c>
      <c r="J321">
        <v>0</v>
      </c>
      <c r="K321">
        <v>0</v>
      </c>
      <c r="L321" s="61" t="s">
        <v>4779</v>
      </c>
    </row>
    <row r="322" spans="6:12">
      <c r="F322" t="s">
        <v>11411</v>
      </c>
      <c r="G322" t="s">
        <v>4849</v>
      </c>
      <c r="H322">
        <v>6</v>
      </c>
      <c r="I322">
        <v>2</v>
      </c>
      <c r="J322">
        <v>0</v>
      </c>
      <c r="K322">
        <v>0</v>
      </c>
      <c r="L322" s="61" t="s">
        <v>4779</v>
      </c>
    </row>
    <row r="323" spans="6:12">
      <c r="F323" t="s">
        <v>11412</v>
      </c>
      <c r="G323" t="s">
        <v>4864</v>
      </c>
      <c r="H323">
        <v>6</v>
      </c>
      <c r="I323">
        <v>2</v>
      </c>
      <c r="J323">
        <v>0</v>
      </c>
      <c r="K323">
        <v>0</v>
      </c>
      <c r="L323" s="61" t="s">
        <v>4779</v>
      </c>
    </row>
    <row r="324" spans="6:12">
      <c r="F324" t="s">
        <v>11413</v>
      </c>
      <c r="G324" t="s">
        <v>4880</v>
      </c>
      <c r="H324">
        <v>6</v>
      </c>
      <c r="I324">
        <v>2</v>
      </c>
      <c r="J324">
        <v>0</v>
      </c>
      <c r="K324">
        <v>0</v>
      </c>
      <c r="L324" s="61" t="s">
        <v>4779</v>
      </c>
    </row>
    <row r="325" spans="6:12">
      <c r="F325" t="s">
        <v>11414</v>
      </c>
      <c r="G325" t="s">
        <v>4676</v>
      </c>
      <c r="H325">
        <v>6</v>
      </c>
      <c r="I325">
        <v>1</v>
      </c>
      <c r="J325">
        <v>1</v>
      </c>
      <c r="K325">
        <v>0</v>
      </c>
      <c r="L325" s="61" t="s">
        <v>4779</v>
      </c>
    </row>
    <row r="326" spans="6:12">
      <c r="F326" t="s">
        <v>11415</v>
      </c>
      <c r="G326" t="s">
        <v>4851</v>
      </c>
      <c r="H326">
        <v>7</v>
      </c>
      <c r="I326">
        <v>1</v>
      </c>
      <c r="J326">
        <v>0</v>
      </c>
      <c r="K326">
        <v>0</v>
      </c>
      <c r="L326" s="61" t="s">
        <v>4779</v>
      </c>
    </row>
    <row r="327" spans="6:12">
      <c r="F327" t="s">
        <v>11416</v>
      </c>
      <c r="G327" t="s">
        <v>4882</v>
      </c>
      <c r="H327">
        <v>8</v>
      </c>
      <c r="I327">
        <v>0</v>
      </c>
      <c r="J327">
        <v>0</v>
      </c>
      <c r="K327">
        <v>0</v>
      </c>
      <c r="L327" s="61" t="s">
        <v>4779</v>
      </c>
    </row>
    <row r="328" spans="6:12">
      <c r="F328" t="s">
        <v>11417</v>
      </c>
      <c r="G328" t="s">
        <v>4547</v>
      </c>
      <c r="H328">
        <v>6</v>
      </c>
      <c r="I328">
        <v>2</v>
      </c>
      <c r="J328">
        <v>0</v>
      </c>
      <c r="K328">
        <v>0</v>
      </c>
      <c r="L328" s="61" t="s">
        <v>4779</v>
      </c>
    </row>
    <row r="329" spans="6:12">
      <c r="F329" t="s">
        <v>11418</v>
      </c>
      <c r="G329" t="s">
        <v>4591</v>
      </c>
      <c r="H329">
        <v>6</v>
      </c>
      <c r="I329">
        <v>2</v>
      </c>
      <c r="J329">
        <v>0</v>
      </c>
      <c r="K329">
        <v>0</v>
      </c>
      <c r="L329" s="61" t="s">
        <v>4779</v>
      </c>
    </row>
    <row r="330" spans="6:12">
      <c r="F330" t="s">
        <v>11419</v>
      </c>
      <c r="G330" t="s">
        <v>1067</v>
      </c>
      <c r="H330">
        <v>6</v>
      </c>
      <c r="I330">
        <v>2</v>
      </c>
      <c r="J330">
        <v>0</v>
      </c>
      <c r="K330">
        <v>0</v>
      </c>
      <c r="L330" s="61" t="s">
        <v>4779</v>
      </c>
    </row>
    <row r="331" spans="6:12">
      <c r="F331" t="s">
        <v>11420</v>
      </c>
      <c r="G331" t="s">
        <v>4567</v>
      </c>
      <c r="H331">
        <v>6</v>
      </c>
      <c r="I331">
        <v>1</v>
      </c>
      <c r="J331">
        <v>1</v>
      </c>
      <c r="K331">
        <v>0</v>
      </c>
      <c r="L331" s="61" t="s">
        <v>4779</v>
      </c>
    </row>
    <row r="332" spans="6:12">
      <c r="F332" t="s">
        <v>11421</v>
      </c>
      <c r="G332" t="s">
        <v>1069</v>
      </c>
      <c r="H332">
        <v>5</v>
      </c>
      <c r="I332">
        <v>2</v>
      </c>
      <c r="J332">
        <v>1</v>
      </c>
      <c r="K332">
        <v>0</v>
      </c>
      <c r="L332" s="61" t="s">
        <v>4779</v>
      </c>
    </row>
    <row r="333" spans="6:12">
      <c r="F333" t="s">
        <v>11422</v>
      </c>
      <c r="G333" t="s">
        <v>4552</v>
      </c>
      <c r="H333">
        <v>7</v>
      </c>
      <c r="I333">
        <v>1</v>
      </c>
      <c r="J333">
        <v>0</v>
      </c>
      <c r="K333">
        <v>0</v>
      </c>
      <c r="L333" s="61" t="s">
        <v>4779</v>
      </c>
    </row>
    <row r="334" spans="6:12">
      <c r="F334" t="s">
        <v>11423</v>
      </c>
      <c r="G334" t="s">
        <v>4591</v>
      </c>
      <c r="H334">
        <v>6</v>
      </c>
      <c r="I334">
        <v>2</v>
      </c>
      <c r="J334">
        <v>0</v>
      </c>
      <c r="K334">
        <v>0</v>
      </c>
      <c r="L334" s="61" t="s">
        <v>4779</v>
      </c>
    </row>
    <row r="335" spans="6:12">
      <c r="F335" t="s">
        <v>11424</v>
      </c>
      <c r="G335" t="s">
        <v>4873</v>
      </c>
      <c r="H335">
        <v>7</v>
      </c>
      <c r="I335">
        <v>1</v>
      </c>
      <c r="J335">
        <v>0</v>
      </c>
      <c r="K335">
        <v>0</v>
      </c>
      <c r="L335" s="61" t="s">
        <v>4779</v>
      </c>
    </row>
    <row r="336" spans="6:12">
      <c r="F336" t="s">
        <v>11425</v>
      </c>
      <c r="G336" t="s">
        <v>4904</v>
      </c>
      <c r="H336">
        <v>7</v>
      </c>
      <c r="I336">
        <v>1</v>
      </c>
      <c r="J336">
        <v>0</v>
      </c>
      <c r="K336">
        <v>0</v>
      </c>
      <c r="L336" s="61" t="s">
        <v>4779</v>
      </c>
    </row>
    <row r="337" spans="6:12">
      <c r="F337" t="s">
        <v>11426</v>
      </c>
      <c r="G337" t="s">
        <v>4672</v>
      </c>
      <c r="H337">
        <v>6</v>
      </c>
      <c r="I337">
        <v>2</v>
      </c>
      <c r="J337">
        <v>0</v>
      </c>
      <c r="K337">
        <v>0</v>
      </c>
      <c r="L337" s="61" t="s">
        <v>4779</v>
      </c>
    </row>
    <row r="338" spans="6:12">
      <c r="F338" t="s">
        <v>11427</v>
      </c>
      <c r="G338" t="s">
        <v>4557</v>
      </c>
      <c r="H338">
        <v>8</v>
      </c>
      <c r="I338">
        <v>0</v>
      </c>
      <c r="J338">
        <v>0</v>
      </c>
      <c r="K338">
        <v>0</v>
      </c>
      <c r="L338" s="61" t="s">
        <v>4779</v>
      </c>
    </row>
    <row r="339" spans="6:12">
      <c r="F339" t="s">
        <v>4942</v>
      </c>
      <c r="G339" t="s">
        <v>4681</v>
      </c>
      <c r="H339">
        <v>8</v>
      </c>
      <c r="I339">
        <v>0</v>
      </c>
      <c r="J339">
        <v>0</v>
      </c>
      <c r="K339">
        <v>0</v>
      </c>
      <c r="L339" s="61" t="s">
        <v>4779</v>
      </c>
    </row>
    <row r="340" spans="6:12">
      <c r="F340" t="s">
        <v>11428</v>
      </c>
      <c r="G340" t="s">
        <v>4555</v>
      </c>
      <c r="H340">
        <v>6</v>
      </c>
      <c r="I340">
        <v>1</v>
      </c>
      <c r="J340">
        <v>1</v>
      </c>
      <c r="K340">
        <v>0</v>
      </c>
      <c r="L340" s="61" t="s">
        <v>4779</v>
      </c>
    </row>
    <row r="341" spans="6:12">
      <c r="F341" t="s">
        <v>11429</v>
      </c>
      <c r="G341" t="s">
        <v>4879</v>
      </c>
      <c r="H341">
        <v>7</v>
      </c>
      <c r="I341">
        <v>1</v>
      </c>
      <c r="J341">
        <v>0</v>
      </c>
      <c r="K341">
        <v>0</v>
      </c>
      <c r="L341" s="61" t="s">
        <v>4779</v>
      </c>
    </row>
    <row r="342" spans="6:12">
      <c r="F342" t="s">
        <v>11430</v>
      </c>
      <c r="G342" t="s">
        <v>4869</v>
      </c>
      <c r="H342">
        <v>8</v>
      </c>
      <c r="I342">
        <v>0</v>
      </c>
      <c r="J342">
        <v>0</v>
      </c>
      <c r="K342">
        <v>0</v>
      </c>
      <c r="L342" s="61" t="s">
        <v>4779</v>
      </c>
    </row>
    <row r="343" spans="6:12">
      <c r="F343" t="s">
        <v>11431</v>
      </c>
      <c r="G343" t="s">
        <v>4577</v>
      </c>
      <c r="H343">
        <v>6</v>
      </c>
      <c r="I343">
        <v>1</v>
      </c>
      <c r="J343">
        <v>1</v>
      </c>
      <c r="K343">
        <v>0</v>
      </c>
      <c r="L343" s="61" t="s">
        <v>4779</v>
      </c>
    </row>
    <row r="344" spans="6:12">
      <c r="F344" t="s">
        <v>11432</v>
      </c>
      <c r="G344" t="s">
        <v>4567</v>
      </c>
      <c r="H344">
        <v>7</v>
      </c>
      <c r="I344">
        <v>1</v>
      </c>
      <c r="J344">
        <v>0</v>
      </c>
      <c r="K344">
        <v>0</v>
      </c>
      <c r="L344" s="61" t="s">
        <v>4779</v>
      </c>
    </row>
    <row r="345" spans="6:12">
      <c r="F345" t="s">
        <v>11433</v>
      </c>
      <c r="G345" t="s">
        <v>4864</v>
      </c>
      <c r="H345">
        <v>6</v>
      </c>
      <c r="I345">
        <v>1</v>
      </c>
      <c r="J345">
        <v>1</v>
      </c>
      <c r="K345">
        <v>0</v>
      </c>
      <c r="L345" s="61" t="s">
        <v>4779</v>
      </c>
    </row>
    <row r="346" spans="6:12">
      <c r="F346" t="s">
        <v>11434</v>
      </c>
      <c r="G346" t="s">
        <v>4881</v>
      </c>
      <c r="H346">
        <v>5</v>
      </c>
      <c r="I346">
        <v>2</v>
      </c>
      <c r="J346">
        <v>1</v>
      </c>
      <c r="K346">
        <v>0</v>
      </c>
      <c r="L346" s="61" t="s">
        <v>4779</v>
      </c>
    </row>
    <row r="347" spans="6:12">
      <c r="F347" t="s">
        <v>11435</v>
      </c>
      <c r="G347" t="s">
        <v>4870</v>
      </c>
      <c r="H347">
        <v>7</v>
      </c>
      <c r="I347">
        <v>1</v>
      </c>
      <c r="J347">
        <v>0</v>
      </c>
      <c r="K347">
        <v>0</v>
      </c>
      <c r="L347" s="61" t="s">
        <v>4779</v>
      </c>
    </row>
    <row r="348" spans="6:12">
      <c r="F348" t="s">
        <v>11436</v>
      </c>
      <c r="G348" t="s">
        <v>4627</v>
      </c>
      <c r="H348">
        <v>6</v>
      </c>
      <c r="I348">
        <v>2</v>
      </c>
      <c r="J348">
        <v>0</v>
      </c>
      <c r="K348">
        <v>0</v>
      </c>
      <c r="L348" s="61" t="s">
        <v>4779</v>
      </c>
    </row>
    <row r="349" spans="6:12">
      <c r="F349" t="s">
        <v>11437</v>
      </c>
      <c r="G349" t="s">
        <v>4561</v>
      </c>
      <c r="H349">
        <v>7</v>
      </c>
      <c r="I349">
        <v>0</v>
      </c>
      <c r="J349">
        <v>1</v>
      </c>
      <c r="K349">
        <v>0</v>
      </c>
      <c r="L349" s="61" t="s">
        <v>4779</v>
      </c>
    </row>
    <row r="350" spans="6:12">
      <c r="F350" t="s">
        <v>11438</v>
      </c>
      <c r="G350" t="s">
        <v>4620</v>
      </c>
      <c r="H350">
        <v>7</v>
      </c>
      <c r="I350">
        <v>0</v>
      </c>
      <c r="J350">
        <v>1</v>
      </c>
      <c r="K350">
        <v>0</v>
      </c>
      <c r="L350" s="61" t="s">
        <v>4779</v>
      </c>
    </row>
    <row r="351" spans="6:12">
      <c r="F351" t="s">
        <v>11439</v>
      </c>
      <c r="G351" t="s">
        <v>4578</v>
      </c>
      <c r="H351">
        <v>6</v>
      </c>
      <c r="I351">
        <v>2</v>
      </c>
      <c r="J351">
        <v>0</v>
      </c>
      <c r="K351">
        <v>0</v>
      </c>
      <c r="L351" s="61" t="s">
        <v>4779</v>
      </c>
    </row>
    <row r="352" spans="6:12">
      <c r="F352" t="s">
        <v>11440</v>
      </c>
      <c r="G352" t="s">
        <v>1071</v>
      </c>
      <c r="H352">
        <v>6</v>
      </c>
      <c r="I352">
        <v>2</v>
      </c>
      <c r="J352">
        <v>0</v>
      </c>
      <c r="K352">
        <v>0</v>
      </c>
      <c r="L352" s="61" t="s">
        <v>4779</v>
      </c>
    </row>
    <row r="353" spans="6:12">
      <c r="F353" t="s">
        <v>11441</v>
      </c>
      <c r="G353" t="s">
        <v>4633</v>
      </c>
      <c r="H353">
        <v>6</v>
      </c>
      <c r="I353">
        <v>2</v>
      </c>
      <c r="J353">
        <v>0</v>
      </c>
      <c r="K353">
        <v>0</v>
      </c>
      <c r="L353" s="61" t="s">
        <v>4779</v>
      </c>
    </row>
    <row r="354" spans="6:12">
      <c r="F354" t="s">
        <v>11442</v>
      </c>
      <c r="G354" t="s">
        <v>4600</v>
      </c>
      <c r="H354">
        <v>6</v>
      </c>
      <c r="I354">
        <v>1</v>
      </c>
      <c r="J354">
        <v>1</v>
      </c>
      <c r="K354">
        <v>0</v>
      </c>
      <c r="L354" s="61" t="s">
        <v>4779</v>
      </c>
    </row>
    <row r="355" spans="6:12">
      <c r="F355" t="s">
        <v>11443</v>
      </c>
      <c r="G355" t="s">
        <v>4854</v>
      </c>
      <c r="H355">
        <v>8</v>
      </c>
      <c r="I355">
        <v>0</v>
      </c>
      <c r="J355">
        <v>0</v>
      </c>
      <c r="K355">
        <v>0</v>
      </c>
      <c r="L355" s="61" t="s">
        <v>4779</v>
      </c>
    </row>
    <row r="356" spans="6:12">
      <c r="F356" t="s">
        <v>11444</v>
      </c>
      <c r="G356" t="s">
        <v>4578</v>
      </c>
      <c r="H356">
        <v>6</v>
      </c>
      <c r="I356">
        <v>2</v>
      </c>
      <c r="J356">
        <v>0</v>
      </c>
      <c r="K356">
        <v>0</v>
      </c>
      <c r="L356" s="61" t="s">
        <v>4779</v>
      </c>
    </row>
    <row r="357" spans="6:12">
      <c r="F357" t="s">
        <v>11445</v>
      </c>
      <c r="G357" t="s">
        <v>4899</v>
      </c>
      <c r="H357">
        <v>7</v>
      </c>
      <c r="I357">
        <v>1</v>
      </c>
      <c r="J357">
        <v>0</v>
      </c>
      <c r="K357">
        <v>0</v>
      </c>
      <c r="L357" s="61" t="s">
        <v>4779</v>
      </c>
    </row>
    <row r="358" spans="6:12">
      <c r="F358" t="s">
        <v>11446</v>
      </c>
      <c r="G358" t="s">
        <v>4881</v>
      </c>
      <c r="H358">
        <v>6</v>
      </c>
      <c r="I358">
        <v>1</v>
      </c>
      <c r="J358">
        <v>1</v>
      </c>
      <c r="K358">
        <v>0</v>
      </c>
      <c r="L358" s="61" t="s">
        <v>4779</v>
      </c>
    </row>
    <row r="359" spans="6:12">
      <c r="F359" t="s">
        <v>11447</v>
      </c>
      <c r="G359" t="s">
        <v>11448</v>
      </c>
      <c r="H359">
        <v>8</v>
      </c>
      <c r="I359">
        <v>0</v>
      </c>
      <c r="J359">
        <v>0</v>
      </c>
      <c r="K359">
        <v>0</v>
      </c>
      <c r="L359" s="61" t="s">
        <v>4779</v>
      </c>
    </row>
    <row r="360" spans="6:12">
      <c r="F360" t="s">
        <v>11449</v>
      </c>
      <c r="G360" t="s">
        <v>4670</v>
      </c>
      <c r="H360">
        <v>7</v>
      </c>
      <c r="I360">
        <v>1</v>
      </c>
      <c r="J360">
        <v>0</v>
      </c>
      <c r="K360">
        <v>0</v>
      </c>
      <c r="L360" s="61" t="s">
        <v>4779</v>
      </c>
    </row>
    <row r="361" spans="6:12">
      <c r="F361" t="s">
        <v>11450</v>
      </c>
      <c r="G361" t="s">
        <v>4614</v>
      </c>
      <c r="H361">
        <v>5</v>
      </c>
      <c r="I361">
        <v>2</v>
      </c>
      <c r="J361">
        <v>1</v>
      </c>
      <c r="K361">
        <v>0</v>
      </c>
      <c r="L361" s="61" t="s">
        <v>4779</v>
      </c>
    </row>
    <row r="362" spans="6:12">
      <c r="F362" t="s">
        <v>11451</v>
      </c>
      <c r="G362" t="s">
        <v>4868</v>
      </c>
      <c r="H362">
        <v>7</v>
      </c>
      <c r="I362">
        <v>1</v>
      </c>
      <c r="J362">
        <v>0</v>
      </c>
      <c r="K362">
        <v>0</v>
      </c>
      <c r="L362" s="61" t="s">
        <v>4779</v>
      </c>
    </row>
    <row r="363" spans="6:12">
      <c r="F363" t="s">
        <v>11452</v>
      </c>
      <c r="G363" t="s">
        <v>4854</v>
      </c>
      <c r="H363">
        <v>5</v>
      </c>
      <c r="I363">
        <v>2</v>
      </c>
      <c r="J363">
        <v>1</v>
      </c>
      <c r="K363">
        <v>0</v>
      </c>
      <c r="L363" s="61" t="s">
        <v>4779</v>
      </c>
    </row>
    <row r="364" spans="6:12">
      <c r="F364" t="s">
        <v>11453</v>
      </c>
      <c r="G364" t="s">
        <v>4850</v>
      </c>
      <c r="H364">
        <v>7</v>
      </c>
      <c r="I364">
        <v>1</v>
      </c>
      <c r="J364">
        <v>0</v>
      </c>
      <c r="K364">
        <v>0</v>
      </c>
      <c r="L364" s="61" t="s">
        <v>4779</v>
      </c>
    </row>
    <row r="365" spans="6:12">
      <c r="F365" t="s">
        <v>11454</v>
      </c>
      <c r="G365" t="s">
        <v>4886</v>
      </c>
      <c r="H365">
        <v>8</v>
      </c>
      <c r="I365">
        <v>0</v>
      </c>
      <c r="J365">
        <v>0</v>
      </c>
      <c r="K365">
        <v>0</v>
      </c>
      <c r="L365" s="61" t="s">
        <v>4779</v>
      </c>
    </row>
    <row r="366" spans="6:12">
      <c r="F366" t="s">
        <v>11455</v>
      </c>
      <c r="G366" t="s">
        <v>4880</v>
      </c>
      <c r="H366">
        <v>7</v>
      </c>
      <c r="I366">
        <v>1</v>
      </c>
      <c r="J366">
        <v>0</v>
      </c>
      <c r="K366">
        <v>0</v>
      </c>
      <c r="L366" s="61" t="s">
        <v>4779</v>
      </c>
    </row>
    <row r="367" spans="6:12">
      <c r="F367" t="s">
        <v>11456</v>
      </c>
      <c r="G367" t="s">
        <v>1070</v>
      </c>
      <c r="H367">
        <v>6</v>
      </c>
      <c r="I367">
        <v>2</v>
      </c>
      <c r="J367">
        <v>0</v>
      </c>
      <c r="K367">
        <v>0</v>
      </c>
      <c r="L367" s="61" t="s">
        <v>4779</v>
      </c>
    </row>
    <row r="368" spans="6:12">
      <c r="F368" t="s">
        <v>11457</v>
      </c>
      <c r="G368" t="s">
        <v>4881</v>
      </c>
      <c r="H368">
        <v>5</v>
      </c>
      <c r="I368">
        <v>2</v>
      </c>
      <c r="J368">
        <v>1</v>
      </c>
      <c r="K368">
        <v>0</v>
      </c>
      <c r="L368" s="61" t="s">
        <v>4779</v>
      </c>
    </row>
    <row r="369" spans="6:12">
      <c r="F369" t="s">
        <v>11458</v>
      </c>
      <c r="G369" t="s">
        <v>4851</v>
      </c>
      <c r="H369">
        <v>6</v>
      </c>
      <c r="I369">
        <v>2</v>
      </c>
      <c r="J369">
        <v>0</v>
      </c>
      <c r="K369">
        <v>0</v>
      </c>
      <c r="L369" s="61" t="s">
        <v>4779</v>
      </c>
    </row>
    <row r="370" spans="6:12">
      <c r="F370" t="s">
        <v>11459</v>
      </c>
      <c r="G370" t="s">
        <v>1065</v>
      </c>
      <c r="H370">
        <v>8</v>
      </c>
      <c r="I370">
        <v>0</v>
      </c>
      <c r="J370">
        <v>0</v>
      </c>
      <c r="K370">
        <v>0</v>
      </c>
      <c r="L370" s="61" t="s">
        <v>4779</v>
      </c>
    </row>
    <row r="371" spans="6:12">
      <c r="F371" t="s">
        <v>11460</v>
      </c>
      <c r="G371" t="s">
        <v>4570</v>
      </c>
      <c r="H371">
        <v>7</v>
      </c>
      <c r="I371">
        <v>1</v>
      </c>
      <c r="J371">
        <v>0</v>
      </c>
      <c r="K371">
        <v>0</v>
      </c>
      <c r="L371" s="61" t="s">
        <v>4779</v>
      </c>
    </row>
    <row r="372" spans="6:12">
      <c r="F372" t="s">
        <v>11461</v>
      </c>
      <c r="G372" t="s">
        <v>4863</v>
      </c>
      <c r="H372">
        <v>5</v>
      </c>
      <c r="I372">
        <v>2</v>
      </c>
      <c r="J372">
        <v>1</v>
      </c>
      <c r="K372">
        <v>0</v>
      </c>
      <c r="L372" s="61" t="s">
        <v>4779</v>
      </c>
    </row>
    <row r="373" spans="6:12">
      <c r="F373" t="s">
        <v>5830</v>
      </c>
      <c r="G373" t="s">
        <v>4868</v>
      </c>
      <c r="H373">
        <v>7</v>
      </c>
      <c r="I373">
        <v>1</v>
      </c>
      <c r="J373">
        <v>0</v>
      </c>
      <c r="K373">
        <v>0</v>
      </c>
      <c r="L373" s="61" t="s">
        <v>4779</v>
      </c>
    </row>
    <row r="374" spans="6:12">
      <c r="F374" t="s">
        <v>11462</v>
      </c>
      <c r="G374" t="s">
        <v>4627</v>
      </c>
      <c r="H374">
        <v>7</v>
      </c>
      <c r="I374">
        <v>1</v>
      </c>
      <c r="J374">
        <v>0</v>
      </c>
      <c r="K374">
        <v>0</v>
      </c>
      <c r="L374" s="61" t="s">
        <v>4779</v>
      </c>
    </row>
    <row r="375" spans="6:12">
      <c r="F375" t="s">
        <v>11463</v>
      </c>
      <c r="G375" t="s">
        <v>5191</v>
      </c>
      <c r="H375">
        <v>6</v>
      </c>
      <c r="I375">
        <v>2</v>
      </c>
      <c r="J375">
        <v>0</v>
      </c>
      <c r="K375">
        <v>0</v>
      </c>
      <c r="L375" s="61" t="s">
        <v>4779</v>
      </c>
    </row>
    <row r="376" spans="6:12">
      <c r="F376" t="s">
        <v>11464</v>
      </c>
      <c r="G376" t="s">
        <v>1071</v>
      </c>
      <c r="H376">
        <v>6</v>
      </c>
      <c r="I376">
        <v>2</v>
      </c>
      <c r="J376">
        <v>0</v>
      </c>
      <c r="K376">
        <v>0</v>
      </c>
      <c r="L376" s="61" t="s">
        <v>4779</v>
      </c>
    </row>
    <row r="377" spans="6:12">
      <c r="F377" t="s">
        <v>11465</v>
      </c>
      <c r="G377" t="s">
        <v>5400</v>
      </c>
      <c r="H377">
        <v>8</v>
      </c>
      <c r="I377">
        <v>0</v>
      </c>
      <c r="J377">
        <v>0</v>
      </c>
      <c r="K377">
        <v>0</v>
      </c>
      <c r="L377" s="61" t="s">
        <v>4779</v>
      </c>
    </row>
    <row r="378" spans="6:12">
      <c r="F378" t="s">
        <v>11466</v>
      </c>
      <c r="G378" t="s">
        <v>4856</v>
      </c>
      <c r="H378">
        <v>6</v>
      </c>
      <c r="I378">
        <v>2</v>
      </c>
      <c r="J378">
        <v>0</v>
      </c>
      <c r="K378">
        <v>0</v>
      </c>
      <c r="L378" s="61" t="s">
        <v>4779</v>
      </c>
    </row>
    <row r="379" spans="6:12">
      <c r="F379" t="s">
        <v>11467</v>
      </c>
      <c r="G379" t="s">
        <v>4565</v>
      </c>
      <c r="H379">
        <v>7</v>
      </c>
      <c r="I379">
        <v>1</v>
      </c>
      <c r="J379">
        <v>0</v>
      </c>
      <c r="K379">
        <v>0</v>
      </c>
      <c r="L379" s="61" t="s">
        <v>4779</v>
      </c>
    </row>
    <row r="380" spans="6:12">
      <c r="F380" t="s">
        <v>11468</v>
      </c>
      <c r="G380" t="s">
        <v>4566</v>
      </c>
      <c r="H380">
        <v>6</v>
      </c>
      <c r="I380">
        <v>2</v>
      </c>
      <c r="J380">
        <v>0</v>
      </c>
      <c r="K380">
        <v>0</v>
      </c>
      <c r="L380" s="61" t="s">
        <v>4779</v>
      </c>
    </row>
    <row r="381" spans="6:12">
      <c r="F381" t="s">
        <v>11469</v>
      </c>
      <c r="G381" t="s">
        <v>1068</v>
      </c>
      <c r="H381">
        <v>5</v>
      </c>
      <c r="I381">
        <v>2</v>
      </c>
      <c r="J381">
        <v>1</v>
      </c>
      <c r="K381">
        <v>0</v>
      </c>
      <c r="L381" s="61" t="s">
        <v>4779</v>
      </c>
    </row>
    <row r="382" spans="6:12">
      <c r="F382" t="s">
        <v>11470</v>
      </c>
      <c r="G382" t="s">
        <v>1067</v>
      </c>
      <c r="H382">
        <v>7</v>
      </c>
      <c r="I382">
        <v>1</v>
      </c>
      <c r="J382">
        <v>0</v>
      </c>
      <c r="K382">
        <v>0</v>
      </c>
      <c r="L382" s="61" t="s">
        <v>4779</v>
      </c>
    </row>
    <row r="383" spans="6:12">
      <c r="F383" t="s">
        <v>11471</v>
      </c>
      <c r="G383" t="s">
        <v>4891</v>
      </c>
      <c r="H383">
        <v>6</v>
      </c>
      <c r="I383">
        <v>1</v>
      </c>
      <c r="J383">
        <v>1</v>
      </c>
      <c r="K383">
        <v>0</v>
      </c>
      <c r="L383" s="61" t="s">
        <v>4779</v>
      </c>
    </row>
    <row r="384" spans="6:12">
      <c r="F384" t="s">
        <v>11472</v>
      </c>
      <c r="G384" t="s">
        <v>4576</v>
      </c>
      <c r="H384">
        <v>5</v>
      </c>
      <c r="I384">
        <v>2</v>
      </c>
      <c r="J384">
        <v>1</v>
      </c>
      <c r="K384">
        <v>0</v>
      </c>
      <c r="L384" s="61" t="s">
        <v>4779</v>
      </c>
    </row>
    <row r="385" spans="6:12">
      <c r="F385" t="s">
        <v>11473</v>
      </c>
      <c r="G385" t="s">
        <v>1071</v>
      </c>
      <c r="H385">
        <v>6</v>
      </c>
      <c r="I385">
        <v>2</v>
      </c>
      <c r="J385">
        <v>0</v>
      </c>
      <c r="K385">
        <v>0</v>
      </c>
      <c r="L385" s="61" t="s">
        <v>4779</v>
      </c>
    </row>
    <row r="386" spans="6:12">
      <c r="F386" t="s">
        <v>11474</v>
      </c>
      <c r="G386" t="s">
        <v>11475</v>
      </c>
      <c r="H386">
        <v>8</v>
      </c>
      <c r="I386">
        <v>0</v>
      </c>
      <c r="J386">
        <v>0</v>
      </c>
      <c r="K386">
        <v>0</v>
      </c>
      <c r="L386" s="61" t="s">
        <v>4779</v>
      </c>
    </row>
    <row r="387" spans="6:12">
      <c r="F387" t="s">
        <v>11476</v>
      </c>
      <c r="G387" t="s">
        <v>4903</v>
      </c>
      <c r="H387">
        <v>7</v>
      </c>
      <c r="I387">
        <v>1</v>
      </c>
      <c r="J387">
        <v>0</v>
      </c>
      <c r="K387">
        <v>0</v>
      </c>
      <c r="L387" s="61" t="s">
        <v>4779</v>
      </c>
    </row>
    <row r="388" spans="6:12">
      <c r="F388" t="s">
        <v>11477</v>
      </c>
      <c r="G388" t="s">
        <v>4618</v>
      </c>
      <c r="H388">
        <v>7</v>
      </c>
      <c r="I388">
        <v>1</v>
      </c>
      <c r="J388">
        <v>0</v>
      </c>
      <c r="K388">
        <v>0</v>
      </c>
      <c r="L388" s="61" t="s">
        <v>4779</v>
      </c>
    </row>
    <row r="389" spans="6:12">
      <c r="F389" t="s">
        <v>11478</v>
      </c>
      <c r="G389" t="s">
        <v>4882</v>
      </c>
      <c r="H389">
        <v>6</v>
      </c>
      <c r="I389">
        <v>1</v>
      </c>
      <c r="J389">
        <v>1</v>
      </c>
      <c r="K389">
        <v>0</v>
      </c>
      <c r="L389" s="61" t="s">
        <v>4779</v>
      </c>
    </row>
    <row r="390" spans="6:12">
      <c r="F390" t="s">
        <v>11479</v>
      </c>
      <c r="G390" t="s">
        <v>4547</v>
      </c>
      <c r="H390">
        <v>7</v>
      </c>
      <c r="I390">
        <v>1</v>
      </c>
      <c r="J390">
        <v>0</v>
      </c>
      <c r="K390">
        <v>0</v>
      </c>
      <c r="L390" s="61" t="s">
        <v>4779</v>
      </c>
    </row>
    <row r="391" spans="6:12">
      <c r="F391" t="s">
        <v>11480</v>
      </c>
      <c r="G391" t="s">
        <v>4880</v>
      </c>
      <c r="H391">
        <v>6</v>
      </c>
      <c r="I391">
        <v>1</v>
      </c>
      <c r="J391">
        <v>1</v>
      </c>
      <c r="K391">
        <v>0</v>
      </c>
      <c r="L391" s="61" t="s">
        <v>4779</v>
      </c>
    </row>
    <row r="392" spans="6:12">
      <c r="F392" t="s">
        <v>11481</v>
      </c>
      <c r="G392" t="s">
        <v>4633</v>
      </c>
      <c r="H392">
        <v>7</v>
      </c>
      <c r="I392">
        <v>1</v>
      </c>
      <c r="J392">
        <v>0</v>
      </c>
      <c r="K392">
        <v>0</v>
      </c>
      <c r="L392" s="61" t="s">
        <v>4779</v>
      </c>
    </row>
    <row r="393" spans="6:12">
      <c r="F393" t="s">
        <v>11482</v>
      </c>
      <c r="G393" t="s">
        <v>5186</v>
      </c>
      <c r="H393">
        <v>8</v>
      </c>
      <c r="I393">
        <v>0</v>
      </c>
      <c r="J393">
        <v>0</v>
      </c>
      <c r="K393">
        <v>0</v>
      </c>
      <c r="L393" s="61" t="s">
        <v>4779</v>
      </c>
    </row>
    <row r="394" spans="6:12">
      <c r="F394" t="s">
        <v>11483</v>
      </c>
      <c r="G394" t="s">
        <v>11448</v>
      </c>
      <c r="H394">
        <v>8</v>
      </c>
      <c r="I394">
        <v>0</v>
      </c>
      <c r="J394">
        <v>0</v>
      </c>
      <c r="K394">
        <v>0</v>
      </c>
      <c r="L394" s="61" t="s">
        <v>4779</v>
      </c>
    </row>
    <row r="395" spans="6:12">
      <c r="F395" t="s">
        <v>11484</v>
      </c>
      <c r="G395" t="s">
        <v>5194</v>
      </c>
      <c r="H395">
        <v>7</v>
      </c>
      <c r="I395">
        <v>1</v>
      </c>
      <c r="J395">
        <v>0</v>
      </c>
      <c r="K395">
        <v>0</v>
      </c>
      <c r="L395" s="61" t="s">
        <v>4779</v>
      </c>
    </row>
    <row r="396" spans="6:12">
      <c r="F396" t="s">
        <v>11485</v>
      </c>
      <c r="G396" t="s">
        <v>4591</v>
      </c>
      <c r="H396">
        <v>6</v>
      </c>
      <c r="I396">
        <v>2</v>
      </c>
      <c r="J396">
        <v>0</v>
      </c>
      <c r="K396">
        <v>0</v>
      </c>
      <c r="L396" s="61" t="s">
        <v>4779</v>
      </c>
    </row>
    <row r="397" spans="6:12">
      <c r="F397" t="s">
        <v>11486</v>
      </c>
      <c r="G397" t="s">
        <v>4880</v>
      </c>
      <c r="H397">
        <v>6</v>
      </c>
      <c r="I397">
        <v>2</v>
      </c>
      <c r="J397">
        <v>0</v>
      </c>
      <c r="K397">
        <v>0</v>
      </c>
      <c r="L397" s="61" t="s">
        <v>4779</v>
      </c>
    </row>
    <row r="398" spans="6:12">
      <c r="F398" t="s">
        <v>11487</v>
      </c>
      <c r="G398" t="s">
        <v>4627</v>
      </c>
      <c r="H398">
        <v>6</v>
      </c>
      <c r="I398">
        <v>2</v>
      </c>
      <c r="J398">
        <v>0</v>
      </c>
      <c r="K398">
        <v>0</v>
      </c>
      <c r="L398" s="61" t="s">
        <v>4779</v>
      </c>
    </row>
    <row r="399" spans="6:12">
      <c r="F399" t="s">
        <v>11488</v>
      </c>
      <c r="G399" t="s">
        <v>4555</v>
      </c>
      <c r="H399">
        <v>7</v>
      </c>
      <c r="I399">
        <v>1</v>
      </c>
      <c r="J399">
        <v>0</v>
      </c>
      <c r="K399">
        <v>0</v>
      </c>
      <c r="L399" s="61" t="s">
        <v>4779</v>
      </c>
    </row>
    <row r="400" spans="6:12">
      <c r="F400" t="s">
        <v>11489</v>
      </c>
      <c r="G400" t="s">
        <v>4568</v>
      </c>
      <c r="H400">
        <v>7</v>
      </c>
      <c r="I400">
        <v>1</v>
      </c>
      <c r="J400">
        <v>0</v>
      </c>
      <c r="K400">
        <v>0</v>
      </c>
      <c r="L400" s="61" t="s">
        <v>4779</v>
      </c>
    </row>
    <row r="401" spans="6:12">
      <c r="F401" t="s">
        <v>11490</v>
      </c>
      <c r="G401" t="s">
        <v>4857</v>
      </c>
      <c r="H401">
        <v>8</v>
      </c>
      <c r="I401">
        <v>0</v>
      </c>
      <c r="J401">
        <v>0</v>
      </c>
      <c r="K401">
        <v>0</v>
      </c>
      <c r="L401" s="61" t="s">
        <v>4779</v>
      </c>
    </row>
    <row r="402" spans="6:12">
      <c r="F402" t="s">
        <v>11491</v>
      </c>
      <c r="G402" t="s">
        <v>4880</v>
      </c>
      <c r="H402">
        <v>6</v>
      </c>
      <c r="I402">
        <v>2</v>
      </c>
      <c r="J402">
        <v>0</v>
      </c>
      <c r="K402">
        <v>0</v>
      </c>
      <c r="L402" s="61" t="s">
        <v>4779</v>
      </c>
    </row>
    <row r="403" spans="6:12">
      <c r="F403" t="s">
        <v>11492</v>
      </c>
      <c r="G403" t="s">
        <v>4600</v>
      </c>
      <c r="H403">
        <v>6</v>
      </c>
      <c r="I403">
        <v>1</v>
      </c>
      <c r="J403">
        <v>1</v>
      </c>
      <c r="K403">
        <v>0</v>
      </c>
      <c r="L403" s="61" t="s">
        <v>4779</v>
      </c>
    </row>
    <row r="404" spans="6:12">
      <c r="F404" t="s">
        <v>11493</v>
      </c>
      <c r="G404" t="s">
        <v>4652</v>
      </c>
      <c r="H404">
        <v>8</v>
      </c>
      <c r="I404">
        <v>0</v>
      </c>
      <c r="J404">
        <v>0</v>
      </c>
      <c r="K404">
        <v>0</v>
      </c>
      <c r="L404" s="61" t="s">
        <v>4779</v>
      </c>
    </row>
    <row r="405" spans="6:12">
      <c r="F405" t="s">
        <v>11494</v>
      </c>
      <c r="G405" t="s">
        <v>4564</v>
      </c>
      <c r="H405">
        <v>6</v>
      </c>
      <c r="I405">
        <v>1</v>
      </c>
      <c r="J405">
        <v>1</v>
      </c>
      <c r="K405">
        <v>0</v>
      </c>
      <c r="L405" s="61" t="s">
        <v>4779</v>
      </c>
    </row>
    <row r="406" spans="6:12">
      <c r="F406" t="s">
        <v>11495</v>
      </c>
      <c r="G406" t="s">
        <v>6100</v>
      </c>
      <c r="H406">
        <v>8</v>
      </c>
      <c r="I406">
        <v>0</v>
      </c>
      <c r="J406">
        <v>0</v>
      </c>
      <c r="K406">
        <v>0</v>
      </c>
      <c r="L406" s="61" t="s">
        <v>4779</v>
      </c>
    </row>
    <row r="407" spans="6:12">
      <c r="F407" t="s">
        <v>4999</v>
      </c>
      <c r="G407" t="s">
        <v>6097</v>
      </c>
      <c r="H407">
        <v>8</v>
      </c>
      <c r="I407">
        <v>0</v>
      </c>
      <c r="J407">
        <v>0</v>
      </c>
      <c r="K407">
        <v>0</v>
      </c>
      <c r="L407" s="61" t="s">
        <v>4779</v>
      </c>
    </row>
    <row r="408" spans="6:12">
      <c r="F408" t="s">
        <v>11496</v>
      </c>
      <c r="G408" t="s">
        <v>4614</v>
      </c>
      <c r="H408">
        <v>6</v>
      </c>
      <c r="I408">
        <v>2</v>
      </c>
      <c r="J408">
        <v>0</v>
      </c>
      <c r="K408">
        <v>0</v>
      </c>
      <c r="L408" s="61" t="s">
        <v>4779</v>
      </c>
    </row>
    <row r="409" spans="6:12">
      <c r="F409" t="s">
        <v>11497</v>
      </c>
      <c r="G409" t="s">
        <v>4555</v>
      </c>
      <c r="H409">
        <v>7</v>
      </c>
      <c r="I409">
        <v>1</v>
      </c>
      <c r="J409">
        <v>0</v>
      </c>
      <c r="K409">
        <v>0</v>
      </c>
      <c r="L409" s="61" t="s">
        <v>4779</v>
      </c>
    </row>
    <row r="410" spans="6:12">
      <c r="F410" t="s">
        <v>11498</v>
      </c>
      <c r="G410" t="s">
        <v>4555</v>
      </c>
      <c r="H410">
        <v>5</v>
      </c>
      <c r="I410">
        <v>2</v>
      </c>
      <c r="J410">
        <v>1</v>
      </c>
      <c r="K410">
        <v>0</v>
      </c>
      <c r="L410" s="61" t="s">
        <v>4779</v>
      </c>
    </row>
    <row r="411" spans="6:12">
      <c r="F411" t="s">
        <v>11499</v>
      </c>
      <c r="G411" t="s">
        <v>1066</v>
      </c>
      <c r="H411">
        <v>7</v>
      </c>
      <c r="I411">
        <v>1</v>
      </c>
      <c r="J411">
        <v>0</v>
      </c>
      <c r="K411">
        <v>0</v>
      </c>
      <c r="L411" s="61" t="s">
        <v>4779</v>
      </c>
    </row>
    <row r="412" spans="6:12">
      <c r="F412" t="s">
        <v>11500</v>
      </c>
      <c r="G412" t="s">
        <v>4564</v>
      </c>
      <c r="H412">
        <v>6</v>
      </c>
      <c r="I412">
        <v>2</v>
      </c>
      <c r="J412">
        <v>0</v>
      </c>
      <c r="K412">
        <v>0</v>
      </c>
      <c r="L412" s="61" t="s">
        <v>4779</v>
      </c>
    </row>
    <row r="413" spans="6:12">
      <c r="F413" t="s">
        <v>11501</v>
      </c>
      <c r="G413" t="s">
        <v>5194</v>
      </c>
      <c r="H413">
        <v>8</v>
      </c>
      <c r="I413">
        <v>0</v>
      </c>
      <c r="J413">
        <v>0</v>
      </c>
      <c r="K413">
        <v>0</v>
      </c>
      <c r="L413" s="61" t="s">
        <v>4779</v>
      </c>
    </row>
    <row r="414" spans="6:12">
      <c r="F414" t="s">
        <v>11502</v>
      </c>
      <c r="G414" t="s">
        <v>4648</v>
      </c>
      <c r="H414">
        <v>7</v>
      </c>
      <c r="I414">
        <v>1</v>
      </c>
      <c r="J414">
        <v>0</v>
      </c>
      <c r="K414">
        <v>0</v>
      </c>
      <c r="L414" s="61" t="s">
        <v>4779</v>
      </c>
    </row>
    <row r="415" spans="6:12">
      <c r="F415" t="s">
        <v>11503</v>
      </c>
      <c r="G415" t="s">
        <v>1070</v>
      </c>
      <c r="H415">
        <v>6</v>
      </c>
      <c r="I415">
        <v>2</v>
      </c>
      <c r="J415">
        <v>0</v>
      </c>
      <c r="K415">
        <v>0</v>
      </c>
      <c r="L415" s="61" t="s">
        <v>4779</v>
      </c>
    </row>
    <row r="416" spans="6:12">
      <c r="F416" t="s">
        <v>11504</v>
      </c>
      <c r="G416" t="s">
        <v>4639</v>
      </c>
      <c r="H416">
        <v>8</v>
      </c>
      <c r="I416">
        <v>0</v>
      </c>
      <c r="J416">
        <v>0</v>
      </c>
      <c r="K416">
        <v>0</v>
      </c>
      <c r="L416" s="61" t="s">
        <v>4779</v>
      </c>
    </row>
    <row r="417" spans="6:12">
      <c r="F417" t="s">
        <v>11505</v>
      </c>
      <c r="G417" t="s">
        <v>4890</v>
      </c>
      <c r="H417">
        <v>7</v>
      </c>
      <c r="I417">
        <v>1</v>
      </c>
      <c r="J417">
        <v>0</v>
      </c>
      <c r="K417">
        <v>0</v>
      </c>
      <c r="L417" s="61" t="s">
        <v>4779</v>
      </c>
    </row>
    <row r="418" spans="6:12">
      <c r="F418" t="s">
        <v>11506</v>
      </c>
      <c r="G418" t="s">
        <v>4574</v>
      </c>
      <c r="H418">
        <v>7</v>
      </c>
      <c r="I418">
        <v>1</v>
      </c>
      <c r="J418">
        <v>0</v>
      </c>
      <c r="K418">
        <v>0</v>
      </c>
      <c r="L418" s="61" t="s">
        <v>4779</v>
      </c>
    </row>
    <row r="419" spans="6:12">
      <c r="F419" t="s">
        <v>11507</v>
      </c>
      <c r="G419" t="s">
        <v>4863</v>
      </c>
      <c r="H419">
        <v>5</v>
      </c>
      <c r="I419">
        <v>2</v>
      </c>
      <c r="J419">
        <v>1</v>
      </c>
      <c r="K419">
        <v>0</v>
      </c>
      <c r="L419" s="61" t="s">
        <v>4779</v>
      </c>
    </row>
    <row r="420" spans="6:12">
      <c r="F420" t="s">
        <v>11508</v>
      </c>
      <c r="G420" t="s">
        <v>4900</v>
      </c>
      <c r="H420">
        <v>6</v>
      </c>
      <c r="I420">
        <v>2</v>
      </c>
      <c r="J420">
        <v>0</v>
      </c>
      <c r="K420">
        <v>0</v>
      </c>
      <c r="L420" s="61" t="s">
        <v>4779</v>
      </c>
    </row>
    <row r="421" spans="6:12">
      <c r="F421" t="s">
        <v>11509</v>
      </c>
      <c r="G421" t="s">
        <v>1069</v>
      </c>
      <c r="H421">
        <v>6</v>
      </c>
      <c r="I421">
        <v>2</v>
      </c>
      <c r="J421">
        <v>0</v>
      </c>
      <c r="K421">
        <v>0</v>
      </c>
      <c r="L421" s="61" t="s">
        <v>4779</v>
      </c>
    </row>
    <row r="422" spans="6:12">
      <c r="F422" t="s">
        <v>11510</v>
      </c>
      <c r="G422" t="s">
        <v>4546</v>
      </c>
      <c r="H422">
        <v>7</v>
      </c>
      <c r="I422">
        <v>1</v>
      </c>
      <c r="J422">
        <v>0</v>
      </c>
      <c r="K422">
        <v>0</v>
      </c>
      <c r="L422" s="61" t="s">
        <v>4779</v>
      </c>
    </row>
    <row r="423" spans="6:12">
      <c r="F423" t="s">
        <v>11511</v>
      </c>
      <c r="G423" t="s">
        <v>4877</v>
      </c>
      <c r="H423">
        <v>6</v>
      </c>
      <c r="I423">
        <v>2</v>
      </c>
      <c r="J423">
        <v>0</v>
      </c>
      <c r="K423">
        <v>0</v>
      </c>
      <c r="L423" s="61" t="s">
        <v>4779</v>
      </c>
    </row>
    <row r="424" spans="6:12">
      <c r="F424" t="s">
        <v>11512</v>
      </c>
      <c r="G424" t="s">
        <v>5196</v>
      </c>
      <c r="H424">
        <v>8</v>
      </c>
      <c r="I424">
        <v>0</v>
      </c>
      <c r="J424">
        <v>0</v>
      </c>
      <c r="K424">
        <v>0</v>
      </c>
      <c r="L424" s="61" t="s">
        <v>4779</v>
      </c>
    </row>
    <row r="425" spans="6:12">
      <c r="F425" t="s">
        <v>11513</v>
      </c>
      <c r="G425" t="s">
        <v>4547</v>
      </c>
      <c r="H425">
        <v>6</v>
      </c>
      <c r="I425">
        <v>2</v>
      </c>
      <c r="J425">
        <v>0</v>
      </c>
      <c r="K425">
        <v>0</v>
      </c>
      <c r="L425" s="61" t="s">
        <v>4779</v>
      </c>
    </row>
    <row r="426" spans="6:12">
      <c r="F426" t="s">
        <v>11514</v>
      </c>
      <c r="G426" t="s">
        <v>4646</v>
      </c>
      <c r="H426">
        <v>7</v>
      </c>
      <c r="I426">
        <v>1</v>
      </c>
      <c r="J426">
        <v>0</v>
      </c>
      <c r="K426">
        <v>0</v>
      </c>
      <c r="L426" s="61" t="s">
        <v>4779</v>
      </c>
    </row>
    <row r="427" spans="6:12">
      <c r="F427" t="s">
        <v>11515</v>
      </c>
      <c r="G427" t="s">
        <v>1071</v>
      </c>
      <c r="H427">
        <v>7</v>
      </c>
      <c r="I427">
        <v>1</v>
      </c>
      <c r="J427">
        <v>0</v>
      </c>
      <c r="K427">
        <v>0</v>
      </c>
      <c r="L427" s="61" t="s">
        <v>4779</v>
      </c>
    </row>
    <row r="428" spans="6:12">
      <c r="F428" t="s">
        <v>5184</v>
      </c>
      <c r="G428" t="s">
        <v>4646</v>
      </c>
      <c r="H428">
        <v>7</v>
      </c>
      <c r="I428">
        <v>1</v>
      </c>
      <c r="J428">
        <v>0</v>
      </c>
      <c r="K428">
        <v>0</v>
      </c>
      <c r="L428" s="61" t="s">
        <v>4779</v>
      </c>
    </row>
    <row r="429" spans="6:12">
      <c r="F429" t="s">
        <v>11516</v>
      </c>
      <c r="G429" t="s">
        <v>4548</v>
      </c>
      <c r="H429">
        <v>6</v>
      </c>
      <c r="I429">
        <v>2</v>
      </c>
      <c r="J429">
        <v>0</v>
      </c>
      <c r="K429">
        <v>0</v>
      </c>
      <c r="L429" s="61" t="s">
        <v>4779</v>
      </c>
    </row>
    <row r="430" spans="6:12">
      <c r="F430" t="s">
        <v>11517</v>
      </c>
      <c r="G430" t="s">
        <v>5191</v>
      </c>
      <c r="H430">
        <v>6</v>
      </c>
      <c r="I430">
        <v>2</v>
      </c>
      <c r="J430">
        <v>0</v>
      </c>
      <c r="K430">
        <v>0</v>
      </c>
      <c r="L430" s="61" t="s">
        <v>4779</v>
      </c>
    </row>
    <row r="431" spans="6:12">
      <c r="F431" t="s">
        <v>11518</v>
      </c>
      <c r="G431" t="s">
        <v>1071</v>
      </c>
      <c r="H431">
        <v>7</v>
      </c>
      <c r="I431">
        <v>0</v>
      </c>
      <c r="J431">
        <v>1</v>
      </c>
      <c r="K431">
        <v>0</v>
      </c>
      <c r="L431" s="61" t="s">
        <v>4779</v>
      </c>
    </row>
    <row r="432" spans="6:12">
      <c r="F432" t="s">
        <v>11519</v>
      </c>
      <c r="G432" t="s">
        <v>4601</v>
      </c>
      <c r="H432">
        <v>5</v>
      </c>
      <c r="I432">
        <v>2</v>
      </c>
      <c r="J432">
        <v>1</v>
      </c>
      <c r="K432">
        <v>0</v>
      </c>
      <c r="L432" s="61" t="s">
        <v>4779</v>
      </c>
    </row>
    <row r="433" spans="6:12">
      <c r="F433" t="s">
        <v>11520</v>
      </c>
      <c r="G433" t="s">
        <v>4564</v>
      </c>
      <c r="H433">
        <v>5</v>
      </c>
      <c r="I433">
        <v>2</v>
      </c>
      <c r="J433">
        <v>1</v>
      </c>
      <c r="K433">
        <v>0</v>
      </c>
      <c r="L433" s="61" t="s">
        <v>4779</v>
      </c>
    </row>
    <row r="434" spans="6:12">
      <c r="F434" t="s">
        <v>11521</v>
      </c>
      <c r="G434" t="s">
        <v>4868</v>
      </c>
      <c r="H434">
        <v>6</v>
      </c>
      <c r="I434">
        <v>2</v>
      </c>
      <c r="J434">
        <v>0</v>
      </c>
      <c r="K434">
        <v>0</v>
      </c>
      <c r="L434" s="61" t="s">
        <v>4779</v>
      </c>
    </row>
    <row r="435" spans="6:12">
      <c r="F435" t="s">
        <v>11522</v>
      </c>
      <c r="G435" t="s">
        <v>4893</v>
      </c>
      <c r="H435">
        <v>8</v>
      </c>
      <c r="I435">
        <v>0</v>
      </c>
      <c r="J435">
        <v>0</v>
      </c>
      <c r="K435">
        <v>0</v>
      </c>
      <c r="L435" s="61" t="s">
        <v>4779</v>
      </c>
    </row>
    <row r="436" spans="6:12">
      <c r="F436" t="s">
        <v>11523</v>
      </c>
      <c r="G436" t="s">
        <v>4576</v>
      </c>
      <c r="H436">
        <v>6</v>
      </c>
      <c r="I436">
        <v>2</v>
      </c>
      <c r="J436">
        <v>0</v>
      </c>
      <c r="K436">
        <v>0</v>
      </c>
      <c r="L436" s="61" t="s">
        <v>4779</v>
      </c>
    </row>
    <row r="437" spans="6:12">
      <c r="F437" t="s">
        <v>11524</v>
      </c>
      <c r="G437" t="s">
        <v>4852</v>
      </c>
      <c r="H437">
        <v>6</v>
      </c>
      <c r="I437">
        <v>2</v>
      </c>
      <c r="J437">
        <v>0</v>
      </c>
      <c r="K437">
        <v>0</v>
      </c>
      <c r="L437" s="61" t="s">
        <v>4779</v>
      </c>
    </row>
    <row r="438" spans="6:12">
      <c r="F438" t="s">
        <v>11525</v>
      </c>
      <c r="G438" t="s">
        <v>1069</v>
      </c>
      <c r="H438">
        <v>6</v>
      </c>
      <c r="I438">
        <v>2</v>
      </c>
      <c r="J438">
        <v>0</v>
      </c>
      <c r="K438">
        <v>0</v>
      </c>
      <c r="L438" s="61" t="s">
        <v>4779</v>
      </c>
    </row>
    <row r="439" spans="6:12">
      <c r="F439" t="s">
        <v>11526</v>
      </c>
      <c r="G439" t="s">
        <v>4577</v>
      </c>
      <c r="H439">
        <v>8</v>
      </c>
      <c r="I439">
        <v>0</v>
      </c>
      <c r="J439">
        <v>0</v>
      </c>
      <c r="K439">
        <v>0</v>
      </c>
      <c r="L439" s="61" t="s">
        <v>4779</v>
      </c>
    </row>
    <row r="440" spans="6:12">
      <c r="F440" t="s">
        <v>11527</v>
      </c>
      <c r="G440" t="s">
        <v>4896</v>
      </c>
      <c r="H440">
        <v>6</v>
      </c>
      <c r="I440">
        <v>2</v>
      </c>
      <c r="J440">
        <v>0</v>
      </c>
      <c r="K440">
        <v>0</v>
      </c>
      <c r="L440" s="61" t="s">
        <v>4779</v>
      </c>
    </row>
    <row r="441" spans="6:12">
      <c r="F441" t="s">
        <v>11528</v>
      </c>
      <c r="G441" t="s">
        <v>4566</v>
      </c>
      <c r="H441">
        <v>7</v>
      </c>
      <c r="I441">
        <v>1</v>
      </c>
      <c r="J441">
        <v>0</v>
      </c>
      <c r="K441">
        <v>0</v>
      </c>
      <c r="L441" s="61" t="s">
        <v>4779</v>
      </c>
    </row>
    <row r="442" spans="6:12">
      <c r="F442" t="s">
        <v>11529</v>
      </c>
      <c r="G442" t="s">
        <v>4676</v>
      </c>
      <c r="H442">
        <v>6</v>
      </c>
      <c r="I442">
        <v>2</v>
      </c>
      <c r="J442">
        <v>0</v>
      </c>
      <c r="K442">
        <v>0</v>
      </c>
      <c r="L442" s="61" t="s">
        <v>4779</v>
      </c>
    </row>
    <row r="443" spans="6:12">
      <c r="F443" t="s">
        <v>11530</v>
      </c>
      <c r="G443" t="s">
        <v>4616</v>
      </c>
      <c r="H443">
        <v>5</v>
      </c>
      <c r="I443">
        <v>2</v>
      </c>
      <c r="J443">
        <v>1</v>
      </c>
      <c r="K443">
        <v>0</v>
      </c>
      <c r="L443" s="61" t="s">
        <v>4779</v>
      </c>
    </row>
    <row r="444" spans="6:12">
      <c r="F444" t="s">
        <v>11531</v>
      </c>
      <c r="G444" t="s">
        <v>4855</v>
      </c>
      <c r="H444">
        <v>8</v>
      </c>
      <c r="I444">
        <v>0</v>
      </c>
      <c r="J444">
        <v>0</v>
      </c>
      <c r="K444">
        <v>0</v>
      </c>
      <c r="L444" s="61" t="s">
        <v>4779</v>
      </c>
    </row>
    <row r="445" spans="6:12">
      <c r="F445" t="s">
        <v>11532</v>
      </c>
      <c r="G445" t="s">
        <v>4872</v>
      </c>
      <c r="H445">
        <v>7</v>
      </c>
      <c r="I445">
        <v>1</v>
      </c>
      <c r="J445">
        <v>0</v>
      </c>
      <c r="K445">
        <v>0</v>
      </c>
      <c r="L445" s="61" t="s">
        <v>4779</v>
      </c>
    </row>
    <row r="446" spans="6:12">
      <c r="F446" t="s">
        <v>11533</v>
      </c>
      <c r="G446" t="s">
        <v>4880</v>
      </c>
      <c r="H446">
        <v>7</v>
      </c>
      <c r="I446">
        <v>1</v>
      </c>
      <c r="J446">
        <v>0</v>
      </c>
      <c r="K446">
        <v>0</v>
      </c>
      <c r="L446" s="61" t="s">
        <v>4779</v>
      </c>
    </row>
    <row r="447" spans="6:12">
      <c r="F447" t="s">
        <v>11534</v>
      </c>
      <c r="G447" t="s">
        <v>4648</v>
      </c>
      <c r="H447">
        <v>7</v>
      </c>
      <c r="I447">
        <v>1</v>
      </c>
      <c r="J447">
        <v>0</v>
      </c>
      <c r="K447">
        <v>0</v>
      </c>
      <c r="L447" s="61" t="s">
        <v>4779</v>
      </c>
    </row>
    <row r="448" spans="6:12">
      <c r="F448" t="s">
        <v>11535</v>
      </c>
      <c r="G448" t="s">
        <v>4653</v>
      </c>
      <c r="H448">
        <v>6</v>
      </c>
      <c r="I448">
        <v>2</v>
      </c>
      <c r="J448">
        <v>0</v>
      </c>
      <c r="K448">
        <v>0</v>
      </c>
      <c r="L448" s="61" t="s">
        <v>4779</v>
      </c>
    </row>
    <row r="449" spans="6:12">
      <c r="F449" t="s">
        <v>11536</v>
      </c>
      <c r="G449" t="s">
        <v>4632</v>
      </c>
      <c r="H449">
        <v>8</v>
      </c>
      <c r="I449">
        <v>0</v>
      </c>
      <c r="J449">
        <v>0</v>
      </c>
      <c r="K449">
        <v>0</v>
      </c>
      <c r="L449" s="61" t="s">
        <v>4779</v>
      </c>
    </row>
    <row r="450" spans="6:12">
      <c r="F450" t="s">
        <v>11537</v>
      </c>
      <c r="G450" t="s">
        <v>4547</v>
      </c>
      <c r="H450">
        <v>7</v>
      </c>
      <c r="I450">
        <v>1</v>
      </c>
      <c r="J450">
        <v>0</v>
      </c>
      <c r="K450">
        <v>0</v>
      </c>
      <c r="L450" s="61" t="s">
        <v>4779</v>
      </c>
    </row>
    <row r="451" spans="6:12">
      <c r="F451" t="s">
        <v>11538</v>
      </c>
      <c r="G451" t="s">
        <v>4896</v>
      </c>
      <c r="H451">
        <v>6</v>
      </c>
      <c r="I451">
        <v>2</v>
      </c>
      <c r="J451">
        <v>0</v>
      </c>
      <c r="K451">
        <v>0</v>
      </c>
      <c r="L451" s="61" t="s">
        <v>4779</v>
      </c>
    </row>
    <row r="452" spans="6:12">
      <c r="F452" t="s">
        <v>11539</v>
      </c>
      <c r="G452" t="s">
        <v>4596</v>
      </c>
      <c r="H452">
        <v>6</v>
      </c>
      <c r="I452">
        <v>1</v>
      </c>
      <c r="J452">
        <v>1</v>
      </c>
      <c r="K452">
        <v>0</v>
      </c>
      <c r="L452" s="61" t="s">
        <v>4779</v>
      </c>
    </row>
    <row r="453" spans="6:12">
      <c r="F453" t="s">
        <v>11540</v>
      </c>
      <c r="G453" t="s">
        <v>4633</v>
      </c>
      <c r="H453">
        <v>8</v>
      </c>
      <c r="I453">
        <v>0</v>
      </c>
      <c r="J453">
        <v>0</v>
      </c>
      <c r="K453">
        <v>0</v>
      </c>
      <c r="L453" s="61" t="s">
        <v>4779</v>
      </c>
    </row>
    <row r="454" spans="6:12">
      <c r="F454" t="s">
        <v>11541</v>
      </c>
      <c r="G454" t="s">
        <v>4568</v>
      </c>
      <c r="H454">
        <v>6</v>
      </c>
      <c r="I454">
        <v>2</v>
      </c>
      <c r="J454">
        <v>0</v>
      </c>
      <c r="K454">
        <v>0</v>
      </c>
      <c r="L454" s="61" t="s">
        <v>4779</v>
      </c>
    </row>
    <row r="455" spans="6:12">
      <c r="F455" t="s">
        <v>11542</v>
      </c>
      <c r="G455" t="s">
        <v>4575</v>
      </c>
      <c r="H455">
        <v>6</v>
      </c>
      <c r="I455">
        <v>2</v>
      </c>
      <c r="J455">
        <v>0</v>
      </c>
      <c r="K455">
        <v>0</v>
      </c>
      <c r="L455" s="61" t="s">
        <v>4779</v>
      </c>
    </row>
    <row r="456" spans="6:12">
      <c r="F456" t="s">
        <v>11543</v>
      </c>
      <c r="G456" t="s">
        <v>4676</v>
      </c>
      <c r="H456">
        <v>6</v>
      </c>
      <c r="I456">
        <v>2</v>
      </c>
      <c r="J456">
        <v>0</v>
      </c>
      <c r="K456">
        <v>0</v>
      </c>
      <c r="L456" s="61" t="s">
        <v>4779</v>
      </c>
    </row>
    <row r="457" spans="6:12">
      <c r="F457" t="s">
        <v>11544</v>
      </c>
      <c r="G457" t="s">
        <v>4863</v>
      </c>
      <c r="H457">
        <v>6</v>
      </c>
      <c r="I457">
        <v>1</v>
      </c>
      <c r="J457">
        <v>1</v>
      </c>
      <c r="K457">
        <v>0</v>
      </c>
      <c r="L457" s="61" t="s">
        <v>4779</v>
      </c>
    </row>
    <row r="458" spans="6:12">
      <c r="F458" t="s">
        <v>11545</v>
      </c>
      <c r="G458" t="s">
        <v>4546</v>
      </c>
      <c r="H458">
        <v>5</v>
      </c>
      <c r="I458">
        <v>2</v>
      </c>
      <c r="J458">
        <v>1</v>
      </c>
      <c r="K458">
        <v>0</v>
      </c>
      <c r="L458" s="61" t="s">
        <v>4779</v>
      </c>
    </row>
    <row r="459" spans="6:12">
      <c r="F459" t="s">
        <v>11546</v>
      </c>
      <c r="G459" t="s">
        <v>4871</v>
      </c>
      <c r="H459">
        <v>7</v>
      </c>
      <c r="I459">
        <v>1</v>
      </c>
      <c r="J459">
        <v>0</v>
      </c>
      <c r="K459">
        <v>0</v>
      </c>
      <c r="L459" s="61" t="s">
        <v>4779</v>
      </c>
    </row>
    <row r="460" spans="6:12">
      <c r="F460" t="s">
        <v>11547</v>
      </c>
      <c r="G460" t="s">
        <v>4562</v>
      </c>
      <c r="H460">
        <v>7</v>
      </c>
      <c r="I460">
        <v>1</v>
      </c>
      <c r="J460">
        <v>0</v>
      </c>
      <c r="K460">
        <v>0</v>
      </c>
      <c r="L460" s="61" t="s">
        <v>4779</v>
      </c>
    </row>
    <row r="461" spans="6:12">
      <c r="F461" t="s">
        <v>11548</v>
      </c>
      <c r="G461" t="s">
        <v>4616</v>
      </c>
      <c r="H461">
        <v>7</v>
      </c>
      <c r="I461">
        <v>1</v>
      </c>
      <c r="J461">
        <v>0</v>
      </c>
      <c r="K461">
        <v>0</v>
      </c>
      <c r="L461" s="61" t="s">
        <v>4779</v>
      </c>
    </row>
    <row r="462" spans="6:12">
      <c r="F462" t="s">
        <v>11549</v>
      </c>
      <c r="G462" t="s">
        <v>5400</v>
      </c>
      <c r="H462">
        <v>7</v>
      </c>
      <c r="I462">
        <v>1</v>
      </c>
      <c r="J462">
        <v>0</v>
      </c>
      <c r="K462">
        <v>0</v>
      </c>
      <c r="L462" s="61" t="s">
        <v>4779</v>
      </c>
    </row>
    <row r="463" spans="6:12">
      <c r="F463" t="s">
        <v>11550</v>
      </c>
      <c r="G463" t="s">
        <v>4546</v>
      </c>
      <c r="H463">
        <v>6</v>
      </c>
      <c r="I463">
        <v>1</v>
      </c>
      <c r="J463">
        <v>1</v>
      </c>
      <c r="K463">
        <v>0</v>
      </c>
      <c r="L463" s="61" t="s">
        <v>4779</v>
      </c>
    </row>
    <row r="464" spans="6:12">
      <c r="F464" t="s">
        <v>11551</v>
      </c>
      <c r="G464" t="s">
        <v>4620</v>
      </c>
      <c r="H464">
        <v>7</v>
      </c>
      <c r="I464">
        <v>1</v>
      </c>
      <c r="J464">
        <v>0</v>
      </c>
      <c r="K464">
        <v>0</v>
      </c>
      <c r="L464" s="61" t="s">
        <v>4779</v>
      </c>
    </row>
    <row r="465" spans="6:12">
      <c r="F465" t="s">
        <v>11552</v>
      </c>
      <c r="G465" t="s">
        <v>4851</v>
      </c>
      <c r="H465">
        <v>6</v>
      </c>
      <c r="I465">
        <v>1</v>
      </c>
      <c r="J465">
        <v>1</v>
      </c>
      <c r="K465">
        <v>0</v>
      </c>
      <c r="L465" s="61" t="s">
        <v>4779</v>
      </c>
    </row>
    <row r="466" spans="6:12">
      <c r="F466" t="s">
        <v>11553</v>
      </c>
      <c r="G466" t="s">
        <v>5185</v>
      </c>
      <c r="H466">
        <v>7</v>
      </c>
      <c r="I466">
        <v>1</v>
      </c>
      <c r="J466">
        <v>0</v>
      </c>
      <c r="K466">
        <v>0</v>
      </c>
      <c r="L466" s="61" t="s">
        <v>4779</v>
      </c>
    </row>
    <row r="467" spans="6:12">
      <c r="F467" t="s">
        <v>11554</v>
      </c>
      <c r="G467" t="s">
        <v>4879</v>
      </c>
      <c r="H467">
        <v>7</v>
      </c>
      <c r="I467">
        <v>1</v>
      </c>
      <c r="J467">
        <v>0</v>
      </c>
      <c r="K467">
        <v>0</v>
      </c>
      <c r="L467" s="61" t="s">
        <v>4779</v>
      </c>
    </row>
    <row r="468" spans="6:12">
      <c r="F468" t="s">
        <v>11555</v>
      </c>
      <c r="G468" t="s">
        <v>4555</v>
      </c>
      <c r="H468">
        <v>7</v>
      </c>
      <c r="I468">
        <v>1</v>
      </c>
      <c r="J468">
        <v>0</v>
      </c>
      <c r="K468">
        <v>0</v>
      </c>
      <c r="L468" s="61" t="s">
        <v>4779</v>
      </c>
    </row>
    <row r="469" spans="6:12">
      <c r="F469" t="s">
        <v>11556</v>
      </c>
      <c r="G469" t="s">
        <v>4576</v>
      </c>
      <c r="H469">
        <v>6</v>
      </c>
      <c r="I469">
        <v>2</v>
      </c>
      <c r="J469">
        <v>0</v>
      </c>
      <c r="K469">
        <v>0</v>
      </c>
      <c r="L469" s="61" t="s">
        <v>4779</v>
      </c>
    </row>
    <row r="470" spans="6:12">
      <c r="F470" t="s">
        <v>11557</v>
      </c>
      <c r="G470" t="s">
        <v>4567</v>
      </c>
      <c r="H470">
        <v>6</v>
      </c>
      <c r="I470">
        <v>2</v>
      </c>
      <c r="J470">
        <v>0</v>
      </c>
      <c r="K470">
        <v>0</v>
      </c>
      <c r="L470" s="61" t="s">
        <v>4779</v>
      </c>
    </row>
    <row r="471" spans="6:12">
      <c r="F471" t="s">
        <v>11558</v>
      </c>
      <c r="G471" t="s">
        <v>4851</v>
      </c>
      <c r="H471">
        <v>6</v>
      </c>
      <c r="I471">
        <v>2</v>
      </c>
      <c r="J471">
        <v>0</v>
      </c>
      <c r="K471">
        <v>0</v>
      </c>
      <c r="L471" s="61" t="s">
        <v>4779</v>
      </c>
    </row>
    <row r="472" spans="6:12">
      <c r="F472" t="s">
        <v>11559</v>
      </c>
      <c r="G472" t="s">
        <v>4865</v>
      </c>
      <c r="H472">
        <v>7</v>
      </c>
      <c r="I472">
        <v>1</v>
      </c>
      <c r="J472">
        <v>0</v>
      </c>
      <c r="K472">
        <v>0</v>
      </c>
      <c r="L472" s="61" t="s">
        <v>4779</v>
      </c>
    </row>
    <row r="473" spans="6:12">
      <c r="F473" t="s">
        <v>11560</v>
      </c>
      <c r="G473" t="s">
        <v>4889</v>
      </c>
      <c r="H473">
        <v>7</v>
      </c>
      <c r="I473">
        <v>0</v>
      </c>
      <c r="J473">
        <v>1</v>
      </c>
      <c r="K473">
        <v>0</v>
      </c>
      <c r="L473" s="61" t="s">
        <v>4779</v>
      </c>
    </row>
    <row r="474" spans="6:12">
      <c r="F474" t="s">
        <v>11561</v>
      </c>
      <c r="G474" t="s">
        <v>4556</v>
      </c>
      <c r="H474">
        <v>5</v>
      </c>
      <c r="I474">
        <v>2</v>
      </c>
      <c r="J474">
        <v>1</v>
      </c>
      <c r="K474">
        <v>0</v>
      </c>
      <c r="L474" s="61" t="s">
        <v>4779</v>
      </c>
    </row>
    <row r="475" spans="6:12">
      <c r="F475" t="s">
        <v>11562</v>
      </c>
      <c r="G475" t="s">
        <v>4877</v>
      </c>
      <c r="H475">
        <v>6</v>
      </c>
      <c r="I475">
        <v>2</v>
      </c>
      <c r="J475">
        <v>0</v>
      </c>
      <c r="K475">
        <v>0</v>
      </c>
      <c r="L475" s="61" t="s">
        <v>4779</v>
      </c>
    </row>
    <row r="476" spans="6:12">
      <c r="F476" t="s">
        <v>11563</v>
      </c>
      <c r="G476" t="s">
        <v>4872</v>
      </c>
      <c r="H476">
        <v>7</v>
      </c>
      <c r="I476">
        <v>1</v>
      </c>
      <c r="J476">
        <v>0</v>
      </c>
      <c r="K476">
        <v>0</v>
      </c>
      <c r="L476" s="61" t="s">
        <v>4779</v>
      </c>
    </row>
    <row r="477" spans="6:12">
      <c r="F477" t="s">
        <v>11564</v>
      </c>
      <c r="G477" t="s">
        <v>4850</v>
      </c>
      <c r="H477">
        <v>7</v>
      </c>
      <c r="I477">
        <v>1</v>
      </c>
      <c r="J477">
        <v>0</v>
      </c>
      <c r="K477">
        <v>0</v>
      </c>
      <c r="L477" s="61" t="s">
        <v>4779</v>
      </c>
    </row>
    <row r="478" spans="6:12">
      <c r="F478" t="s">
        <v>11565</v>
      </c>
      <c r="G478" t="s">
        <v>4882</v>
      </c>
      <c r="H478">
        <v>6</v>
      </c>
      <c r="I478">
        <v>2</v>
      </c>
      <c r="J478">
        <v>0</v>
      </c>
      <c r="K478">
        <v>0</v>
      </c>
      <c r="L478" s="61" t="s">
        <v>4779</v>
      </c>
    </row>
    <row r="479" spans="6:12">
      <c r="F479" t="s">
        <v>11566</v>
      </c>
      <c r="G479" t="s">
        <v>4872</v>
      </c>
      <c r="H479">
        <v>7</v>
      </c>
      <c r="I479">
        <v>0</v>
      </c>
      <c r="J479">
        <v>1</v>
      </c>
      <c r="K479">
        <v>0</v>
      </c>
      <c r="L479" s="61" t="s">
        <v>4779</v>
      </c>
    </row>
    <row r="480" spans="6:12">
      <c r="F480" t="s">
        <v>11567</v>
      </c>
      <c r="G480" t="s">
        <v>4896</v>
      </c>
      <c r="H480">
        <v>6</v>
      </c>
      <c r="I480">
        <v>1</v>
      </c>
      <c r="J480">
        <v>1</v>
      </c>
      <c r="K480">
        <v>0</v>
      </c>
      <c r="L480" s="61" t="s">
        <v>4779</v>
      </c>
    </row>
    <row r="481" spans="6:12">
      <c r="F481" t="s">
        <v>11568</v>
      </c>
      <c r="G481" t="s">
        <v>4627</v>
      </c>
      <c r="H481">
        <v>6</v>
      </c>
      <c r="I481">
        <v>1</v>
      </c>
      <c r="J481">
        <v>1</v>
      </c>
      <c r="K481">
        <v>0</v>
      </c>
      <c r="L481" s="61" t="s">
        <v>4779</v>
      </c>
    </row>
    <row r="482" spans="6:12">
      <c r="F482" t="s">
        <v>11569</v>
      </c>
      <c r="G482" t="s">
        <v>4669</v>
      </c>
      <c r="H482">
        <v>6</v>
      </c>
      <c r="I482">
        <v>2</v>
      </c>
      <c r="J482">
        <v>0</v>
      </c>
      <c r="K482">
        <v>0</v>
      </c>
      <c r="L482" s="61" t="s">
        <v>4779</v>
      </c>
    </row>
    <row r="483" spans="6:12">
      <c r="F483" t="s">
        <v>11570</v>
      </c>
      <c r="G483" t="s">
        <v>4556</v>
      </c>
      <c r="H483">
        <v>6</v>
      </c>
      <c r="I483">
        <v>2</v>
      </c>
      <c r="J483">
        <v>0</v>
      </c>
      <c r="K483">
        <v>0</v>
      </c>
      <c r="L483" s="61" t="s">
        <v>4779</v>
      </c>
    </row>
    <row r="484" spans="6:12">
      <c r="F484" t="s">
        <v>11571</v>
      </c>
      <c r="G484" t="s">
        <v>4616</v>
      </c>
      <c r="H484">
        <v>6</v>
      </c>
      <c r="I484">
        <v>1</v>
      </c>
      <c r="J484">
        <v>1</v>
      </c>
      <c r="K484">
        <v>0</v>
      </c>
      <c r="L484" s="61" t="s">
        <v>4779</v>
      </c>
    </row>
    <row r="485" spans="6:12">
      <c r="F485" t="s">
        <v>11572</v>
      </c>
      <c r="G485" t="s">
        <v>1069</v>
      </c>
      <c r="H485">
        <v>5</v>
      </c>
      <c r="I485">
        <v>2</v>
      </c>
      <c r="J485">
        <v>1</v>
      </c>
      <c r="K485">
        <v>0</v>
      </c>
      <c r="L485" s="61" t="s">
        <v>4779</v>
      </c>
    </row>
    <row r="486" spans="6:12">
      <c r="F486" t="s">
        <v>11573</v>
      </c>
      <c r="G486" t="s">
        <v>4614</v>
      </c>
      <c r="H486">
        <v>5</v>
      </c>
      <c r="I486">
        <v>2</v>
      </c>
      <c r="J486">
        <v>1</v>
      </c>
      <c r="K486">
        <v>0</v>
      </c>
      <c r="L486" s="61" t="s">
        <v>4779</v>
      </c>
    </row>
    <row r="487" spans="6:12">
      <c r="F487" t="s">
        <v>11574</v>
      </c>
      <c r="G487" t="s">
        <v>11575</v>
      </c>
      <c r="H487">
        <v>8</v>
      </c>
      <c r="I487">
        <v>0</v>
      </c>
      <c r="J487">
        <v>0</v>
      </c>
      <c r="K487">
        <v>0</v>
      </c>
      <c r="L487" s="61" t="s">
        <v>4779</v>
      </c>
    </row>
    <row r="488" spans="6:12">
      <c r="F488" t="s">
        <v>11576</v>
      </c>
      <c r="G488" t="s">
        <v>5191</v>
      </c>
      <c r="H488">
        <v>7</v>
      </c>
      <c r="I488">
        <v>1</v>
      </c>
      <c r="J488">
        <v>0</v>
      </c>
      <c r="K488">
        <v>0</v>
      </c>
      <c r="L488" s="61" t="s">
        <v>4779</v>
      </c>
    </row>
    <row r="489" spans="6:12">
      <c r="F489" t="s">
        <v>11577</v>
      </c>
      <c r="G489" t="s">
        <v>4576</v>
      </c>
      <c r="H489">
        <v>5</v>
      </c>
      <c r="I489">
        <v>2</v>
      </c>
      <c r="J489">
        <v>1</v>
      </c>
      <c r="K489">
        <v>0</v>
      </c>
      <c r="L489" s="61" t="s">
        <v>4779</v>
      </c>
    </row>
    <row r="490" spans="6:12">
      <c r="F490" t="s">
        <v>11578</v>
      </c>
      <c r="G490" t="s">
        <v>4562</v>
      </c>
      <c r="H490">
        <v>6</v>
      </c>
      <c r="I490">
        <v>2</v>
      </c>
      <c r="J490">
        <v>0</v>
      </c>
      <c r="K490">
        <v>0</v>
      </c>
      <c r="L490" s="61" t="s">
        <v>4779</v>
      </c>
    </row>
    <row r="491" spans="6:12">
      <c r="F491" t="s">
        <v>11579</v>
      </c>
      <c r="G491" t="s">
        <v>4882</v>
      </c>
      <c r="H491">
        <v>6</v>
      </c>
      <c r="I491">
        <v>2</v>
      </c>
      <c r="J491">
        <v>0</v>
      </c>
      <c r="K491">
        <v>0</v>
      </c>
      <c r="L491" s="61" t="s">
        <v>4779</v>
      </c>
    </row>
    <row r="492" spans="6:12">
      <c r="F492" t="s">
        <v>11580</v>
      </c>
      <c r="G492" t="s">
        <v>4554</v>
      </c>
      <c r="H492">
        <v>7</v>
      </c>
      <c r="I492">
        <v>1</v>
      </c>
      <c r="J492">
        <v>0</v>
      </c>
      <c r="K492">
        <v>0</v>
      </c>
      <c r="L492" s="61" t="s">
        <v>4779</v>
      </c>
    </row>
    <row r="493" spans="6:12">
      <c r="F493" t="s">
        <v>11581</v>
      </c>
      <c r="G493" t="s">
        <v>4882</v>
      </c>
      <c r="H493">
        <v>6</v>
      </c>
      <c r="I493">
        <v>2</v>
      </c>
      <c r="J493">
        <v>0</v>
      </c>
      <c r="K493">
        <v>0</v>
      </c>
      <c r="L493" s="61" t="s">
        <v>4779</v>
      </c>
    </row>
    <row r="494" spans="6:12">
      <c r="F494" t="s">
        <v>11582</v>
      </c>
      <c r="G494" t="s">
        <v>4556</v>
      </c>
      <c r="H494">
        <v>5</v>
      </c>
      <c r="I494">
        <v>2</v>
      </c>
      <c r="J494">
        <v>1</v>
      </c>
      <c r="K494">
        <v>0</v>
      </c>
      <c r="L494" s="61" t="s">
        <v>4779</v>
      </c>
    </row>
    <row r="495" spans="6:12">
      <c r="F495" t="s">
        <v>11583</v>
      </c>
      <c r="G495" t="s">
        <v>1071</v>
      </c>
      <c r="H495">
        <v>7</v>
      </c>
      <c r="I495">
        <v>1</v>
      </c>
      <c r="J495">
        <v>0</v>
      </c>
      <c r="K495">
        <v>0</v>
      </c>
      <c r="L495" s="61" t="s">
        <v>4779</v>
      </c>
    </row>
    <row r="496" spans="6:12">
      <c r="F496" t="s">
        <v>11584</v>
      </c>
      <c r="G496" t="s">
        <v>1071</v>
      </c>
      <c r="H496">
        <v>7</v>
      </c>
      <c r="I496">
        <v>1</v>
      </c>
      <c r="J496">
        <v>0</v>
      </c>
      <c r="K496">
        <v>0</v>
      </c>
      <c r="L496" s="61" t="s">
        <v>4779</v>
      </c>
    </row>
    <row r="497" spans="6:12">
      <c r="F497" t="s">
        <v>11585</v>
      </c>
      <c r="G497" t="s">
        <v>4614</v>
      </c>
      <c r="H497">
        <v>5</v>
      </c>
      <c r="I497">
        <v>2</v>
      </c>
      <c r="J497">
        <v>1</v>
      </c>
      <c r="K497">
        <v>0</v>
      </c>
      <c r="L497" s="61" t="s">
        <v>4779</v>
      </c>
    </row>
    <row r="498" spans="6:12">
      <c r="F498" t="s">
        <v>11586</v>
      </c>
      <c r="G498" t="s">
        <v>4566</v>
      </c>
      <c r="H498">
        <v>6</v>
      </c>
      <c r="I498">
        <v>2</v>
      </c>
      <c r="J498">
        <v>0</v>
      </c>
      <c r="K498">
        <v>0</v>
      </c>
      <c r="L498" s="61" t="s">
        <v>4779</v>
      </c>
    </row>
    <row r="499" spans="6:12">
      <c r="F499" t="s">
        <v>11587</v>
      </c>
      <c r="G499" t="s">
        <v>4868</v>
      </c>
      <c r="H499">
        <v>6</v>
      </c>
      <c r="I499">
        <v>1</v>
      </c>
      <c r="J499">
        <v>1</v>
      </c>
      <c r="K499">
        <v>0</v>
      </c>
      <c r="L499" s="61" t="s">
        <v>4779</v>
      </c>
    </row>
    <row r="500" spans="6:12">
      <c r="F500" t="s">
        <v>11588</v>
      </c>
      <c r="G500" t="s">
        <v>4596</v>
      </c>
      <c r="H500">
        <v>6</v>
      </c>
      <c r="I500">
        <v>2</v>
      </c>
      <c r="J500">
        <v>0</v>
      </c>
      <c r="K500">
        <v>0</v>
      </c>
      <c r="L500" s="61" t="s">
        <v>4779</v>
      </c>
    </row>
    <row r="501" spans="6:12">
      <c r="F501" t="s">
        <v>11589</v>
      </c>
      <c r="G501" t="s">
        <v>4851</v>
      </c>
      <c r="H501">
        <v>5</v>
      </c>
      <c r="I501">
        <v>2</v>
      </c>
      <c r="J501">
        <v>1</v>
      </c>
      <c r="K501">
        <v>0</v>
      </c>
      <c r="L501" s="61" t="s">
        <v>4779</v>
      </c>
    </row>
    <row r="502" spans="6:12">
      <c r="F502" t="s">
        <v>11590</v>
      </c>
      <c r="G502" t="s">
        <v>4574</v>
      </c>
      <c r="H502">
        <v>7</v>
      </c>
      <c r="I502">
        <v>1</v>
      </c>
      <c r="J502">
        <v>0</v>
      </c>
      <c r="K502">
        <v>0</v>
      </c>
      <c r="L502" s="61" t="s">
        <v>4779</v>
      </c>
    </row>
    <row r="503" spans="6:12">
      <c r="F503" t="s">
        <v>5643</v>
      </c>
      <c r="G503" t="s">
        <v>4549</v>
      </c>
      <c r="H503">
        <v>7</v>
      </c>
      <c r="I503">
        <v>1</v>
      </c>
      <c r="J503">
        <v>0</v>
      </c>
      <c r="K503">
        <v>0</v>
      </c>
      <c r="L503" s="61" t="s">
        <v>4779</v>
      </c>
    </row>
    <row r="504" spans="6:12">
      <c r="F504" t="s">
        <v>11591</v>
      </c>
      <c r="G504" t="s">
        <v>4575</v>
      </c>
      <c r="H504">
        <v>6</v>
      </c>
      <c r="I504">
        <v>2</v>
      </c>
      <c r="J504">
        <v>0</v>
      </c>
      <c r="K504">
        <v>0</v>
      </c>
      <c r="L504" s="61" t="s">
        <v>4779</v>
      </c>
    </row>
    <row r="505" spans="6:12">
      <c r="F505" t="s">
        <v>11592</v>
      </c>
      <c r="G505" t="s">
        <v>4627</v>
      </c>
      <c r="H505">
        <v>7</v>
      </c>
      <c r="I505">
        <v>1</v>
      </c>
      <c r="J505">
        <v>0</v>
      </c>
      <c r="K505">
        <v>0</v>
      </c>
      <c r="L505" s="61" t="s">
        <v>4779</v>
      </c>
    </row>
    <row r="506" spans="6:12">
      <c r="F506" t="s">
        <v>11593</v>
      </c>
      <c r="G506" t="s">
        <v>4852</v>
      </c>
      <c r="H506">
        <v>5</v>
      </c>
      <c r="I506">
        <v>2</v>
      </c>
      <c r="J506">
        <v>1</v>
      </c>
      <c r="K506">
        <v>0</v>
      </c>
      <c r="L506" s="61" t="s">
        <v>4779</v>
      </c>
    </row>
    <row r="507" spans="6:12">
      <c r="F507" t="s">
        <v>11594</v>
      </c>
      <c r="G507" t="s">
        <v>4614</v>
      </c>
      <c r="H507">
        <v>6</v>
      </c>
      <c r="I507">
        <v>2</v>
      </c>
      <c r="J507">
        <v>0</v>
      </c>
      <c r="K507">
        <v>0</v>
      </c>
      <c r="L507" s="61" t="s">
        <v>4779</v>
      </c>
    </row>
    <row r="508" spans="6:12">
      <c r="F508" t="s">
        <v>11595</v>
      </c>
      <c r="G508" t="s">
        <v>4865</v>
      </c>
      <c r="H508">
        <v>5</v>
      </c>
      <c r="I508">
        <v>2</v>
      </c>
      <c r="J508">
        <v>1</v>
      </c>
      <c r="K508">
        <v>0</v>
      </c>
      <c r="L508" s="61" t="s">
        <v>4779</v>
      </c>
    </row>
    <row r="509" spans="6:12">
      <c r="F509" t="s">
        <v>4966</v>
      </c>
      <c r="G509" t="s">
        <v>4560</v>
      </c>
      <c r="H509">
        <v>7</v>
      </c>
      <c r="I509">
        <v>1</v>
      </c>
      <c r="J509">
        <v>0</v>
      </c>
      <c r="K509">
        <v>0</v>
      </c>
      <c r="L509" s="61" t="s">
        <v>4779</v>
      </c>
    </row>
    <row r="510" spans="6:12">
      <c r="F510" t="s">
        <v>11596</v>
      </c>
      <c r="G510" t="s">
        <v>4546</v>
      </c>
      <c r="H510">
        <v>5</v>
      </c>
      <c r="I510">
        <v>2</v>
      </c>
      <c r="J510">
        <v>1</v>
      </c>
      <c r="K510">
        <v>0</v>
      </c>
      <c r="L510" s="61" t="s">
        <v>4779</v>
      </c>
    </row>
    <row r="511" spans="6:12">
      <c r="F511" t="s">
        <v>11597</v>
      </c>
      <c r="G511" t="s">
        <v>4867</v>
      </c>
      <c r="H511">
        <v>7</v>
      </c>
      <c r="I511">
        <v>1</v>
      </c>
      <c r="J511">
        <v>0</v>
      </c>
      <c r="K511">
        <v>0</v>
      </c>
      <c r="L511" s="61" t="s">
        <v>4779</v>
      </c>
    </row>
    <row r="512" spans="6:12">
      <c r="F512" t="s">
        <v>11598</v>
      </c>
      <c r="G512" t="s">
        <v>4866</v>
      </c>
      <c r="H512">
        <v>7</v>
      </c>
      <c r="I512">
        <v>1</v>
      </c>
      <c r="J512">
        <v>0</v>
      </c>
      <c r="K512">
        <v>0</v>
      </c>
      <c r="L512" s="61" t="s">
        <v>4779</v>
      </c>
    </row>
    <row r="513" spans="6:12">
      <c r="F513" t="s">
        <v>11599</v>
      </c>
      <c r="G513" t="s">
        <v>4867</v>
      </c>
      <c r="H513">
        <v>6</v>
      </c>
      <c r="I513">
        <v>2</v>
      </c>
      <c r="J513">
        <v>0</v>
      </c>
      <c r="K513">
        <v>0</v>
      </c>
      <c r="L513" s="61" t="s">
        <v>4779</v>
      </c>
    </row>
    <row r="514" spans="6:12">
      <c r="F514" t="s">
        <v>11600</v>
      </c>
      <c r="G514" t="s">
        <v>4893</v>
      </c>
      <c r="H514">
        <v>7</v>
      </c>
      <c r="I514">
        <v>1</v>
      </c>
      <c r="J514">
        <v>0</v>
      </c>
      <c r="K514">
        <v>0</v>
      </c>
      <c r="L514" s="61" t="s">
        <v>4779</v>
      </c>
    </row>
    <row r="515" spans="6:12">
      <c r="F515" t="s">
        <v>4848</v>
      </c>
      <c r="G515" t="s">
        <v>4627</v>
      </c>
      <c r="H515">
        <v>6</v>
      </c>
      <c r="I515">
        <v>2</v>
      </c>
      <c r="J515">
        <v>0</v>
      </c>
      <c r="K515">
        <v>0</v>
      </c>
      <c r="L515" s="61" t="s">
        <v>4779</v>
      </c>
    </row>
    <row r="516" spans="6:12">
      <c r="F516" t="s">
        <v>11601</v>
      </c>
      <c r="G516" t="s">
        <v>5190</v>
      </c>
      <c r="H516">
        <v>7</v>
      </c>
      <c r="I516">
        <v>1</v>
      </c>
      <c r="J516">
        <v>0</v>
      </c>
      <c r="K516">
        <v>0</v>
      </c>
      <c r="L516" s="61" t="s">
        <v>4779</v>
      </c>
    </row>
    <row r="517" spans="6:12">
      <c r="F517" t="s">
        <v>11602</v>
      </c>
      <c r="G517" t="s">
        <v>4871</v>
      </c>
      <c r="H517">
        <v>7</v>
      </c>
      <c r="I517">
        <v>1</v>
      </c>
      <c r="J517">
        <v>0</v>
      </c>
      <c r="K517">
        <v>0</v>
      </c>
      <c r="L517" s="61" t="s">
        <v>4779</v>
      </c>
    </row>
    <row r="518" spans="6:12">
      <c r="F518" t="s">
        <v>11603</v>
      </c>
      <c r="G518" t="s">
        <v>4873</v>
      </c>
      <c r="H518">
        <v>7</v>
      </c>
      <c r="I518">
        <v>1</v>
      </c>
      <c r="J518">
        <v>0</v>
      </c>
      <c r="K518">
        <v>0</v>
      </c>
      <c r="L518" s="61" t="s">
        <v>4779</v>
      </c>
    </row>
    <row r="519" spans="6:12">
      <c r="F519" t="s">
        <v>11604</v>
      </c>
      <c r="G519" t="s">
        <v>4854</v>
      </c>
      <c r="H519">
        <v>6</v>
      </c>
      <c r="I519">
        <v>2</v>
      </c>
      <c r="J519">
        <v>0</v>
      </c>
      <c r="K519">
        <v>0</v>
      </c>
      <c r="L519" s="61" t="s">
        <v>4779</v>
      </c>
    </row>
    <row r="520" spans="6:12">
      <c r="F520" t="s">
        <v>11605</v>
      </c>
      <c r="G520" t="s">
        <v>4939</v>
      </c>
      <c r="H520">
        <v>7</v>
      </c>
      <c r="I520">
        <v>1</v>
      </c>
      <c r="J520">
        <v>0</v>
      </c>
      <c r="K520">
        <v>0</v>
      </c>
      <c r="L520" s="61" t="s">
        <v>4779</v>
      </c>
    </row>
    <row r="521" spans="6:12">
      <c r="F521" t="s">
        <v>11606</v>
      </c>
      <c r="G521" t="s">
        <v>4854</v>
      </c>
      <c r="H521">
        <v>6</v>
      </c>
      <c r="I521">
        <v>2</v>
      </c>
      <c r="J521">
        <v>0</v>
      </c>
      <c r="K521">
        <v>0</v>
      </c>
      <c r="L521" s="61" t="s">
        <v>4779</v>
      </c>
    </row>
    <row r="522" spans="6:12">
      <c r="F522" t="s">
        <v>11607</v>
      </c>
      <c r="G522" t="s">
        <v>4881</v>
      </c>
      <c r="H522">
        <v>5</v>
      </c>
      <c r="I522">
        <v>2</v>
      </c>
      <c r="J522">
        <v>1</v>
      </c>
      <c r="K522">
        <v>0</v>
      </c>
      <c r="L522" s="61" t="s">
        <v>4779</v>
      </c>
    </row>
    <row r="523" spans="6:12">
      <c r="F523" t="s">
        <v>11608</v>
      </c>
      <c r="G523" t="s">
        <v>4575</v>
      </c>
      <c r="H523">
        <v>6</v>
      </c>
      <c r="I523">
        <v>2</v>
      </c>
      <c r="J523">
        <v>0</v>
      </c>
      <c r="K523">
        <v>0</v>
      </c>
      <c r="L523" s="61" t="s">
        <v>4779</v>
      </c>
    </row>
    <row r="524" spans="6:12">
      <c r="F524" t="s">
        <v>11609</v>
      </c>
      <c r="G524" t="s">
        <v>4672</v>
      </c>
      <c r="H524">
        <v>6</v>
      </c>
      <c r="I524">
        <v>1</v>
      </c>
      <c r="J524">
        <v>1</v>
      </c>
      <c r="K524">
        <v>0</v>
      </c>
      <c r="L524" s="61" t="s">
        <v>4779</v>
      </c>
    </row>
    <row r="525" spans="6:12">
      <c r="F525" t="s">
        <v>11610</v>
      </c>
      <c r="G525" t="s">
        <v>4612</v>
      </c>
      <c r="H525">
        <v>7</v>
      </c>
      <c r="I525">
        <v>1</v>
      </c>
      <c r="J525">
        <v>0</v>
      </c>
      <c r="K525">
        <v>0</v>
      </c>
      <c r="L525" s="61" t="s">
        <v>4779</v>
      </c>
    </row>
    <row r="526" spans="6:12">
      <c r="F526" t="s">
        <v>11611</v>
      </c>
      <c r="G526" t="s">
        <v>4849</v>
      </c>
      <c r="H526">
        <v>6</v>
      </c>
      <c r="I526">
        <v>2</v>
      </c>
      <c r="J526">
        <v>0</v>
      </c>
      <c r="K526">
        <v>0</v>
      </c>
      <c r="L526" s="61" t="s">
        <v>4779</v>
      </c>
    </row>
    <row r="527" spans="6:12">
      <c r="F527" t="s">
        <v>11612</v>
      </c>
      <c r="G527" t="s">
        <v>4548</v>
      </c>
      <c r="H527">
        <v>6</v>
      </c>
      <c r="I527">
        <v>1</v>
      </c>
      <c r="J527">
        <v>1</v>
      </c>
      <c r="K527">
        <v>0</v>
      </c>
      <c r="L527" s="61" t="s">
        <v>4779</v>
      </c>
    </row>
    <row r="528" spans="6:12">
      <c r="F528" t="s">
        <v>11613</v>
      </c>
      <c r="G528" t="s">
        <v>4547</v>
      </c>
      <c r="H528">
        <v>6</v>
      </c>
      <c r="I528">
        <v>2</v>
      </c>
      <c r="J528">
        <v>0</v>
      </c>
      <c r="K528">
        <v>0</v>
      </c>
      <c r="L528" s="61" t="s">
        <v>4779</v>
      </c>
    </row>
    <row r="529" spans="6:12">
      <c r="F529" t="s">
        <v>11614</v>
      </c>
      <c r="G529" t="s">
        <v>4547</v>
      </c>
      <c r="H529">
        <v>7</v>
      </c>
      <c r="I529">
        <v>1</v>
      </c>
      <c r="J529">
        <v>0</v>
      </c>
      <c r="K529">
        <v>0</v>
      </c>
      <c r="L529" s="61" t="s">
        <v>4779</v>
      </c>
    </row>
    <row r="530" spans="6:12">
      <c r="F530" t="s">
        <v>11615</v>
      </c>
      <c r="G530" t="s">
        <v>4646</v>
      </c>
      <c r="H530">
        <v>6</v>
      </c>
      <c r="I530">
        <v>1</v>
      </c>
      <c r="J530">
        <v>1</v>
      </c>
      <c r="K530">
        <v>0</v>
      </c>
      <c r="L530" s="61" t="s">
        <v>4779</v>
      </c>
    </row>
    <row r="531" spans="6:12">
      <c r="F531" t="s">
        <v>11616</v>
      </c>
      <c r="G531" t="s">
        <v>4850</v>
      </c>
      <c r="H531">
        <v>7</v>
      </c>
      <c r="I531">
        <v>1</v>
      </c>
      <c r="J531">
        <v>0</v>
      </c>
      <c r="K531">
        <v>0</v>
      </c>
      <c r="L531" s="61" t="s">
        <v>4779</v>
      </c>
    </row>
    <row r="532" spans="6:12">
      <c r="F532" t="s">
        <v>11617</v>
      </c>
      <c r="G532" t="s">
        <v>4860</v>
      </c>
      <c r="H532">
        <v>7</v>
      </c>
      <c r="I532">
        <v>1</v>
      </c>
      <c r="J532">
        <v>0</v>
      </c>
      <c r="K532">
        <v>0</v>
      </c>
      <c r="L532" s="61" t="s">
        <v>4779</v>
      </c>
    </row>
    <row r="533" spans="6:12">
      <c r="F533" t="s">
        <v>11618</v>
      </c>
      <c r="G533" t="s">
        <v>4877</v>
      </c>
      <c r="H533">
        <v>7</v>
      </c>
      <c r="I533">
        <v>1</v>
      </c>
      <c r="J533">
        <v>0</v>
      </c>
      <c r="K533">
        <v>0</v>
      </c>
      <c r="L533" s="61" t="s">
        <v>4779</v>
      </c>
    </row>
    <row r="534" spans="6:12">
      <c r="F534" t="s">
        <v>11619</v>
      </c>
      <c r="G534" t="s">
        <v>4897</v>
      </c>
      <c r="H534">
        <v>7</v>
      </c>
      <c r="I534">
        <v>1</v>
      </c>
      <c r="J534">
        <v>0</v>
      </c>
      <c r="K534">
        <v>0</v>
      </c>
      <c r="L534" s="61" t="s">
        <v>4779</v>
      </c>
    </row>
    <row r="535" spans="6:12">
      <c r="F535" t="s">
        <v>11620</v>
      </c>
      <c r="G535" t="s">
        <v>4896</v>
      </c>
      <c r="H535">
        <v>7</v>
      </c>
      <c r="I535">
        <v>0</v>
      </c>
      <c r="J535">
        <v>1</v>
      </c>
      <c r="K535">
        <v>0</v>
      </c>
      <c r="L535" s="61" t="s">
        <v>4779</v>
      </c>
    </row>
    <row r="536" spans="6:12">
      <c r="F536" t="s">
        <v>11621</v>
      </c>
      <c r="G536" t="s">
        <v>5191</v>
      </c>
      <c r="H536">
        <v>6</v>
      </c>
      <c r="I536">
        <v>1</v>
      </c>
      <c r="J536">
        <v>1</v>
      </c>
      <c r="K536">
        <v>0</v>
      </c>
      <c r="L536" s="61" t="s">
        <v>4779</v>
      </c>
    </row>
    <row r="537" spans="6:12">
      <c r="F537" t="s">
        <v>11622</v>
      </c>
      <c r="G537" t="s">
        <v>4891</v>
      </c>
      <c r="H537">
        <v>6</v>
      </c>
      <c r="I537">
        <v>2</v>
      </c>
      <c r="J537">
        <v>0</v>
      </c>
      <c r="K537">
        <v>0</v>
      </c>
      <c r="L537" s="61" t="s">
        <v>4779</v>
      </c>
    </row>
    <row r="538" spans="6:12">
      <c r="F538" t="s">
        <v>11623</v>
      </c>
      <c r="G538" t="s">
        <v>4570</v>
      </c>
      <c r="H538">
        <v>6</v>
      </c>
      <c r="I538">
        <v>1</v>
      </c>
      <c r="J538">
        <v>1</v>
      </c>
      <c r="K538">
        <v>0</v>
      </c>
      <c r="L538" s="61" t="s">
        <v>4779</v>
      </c>
    </row>
    <row r="539" spans="6:12">
      <c r="F539" t="s">
        <v>11624</v>
      </c>
      <c r="G539" t="s">
        <v>1068</v>
      </c>
      <c r="H539">
        <v>7</v>
      </c>
      <c r="I539">
        <v>1</v>
      </c>
      <c r="J539">
        <v>0</v>
      </c>
      <c r="K539">
        <v>0</v>
      </c>
      <c r="L539" s="61" t="s">
        <v>4779</v>
      </c>
    </row>
    <row r="540" spans="6:12">
      <c r="F540" t="s">
        <v>11625</v>
      </c>
      <c r="G540" t="s">
        <v>1070</v>
      </c>
      <c r="H540">
        <v>5</v>
      </c>
      <c r="I540">
        <v>2</v>
      </c>
      <c r="J540">
        <v>1</v>
      </c>
      <c r="K540">
        <v>0</v>
      </c>
      <c r="L540" s="61" t="s">
        <v>4779</v>
      </c>
    </row>
    <row r="541" spans="6:12">
      <c r="F541" t="s">
        <v>11626</v>
      </c>
      <c r="G541" t="s">
        <v>1066</v>
      </c>
      <c r="H541">
        <v>8</v>
      </c>
      <c r="I541">
        <v>0</v>
      </c>
      <c r="J541">
        <v>0</v>
      </c>
      <c r="K541">
        <v>0</v>
      </c>
      <c r="L541" s="61" t="s">
        <v>4779</v>
      </c>
    </row>
    <row r="542" spans="6:12">
      <c r="F542" t="s">
        <v>11627</v>
      </c>
      <c r="G542" t="s">
        <v>4867</v>
      </c>
      <c r="H542">
        <v>7</v>
      </c>
      <c r="I542">
        <v>1</v>
      </c>
      <c r="J542">
        <v>0</v>
      </c>
      <c r="K542">
        <v>0</v>
      </c>
      <c r="L542" s="61" t="s">
        <v>4779</v>
      </c>
    </row>
    <row r="543" spans="6:12">
      <c r="F543" t="s">
        <v>11628</v>
      </c>
      <c r="G543" t="s">
        <v>4618</v>
      </c>
      <c r="H543">
        <v>7</v>
      </c>
      <c r="I543">
        <v>1</v>
      </c>
      <c r="J543">
        <v>0</v>
      </c>
      <c r="K543">
        <v>0</v>
      </c>
      <c r="L543" s="61" t="s">
        <v>4807</v>
      </c>
    </row>
    <row r="544" spans="6:12">
      <c r="F544" t="s">
        <v>11629</v>
      </c>
      <c r="G544" t="s">
        <v>4868</v>
      </c>
      <c r="H544">
        <v>5</v>
      </c>
      <c r="I544">
        <v>2</v>
      </c>
      <c r="J544">
        <v>1</v>
      </c>
      <c r="K544">
        <v>0</v>
      </c>
      <c r="L544" s="61" t="s">
        <v>4779</v>
      </c>
    </row>
    <row r="545" spans="6:12">
      <c r="F545" t="s">
        <v>11630</v>
      </c>
      <c r="G545" t="s">
        <v>4559</v>
      </c>
      <c r="H545">
        <v>7</v>
      </c>
      <c r="I545">
        <v>1</v>
      </c>
      <c r="J545">
        <v>0</v>
      </c>
      <c r="K545">
        <v>0</v>
      </c>
      <c r="L545" s="61" t="s">
        <v>4779</v>
      </c>
    </row>
    <row r="546" spans="6:12">
      <c r="F546" t="s">
        <v>11631</v>
      </c>
      <c r="G546" t="s">
        <v>4566</v>
      </c>
      <c r="H546">
        <v>6</v>
      </c>
      <c r="I546">
        <v>1</v>
      </c>
      <c r="J546">
        <v>1</v>
      </c>
      <c r="K546">
        <v>0</v>
      </c>
      <c r="L546" s="61" t="s">
        <v>4779</v>
      </c>
    </row>
    <row r="547" spans="6:12">
      <c r="F547" t="s">
        <v>11632</v>
      </c>
      <c r="G547" t="s">
        <v>1069</v>
      </c>
      <c r="H547">
        <v>5</v>
      </c>
      <c r="I547">
        <v>2</v>
      </c>
      <c r="J547">
        <v>1</v>
      </c>
      <c r="K547">
        <v>0</v>
      </c>
      <c r="L547" s="61" t="s">
        <v>4779</v>
      </c>
    </row>
    <row r="548" spans="6:12">
      <c r="F548" t="s">
        <v>11633</v>
      </c>
      <c r="G548" t="s">
        <v>4596</v>
      </c>
      <c r="H548">
        <v>5</v>
      </c>
      <c r="I548">
        <v>2</v>
      </c>
      <c r="J548">
        <v>1</v>
      </c>
      <c r="K548">
        <v>0</v>
      </c>
      <c r="L548" s="61" t="s">
        <v>4779</v>
      </c>
    </row>
    <row r="549" spans="6:12">
      <c r="F549" t="s">
        <v>11634</v>
      </c>
      <c r="G549" t="s">
        <v>5188</v>
      </c>
      <c r="H549">
        <v>7</v>
      </c>
      <c r="I549">
        <v>1</v>
      </c>
      <c r="J549">
        <v>0</v>
      </c>
      <c r="K549">
        <v>0</v>
      </c>
      <c r="L549" s="61" t="s">
        <v>4779</v>
      </c>
    </row>
    <row r="550" spans="6:12">
      <c r="F550" t="s">
        <v>11635</v>
      </c>
      <c r="G550" t="s">
        <v>4939</v>
      </c>
      <c r="H550">
        <v>6</v>
      </c>
      <c r="I550">
        <v>2</v>
      </c>
      <c r="J550">
        <v>0</v>
      </c>
      <c r="K550">
        <v>0</v>
      </c>
      <c r="L550" s="61" t="s">
        <v>4779</v>
      </c>
    </row>
    <row r="551" spans="6:12">
      <c r="F551" t="s">
        <v>11636</v>
      </c>
      <c r="G551" t="s">
        <v>4676</v>
      </c>
      <c r="H551">
        <v>7</v>
      </c>
      <c r="I551">
        <v>1</v>
      </c>
      <c r="J551">
        <v>0</v>
      </c>
      <c r="K551">
        <v>0</v>
      </c>
      <c r="L551" s="61" t="s">
        <v>4779</v>
      </c>
    </row>
    <row r="552" spans="6:12">
      <c r="F552" t="s">
        <v>11637</v>
      </c>
      <c r="G552" t="s">
        <v>4577</v>
      </c>
      <c r="H552">
        <v>6</v>
      </c>
      <c r="I552">
        <v>2</v>
      </c>
      <c r="J552">
        <v>0</v>
      </c>
      <c r="K552">
        <v>0</v>
      </c>
      <c r="L552" s="61" t="s">
        <v>4779</v>
      </c>
    </row>
    <row r="553" spans="6:12">
      <c r="F553" t="s">
        <v>11638</v>
      </c>
      <c r="G553" t="s">
        <v>4567</v>
      </c>
      <c r="H553">
        <v>7</v>
      </c>
      <c r="I553">
        <v>1</v>
      </c>
      <c r="J553">
        <v>0</v>
      </c>
      <c r="K553">
        <v>0</v>
      </c>
      <c r="L553" s="61" t="s">
        <v>4779</v>
      </c>
    </row>
    <row r="554" spans="6:12">
      <c r="F554" t="s">
        <v>11639</v>
      </c>
      <c r="G554" t="s">
        <v>4627</v>
      </c>
      <c r="H554">
        <v>5</v>
      </c>
      <c r="I554">
        <v>2</v>
      </c>
      <c r="J554">
        <v>1</v>
      </c>
      <c r="K554">
        <v>0</v>
      </c>
      <c r="L554" s="61" t="s">
        <v>4779</v>
      </c>
    </row>
    <row r="555" spans="6:12">
      <c r="F555" t="s">
        <v>11640</v>
      </c>
      <c r="G555" t="s">
        <v>4896</v>
      </c>
      <c r="H555">
        <v>5</v>
      </c>
      <c r="I555">
        <v>2</v>
      </c>
      <c r="J555">
        <v>1</v>
      </c>
      <c r="K555">
        <v>0</v>
      </c>
      <c r="L555" s="61" t="s">
        <v>4779</v>
      </c>
    </row>
    <row r="556" spans="6:12">
      <c r="F556" t="s">
        <v>11641</v>
      </c>
      <c r="G556" t="s">
        <v>4866</v>
      </c>
      <c r="H556">
        <v>7</v>
      </c>
      <c r="I556">
        <v>1</v>
      </c>
      <c r="J556">
        <v>0</v>
      </c>
      <c r="K556">
        <v>0</v>
      </c>
      <c r="L556" s="61" t="s">
        <v>4779</v>
      </c>
    </row>
    <row r="557" spans="6:12">
      <c r="F557" t="s">
        <v>11642</v>
      </c>
      <c r="G557" t="s">
        <v>4694</v>
      </c>
      <c r="H557">
        <v>7</v>
      </c>
      <c r="I557">
        <v>1</v>
      </c>
      <c r="J557">
        <v>0</v>
      </c>
      <c r="K557">
        <v>0</v>
      </c>
      <c r="L557" s="61" t="s">
        <v>4779</v>
      </c>
    </row>
    <row r="558" spans="6:12">
      <c r="F558" t="s">
        <v>11643</v>
      </c>
      <c r="G558" t="s">
        <v>4653</v>
      </c>
      <c r="H558">
        <v>6</v>
      </c>
      <c r="I558">
        <v>2</v>
      </c>
      <c r="J558">
        <v>0</v>
      </c>
      <c r="K558">
        <v>0</v>
      </c>
      <c r="L558" s="61" t="s">
        <v>4779</v>
      </c>
    </row>
    <row r="559" spans="6:12">
      <c r="F559" t="s">
        <v>11644</v>
      </c>
      <c r="G559" t="s">
        <v>4579</v>
      </c>
      <c r="H559">
        <v>7</v>
      </c>
      <c r="I559">
        <v>1</v>
      </c>
      <c r="J559">
        <v>0</v>
      </c>
      <c r="K559">
        <v>0</v>
      </c>
      <c r="L559" s="61" t="s">
        <v>4779</v>
      </c>
    </row>
    <row r="560" spans="6:12">
      <c r="F560" t="s">
        <v>11645</v>
      </c>
      <c r="G560" t="s">
        <v>4596</v>
      </c>
      <c r="H560">
        <v>6</v>
      </c>
      <c r="I560">
        <v>2</v>
      </c>
      <c r="J560">
        <v>0</v>
      </c>
      <c r="K560">
        <v>0</v>
      </c>
      <c r="L560" s="61" t="s">
        <v>4779</v>
      </c>
    </row>
    <row r="561" spans="6:12">
      <c r="F561" t="s">
        <v>11646</v>
      </c>
      <c r="G561" t="s">
        <v>4682</v>
      </c>
      <c r="H561">
        <v>7</v>
      </c>
      <c r="I561">
        <v>1</v>
      </c>
      <c r="J561">
        <v>0</v>
      </c>
      <c r="K561">
        <v>0</v>
      </c>
      <c r="L561" s="61" t="s">
        <v>4779</v>
      </c>
    </row>
    <row r="562" spans="6:12">
      <c r="F562" t="s">
        <v>11647</v>
      </c>
      <c r="G562" t="s">
        <v>4596</v>
      </c>
      <c r="H562">
        <v>6</v>
      </c>
      <c r="I562">
        <v>1</v>
      </c>
      <c r="J562">
        <v>1</v>
      </c>
      <c r="K562">
        <v>0</v>
      </c>
      <c r="L562" s="61" t="s">
        <v>4779</v>
      </c>
    </row>
    <row r="563" spans="6:12">
      <c r="F563" t="s">
        <v>11648</v>
      </c>
      <c r="G563" t="s">
        <v>4862</v>
      </c>
      <c r="H563">
        <v>7</v>
      </c>
      <c r="I563">
        <v>0</v>
      </c>
      <c r="J563">
        <v>1</v>
      </c>
      <c r="K563">
        <v>0</v>
      </c>
      <c r="L563" s="61" t="s">
        <v>4779</v>
      </c>
    </row>
    <row r="564" spans="6:12">
      <c r="F564" t="s">
        <v>11649</v>
      </c>
      <c r="G564" t="s">
        <v>4939</v>
      </c>
      <c r="H564">
        <v>7</v>
      </c>
      <c r="I564">
        <v>1</v>
      </c>
      <c r="J564">
        <v>0</v>
      </c>
      <c r="K564">
        <v>0</v>
      </c>
      <c r="L564" s="61" t="s">
        <v>4779</v>
      </c>
    </row>
    <row r="565" spans="6:12">
      <c r="F565" t="s">
        <v>11650</v>
      </c>
      <c r="G565" t="s">
        <v>4885</v>
      </c>
      <c r="H565">
        <v>8</v>
      </c>
      <c r="I565">
        <v>0</v>
      </c>
      <c r="J565">
        <v>0</v>
      </c>
      <c r="K565">
        <v>0</v>
      </c>
      <c r="L565" s="61" t="s">
        <v>4779</v>
      </c>
    </row>
    <row r="566" spans="6:12">
      <c r="F566" t="s">
        <v>11651</v>
      </c>
      <c r="G566" t="s">
        <v>4863</v>
      </c>
      <c r="H566">
        <v>8</v>
      </c>
      <c r="I566">
        <v>0</v>
      </c>
      <c r="J566">
        <v>0</v>
      </c>
      <c r="K566">
        <v>0</v>
      </c>
      <c r="L566" s="61" t="s">
        <v>4779</v>
      </c>
    </row>
    <row r="567" spans="6:12">
      <c r="F567" t="s">
        <v>11652</v>
      </c>
      <c r="G567" t="s">
        <v>4874</v>
      </c>
      <c r="H567">
        <v>7</v>
      </c>
      <c r="I567">
        <v>1</v>
      </c>
      <c r="J567">
        <v>0</v>
      </c>
      <c r="K567">
        <v>0</v>
      </c>
      <c r="L567" s="61" t="s">
        <v>4779</v>
      </c>
    </row>
    <row r="568" spans="6:12">
      <c r="F568" t="s">
        <v>11653</v>
      </c>
      <c r="G568" t="s">
        <v>4606</v>
      </c>
      <c r="H568">
        <v>7</v>
      </c>
      <c r="I568">
        <v>1</v>
      </c>
      <c r="J568">
        <v>0</v>
      </c>
      <c r="K568">
        <v>0</v>
      </c>
      <c r="L568" s="61" t="s">
        <v>4779</v>
      </c>
    </row>
    <row r="569" spans="6:12">
      <c r="F569" t="s">
        <v>11654</v>
      </c>
      <c r="G569" t="s">
        <v>4554</v>
      </c>
      <c r="H569">
        <v>7</v>
      </c>
      <c r="I569">
        <v>1</v>
      </c>
      <c r="J569">
        <v>0</v>
      </c>
      <c r="K569">
        <v>0</v>
      </c>
      <c r="L569" s="61" t="s">
        <v>4779</v>
      </c>
    </row>
    <row r="570" spans="6:12">
      <c r="F570" t="s">
        <v>11655</v>
      </c>
      <c r="G570" t="s">
        <v>4863</v>
      </c>
      <c r="H570">
        <v>6</v>
      </c>
      <c r="I570">
        <v>2</v>
      </c>
      <c r="J570">
        <v>0</v>
      </c>
      <c r="K570">
        <v>0</v>
      </c>
      <c r="L570" s="61" t="s">
        <v>4779</v>
      </c>
    </row>
    <row r="571" spans="6:12">
      <c r="F571" t="s">
        <v>11656</v>
      </c>
      <c r="G571" t="s">
        <v>5187</v>
      </c>
      <c r="H571">
        <v>7</v>
      </c>
      <c r="I571">
        <v>1</v>
      </c>
      <c r="J571">
        <v>0</v>
      </c>
      <c r="K571">
        <v>0</v>
      </c>
      <c r="L571" s="61" t="s">
        <v>4779</v>
      </c>
    </row>
    <row r="572" spans="6:12">
      <c r="F572" t="s">
        <v>11657</v>
      </c>
      <c r="G572" t="s">
        <v>4575</v>
      </c>
      <c r="H572">
        <v>6</v>
      </c>
      <c r="I572">
        <v>1</v>
      </c>
      <c r="J572">
        <v>1</v>
      </c>
      <c r="K572">
        <v>0</v>
      </c>
      <c r="L572" s="61" t="s">
        <v>4779</v>
      </c>
    </row>
    <row r="573" spans="6:12">
      <c r="F573" t="s">
        <v>11658</v>
      </c>
      <c r="G573" t="s">
        <v>4621</v>
      </c>
      <c r="H573">
        <v>7</v>
      </c>
      <c r="I573">
        <v>1</v>
      </c>
      <c r="J573">
        <v>0</v>
      </c>
      <c r="K573">
        <v>0</v>
      </c>
      <c r="L573" s="61" t="s">
        <v>4779</v>
      </c>
    </row>
    <row r="574" spans="6:12">
      <c r="F574" t="s">
        <v>11659</v>
      </c>
      <c r="G574" t="s">
        <v>4893</v>
      </c>
      <c r="H574">
        <v>6</v>
      </c>
      <c r="I574">
        <v>2</v>
      </c>
      <c r="J574">
        <v>0</v>
      </c>
      <c r="K574">
        <v>0</v>
      </c>
      <c r="L574" s="61" t="s">
        <v>4779</v>
      </c>
    </row>
    <row r="575" spans="6:12">
      <c r="F575" t="s">
        <v>11660</v>
      </c>
      <c r="G575" t="s">
        <v>4627</v>
      </c>
      <c r="H575">
        <v>5</v>
      </c>
      <c r="I575">
        <v>2</v>
      </c>
      <c r="J575">
        <v>1</v>
      </c>
      <c r="K575">
        <v>0</v>
      </c>
      <c r="L575" s="61" t="s">
        <v>4779</v>
      </c>
    </row>
    <row r="576" spans="6:12">
      <c r="F576" t="s">
        <v>11661</v>
      </c>
      <c r="G576" t="s">
        <v>4854</v>
      </c>
      <c r="H576">
        <v>6</v>
      </c>
      <c r="I576">
        <v>2</v>
      </c>
      <c r="J576">
        <v>0</v>
      </c>
      <c r="K576">
        <v>0</v>
      </c>
      <c r="L576" s="61" t="s">
        <v>4779</v>
      </c>
    </row>
    <row r="577" spans="6:12">
      <c r="F577" t="s">
        <v>11662</v>
      </c>
      <c r="G577" t="s">
        <v>4878</v>
      </c>
      <c r="H577">
        <v>6</v>
      </c>
      <c r="I577">
        <v>2</v>
      </c>
      <c r="J577">
        <v>0</v>
      </c>
      <c r="K577">
        <v>0</v>
      </c>
      <c r="L577" s="61" t="s">
        <v>4779</v>
      </c>
    </row>
    <row r="578" spans="6:12">
      <c r="F578" t="s">
        <v>11663</v>
      </c>
      <c r="G578" t="s">
        <v>4868</v>
      </c>
      <c r="H578">
        <v>6</v>
      </c>
      <c r="I578">
        <v>2</v>
      </c>
      <c r="J578">
        <v>0</v>
      </c>
      <c r="K578">
        <v>0</v>
      </c>
      <c r="L578" s="61" t="s">
        <v>4779</v>
      </c>
    </row>
    <row r="579" spans="6:12">
      <c r="F579" t="s">
        <v>11664</v>
      </c>
      <c r="G579" t="s">
        <v>4591</v>
      </c>
      <c r="H579">
        <v>6</v>
      </c>
      <c r="I579">
        <v>2</v>
      </c>
      <c r="J579">
        <v>0</v>
      </c>
      <c r="K579">
        <v>0</v>
      </c>
      <c r="L579" s="61" t="s">
        <v>4779</v>
      </c>
    </row>
    <row r="580" spans="6:12">
      <c r="F580" t="s">
        <v>11665</v>
      </c>
      <c r="G580" t="s">
        <v>4694</v>
      </c>
      <c r="H580">
        <v>6</v>
      </c>
      <c r="I580">
        <v>1</v>
      </c>
      <c r="J580">
        <v>1</v>
      </c>
      <c r="K580">
        <v>0</v>
      </c>
      <c r="L580" s="61" t="s">
        <v>4779</v>
      </c>
    </row>
    <row r="581" spans="6:12">
      <c r="F581" t="s">
        <v>11666</v>
      </c>
      <c r="G581" t="s">
        <v>4575</v>
      </c>
      <c r="H581">
        <v>5</v>
      </c>
      <c r="I581">
        <v>2</v>
      </c>
      <c r="J581">
        <v>1</v>
      </c>
      <c r="K581">
        <v>0</v>
      </c>
      <c r="L581" s="61" t="s">
        <v>4779</v>
      </c>
    </row>
    <row r="582" spans="6:12">
      <c r="F582" t="s">
        <v>11667</v>
      </c>
      <c r="G582" t="s">
        <v>4554</v>
      </c>
      <c r="H582">
        <v>6</v>
      </c>
      <c r="I582">
        <v>2</v>
      </c>
      <c r="J582">
        <v>0</v>
      </c>
      <c r="K582">
        <v>0</v>
      </c>
      <c r="L582" s="61" t="s">
        <v>4779</v>
      </c>
    </row>
    <row r="583" spans="6:12">
      <c r="F583" t="s">
        <v>11668</v>
      </c>
      <c r="G583" t="s">
        <v>1069</v>
      </c>
      <c r="H583">
        <v>6</v>
      </c>
      <c r="I583">
        <v>2</v>
      </c>
      <c r="J583">
        <v>0</v>
      </c>
      <c r="K583">
        <v>0</v>
      </c>
      <c r="L583" s="61" t="s">
        <v>4779</v>
      </c>
    </row>
    <row r="584" spans="6:12">
      <c r="F584" t="s">
        <v>11669</v>
      </c>
      <c r="G584" t="s">
        <v>4856</v>
      </c>
      <c r="H584">
        <v>6</v>
      </c>
      <c r="I584">
        <v>2</v>
      </c>
      <c r="J584">
        <v>0</v>
      </c>
      <c r="K584">
        <v>0</v>
      </c>
      <c r="L584" s="61" t="s">
        <v>4779</v>
      </c>
    </row>
    <row r="585" spans="6:12">
      <c r="F585" t="s">
        <v>11670</v>
      </c>
      <c r="G585" t="s">
        <v>4627</v>
      </c>
      <c r="H585">
        <v>5</v>
      </c>
      <c r="I585">
        <v>2</v>
      </c>
      <c r="J585">
        <v>1</v>
      </c>
      <c r="K585">
        <v>0</v>
      </c>
      <c r="L585" s="61" t="s">
        <v>4779</v>
      </c>
    </row>
    <row r="586" spans="6:12">
      <c r="F586" t="s">
        <v>5258</v>
      </c>
      <c r="G586" t="s">
        <v>4646</v>
      </c>
      <c r="H586">
        <v>8</v>
      </c>
      <c r="I586">
        <v>0</v>
      </c>
      <c r="J586">
        <v>0</v>
      </c>
      <c r="K586">
        <v>0</v>
      </c>
      <c r="L586" s="61" t="s">
        <v>4779</v>
      </c>
    </row>
    <row r="587" spans="6:12">
      <c r="F587" t="s">
        <v>11671</v>
      </c>
      <c r="G587" t="s">
        <v>11672</v>
      </c>
      <c r="H587">
        <v>8</v>
      </c>
      <c r="I587">
        <v>0</v>
      </c>
      <c r="J587">
        <v>0</v>
      </c>
      <c r="K587">
        <v>0</v>
      </c>
      <c r="L587" s="61" t="s">
        <v>4779</v>
      </c>
    </row>
    <row r="588" spans="6:12">
      <c r="F588" t="s">
        <v>11673</v>
      </c>
      <c r="G588" t="s">
        <v>4901</v>
      </c>
      <c r="H588">
        <v>6</v>
      </c>
      <c r="I588">
        <v>2</v>
      </c>
      <c r="J588">
        <v>0</v>
      </c>
      <c r="K588">
        <v>0</v>
      </c>
      <c r="L588" s="61" t="s">
        <v>4779</v>
      </c>
    </row>
    <row r="589" spans="6:12">
      <c r="F589" t="s">
        <v>11674</v>
      </c>
      <c r="G589" t="s">
        <v>4868</v>
      </c>
      <c r="H589">
        <v>7</v>
      </c>
      <c r="I589">
        <v>1</v>
      </c>
      <c r="J589">
        <v>0</v>
      </c>
      <c r="K589">
        <v>0</v>
      </c>
      <c r="L589" s="61" t="s">
        <v>4779</v>
      </c>
    </row>
    <row r="590" spans="6:12">
      <c r="F590" t="s">
        <v>11675</v>
      </c>
      <c r="G590" t="s">
        <v>4596</v>
      </c>
      <c r="H590">
        <v>5</v>
      </c>
      <c r="I590">
        <v>2</v>
      </c>
      <c r="J590">
        <v>1</v>
      </c>
      <c r="K590">
        <v>0</v>
      </c>
      <c r="L590" s="61" t="s">
        <v>4779</v>
      </c>
    </row>
    <row r="591" spans="6:12">
      <c r="F591" t="s">
        <v>11676</v>
      </c>
      <c r="G591" t="s">
        <v>4860</v>
      </c>
      <c r="H591">
        <v>6</v>
      </c>
      <c r="I591">
        <v>1</v>
      </c>
      <c r="J591">
        <v>1</v>
      </c>
      <c r="K591">
        <v>0</v>
      </c>
      <c r="L591" s="61" t="s">
        <v>4779</v>
      </c>
    </row>
    <row r="592" spans="6:12">
      <c r="F592" t="s">
        <v>11677</v>
      </c>
      <c r="G592" t="s">
        <v>4879</v>
      </c>
      <c r="H592">
        <v>7</v>
      </c>
      <c r="I592">
        <v>1</v>
      </c>
      <c r="J592">
        <v>0</v>
      </c>
      <c r="K592">
        <v>0</v>
      </c>
      <c r="L592" s="61" t="s">
        <v>4779</v>
      </c>
    </row>
    <row r="593" spans="6:12">
      <c r="F593" t="s">
        <v>11678</v>
      </c>
      <c r="G593" t="s">
        <v>4646</v>
      </c>
      <c r="H593">
        <v>5</v>
      </c>
      <c r="I593">
        <v>2</v>
      </c>
      <c r="J593">
        <v>1</v>
      </c>
      <c r="K593">
        <v>0</v>
      </c>
      <c r="L593" s="61" t="s">
        <v>4779</v>
      </c>
    </row>
    <row r="594" spans="6:12">
      <c r="F594" t="s">
        <v>11679</v>
      </c>
      <c r="G594" t="s">
        <v>4568</v>
      </c>
      <c r="H594">
        <v>5</v>
      </c>
      <c r="I594">
        <v>2</v>
      </c>
      <c r="J594">
        <v>1</v>
      </c>
      <c r="K594">
        <v>0</v>
      </c>
      <c r="L594" s="61" t="s">
        <v>4779</v>
      </c>
    </row>
    <row r="595" spans="6:12">
      <c r="F595" t="s">
        <v>11680</v>
      </c>
      <c r="G595" t="s">
        <v>4872</v>
      </c>
      <c r="H595">
        <v>7</v>
      </c>
      <c r="I595">
        <v>1</v>
      </c>
      <c r="J595">
        <v>0</v>
      </c>
      <c r="K595">
        <v>0</v>
      </c>
      <c r="L595" s="61" t="s">
        <v>4779</v>
      </c>
    </row>
    <row r="596" spans="6:12">
      <c r="F596" t="s">
        <v>11681</v>
      </c>
      <c r="G596" t="s">
        <v>4694</v>
      </c>
      <c r="H596">
        <v>6</v>
      </c>
      <c r="I596">
        <v>2</v>
      </c>
      <c r="J596">
        <v>0</v>
      </c>
      <c r="K596">
        <v>0</v>
      </c>
      <c r="L596" s="61" t="s">
        <v>4779</v>
      </c>
    </row>
    <row r="597" spans="6:12">
      <c r="F597" t="s">
        <v>11682</v>
      </c>
      <c r="G597" t="s">
        <v>1070</v>
      </c>
      <c r="H597">
        <v>6</v>
      </c>
      <c r="I597">
        <v>2</v>
      </c>
      <c r="J597">
        <v>0</v>
      </c>
      <c r="K597">
        <v>0</v>
      </c>
      <c r="L597" s="61" t="s">
        <v>4779</v>
      </c>
    </row>
    <row r="598" spans="6:12">
      <c r="F598" t="s">
        <v>11683</v>
      </c>
      <c r="G598" t="s">
        <v>4851</v>
      </c>
      <c r="H598">
        <v>5</v>
      </c>
      <c r="I598">
        <v>2</v>
      </c>
      <c r="J598">
        <v>1</v>
      </c>
      <c r="K598">
        <v>0</v>
      </c>
      <c r="L598" s="61" t="s">
        <v>4779</v>
      </c>
    </row>
    <row r="599" spans="6:12">
      <c r="F599" t="s">
        <v>11684</v>
      </c>
      <c r="G599" t="s">
        <v>4556</v>
      </c>
      <c r="H599">
        <v>6</v>
      </c>
      <c r="I599">
        <v>2</v>
      </c>
      <c r="J599">
        <v>0</v>
      </c>
      <c r="K599">
        <v>0</v>
      </c>
      <c r="L599" s="61" t="s">
        <v>4779</v>
      </c>
    </row>
    <row r="600" spans="6:12">
      <c r="F600" t="s">
        <v>11685</v>
      </c>
      <c r="G600" t="s">
        <v>4616</v>
      </c>
      <c r="H600">
        <v>5</v>
      </c>
      <c r="I600">
        <v>2</v>
      </c>
      <c r="J600">
        <v>1</v>
      </c>
      <c r="K600">
        <v>0</v>
      </c>
      <c r="L600" s="61" t="s">
        <v>4779</v>
      </c>
    </row>
    <row r="601" spans="6:12">
      <c r="F601" t="s">
        <v>11686</v>
      </c>
      <c r="G601" t="s">
        <v>4863</v>
      </c>
      <c r="H601">
        <v>6</v>
      </c>
      <c r="I601">
        <v>2</v>
      </c>
      <c r="J601">
        <v>0</v>
      </c>
      <c r="K601">
        <v>0</v>
      </c>
      <c r="L601" s="61" t="s">
        <v>4779</v>
      </c>
    </row>
    <row r="602" spans="6:12">
      <c r="F602" t="s">
        <v>11687</v>
      </c>
      <c r="G602" t="s">
        <v>4614</v>
      </c>
      <c r="H602">
        <v>5</v>
      </c>
      <c r="I602">
        <v>2</v>
      </c>
      <c r="J602">
        <v>1</v>
      </c>
      <c r="K602">
        <v>0</v>
      </c>
      <c r="L602" s="61" t="s">
        <v>4779</v>
      </c>
    </row>
    <row r="603" spans="6:12">
      <c r="F603" t="s">
        <v>11688</v>
      </c>
      <c r="G603" t="s">
        <v>4853</v>
      </c>
      <c r="H603">
        <v>6</v>
      </c>
      <c r="I603">
        <v>2</v>
      </c>
      <c r="J603">
        <v>0</v>
      </c>
      <c r="K603">
        <v>0</v>
      </c>
      <c r="L603" s="61" t="s">
        <v>4779</v>
      </c>
    </row>
    <row r="604" spans="6:12">
      <c r="F604" t="s">
        <v>11689</v>
      </c>
      <c r="G604" t="s">
        <v>4694</v>
      </c>
      <c r="H604">
        <v>7</v>
      </c>
      <c r="I604">
        <v>1</v>
      </c>
      <c r="J604">
        <v>0</v>
      </c>
      <c r="K604">
        <v>0</v>
      </c>
      <c r="L604" s="61" t="s">
        <v>4779</v>
      </c>
    </row>
    <row r="605" spans="6:12">
      <c r="F605" t="s">
        <v>11690</v>
      </c>
      <c r="G605" t="s">
        <v>4577</v>
      </c>
      <c r="H605">
        <v>7</v>
      </c>
      <c r="I605">
        <v>1</v>
      </c>
      <c r="J605">
        <v>0</v>
      </c>
      <c r="K605">
        <v>0</v>
      </c>
      <c r="L605" s="61" t="s">
        <v>4779</v>
      </c>
    </row>
    <row r="606" spans="6:12">
      <c r="F606" t="s">
        <v>11691</v>
      </c>
      <c r="G606" t="s">
        <v>4896</v>
      </c>
      <c r="H606">
        <v>6</v>
      </c>
      <c r="I606">
        <v>2</v>
      </c>
      <c r="J606">
        <v>0</v>
      </c>
      <c r="K606">
        <v>0</v>
      </c>
      <c r="L606" s="61" t="s">
        <v>4779</v>
      </c>
    </row>
    <row r="607" spans="6:12">
      <c r="F607" t="s">
        <v>11692</v>
      </c>
      <c r="G607" t="s">
        <v>4893</v>
      </c>
      <c r="H607">
        <v>6</v>
      </c>
      <c r="I607">
        <v>1</v>
      </c>
      <c r="J607">
        <v>1</v>
      </c>
      <c r="K607">
        <v>0</v>
      </c>
      <c r="L607" s="61" t="s">
        <v>4779</v>
      </c>
    </row>
    <row r="608" spans="6:12">
      <c r="F608" t="s">
        <v>11693</v>
      </c>
      <c r="G608" t="s">
        <v>4627</v>
      </c>
      <c r="H608">
        <v>7</v>
      </c>
      <c r="I608">
        <v>1</v>
      </c>
      <c r="J608">
        <v>0</v>
      </c>
      <c r="K608">
        <v>0</v>
      </c>
      <c r="L608" s="61" t="s">
        <v>4779</v>
      </c>
    </row>
    <row r="609" spans="6:12">
      <c r="F609" t="s">
        <v>11694</v>
      </c>
      <c r="G609" t="s">
        <v>4633</v>
      </c>
      <c r="H609">
        <v>6</v>
      </c>
      <c r="I609">
        <v>2</v>
      </c>
      <c r="J609">
        <v>0</v>
      </c>
      <c r="K609">
        <v>0</v>
      </c>
      <c r="L609" s="61" t="s">
        <v>4779</v>
      </c>
    </row>
    <row r="610" spans="6:12">
      <c r="F610" t="s">
        <v>11695</v>
      </c>
      <c r="G610" t="s">
        <v>4875</v>
      </c>
      <c r="H610">
        <v>7</v>
      </c>
      <c r="I610">
        <v>1</v>
      </c>
      <c r="J610">
        <v>0</v>
      </c>
      <c r="K610">
        <v>0</v>
      </c>
      <c r="L610" s="61" t="s">
        <v>4779</v>
      </c>
    </row>
    <row r="611" spans="6:12">
      <c r="F611" t="s">
        <v>11696</v>
      </c>
      <c r="G611" t="s">
        <v>4880</v>
      </c>
      <c r="H611">
        <v>6</v>
      </c>
      <c r="I611">
        <v>1</v>
      </c>
      <c r="J611">
        <v>1</v>
      </c>
      <c r="K611">
        <v>0</v>
      </c>
      <c r="L611" s="61" t="s">
        <v>4779</v>
      </c>
    </row>
    <row r="612" spans="6:12">
      <c r="F612" t="s">
        <v>11697</v>
      </c>
      <c r="G612" t="s">
        <v>4567</v>
      </c>
      <c r="H612">
        <v>6</v>
      </c>
      <c r="I612">
        <v>1</v>
      </c>
      <c r="J612">
        <v>1</v>
      </c>
      <c r="K612">
        <v>0</v>
      </c>
      <c r="L612" s="61" t="s">
        <v>4779</v>
      </c>
    </row>
    <row r="613" spans="6:12">
      <c r="F613" t="s">
        <v>11698</v>
      </c>
      <c r="G613" t="s">
        <v>4856</v>
      </c>
      <c r="H613">
        <v>6</v>
      </c>
      <c r="I613">
        <v>1</v>
      </c>
      <c r="J613">
        <v>1</v>
      </c>
      <c r="K613">
        <v>0</v>
      </c>
      <c r="L613" s="61" t="s">
        <v>4779</v>
      </c>
    </row>
    <row r="614" spans="6:12">
      <c r="F614" t="s">
        <v>11699</v>
      </c>
      <c r="G614" t="s">
        <v>4878</v>
      </c>
      <c r="H614">
        <v>6</v>
      </c>
      <c r="I614">
        <v>2</v>
      </c>
      <c r="J614">
        <v>0</v>
      </c>
      <c r="K614">
        <v>0</v>
      </c>
      <c r="L614" s="61" t="s">
        <v>4779</v>
      </c>
    </row>
    <row r="615" spans="6:12">
      <c r="F615" t="s">
        <v>11700</v>
      </c>
      <c r="G615" t="s">
        <v>4852</v>
      </c>
      <c r="H615">
        <v>5</v>
      </c>
      <c r="I615">
        <v>2</v>
      </c>
      <c r="J615">
        <v>1</v>
      </c>
      <c r="K615">
        <v>0</v>
      </c>
      <c r="L615" s="61" t="s">
        <v>4779</v>
      </c>
    </row>
    <row r="616" spans="6:12">
      <c r="F616" t="s">
        <v>11701</v>
      </c>
      <c r="G616" t="s">
        <v>4616</v>
      </c>
      <c r="H616">
        <v>6</v>
      </c>
      <c r="I616">
        <v>2</v>
      </c>
      <c r="J616">
        <v>0</v>
      </c>
      <c r="K616">
        <v>0</v>
      </c>
      <c r="L616" s="61" t="s">
        <v>4779</v>
      </c>
    </row>
    <row r="617" spans="6:12">
      <c r="F617" t="s">
        <v>11702</v>
      </c>
      <c r="G617" t="s">
        <v>4888</v>
      </c>
      <c r="H617">
        <v>7</v>
      </c>
      <c r="I617">
        <v>1</v>
      </c>
      <c r="J617">
        <v>0</v>
      </c>
      <c r="K617">
        <v>0</v>
      </c>
      <c r="L617" s="61" t="s">
        <v>4779</v>
      </c>
    </row>
    <row r="618" spans="6:12">
      <c r="F618" t="s">
        <v>11703</v>
      </c>
      <c r="G618" t="s">
        <v>4849</v>
      </c>
      <c r="H618">
        <v>6</v>
      </c>
      <c r="I618">
        <v>1</v>
      </c>
      <c r="J618">
        <v>1</v>
      </c>
      <c r="K618">
        <v>0</v>
      </c>
      <c r="L618" s="61" t="s">
        <v>4779</v>
      </c>
    </row>
    <row r="619" spans="6:12">
      <c r="F619" t="s">
        <v>11704</v>
      </c>
      <c r="G619" t="s">
        <v>4601</v>
      </c>
      <c r="H619">
        <v>6</v>
      </c>
      <c r="I619">
        <v>2</v>
      </c>
      <c r="J619">
        <v>0</v>
      </c>
      <c r="K619">
        <v>0</v>
      </c>
      <c r="L619" s="61" t="s">
        <v>4779</v>
      </c>
    </row>
    <row r="620" spans="6:12">
      <c r="F620" t="s">
        <v>11705</v>
      </c>
      <c r="G620" t="s">
        <v>4548</v>
      </c>
      <c r="H620">
        <v>5</v>
      </c>
      <c r="I620">
        <v>2</v>
      </c>
      <c r="J620">
        <v>1</v>
      </c>
      <c r="K620">
        <v>0</v>
      </c>
      <c r="L620" s="61" t="s">
        <v>4779</v>
      </c>
    </row>
    <row r="621" spans="6:12">
      <c r="F621" t="s">
        <v>11706</v>
      </c>
      <c r="G621" t="s">
        <v>4864</v>
      </c>
      <c r="H621">
        <v>6</v>
      </c>
      <c r="I621">
        <v>1</v>
      </c>
      <c r="J621">
        <v>1</v>
      </c>
      <c r="K621">
        <v>0</v>
      </c>
      <c r="L621" s="61" t="s">
        <v>4807</v>
      </c>
    </row>
    <row r="622" spans="6:12">
      <c r="F622" t="s">
        <v>11707</v>
      </c>
      <c r="G622" t="s">
        <v>4565</v>
      </c>
      <c r="H622">
        <v>7</v>
      </c>
      <c r="I622">
        <v>1</v>
      </c>
      <c r="J622">
        <v>0</v>
      </c>
      <c r="K622">
        <v>0</v>
      </c>
      <c r="L622" s="61" t="s">
        <v>4779</v>
      </c>
    </row>
    <row r="623" spans="6:12">
      <c r="F623" t="s">
        <v>11708</v>
      </c>
      <c r="G623" t="s">
        <v>4564</v>
      </c>
      <c r="H623">
        <v>7</v>
      </c>
      <c r="I623">
        <v>1</v>
      </c>
      <c r="J623">
        <v>0</v>
      </c>
      <c r="K623">
        <v>0</v>
      </c>
      <c r="L623" s="61" t="s">
        <v>4779</v>
      </c>
    </row>
    <row r="624" spans="6:12">
      <c r="F624" t="s">
        <v>11709</v>
      </c>
      <c r="G624" t="s">
        <v>5188</v>
      </c>
      <c r="H624">
        <v>7</v>
      </c>
      <c r="I624">
        <v>1</v>
      </c>
      <c r="J624">
        <v>0</v>
      </c>
      <c r="K624">
        <v>0</v>
      </c>
      <c r="L624" s="61" t="s">
        <v>4779</v>
      </c>
    </row>
    <row r="625" spans="6:12">
      <c r="F625" t="s">
        <v>11710</v>
      </c>
      <c r="G625" t="s">
        <v>4562</v>
      </c>
      <c r="H625">
        <v>6</v>
      </c>
      <c r="I625">
        <v>2</v>
      </c>
      <c r="J625">
        <v>0</v>
      </c>
      <c r="K625">
        <v>0</v>
      </c>
      <c r="L625" s="61" t="s">
        <v>4779</v>
      </c>
    </row>
    <row r="626" spans="6:12">
      <c r="F626" t="s">
        <v>11711</v>
      </c>
      <c r="G626" t="s">
        <v>4562</v>
      </c>
      <c r="H626">
        <v>6</v>
      </c>
      <c r="I626">
        <v>1</v>
      </c>
      <c r="J626">
        <v>1</v>
      </c>
      <c r="K626">
        <v>0</v>
      </c>
      <c r="L626" s="61" t="s">
        <v>4779</v>
      </c>
    </row>
    <row r="627" spans="6:12">
      <c r="F627" t="s">
        <v>11712</v>
      </c>
      <c r="G627" t="s">
        <v>4891</v>
      </c>
      <c r="H627">
        <v>6</v>
      </c>
      <c r="I627">
        <v>2</v>
      </c>
      <c r="J627">
        <v>0</v>
      </c>
      <c r="K627">
        <v>0</v>
      </c>
      <c r="L627" s="61" t="s">
        <v>4779</v>
      </c>
    </row>
    <row r="628" spans="6:12">
      <c r="F628" t="s">
        <v>11713</v>
      </c>
      <c r="G628" t="s">
        <v>4571</v>
      </c>
      <c r="H628">
        <v>7</v>
      </c>
      <c r="I628">
        <v>1</v>
      </c>
      <c r="J628">
        <v>0</v>
      </c>
      <c r="K628">
        <v>0</v>
      </c>
      <c r="L628" s="61" t="s">
        <v>4779</v>
      </c>
    </row>
    <row r="629" spans="6:12">
      <c r="F629" t="s">
        <v>11714</v>
      </c>
      <c r="G629" t="s">
        <v>4587</v>
      </c>
      <c r="H629">
        <v>6</v>
      </c>
      <c r="I629">
        <v>1</v>
      </c>
      <c r="J629">
        <v>1</v>
      </c>
      <c r="K629">
        <v>0</v>
      </c>
      <c r="L629" s="61" t="s">
        <v>4779</v>
      </c>
    </row>
    <row r="630" spans="6:12">
      <c r="F630" t="s">
        <v>11715</v>
      </c>
      <c r="G630" t="s">
        <v>4860</v>
      </c>
      <c r="H630">
        <v>6</v>
      </c>
      <c r="I630">
        <v>2</v>
      </c>
      <c r="J630">
        <v>0</v>
      </c>
      <c r="K630">
        <v>0</v>
      </c>
      <c r="L630" s="61" t="s">
        <v>4779</v>
      </c>
    </row>
    <row r="631" spans="6:12">
      <c r="F631" t="s">
        <v>11716</v>
      </c>
      <c r="G631" t="s">
        <v>4694</v>
      </c>
      <c r="H631">
        <v>6</v>
      </c>
      <c r="I631">
        <v>2</v>
      </c>
      <c r="J631">
        <v>0</v>
      </c>
      <c r="K631">
        <v>0</v>
      </c>
      <c r="L631" s="61" t="s">
        <v>4779</v>
      </c>
    </row>
    <row r="632" spans="6:12">
      <c r="F632" t="s">
        <v>11717</v>
      </c>
      <c r="G632" t="s">
        <v>4669</v>
      </c>
      <c r="H632">
        <v>7</v>
      </c>
      <c r="I632">
        <v>1</v>
      </c>
      <c r="J632">
        <v>0</v>
      </c>
      <c r="K632">
        <v>0</v>
      </c>
      <c r="L632" s="61" t="s">
        <v>4779</v>
      </c>
    </row>
    <row r="633" spans="6:12">
      <c r="F633" t="s">
        <v>11718</v>
      </c>
      <c r="G633" t="s">
        <v>4564</v>
      </c>
      <c r="H633">
        <v>6</v>
      </c>
      <c r="I633">
        <v>2</v>
      </c>
      <c r="J633">
        <v>0</v>
      </c>
      <c r="K633">
        <v>0</v>
      </c>
      <c r="L633" s="61" t="s">
        <v>4779</v>
      </c>
    </row>
    <row r="634" spans="6:12">
      <c r="F634" t="s">
        <v>11719</v>
      </c>
      <c r="G634" t="s">
        <v>4616</v>
      </c>
      <c r="H634">
        <v>6</v>
      </c>
      <c r="I634">
        <v>2</v>
      </c>
      <c r="J634">
        <v>0</v>
      </c>
      <c r="K634">
        <v>0</v>
      </c>
      <c r="L634" s="61" t="s">
        <v>4779</v>
      </c>
    </row>
    <row r="635" spans="6:12">
      <c r="F635" t="s">
        <v>11720</v>
      </c>
      <c r="G635" t="s">
        <v>4880</v>
      </c>
      <c r="H635">
        <v>7</v>
      </c>
      <c r="I635">
        <v>1</v>
      </c>
      <c r="J635">
        <v>0</v>
      </c>
      <c r="K635">
        <v>0</v>
      </c>
      <c r="L635" s="61" t="s">
        <v>4779</v>
      </c>
    </row>
    <row r="636" spans="6:12">
      <c r="F636" t="s">
        <v>11721</v>
      </c>
      <c r="G636" t="s">
        <v>4548</v>
      </c>
      <c r="H636">
        <v>5</v>
      </c>
      <c r="I636">
        <v>2</v>
      </c>
      <c r="J636">
        <v>1</v>
      </c>
      <c r="K636">
        <v>0</v>
      </c>
      <c r="L636" s="61" t="s">
        <v>4779</v>
      </c>
    </row>
    <row r="637" spans="6:12">
      <c r="F637" t="s">
        <v>11722</v>
      </c>
      <c r="G637" t="s">
        <v>4555</v>
      </c>
      <c r="H637">
        <v>5</v>
      </c>
      <c r="I637">
        <v>2</v>
      </c>
      <c r="J637">
        <v>1</v>
      </c>
      <c r="K637">
        <v>0</v>
      </c>
      <c r="L637" s="61" t="s">
        <v>4779</v>
      </c>
    </row>
    <row r="638" spans="6:12">
      <c r="F638" t="s">
        <v>11723</v>
      </c>
      <c r="G638" t="s">
        <v>4577</v>
      </c>
      <c r="H638">
        <v>7</v>
      </c>
      <c r="I638">
        <v>1</v>
      </c>
      <c r="J638">
        <v>0</v>
      </c>
      <c r="K638">
        <v>0</v>
      </c>
      <c r="L638" s="61" t="s">
        <v>4779</v>
      </c>
    </row>
    <row r="639" spans="6:12">
      <c r="F639" t="s">
        <v>11724</v>
      </c>
      <c r="G639" t="s">
        <v>4877</v>
      </c>
      <c r="H639">
        <v>7</v>
      </c>
      <c r="I639">
        <v>1</v>
      </c>
      <c r="J639">
        <v>0</v>
      </c>
      <c r="K639">
        <v>0</v>
      </c>
      <c r="L639" s="61" t="s">
        <v>4779</v>
      </c>
    </row>
    <row r="640" spans="6:12">
      <c r="F640" t="s">
        <v>11725</v>
      </c>
      <c r="G640" t="s">
        <v>4546</v>
      </c>
      <c r="H640">
        <v>6</v>
      </c>
      <c r="I640">
        <v>2</v>
      </c>
      <c r="J640">
        <v>0</v>
      </c>
      <c r="K640">
        <v>0</v>
      </c>
      <c r="L640" s="61" t="s">
        <v>4779</v>
      </c>
    </row>
    <row r="641" spans="6:12">
      <c r="F641" t="s">
        <v>11726</v>
      </c>
      <c r="G641" t="s">
        <v>4853</v>
      </c>
      <c r="H641">
        <v>7</v>
      </c>
      <c r="I641">
        <v>1</v>
      </c>
      <c r="J641">
        <v>0</v>
      </c>
      <c r="K641">
        <v>0</v>
      </c>
      <c r="L641" s="61" t="s">
        <v>4779</v>
      </c>
    </row>
    <row r="642" spans="6:12">
      <c r="F642" t="s">
        <v>11727</v>
      </c>
      <c r="G642" t="s">
        <v>4854</v>
      </c>
      <c r="H642">
        <v>6</v>
      </c>
      <c r="I642">
        <v>1</v>
      </c>
      <c r="J642">
        <v>1</v>
      </c>
      <c r="K642">
        <v>0</v>
      </c>
      <c r="L642" s="61" t="s">
        <v>4779</v>
      </c>
    </row>
    <row r="643" spans="6:12">
      <c r="F643" t="s">
        <v>11728</v>
      </c>
      <c r="G643" t="s">
        <v>4646</v>
      </c>
      <c r="H643">
        <v>6</v>
      </c>
      <c r="I643">
        <v>2</v>
      </c>
      <c r="J643">
        <v>0</v>
      </c>
      <c r="K643">
        <v>0</v>
      </c>
      <c r="L643" s="61" t="s">
        <v>4779</v>
      </c>
    </row>
    <row r="644" spans="6:12">
      <c r="F644" t="s">
        <v>11729</v>
      </c>
      <c r="G644" t="s">
        <v>4616</v>
      </c>
      <c r="H644">
        <v>5</v>
      </c>
      <c r="I644">
        <v>2</v>
      </c>
      <c r="J644">
        <v>1</v>
      </c>
      <c r="K644">
        <v>0</v>
      </c>
      <c r="L644" s="61" t="s">
        <v>4779</v>
      </c>
    </row>
    <row r="645" spans="6:12">
      <c r="F645" t="s">
        <v>11730</v>
      </c>
      <c r="G645" t="s">
        <v>4569</v>
      </c>
      <c r="H645">
        <v>7</v>
      </c>
      <c r="I645">
        <v>1</v>
      </c>
      <c r="J645">
        <v>0</v>
      </c>
      <c r="K645">
        <v>0</v>
      </c>
      <c r="L645" s="61" t="s">
        <v>4779</v>
      </c>
    </row>
    <row r="646" spans="6:12">
      <c r="F646" t="s">
        <v>11731</v>
      </c>
      <c r="G646" t="s">
        <v>4874</v>
      </c>
      <c r="H646">
        <v>7</v>
      </c>
      <c r="I646">
        <v>1</v>
      </c>
      <c r="J646">
        <v>0</v>
      </c>
      <c r="K646">
        <v>0</v>
      </c>
      <c r="L646" s="61" t="s">
        <v>4779</v>
      </c>
    </row>
    <row r="647" spans="6:12">
      <c r="F647" t="s">
        <v>11732</v>
      </c>
      <c r="G647" t="s">
        <v>1069</v>
      </c>
      <c r="H647">
        <v>6</v>
      </c>
      <c r="I647">
        <v>2</v>
      </c>
      <c r="J647">
        <v>0</v>
      </c>
      <c r="K647">
        <v>0</v>
      </c>
      <c r="L647" s="61" t="s">
        <v>4779</v>
      </c>
    </row>
    <row r="648" spans="6:12">
      <c r="F648" t="s">
        <v>11733</v>
      </c>
      <c r="G648" t="s">
        <v>1068</v>
      </c>
      <c r="H648">
        <v>5</v>
      </c>
      <c r="I648">
        <v>2</v>
      </c>
      <c r="J648">
        <v>1</v>
      </c>
      <c r="K648">
        <v>0</v>
      </c>
      <c r="L648" s="61" t="s">
        <v>4779</v>
      </c>
    </row>
    <row r="649" spans="6:12">
      <c r="F649" t="s">
        <v>11734</v>
      </c>
      <c r="G649" t="s">
        <v>4880</v>
      </c>
      <c r="H649">
        <v>7</v>
      </c>
      <c r="I649">
        <v>1</v>
      </c>
      <c r="J649">
        <v>0</v>
      </c>
      <c r="K649">
        <v>0</v>
      </c>
      <c r="L649" s="61" t="s">
        <v>4779</v>
      </c>
    </row>
    <row r="650" spans="6:12">
      <c r="F650" t="s">
        <v>11735</v>
      </c>
      <c r="G650" t="s">
        <v>4577</v>
      </c>
      <c r="H650">
        <v>7</v>
      </c>
      <c r="I650">
        <v>1</v>
      </c>
      <c r="J650">
        <v>0</v>
      </c>
      <c r="K650">
        <v>0</v>
      </c>
      <c r="L650" s="61" t="s">
        <v>4779</v>
      </c>
    </row>
    <row r="651" spans="6:12">
      <c r="F651" t="s">
        <v>11736</v>
      </c>
      <c r="G651" t="s">
        <v>4576</v>
      </c>
      <c r="H651">
        <v>5</v>
      </c>
      <c r="I651">
        <v>2</v>
      </c>
      <c r="J651">
        <v>1</v>
      </c>
      <c r="K651">
        <v>0</v>
      </c>
      <c r="L651" s="61" t="s">
        <v>4779</v>
      </c>
    </row>
    <row r="652" spans="6:12">
      <c r="F652" t="s">
        <v>11737</v>
      </c>
      <c r="G652" t="s">
        <v>4575</v>
      </c>
      <c r="H652">
        <v>6</v>
      </c>
      <c r="I652">
        <v>2</v>
      </c>
      <c r="J652">
        <v>0</v>
      </c>
      <c r="K652">
        <v>0</v>
      </c>
      <c r="L652" s="61" t="s">
        <v>4779</v>
      </c>
    </row>
    <row r="653" spans="6:12">
      <c r="F653" t="s">
        <v>11738</v>
      </c>
      <c r="G653" t="s">
        <v>4612</v>
      </c>
      <c r="H653">
        <v>7</v>
      </c>
      <c r="I653">
        <v>1</v>
      </c>
      <c r="J653">
        <v>0</v>
      </c>
      <c r="K653">
        <v>0</v>
      </c>
      <c r="L653" s="61" t="s">
        <v>4779</v>
      </c>
    </row>
    <row r="654" spans="6:12">
      <c r="F654" t="s">
        <v>11739</v>
      </c>
      <c r="G654" t="s">
        <v>4867</v>
      </c>
      <c r="H654">
        <v>6</v>
      </c>
      <c r="I654">
        <v>2</v>
      </c>
      <c r="J654">
        <v>0</v>
      </c>
      <c r="K654">
        <v>0</v>
      </c>
      <c r="L654" s="61" t="s">
        <v>4779</v>
      </c>
    </row>
    <row r="655" spans="6:12">
      <c r="F655" t="s">
        <v>11740</v>
      </c>
      <c r="G655" t="s">
        <v>4600</v>
      </c>
      <c r="H655">
        <v>6</v>
      </c>
      <c r="I655">
        <v>2</v>
      </c>
      <c r="J655">
        <v>0</v>
      </c>
      <c r="K655">
        <v>0</v>
      </c>
      <c r="L655" s="61" t="s">
        <v>4779</v>
      </c>
    </row>
    <row r="656" spans="6:12">
      <c r="F656" t="s">
        <v>11741</v>
      </c>
      <c r="G656" t="s">
        <v>4575</v>
      </c>
      <c r="H656">
        <v>5</v>
      </c>
      <c r="I656">
        <v>2</v>
      </c>
      <c r="J656">
        <v>1</v>
      </c>
      <c r="K656">
        <v>0</v>
      </c>
      <c r="L656" s="61" t="s">
        <v>4779</v>
      </c>
    </row>
    <row r="657" spans="6:12">
      <c r="F657" t="s">
        <v>11742</v>
      </c>
      <c r="G657" t="s">
        <v>4562</v>
      </c>
      <c r="H657">
        <v>6</v>
      </c>
      <c r="I657">
        <v>1</v>
      </c>
      <c r="J657">
        <v>1</v>
      </c>
      <c r="K657">
        <v>0</v>
      </c>
      <c r="L657" s="61" t="s">
        <v>4779</v>
      </c>
    </row>
    <row r="658" spans="6:12">
      <c r="F658" t="s">
        <v>11743</v>
      </c>
      <c r="G658" t="s">
        <v>4878</v>
      </c>
      <c r="H658">
        <v>6</v>
      </c>
      <c r="I658">
        <v>1</v>
      </c>
      <c r="J658">
        <v>1</v>
      </c>
      <c r="K658">
        <v>0</v>
      </c>
      <c r="L658" s="61" t="s">
        <v>4779</v>
      </c>
    </row>
    <row r="659" spans="6:12">
      <c r="F659" t="s">
        <v>11744</v>
      </c>
      <c r="G659" t="s">
        <v>4881</v>
      </c>
      <c r="H659">
        <v>7</v>
      </c>
      <c r="I659">
        <v>1</v>
      </c>
      <c r="J659">
        <v>0</v>
      </c>
      <c r="K659">
        <v>0</v>
      </c>
      <c r="L659" s="61" t="s">
        <v>4779</v>
      </c>
    </row>
    <row r="660" spans="6:12">
      <c r="F660" t="s">
        <v>11745</v>
      </c>
      <c r="G660" t="s">
        <v>4694</v>
      </c>
      <c r="H660">
        <v>6</v>
      </c>
      <c r="I660">
        <v>2</v>
      </c>
      <c r="J660">
        <v>0</v>
      </c>
      <c r="K660">
        <v>0</v>
      </c>
      <c r="L660" s="61" t="s">
        <v>4779</v>
      </c>
    </row>
    <row r="661" spans="6:12">
      <c r="F661" t="s">
        <v>11746</v>
      </c>
      <c r="G661" t="s">
        <v>4554</v>
      </c>
      <c r="H661">
        <v>6</v>
      </c>
      <c r="I661">
        <v>2</v>
      </c>
      <c r="J661">
        <v>0</v>
      </c>
      <c r="K661">
        <v>0</v>
      </c>
      <c r="L661" s="61" t="s">
        <v>4779</v>
      </c>
    </row>
    <row r="662" spans="6:12">
      <c r="F662" t="s">
        <v>11747</v>
      </c>
      <c r="G662" t="s">
        <v>4879</v>
      </c>
      <c r="H662">
        <v>7</v>
      </c>
      <c r="I662">
        <v>1</v>
      </c>
      <c r="J662">
        <v>0</v>
      </c>
      <c r="K662">
        <v>0</v>
      </c>
      <c r="L662" s="61" t="s">
        <v>4779</v>
      </c>
    </row>
    <row r="663" spans="6:12">
      <c r="F663" t="s">
        <v>11748</v>
      </c>
      <c r="G663" t="s">
        <v>4891</v>
      </c>
      <c r="H663">
        <v>6</v>
      </c>
      <c r="I663">
        <v>2</v>
      </c>
      <c r="J663">
        <v>0</v>
      </c>
      <c r="K663">
        <v>0</v>
      </c>
      <c r="L663" s="61" t="s">
        <v>4779</v>
      </c>
    </row>
    <row r="664" spans="6:12">
      <c r="F664" t="s">
        <v>11749</v>
      </c>
      <c r="G664" t="s">
        <v>4865</v>
      </c>
      <c r="H664">
        <v>5</v>
      </c>
      <c r="I664">
        <v>2</v>
      </c>
      <c r="J664">
        <v>1</v>
      </c>
      <c r="K664">
        <v>0</v>
      </c>
      <c r="L664" s="61" t="s">
        <v>4779</v>
      </c>
    </row>
    <row r="665" spans="6:12">
      <c r="F665" t="s">
        <v>11750</v>
      </c>
      <c r="G665" t="s">
        <v>4566</v>
      </c>
      <c r="H665">
        <v>5</v>
      </c>
      <c r="I665">
        <v>2</v>
      </c>
      <c r="J665">
        <v>1</v>
      </c>
      <c r="K665">
        <v>0</v>
      </c>
      <c r="L665" s="61" t="s">
        <v>4779</v>
      </c>
    </row>
    <row r="666" spans="6:12">
      <c r="F666" t="s">
        <v>11751</v>
      </c>
      <c r="G666" t="s">
        <v>4562</v>
      </c>
      <c r="H666">
        <v>6</v>
      </c>
      <c r="I666">
        <v>2</v>
      </c>
      <c r="J666">
        <v>0</v>
      </c>
      <c r="K666">
        <v>0</v>
      </c>
      <c r="L666" s="61" t="s">
        <v>4779</v>
      </c>
    </row>
    <row r="667" spans="6:12">
      <c r="F667" t="s">
        <v>11752</v>
      </c>
      <c r="G667" t="s">
        <v>4676</v>
      </c>
      <c r="H667">
        <v>6</v>
      </c>
      <c r="I667">
        <v>2</v>
      </c>
      <c r="J667">
        <v>0</v>
      </c>
      <c r="K667">
        <v>0</v>
      </c>
      <c r="L667" s="61" t="s">
        <v>4779</v>
      </c>
    </row>
    <row r="668" spans="6:12">
      <c r="F668" t="s">
        <v>11753</v>
      </c>
      <c r="G668" t="s">
        <v>4623</v>
      </c>
      <c r="H668">
        <v>7</v>
      </c>
      <c r="I668">
        <v>1</v>
      </c>
      <c r="J668">
        <v>0</v>
      </c>
      <c r="K668">
        <v>0</v>
      </c>
      <c r="L668" s="61" t="s">
        <v>4779</v>
      </c>
    </row>
    <row r="669" spans="6:12">
      <c r="F669" t="s">
        <v>11754</v>
      </c>
      <c r="G669" t="s">
        <v>4856</v>
      </c>
      <c r="H669">
        <v>6</v>
      </c>
      <c r="I669">
        <v>2</v>
      </c>
      <c r="J669">
        <v>0</v>
      </c>
      <c r="K669">
        <v>0</v>
      </c>
      <c r="L669" s="61" t="s">
        <v>4779</v>
      </c>
    </row>
    <row r="670" spans="6:12">
      <c r="F670" t="s">
        <v>11755</v>
      </c>
      <c r="G670" t="s">
        <v>4627</v>
      </c>
      <c r="H670">
        <v>5</v>
      </c>
      <c r="I670">
        <v>2</v>
      </c>
      <c r="J670">
        <v>1</v>
      </c>
      <c r="K670">
        <v>0</v>
      </c>
      <c r="L670" s="61" t="s">
        <v>4810</v>
      </c>
    </row>
    <row r="671" spans="6:12">
      <c r="F671" t="s">
        <v>11756</v>
      </c>
      <c r="G671" t="s">
        <v>4853</v>
      </c>
      <c r="H671">
        <v>6</v>
      </c>
      <c r="I671">
        <v>1</v>
      </c>
      <c r="J671">
        <v>1</v>
      </c>
      <c r="K671">
        <v>0</v>
      </c>
      <c r="L671" s="61" t="s">
        <v>4779</v>
      </c>
    </row>
    <row r="672" spans="6:12">
      <c r="F672" t="s">
        <v>11757</v>
      </c>
      <c r="G672" t="s">
        <v>1065</v>
      </c>
      <c r="H672">
        <v>5</v>
      </c>
      <c r="I672">
        <v>2</v>
      </c>
      <c r="J672">
        <v>1</v>
      </c>
      <c r="K672">
        <v>0</v>
      </c>
      <c r="L672" s="61" t="s">
        <v>4779</v>
      </c>
    </row>
    <row r="673" spans="6:12">
      <c r="F673" t="s">
        <v>11758</v>
      </c>
      <c r="G673" t="s">
        <v>4627</v>
      </c>
      <c r="H673">
        <v>5</v>
      </c>
      <c r="I673">
        <v>2</v>
      </c>
      <c r="J673">
        <v>1</v>
      </c>
      <c r="K673">
        <v>0</v>
      </c>
      <c r="L673" s="61" t="s">
        <v>4779</v>
      </c>
    </row>
    <row r="674" spans="6:12">
      <c r="F674" t="s">
        <v>11759</v>
      </c>
      <c r="G674" t="s">
        <v>4548</v>
      </c>
      <c r="H674">
        <v>6</v>
      </c>
      <c r="I674">
        <v>1</v>
      </c>
      <c r="J674">
        <v>1</v>
      </c>
      <c r="K674">
        <v>0</v>
      </c>
      <c r="L674" s="61" t="s">
        <v>4779</v>
      </c>
    </row>
    <row r="675" spans="6:12">
      <c r="F675" t="s">
        <v>11760</v>
      </c>
      <c r="G675" t="s">
        <v>4891</v>
      </c>
      <c r="H675">
        <v>5</v>
      </c>
      <c r="I675">
        <v>2</v>
      </c>
      <c r="J675">
        <v>1</v>
      </c>
      <c r="K675">
        <v>0</v>
      </c>
      <c r="L675" s="61" t="s">
        <v>4779</v>
      </c>
    </row>
    <row r="676" spans="6:12">
      <c r="F676" t="s">
        <v>11761</v>
      </c>
      <c r="G676" t="s">
        <v>4867</v>
      </c>
      <c r="H676">
        <v>7</v>
      </c>
      <c r="I676">
        <v>1</v>
      </c>
      <c r="J676">
        <v>0</v>
      </c>
      <c r="K676">
        <v>0</v>
      </c>
      <c r="L676" s="61" t="s">
        <v>4779</v>
      </c>
    </row>
    <row r="677" spans="6:12">
      <c r="F677" t="s">
        <v>11762</v>
      </c>
      <c r="G677" t="s">
        <v>4868</v>
      </c>
      <c r="H677">
        <v>6</v>
      </c>
      <c r="I677">
        <v>1</v>
      </c>
      <c r="J677">
        <v>1</v>
      </c>
      <c r="K677">
        <v>0</v>
      </c>
      <c r="L677" s="61" t="s">
        <v>4779</v>
      </c>
    </row>
    <row r="678" spans="6:12">
      <c r="F678" t="s">
        <v>11763</v>
      </c>
      <c r="G678" t="s">
        <v>4566</v>
      </c>
      <c r="H678">
        <v>6</v>
      </c>
      <c r="I678">
        <v>2</v>
      </c>
      <c r="J678">
        <v>0</v>
      </c>
      <c r="K678">
        <v>0</v>
      </c>
      <c r="L678" s="61" t="s">
        <v>4779</v>
      </c>
    </row>
    <row r="679" spans="6:12">
      <c r="F679" t="s">
        <v>11764</v>
      </c>
      <c r="G679" t="s">
        <v>4562</v>
      </c>
      <c r="H679">
        <v>6</v>
      </c>
      <c r="I679">
        <v>1</v>
      </c>
      <c r="J679">
        <v>1</v>
      </c>
      <c r="K679">
        <v>0</v>
      </c>
      <c r="L679" s="61" t="s">
        <v>4779</v>
      </c>
    </row>
    <row r="680" spans="6:12">
      <c r="F680" t="s">
        <v>11765</v>
      </c>
      <c r="G680" t="s">
        <v>4562</v>
      </c>
      <c r="H680">
        <v>6</v>
      </c>
      <c r="I680">
        <v>1</v>
      </c>
      <c r="J680">
        <v>1</v>
      </c>
      <c r="K680">
        <v>0</v>
      </c>
      <c r="L680" s="61" t="s">
        <v>4779</v>
      </c>
    </row>
    <row r="681" spans="6:12">
      <c r="F681" t="s">
        <v>11766</v>
      </c>
      <c r="G681" t="s">
        <v>4868</v>
      </c>
      <c r="H681">
        <v>7</v>
      </c>
      <c r="I681">
        <v>1</v>
      </c>
      <c r="J681">
        <v>0</v>
      </c>
      <c r="K681">
        <v>0</v>
      </c>
      <c r="L681" s="61" t="s">
        <v>4779</v>
      </c>
    </row>
    <row r="682" spans="6:12">
      <c r="F682" t="s">
        <v>11767</v>
      </c>
      <c r="G682" t="s">
        <v>4591</v>
      </c>
      <c r="H682">
        <v>7</v>
      </c>
      <c r="I682">
        <v>1</v>
      </c>
      <c r="J682">
        <v>0</v>
      </c>
      <c r="K682">
        <v>0</v>
      </c>
      <c r="L682" s="61" t="s">
        <v>4779</v>
      </c>
    </row>
    <row r="683" spans="6:12">
      <c r="F683" t="s">
        <v>11768</v>
      </c>
      <c r="G683" t="s">
        <v>4546</v>
      </c>
      <c r="H683">
        <v>7</v>
      </c>
      <c r="I683">
        <v>1</v>
      </c>
      <c r="J683">
        <v>0</v>
      </c>
      <c r="K683">
        <v>0</v>
      </c>
      <c r="L683" s="61" t="s">
        <v>4779</v>
      </c>
    </row>
    <row r="684" spans="6:12">
      <c r="F684" t="s">
        <v>11769</v>
      </c>
      <c r="G684" t="s">
        <v>4556</v>
      </c>
      <c r="H684">
        <v>6</v>
      </c>
      <c r="I684">
        <v>2</v>
      </c>
      <c r="J684">
        <v>0</v>
      </c>
      <c r="K684">
        <v>0</v>
      </c>
      <c r="L684" s="61" t="s">
        <v>4779</v>
      </c>
    </row>
    <row r="685" spans="6:12">
      <c r="F685" t="s">
        <v>11770</v>
      </c>
      <c r="G685" t="s">
        <v>4868</v>
      </c>
      <c r="H685">
        <v>5</v>
      </c>
      <c r="I685">
        <v>2</v>
      </c>
      <c r="J685">
        <v>1</v>
      </c>
      <c r="K685">
        <v>0</v>
      </c>
      <c r="L685" s="61" t="s">
        <v>4779</v>
      </c>
    </row>
    <row r="686" spans="6:12">
      <c r="F686" t="s">
        <v>11771</v>
      </c>
      <c r="G686" t="s">
        <v>4881</v>
      </c>
      <c r="H686">
        <v>5</v>
      </c>
      <c r="I686">
        <v>2</v>
      </c>
      <c r="J686">
        <v>1</v>
      </c>
      <c r="K686">
        <v>0</v>
      </c>
      <c r="L686" s="61" t="s">
        <v>4779</v>
      </c>
    </row>
    <row r="687" spans="6:12">
      <c r="F687" t="s">
        <v>11772</v>
      </c>
      <c r="G687" t="s">
        <v>4853</v>
      </c>
      <c r="H687">
        <v>6</v>
      </c>
      <c r="I687">
        <v>1</v>
      </c>
      <c r="J687">
        <v>1</v>
      </c>
      <c r="K687">
        <v>0</v>
      </c>
      <c r="L687" s="61" t="s">
        <v>4779</v>
      </c>
    </row>
    <row r="688" spans="6:12">
      <c r="F688" t="s">
        <v>11773</v>
      </c>
      <c r="G688" t="s">
        <v>4569</v>
      </c>
      <c r="H688">
        <v>7</v>
      </c>
      <c r="I688">
        <v>1</v>
      </c>
      <c r="J688">
        <v>0</v>
      </c>
      <c r="K688">
        <v>0</v>
      </c>
      <c r="L688" s="61" t="s">
        <v>4779</v>
      </c>
    </row>
    <row r="689" spans="6:12">
      <c r="F689" t="s">
        <v>11774</v>
      </c>
      <c r="G689" t="s">
        <v>4566</v>
      </c>
      <c r="H689">
        <v>5</v>
      </c>
      <c r="I689">
        <v>2</v>
      </c>
      <c r="J689">
        <v>1</v>
      </c>
      <c r="K689">
        <v>0</v>
      </c>
      <c r="L689" s="61" t="s">
        <v>4779</v>
      </c>
    </row>
    <row r="690" spans="6:12">
      <c r="F690" t="s">
        <v>11775</v>
      </c>
      <c r="G690" t="s">
        <v>4895</v>
      </c>
      <c r="H690">
        <v>7</v>
      </c>
      <c r="I690">
        <v>1</v>
      </c>
      <c r="J690">
        <v>0</v>
      </c>
      <c r="K690">
        <v>0</v>
      </c>
      <c r="L690" s="61" t="s">
        <v>4779</v>
      </c>
    </row>
    <row r="691" spans="6:12">
      <c r="F691" t="s">
        <v>11776</v>
      </c>
      <c r="G691" t="s">
        <v>4575</v>
      </c>
      <c r="H691">
        <v>6</v>
      </c>
      <c r="I691">
        <v>1</v>
      </c>
      <c r="J691">
        <v>1</v>
      </c>
      <c r="K691">
        <v>0</v>
      </c>
      <c r="L691" s="61" t="s">
        <v>4779</v>
      </c>
    </row>
    <row r="692" spans="6:12">
      <c r="F692" t="s">
        <v>11777</v>
      </c>
      <c r="G692" t="s">
        <v>4856</v>
      </c>
      <c r="H692">
        <v>6</v>
      </c>
      <c r="I692">
        <v>2</v>
      </c>
      <c r="J692">
        <v>0</v>
      </c>
      <c r="K692">
        <v>0</v>
      </c>
      <c r="L692" s="61" t="s">
        <v>4779</v>
      </c>
    </row>
    <row r="693" spans="6:12">
      <c r="F693" t="s">
        <v>11778</v>
      </c>
      <c r="G693" t="s">
        <v>4676</v>
      </c>
      <c r="H693">
        <v>6</v>
      </c>
      <c r="I693">
        <v>2</v>
      </c>
      <c r="J693">
        <v>0</v>
      </c>
      <c r="K693">
        <v>0</v>
      </c>
      <c r="L693" s="61" t="s">
        <v>4779</v>
      </c>
    </row>
    <row r="694" spans="6:12">
      <c r="F694" t="s">
        <v>11779</v>
      </c>
      <c r="G694" t="s">
        <v>1070</v>
      </c>
      <c r="H694">
        <v>6</v>
      </c>
      <c r="I694">
        <v>2</v>
      </c>
      <c r="J694">
        <v>0</v>
      </c>
      <c r="K694">
        <v>0</v>
      </c>
      <c r="L694" s="61" t="s">
        <v>4779</v>
      </c>
    </row>
    <row r="695" spans="6:12">
      <c r="F695" t="s">
        <v>11780</v>
      </c>
      <c r="G695" t="s">
        <v>4902</v>
      </c>
      <c r="H695">
        <v>7</v>
      </c>
      <c r="I695">
        <v>1</v>
      </c>
      <c r="J695">
        <v>0</v>
      </c>
      <c r="K695">
        <v>0</v>
      </c>
      <c r="L695" s="61" t="s">
        <v>4779</v>
      </c>
    </row>
    <row r="696" spans="6:12">
      <c r="F696" t="s">
        <v>11781</v>
      </c>
      <c r="G696" t="s">
        <v>4865</v>
      </c>
      <c r="H696">
        <v>6</v>
      </c>
      <c r="I696">
        <v>1</v>
      </c>
      <c r="J696">
        <v>1</v>
      </c>
      <c r="K696">
        <v>0</v>
      </c>
      <c r="L696" s="61" t="s">
        <v>4779</v>
      </c>
    </row>
    <row r="697" spans="6:12">
      <c r="F697" t="s">
        <v>11782</v>
      </c>
      <c r="G697" t="s">
        <v>4852</v>
      </c>
      <c r="H697">
        <v>6</v>
      </c>
      <c r="I697">
        <v>2</v>
      </c>
      <c r="J697">
        <v>0</v>
      </c>
      <c r="K697">
        <v>0</v>
      </c>
      <c r="L697" s="61" t="s">
        <v>4779</v>
      </c>
    </row>
    <row r="698" spans="6:12">
      <c r="F698" t="s">
        <v>11783</v>
      </c>
      <c r="G698" t="s">
        <v>4852</v>
      </c>
      <c r="H698">
        <v>6</v>
      </c>
      <c r="I698">
        <v>2</v>
      </c>
      <c r="J698">
        <v>0</v>
      </c>
      <c r="K698">
        <v>0</v>
      </c>
      <c r="L698" s="61" t="s">
        <v>4779</v>
      </c>
    </row>
    <row r="699" spans="6:12">
      <c r="F699" t="s">
        <v>11784</v>
      </c>
      <c r="G699" t="s">
        <v>4596</v>
      </c>
      <c r="H699">
        <v>6</v>
      </c>
      <c r="I699">
        <v>2</v>
      </c>
      <c r="J699">
        <v>0</v>
      </c>
      <c r="K699">
        <v>0</v>
      </c>
      <c r="L699" s="61" t="s">
        <v>4779</v>
      </c>
    </row>
    <row r="700" spans="6:12">
      <c r="F700" t="s">
        <v>11785</v>
      </c>
      <c r="G700" t="s">
        <v>4904</v>
      </c>
      <c r="H700">
        <v>7</v>
      </c>
      <c r="I700">
        <v>1</v>
      </c>
      <c r="J700">
        <v>0</v>
      </c>
      <c r="K700">
        <v>0</v>
      </c>
      <c r="L700" s="61" t="s">
        <v>4779</v>
      </c>
    </row>
    <row r="701" spans="6:12">
      <c r="F701" t="s">
        <v>11786</v>
      </c>
      <c r="G701" t="s">
        <v>4882</v>
      </c>
      <c r="H701">
        <v>6</v>
      </c>
      <c r="I701">
        <v>2</v>
      </c>
      <c r="J701">
        <v>0</v>
      </c>
      <c r="K701">
        <v>0</v>
      </c>
      <c r="L701" s="61" t="s">
        <v>4779</v>
      </c>
    </row>
    <row r="702" spans="6:12">
      <c r="F702" t="s">
        <v>11787</v>
      </c>
      <c r="G702" t="s">
        <v>4570</v>
      </c>
      <c r="H702">
        <v>6</v>
      </c>
      <c r="I702">
        <v>2</v>
      </c>
      <c r="J702">
        <v>0</v>
      </c>
      <c r="K702">
        <v>0</v>
      </c>
      <c r="L702" s="61" t="s">
        <v>4779</v>
      </c>
    </row>
    <row r="703" spans="6:12">
      <c r="F703" t="s">
        <v>11788</v>
      </c>
      <c r="G703" t="s">
        <v>4568</v>
      </c>
      <c r="H703">
        <v>6</v>
      </c>
      <c r="I703">
        <v>2</v>
      </c>
      <c r="J703">
        <v>0</v>
      </c>
      <c r="K703">
        <v>0</v>
      </c>
      <c r="L703" s="61" t="s">
        <v>4779</v>
      </c>
    </row>
    <row r="704" spans="6:12">
      <c r="F704" t="s">
        <v>11789</v>
      </c>
      <c r="G704" t="s">
        <v>1071</v>
      </c>
      <c r="H704">
        <v>6</v>
      </c>
      <c r="I704">
        <v>1</v>
      </c>
      <c r="J704">
        <v>1</v>
      </c>
      <c r="K704">
        <v>0</v>
      </c>
      <c r="L704" s="61" t="s">
        <v>4779</v>
      </c>
    </row>
    <row r="705" spans="6:12">
      <c r="F705" t="s">
        <v>11790</v>
      </c>
      <c r="G705" t="s">
        <v>4566</v>
      </c>
      <c r="H705">
        <v>7</v>
      </c>
      <c r="I705">
        <v>1</v>
      </c>
      <c r="J705">
        <v>0</v>
      </c>
      <c r="K705">
        <v>0</v>
      </c>
      <c r="L705" s="61" t="s">
        <v>4806</v>
      </c>
    </row>
    <row r="706" spans="6:12">
      <c r="F706" t="s">
        <v>11791</v>
      </c>
      <c r="G706" t="s">
        <v>4859</v>
      </c>
      <c r="H706">
        <v>7</v>
      </c>
      <c r="I706">
        <v>1</v>
      </c>
      <c r="J706">
        <v>0</v>
      </c>
      <c r="K706">
        <v>0</v>
      </c>
      <c r="L706" s="61" t="s">
        <v>4779</v>
      </c>
    </row>
    <row r="707" spans="6:12">
      <c r="F707" t="s">
        <v>11792</v>
      </c>
      <c r="G707" t="s">
        <v>4873</v>
      </c>
      <c r="H707">
        <v>7</v>
      </c>
      <c r="I707">
        <v>1</v>
      </c>
      <c r="J707">
        <v>0</v>
      </c>
      <c r="K707">
        <v>0</v>
      </c>
      <c r="L707" s="61" t="s">
        <v>4779</v>
      </c>
    </row>
    <row r="708" spans="6:12">
      <c r="F708" t="s">
        <v>11793</v>
      </c>
      <c r="G708" t="s">
        <v>1067</v>
      </c>
      <c r="H708">
        <v>5</v>
      </c>
      <c r="I708">
        <v>2</v>
      </c>
      <c r="J708">
        <v>1</v>
      </c>
      <c r="K708">
        <v>0</v>
      </c>
      <c r="L708" s="61" t="s">
        <v>4779</v>
      </c>
    </row>
    <row r="709" spans="6:12">
      <c r="F709" t="s">
        <v>11794</v>
      </c>
      <c r="G709" t="s">
        <v>1066</v>
      </c>
      <c r="H709">
        <v>5</v>
      </c>
      <c r="I709">
        <v>2</v>
      </c>
      <c r="J709">
        <v>1</v>
      </c>
      <c r="K709">
        <v>0</v>
      </c>
      <c r="L709" s="61" t="s">
        <v>4779</v>
      </c>
    </row>
    <row r="710" spans="6:12">
      <c r="F710" t="s">
        <v>11795</v>
      </c>
      <c r="G710" t="s">
        <v>4900</v>
      </c>
      <c r="H710">
        <v>6</v>
      </c>
      <c r="I710">
        <v>2</v>
      </c>
      <c r="J710">
        <v>0</v>
      </c>
      <c r="K710">
        <v>0</v>
      </c>
      <c r="L710" s="61" t="s">
        <v>4779</v>
      </c>
    </row>
    <row r="711" spans="6:12">
      <c r="F711" t="s">
        <v>11796</v>
      </c>
      <c r="G711" t="s">
        <v>4616</v>
      </c>
      <c r="H711">
        <v>6</v>
      </c>
      <c r="I711">
        <v>2</v>
      </c>
      <c r="J711">
        <v>0</v>
      </c>
      <c r="K711">
        <v>0</v>
      </c>
      <c r="L711" s="61" t="s">
        <v>4779</v>
      </c>
    </row>
    <row r="712" spans="6:12">
      <c r="F712" t="s">
        <v>11797</v>
      </c>
      <c r="G712" t="s">
        <v>4896</v>
      </c>
      <c r="H712">
        <v>6</v>
      </c>
      <c r="I712">
        <v>2</v>
      </c>
      <c r="J712">
        <v>0</v>
      </c>
      <c r="K712">
        <v>0</v>
      </c>
      <c r="L712" s="61" t="s">
        <v>4779</v>
      </c>
    </row>
    <row r="713" spans="6:12">
      <c r="F713" t="s">
        <v>11798</v>
      </c>
      <c r="G713" t="s">
        <v>4546</v>
      </c>
      <c r="H713">
        <v>6</v>
      </c>
      <c r="I713">
        <v>2</v>
      </c>
      <c r="J713">
        <v>0</v>
      </c>
      <c r="K713">
        <v>0</v>
      </c>
      <c r="L713" s="61" t="s">
        <v>4779</v>
      </c>
    </row>
    <row r="714" spans="6:12">
      <c r="F714" t="s">
        <v>11799</v>
      </c>
      <c r="G714" t="s">
        <v>4851</v>
      </c>
      <c r="H714">
        <v>6</v>
      </c>
      <c r="I714">
        <v>2</v>
      </c>
      <c r="J714">
        <v>0</v>
      </c>
      <c r="K714">
        <v>0</v>
      </c>
      <c r="L714" s="61" t="s">
        <v>4779</v>
      </c>
    </row>
    <row r="715" spans="6:12">
      <c r="F715" t="s">
        <v>11800</v>
      </c>
      <c r="G715" t="s">
        <v>1068</v>
      </c>
      <c r="H715">
        <v>6</v>
      </c>
      <c r="I715">
        <v>2</v>
      </c>
      <c r="J715">
        <v>0</v>
      </c>
      <c r="K715">
        <v>0</v>
      </c>
      <c r="L715" s="61" t="s">
        <v>4779</v>
      </c>
    </row>
    <row r="716" spans="6:12">
      <c r="F716" t="s">
        <v>11801</v>
      </c>
      <c r="G716" t="s">
        <v>4616</v>
      </c>
      <c r="H716">
        <v>6</v>
      </c>
      <c r="I716">
        <v>2</v>
      </c>
      <c r="J716">
        <v>0</v>
      </c>
      <c r="K716">
        <v>0</v>
      </c>
      <c r="L716" s="61" t="s">
        <v>4779</v>
      </c>
    </row>
    <row r="717" spans="6:12">
      <c r="F717" t="s">
        <v>11802</v>
      </c>
      <c r="G717" t="s">
        <v>4676</v>
      </c>
      <c r="H717">
        <v>6</v>
      </c>
      <c r="I717">
        <v>2</v>
      </c>
      <c r="J717">
        <v>0</v>
      </c>
      <c r="K717">
        <v>0</v>
      </c>
      <c r="L717" s="61" t="s">
        <v>4779</v>
      </c>
    </row>
    <row r="718" spans="6:12">
      <c r="F718" t="s">
        <v>11803</v>
      </c>
      <c r="G718" t="s">
        <v>4849</v>
      </c>
      <c r="H718">
        <v>6</v>
      </c>
      <c r="I718">
        <v>1</v>
      </c>
      <c r="J718">
        <v>1</v>
      </c>
      <c r="K718">
        <v>0</v>
      </c>
      <c r="L718" s="61" t="s">
        <v>4779</v>
      </c>
    </row>
    <row r="719" spans="6:12">
      <c r="F719" t="s">
        <v>11804</v>
      </c>
      <c r="G719" t="s">
        <v>4672</v>
      </c>
      <c r="H719">
        <v>5</v>
      </c>
      <c r="I719">
        <v>2</v>
      </c>
      <c r="J719">
        <v>1</v>
      </c>
      <c r="K719">
        <v>0</v>
      </c>
      <c r="L719" s="61" t="s">
        <v>4809</v>
      </c>
    </row>
    <row r="720" spans="6:12">
      <c r="F720" t="s">
        <v>11805</v>
      </c>
      <c r="G720" t="s">
        <v>4893</v>
      </c>
      <c r="H720">
        <v>6</v>
      </c>
      <c r="I720">
        <v>2</v>
      </c>
      <c r="J720">
        <v>0</v>
      </c>
      <c r="K720">
        <v>0</v>
      </c>
      <c r="L720" s="61" t="s">
        <v>4779</v>
      </c>
    </row>
    <row r="721" spans="6:12">
      <c r="F721" t="s">
        <v>11806</v>
      </c>
      <c r="G721" t="s">
        <v>4634</v>
      </c>
      <c r="H721">
        <v>7</v>
      </c>
      <c r="I721">
        <v>1</v>
      </c>
      <c r="J721">
        <v>0</v>
      </c>
      <c r="K721">
        <v>0</v>
      </c>
      <c r="L721" s="61" t="s">
        <v>4779</v>
      </c>
    </row>
    <row r="722" spans="6:12">
      <c r="F722" t="s">
        <v>11807</v>
      </c>
      <c r="G722" t="s">
        <v>4881</v>
      </c>
      <c r="H722">
        <v>7</v>
      </c>
      <c r="I722">
        <v>1</v>
      </c>
      <c r="J722">
        <v>0</v>
      </c>
      <c r="K722">
        <v>0</v>
      </c>
      <c r="L722" s="61" t="s">
        <v>4807</v>
      </c>
    </row>
    <row r="723" spans="6:12">
      <c r="F723" t="s">
        <v>11808</v>
      </c>
      <c r="G723" t="s">
        <v>4578</v>
      </c>
      <c r="H723">
        <v>6</v>
      </c>
      <c r="I723">
        <v>1</v>
      </c>
      <c r="J723">
        <v>1</v>
      </c>
      <c r="K723">
        <v>0</v>
      </c>
      <c r="L723" s="61" t="s">
        <v>4779</v>
      </c>
    </row>
    <row r="724" spans="6:12">
      <c r="F724" t="s">
        <v>11809</v>
      </c>
      <c r="G724" t="s">
        <v>4871</v>
      </c>
      <c r="H724">
        <v>7</v>
      </c>
      <c r="I724">
        <v>1</v>
      </c>
      <c r="J724">
        <v>0</v>
      </c>
      <c r="K724">
        <v>0</v>
      </c>
      <c r="L724" s="61" t="s">
        <v>4779</v>
      </c>
    </row>
    <row r="725" spans="6:12">
      <c r="F725" t="s">
        <v>11810</v>
      </c>
      <c r="G725" t="s">
        <v>4878</v>
      </c>
      <c r="H725">
        <v>6</v>
      </c>
      <c r="I725">
        <v>2</v>
      </c>
      <c r="J725">
        <v>0</v>
      </c>
      <c r="K725">
        <v>0</v>
      </c>
      <c r="L725" s="61" t="s">
        <v>4779</v>
      </c>
    </row>
    <row r="726" spans="6:12">
      <c r="F726" t="s">
        <v>11811</v>
      </c>
      <c r="G726" t="s">
        <v>4676</v>
      </c>
      <c r="H726">
        <v>6</v>
      </c>
      <c r="I726">
        <v>2</v>
      </c>
      <c r="J726">
        <v>0</v>
      </c>
      <c r="K726">
        <v>0</v>
      </c>
      <c r="L726" s="61" t="s">
        <v>4779</v>
      </c>
    </row>
    <row r="727" spans="6:12">
      <c r="F727" t="s">
        <v>11812</v>
      </c>
      <c r="G727" t="s">
        <v>4596</v>
      </c>
      <c r="H727">
        <v>5</v>
      </c>
      <c r="I727">
        <v>2</v>
      </c>
      <c r="J727">
        <v>1</v>
      </c>
      <c r="K727">
        <v>0</v>
      </c>
      <c r="L727" s="61" t="s">
        <v>4779</v>
      </c>
    </row>
    <row r="728" spans="6:12">
      <c r="F728" t="s">
        <v>11813</v>
      </c>
      <c r="G728" t="s">
        <v>1065</v>
      </c>
      <c r="H728">
        <v>5</v>
      </c>
      <c r="I728">
        <v>2</v>
      </c>
      <c r="J728">
        <v>1</v>
      </c>
      <c r="K728">
        <v>0</v>
      </c>
      <c r="L728" s="61" t="s">
        <v>4779</v>
      </c>
    </row>
    <row r="729" spans="6:12">
      <c r="F729" t="s">
        <v>11814</v>
      </c>
      <c r="G729" t="s">
        <v>1071</v>
      </c>
      <c r="H729">
        <v>6</v>
      </c>
      <c r="I729">
        <v>2</v>
      </c>
      <c r="J729">
        <v>0</v>
      </c>
      <c r="K729">
        <v>0</v>
      </c>
      <c r="L729" s="61" t="s">
        <v>4779</v>
      </c>
    </row>
    <row r="730" spans="6:12">
      <c r="F730" t="s">
        <v>11815</v>
      </c>
      <c r="G730" t="s">
        <v>4606</v>
      </c>
      <c r="H730">
        <v>7</v>
      </c>
      <c r="I730">
        <v>1</v>
      </c>
      <c r="J730">
        <v>0</v>
      </c>
      <c r="K730">
        <v>0</v>
      </c>
      <c r="L730" s="61" t="s">
        <v>4779</v>
      </c>
    </row>
    <row r="731" spans="6:12">
      <c r="F731" t="s">
        <v>11816</v>
      </c>
      <c r="G731" t="s">
        <v>4564</v>
      </c>
      <c r="H731">
        <v>5</v>
      </c>
      <c r="I731">
        <v>2</v>
      </c>
      <c r="J731">
        <v>1</v>
      </c>
      <c r="K731">
        <v>0</v>
      </c>
      <c r="L731" s="61" t="s">
        <v>4779</v>
      </c>
    </row>
    <row r="732" spans="6:12">
      <c r="F732" t="s">
        <v>11817</v>
      </c>
      <c r="G732" t="s">
        <v>4880</v>
      </c>
      <c r="H732">
        <v>6</v>
      </c>
      <c r="I732">
        <v>1</v>
      </c>
      <c r="J732">
        <v>1</v>
      </c>
      <c r="K732">
        <v>0</v>
      </c>
      <c r="L732" s="61" t="s">
        <v>4779</v>
      </c>
    </row>
    <row r="733" spans="6:12">
      <c r="F733" t="s">
        <v>11818</v>
      </c>
      <c r="G733" t="s">
        <v>4900</v>
      </c>
      <c r="H733">
        <v>7</v>
      </c>
      <c r="I733">
        <v>1</v>
      </c>
      <c r="J733">
        <v>0</v>
      </c>
      <c r="K733">
        <v>0</v>
      </c>
      <c r="L733" s="61" t="s">
        <v>4779</v>
      </c>
    </row>
    <row r="734" spans="6:12">
      <c r="F734" t="s">
        <v>11819</v>
      </c>
      <c r="G734" t="s">
        <v>4871</v>
      </c>
      <c r="H734">
        <v>7</v>
      </c>
      <c r="I734">
        <v>1</v>
      </c>
      <c r="J734">
        <v>0</v>
      </c>
      <c r="K734">
        <v>0</v>
      </c>
      <c r="L734" s="61" t="s">
        <v>4779</v>
      </c>
    </row>
    <row r="735" spans="6:12">
      <c r="F735" t="s">
        <v>11820</v>
      </c>
      <c r="G735" t="s">
        <v>4858</v>
      </c>
      <c r="H735">
        <v>7</v>
      </c>
      <c r="I735">
        <v>1</v>
      </c>
      <c r="J735">
        <v>0</v>
      </c>
      <c r="K735">
        <v>0</v>
      </c>
      <c r="L735" s="61" t="s">
        <v>4779</v>
      </c>
    </row>
    <row r="736" spans="6:12">
      <c r="F736" t="s">
        <v>11821</v>
      </c>
      <c r="G736" t="s">
        <v>4853</v>
      </c>
      <c r="H736">
        <v>6</v>
      </c>
      <c r="I736">
        <v>1</v>
      </c>
      <c r="J736">
        <v>1</v>
      </c>
      <c r="K736">
        <v>0</v>
      </c>
      <c r="L736" s="61" t="s">
        <v>4779</v>
      </c>
    </row>
    <row r="737" spans="6:12">
      <c r="F737" t="s">
        <v>11822</v>
      </c>
      <c r="G737" t="s">
        <v>4549</v>
      </c>
      <c r="H737">
        <v>7</v>
      </c>
      <c r="I737">
        <v>1</v>
      </c>
      <c r="J737">
        <v>0</v>
      </c>
      <c r="K737">
        <v>0</v>
      </c>
      <c r="L737" s="61" t="s">
        <v>4779</v>
      </c>
    </row>
    <row r="738" spans="6:12">
      <c r="F738" t="s">
        <v>11823</v>
      </c>
      <c r="G738" t="s">
        <v>1069</v>
      </c>
      <c r="H738">
        <v>5</v>
      </c>
      <c r="I738">
        <v>2</v>
      </c>
      <c r="J738">
        <v>1</v>
      </c>
      <c r="K738">
        <v>0</v>
      </c>
      <c r="L738" s="61" t="s">
        <v>4779</v>
      </c>
    </row>
    <row r="739" spans="6:12">
      <c r="F739" t="s">
        <v>11824</v>
      </c>
      <c r="G739" t="s">
        <v>4893</v>
      </c>
      <c r="H739">
        <v>6</v>
      </c>
      <c r="I739">
        <v>2</v>
      </c>
      <c r="J739">
        <v>0</v>
      </c>
      <c r="K739">
        <v>0</v>
      </c>
      <c r="L739" s="61" t="s">
        <v>4779</v>
      </c>
    </row>
    <row r="740" spans="6:12">
      <c r="F740" t="s">
        <v>11825</v>
      </c>
      <c r="G740" t="s">
        <v>4863</v>
      </c>
      <c r="H740">
        <v>5</v>
      </c>
      <c r="I740">
        <v>2</v>
      </c>
      <c r="J740">
        <v>1</v>
      </c>
      <c r="K740">
        <v>0</v>
      </c>
      <c r="L740" s="61" t="s">
        <v>4779</v>
      </c>
    </row>
    <row r="741" spans="6:12">
      <c r="F741" t="s">
        <v>11826</v>
      </c>
      <c r="G741" t="s">
        <v>5400</v>
      </c>
      <c r="H741">
        <v>7</v>
      </c>
      <c r="I741">
        <v>1</v>
      </c>
      <c r="J741">
        <v>0</v>
      </c>
      <c r="K741">
        <v>0</v>
      </c>
      <c r="L741" s="61" t="s">
        <v>4779</v>
      </c>
    </row>
    <row r="742" spans="6:12">
      <c r="F742" t="s">
        <v>11827</v>
      </c>
      <c r="G742" t="s">
        <v>4575</v>
      </c>
      <c r="H742">
        <v>7</v>
      </c>
      <c r="I742">
        <v>1</v>
      </c>
      <c r="J742">
        <v>0</v>
      </c>
      <c r="K742">
        <v>0</v>
      </c>
      <c r="L742" s="61" t="s">
        <v>4779</v>
      </c>
    </row>
    <row r="743" spans="6:12">
      <c r="F743" t="s">
        <v>11828</v>
      </c>
      <c r="G743" t="s">
        <v>4694</v>
      </c>
      <c r="H743">
        <v>6</v>
      </c>
      <c r="I743">
        <v>1</v>
      </c>
      <c r="J743">
        <v>1</v>
      </c>
      <c r="K743">
        <v>0</v>
      </c>
      <c r="L743" s="61" t="s">
        <v>4779</v>
      </c>
    </row>
    <row r="744" spans="6:12">
      <c r="F744" t="s">
        <v>11829</v>
      </c>
      <c r="G744" t="s">
        <v>4554</v>
      </c>
      <c r="H744">
        <v>7</v>
      </c>
      <c r="I744">
        <v>1</v>
      </c>
      <c r="J744">
        <v>0</v>
      </c>
      <c r="K744">
        <v>0</v>
      </c>
      <c r="L744" s="61" t="s">
        <v>4779</v>
      </c>
    </row>
    <row r="745" spans="6:12">
      <c r="F745" t="s">
        <v>11830</v>
      </c>
      <c r="G745" t="s">
        <v>4555</v>
      </c>
      <c r="H745">
        <v>6</v>
      </c>
      <c r="I745">
        <v>1</v>
      </c>
      <c r="J745">
        <v>1</v>
      </c>
      <c r="K745">
        <v>0</v>
      </c>
      <c r="L745" s="61" t="s">
        <v>4779</v>
      </c>
    </row>
    <row r="746" spans="6:12">
      <c r="F746" t="s">
        <v>11831</v>
      </c>
      <c r="G746" t="s">
        <v>4627</v>
      </c>
      <c r="H746">
        <v>7</v>
      </c>
      <c r="I746">
        <v>1</v>
      </c>
      <c r="J746">
        <v>0</v>
      </c>
      <c r="K746">
        <v>0</v>
      </c>
      <c r="L746" s="61" t="s">
        <v>4779</v>
      </c>
    </row>
    <row r="747" spans="6:12">
      <c r="F747" t="s">
        <v>5853</v>
      </c>
      <c r="G747" t="s">
        <v>4875</v>
      </c>
      <c r="H747">
        <v>7</v>
      </c>
      <c r="I747">
        <v>1</v>
      </c>
      <c r="J747">
        <v>0</v>
      </c>
      <c r="K747">
        <v>0</v>
      </c>
      <c r="L747" s="61" t="s">
        <v>4779</v>
      </c>
    </row>
    <row r="748" spans="6:12">
      <c r="F748" t="s">
        <v>11832</v>
      </c>
      <c r="G748" t="s">
        <v>4601</v>
      </c>
      <c r="H748">
        <v>5</v>
      </c>
      <c r="I748">
        <v>2</v>
      </c>
      <c r="J748">
        <v>1</v>
      </c>
      <c r="K748">
        <v>0</v>
      </c>
      <c r="L748" s="61" t="s">
        <v>4779</v>
      </c>
    </row>
    <row r="749" spans="6:12">
      <c r="F749" t="s">
        <v>11833</v>
      </c>
      <c r="G749" t="s">
        <v>4891</v>
      </c>
      <c r="H749">
        <v>6</v>
      </c>
      <c r="I749">
        <v>2</v>
      </c>
      <c r="J749">
        <v>0</v>
      </c>
      <c r="K749">
        <v>0</v>
      </c>
      <c r="L749" s="61" t="s">
        <v>4779</v>
      </c>
    </row>
    <row r="750" spans="6:12">
      <c r="F750" t="s">
        <v>11834</v>
      </c>
      <c r="G750" t="s">
        <v>4884</v>
      </c>
      <c r="H750">
        <v>7</v>
      </c>
      <c r="I750">
        <v>1</v>
      </c>
      <c r="J750">
        <v>0</v>
      </c>
      <c r="K750">
        <v>0</v>
      </c>
      <c r="L750" s="61" t="s">
        <v>4779</v>
      </c>
    </row>
    <row r="751" spans="6:12">
      <c r="F751" t="s">
        <v>11835</v>
      </c>
      <c r="G751" t="s">
        <v>1067</v>
      </c>
      <c r="H751">
        <v>5</v>
      </c>
      <c r="I751">
        <v>2</v>
      </c>
      <c r="J751">
        <v>1</v>
      </c>
      <c r="K751">
        <v>0</v>
      </c>
      <c r="L751" s="61" t="s">
        <v>4779</v>
      </c>
    </row>
    <row r="752" spans="6:12">
      <c r="F752" t="s">
        <v>11836</v>
      </c>
      <c r="G752" t="s">
        <v>4575</v>
      </c>
      <c r="H752">
        <v>7</v>
      </c>
      <c r="I752">
        <v>1</v>
      </c>
      <c r="J752">
        <v>0</v>
      </c>
      <c r="K752">
        <v>0</v>
      </c>
      <c r="L752" s="61" t="s">
        <v>4779</v>
      </c>
    </row>
    <row r="753" spans="6:12">
      <c r="F753" t="s">
        <v>11837</v>
      </c>
      <c r="G753" t="s">
        <v>4863</v>
      </c>
      <c r="H753">
        <v>5</v>
      </c>
      <c r="I753">
        <v>2</v>
      </c>
      <c r="J753">
        <v>1</v>
      </c>
      <c r="K753">
        <v>0</v>
      </c>
      <c r="L753" s="61" t="s">
        <v>4779</v>
      </c>
    </row>
    <row r="754" spans="6:12">
      <c r="F754" t="s">
        <v>11838</v>
      </c>
      <c r="G754" t="s">
        <v>4892</v>
      </c>
      <c r="H754">
        <v>7</v>
      </c>
      <c r="I754">
        <v>1</v>
      </c>
      <c r="J754">
        <v>0</v>
      </c>
      <c r="K754">
        <v>0</v>
      </c>
      <c r="L754" s="61" t="s">
        <v>4779</v>
      </c>
    </row>
    <row r="755" spans="6:12">
      <c r="F755" t="s">
        <v>11839</v>
      </c>
      <c r="G755" t="s">
        <v>4620</v>
      </c>
      <c r="H755">
        <v>7</v>
      </c>
      <c r="I755">
        <v>1</v>
      </c>
      <c r="J755">
        <v>0</v>
      </c>
      <c r="K755">
        <v>0</v>
      </c>
      <c r="L755" s="61" t="s">
        <v>4779</v>
      </c>
    </row>
    <row r="756" spans="6:12">
      <c r="F756" t="s">
        <v>11840</v>
      </c>
      <c r="G756" t="s">
        <v>5670</v>
      </c>
      <c r="H756">
        <v>6</v>
      </c>
      <c r="I756">
        <v>2</v>
      </c>
      <c r="J756">
        <v>0</v>
      </c>
      <c r="K756">
        <v>0</v>
      </c>
      <c r="L756" s="61" t="s">
        <v>4779</v>
      </c>
    </row>
    <row r="757" spans="6:12">
      <c r="F757" t="s">
        <v>11841</v>
      </c>
      <c r="G757" t="s">
        <v>11842</v>
      </c>
      <c r="H757">
        <v>7</v>
      </c>
      <c r="I757">
        <v>1</v>
      </c>
      <c r="J757">
        <v>0</v>
      </c>
      <c r="K757">
        <v>0</v>
      </c>
      <c r="L757" s="61" t="s">
        <v>4779</v>
      </c>
    </row>
    <row r="758" spans="6:12">
      <c r="F758" t="s">
        <v>11843</v>
      </c>
      <c r="G758" t="s">
        <v>11844</v>
      </c>
      <c r="H758">
        <v>7</v>
      </c>
      <c r="I758">
        <v>1</v>
      </c>
      <c r="J758">
        <v>0</v>
      </c>
      <c r="K758">
        <v>0</v>
      </c>
      <c r="L758" s="61" t="s">
        <v>4779</v>
      </c>
    </row>
    <row r="759" spans="6:12">
      <c r="F759" t="s">
        <v>11845</v>
      </c>
      <c r="G759" t="s">
        <v>5650</v>
      </c>
      <c r="H759">
        <v>6</v>
      </c>
      <c r="I759">
        <v>2</v>
      </c>
      <c r="J759">
        <v>0</v>
      </c>
      <c r="K759">
        <v>0</v>
      </c>
      <c r="L759" s="61" t="s">
        <v>4779</v>
      </c>
    </row>
    <row r="760" spans="6:12">
      <c r="F760" t="s">
        <v>11846</v>
      </c>
      <c r="G760" t="s">
        <v>5439</v>
      </c>
      <c r="H760">
        <v>7</v>
      </c>
      <c r="I760">
        <v>1</v>
      </c>
      <c r="J760">
        <v>0</v>
      </c>
      <c r="K760">
        <v>0</v>
      </c>
      <c r="L760" s="61" t="s">
        <v>4779</v>
      </c>
    </row>
    <row r="761" spans="6:12">
      <c r="F761" t="s">
        <v>11847</v>
      </c>
      <c r="G761" t="s">
        <v>4548</v>
      </c>
      <c r="H761">
        <v>6</v>
      </c>
      <c r="I761">
        <v>1</v>
      </c>
      <c r="J761">
        <v>1</v>
      </c>
      <c r="K761">
        <v>0</v>
      </c>
      <c r="L761" s="61" t="s">
        <v>4779</v>
      </c>
    </row>
    <row r="762" spans="6:12">
      <c r="F762" t="s">
        <v>11848</v>
      </c>
      <c r="G762" t="s">
        <v>4676</v>
      </c>
      <c r="H762">
        <v>6</v>
      </c>
      <c r="I762">
        <v>1</v>
      </c>
      <c r="J762">
        <v>1</v>
      </c>
      <c r="K762">
        <v>0</v>
      </c>
      <c r="L762" s="61" t="s">
        <v>4779</v>
      </c>
    </row>
    <row r="763" spans="6:12">
      <c r="F763" t="s">
        <v>11849</v>
      </c>
      <c r="G763" t="s">
        <v>4881</v>
      </c>
      <c r="H763">
        <v>5</v>
      </c>
      <c r="I763">
        <v>2</v>
      </c>
      <c r="J763">
        <v>1</v>
      </c>
      <c r="K763">
        <v>0</v>
      </c>
      <c r="L763" s="61" t="s">
        <v>4779</v>
      </c>
    </row>
    <row r="764" spans="6:12">
      <c r="F764" t="s">
        <v>11850</v>
      </c>
      <c r="G764" t="s">
        <v>4996</v>
      </c>
      <c r="H764">
        <v>5</v>
      </c>
      <c r="I764">
        <v>2</v>
      </c>
      <c r="J764">
        <v>1</v>
      </c>
      <c r="K764">
        <v>0</v>
      </c>
      <c r="L764" s="61" t="s">
        <v>4779</v>
      </c>
    </row>
    <row r="765" spans="6:12">
      <c r="F765" t="s">
        <v>11851</v>
      </c>
      <c r="G765" t="s">
        <v>5251</v>
      </c>
      <c r="H765">
        <v>6</v>
      </c>
      <c r="I765">
        <v>1</v>
      </c>
      <c r="J765">
        <v>1</v>
      </c>
      <c r="K765">
        <v>0</v>
      </c>
      <c r="L765" s="61" t="s">
        <v>4779</v>
      </c>
    </row>
    <row r="766" spans="6:12">
      <c r="F766" t="s">
        <v>11852</v>
      </c>
      <c r="G766" t="s">
        <v>5419</v>
      </c>
      <c r="H766">
        <v>6</v>
      </c>
      <c r="I766">
        <v>2</v>
      </c>
      <c r="J766">
        <v>0</v>
      </c>
      <c r="K766">
        <v>0</v>
      </c>
      <c r="L766" s="61" t="s">
        <v>4779</v>
      </c>
    </row>
    <row r="767" spans="6:12">
      <c r="F767" t="s">
        <v>11853</v>
      </c>
      <c r="G767" t="s">
        <v>11854</v>
      </c>
      <c r="H767">
        <v>6</v>
      </c>
      <c r="I767">
        <v>2</v>
      </c>
      <c r="J767">
        <v>0</v>
      </c>
      <c r="K767">
        <v>0</v>
      </c>
      <c r="L767" s="61" t="s">
        <v>4779</v>
      </c>
    </row>
    <row r="768" spans="6:12">
      <c r="F768" t="s">
        <v>11855</v>
      </c>
      <c r="G768" t="s">
        <v>11856</v>
      </c>
      <c r="H768">
        <v>7</v>
      </c>
      <c r="I768">
        <v>1</v>
      </c>
      <c r="J768">
        <v>0</v>
      </c>
      <c r="K768">
        <v>0</v>
      </c>
      <c r="L768" s="61" t="s">
        <v>4779</v>
      </c>
    </row>
    <row r="769" spans="6:12">
      <c r="F769" t="s">
        <v>11857</v>
      </c>
      <c r="G769" t="s">
        <v>11858</v>
      </c>
      <c r="H769">
        <v>6</v>
      </c>
      <c r="I769">
        <v>2</v>
      </c>
      <c r="J769">
        <v>0</v>
      </c>
      <c r="K769">
        <v>0</v>
      </c>
      <c r="L769" s="61" t="s">
        <v>4779</v>
      </c>
    </row>
    <row r="770" spans="6:12">
      <c r="F770" t="s">
        <v>11859</v>
      </c>
      <c r="G770" t="s">
        <v>11860</v>
      </c>
      <c r="H770">
        <v>6</v>
      </c>
      <c r="I770">
        <v>2</v>
      </c>
      <c r="J770">
        <v>0</v>
      </c>
      <c r="K770">
        <v>0</v>
      </c>
      <c r="L770" s="61" t="s">
        <v>4779</v>
      </c>
    </row>
    <row r="771" spans="6:12">
      <c r="F771" t="s">
        <v>11861</v>
      </c>
      <c r="G771" t="s">
        <v>5411</v>
      </c>
      <c r="H771">
        <v>7</v>
      </c>
      <c r="I771">
        <v>1</v>
      </c>
      <c r="J771">
        <v>0</v>
      </c>
      <c r="K771">
        <v>0</v>
      </c>
      <c r="L771" s="61" t="s">
        <v>4779</v>
      </c>
    </row>
    <row r="772" spans="6:12">
      <c r="F772" t="s">
        <v>11862</v>
      </c>
      <c r="G772" t="s">
        <v>5474</v>
      </c>
      <c r="H772">
        <v>6</v>
      </c>
      <c r="I772">
        <v>2</v>
      </c>
      <c r="J772">
        <v>0</v>
      </c>
      <c r="K772">
        <v>0</v>
      </c>
      <c r="L772" s="61" t="s">
        <v>4779</v>
      </c>
    </row>
    <row r="773" spans="6:12">
      <c r="F773" t="s">
        <v>11863</v>
      </c>
      <c r="G773" t="s">
        <v>4935</v>
      </c>
      <c r="H773">
        <v>5</v>
      </c>
      <c r="I773">
        <v>2</v>
      </c>
      <c r="J773">
        <v>1</v>
      </c>
      <c r="K773">
        <v>0</v>
      </c>
      <c r="L773" s="61" t="s">
        <v>4779</v>
      </c>
    </row>
    <row r="774" spans="6:12">
      <c r="F774" t="s">
        <v>11864</v>
      </c>
      <c r="G774" t="s">
        <v>11023</v>
      </c>
      <c r="H774">
        <v>6</v>
      </c>
      <c r="I774">
        <v>1</v>
      </c>
      <c r="J774">
        <v>1</v>
      </c>
      <c r="K774">
        <v>0</v>
      </c>
      <c r="L774" s="61" t="s">
        <v>4779</v>
      </c>
    </row>
    <row r="775" spans="6:12">
      <c r="F775" t="s">
        <v>11865</v>
      </c>
      <c r="G775" t="s">
        <v>5587</v>
      </c>
      <c r="H775">
        <v>6</v>
      </c>
      <c r="I775">
        <v>2</v>
      </c>
      <c r="J775">
        <v>0</v>
      </c>
      <c r="K775">
        <v>0</v>
      </c>
      <c r="L775" s="61" t="s">
        <v>4779</v>
      </c>
    </row>
    <row r="776" spans="6:12">
      <c r="F776" t="s">
        <v>11866</v>
      </c>
      <c r="G776" t="s">
        <v>5059</v>
      </c>
      <c r="H776">
        <v>6</v>
      </c>
      <c r="I776">
        <v>2</v>
      </c>
      <c r="J776">
        <v>0</v>
      </c>
      <c r="K776">
        <v>0</v>
      </c>
      <c r="L776" s="61" t="s">
        <v>4779</v>
      </c>
    </row>
    <row r="777" spans="6:12">
      <c r="F777" t="s">
        <v>11867</v>
      </c>
      <c r="G777" t="s">
        <v>11868</v>
      </c>
      <c r="H777">
        <v>7</v>
      </c>
      <c r="I777">
        <v>1</v>
      </c>
      <c r="J777">
        <v>0</v>
      </c>
      <c r="K777">
        <v>0</v>
      </c>
      <c r="L777" s="61" t="s">
        <v>4779</v>
      </c>
    </row>
    <row r="778" spans="6:12">
      <c r="F778" t="s">
        <v>11869</v>
      </c>
      <c r="G778" t="s">
        <v>1065</v>
      </c>
      <c r="H778">
        <v>6</v>
      </c>
      <c r="I778">
        <v>2</v>
      </c>
      <c r="J778">
        <v>0</v>
      </c>
      <c r="K778">
        <v>0</v>
      </c>
      <c r="L778" s="61" t="s">
        <v>4779</v>
      </c>
    </row>
    <row r="779" spans="6:12">
      <c r="F779" t="s">
        <v>11870</v>
      </c>
      <c r="G779" t="s">
        <v>5231</v>
      </c>
      <c r="H779">
        <v>6</v>
      </c>
      <c r="I779">
        <v>1</v>
      </c>
      <c r="J779">
        <v>1</v>
      </c>
      <c r="K779">
        <v>0</v>
      </c>
      <c r="L779" s="61" t="s">
        <v>4779</v>
      </c>
    </row>
    <row r="780" spans="6:12">
      <c r="F780" t="s">
        <v>11871</v>
      </c>
      <c r="G780" t="s">
        <v>11872</v>
      </c>
      <c r="H780">
        <v>7</v>
      </c>
      <c r="I780">
        <v>1</v>
      </c>
      <c r="J780">
        <v>0</v>
      </c>
      <c r="K780">
        <v>0</v>
      </c>
      <c r="L780" s="61" t="s">
        <v>4779</v>
      </c>
    </row>
    <row r="781" spans="6:12">
      <c r="F781" t="s">
        <v>11873</v>
      </c>
      <c r="G781" t="s">
        <v>4943</v>
      </c>
      <c r="H781">
        <v>6</v>
      </c>
      <c r="I781">
        <v>1</v>
      </c>
      <c r="J781">
        <v>1</v>
      </c>
      <c r="K781">
        <v>0</v>
      </c>
      <c r="L781" s="61" t="s">
        <v>4779</v>
      </c>
    </row>
    <row r="782" spans="6:12">
      <c r="F782" t="s">
        <v>11874</v>
      </c>
      <c r="G782" t="s">
        <v>4945</v>
      </c>
      <c r="H782">
        <v>5</v>
      </c>
      <c r="I782">
        <v>2</v>
      </c>
      <c r="J782">
        <v>1</v>
      </c>
      <c r="K782">
        <v>0</v>
      </c>
      <c r="L782" s="61" t="s">
        <v>4779</v>
      </c>
    </row>
    <row r="783" spans="6:12">
      <c r="F783" t="s">
        <v>11875</v>
      </c>
      <c r="G783" t="s">
        <v>5419</v>
      </c>
      <c r="H783">
        <v>6</v>
      </c>
      <c r="I783">
        <v>2</v>
      </c>
      <c r="J783">
        <v>0</v>
      </c>
      <c r="K783">
        <v>0</v>
      </c>
      <c r="L783" s="61" t="s">
        <v>4779</v>
      </c>
    </row>
    <row r="784" spans="6:12">
      <c r="F784" t="s">
        <v>11876</v>
      </c>
      <c r="G784" t="s">
        <v>4858</v>
      </c>
      <c r="H784">
        <v>7</v>
      </c>
      <c r="I784">
        <v>1</v>
      </c>
      <c r="J784">
        <v>0</v>
      </c>
      <c r="K784">
        <v>0</v>
      </c>
      <c r="L784" s="61" t="s">
        <v>4779</v>
      </c>
    </row>
    <row r="785" spans="6:12">
      <c r="F785" t="s">
        <v>11877</v>
      </c>
      <c r="G785" t="s">
        <v>6668</v>
      </c>
      <c r="H785">
        <v>6</v>
      </c>
      <c r="I785">
        <v>1</v>
      </c>
      <c r="J785">
        <v>1</v>
      </c>
      <c r="K785">
        <v>0</v>
      </c>
      <c r="L785" s="61" t="s">
        <v>4779</v>
      </c>
    </row>
    <row r="786" spans="6:12">
      <c r="F786" t="s">
        <v>11878</v>
      </c>
      <c r="G786" t="s">
        <v>4581</v>
      </c>
      <c r="H786">
        <v>6</v>
      </c>
      <c r="I786">
        <v>2</v>
      </c>
      <c r="J786">
        <v>0</v>
      </c>
      <c r="K786">
        <v>0</v>
      </c>
      <c r="L786" s="61" t="s">
        <v>4779</v>
      </c>
    </row>
    <row r="787" spans="6:12">
      <c r="F787" t="s">
        <v>11879</v>
      </c>
      <c r="G787" t="s">
        <v>6509</v>
      </c>
      <c r="H787">
        <v>6</v>
      </c>
      <c r="I787">
        <v>1</v>
      </c>
      <c r="J787">
        <v>1</v>
      </c>
      <c r="K787">
        <v>0</v>
      </c>
      <c r="L787" s="61" t="s">
        <v>4779</v>
      </c>
    </row>
    <row r="788" spans="6:12">
      <c r="F788" t="s">
        <v>11880</v>
      </c>
      <c r="G788" t="s">
        <v>5210</v>
      </c>
      <c r="H788">
        <v>7</v>
      </c>
      <c r="I788">
        <v>1</v>
      </c>
      <c r="J788">
        <v>0</v>
      </c>
      <c r="K788">
        <v>0</v>
      </c>
      <c r="L788" s="61" t="s">
        <v>4779</v>
      </c>
    </row>
    <row r="789" spans="6:12">
      <c r="F789" t="s">
        <v>11881</v>
      </c>
      <c r="G789" t="s">
        <v>5209</v>
      </c>
      <c r="H789">
        <v>6</v>
      </c>
      <c r="I789">
        <v>1</v>
      </c>
      <c r="J789">
        <v>1</v>
      </c>
      <c r="K789">
        <v>0</v>
      </c>
      <c r="L789" s="61" t="s">
        <v>4779</v>
      </c>
    </row>
    <row r="790" spans="6:12">
      <c r="F790" t="s">
        <v>11882</v>
      </c>
      <c r="G790" t="s">
        <v>5233</v>
      </c>
      <c r="H790">
        <v>6</v>
      </c>
      <c r="I790">
        <v>2</v>
      </c>
      <c r="J790">
        <v>0</v>
      </c>
      <c r="K790">
        <v>0</v>
      </c>
      <c r="L790" s="61" t="s">
        <v>4779</v>
      </c>
    </row>
    <row r="791" spans="6:12">
      <c r="F791" t="s">
        <v>11883</v>
      </c>
      <c r="G791" t="s">
        <v>4985</v>
      </c>
      <c r="H791">
        <v>6</v>
      </c>
      <c r="I791">
        <v>2</v>
      </c>
      <c r="J791">
        <v>0</v>
      </c>
      <c r="K791">
        <v>0</v>
      </c>
      <c r="L791" s="61" t="s">
        <v>4779</v>
      </c>
    </row>
    <row r="792" spans="6:12">
      <c r="F792" t="s">
        <v>11884</v>
      </c>
      <c r="G792" t="s">
        <v>4981</v>
      </c>
      <c r="H792">
        <v>6</v>
      </c>
      <c r="I792">
        <v>2</v>
      </c>
      <c r="J792">
        <v>0</v>
      </c>
      <c r="K792">
        <v>0</v>
      </c>
      <c r="L792" s="61" t="s">
        <v>4779</v>
      </c>
    </row>
    <row r="793" spans="6:12">
      <c r="F793" t="s">
        <v>11885</v>
      </c>
      <c r="G793" t="s">
        <v>5599</v>
      </c>
      <c r="H793">
        <v>6</v>
      </c>
      <c r="I793">
        <v>2</v>
      </c>
      <c r="J793">
        <v>0</v>
      </c>
      <c r="K793">
        <v>0</v>
      </c>
      <c r="L793" s="61" t="s">
        <v>4779</v>
      </c>
    </row>
    <row r="794" spans="6:12">
      <c r="F794" t="s">
        <v>11886</v>
      </c>
      <c r="G794" t="s">
        <v>1068</v>
      </c>
      <c r="H794">
        <v>6</v>
      </c>
      <c r="I794">
        <v>2</v>
      </c>
      <c r="J794">
        <v>0</v>
      </c>
      <c r="K794">
        <v>0</v>
      </c>
      <c r="L794" s="61" t="s">
        <v>4779</v>
      </c>
    </row>
    <row r="795" spans="6:12">
      <c r="F795" t="s">
        <v>11887</v>
      </c>
      <c r="G795" t="s">
        <v>5209</v>
      </c>
      <c r="H795">
        <v>5</v>
      </c>
      <c r="I795">
        <v>2</v>
      </c>
      <c r="J795">
        <v>1</v>
      </c>
      <c r="K795">
        <v>0</v>
      </c>
      <c r="L795" s="61" t="s">
        <v>4779</v>
      </c>
    </row>
    <row r="796" spans="6:12">
      <c r="F796" t="s">
        <v>11888</v>
      </c>
      <c r="G796" t="s">
        <v>11889</v>
      </c>
      <c r="H796">
        <v>7</v>
      </c>
      <c r="I796">
        <v>1</v>
      </c>
      <c r="J796">
        <v>0</v>
      </c>
      <c r="K796">
        <v>0</v>
      </c>
      <c r="L796" s="61" t="s">
        <v>4779</v>
      </c>
    </row>
    <row r="797" spans="6:12">
      <c r="F797" t="s">
        <v>11890</v>
      </c>
      <c r="G797" t="s">
        <v>5403</v>
      </c>
      <c r="H797">
        <v>6</v>
      </c>
      <c r="I797">
        <v>1</v>
      </c>
      <c r="J797">
        <v>1</v>
      </c>
      <c r="K797">
        <v>0</v>
      </c>
      <c r="L797" s="61" t="s">
        <v>4779</v>
      </c>
    </row>
    <row r="798" spans="6:12">
      <c r="F798" t="s">
        <v>11891</v>
      </c>
      <c r="G798" t="s">
        <v>11892</v>
      </c>
      <c r="H798">
        <v>7</v>
      </c>
      <c r="I798">
        <v>1</v>
      </c>
      <c r="J798">
        <v>0</v>
      </c>
      <c r="K798">
        <v>0</v>
      </c>
      <c r="L798" s="61" t="s">
        <v>4779</v>
      </c>
    </row>
    <row r="799" spans="6:12">
      <c r="F799" t="s">
        <v>11893</v>
      </c>
      <c r="G799" t="s">
        <v>11894</v>
      </c>
      <c r="H799">
        <v>6</v>
      </c>
      <c r="I799">
        <v>1</v>
      </c>
      <c r="J799">
        <v>1</v>
      </c>
      <c r="K799">
        <v>0</v>
      </c>
      <c r="L799" s="61" t="s">
        <v>4779</v>
      </c>
    </row>
    <row r="800" spans="6:12">
      <c r="F800" t="s">
        <v>11895</v>
      </c>
      <c r="G800" t="s">
        <v>5006</v>
      </c>
      <c r="H800">
        <v>6</v>
      </c>
      <c r="I800">
        <v>2</v>
      </c>
      <c r="J800">
        <v>0</v>
      </c>
      <c r="K800">
        <v>0</v>
      </c>
      <c r="L800" s="61" t="s">
        <v>4779</v>
      </c>
    </row>
    <row r="801" spans="6:12">
      <c r="F801" t="s">
        <v>11896</v>
      </c>
      <c r="G801" t="s">
        <v>5040</v>
      </c>
      <c r="H801">
        <v>6</v>
      </c>
      <c r="I801">
        <v>2</v>
      </c>
      <c r="J801">
        <v>0</v>
      </c>
      <c r="K801">
        <v>0</v>
      </c>
      <c r="L801" s="61" t="s">
        <v>4779</v>
      </c>
    </row>
    <row r="802" spans="6:12">
      <c r="F802" t="s">
        <v>11897</v>
      </c>
      <c r="G802" t="s">
        <v>4927</v>
      </c>
      <c r="H802">
        <v>7</v>
      </c>
      <c r="I802">
        <v>1</v>
      </c>
      <c r="J802">
        <v>0</v>
      </c>
      <c r="K802">
        <v>0</v>
      </c>
      <c r="L802" s="61" t="s">
        <v>4779</v>
      </c>
    </row>
    <row r="803" spans="6:12">
      <c r="F803" t="s">
        <v>11898</v>
      </c>
      <c r="G803" t="s">
        <v>6503</v>
      </c>
      <c r="H803">
        <v>5</v>
      </c>
      <c r="I803">
        <v>2</v>
      </c>
      <c r="J803">
        <v>1</v>
      </c>
      <c r="K803">
        <v>0</v>
      </c>
      <c r="L803" s="61" t="s">
        <v>4779</v>
      </c>
    </row>
    <row r="804" spans="6:12">
      <c r="F804" t="s">
        <v>11018</v>
      </c>
      <c r="G804" t="s">
        <v>6644</v>
      </c>
      <c r="H804">
        <v>7</v>
      </c>
      <c r="I804">
        <v>1</v>
      </c>
      <c r="J804">
        <v>0</v>
      </c>
      <c r="K804">
        <v>0</v>
      </c>
      <c r="L804" s="61" t="s">
        <v>4779</v>
      </c>
    </row>
    <row r="805" spans="6:12">
      <c r="F805" t="s">
        <v>11899</v>
      </c>
      <c r="G805" t="s">
        <v>6429</v>
      </c>
      <c r="H805">
        <v>6</v>
      </c>
      <c r="I805">
        <v>1</v>
      </c>
      <c r="J805">
        <v>1</v>
      </c>
      <c r="K805">
        <v>0</v>
      </c>
      <c r="L805" s="61" t="s">
        <v>4779</v>
      </c>
    </row>
    <row r="806" spans="6:12">
      <c r="F806" t="s">
        <v>11900</v>
      </c>
      <c r="G806" t="s">
        <v>6634</v>
      </c>
      <c r="H806">
        <v>6</v>
      </c>
      <c r="I806">
        <v>2</v>
      </c>
      <c r="J806">
        <v>0</v>
      </c>
      <c r="K806">
        <v>0</v>
      </c>
      <c r="L806" s="61" t="s">
        <v>4779</v>
      </c>
    </row>
    <row r="807" spans="6:12">
      <c r="F807" t="s">
        <v>11901</v>
      </c>
      <c r="G807" t="s">
        <v>5203</v>
      </c>
      <c r="H807">
        <v>6</v>
      </c>
      <c r="I807">
        <v>2</v>
      </c>
      <c r="J807">
        <v>0</v>
      </c>
      <c r="K807">
        <v>0</v>
      </c>
      <c r="L807" s="61" t="s">
        <v>4779</v>
      </c>
    </row>
    <row r="808" spans="6:12">
      <c r="F808" t="s">
        <v>11902</v>
      </c>
      <c r="G808" t="s">
        <v>11903</v>
      </c>
      <c r="H808">
        <v>7</v>
      </c>
      <c r="I808">
        <v>1</v>
      </c>
      <c r="J808">
        <v>0</v>
      </c>
      <c r="K808">
        <v>0</v>
      </c>
      <c r="L808" s="61" t="s">
        <v>4779</v>
      </c>
    </row>
    <row r="809" spans="6:12">
      <c r="F809" t="s">
        <v>11904</v>
      </c>
      <c r="G809" t="s">
        <v>10910</v>
      </c>
      <c r="H809">
        <v>7</v>
      </c>
      <c r="I809">
        <v>1</v>
      </c>
      <c r="J809">
        <v>0</v>
      </c>
      <c r="K809">
        <v>0</v>
      </c>
      <c r="L809" s="61" t="s">
        <v>4779</v>
      </c>
    </row>
    <row r="810" spans="6:12">
      <c r="F810" t="s">
        <v>11905</v>
      </c>
      <c r="G810" t="s">
        <v>11856</v>
      </c>
      <c r="H810">
        <v>7</v>
      </c>
      <c r="I810">
        <v>1</v>
      </c>
      <c r="J810">
        <v>0</v>
      </c>
      <c r="K810">
        <v>0</v>
      </c>
      <c r="L810" s="61" t="s">
        <v>4779</v>
      </c>
    </row>
    <row r="811" spans="6:12">
      <c r="F811" t="s">
        <v>11906</v>
      </c>
      <c r="G811" t="s">
        <v>5245</v>
      </c>
      <c r="H811">
        <v>6</v>
      </c>
      <c r="I811">
        <v>1</v>
      </c>
      <c r="J811">
        <v>1</v>
      </c>
      <c r="K811">
        <v>0</v>
      </c>
      <c r="L811" s="61" t="s">
        <v>4779</v>
      </c>
    </row>
    <row r="812" spans="6:12">
      <c r="F812" t="s">
        <v>11907</v>
      </c>
      <c r="G812" t="s">
        <v>5405</v>
      </c>
      <c r="H812">
        <v>7</v>
      </c>
      <c r="I812">
        <v>1</v>
      </c>
      <c r="J812">
        <v>0</v>
      </c>
      <c r="K812">
        <v>0</v>
      </c>
      <c r="L812" s="61" t="s">
        <v>4779</v>
      </c>
    </row>
    <row r="813" spans="6:12">
      <c r="F813" t="s">
        <v>11908</v>
      </c>
      <c r="G813" t="s">
        <v>4657</v>
      </c>
      <c r="H813">
        <v>6</v>
      </c>
      <c r="I813">
        <v>2</v>
      </c>
      <c r="J813">
        <v>0</v>
      </c>
      <c r="K813">
        <v>0</v>
      </c>
      <c r="L813" s="61" t="s">
        <v>4779</v>
      </c>
    </row>
    <row r="814" spans="6:12">
      <c r="F814" t="s">
        <v>11909</v>
      </c>
      <c r="G814" t="s">
        <v>11910</v>
      </c>
      <c r="H814">
        <v>6</v>
      </c>
      <c r="I814">
        <v>1</v>
      </c>
      <c r="J814">
        <v>1</v>
      </c>
      <c r="K814">
        <v>0</v>
      </c>
      <c r="L814" s="61" t="s">
        <v>4779</v>
      </c>
    </row>
    <row r="815" spans="6:12">
      <c r="F815" t="s">
        <v>11911</v>
      </c>
      <c r="G815" t="s">
        <v>5260</v>
      </c>
      <c r="H815">
        <v>5</v>
      </c>
      <c r="I815">
        <v>2</v>
      </c>
      <c r="J815">
        <v>1</v>
      </c>
      <c r="K815">
        <v>0</v>
      </c>
      <c r="L815" s="61" t="s">
        <v>4779</v>
      </c>
    </row>
    <row r="816" spans="6:12">
      <c r="F816" t="s">
        <v>11912</v>
      </c>
      <c r="G816" t="s">
        <v>5245</v>
      </c>
      <c r="H816">
        <v>6</v>
      </c>
      <c r="I816">
        <v>2</v>
      </c>
      <c r="J816">
        <v>0</v>
      </c>
      <c r="K816">
        <v>0</v>
      </c>
      <c r="L816" s="61" t="s">
        <v>4779</v>
      </c>
    </row>
    <row r="817" spans="6:12">
      <c r="F817" t="s">
        <v>11913</v>
      </c>
      <c r="G817" t="s">
        <v>5648</v>
      </c>
      <c r="H817">
        <v>7</v>
      </c>
      <c r="I817">
        <v>1</v>
      </c>
      <c r="J817">
        <v>0</v>
      </c>
      <c r="K817">
        <v>0</v>
      </c>
      <c r="L817" s="61" t="s">
        <v>4779</v>
      </c>
    </row>
    <row r="818" spans="6:12">
      <c r="F818" t="s">
        <v>11914</v>
      </c>
      <c r="G818" t="s">
        <v>5655</v>
      </c>
      <c r="H818">
        <v>6</v>
      </c>
      <c r="I818">
        <v>1</v>
      </c>
      <c r="J818">
        <v>1</v>
      </c>
      <c r="K818">
        <v>0</v>
      </c>
      <c r="L818" s="61" t="s">
        <v>4779</v>
      </c>
    </row>
    <row r="819" spans="6:12">
      <c r="F819" t="s">
        <v>11915</v>
      </c>
      <c r="G819" t="s">
        <v>6520</v>
      </c>
      <c r="H819">
        <v>5</v>
      </c>
      <c r="I819">
        <v>2</v>
      </c>
      <c r="J819">
        <v>1</v>
      </c>
      <c r="K819">
        <v>0</v>
      </c>
      <c r="L819" s="61" t="s">
        <v>4779</v>
      </c>
    </row>
    <row r="820" spans="6:12">
      <c r="F820" t="s">
        <v>11916</v>
      </c>
      <c r="G820" t="s">
        <v>5020</v>
      </c>
      <c r="H820">
        <v>5</v>
      </c>
      <c r="I820">
        <v>2</v>
      </c>
      <c r="J820">
        <v>1</v>
      </c>
      <c r="K820">
        <v>0</v>
      </c>
      <c r="L820" s="61" t="s">
        <v>4779</v>
      </c>
    </row>
    <row r="821" spans="6:12">
      <c r="F821" t="s">
        <v>11917</v>
      </c>
      <c r="G821" t="s">
        <v>6443</v>
      </c>
      <c r="H821">
        <v>6</v>
      </c>
      <c r="I821">
        <v>2</v>
      </c>
      <c r="J821">
        <v>0</v>
      </c>
      <c r="K821">
        <v>0</v>
      </c>
      <c r="L821" s="61" t="s">
        <v>4808</v>
      </c>
    </row>
    <row r="822" spans="6:12">
      <c r="F822" t="s">
        <v>11918</v>
      </c>
      <c r="G822" t="s">
        <v>5429</v>
      </c>
      <c r="H822">
        <v>5</v>
      </c>
      <c r="I822">
        <v>2</v>
      </c>
      <c r="J822">
        <v>1</v>
      </c>
      <c r="K822">
        <v>0</v>
      </c>
      <c r="L822" s="61" t="s">
        <v>4779</v>
      </c>
    </row>
    <row r="823" spans="6:12">
      <c r="F823" t="s">
        <v>11919</v>
      </c>
      <c r="G823" t="s">
        <v>5215</v>
      </c>
      <c r="H823">
        <v>6</v>
      </c>
      <c r="I823">
        <v>1</v>
      </c>
      <c r="J823">
        <v>1</v>
      </c>
      <c r="K823">
        <v>0</v>
      </c>
      <c r="L823" s="61" t="s">
        <v>4779</v>
      </c>
    </row>
    <row r="824" spans="6:12">
      <c r="F824" t="s">
        <v>11920</v>
      </c>
      <c r="G824" t="s">
        <v>5424</v>
      </c>
      <c r="H824">
        <v>6</v>
      </c>
      <c r="I824">
        <v>2</v>
      </c>
      <c r="J824">
        <v>0</v>
      </c>
      <c r="K824">
        <v>0</v>
      </c>
      <c r="L824" s="61" t="s">
        <v>4779</v>
      </c>
    </row>
    <row r="825" spans="6:12">
      <c r="F825" t="s">
        <v>11921</v>
      </c>
      <c r="G825" t="s">
        <v>6717</v>
      </c>
      <c r="H825">
        <v>6</v>
      </c>
      <c r="I825">
        <v>1</v>
      </c>
      <c r="J825">
        <v>1</v>
      </c>
      <c r="K825">
        <v>0</v>
      </c>
      <c r="L825" s="61" t="s">
        <v>4779</v>
      </c>
    </row>
    <row r="826" spans="6:12">
      <c r="F826" t="s">
        <v>11922</v>
      </c>
      <c r="G826" t="s">
        <v>5237</v>
      </c>
      <c r="H826">
        <v>6</v>
      </c>
      <c r="I826">
        <v>2</v>
      </c>
      <c r="J826">
        <v>0</v>
      </c>
      <c r="K826">
        <v>0</v>
      </c>
      <c r="L826" s="61" t="s">
        <v>4779</v>
      </c>
    </row>
    <row r="827" spans="6:12">
      <c r="F827" t="s">
        <v>11923</v>
      </c>
      <c r="G827" t="s">
        <v>5247</v>
      </c>
      <c r="H827">
        <v>7</v>
      </c>
      <c r="I827">
        <v>1</v>
      </c>
      <c r="J827">
        <v>0</v>
      </c>
      <c r="K827">
        <v>0</v>
      </c>
      <c r="L827" s="61" t="s">
        <v>4779</v>
      </c>
    </row>
    <row r="828" spans="6:12">
      <c r="F828" t="s">
        <v>11924</v>
      </c>
      <c r="G828" t="s">
        <v>6870</v>
      </c>
      <c r="H828">
        <v>6</v>
      </c>
      <c r="I828">
        <v>1</v>
      </c>
      <c r="J828">
        <v>1</v>
      </c>
      <c r="K828">
        <v>0</v>
      </c>
      <c r="L828" s="61" t="s">
        <v>4779</v>
      </c>
    </row>
    <row r="829" spans="6:12">
      <c r="F829" t="s">
        <v>11925</v>
      </c>
      <c r="G829" t="s">
        <v>5005</v>
      </c>
      <c r="H829">
        <v>6</v>
      </c>
      <c r="I829">
        <v>2</v>
      </c>
      <c r="J829">
        <v>0</v>
      </c>
      <c r="K829">
        <v>0</v>
      </c>
      <c r="L829" s="61" t="s">
        <v>4779</v>
      </c>
    </row>
    <row r="830" spans="6:12">
      <c r="F830" t="s">
        <v>11926</v>
      </c>
      <c r="G830" t="s">
        <v>4645</v>
      </c>
      <c r="H830">
        <v>6</v>
      </c>
      <c r="I830">
        <v>1</v>
      </c>
      <c r="J830">
        <v>1</v>
      </c>
      <c r="K830">
        <v>0</v>
      </c>
      <c r="L830" s="61" t="s">
        <v>4779</v>
      </c>
    </row>
    <row r="831" spans="6:12">
      <c r="F831" t="s">
        <v>11927</v>
      </c>
      <c r="G831" t="s">
        <v>4579</v>
      </c>
      <c r="H831">
        <v>7</v>
      </c>
      <c r="I831">
        <v>1</v>
      </c>
      <c r="J831">
        <v>0</v>
      </c>
      <c r="K831">
        <v>0</v>
      </c>
      <c r="L831" s="61" t="s">
        <v>4779</v>
      </c>
    </row>
    <row r="832" spans="6:12">
      <c r="F832" t="s">
        <v>11928</v>
      </c>
      <c r="G832" t="s">
        <v>5415</v>
      </c>
      <c r="H832">
        <v>6</v>
      </c>
      <c r="I832">
        <v>1</v>
      </c>
      <c r="J832">
        <v>1</v>
      </c>
      <c r="K832">
        <v>0</v>
      </c>
      <c r="L832" s="61" t="s">
        <v>4779</v>
      </c>
    </row>
    <row r="833" spans="6:12">
      <c r="F833" t="s">
        <v>11929</v>
      </c>
      <c r="G833" t="s">
        <v>6520</v>
      </c>
      <c r="H833">
        <v>7</v>
      </c>
      <c r="I833">
        <v>1</v>
      </c>
      <c r="J833">
        <v>0</v>
      </c>
      <c r="K833">
        <v>0</v>
      </c>
      <c r="L833" s="61" t="s">
        <v>4779</v>
      </c>
    </row>
    <row r="834" spans="6:12">
      <c r="F834" t="s">
        <v>11930</v>
      </c>
      <c r="G834" t="s">
        <v>11931</v>
      </c>
      <c r="H834">
        <v>7</v>
      </c>
      <c r="I834">
        <v>1</v>
      </c>
      <c r="J834">
        <v>0</v>
      </c>
      <c r="K834">
        <v>0</v>
      </c>
      <c r="L834" s="61" t="s">
        <v>4779</v>
      </c>
    </row>
    <row r="835" spans="6:12">
      <c r="F835" t="s">
        <v>11932</v>
      </c>
      <c r="G835" t="s">
        <v>4928</v>
      </c>
      <c r="H835">
        <v>6</v>
      </c>
      <c r="I835">
        <v>2</v>
      </c>
      <c r="J835">
        <v>0</v>
      </c>
      <c r="K835">
        <v>0</v>
      </c>
      <c r="L835" s="61" t="s">
        <v>4779</v>
      </c>
    </row>
    <row r="836" spans="6:12">
      <c r="F836" t="s">
        <v>11933</v>
      </c>
      <c r="G836" t="s">
        <v>5234</v>
      </c>
      <c r="H836">
        <v>5</v>
      </c>
      <c r="I836">
        <v>2</v>
      </c>
      <c r="J836">
        <v>1</v>
      </c>
      <c r="K836">
        <v>0</v>
      </c>
      <c r="L836" s="61" t="s">
        <v>4779</v>
      </c>
    </row>
    <row r="837" spans="6:12">
      <c r="F837" t="s">
        <v>11934</v>
      </c>
      <c r="G837" t="s">
        <v>5199</v>
      </c>
      <c r="H837">
        <v>7</v>
      </c>
      <c r="I837">
        <v>1</v>
      </c>
      <c r="J837">
        <v>0</v>
      </c>
      <c r="K837">
        <v>0</v>
      </c>
      <c r="L837" s="61" t="s">
        <v>4779</v>
      </c>
    </row>
    <row r="838" spans="6:12">
      <c r="F838" t="s">
        <v>11935</v>
      </c>
      <c r="G838" t="s">
        <v>11936</v>
      </c>
      <c r="H838">
        <v>6</v>
      </c>
      <c r="I838">
        <v>2</v>
      </c>
      <c r="J838">
        <v>0</v>
      </c>
      <c r="K838">
        <v>0</v>
      </c>
      <c r="L838" s="61" t="s">
        <v>4779</v>
      </c>
    </row>
    <row r="839" spans="6:12">
      <c r="F839" t="s">
        <v>11937</v>
      </c>
      <c r="G839" t="s">
        <v>5222</v>
      </c>
      <c r="H839">
        <v>6</v>
      </c>
      <c r="I839">
        <v>1</v>
      </c>
      <c r="J839">
        <v>1</v>
      </c>
      <c r="K839">
        <v>0</v>
      </c>
      <c r="L839" s="61" t="s">
        <v>4779</v>
      </c>
    </row>
    <row r="840" spans="6:12">
      <c r="F840" t="s">
        <v>11938</v>
      </c>
      <c r="G840" t="s">
        <v>4932</v>
      </c>
      <c r="H840">
        <v>5</v>
      </c>
      <c r="I840">
        <v>2</v>
      </c>
      <c r="J840">
        <v>1</v>
      </c>
      <c r="K840">
        <v>0</v>
      </c>
      <c r="L840" s="61" t="s">
        <v>4779</v>
      </c>
    </row>
    <row r="841" spans="6:12">
      <c r="F841" t="s">
        <v>11939</v>
      </c>
      <c r="G841" t="s">
        <v>11940</v>
      </c>
      <c r="H841">
        <v>7</v>
      </c>
      <c r="I841">
        <v>1</v>
      </c>
      <c r="J841">
        <v>0</v>
      </c>
      <c r="K841">
        <v>0</v>
      </c>
      <c r="L841" s="61" t="s">
        <v>4779</v>
      </c>
    </row>
    <row r="842" spans="6:12">
      <c r="F842" t="s">
        <v>11941</v>
      </c>
      <c r="G842" t="s">
        <v>1065</v>
      </c>
      <c r="H842">
        <v>6</v>
      </c>
      <c r="I842">
        <v>2</v>
      </c>
      <c r="J842">
        <v>0</v>
      </c>
      <c r="K842">
        <v>0</v>
      </c>
      <c r="L842" s="61" t="s">
        <v>4779</v>
      </c>
    </row>
    <row r="843" spans="6:12">
      <c r="F843" t="s">
        <v>11942</v>
      </c>
      <c r="G843" t="s">
        <v>4949</v>
      </c>
      <c r="H843">
        <v>5</v>
      </c>
      <c r="I843">
        <v>2</v>
      </c>
      <c r="J843">
        <v>1</v>
      </c>
      <c r="K843">
        <v>0</v>
      </c>
      <c r="L843" s="61" t="s">
        <v>4779</v>
      </c>
    </row>
    <row r="844" spans="6:12">
      <c r="F844" t="s">
        <v>11943</v>
      </c>
      <c r="G844" t="s">
        <v>11944</v>
      </c>
      <c r="H844">
        <v>7</v>
      </c>
      <c r="I844">
        <v>1</v>
      </c>
      <c r="J844">
        <v>0</v>
      </c>
      <c r="K844">
        <v>0</v>
      </c>
      <c r="L844" s="61" t="s">
        <v>4779</v>
      </c>
    </row>
    <row r="845" spans="6:12">
      <c r="F845" t="s">
        <v>11945</v>
      </c>
      <c r="G845" t="s">
        <v>5412</v>
      </c>
      <c r="H845">
        <v>6</v>
      </c>
      <c r="I845">
        <v>1</v>
      </c>
      <c r="J845">
        <v>1</v>
      </c>
      <c r="K845">
        <v>0</v>
      </c>
      <c r="L845" s="61" t="s">
        <v>4779</v>
      </c>
    </row>
    <row r="846" spans="6:12">
      <c r="F846" t="s">
        <v>11946</v>
      </c>
      <c r="G846" t="s">
        <v>4958</v>
      </c>
      <c r="H846">
        <v>6</v>
      </c>
      <c r="I846">
        <v>1</v>
      </c>
      <c r="J846">
        <v>1</v>
      </c>
      <c r="K846">
        <v>0</v>
      </c>
      <c r="L846" s="61" t="s">
        <v>4806</v>
      </c>
    </row>
    <row r="847" spans="6:12">
      <c r="F847" t="s">
        <v>11947</v>
      </c>
      <c r="G847" t="s">
        <v>10910</v>
      </c>
      <c r="H847">
        <v>6</v>
      </c>
      <c r="I847">
        <v>2</v>
      </c>
      <c r="J847">
        <v>0</v>
      </c>
      <c r="K847">
        <v>0</v>
      </c>
      <c r="L847" s="61" t="s">
        <v>4779</v>
      </c>
    </row>
    <row r="848" spans="6:12">
      <c r="F848" t="s">
        <v>11948</v>
      </c>
      <c r="G848" t="s">
        <v>5404</v>
      </c>
      <c r="H848">
        <v>7</v>
      </c>
      <c r="I848">
        <v>1</v>
      </c>
      <c r="J848">
        <v>0</v>
      </c>
      <c r="K848">
        <v>0</v>
      </c>
      <c r="L848" s="61" t="s">
        <v>4779</v>
      </c>
    </row>
    <row r="849" spans="6:12">
      <c r="F849" t="s">
        <v>11949</v>
      </c>
      <c r="G849" t="s">
        <v>5421</v>
      </c>
      <c r="H849">
        <v>5</v>
      </c>
      <c r="I849">
        <v>2</v>
      </c>
      <c r="J849">
        <v>1</v>
      </c>
      <c r="K849">
        <v>0</v>
      </c>
      <c r="L849" s="61" t="s">
        <v>4779</v>
      </c>
    </row>
    <row r="850" spans="6:12">
      <c r="F850" t="s">
        <v>11950</v>
      </c>
      <c r="G850" t="s">
        <v>4952</v>
      </c>
      <c r="H850">
        <v>6</v>
      </c>
      <c r="I850">
        <v>2</v>
      </c>
      <c r="J850">
        <v>0</v>
      </c>
      <c r="K850">
        <v>0</v>
      </c>
      <c r="L850" s="61" t="s">
        <v>4779</v>
      </c>
    </row>
    <row r="851" spans="6:12">
      <c r="F851" t="s">
        <v>11951</v>
      </c>
      <c r="G851" t="s">
        <v>4647</v>
      </c>
      <c r="H851">
        <v>6</v>
      </c>
      <c r="I851">
        <v>1</v>
      </c>
      <c r="J851">
        <v>1</v>
      </c>
      <c r="K851">
        <v>0</v>
      </c>
      <c r="L851" s="61" t="s">
        <v>4779</v>
      </c>
    </row>
    <row r="852" spans="6:12">
      <c r="F852" t="s">
        <v>11952</v>
      </c>
      <c r="G852" t="s">
        <v>6448</v>
      </c>
      <c r="H852">
        <v>6</v>
      </c>
      <c r="I852">
        <v>1</v>
      </c>
      <c r="J852">
        <v>1</v>
      </c>
      <c r="K852">
        <v>0</v>
      </c>
      <c r="L852" s="61" t="s">
        <v>4779</v>
      </c>
    </row>
    <row r="853" spans="6:12">
      <c r="F853" t="s">
        <v>11953</v>
      </c>
      <c r="G853" t="s">
        <v>11020</v>
      </c>
      <c r="H853">
        <v>6</v>
      </c>
      <c r="I853">
        <v>1</v>
      </c>
      <c r="J853">
        <v>1</v>
      </c>
      <c r="K853">
        <v>0</v>
      </c>
      <c r="L853" s="61" t="s">
        <v>4779</v>
      </c>
    </row>
    <row r="854" spans="6:12">
      <c r="F854" t="s">
        <v>11954</v>
      </c>
      <c r="G854" t="s">
        <v>5219</v>
      </c>
      <c r="H854">
        <v>6</v>
      </c>
      <c r="I854">
        <v>2</v>
      </c>
      <c r="J854">
        <v>0</v>
      </c>
      <c r="K854">
        <v>0</v>
      </c>
      <c r="L854" s="61" t="s">
        <v>4779</v>
      </c>
    </row>
    <row r="855" spans="6:12">
      <c r="F855" t="s">
        <v>11955</v>
      </c>
      <c r="G855" t="s">
        <v>5644</v>
      </c>
      <c r="H855">
        <v>5</v>
      </c>
      <c r="I855">
        <v>2</v>
      </c>
      <c r="J855">
        <v>1</v>
      </c>
      <c r="K855">
        <v>0</v>
      </c>
      <c r="L855" s="61" t="s">
        <v>4779</v>
      </c>
    </row>
    <row r="856" spans="6:12">
      <c r="F856" t="s">
        <v>11956</v>
      </c>
      <c r="G856" t="s">
        <v>4572</v>
      </c>
      <c r="H856">
        <v>6</v>
      </c>
      <c r="I856">
        <v>2</v>
      </c>
      <c r="J856">
        <v>0</v>
      </c>
      <c r="K856">
        <v>0</v>
      </c>
      <c r="L856" s="61" t="s">
        <v>4779</v>
      </c>
    </row>
    <row r="857" spans="6:12">
      <c r="F857" t="s">
        <v>11957</v>
      </c>
      <c r="G857" t="s">
        <v>4964</v>
      </c>
      <c r="H857">
        <v>6</v>
      </c>
      <c r="I857">
        <v>1</v>
      </c>
      <c r="J857">
        <v>1</v>
      </c>
      <c r="K857">
        <v>0</v>
      </c>
      <c r="L857" s="61" t="s">
        <v>4779</v>
      </c>
    </row>
    <row r="858" spans="6:12">
      <c r="F858" t="s">
        <v>11958</v>
      </c>
      <c r="G858" t="s">
        <v>5645</v>
      </c>
      <c r="H858">
        <v>6</v>
      </c>
      <c r="I858">
        <v>1</v>
      </c>
      <c r="J858">
        <v>1</v>
      </c>
      <c r="K858">
        <v>0</v>
      </c>
      <c r="L858" s="61" t="s">
        <v>4779</v>
      </c>
    </row>
    <row r="859" spans="6:12">
      <c r="F859" t="s">
        <v>11959</v>
      </c>
      <c r="G859" t="s">
        <v>4896</v>
      </c>
      <c r="H859">
        <v>6</v>
      </c>
      <c r="I859">
        <v>2</v>
      </c>
      <c r="J859">
        <v>0</v>
      </c>
      <c r="K859">
        <v>0</v>
      </c>
      <c r="L859" s="61" t="s">
        <v>4779</v>
      </c>
    </row>
    <row r="860" spans="6:12">
      <c r="F860" t="s">
        <v>11960</v>
      </c>
      <c r="G860" t="s">
        <v>5404</v>
      </c>
      <c r="H860">
        <v>6</v>
      </c>
      <c r="I860">
        <v>2</v>
      </c>
      <c r="J860">
        <v>0</v>
      </c>
      <c r="K860">
        <v>0</v>
      </c>
      <c r="L860" s="61" t="s">
        <v>4779</v>
      </c>
    </row>
    <row r="861" spans="6:12">
      <c r="F861" t="s">
        <v>11961</v>
      </c>
      <c r="G861" t="s">
        <v>4713</v>
      </c>
      <c r="H861">
        <v>6</v>
      </c>
      <c r="I861">
        <v>2</v>
      </c>
      <c r="J861">
        <v>0</v>
      </c>
      <c r="K861">
        <v>0</v>
      </c>
      <c r="L861" s="61" t="s">
        <v>4779</v>
      </c>
    </row>
    <row r="862" spans="6:12">
      <c r="F862" t="s">
        <v>11962</v>
      </c>
      <c r="G862" t="s">
        <v>4571</v>
      </c>
      <c r="H862">
        <v>7</v>
      </c>
      <c r="I862">
        <v>1</v>
      </c>
      <c r="J862">
        <v>0</v>
      </c>
      <c r="K862">
        <v>0</v>
      </c>
      <c r="L862" s="61" t="s">
        <v>4779</v>
      </c>
    </row>
    <row r="863" spans="6:12">
      <c r="F863" t="s">
        <v>11963</v>
      </c>
      <c r="G863" t="s">
        <v>4616</v>
      </c>
      <c r="H863">
        <v>6</v>
      </c>
      <c r="I863">
        <v>1</v>
      </c>
      <c r="J863">
        <v>1</v>
      </c>
      <c r="K863">
        <v>0</v>
      </c>
      <c r="L863" s="61" t="s">
        <v>4810</v>
      </c>
    </row>
    <row r="864" spans="6:12">
      <c r="F864" t="s">
        <v>11964</v>
      </c>
      <c r="G864" t="s">
        <v>5016</v>
      </c>
      <c r="H864">
        <v>6</v>
      </c>
      <c r="I864">
        <v>2</v>
      </c>
      <c r="J864">
        <v>0</v>
      </c>
      <c r="K864">
        <v>0</v>
      </c>
      <c r="L864" s="61" t="s">
        <v>4779</v>
      </c>
    </row>
    <row r="865" spans="6:12">
      <c r="F865" t="s">
        <v>11965</v>
      </c>
      <c r="G865" t="s">
        <v>4970</v>
      </c>
      <c r="H865">
        <v>5</v>
      </c>
      <c r="I865">
        <v>2</v>
      </c>
      <c r="J865">
        <v>1</v>
      </c>
      <c r="K865">
        <v>0</v>
      </c>
      <c r="L865" s="61" t="s">
        <v>4779</v>
      </c>
    </row>
    <row r="866" spans="6:12">
      <c r="F866" t="s">
        <v>11966</v>
      </c>
      <c r="G866" t="s">
        <v>4619</v>
      </c>
      <c r="H866">
        <v>5</v>
      </c>
      <c r="I866">
        <v>2</v>
      </c>
      <c r="J866">
        <v>1</v>
      </c>
      <c r="K866">
        <v>0</v>
      </c>
      <c r="L866" s="61" t="s">
        <v>4779</v>
      </c>
    </row>
    <row r="867" spans="6:12">
      <c r="F867" t="s">
        <v>11967</v>
      </c>
      <c r="G867" t="s">
        <v>5218</v>
      </c>
      <c r="H867">
        <v>6</v>
      </c>
      <c r="I867">
        <v>2</v>
      </c>
      <c r="J867">
        <v>0</v>
      </c>
      <c r="K867">
        <v>0</v>
      </c>
      <c r="L867" s="61" t="s">
        <v>4779</v>
      </c>
    </row>
    <row r="868" spans="6:12">
      <c r="F868" t="s">
        <v>11968</v>
      </c>
      <c r="G868" t="s">
        <v>5696</v>
      </c>
      <c r="H868">
        <v>7</v>
      </c>
      <c r="I868">
        <v>1</v>
      </c>
      <c r="J868">
        <v>0</v>
      </c>
      <c r="K868">
        <v>0</v>
      </c>
      <c r="L868" s="61" t="s">
        <v>4779</v>
      </c>
    </row>
    <row r="869" spans="6:12">
      <c r="F869" t="s">
        <v>11969</v>
      </c>
      <c r="G869" t="s">
        <v>5653</v>
      </c>
      <c r="H869">
        <v>6</v>
      </c>
      <c r="I869">
        <v>2</v>
      </c>
      <c r="J869">
        <v>0</v>
      </c>
      <c r="K869">
        <v>0</v>
      </c>
      <c r="L869" s="61" t="s">
        <v>4779</v>
      </c>
    </row>
    <row r="870" spans="6:12">
      <c r="F870" t="s">
        <v>11970</v>
      </c>
      <c r="G870" t="s">
        <v>11971</v>
      </c>
      <c r="H870">
        <v>7</v>
      </c>
      <c r="I870">
        <v>1</v>
      </c>
      <c r="J870">
        <v>0</v>
      </c>
      <c r="K870">
        <v>0</v>
      </c>
      <c r="L870" s="61" t="s">
        <v>4779</v>
      </c>
    </row>
    <row r="871" spans="6:12">
      <c r="F871" t="s">
        <v>11972</v>
      </c>
      <c r="G871" t="s">
        <v>11973</v>
      </c>
      <c r="H871">
        <v>7</v>
      </c>
      <c r="I871">
        <v>1</v>
      </c>
      <c r="J871">
        <v>0</v>
      </c>
      <c r="K871">
        <v>0</v>
      </c>
      <c r="L871" s="61" t="s">
        <v>4779</v>
      </c>
    </row>
    <row r="872" spans="6:12">
      <c r="F872" t="s">
        <v>11974</v>
      </c>
      <c r="G872" t="s">
        <v>10910</v>
      </c>
      <c r="H872">
        <v>6</v>
      </c>
      <c r="I872">
        <v>2</v>
      </c>
      <c r="J872">
        <v>0</v>
      </c>
      <c r="K872">
        <v>0</v>
      </c>
      <c r="L872" s="61" t="s">
        <v>4779</v>
      </c>
    </row>
    <row r="873" spans="6:12">
      <c r="F873" t="s">
        <v>11975</v>
      </c>
      <c r="G873" t="s">
        <v>4566</v>
      </c>
      <c r="H873">
        <v>7</v>
      </c>
      <c r="I873">
        <v>1</v>
      </c>
      <c r="J873">
        <v>0</v>
      </c>
      <c r="K873">
        <v>0</v>
      </c>
      <c r="L873" s="61" t="s">
        <v>4779</v>
      </c>
    </row>
    <row r="874" spans="6:12">
      <c r="F874" t="s">
        <v>11976</v>
      </c>
      <c r="G874" t="s">
        <v>4602</v>
      </c>
      <c r="H874">
        <v>5</v>
      </c>
      <c r="I874">
        <v>2</v>
      </c>
      <c r="J874">
        <v>1</v>
      </c>
      <c r="K874">
        <v>0</v>
      </c>
      <c r="L874" s="61" t="s">
        <v>4779</v>
      </c>
    </row>
    <row r="875" spans="6:12">
      <c r="F875" t="s">
        <v>11977</v>
      </c>
      <c r="G875" t="s">
        <v>4993</v>
      </c>
      <c r="H875">
        <v>5</v>
      </c>
      <c r="I875">
        <v>2</v>
      </c>
      <c r="J875">
        <v>1</v>
      </c>
      <c r="K875">
        <v>0</v>
      </c>
      <c r="L875" s="61" t="s">
        <v>4779</v>
      </c>
    </row>
    <row r="876" spans="6:12">
      <c r="F876" t="s">
        <v>11978</v>
      </c>
      <c r="G876" t="s">
        <v>4878</v>
      </c>
      <c r="H876">
        <v>7</v>
      </c>
      <c r="I876">
        <v>1</v>
      </c>
      <c r="J876">
        <v>0</v>
      </c>
      <c r="K876">
        <v>0</v>
      </c>
      <c r="L876" s="61" t="s">
        <v>4779</v>
      </c>
    </row>
    <row r="877" spans="6:12">
      <c r="F877" t="s">
        <v>11979</v>
      </c>
      <c r="G877" t="s">
        <v>5445</v>
      </c>
      <c r="H877">
        <v>6</v>
      </c>
      <c r="I877">
        <v>2</v>
      </c>
      <c r="J877">
        <v>0</v>
      </c>
      <c r="K877">
        <v>0</v>
      </c>
      <c r="L877" s="61" t="s">
        <v>4779</v>
      </c>
    </row>
    <row r="878" spans="6:12">
      <c r="F878" t="s">
        <v>11980</v>
      </c>
      <c r="G878" t="s">
        <v>6712</v>
      </c>
      <c r="H878">
        <v>7</v>
      </c>
      <c r="I878">
        <v>1</v>
      </c>
      <c r="J878">
        <v>0</v>
      </c>
      <c r="K878">
        <v>0</v>
      </c>
      <c r="L878" s="61" t="s">
        <v>4779</v>
      </c>
    </row>
    <row r="879" spans="6:12">
      <c r="F879" t="s">
        <v>11981</v>
      </c>
      <c r="G879" t="s">
        <v>5020</v>
      </c>
      <c r="H879">
        <v>5</v>
      </c>
      <c r="I879">
        <v>2</v>
      </c>
      <c r="J879">
        <v>1</v>
      </c>
      <c r="K879">
        <v>0</v>
      </c>
      <c r="L879" s="61" t="s">
        <v>4779</v>
      </c>
    </row>
    <row r="880" spans="6:12">
      <c r="F880" t="s">
        <v>11982</v>
      </c>
      <c r="G880" t="s">
        <v>4685</v>
      </c>
      <c r="H880">
        <v>7</v>
      </c>
      <c r="I880">
        <v>1</v>
      </c>
      <c r="J880">
        <v>0</v>
      </c>
      <c r="K880">
        <v>0</v>
      </c>
      <c r="L880" s="61" t="s">
        <v>4779</v>
      </c>
    </row>
    <row r="881" spans="6:12">
      <c r="F881" t="s">
        <v>11983</v>
      </c>
      <c r="G881" t="s">
        <v>4555</v>
      </c>
      <c r="H881">
        <v>5</v>
      </c>
      <c r="I881">
        <v>2</v>
      </c>
      <c r="J881">
        <v>1</v>
      </c>
      <c r="K881">
        <v>0</v>
      </c>
      <c r="L881" s="61" t="s">
        <v>4779</v>
      </c>
    </row>
    <row r="882" spans="6:12">
      <c r="F882" t="s">
        <v>11984</v>
      </c>
      <c r="G882" t="s">
        <v>5054</v>
      </c>
      <c r="H882">
        <v>5</v>
      </c>
      <c r="I882">
        <v>2</v>
      </c>
      <c r="J882">
        <v>1</v>
      </c>
      <c r="K882">
        <v>0</v>
      </c>
      <c r="L882" s="61" t="s">
        <v>4779</v>
      </c>
    </row>
    <row r="883" spans="6:12">
      <c r="F883" t="s">
        <v>11985</v>
      </c>
      <c r="G883" t="s">
        <v>4550</v>
      </c>
      <c r="H883">
        <v>6</v>
      </c>
      <c r="I883">
        <v>2</v>
      </c>
      <c r="J883">
        <v>0</v>
      </c>
      <c r="K883">
        <v>0</v>
      </c>
      <c r="L883" s="61" t="s">
        <v>4779</v>
      </c>
    </row>
    <row r="884" spans="6:12">
      <c r="F884" t="s">
        <v>11986</v>
      </c>
      <c r="G884" t="s">
        <v>4944</v>
      </c>
      <c r="H884">
        <v>6</v>
      </c>
      <c r="I884">
        <v>2</v>
      </c>
      <c r="J884">
        <v>0</v>
      </c>
      <c r="K884">
        <v>0</v>
      </c>
      <c r="L884" s="61" t="s">
        <v>4779</v>
      </c>
    </row>
    <row r="885" spans="6:12">
      <c r="F885" t="s">
        <v>11987</v>
      </c>
      <c r="G885" t="s">
        <v>4585</v>
      </c>
      <c r="H885">
        <v>6</v>
      </c>
      <c r="I885">
        <v>2</v>
      </c>
      <c r="J885">
        <v>0</v>
      </c>
      <c r="K885">
        <v>0</v>
      </c>
      <c r="L885" s="61" t="s">
        <v>4779</v>
      </c>
    </row>
    <row r="886" spans="6:12">
      <c r="F886" t="s">
        <v>11988</v>
      </c>
      <c r="G886" t="s">
        <v>11989</v>
      </c>
      <c r="H886">
        <v>6</v>
      </c>
      <c r="I886">
        <v>1</v>
      </c>
      <c r="J886">
        <v>1</v>
      </c>
      <c r="K886">
        <v>0</v>
      </c>
      <c r="L886" s="61" t="s">
        <v>4779</v>
      </c>
    </row>
    <row r="887" spans="6:12">
      <c r="F887" t="s">
        <v>11990</v>
      </c>
      <c r="G887" t="s">
        <v>11991</v>
      </c>
      <c r="H887">
        <v>6</v>
      </c>
      <c r="I887">
        <v>2</v>
      </c>
      <c r="J887">
        <v>0</v>
      </c>
      <c r="K887">
        <v>0</v>
      </c>
      <c r="L887" s="61" t="s">
        <v>4807</v>
      </c>
    </row>
    <row r="888" spans="6:12">
      <c r="F888" t="s">
        <v>11992</v>
      </c>
      <c r="G888" t="s">
        <v>4644</v>
      </c>
      <c r="H888">
        <v>5</v>
      </c>
      <c r="I888">
        <v>2</v>
      </c>
      <c r="J888">
        <v>1</v>
      </c>
      <c r="K888">
        <v>0</v>
      </c>
      <c r="L888" s="61" t="s">
        <v>4810</v>
      </c>
    </row>
    <row r="889" spans="6:12">
      <c r="F889" t="s">
        <v>11993</v>
      </c>
      <c r="G889" t="s">
        <v>4694</v>
      </c>
      <c r="H889">
        <v>6</v>
      </c>
      <c r="I889">
        <v>2</v>
      </c>
      <c r="J889">
        <v>0</v>
      </c>
      <c r="K889">
        <v>0</v>
      </c>
      <c r="L889" s="61" t="s">
        <v>4779</v>
      </c>
    </row>
    <row r="890" spans="6:12">
      <c r="F890" t="s">
        <v>11994</v>
      </c>
      <c r="G890" t="s">
        <v>5446</v>
      </c>
      <c r="H890">
        <v>6</v>
      </c>
      <c r="I890">
        <v>2</v>
      </c>
      <c r="J890">
        <v>0</v>
      </c>
      <c r="K890">
        <v>0</v>
      </c>
      <c r="L890" s="61" t="s">
        <v>4779</v>
      </c>
    </row>
    <row r="891" spans="6:12">
      <c r="F891" t="s">
        <v>11995</v>
      </c>
      <c r="G891" t="s">
        <v>4581</v>
      </c>
      <c r="H891">
        <v>5</v>
      </c>
      <c r="I891">
        <v>2</v>
      </c>
      <c r="J891">
        <v>1</v>
      </c>
      <c r="K891">
        <v>0</v>
      </c>
      <c r="L891" s="61" t="s">
        <v>4779</v>
      </c>
    </row>
    <row r="892" spans="6:12">
      <c r="F892" t="s">
        <v>11996</v>
      </c>
      <c r="G892" t="s">
        <v>5430</v>
      </c>
      <c r="H892">
        <v>7</v>
      </c>
      <c r="I892">
        <v>1</v>
      </c>
      <c r="J892">
        <v>0</v>
      </c>
      <c r="K892">
        <v>0</v>
      </c>
      <c r="L892" s="61" t="s">
        <v>4779</v>
      </c>
    </row>
    <row r="893" spans="6:12">
      <c r="F893" t="s">
        <v>11997</v>
      </c>
      <c r="G893" t="s">
        <v>5408</v>
      </c>
      <c r="H893">
        <v>7</v>
      </c>
      <c r="I893">
        <v>1</v>
      </c>
      <c r="J893">
        <v>0</v>
      </c>
      <c r="K893">
        <v>0</v>
      </c>
      <c r="L893" s="61" t="s">
        <v>4779</v>
      </c>
    </row>
    <row r="894" spans="6:12">
      <c r="F894" t="s">
        <v>11998</v>
      </c>
      <c r="G894" t="s">
        <v>4864</v>
      </c>
      <c r="H894">
        <v>6</v>
      </c>
      <c r="I894">
        <v>2</v>
      </c>
      <c r="J894">
        <v>0</v>
      </c>
      <c r="K894">
        <v>0</v>
      </c>
      <c r="L894" s="61" t="s">
        <v>4779</v>
      </c>
    </row>
    <row r="895" spans="6:12">
      <c r="F895" t="s">
        <v>11999</v>
      </c>
      <c r="G895" t="s">
        <v>10914</v>
      </c>
      <c r="H895">
        <v>6</v>
      </c>
      <c r="I895">
        <v>1</v>
      </c>
      <c r="J895">
        <v>1</v>
      </c>
      <c r="K895">
        <v>0</v>
      </c>
      <c r="L895" s="61" t="s">
        <v>4779</v>
      </c>
    </row>
    <row r="896" spans="6:12">
      <c r="F896" t="s">
        <v>12000</v>
      </c>
      <c r="G896" t="s">
        <v>4635</v>
      </c>
      <c r="H896">
        <v>7</v>
      </c>
      <c r="I896">
        <v>1</v>
      </c>
      <c r="J896">
        <v>0</v>
      </c>
      <c r="K896">
        <v>0</v>
      </c>
      <c r="L896" s="61" t="s">
        <v>4779</v>
      </c>
    </row>
    <row r="897" spans="6:12">
      <c r="F897" t="s">
        <v>12001</v>
      </c>
      <c r="G897" t="s">
        <v>12002</v>
      </c>
      <c r="H897">
        <v>7</v>
      </c>
      <c r="I897">
        <v>1</v>
      </c>
      <c r="J897">
        <v>0</v>
      </c>
      <c r="K897">
        <v>0</v>
      </c>
      <c r="L897" s="61" t="s">
        <v>4779</v>
      </c>
    </row>
    <row r="898" spans="6:12">
      <c r="F898" t="s">
        <v>12003</v>
      </c>
      <c r="G898" t="s">
        <v>5020</v>
      </c>
      <c r="H898">
        <v>6</v>
      </c>
      <c r="I898">
        <v>2</v>
      </c>
      <c r="J898">
        <v>0</v>
      </c>
      <c r="K898">
        <v>0</v>
      </c>
      <c r="L898" s="61" t="s">
        <v>4779</v>
      </c>
    </row>
    <row r="899" spans="6:12">
      <c r="F899" t="s">
        <v>12004</v>
      </c>
      <c r="G899" t="s">
        <v>5048</v>
      </c>
      <c r="H899">
        <v>6</v>
      </c>
      <c r="I899">
        <v>2</v>
      </c>
      <c r="J899">
        <v>0</v>
      </c>
      <c r="K899">
        <v>0</v>
      </c>
      <c r="L899" s="61" t="s">
        <v>4779</v>
      </c>
    </row>
    <row r="900" spans="6:12">
      <c r="F900" t="s">
        <v>12005</v>
      </c>
      <c r="G900" t="s">
        <v>5271</v>
      </c>
      <c r="H900">
        <v>5</v>
      </c>
      <c r="I900">
        <v>2</v>
      </c>
      <c r="J900">
        <v>1</v>
      </c>
      <c r="K900">
        <v>0</v>
      </c>
      <c r="L900" s="61" t="s">
        <v>4779</v>
      </c>
    </row>
    <row r="901" spans="6:12">
      <c r="F901" t="s">
        <v>12006</v>
      </c>
      <c r="G901" t="s">
        <v>12007</v>
      </c>
      <c r="H901">
        <v>6</v>
      </c>
      <c r="I901">
        <v>1</v>
      </c>
      <c r="J901">
        <v>1</v>
      </c>
      <c r="K901">
        <v>0</v>
      </c>
      <c r="L901" s="61" t="s">
        <v>4779</v>
      </c>
    </row>
    <row r="902" spans="6:12">
      <c r="F902" t="s">
        <v>12008</v>
      </c>
      <c r="G902" t="s">
        <v>10913</v>
      </c>
      <c r="H902">
        <v>6</v>
      </c>
      <c r="I902">
        <v>1</v>
      </c>
      <c r="J902">
        <v>1</v>
      </c>
      <c r="K902">
        <v>0</v>
      </c>
      <c r="L902" s="61" t="s">
        <v>4779</v>
      </c>
    </row>
    <row r="903" spans="6:12">
      <c r="F903" t="s">
        <v>12009</v>
      </c>
      <c r="G903" t="s">
        <v>12010</v>
      </c>
      <c r="H903">
        <v>7</v>
      </c>
      <c r="I903">
        <v>1</v>
      </c>
      <c r="J903">
        <v>0</v>
      </c>
      <c r="K903">
        <v>0</v>
      </c>
      <c r="L903" s="61" t="s">
        <v>4779</v>
      </c>
    </row>
    <row r="904" spans="6:12">
      <c r="F904" t="s">
        <v>12011</v>
      </c>
      <c r="G904" t="s">
        <v>5226</v>
      </c>
      <c r="H904">
        <v>5</v>
      </c>
      <c r="I904">
        <v>2</v>
      </c>
      <c r="J904">
        <v>1</v>
      </c>
      <c r="K904">
        <v>0</v>
      </c>
      <c r="L904" s="61" t="s">
        <v>4779</v>
      </c>
    </row>
    <row r="905" spans="6:12">
      <c r="F905" t="s">
        <v>12012</v>
      </c>
      <c r="G905" t="s">
        <v>4657</v>
      </c>
      <c r="H905">
        <v>7</v>
      </c>
      <c r="I905">
        <v>1</v>
      </c>
      <c r="J905">
        <v>0</v>
      </c>
      <c r="K905">
        <v>0</v>
      </c>
      <c r="L905" s="61" t="s">
        <v>4779</v>
      </c>
    </row>
    <row r="906" spans="6:12">
      <c r="F906" t="s">
        <v>12013</v>
      </c>
      <c r="G906" t="s">
        <v>6589</v>
      </c>
      <c r="H906">
        <v>7</v>
      </c>
      <c r="I906">
        <v>1</v>
      </c>
      <c r="J906">
        <v>0</v>
      </c>
      <c r="K906">
        <v>0</v>
      </c>
      <c r="L906" s="61" t="s">
        <v>4779</v>
      </c>
    </row>
    <row r="907" spans="6:12">
      <c r="F907" t="s">
        <v>12014</v>
      </c>
      <c r="G907" t="s">
        <v>5057</v>
      </c>
      <c r="H907">
        <v>8</v>
      </c>
      <c r="I907">
        <v>0</v>
      </c>
      <c r="J907">
        <v>0</v>
      </c>
      <c r="K907">
        <v>0</v>
      </c>
      <c r="L907" s="61" t="s">
        <v>4779</v>
      </c>
    </row>
    <row r="908" spans="6:12">
      <c r="F908" t="s">
        <v>12015</v>
      </c>
      <c r="G908" t="s">
        <v>4908</v>
      </c>
      <c r="H908">
        <v>5</v>
      </c>
      <c r="I908">
        <v>3</v>
      </c>
      <c r="J908">
        <v>0</v>
      </c>
      <c r="K908">
        <v>0</v>
      </c>
      <c r="L908" s="61" t="s">
        <v>4779</v>
      </c>
    </row>
    <row r="909" spans="6:12">
      <c r="F909" t="s">
        <v>12016</v>
      </c>
      <c r="G909" t="s">
        <v>4955</v>
      </c>
      <c r="H909">
        <v>7</v>
      </c>
      <c r="I909">
        <v>0</v>
      </c>
      <c r="J909">
        <v>1</v>
      </c>
      <c r="K909">
        <v>0</v>
      </c>
      <c r="L909" s="61" t="s">
        <v>4779</v>
      </c>
    </row>
    <row r="910" spans="6:12">
      <c r="F910" t="s">
        <v>12017</v>
      </c>
      <c r="G910" t="s">
        <v>12018</v>
      </c>
      <c r="H910">
        <v>7</v>
      </c>
      <c r="I910">
        <v>1</v>
      </c>
      <c r="J910">
        <v>0</v>
      </c>
      <c r="K910">
        <v>0</v>
      </c>
      <c r="L910" s="61" t="s">
        <v>4779</v>
      </c>
    </row>
    <row r="911" spans="6:12">
      <c r="F911" t="s">
        <v>12019</v>
      </c>
      <c r="G911" t="s">
        <v>5031</v>
      </c>
      <c r="H911">
        <v>4</v>
      </c>
      <c r="I911">
        <v>3</v>
      </c>
      <c r="J911">
        <v>1</v>
      </c>
      <c r="K911">
        <v>0</v>
      </c>
      <c r="L911" s="61" t="s">
        <v>4779</v>
      </c>
    </row>
    <row r="912" spans="6:12">
      <c r="F912" t="s">
        <v>12020</v>
      </c>
      <c r="G912" t="s">
        <v>4970</v>
      </c>
      <c r="H912">
        <v>5</v>
      </c>
      <c r="I912">
        <v>3</v>
      </c>
      <c r="J912">
        <v>0</v>
      </c>
      <c r="K912">
        <v>0</v>
      </c>
      <c r="L912" s="61" t="s">
        <v>4779</v>
      </c>
    </row>
    <row r="913" spans="6:12">
      <c r="F913" t="s">
        <v>12021</v>
      </c>
      <c r="G913" t="s">
        <v>1069</v>
      </c>
      <c r="H913">
        <v>4</v>
      </c>
      <c r="I913">
        <v>3</v>
      </c>
      <c r="J913">
        <v>1</v>
      </c>
      <c r="K913">
        <v>0</v>
      </c>
      <c r="L913" s="61" t="s">
        <v>4779</v>
      </c>
    </row>
    <row r="914" spans="6:12">
      <c r="F914" t="s">
        <v>12022</v>
      </c>
      <c r="G914" t="s">
        <v>11025</v>
      </c>
      <c r="H914">
        <v>7</v>
      </c>
      <c r="I914">
        <v>1</v>
      </c>
      <c r="J914">
        <v>0</v>
      </c>
      <c r="K914">
        <v>0</v>
      </c>
      <c r="L914" s="61" t="s">
        <v>4779</v>
      </c>
    </row>
    <row r="915" spans="6:12">
      <c r="F915" t="s">
        <v>12023</v>
      </c>
      <c r="G915" t="s">
        <v>5505</v>
      </c>
      <c r="H915">
        <v>6</v>
      </c>
      <c r="I915">
        <v>2</v>
      </c>
      <c r="J915">
        <v>0</v>
      </c>
      <c r="K915">
        <v>0</v>
      </c>
      <c r="L915" s="61" t="s">
        <v>4779</v>
      </c>
    </row>
    <row r="916" spans="6:12">
      <c r="F916" t="s">
        <v>12024</v>
      </c>
      <c r="G916" t="s">
        <v>12025</v>
      </c>
      <c r="H916">
        <v>7</v>
      </c>
      <c r="I916">
        <v>1</v>
      </c>
      <c r="J916">
        <v>0</v>
      </c>
      <c r="K916">
        <v>0</v>
      </c>
      <c r="L916" s="61" t="s">
        <v>4779</v>
      </c>
    </row>
    <row r="917" spans="6:12">
      <c r="F917" t="s">
        <v>12026</v>
      </c>
      <c r="G917" t="s">
        <v>4908</v>
      </c>
      <c r="H917">
        <v>6</v>
      </c>
      <c r="I917">
        <v>2</v>
      </c>
      <c r="J917">
        <v>0</v>
      </c>
      <c r="K917">
        <v>0</v>
      </c>
      <c r="L917" s="61" t="s">
        <v>4779</v>
      </c>
    </row>
    <row r="918" spans="6:12">
      <c r="F918" t="s">
        <v>12027</v>
      </c>
      <c r="G918" t="s">
        <v>5432</v>
      </c>
      <c r="H918">
        <v>6</v>
      </c>
      <c r="I918">
        <v>1</v>
      </c>
      <c r="J918">
        <v>1</v>
      </c>
      <c r="K918">
        <v>0</v>
      </c>
      <c r="L918" s="61" t="s">
        <v>4779</v>
      </c>
    </row>
    <row r="919" spans="6:12">
      <c r="F919" t="s">
        <v>12028</v>
      </c>
      <c r="G919" t="s">
        <v>5019</v>
      </c>
      <c r="H919">
        <v>5</v>
      </c>
      <c r="I919">
        <v>3</v>
      </c>
      <c r="J919">
        <v>0</v>
      </c>
      <c r="K919">
        <v>0</v>
      </c>
      <c r="L919" s="61" t="s">
        <v>4779</v>
      </c>
    </row>
    <row r="920" spans="6:12">
      <c r="F920" t="s">
        <v>12029</v>
      </c>
      <c r="G920" t="s">
        <v>4911</v>
      </c>
      <c r="H920">
        <v>4</v>
      </c>
      <c r="I920">
        <v>3</v>
      </c>
      <c r="J920">
        <v>1</v>
      </c>
      <c r="K920">
        <v>0</v>
      </c>
      <c r="L920" s="61" t="s">
        <v>4779</v>
      </c>
    </row>
    <row r="921" spans="6:12">
      <c r="F921" t="s">
        <v>12030</v>
      </c>
      <c r="G921" t="s">
        <v>5231</v>
      </c>
      <c r="H921">
        <v>5</v>
      </c>
      <c r="I921">
        <v>2</v>
      </c>
      <c r="J921">
        <v>1</v>
      </c>
      <c r="K921">
        <v>0</v>
      </c>
      <c r="L921" s="61" t="s">
        <v>4779</v>
      </c>
    </row>
    <row r="922" spans="6:12">
      <c r="F922" t="s">
        <v>12031</v>
      </c>
      <c r="G922" t="s">
        <v>4580</v>
      </c>
      <c r="H922">
        <v>6</v>
      </c>
      <c r="I922">
        <v>1</v>
      </c>
      <c r="J922">
        <v>1</v>
      </c>
      <c r="K922">
        <v>0</v>
      </c>
      <c r="L922" s="61" t="s">
        <v>4779</v>
      </c>
    </row>
    <row r="923" spans="6:12">
      <c r="F923" t="s">
        <v>12032</v>
      </c>
      <c r="G923" t="s">
        <v>10915</v>
      </c>
      <c r="H923">
        <v>6</v>
      </c>
      <c r="I923">
        <v>1</v>
      </c>
      <c r="J923">
        <v>1</v>
      </c>
      <c r="K923">
        <v>0</v>
      </c>
      <c r="L923" s="61" t="s">
        <v>4779</v>
      </c>
    </row>
    <row r="924" spans="6:12">
      <c r="F924" t="s">
        <v>12033</v>
      </c>
      <c r="G924" t="s">
        <v>12034</v>
      </c>
      <c r="H924">
        <v>7</v>
      </c>
      <c r="I924">
        <v>1</v>
      </c>
      <c r="J924">
        <v>0</v>
      </c>
      <c r="K924">
        <v>0</v>
      </c>
      <c r="L924" s="61" t="s">
        <v>4779</v>
      </c>
    </row>
    <row r="925" spans="6:12">
      <c r="F925" t="s">
        <v>12035</v>
      </c>
      <c r="G925" t="s">
        <v>4943</v>
      </c>
      <c r="H925">
        <v>6</v>
      </c>
      <c r="I925">
        <v>2</v>
      </c>
      <c r="J925">
        <v>0</v>
      </c>
      <c r="K925">
        <v>0</v>
      </c>
      <c r="L925" s="61" t="s">
        <v>4779</v>
      </c>
    </row>
    <row r="926" spans="6:12">
      <c r="F926" t="s">
        <v>12036</v>
      </c>
      <c r="G926" t="s">
        <v>5658</v>
      </c>
      <c r="H926">
        <v>6</v>
      </c>
      <c r="I926">
        <v>2</v>
      </c>
      <c r="J926">
        <v>0</v>
      </c>
      <c r="K926">
        <v>0</v>
      </c>
      <c r="L926" s="61" t="s">
        <v>4779</v>
      </c>
    </row>
    <row r="927" spans="6:12">
      <c r="F927" t="s">
        <v>12037</v>
      </c>
      <c r="G927" t="s">
        <v>6653</v>
      </c>
      <c r="H927">
        <v>8</v>
      </c>
      <c r="I927">
        <v>0</v>
      </c>
      <c r="J927">
        <v>0</v>
      </c>
      <c r="K927">
        <v>0</v>
      </c>
      <c r="L927" s="61" t="s">
        <v>4779</v>
      </c>
    </row>
    <row r="928" spans="6:12">
      <c r="F928" t="s">
        <v>12038</v>
      </c>
      <c r="G928" t="s">
        <v>5204</v>
      </c>
      <c r="H928">
        <v>6</v>
      </c>
      <c r="I928">
        <v>2</v>
      </c>
      <c r="J928">
        <v>0</v>
      </c>
      <c r="K928">
        <v>0</v>
      </c>
      <c r="L928" s="61" t="s">
        <v>4779</v>
      </c>
    </row>
    <row r="929" spans="6:12">
      <c r="F929" t="s">
        <v>12039</v>
      </c>
      <c r="G929" t="s">
        <v>4622</v>
      </c>
      <c r="H929">
        <v>6</v>
      </c>
      <c r="I929">
        <v>2</v>
      </c>
      <c r="J929">
        <v>0</v>
      </c>
      <c r="K929">
        <v>0</v>
      </c>
      <c r="L929" s="61" t="s">
        <v>4779</v>
      </c>
    </row>
    <row r="930" spans="6:12">
      <c r="F930" t="s">
        <v>12040</v>
      </c>
      <c r="G930" t="s">
        <v>4952</v>
      </c>
      <c r="H930">
        <v>4</v>
      </c>
      <c r="I930">
        <v>3</v>
      </c>
      <c r="J930">
        <v>1</v>
      </c>
      <c r="K930">
        <v>0</v>
      </c>
      <c r="L930" s="61" t="s">
        <v>4779</v>
      </c>
    </row>
    <row r="931" spans="6:12">
      <c r="F931" t="s">
        <v>12041</v>
      </c>
      <c r="G931" t="s">
        <v>4595</v>
      </c>
      <c r="H931">
        <v>4</v>
      </c>
      <c r="I931">
        <v>3</v>
      </c>
      <c r="J931">
        <v>1</v>
      </c>
      <c r="K931">
        <v>0</v>
      </c>
      <c r="L931" s="61" t="s">
        <v>4779</v>
      </c>
    </row>
    <row r="932" spans="6:12">
      <c r="F932" t="s">
        <v>12042</v>
      </c>
      <c r="G932" t="s">
        <v>5209</v>
      </c>
      <c r="H932">
        <v>6</v>
      </c>
      <c r="I932">
        <v>2</v>
      </c>
      <c r="J932">
        <v>0</v>
      </c>
      <c r="K932">
        <v>0</v>
      </c>
      <c r="L932" s="61" t="s">
        <v>4779</v>
      </c>
    </row>
    <row r="933" spans="6:12">
      <c r="F933" t="s">
        <v>12043</v>
      </c>
      <c r="G933" t="s">
        <v>4651</v>
      </c>
      <c r="H933">
        <v>4</v>
      </c>
      <c r="I933">
        <v>3</v>
      </c>
      <c r="J933">
        <v>1</v>
      </c>
      <c r="K933">
        <v>0</v>
      </c>
      <c r="L933" s="61" t="s">
        <v>4779</v>
      </c>
    </row>
    <row r="934" spans="6:12">
      <c r="F934" t="s">
        <v>12044</v>
      </c>
      <c r="G934" t="s">
        <v>5852</v>
      </c>
      <c r="H934">
        <v>6</v>
      </c>
      <c r="I934">
        <v>2</v>
      </c>
      <c r="J934">
        <v>0</v>
      </c>
      <c r="K934">
        <v>0</v>
      </c>
      <c r="L934" s="61" t="s">
        <v>4779</v>
      </c>
    </row>
    <row r="935" spans="6:12">
      <c r="F935" t="s">
        <v>12045</v>
      </c>
      <c r="G935" t="s">
        <v>5268</v>
      </c>
      <c r="H935">
        <v>7</v>
      </c>
      <c r="I935">
        <v>1</v>
      </c>
      <c r="J935">
        <v>0</v>
      </c>
      <c r="K935">
        <v>0</v>
      </c>
      <c r="L935" s="61" t="s">
        <v>4808</v>
      </c>
    </row>
    <row r="936" spans="6:12">
      <c r="F936" t="s">
        <v>12046</v>
      </c>
      <c r="G936" t="s">
        <v>5048</v>
      </c>
      <c r="H936">
        <v>5</v>
      </c>
      <c r="I936">
        <v>2</v>
      </c>
      <c r="J936">
        <v>1</v>
      </c>
      <c r="K936">
        <v>0</v>
      </c>
      <c r="L936" s="61" t="s">
        <v>4779</v>
      </c>
    </row>
    <row r="937" spans="6:12">
      <c r="F937" t="s">
        <v>12047</v>
      </c>
      <c r="G937" t="s">
        <v>12048</v>
      </c>
      <c r="H937">
        <v>7</v>
      </c>
      <c r="I937">
        <v>1</v>
      </c>
      <c r="J937">
        <v>0</v>
      </c>
      <c r="K937">
        <v>0</v>
      </c>
      <c r="L937" s="61" t="s">
        <v>4779</v>
      </c>
    </row>
    <row r="938" spans="6:12">
      <c r="F938" t="s">
        <v>12049</v>
      </c>
      <c r="G938" t="s">
        <v>4943</v>
      </c>
      <c r="H938">
        <v>5</v>
      </c>
      <c r="I938">
        <v>3</v>
      </c>
      <c r="J938">
        <v>0</v>
      </c>
      <c r="K938">
        <v>0</v>
      </c>
      <c r="L938" s="61" t="s">
        <v>4779</v>
      </c>
    </row>
    <row r="939" spans="6:12">
      <c r="F939" t="s">
        <v>12050</v>
      </c>
      <c r="G939" t="s">
        <v>4650</v>
      </c>
      <c r="H939">
        <v>4</v>
      </c>
      <c r="I939">
        <v>3</v>
      </c>
      <c r="J939">
        <v>1</v>
      </c>
      <c r="K939">
        <v>0</v>
      </c>
      <c r="L939" s="61" t="s">
        <v>4779</v>
      </c>
    </row>
    <row r="940" spans="6:12">
      <c r="F940" t="s">
        <v>12051</v>
      </c>
      <c r="G940" t="s">
        <v>5210</v>
      </c>
      <c r="H940">
        <v>7</v>
      </c>
      <c r="I940">
        <v>1</v>
      </c>
      <c r="J940">
        <v>0</v>
      </c>
      <c r="K940">
        <v>0</v>
      </c>
      <c r="L940" s="61" t="s">
        <v>4779</v>
      </c>
    </row>
    <row r="941" spans="6:12">
      <c r="F941" t="s">
        <v>12052</v>
      </c>
      <c r="G941" t="s">
        <v>1070</v>
      </c>
      <c r="H941">
        <v>4</v>
      </c>
      <c r="I941">
        <v>3</v>
      </c>
      <c r="J941">
        <v>1</v>
      </c>
      <c r="K941">
        <v>0</v>
      </c>
      <c r="L941" s="61" t="s">
        <v>4779</v>
      </c>
    </row>
    <row r="942" spans="6:12">
      <c r="F942" t="s">
        <v>12053</v>
      </c>
      <c r="G942" t="s">
        <v>4546</v>
      </c>
      <c r="H942">
        <v>6</v>
      </c>
      <c r="I942">
        <v>2</v>
      </c>
      <c r="J942">
        <v>0</v>
      </c>
      <c r="K942">
        <v>0</v>
      </c>
      <c r="L942" s="61" t="s">
        <v>4779</v>
      </c>
    </row>
    <row r="943" spans="6:12">
      <c r="F943" t="s">
        <v>12054</v>
      </c>
      <c r="G943" t="s">
        <v>4969</v>
      </c>
      <c r="H943">
        <v>7</v>
      </c>
      <c r="I943">
        <v>0</v>
      </c>
      <c r="J943">
        <v>1</v>
      </c>
      <c r="K943">
        <v>0</v>
      </c>
      <c r="L943" s="61" t="s">
        <v>4779</v>
      </c>
    </row>
    <row r="944" spans="6:12">
      <c r="F944" t="s">
        <v>12055</v>
      </c>
      <c r="G944" t="s">
        <v>5420</v>
      </c>
      <c r="H944">
        <v>5</v>
      </c>
      <c r="I944">
        <v>2</v>
      </c>
      <c r="J944">
        <v>1</v>
      </c>
      <c r="K944">
        <v>0</v>
      </c>
      <c r="L944" s="61" t="s">
        <v>4779</v>
      </c>
    </row>
    <row r="945" spans="6:12">
      <c r="F945" t="s">
        <v>12056</v>
      </c>
      <c r="G945" t="s">
        <v>4576</v>
      </c>
      <c r="H945">
        <v>6</v>
      </c>
      <c r="I945">
        <v>1</v>
      </c>
      <c r="J945">
        <v>1</v>
      </c>
      <c r="K945">
        <v>0</v>
      </c>
      <c r="L945" s="61" t="s">
        <v>4779</v>
      </c>
    </row>
    <row r="946" spans="6:12">
      <c r="F946" t="s">
        <v>12057</v>
      </c>
      <c r="G946" t="s">
        <v>12058</v>
      </c>
      <c r="H946">
        <v>8</v>
      </c>
      <c r="I946">
        <v>0</v>
      </c>
      <c r="J946">
        <v>0</v>
      </c>
      <c r="K946">
        <v>0</v>
      </c>
      <c r="L946" s="61" t="s">
        <v>4779</v>
      </c>
    </row>
    <row r="947" spans="6:12">
      <c r="F947" t="s">
        <v>12059</v>
      </c>
      <c r="G947" t="s">
        <v>4556</v>
      </c>
      <c r="H947">
        <v>4</v>
      </c>
      <c r="I947">
        <v>3</v>
      </c>
      <c r="J947">
        <v>1</v>
      </c>
      <c r="K947">
        <v>0</v>
      </c>
      <c r="L947" s="61" t="s">
        <v>4779</v>
      </c>
    </row>
    <row r="948" spans="6:12">
      <c r="F948" t="s">
        <v>12060</v>
      </c>
      <c r="G948" t="s">
        <v>4925</v>
      </c>
      <c r="H948">
        <v>7</v>
      </c>
      <c r="I948">
        <v>1</v>
      </c>
      <c r="J948">
        <v>0</v>
      </c>
      <c r="K948">
        <v>0</v>
      </c>
      <c r="L948" s="61" t="s">
        <v>4779</v>
      </c>
    </row>
    <row r="949" spans="6:12">
      <c r="F949" t="s">
        <v>12061</v>
      </c>
      <c r="G949" t="s">
        <v>4555</v>
      </c>
      <c r="H949">
        <v>4</v>
      </c>
      <c r="I949">
        <v>3</v>
      </c>
      <c r="J949">
        <v>1</v>
      </c>
      <c r="K949">
        <v>0</v>
      </c>
      <c r="L949" s="61" t="s">
        <v>4779</v>
      </c>
    </row>
    <row r="950" spans="6:12">
      <c r="F950" t="s">
        <v>12062</v>
      </c>
      <c r="G950" t="s">
        <v>11940</v>
      </c>
      <c r="H950">
        <v>7</v>
      </c>
      <c r="I950">
        <v>1</v>
      </c>
      <c r="J950">
        <v>0</v>
      </c>
      <c r="K950">
        <v>0</v>
      </c>
      <c r="L950" s="61" t="s">
        <v>4779</v>
      </c>
    </row>
    <row r="951" spans="6:12">
      <c r="F951" t="s">
        <v>12063</v>
      </c>
      <c r="G951" t="s">
        <v>5412</v>
      </c>
      <c r="H951">
        <v>4</v>
      </c>
      <c r="I951">
        <v>3</v>
      </c>
      <c r="J951">
        <v>1</v>
      </c>
      <c r="K951">
        <v>0</v>
      </c>
      <c r="L951" s="61" t="s">
        <v>4779</v>
      </c>
    </row>
    <row r="952" spans="6:12">
      <c r="F952" t="s">
        <v>12064</v>
      </c>
      <c r="G952" t="s">
        <v>4605</v>
      </c>
      <c r="H952">
        <v>7</v>
      </c>
      <c r="I952">
        <v>1</v>
      </c>
      <c r="J952">
        <v>0</v>
      </c>
      <c r="K952">
        <v>0</v>
      </c>
      <c r="L952" s="61" t="s">
        <v>4779</v>
      </c>
    </row>
    <row r="953" spans="6:12">
      <c r="F953" t="s">
        <v>12065</v>
      </c>
      <c r="G953" t="s">
        <v>4580</v>
      </c>
      <c r="H953">
        <v>4</v>
      </c>
      <c r="I953">
        <v>3</v>
      </c>
      <c r="J953">
        <v>1</v>
      </c>
      <c r="K953">
        <v>0</v>
      </c>
      <c r="L953" s="61" t="s">
        <v>4779</v>
      </c>
    </row>
    <row r="954" spans="6:12">
      <c r="F954" t="s">
        <v>12066</v>
      </c>
      <c r="G954" t="s">
        <v>5429</v>
      </c>
      <c r="H954">
        <v>5</v>
      </c>
      <c r="I954">
        <v>3</v>
      </c>
      <c r="J954">
        <v>0</v>
      </c>
      <c r="K954">
        <v>0</v>
      </c>
      <c r="L954" s="61" t="s">
        <v>4779</v>
      </c>
    </row>
    <row r="955" spans="6:12">
      <c r="F955" t="s">
        <v>12067</v>
      </c>
      <c r="G955" t="s">
        <v>5271</v>
      </c>
      <c r="H955">
        <v>5</v>
      </c>
      <c r="I955">
        <v>3</v>
      </c>
      <c r="J955">
        <v>0</v>
      </c>
      <c r="K955">
        <v>0</v>
      </c>
      <c r="L955" s="61" t="s">
        <v>4779</v>
      </c>
    </row>
    <row r="956" spans="6:12">
      <c r="F956" t="s">
        <v>12068</v>
      </c>
      <c r="G956" t="s">
        <v>12069</v>
      </c>
      <c r="H956">
        <v>7</v>
      </c>
      <c r="I956">
        <v>0</v>
      </c>
      <c r="J956">
        <v>1</v>
      </c>
      <c r="K956">
        <v>0</v>
      </c>
      <c r="L956" s="61" t="s">
        <v>4779</v>
      </c>
    </row>
    <row r="957" spans="6:12">
      <c r="F957" t="s">
        <v>12070</v>
      </c>
      <c r="G957" t="s">
        <v>4644</v>
      </c>
      <c r="H957">
        <v>6</v>
      </c>
      <c r="I957">
        <v>2</v>
      </c>
      <c r="J957">
        <v>0</v>
      </c>
      <c r="K957">
        <v>0</v>
      </c>
      <c r="L957" s="61" t="s">
        <v>4779</v>
      </c>
    </row>
    <row r="958" spans="6:12">
      <c r="F958" t="s">
        <v>12071</v>
      </c>
      <c r="G958" t="s">
        <v>5661</v>
      </c>
      <c r="H958">
        <v>6</v>
      </c>
      <c r="I958">
        <v>1</v>
      </c>
      <c r="J958">
        <v>1</v>
      </c>
      <c r="K958">
        <v>0</v>
      </c>
      <c r="L958" s="61" t="s">
        <v>4779</v>
      </c>
    </row>
    <row r="959" spans="6:12">
      <c r="F959" t="s">
        <v>12072</v>
      </c>
      <c r="G959" t="s">
        <v>12073</v>
      </c>
      <c r="H959">
        <v>7</v>
      </c>
      <c r="I959">
        <v>1</v>
      </c>
      <c r="J959">
        <v>0</v>
      </c>
      <c r="K959">
        <v>0</v>
      </c>
      <c r="L959" s="61" t="s">
        <v>4779</v>
      </c>
    </row>
    <row r="960" spans="6:12">
      <c r="F960" t="s">
        <v>12074</v>
      </c>
      <c r="G960" t="s">
        <v>4977</v>
      </c>
      <c r="H960">
        <v>6</v>
      </c>
      <c r="I960">
        <v>1</v>
      </c>
      <c r="J960">
        <v>1</v>
      </c>
      <c r="K960">
        <v>0</v>
      </c>
      <c r="L960" s="61" t="s">
        <v>4779</v>
      </c>
    </row>
    <row r="961" spans="6:12">
      <c r="F961" t="s">
        <v>12075</v>
      </c>
      <c r="G961" t="s">
        <v>5662</v>
      </c>
      <c r="H961">
        <v>6</v>
      </c>
      <c r="I961">
        <v>2</v>
      </c>
      <c r="J961">
        <v>0</v>
      </c>
      <c r="K961">
        <v>0</v>
      </c>
      <c r="L961" s="61" t="s">
        <v>4779</v>
      </c>
    </row>
    <row r="962" spans="6:12">
      <c r="F962" t="s">
        <v>12076</v>
      </c>
      <c r="G962" t="s">
        <v>5409</v>
      </c>
      <c r="H962">
        <v>5</v>
      </c>
      <c r="I962">
        <v>2</v>
      </c>
      <c r="J962">
        <v>1</v>
      </c>
      <c r="K962">
        <v>0</v>
      </c>
      <c r="L962" s="61" t="s">
        <v>4779</v>
      </c>
    </row>
    <row r="963" spans="6:12">
      <c r="F963" t="s">
        <v>12077</v>
      </c>
      <c r="G963" t="s">
        <v>5248</v>
      </c>
      <c r="H963">
        <v>7</v>
      </c>
      <c r="I963">
        <v>1</v>
      </c>
      <c r="J963">
        <v>0</v>
      </c>
      <c r="K963">
        <v>0</v>
      </c>
      <c r="L963" s="61" t="s">
        <v>4779</v>
      </c>
    </row>
    <row r="964" spans="6:12">
      <c r="F964" t="s">
        <v>12078</v>
      </c>
      <c r="G964" t="s">
        <v>4916</v>
      </c>
      <c r="H964">
        <v>5</v>
      </c>
      <c r="I964">
        <v>2</v>
      </c>
      <c r="J964">
        <v>1</v>
      </c>
      <c r="K964">
        <v>0</v>
      </c>
      <c r="L964" s="61" t="s">
        <v>4779</v>
      </c>
    </row>
    <row r="965" spans="6:12">
      <c r="F965" t="s">
        <v>12079</v>
      </c>
      <c r="G965" t="s">
        <v>5045</v>
      </c>
      <c r="H965">
        <v>5</v>
      </c>
      <c r="I965">
        <v>2</v>
      </c>
      <c r="J965">
        <v>1</v>
      </c>
      <c r="K965">
        <v>0</v>
      </c>
      <c r="L965" s="61" t="s">
        <v>4779</v>
      </c>
    </row>
    <row r="966" spans="6:12">
      <c r="F966" t="s">
        <v>12080</v>
      </c>
      <c r="G966" t="s">
        <v>4586</v>
      </c>
      <c r="H966">
        <v>5</v>
      </c>
      <c r="I966">
        <v>2</v>
      </c>
      <c r="J966">
        <v>1</v>
      </c>
      <c r="K966">
        <v>0</v>
      </c>
      <c r="L966" s="61" t="s">
        <v>4779</v>
      </c>
    </row>
    <row r="967" spans="6:12">
      <c r="F967" t="s">
        <v>12081</v>
      </c>
      <c r="G967" t="s">
        <v>5431</v>
      </c>
      <c r="H967">
        <v>5</v>
      </c>
      <c r="I967">
        <v>2</v>
      </c>
      <c r="J967">
        <v>1</v>
      </c>
      <c r="K967">
        <v>0</v>
      </c>
      <c r="L967" s="61" t="s">
        <v>4779</v>
      </c>
    </row>
    <row r="968" spans="6:12">
      <c r="F968" t="s">
        <v>12082</v>
      </c>
      <c r="G968" t="s">
        <v>6441</v>
      </c>
      <c r="H968">
        <v>6</v>
      </c>
      <c r="I968">
        <v>2</v>
      </c>
      <c r="J968">
        <v>0</v>
      </c>
      <c r="K968">
        <v>0</v>
      </c>
      <c r="L968" s="61" t="s">
        <v>4779</v>
      </c>
    </row>
    <row r="969" spans="6:12">
      <c r="F969" t="s">
        <v>12083</v>
      </c>
      <c r="G969" t="s">
        <v>4668</v>
      </c>
      <c r="H969">
        <v>7</v>
      </c>
      <c r="I969">
        <v>1</v>
      </c>
      <c r="J969">
        <v>0</v>
      </c>
      <c r="K969">
        <v>0</v>
      </c>
      <c r="L969" s="61" t="s">
        <v>4779</v>
      </c>
    </row>
    <row r="970" spans="6:12">
      <c r="F970" t="s">
        <v>12084</v>
      </c>
      <c r="G970" t="s">
        <v>4851</v>
      </c>
      <c r="H970">
        <v>5</v>
      </c>
      <c r="I970">
        <v>2</v>
      </c>
      <c r="J970">
        <v>1</v>
      </c>
      <c r="K970">
        <v>0</v>
      </c>
      <c r="L970" s="61" t="s">
        <v>4779</v>
      </c>
    </row>
    <row r="971" spans="6:12">
      <c r="F971" t="s">
        <v>12085</v>
      </c>
      <c r="G971" t="s">
        <v>4924</v>
      </c>
      <c r="H971">
        <v>6</v>
      </c>
      <c r="I971">
        <v>2</v>
      </c>
      <c r="J971">
        <v>0</v>
      </c>
      <c r="K971">
        <v>0</v>
      </c>
      <c r="L971" s="61" t="s">
        <v>4779</v>
      </c>
    </row>
    <row r="972" spans="6:12">
      <c r="F972" t="s">
        <v>12086</v>
      </c>
      <c r="G972" t="s">
        <v>4919</v>
      </c>
      <c r="H972">
        <v>6</v>
      </c>
      <c r="I972">
        <v>2</v>
      </c>
      <c r="J972">
        <v>0</v>
      </c>
      <c r="K972">
        <v>0</v>
      </c>
      <c r="L972" s="61" t="s">
        <v>4779</v>
      </c>
    </row>
    <row r="973" spans="6:12">
      <c r="F973" t="s">
        <v>12087</v>
      </c>
      <c r="G973" t="s">
        <v>5428</v>
      </c>
      <c r="H973">
        <v>4</v>
      </c>
      <c r="I973">
        <v>3</v>
      </c>
      <c r="J973">
        <v>1</v>
      </c>
      <c r="K973">
        <v>0</v>
      </c>
      <c r="L973" s="61" t="s">
        <v>4807</v>
      </c>
    </row>
    <row r="974" spans="6:12">
      <c r="F974" t="s">
        <v>12088</v>
      </c>
      <c r="G974" t="s">
        <v>5410</v>
      </c>
      <c r="H974">
        <v>6</v>
      </c>
      <c r="I974">
        <v>1</v>
      </c>
      <c r="J974">
        <v>1</v>
      </c>
      <c r="K974">
        <v>0</v>
      </c>
      <c r="L974" s="61" t="s">
        <v>4807</v>
      </c>
    </row>
    <row r="975" spans="6:12">
      <c r="F975" t="s">
        <v>12089</v>
      </c>
      <c r="G975" t="s">
        <v>5023</v>
      </c>
      <c r="H975">
        <v>5</v>
      </c>
      <c r="I975">
        <v>2</v>
      </c>
      <c r="J975">
        <v>1</v>
      </c>
      <c r="K975">
        <v>0</v>
      </c>
      <c r="L975" s="61" t="s">
        <v>4779</v>
      </c>
    </row>
    <row r="976" spans="6:12">
      <c r="F976" t="s">
        <v>12090</v>
      </c>
      <c r="G976" t="s">
        <v>5214</v>
      </c>
      <c r="H976">
        <v>5</v>
      </c>
      <c r="I976">
        <v>3</v>
      </c>
      <c r="J976">
        <v>0</v>
      </c>
      <c r="K976">
        <v>0</v>
      </c>
      <c r="L976" s="61" t="s">
        <v>4779</v>
      </c>
    </row>
    <row r="977" spans="6:12">
      <c r="F977" t="s">
        <v>12091</v>
      </c>
      <c r="G977" t="s">
        <v>4629</v>
      </c>
      <c r="H977">
        <v>5</v>
      </c>
      <c r="I977">
        <v>2</v>
      </c>
      <c r="J977">
        <v>1</v>
      </c>
      <c r="K977">
        <v>0</v>
      </c>
      <c r="L977" s="61" t="s">
        <v>4779</v>
      </c>
    </row>
    <row r="978" spans="6:12">
      <c r="F978" t="s">
        <v>12092</v>
      </c>
      <c r="G978" t="s">
        <v>5442</v>
      </c>
      <c r="H978">
        <v>6</v>
      </c>
      <c r="I978">
        <v>1</v>
      </c>
      <c r="J978">
        <v>1</v>
      </c>
      <c r="K978">
        <v>0</v>
      </c>
      <c r="L978" s="61" t="s">
        <v>4779</v>
      </c>
    </row>
    <row r="979" spans="6:12">
      <c r="F979" t="s">
        <v>12093</v>
      </c>
      <c r="G979" t="s">
        <v>4909</v>
      </c>
      <c r="H979">
        <v>7</v>
      </c>
      <c r="I979">
        <v>0</v>
      </c>
      <c r="J979">
        <v>1</v>
      </c>
      <c r="K979">
        <v>0</v>
      </c>
      <c r="L979" s="61" t="s">
        <v>4779</v>
      </c>
    </row>
    <row r="980" spans="6:12">
      <c r="F980" t="s">
        <v>12094</v>
      </c>
      <c r="G980" t="s">
        <v>11021</v>
      </c>
      <c r="H980">
        <v>7</v>
      </c>
      <c r="I980">
        <v>1</v>
      </c>
      <c r="J980">
        <v>0</v>
      </c>
      <c r="K980">
        <v>0</v>
      </c>
      <c r="L980" s="61" t="s">
        <v>4779</v>
      </c>
    </row>
    <row r="981" spans="6:12">
      <c r="F981" t="s">
        <v>12095</v>
      </c>
      <c r="G981" t="s">
        <v>4628</v>
      </c>
      <c r="H981">
        <v>5</v>
      </c>
      <c r="I981">
        <v>2</v>
      </c>
      <c r="J981">
        <v>1</v>
      </c>
      <c r="K981">
        <v>0</v>
      </c>
      <c r="L981" s="61" t="s">
        <v>4779</v>
      </c>
    </row>
    <row r="982" spans="6:12">
      <c r="F982" t="s">
        <v>12096</v>
      </c>
      <c r="G982" t="s">
        <v>4622</v>
      </c>
      <c r="H982">
        <v>5</v>
      </c>
      <c r="I982">
        <v>3</v>
      </c>
      <c r="J982">
        <v>0</v>
      </c>
      <c r="K982">
        <v>0</v>
      </c>
      <c r="L982" s="61" t="s">
        <v>4779</v>
      </c>
    </row>
    <row r="983" spans="6:12">
      <c r="F983" t="s">
        <v>12097</v>
      </c>
      <c r="G983" t="s">
        <v>4918</v>
      </c>
      <c r="H983">
        <v>6</v>
      </c>
      <c r="I983">
        <v>2</v>
      </c>
      <c r="J983">
        <v>0</v>
      </c>
      <c r="K983">
        <v>0</v>
      </c>
      <c r="L983" s="61" t="s">
        <v>4779</v>
      </c>
    </row>
    <row r="984" spans="6:12">
      <c r="F984" t="s">
        <v>12098</v>
      </c>
      <c r="G984" t="s">
        <v>12099</v>
      </c>
      <c r="H984">
        <v>7</v>
      </c>
      <c r="I984">
        <v>1</v>
      </c>
      <c r="J984">
        <v>0</v>
      </c>
      <c r="K984">
        <v>0</v>
      </c>
      <c r="L984" s="61" t="s">
        <v>4779</v>
      </c>
    </row>
    <row r="985" spans="6:12">
      <c r="F985" t="s">
        <v>12100</v>
      </c>
      <c r="G985" t="s">
        <v>6544</v>
      </c>
      <c r="H985">
        <v>5</v>
      </c>
      <c r="I985">
        <v>3</v>
      </c>
      <c r="J985">
        <v>0</v>
      </c>
      <c r="K985">
        <v>0</v>
      </c>
      <c r="L985" s="61" t="s">
        <v>4779</v>
      </c>
    </row>
    <row r="986" spans="6:12">
      <c r="F986" t="s">
        <v>12101</v>
      </c>
      <c r="G986" t="s">
        <v>5211</v>
      </c>
      <c r="H986">
        <v>5</v>
      </c>
      <c r="I986">
        <v>3</v>
      </c>
      <c r="J986">
        <v>0</v>
      </c>
      <c r="K986">
        <v>0</v>
      </c>
      <c r="L986" s="61" t="s">
        <v>4779</v>
      </c>
    </row>
    <row r="987" spans="6:12">
      <c r="F987" t="s">
        <v>12102</v>
      </c>
      <c r="G987" t="s">
        <v>10917</v>
      </c>
      <c r="H987">
        <v>6</v>
      </c>
      <c r="I987">
        <v>1</v>
      </c>
      <c r="J987">
        <v>1</v>
      </c>
      <c r="K987">
        <v>0</v>
      </c>
      <c r="L987" s="61" t="s">
        <v>4779</v>
      </c>
    </row>
    <row r="988" spans="6:12">
      <c r="F988" t="s">
        <v>12103</v>
      </c>
      <c r="G988" t="s">
        <v>4931</v>
      </c>
      <c r="H988">
        <v>6</v>
      </c>
      <c r="I988">
        <v>2</v>
      </c>
      <c r="J988">
        <v>0</v>
      </c>
      <c r="K988">
        <v>0</v>
      </c>
      <c r="L988" s="61" t="s">
        <v>4779</v>
      </c>
    </row>
    <row r="989" spans="6:12">
      <c r="F989" t="s">
        <v>12104</v>
      </c>
      <c r="G989" t="s">
        <v>5647</v>
      </c>
      <c r="H989">
        <v>7</v>
      </c>
      <c r="I989">
        <v>1</v>
      </c>
      <c r="J989">
        <v>0</v>
      </c>
      <c r="K989">
        <v>0</v>
      </c>
      <c r="L989" s="61" t="s">
        <v>4779</v>
      </c>
    </row>
    <row r="990" spans="6:12">
      <c r="F990" t="s">
        <v>12105</v>
      </c>
      <c r="G990" t="s">
        <v>4977</v>
      </c>
      <c r="H990">
        <v>6</v>
      </c>
      <c r="I990">
        <v>2</v>
      </c>
      <c r="J990">
        <v>0</v>
      </c>
      <c r="K990">
        <v>0</v>
      </c>
      <c r="L990" s="61" t="s">
        <v>4779</v>
      </c>
    </row>
    <row r="991" spans="6:12">
      <c r="F991" t="s">
        <v>12106</v>
      </c>
      <c r="G991" t="s">
        <v>10910</v>
      </c>
      <c r="H991">
        <v>6</v>
      </c>
      <c r="I991">
        <v>2</v>
      </c>
      <c r="J991">
        <v>0</v>
      </c>
      <c r="K991">
        <v>0</v>
      </c>
      <c r="L991" s="61" t="s">
        <v>4779</v>
      </c>
    </row>
    <row r="992" spans="6:12">
      <c r="F992" t="s">
        <v>12107</v>
      </c>
      <c r="G992" t="s">
        <v>4950</v>
      </c>
      <c r="H992">
        <v>7</v>
      </c>
      <c r="I992">
        <v>1</v>
      </c>
      <c r="J992">
        <v>0</v>
      </c>
      <c r="K992">
        <v>0</v>
      </c>
      <c r="L992" s="61" t="s">
        <v>4779</v>
      </c>
    </row>
    <row r="993" spans="6:12">
      <c r="F993" t="s">
        <v>12108</v>
      </c>
      <c r="G993" t="s">
        <v>5445</v>
      </c>
      <c r="H993">
        <v>6</v>
      </c>
      <c r="I993">
        <v>2</v>
      </c>
      <c r="J993">
        <v>0</v>
      </c>
      <c r="K993">
        <v>0</v>
      </c>
      <c r="L993" s="61" t="s">
        <v>4779</v>
      </c>
    </row>
    <row r="994" spans="6:12">
      <c r="F994" t="s">
        <v>12109</v>
      </c>
      <c r="G994" t="s">
        <v>4713</v>
      </c>
      <c r="H994">
        <v>5</v>
      </c>
      <c r="I994">
        <v>3</v>
      </c>
      <c r="J994">
        <v>0</v>
      </c>
      <c r="K994">
        <v>0</v>
      </c>
      <c r="L994" s="61" t="s">
        <v>4779</v>
      </c>
    </row>
    <row r="995" spans="6:12">
      <c r="F995" t="s">
        <v>12110</v>
      </c>
      <c r="G995" t="s">
        <v>10912</v>
      </c>
      <c r="H995">
        <v>7</v>
      </c>
      <c r="I995">
        <v>0</v>
      </c>
      <c r="J995">
        <v>1</v>
      </c>
      <c r="K995">
        <v>0</v>
      </c>
      <c r="L995" s="61" t="s">
        <v>4779</v>
      </c>
    </row>
    <row r="996" spans="6:12">
      <c r="F996" t="s">
        <v>12111</v>
      </c>
      <c r="G996" t="s">
        <v>4584</v>
      </c>
      <c r="H996">
        <v>5</v>
      </c>
      <c r="I996">
        <v>2</v>
      </c>
      <c r="J996">
        <v>1</v>
      </c>
      <c r="K996">
        <v>0</v>
      </c>
      <c r="L996" s="61" t="s">
        <v>4779</v>
      </c>
    </row>
    <row r="997" spans="6:12">
      <c r="F997" t="s">
        <v>12112</v>
      </c>
      <c r="G997" t="s">
        <v>4603</v>
      </c>
      <c r="H997">
        <v>6</v>
      </c>
      <c r="I997">
        <v>2</v>
      </c>
      <c r="J997">
        <v>0</v>
      </c>
      <c r="K997">
        <v>0</v>
      </c>
      <c r="L997" s="61" t="s">
        <v>4779</v>
      </c>
    </row>
    <row r="998" spans="6:12">
      <c r="F998" t="s">
        <v>12113</v>
      </c>
      <c r="G998" t="s">
        <v>4608</v>
      </c>
      <c r="H998">
        <v>5</v>
      </c>
      <c r="I998">
        <v>2</v>
      </c>
      <c r="J998">
        <v>1</v>
      </c>
      <c r="K998">
        <v>0</v>
      </c>
      <c r="L998" s="61" t="s">
        <v>4779</v>
      </c>
    </row>
    <row r="999" spans="6:12">
      <c r="F999" t="s">
        <v>12114</v>
      </c>
      <c r="G999" t="s">
        <v>10909</v>
      </c>
      <c r="H999">
        <v>7</v>
      </c>
      <c r="I999">
        <v>1</v>
      </c>
      <c r="J999">
        <v>0</v>
      </c>
      <c r="K999">
        <v>0</v>
      </c>
      <c r="L999" s="61" t="s">
        <v>4779</v>
      </c>
    </row>
    <row r="1000" spans="6:12">
      <c r="F1000" t="s">
        <v>12115</v>
      </c>
      <c r="G1000" t="s">
        <v>5551</v>
      </c>
      <c r="H1000">
        <v>6</v>
      </c>
      <c r="I1000">
        <v>2</v>
      </c>
      <c r="J1000">
        <v>0</v>
      </c>
      <c r="K1000">
        <v>0</v>
      </c>
      <c r="L1000" s="61" t="s">
        <v>4779</v>
      </c>
    </row>
    <row r="1001" spans="6:12">
      <c r="F1001" t="s">
        <v>12116</v>
      </c>
      <c r="G1001" t="s">
        <v>4914</v>
      </c>
      <c r="H1001">
        <v>5</v>
      </c>
      <c r="I1001">
        <v>2</v>
      </c>
      <c r="J1001">
        <v>1</v>
      </c>
      <c r="K1001">
        <v>0</v>
      </c>
      <c r="L1001" s="61" t="s">
        <v>4779</v>
      </c>
    </row>
    <row r="1002" spans="6:12">
      <c r="F1002" t="s">
        <v>12117</v>
      </c>
      <c r="G1002" t="s">
        <v>4696</v>
      </c>
      <c r="H1002">
        <v>4</v>
      </c>
      <c r="I1002">
        <v>3</v>
      </c>
      <c r="J1002">
        <v>1</v>
      </c>
      <c r="K1002">
        <v>0</v>
      </c>
      <c r="L1002" s="61" t="s">
        <v>4779</v>
      </c>
    </row>
    <row r="1003" spans="6:12">
      <c r="F1003" t="s">
        <v>12118</v>
      </c>
      <c r="G1003" t="s">
        <v>4881</v>
      </c>
      <c r="H1003">
        <v>5</v>
      </c>
      <c r="I1003">
        <v>3</v>
      </c>
      <c r="J1003">
        <v>0</v>
      </c>
      <c r="K1003">
        <v>0</v>
      </c>
      <c r="L1003" s="61" t="s">
        <v>4779</v>
      </c>
    </row>
    <row r="1004" spans="6:12">
      <c r="F1004" t="s">
        <v>12119</v>
      </c>
      <c r="G1004" t="s">
        <v>5225</v>
      </c>
      <c r="H1004">
        <v>4</v>
      </c>
      <c r="I1004">
        <v>3</v>
      </c>
      <c r="J1004">
        <v>1</v>
      </c>
      <c r="K1004">
        <v>0</v>
      </c>
      <c r="L1004" s="61" t="s">
        <v>4779</v>
      </c>
    </row>
    <row r="1005" spans="6:12">
      <c r="F1005" t="s">
        <v>12120</v>
      </c>
      <c r="G1005" t="s">
        <v>6448</v>
      </c>
      <c r="H1005">
        <v>6</v>
      </c>
      <c r="I1005">
        <v>1</v>
      </c>
      <c r="J1005">
        <v>1</v>
      </c>
      <c r="K1005">
        <v>0</v>
      </c>
      <c r="L1005" s="61" t="s">
        <v>4779</v>
      </c>
    </row>
    <row r="1006" spans="6:12">
      <c r="F1006" t="s">
        <v>12121</v>
      </c>
      <c r="G1006" t="s">
        <v>4642</v>
      </c>
      <c r="H1006">
        <v>7</v>
      </c>
      <c r="I1006">
        <v>1</v>
      </c>
      <c r="J1006">
        <v>0</v>
      </c>
      <c r="K1006">
        <v>0</v>
      </c>
      <c r="L1006" s="61" t="s">
        <v>4779</v>
      </c>
    </row>
    <row r="1007" spans="6:12">
      <c r="F1007" t="s">
        <v>12122</v>
      </c>
      <c r="G1007" t="s">
        <v>12123</v>
      </c>
      <c r="H1007">
        <v>7</v>
      </c>
      <c r="I1007">
        <v>1</v>
      </c>
      <c r="J1007">
        <v>0</v>
      </c>
      <c r="K1007">
        <v>0</v>
      </c>
      <c r="L1007" s="61" t="s">
        <v>4779</v>
      </c>
    </row>
    <row r="1008" spans="6:12">
      <c r="F1008" t="s">
        <v>12124</v>
      </c>
      <c r="G1008" t="s">
        <v>5414</v>
      </c>
      <c r="H1008">
        <v>5</v>
      </c>
      <c r="I1008">
        <v>2</v>
      </c>
      <c r="J1008">
        <v>1</v>
      </c>
      <c r="K1008">
        <v>0</v>
      </c>
      <c r="L1008" s="61" t="s">
        <v>4779</v>
      </c>
    </row>
    <row r="1009" spans="6:12">
      <c r="F1009" t="s">
        <v>12125</v>
      </c>
      <c r="G1009" t="s">
        <v>5005</v>
      </c>
      <c r="H1009">
        <v>4</v>
      </c>
      <c r="I1009">
        <v>3</v>
      </c>
      <c r="J1009">
        <v>1</v>
      </c>
      <c r="K1009">
        <v>0</v>
      </c>
      <c r="L1009" s="61" t="s">
        <v>4779</v>
      </c>
    </row>
    <row r="1010" spans="6:12">
      <c r="F1010" t="s">
        <v>12126</v>
      </c>
      <c r="G1010" t="s">
        <v>5205</v>
      </c>
      <c r="H1010">
        <v>6</v>
      </c>
      <c r="I1010">
        <v>2</v>
      </c>
      <c r="J1010">
        <v>0</v>
      </c>
      <c r="K1010">
        <v>0</v>
      </c>
      <c r="L1010" s="61" t="s">
        <v>4779</v>
      </c>
    </row>
    <row r="1011" spans="6:12">
      <c r="F1011" t="s">
        <v>12127</v>
      </c>
      <c r="G1011" t="s">
        <v>4593</v>
      </c>
      <c r="H1011">
        <v>5</v>
      </c>
      <c r="I1011">
        <v>3</v>
      </c>
      <c r="J1011">
        <v>0</v>
      </c>
      <c r="K1011">
        <v>0</v>
      </c>
      <c r="L1011" s="61" t="s">
        <v>4779</v>
      </c>
    </row>
    <row r="1012" spans="6:12">
      <c r="F1012" t="s">
        <v>12128</v>
      </c>
      <c r="G1012" t="s">
        <v>4594</v>
      </c>
      <c r="H1012">
        <v>6</v>
      </c>
      <c r="I1012">
        <v>1</v>
      </c>
      <c r="J1012">
        <v>1</v>
      </c>
      <c r="K1012">
        <v>0</v>
      </c>
      <c r="L1012" s="61" t="s">
        <v>4779</v>
      </c>
    </row>
    <row r="1013" spans="6:12">
      <c r="F1013" t="s">
        <v>12129</v>
      </c>
      <c r="G1013" t="s">
        <v>5672</v>
      </c>
      <c r="H1013">
        <v>6</v>
      </c>
      <c r="I1013">
        <v>2</v>
      </c>
      <c r="J1013">
        <v>0</v>
      </c>
      <c r="K1013">
        <v>0</v>
      </c>
      <c r="L1013" s="61" t="s">
        <v>4779</v>
      </c>
    </row>
    <row r="1014" spans="6:12">
      <c r="F1014" t="s">
        <v>12130</v>
      </c>
      <c r="G1014" t="s">
        <v>12131</v>
      </c>
      <c r="H1014">
        <v>7</v>
      </c>
      <c r="I1014">
        <v>0</v>
      </c>
      <c r="J1014">
        <v>1</v>
      </c>
      <c r="K1014">
        <v>0</v>
      </c>
      <c r="L1014" s="61" t="s">
        <v>4779</v>
      </c>
    </row>
    <row r="1015" spans="6:12">
      <c r="F1015" t="s">
        <v>12132</v>
      </c>
      <c r="G1015" t="s">
        <v>5221</v>
      </c>
      <c r="H1015">
        <v>5</v>
      </c>
      <c r="I1015">
        <v>3</v>
      </c>
      <c r="J1015">
        <v>0</v>
      </c>
      <c r="K1015">
        <v>0</v>
      </c>
      <c r="L1015" s="61" t="s">
        <v>4779</v>
      </c>
    </row>
    <row r="1016" spans="6:12">
      <c r="F1016" t="s">
        <v>12133</v>
      </c>
      <c r="G1016" t="s">
        <v>4921</v>
      </c>
      <c r="H1016">
        <v>4</v>
      </c>
      <c r="I1016">
        <v>3</v>
      </c>
      <c r="J1016">
        <v>1</v>
      </c>
      <c r="K1016">
        <v>0</v>
      </c>
      <c r="L1016" s="61" t="s">
        <v>4779</v>
      </c>
    </row>
    <row r="1017" spans="6:12">
      <c r="F1017" t="s">
        <v>12134</v>
      </c>
      <c r="G1017" t="s">
        <v>5425</v>
      </c>
      <c r="H1017">
        <v>5</v>
      </c>
      <c r="I1017">
        <v>3</v>
      </c>
      <c r="J1017">
        <v>0</v>
      </c>
      <c r="K1017">
        <v>0</v>
      </c>
      <c r="L1017" s="61" t="s">
        <v>4779</v>
      </c>
    </row>
    <row r="1018" spans="6:12">
      <c r="F1018" t="s">
        <v>12135</v>
      </c>
      <c r="G1018" t="s">
        <v>4568</v>
      </c>
      <c r="H1018">
        <v>6</v>
      </c>
      <c r="I1018">
        <v>1</v>
      </c>
      <c r="J1018">
        <v>1</v>
      </c>
      <c r="K1018">
        <v>0</v>
      </c>
      <c r="L1018" s="61" t="s">
        <v>4779</v>
      </c>
    </row>
    <row r="1019" spans="6:12">
      <c r="F1019" t="s">
        <v>12136</v>
      </c>
      <c r="G1019" t="s">
        <v>5421</v>
      </c>
      <c r="H1019">
        <v>4</v>
      </c>
      <c r="I1019">
        <v>3</v>
      </c>
      <c r="J1019">
        <v>1</v>
      </c>
      <c r="K1019">
        <v>0</v>
      </c>
      <c r="L1019" s="61" t="s">
        <v>4779</v>
      </c>
    </row>
    <row r="1020" spans="6:12">
      <c r="F1020" t="s">
        <v>12137</v>
      </c>
      <c r="G1020" t="s">
        <v>4851</v>
      </c>
      <c r="H1020">
        <v>5</v>
      </c>
      <c r="I1020">
        <v>3</v>
      </c>
      <c r="J1020">
        <v>0</v>
      </c>
      <c r="K1020">
        <v>0</v>
      </c>
      <c r="L1020" s="61" t="s">
        <v>4779</v>
      </c>
    </row>
    <row r="1021" spans="6:12">
      <c r="F1021" t="s">
        <v>12138</v>
      </c>
      <c r="G1021" t="s">
        <v>5216</v>
      </c>
      <c r="H1021">
        <v>6</v>
      </c>
      <c r="I1021">
        <v>1</v>
      </c>
      <c r="J1021">
        <v>1</v>
      </c>
      <c r="K1021">
        <v>0</v>
      </c>
      <c r="L1021" s="61" t="s">
        <v>4779</v>
      </c>
    </row>
    <row r="1022" spans="6:12">
      <c r="F1022" t="s">
        <v>12139</v>
      </c>
      <c r="G1022" t="s">
        <v>5426</v>
      </c>
      <c r="H1022">
        <v>6</v>
      </c>
      <c r="I1022">
        <v>2</v>
      </c>
      <c r="J1022">
        <v>0</v>
      </c>
      <c r="K1022">
        <v>0</v>
      </c>
      <c r="L1022" s="61" t="s">
        <v>4779</v>
      </c>
    </row>
    <row r="1023" spans="6:12">
      <c r="F1023" t="s">
        <v>12140</v>
      </c>
      <c r="G1023" t="s">
        <v>4595</v>
      </c>
      <c r="H1023">
        <v>5</v>
      </c>
      <c r="I1023">
        <v>2</v>
      </c>
      <c r="J1023">
        <v>1</v>
      </c>
      <c r="K1023">
        <v>0</v>
      </c>
      <c r="L1023" s="61" t="s">
        <v>4779</v>
      </c>
    </row>
    <row r="1024" spans="6:12">
      <c r="F1024" t="s">
        <v>12141</v>
      </c>
      <c r="G1024" t="s">
        <v>5660</v>
      </c>
      <c r="H1024">
        <v>6</v>
      </c>
      <c r="I1024">
        <v>2</v>
      </c>
      <c r="J1024">
        <v>0</v>
      </c>
      <c r="K1024">
        <v>0</v>
      </c>
      <c r="L1024" s="61" t="s">
        <v>4779</v>
      </c>
    </row>
    <row r="1025" spans="6:12">
      <c r="F1025" t="s">
        <v>12142</v>
      </c>
      <c r="G1025" t="s">
        <v>5406</v>
      </c>
      <c r="H1025">
        <v>5</v>
      </c>
      <c r="I1025">
        <v>2</v>
      </c>
      <c r="J1025">
        <v>1</v>
      </c>
      <c r="K1025">
        <v>0</v>
      </c>
      <c r="L1025" s="61" t="s">
        <v>4779</v>
      </c>
    </row>
    <row r="1026" spans="6:12">
      <c r="F1026" t="s">
        <v>12143</v>
      </c>
      <c r="G1026" t="s">
        <v>11910</v>
      </c>
      <c r="H1026">
        <v>6</v>
      </c>
      <c r="I1026">
        <v>2</v>
      </c>
      <c r="J1026">
        <v>0</v>
      </c>
      <c r="K1026">
        <v>0</v>
      </c>
      <c r="L1026" s="61" t="s">
        <v>4779</v>
      </c>
    </row>
    <row r="1027" spans="6:12">
      <c r="F1027" t="s">
        <v>12144</v>
      </c>
      <c r="G1027" t="s">
        <v>12145</v>
      </c>
      <c r="H1027">
        <v>8</v>
      </c>
      <c r="I1027">
        <v>0</v>
      </c>
      <c r="J1027">
        <v>0</v>
      </c>
      <c r="K1027">
        <v>0</v>
      </c>
      <c r="L1027" s="61" t="s">
        <v>4779</v>
      </c>
    </row>
    <row r="1028" spans="6:12">
      <c r="F1028" t="s">
        <v>12146</v>
      </c>
      <c r="G1028" t="s">
        <v>4675</v>
      </c>
      <c r="H1028">
        <v>6</v>
      </c>
      <c r="I1028">
        <v>2</v>
      </c>
      <c r="J1028">
        <v>0</v>
      </c>
      <c r="K1028">
        <v>0</v>
      </c>
      <c r="L1028" s="61" t="s">
        <v>4779</v>
      </c>
    </row>
    <row r="1029" spans="6:12">
      <c r="F1029" t="s">
        <v>12147</v>
      </c>
      <c r="G1029" t="s">
        <v>5232</v>
      </c>
      <c r="H1029">
        <v>6</v>
      </c>
      <c r="I1029">
        <v>2</v>
      </c>
      <c r="J1029">
        <v>0</v>
      </c>
      <c r="K1029">
        <v>0</v>
      </c>
      <c r="L1029" s="61" t="s">
        <v>4779</v>
      </c>
    </row>
    <row r="1030" spans="6:12">
      <c r="F1030" t="s">
        <v>12148</v>
      </c>
      <c r="G1030" t="s">
        <v>4672</v>
      </c>
      <c r="H1030">
        <v>5</v>
      </c>
      <c r="I1030">
        <v>2</v>
      </c>
      <c r="J1030">
        <v>1</v>
      </c>
      <c r="K1030">
        <v>0</v>
      </c>
      <c r="L1030" s="61" t="s">
        <v>4779</v>
      </c>
    </row>
    <row r="1031" spans="6:12">
      <c r="F1031" t="s">
        <v>12149</v>
      </c>
      <c r="G1031" t="s">
        <v>12150</v>
      </c>
      <c r="H1031">
        <v>6</v>
      </c>
      <c r="I1031">
        <v>2</v>
      </c>
      <c r="J1031">
        <v>0</v>
      </c>
      <c r="K1031">
        <v>0</v>
      </c>
      <c r="L1031" s="61" t="s">
        <v>4779</v>
      </c>
    </row>
    <row r="1032" spans="6:12">
      <c r="F1032" t="s">
        <v>12151</v>
      </c>
      <c r="G1032" t="s">
        <v>4695</v>
      </c>
      <c r="H1032">
        <v>7</v>
      </c>
      <c r="I1032">
        <v>1</v>
      </c>
      <c r="J1032">
        <v>0</v>
      </c>
      <c r="K1032">
        <v>0</v>
      </c>
      <c r="L1032" s="61" t="s">
        <v>4779</v>
      </c>
    </row>
    <row r="1033" spans="6:12">
      <c r="F1033" t="s">
        <v>12152</v>
      </c>
      <c r="G1033" t="s">
        <v>10908</v>
      </c>
      <c r="H1033">
        <v>5</v>
      </c>
      <c r="I1033">
        <v>3</v>
      </c>
      <c r="J1033">
        <v>0</v>
      </c>
      <c r="K1033">
        <v>0</v>
      </c>
      <c r="L1033" s="61" t="s">
        <v>4779</v>
      </c>
    </row>
    <row r="1034" spans="6:12">
      <c r="F1034" t="s">
        <v>12153</v>
      </c>
      <c r="G1034" t="s">
        <v>6722</v>
      </c>
      <c r="H1034">
        <v>6</v>
      </c>
      <c r="I1034">
        <v>2</v>
      </c>
      <c r="J1034">
        <v>0</v>
      </c>
      <c r="K1034">
        <v>0</v>
      </c>
      <c r="L1034" s="61" t="s">
        <v>4779</v>
      </c>
    </row>
    <row r="1035" spans="6:12">
      <c r="F1035" t="s">
        <v>12154</v>
      </c>
      <c r="G1035" t="s">
        <v>5045</v>
      </c>
      <c r="H1035">
        <v>5</v>
      </c>
      <c r="I1035">
        <v>3</v>
      </c>
      <c r="J1035">
        <v>0</v>
      </c>
      <c r="K1035">
        <v>0</v>
      </c>
      <c r="L1035" s="61" t="s">
        <v>4779</v>
      </c>
    </row>
    <row r="1036" spans="6:12">
      <c r="F1036" t="s">
        <v>12155</v>
      </c>
      <c r="G1036" t="s">
        <v>5250</v>
      </c>
      <c r="H1036">
        <v>8</v>
      </c>
      <c r="I1036">
        <v>0</v>
      </c>
      <c r="J1036">
        <v>0</v>
      </c>
      <c r="K1036">
        <v>0</v>
      </c>
      <c r="L1036" s="61" t="s">
        <v>4779</v>
      </c>
    </row>
    <row r="1037" spans="6:12">
      <c r="F1037" t="s">
        <v>12156</v>
      </c>
      <c r="G1037" t="s">
        <v>4880</v>
      </c>
      <c r="H1037">
        <v>6</v>
      </c>
      <c r="I1037">
        <v>2</v>
      </c>
      <c r="J1037">
        <v>0</v>
      </c>
      <c r="K1037">
        <v>0</v>
      </c>
      <c r="L1037" s="61" t="s">
        <v>4779</v>
      </c>
    </row>
    <row r="1038" spans="6:12">
      <c r="F1038" t="s">
        <v>12157</v>
      </c>
      <c r="G1038" t="s">
        <v>4556</v>
      </c>
      <c r="H1038">
        <v>4</v>
      </c>
      <c r="I1038">
        <v>3</v>
      </c>
      <c r="J1038">
        <v>1</v>
      </c>
      <c r="K1038">
        <v>0</v>
      </c>
      <c r="L1038" s="61" t="s">
        <v>4779</v>
      </c>
    </row>
    <row r="1039" spans="6:12">
      <c r="F1039" t="s">
        <v>5275</v>
      </c>
      <c r="G1039" t="s">
        <v>12158</v>
      </c>
      <c r="H1039">
        <v>8</v>
      </c>
      <c r="I1039">
        <v>0</v>
      </c>
      <c r="J1039">
        <v>0</v>
      </c>
      <c r="K1039">
        <v>0</v>
      </c>
      <c r="L1039" s="61" t="s">
        <v>4779</v>
      </c>
    </row>
    <row r="1040" spans="6:12">
      <c r="F1040" t="s">
        <v>12159</v>
      </c>
      <c r="G1040" t="s">
        <v>4650</v>
      </c>
      <c r="H1040">
        <v>5</v>
      </c>
      <c r="I1040">
        <v>3</v>
      </c>
      <c r="J1040">
        <v>0</v>
      </c>
      <c r="K1040">
        <v>0</v>
      </c>
      <c r="L1040" s="61" t="s">
        <v>4779</v>
      </c>
    </row>
    <row r="1041" spans="6:12">
      <c r="F1041" t="s">
        <v>12160</v>
      </c>
      <c r="G1041" t="s">
        <v>5665</v>
      </c>
      <c r="H1041">
        <v>6</v>
      </c>
      <c r="I1041">
        <v>1</v>
      </c>
      <c r="J1041">
        <v>1</v>
      </c>
      <c r="K1041">
        <v>0</v>
      </c>
      <c r="L1041" s="61" t="s">
        <v>4779</v>
      </c>
    </row>
    <row r="1042" spans="6:12">
      <c r="F1042" t="s">
        <v>12161</v>
      </c>
      <c r="G1042" t="s">
        <v>5200</v>
      </c>
      <c r="H1042">
        <v>5</v>
      </c>
      <c r="I1042">
        <v>2</v>
      </c>
      <c r="J1042">
        <v>1</v>
      </c>
      <c r="K1042">
        <v>0</v>
      </c>
      <c r="L1042" s="61" t="s">
        <v>4779</v>
      </c>
    </row>
    <row r="1043" spans="6:12">
      <c r="F1043" t="s">
        <v>12162</v>
      </c>
      <c r="G1043" t="s">
        <v>4582</v>
      </c>
      <c r="H1043">
        <v>5</v>
      </c>
      <c r="I1043">
        <v>2</v>
      </c>
      <c r="J1043">
        <v>1</v>
      </c>
      <c r="K1043">
        <v>0</v>
      </c>
      <c r="L1043" s="61" t="s">
        <v>4779</v>
      </c>
    </row>
    <row r="1044" spans="6:12">
      <c r="F1044" t="s">
        <v>12163</v>
      </c>
      <c r="G1044" t="s">
        <v>5219</v>
      </c>
      <c r="H1044">
        <v>6</v>
      </c>
      <c r="I1044">
        <v>1</v>
      </c>
      <c r="J1044">
        <v>1</v>
      </c>
      <c r="K1044">
        <v>0</v>
      </c>
      <c r="L1044" s="61" t="s">
        <v>4779</v>
      </c>
    </row>
    <row r="1045" spans="6:12">
      <c r="F1045" t="s">
        <v>12164</v>
      </c>
      <c r="G1045" t="s">
        <v>12165</v>
      </c>
      <c r="H1045">
        <v>7</v>
      </c>
      <c r="I1045">
        <v>1</v>
      </c>
      <c r="J1045">
        <v>0</v>
      </c>
      <c r="K1045">
        <v>0</v>
      </c>
      <c r="L1045" s="61" t="s">
        <v>4779</v>
      </c>
    </row>
    <row r="1046" spans="6:12">
      <c r="F1046" t="s">
        <v>12166</v>
      </c>
      <c r="G1046" t="s">
        <v>5669</v>
      </c>
      <c r="H1046">
        <v>7</v>
      </c>
      <c r="I1046">
        <v>1</v>
      </c>
      <c r="J1046">
        <v>0</v>
      </c>
      <c r="K1046">
        <v>0</v>
      </c>
      <c r="L1046" s="61" t="s">
        <v>4779</v>
      </c>
    </row>
    <row r="1047" spans="6:12">
      <c r="F1047" t="s">
        <v>12167</v>
      </c>
      <c r="G1047" t="s">
        <v>4622</v>
      </c>
      <c r="H1047">
        <v>5</v>
      </c>
      <c r="I1047">
        <v>2</v>
      </c>
      <c r="J1047">
        <v>1</v>
      </c>
      <c r="K1047">
        <v>0</v>
      </c>
      <c r="L1047" s="61" t="s">
        <v>4779</v>
      </c>
    </row>
    <row r="1048" spans="6:12">
      <c r="F1048" t="s">
        <v>12168</v>
      </c>
      <c r="G1048" t="s">
        <v>5671</v>
      </c>
      <c r="H1048">
        <v>5</v>
      </c>
      <c r="I1048">
        <v>3</v>
      </c>
      <c r="J1048">
        <v>0</v>
      </c>
      <c r="K1048">
        <v>0</v>
      </c>
      <c r="L1048" s="61" t="s">
        <v>4779</v>
      </c>
    </row>
    <row r="1049" spans="6:12">
      <c r="F1049" t="s">
        <v>12169</v>
      </c>
      <c r="G1049" t="s">
        <v>11024</v>
      </c>
      <c r="H1049">
        <v>7</v>
      </c>
      <c r="I1049">
        <v>0</v>
      </c>
      <c r="J1049">
        <v>1</v>
      </c>
      <c r="K1049">
        <v>0</v>
      </c>
      <c r="L1049" s="61" t="s">
        <v>4779</v>
      </c>
    </row>
    <row r="1050" spans="6:12">
      <c r="F1050" t="s">
        <v>12170</v>
      </c>
      <c r="G1050" t="s">
        <v>5659</v>
      </c>
      <c r="H1050">
        <v>7</v>
      </c>
      <c r="I1050">
        <v>1</v>
      </c>
      <c r="J1050">
        <v>0</v>
      </c>
      <c r="K1050">
        <v>0</v>
      </c>
      <c r="L1050" s="61" t="s">
        <v>4779</v>
      </c>
    </row>
    <row r="1051" spans="6:12">
      <c r="F1051" t="s">
        <v>12171</v>
      </c>
      <c r="G1051" t="s">
        <v>12172</v>
      </c>
      <c r="H1051">
        <v>7</v>
      </c>
      <c r="I1051">
        <v>1</v>
      </c>
      <c r="J1051">
        <v>0</v>
      </c>
      <c r="K1051">
        <v>0</v>
      </c>
      <c r="L1051" s="61" t="s">
        <v>4779</v>
      </c>
    </row>
    <row r="1052" spans="6:12">
      <c r="F1052" t="s">
        <v>12173</v>
      </c>
      <c r="G1052" t="s">
        <v>5315</v>
      </c>
      <c r="H1052">
        <v>7</v>
      </c>
      <c r="I1052">
        <v>1</v>
      </c>
      <c r="J1052">
        <v>0</v>
      </c>
      <c r="K1052">
        <v>0</v>
      </c>
      <c r="L1052" s="61" t="s">
        <v>4779</v>
      </c>
    </row>
    <row r="1053" spans="6:12">
      <c r="F1053" t="s">
        <v>12174</v>
      </c>
      <c r="G1053" t="s">
        <v>4573</v>
      </c>
      <c r="H1053">
        <v>5</v>
      </c>
      <c r="I1053">
        <v>3</v>
      </c>
      <c r="J1053">
        <v>0</v>
      </c>
      <c r="K1053">
        <v>0</v>
      </c>
      <c r="L1053" s="61" t="s">
        <v>4779</v>
      </c>
    </row>
    <row r="1054" spans="6:12">
      <c r="F1054" t="s">
        <v>12175</v>
      </c>
      <c r="G1054" t="s">
        <v>12176</v>
      </c>
      <c r="H1054">
        <v>7</v>
      </c>
      <c r="I1054">
        <v>1</v>
      </c>
      <c r="J1054">
        <v>0</v>
      </c>
      <c r="K1054">
        <v>0</v>
      </c>
      <c r="L1054" s="61" t="s">
        <v>4779</v>
      </c>
    </row>
    <row r="1055" spans="6:12">
      <c r="F1055" t="s">
        <v>12177</v>
      </c>
      <c r="G1055" t="s">
        <v>12178</v>
      </c>
      <c r="H1055">
        <v>6</v>
      </c>
      <c r="I1055">
        <v>2</v>
      </c>
      <c r="J1055">
        <v>0</v>
      </c>
      <c r="K1055">
        <v>0</v>
      </c>
      <c r="L1055" s="61" t="s">
        <v>4807</v>
      </c>
    </row>
    <row r="1056" spans="6:12">
      <c r="F1056" t="s">
        <v>12179</v>
      </c>
      <c r="G1056" t="s">
        <v>5410</v>
      </c>
      <c r="H1056">
        <v>6</v>
      </c>
      <c r="I1056">
        <v>1</v>
      </c>
      <c r="J1056">
        <v>1</v>
      </c>
      <c r="K1056">
        <v>0</v>
      </c>
      <c r="L1056" s="61" t="s">
        <v>4809</v>
      </c>
    </row>
    <row r="1057" spans="6:12">
      <c r="F1057" t="s">
        <v>12180</v>
      </c>
      <c r="G1057" t="s">
        <v>5224</v>
      </c>
      <c r="H1057">
        <v>6</v>
      </c>
      <c r="I1057">
        <v>2</v>
      </c>
      <c r="J1057">
        <v>0</v>
      </c>
      <c r="K1057">
        <v>0</v>
      </c>
      <c r="L1057" s="61" t="s">
        <v>4779</v>
      </c>
    </row>
    <row r="1058" spans="6:12">
      <c r="F1058" t="s">
        <v>5381</v>
      </c>
      <c r="G1058" t="s">
        <v>12181</v>
      </c>
      <c r="H1058">
        <v>8</v>
      </c>
      <c r="I1058">
        <v>0</v>
      </c>
      <c r="J1058">
        <v>0</v>
      </c>
      <c r="K1058">
        <v>0</v>
      </c>
      <c r="L1058" s="61" t="s">
        <v>4779</v>
      </c>
    </row>
    <row r="1059" spans="6:12">
      <c r="F1059" t="s">
        <v>12182</v>
      </c>
      <c r="G1059" t="s">
        <v>5422</v>
      </c>
      <c r="H1059">
        <v>5</v>
      </c>
      <c r="I1059">
        <v>3</v>
      </c>
      <c r="J1059">
        <v>0</v>
      </c>
      <c r="K1059">
        <v>0</v>
      </c>
      <c r="L1059" s="61" t="s">
        <v>4779</v>
      </c>
    </row>
    <row r="1060" spans="6:12">
      <c r="F1060" t="s">
        <v>12183</v>
      </c>
      <c r="G1060" t="s">
        <v>10926</v>
      </c>
      <c r="H1060">
        <v>4</v>
      </c>
      <c r="I1060">
        <v>3</v>
      </c>
      <c r="J1060">
        <v>1</v>
      </c>
      <c r="K1060">
        <v>0</v>
      </c>
      <c r="L1060" s="61" t="s">
        <v>4779</v>
      </c>
    </row>
    <row r="1061" spans="6:12">
      <c r="F1061" t="s">
        <v>12184</v>
      </c>
      <c r="G1061" t="s">
        <v>12185</v>
      </c>
      <c r="H1061">
        <v>7</v>
      </c>
      <c r="I1061">
        <v>1</v>
      </c>
      <c r="J1061">
        <v>0</v>
      </c>
      <c r="K1061">
        <v>0</v>
      </c>
      <c r="L1061" s="61" t="s">
        <v>4779</v>
      </c>
    </row>
    <row r="1062" spans="6:12">
      <c r="F1062" t="s">
        <v>12186</v>
      </c>
      <c r="G1062" t="s">
        <v>12187</v>
      </c>
      <c r="H1062">
        <v>7</v>
      </c>
      <c r="I1062">
        <v>0</v>
      </c>
      <c r="J1062">
        <v>1</v>
      </c>
      <c r="K1062">
        <v>0</v>
      </c>
      <c r="L1062" s="61" t="s">
        <v>4779</v>
      </c>
    </row>
    <row r="1063" spans="6:12">
      <c r="F1063" t="s">
        <v>12188</v>
      </c>
      <c r="G1063" t="s">
        <v>12189</v>
      </c>
      <c r="H1063">
        <v>7</v>
      </c>
      <c r="I1063">
        <v>1</v>
      </c>
      <c r="J1063">
        <v>0</v>
      </c>
      <c r="K1063">
        <v>0</v>
      </c>
      <c r="L1063" s="61" t="s">
        <v>4779</v>
      </c>
    </row>
    <row r="1064" spans="6:12">
      <c r="F1064" t="s">
        <v>12190</v>
      </c>
      <c r="G1064" t="s">
        <v>12191</v>
      </c>
      <c r="H1064">
        <v>5</v>
      </c>
      <c r="I1064">
        <v>2</v>
      </c>
      <c r="J1064">
        <v>1</v>
      </c>
      <c r="K1064">
        <v>0</v>
      </c>
      <c r="L1064" s="61" t="s">
        <v>4779</v>
      </c>
    </row>
    <row r="1065" spans="6:12">
      <c r="F1065" t="s">
        <v>12192</v>
      </c>
      <c r="G1065" t="s">
        <v>12193</v>
      </c>
      <c r="H1065">
        <v>7</v>
      </c>
      <c r="I1065">
        <v>1</v>
      </c>
      <c r="J1065">
        <v>0</v>
      </c>
      <c r="K1065">
        <v>0</v>
      </c>
      <c r="L1065" s="61" t="s">
        <v>4779</v>
      </c>
    </row>
    <row r="1066" spans="6:12">
      <c r="F1066" t="s">
        <v>12194</v>
      </c>
      <c r="G1066" t="s">
        <v>12195</v>
      </c>
      <c r="H1066">
        <v>5</v>
      </c>
      <c r="I1066">
        <v>3</v>
      </c>
      <c r="J1066">
        <v>0</v>
      </c>
      <c r="K1066">
        <v>0</v>
      </c>
      <c r="L1066" s="61" t="s">
        <v>4779</v>
      </c>
    </row>
    <row r="1067" spans="6:12">
      <c r="F1067" t="s">
        <v>12196</v>
      </c>
      <c r="G1067" t="s">
        <v>12197</v>
      </c>
      <c r="H1067">
        <v>7</v>
      </c>
      <c r="I1067">
        <v>1</v>
      </c>
      <c r="J1067">
        <v>0</v>
      </c>
      <c r="K1067">
        <v>0</v>
      </c>
      <c r="L1067" s="61" t="s">
        <v>4779</v>
      </c>
    </row>
    <row r="1068" spans="6:12">
      <c r="F1068" t="s">
        <v>12198</v>
      </c>
      <c r="G1068" t="s">
        <v>11052</v>
      </c>
      <c r="H1068">
        <v>5</v>
      </c>
      <c r="I1068">
        <v>2</v>
      </c>
      <c r="J1068">
        <v>1</v>
      </c>
      <c r="K1068">
        <v>0</v>
      </c>
      <c r="L1068" s="61" t="s">
        <v>4779</v>
      </c>
    </row>
    <row r="1069" spans="6:12">
      <c r="F1069" t="s">
        <v>12199</v>
      </c>
      <c r="G1069" t="s">
        <v>12200</v>
      </c>
      <c r="H1069">
        <v>7</v>
      </c>
      <c r="I1069">
        <v>1</v>
      </c>
      <c r="J1069">
        <v>0</v>
      </c>
      <c r="K1069">
        <v>0</v>
      </c>
      <c r="L1069" s="61" t="s">
        <v>4779</v>
      </c>
    </row>
    <row r="1070" spans="6:12">
      <c r="F1070" t="s">
        <v>12201</v>
      </c>
      <c r="G1070" t="s">
        <v>5227</v>
      </c>
      <c r="H1070">
        <v>7</v>
      </c>
      <c r="I1070">
        <v>1</v>
      </c>
      <c r="J1070">
        <v>0</v>
      </c>
      <c r="K1070">
        <v>0</v>
      </c>
      <c r="L1070" s="61" t="s">
        <v>4779</v>
      </c>
    </row>
    <row r="1071" spans="6:12">
      <c r="F1071" t="s">
        <v>12202</v>
      </c>
      <c r="G1071" t="s">
        <v>12203</v>
      </c>
      <c r="H1071">
        <v>6</v>
      </c>
      <c r="I1071">
        <v>1</v>
      </c>
      <c r="J1071">
        <v>1</v>
      </c>
      <c r="K1071">
        <v>0</v>
      </c>
      <c r="L1071" s="61" t="s">
        <v>4779</v>
      </c>
    </row>
    <row r="1072" spans="6:12">
      <c r="F1072" t="s">
        <v>12204</v>
      </c>
      <c r="G1072" t="s">
        <v>12205</v>
      </c>
      <c r="H1072">
        <v>5</v>
      </c>
      <c r="I1072">
        <v>2</v>
      </c>
      <c r="J1072">
        <v>1</v>
      </c>
      <c r="K1072">
        <v>0</v>
      </c>
      <c r="L1072" s="61" t="s">
        <v>4779</v>
      </c>
    </row>
    <row r="1073" spans="6:12">
      <c r="F1073" t="s">
        <v>12206</v>
      </c>
      <c r="G1073" t="s">
        <v>12207</v>
      </c>
      <c r="H1073">
        <v>7</v>
      </c>
      <c r="I1073">
        <v>1</v>
      </c>
      <c r="J1073">
        <v>0</v>
      </c>
      <c r="K1073">
        <v>0</v>
      </c>
      <c r="L1073" s="61" t="s">
        <v>4809</v>
      </c>
    </row>
    <row r="1074" spans="6:12">
      <c r="F1074" t="s">
        <v>12208</v>
      </c>
      <c r="G1074" t="s">
        <v>12209</v>
      </c>
      <c r="H1074">
        <v>5</v>
      </c>
      <c r="I1074">
        <v>3</v>
      </c>
      <c r="J1074">
        <v>0</v>
      </c>
      <c r="K1074">
        <v>0</v>
      </c>
      <c r="L1074" s="61" t="s">
        <v>4779</v>
      </c>
    </row>
    <row r="1075" spans="6:12">
      <c r="F1075" t="s">
        <v>12210</v>
      </c>
      <c r="G1075" t="s">
        <v>12211</v>
      </c>
      <c r="H1075">
        <v>6</v>
      </c>
      <c r="I1075">
        <v>2</v>
      </c>
      <c r="J1075">
        <v>0</v>
      </c>
      <c r="K1075">
        <v>0</v>
      </c>
      <c r="L1075" s="61" t="s">
        <v>4779</v>
      </c>
    </row>
    <row r="1076" spans="6:12">
      <c r="F1076" t="s">
        <v>12212</v>
      </c>
      <c r="G1076" t="s">
        <v>12213</v>
      </c>
      <c r="H1076">
        <v>6</v>
      </c>
      <c r="I1076">
        <v>2</v>
      </c>
      <c r="J1076">
        <v>0</v>
      </c>
      <c r="K1076">
        <v>0</v>
      </c>
      <c r="L1076" s="61" t="s">
        <v>4779</v>
      </c>
    </row>
    <row r="1077" spans="6:12">
      <c r="F1077" t="s">
        <v>12214</v>
      </c>
      <c r="G1077" t="s">
        <v>12215</v>
      </c>
      <c r="H1077">
        <v>5</v>
      </c>
      <c r="I1077">
        <v>3</v>
      </c>
      <c r="J1077">
        <v>0</v>
      </c>
      <c r="K1077">
        <v>0</v>
      </c>
      <c r="L1077" s="61" t="s">
        <v>4779</v>
      </c>
    </row>
    <row r="1078" spans="6:12">
      <c r="F1078" t="s">
        <v>12216</v>
      </c>
      <c r="G1078" t="s">
        <v>4637</v>
      </c>
      <c r="H1078">
        <v>6</v>
      </c>
      <c r="I1078">
        <v>1</v>
      </c>
      <c r="J1078">
        <v>1</v>
      </c>
      <c r="K1078">
        <v>0</v>
      </c>
      <c r="L1078" s="61" t="s">
        <v>4779</v>
      </c>
    </row>
    <row r="1079" spans="6:12">
      <c r="F1079" t="s">
        <v>12217</v>
      </c>
      <c r="G1079" t="s">
        <v>5597</v>
      </c>
      <c r="H1079">
        <v>5</v>
      </c>
      <c r="I1079">
        <v>3</v>
      </c>
      <c r="J1079">
        <v>0</v>
      </c>
      <c r="K1079">
        <v>0</v>
      </c>
      <c r="L1079" s="61" t="s">
        <v>4779</v>
      </c>
    </row>
    <row r="1080" spans="6:12">
      <c r="F1080" t="s">
        <v>12218</v>
      </c>
      <c r="G1080" t="s">
        <v>12219</v>
      </c>
      <c r="H1080">
        <v>7</v>
      </c>
      <c r="I1080">
        <v>1</v>
      </c>
      <c r="J1080">
        <v>0</v>
      </c>
      <c r="K1080">
        <v>0</v>
      </c>
      <c r="L1080" s="61" t="s">
        <v>4779</v>
      </c>
    </row>
    <row r="1081" spans="6:12">
      <c r="F1081" t="s">
        <v>12220</v>
      </c>
      <c r="G1081" t="s">
        <v>11022</v>
      </c>
      <c r="H1081">
        <v>6</v>
      </c>
      <c r="I1081">
        <v>2</v>
      </c>
      <c r="J1081">
        <v>0</v>
      </c>
      <c r="K1081">
        <v>0</v>
      </c>
      <c r="L1081" s="61" t="s">
        <v>4779</v>
      </c>
    </row>
    <row r="1082" spans="6:12">
      <c r="F1082" t="s">
        <v>12221</v>
      </c>
      <c r="G1082" t="s">
        <v>12222</v>
      </c>
      <c r="H1082">
        <v>8</v>
      </c>
      <c r="I1082">
        <v>0</v>
      </c>
      <c r="J1082">
        <v>0</v>
      </c>
      <c r="K1082">
        <v>0</v>
      </c>
      <c r="L1082" s="61" t="s">
        <v>4779</v>
      </c>
    </row>
    <row r="1083" spans="6:12">
      <c r="F1083" t="s">
        <v>12223</v>
      </c>
      <c r="G1083" t="s">
        <v>12224</v>
      </c>
      <c r="H1083">
        <v>6</v>
      </c>
      <c r="I1083">
        <v>2</v>
      </c>
      <c r="J1083">
        <v>0</v>
      </c>
      <c r="K1083">
        <v>0</v>
      </c>
      <c r="L1083" s="61" t="s">
        <v>4779</v>
      </c>
    </row>
    <row r="1084" spans="6:12">
      <c r="F1084" t="s">
        <v>12225</v>
      </c>
      <c r="G1084" t="s">
        <v>5763</v>
      </c>
      <c r="H1084">
        <v>5</v>
      </c>
      <c r="I1084">
        <v>2</v>
      </c>
      <c r="J1084">
        <v>1</v>
      </c>
      <c r="K1084">
        <v>0</v>
      </c>
      <c r="L1084" s="61" t="s">
        <v>4808</v>
      </c>
    </row>
    <row r="1085" spans="6:12">
      <c r="F1085" t="s">
        <v>12226</v>
      </c>
      <c r="G1085" t="s">
        <v>12227</v>
      </c>
      <c r="H1085">
        <v>6</v>
      </c>
      <c r="I1085">
        <v>2</v>
      </c>
      <c r="J1085">
        <v>0</v>
      </c>
      <c r="K1085">
        <v>0</v>
      </c>
      <c r="L1085" s="61" t="s">
        <v>4779</v>
      </c>
    </row>
    <row r="1086" spans="6:12">
      <c r="F1086" t="s">
        <v>12228</v>
      </c>
      <c r="G1086" t="s">
        <v>12229</v>
      </c>
      <c r="H1086">
        <v>7</v>
      </c>
      <c r="I1086">
        <v>1</v>
      </c>
      <c r="J1086">
        <v>0</v>
      </c>
      <c r="K1086">
        <v>0</v>
      </c>
      <c r="L1086" s="61" t="s">
        <v>4779</v>
      </c>
    </row>
    <row r="1087" spans="6:12">
      <c r="F1087" t="s">
        <v>12230</v>
      </c>
      <c r="G1087" t="s">
        <v>5458</v>
      </c>
      <c r="H1087">
        <v>4</v>
      </c>
      <c r="I1087">
        <v>3</v>
      </c>
      <c r="J1087">
        <v>1</v>
      </c>
      <c r="K1087">
        <v>0</v>
      </c>
      <c r="L1087" s="61" t="s">
        <v>4779</v>
      </c>
    </row>
    <row r="1088" spans="6:12">
      <c r="F1088" t="s">
        <v>12231</v>
      </c>
      <c r="G1088" t="s">
        <v>12232</v>
      </c>
      <c r="H1088">
        <v>7</v>
      </c>
      <c r="I1088">
        <v>1</v>
      </c>
      <c r="J1088">
        <v>0</v>
      </c>
      <c r="K1088">
        <v>0</v>
      </c>
      <c r="L1088" s="61" t="s">
        <v>4779</v>
      </c>
    </row>
    <row r="1089" spans="6:12">
      <c r="F1089" t="s">
        <v>12233</v>
      </c>
      <c r="G1089" t="s">
        <v>12234</v>
      </c>
      <c r="H1089">
        <v>4</v>
      </c>
      <c r="I1089">
        <v>3</v>
      </c>
      <c r="J1089">
        <v>1</v>
      </c>
      <c r="K1089">
        <v>0</v>
      </c>
      <c r="L1089" s="61" t="s">
        <v>4779</v>
      </c>
    </row>
    <row r="1090" spans="6:12">
      <c r="F1090" t="s">
        <v>12235</v>
      </c>
      <c r="G1090" t="s">
        <v>8547</v>
      </c>
      <c r="H1090">
        <v>5</v>
      </c>
      <c r="I1090">
        <v>2</v>
      </c>
      <c r="J1090">
        <v>1</v>
      </c>
      <c r="K1090">
        <v>0</v>
      </c>
      <c r="L1090" s="61" t="s">
        <v>4779</v>
      </c>
    </row>
    <row r="1091" spans="6:12">
      <c r="F1091" t="s">
        <v>12236</v>
      </c>
      <c r="G1091" t="s">
        <v>12237</v>
      </c>
      <c r="H1091">
        <v>6</v>
      </c>
      <c r="I1091">
        <v>2</v>
      </c>
      <c r="J1091">
        <v>0</v>
      </c>
      <c r="K1091">
        <v>0</v>
      </c>
      <c r="L1091" s="61" t="s">
        <v>4779</v>
      </c>
    </row>
    <row r="1092" spans="6:12">
      <c r="F1092" t="s">
        <v>12238</v>
      </c>
      <c r="G1092" t="s">
        <v>12239</v>
      </c>
      <c r="H1092">
        <v>5</v>
      </c>
      <c r="I1092">
        <v>2</v>
      </c>
      <c r="J1092">
        <v>1</v>
      </c>
      <c r="K1092">
        <v>0</v>
      </c>
      <c r="L1092" s="61" t="s">
        <v>4779</v>
      </c>
    </row>
    <row r="1093" spans="6:12">
      <c r="F1093" t="s">
        <v>12240</v>
      </c>
      <c r="G1093" t="s">
        <v>5323</v>
      </c>
      <c r="H1093">
        <v>4</v>
      </c>
      <c r="I1093">
        <v>3</v>
      </c>
      <c r="J1093">
        <v>1</v>
      </c>
      <c r="K1093">
        <v>0</v>
      </c>
      <c r="L1093" s="61" t="s">
        <v>4779</v>
      </c>
    </row>
    <row r="1094" spans="6:12">
      <c r="F1094" t="s">
        <v>12241</v>
      </c>
      <c r="G1094" t="s">
        <v>5677</v>
      </c>
      <c r="H1094">
        <v>5</v>
      </c>
      <c r="I1094">
        <v>3</v>
      </c>
      <c r="J1094">
        <v>0</v>
      </c>
      <c r="K1094">
        <v>0</v>
      </c>
      <c r="L1094" s="61" t="s">
        <v>4807</v>
      </c>
    </row>
    <row r="1095" spans="6:12">
      <c r="F1095" t="s">
        <v>12242</v>
      </c>
      <c r="G1095" t="s">
        <v>12243</v>
      </c>
      <c r="H1095">
        <v>5</v>
      </c>
      <c r="I1095">
        <v>2</v>
      </c>
      <c r="J1095">
        <v>1</v>
      </c>
      <c r="K1095">
        <v>0</v>
      </c>
      <c r="L1095" s="61" t="s">
        <v>4779</v>
      </c>
    </row>
    <row r="1096" spans="6:12">
      <c r="F1096" t="s">
        <v>12244</v>
      </c>
      <c r="G1096" t="s">
        <v>12245</v>
      </c>
      <c r="H1096">
        <v>6</v>
      </c>
      <c r="I1096">
        <v>1</v>
      </c>
      <c r="J1096">
        <v>1</v>
      </c>
      <c r="K1096">
        <v>0</v>
      </c>
      <c r="L1096" s="61" t="s">
        <v>4779</v>
      </c>
    </row>
    <row r="1097" spans="6:12">
      <c r="F1097" t="s">
        <v>12246</v>
      </c>
      <c r="G1097" t="s">
        <v>4731</v>
      </c>
      <c r="H1097">
        <v>7</v>
      </c>
      <c r="I1097">
        <v>0</v>
      </c>
      <c r="J1097">
        <v>1</v>
      </c>
      <c r="K1097">
        <v>0</v>
      </c>
      <c r="L1097" s="61" t="s">
        <v>4779</v>
      </c>
    </row>
    <row r="1098" spans="6:12">
      <c r="F1098" t="s">
        <v>12247</v>
      </c>
      <c r="G1098" t="s">
        <v>4899</v>
      </c>
      <c r="H1098">
        <v>6</v>
      </c>
      <c r="I1098">
        <v>1</v>
      </c>
      <c r="J1098">
        <v>1</v>
      </c>
      <c r="K1098">
        <v>0</v>
      </c>
      <c r="L1098" s="61" t="s">
        <v>4779</v>
      </c>
    </row>
    <row r="1099" spans="6:12">
      <c r="F1099" t="s">
        <v>12248</v>
      </c>
      <c r="G1099" t="s">
        <v>4666</v>
      </c>
      <c r="H1099">
        <v>5</v>
      </c>
      <c r="I1099">
        <v>3</v>
      </c>
      <c r="J1099">
        <v>0</v>
      </c>
      <c r="K1099">
        <v>0</v>
      </c>
      <c r="L1099" s="61" t="s">
        <v>4779</v>
      </c>
    </row>
    <row r="1100" spans="6:12">
      <c r="F1100" t="s">
        <v>5640</v>
      </c>
      <c r="G1100" t="s">
        <v>12249</v>
      </c>
      <c r="H1100">
        <v>7</v>
      </c>
      <c r="I1100">
        <v>1</v>
      </c>
      <c r="J1100">
        <v>0</v>
      </c>
      <c r="K1100">
        <v>0</v>
      </c>
      <c r="L1100" s="61" t="s">
        <v>4779</v>
      </c>
    </row>
    <row r="1101" spans="6:12">
      <c r="F1101" t="s">
        <v>12250</v>
      </c>
      <c r="G1101" t="s">
        <v>12251</v>
      </c>
      <c r="H1101">
        <v>5</v>
      </c>
      <c r="I1101">
        <v>3</v>
      </c>
      <c r="J1101">
        <v>0</v>
      </c>
      <c r="K1101">
        <v>0</v>
      </c>
      <c r="L1101" s="61" t="s">
        <v>4779</v>
      </c>
    </row>
    <row r="1102" spans="6:12">
      <c r="F1102" t="s">
        <v>12252</v>
      </c>
      <c r="G1102" t="s">
        <v>11030</v>
      </c>
      <c r="H1102">
        <v>6</v>
      </c>
      <c r="I1102">
        <v>2</v>
      </c>
      <c r="J1102">
        <v>0</v>
      </c>
      <c r="K1102">
        <v>0</v>
      </c>
      <c r="L1102" s="61" t="s">
        <v>4779</v>
      </c>
    </row>
    <row r="1103" spans="6:12">
      <c r="F1103" t="s">
        <v>12253</v>
      </c>
      <c r="G1103" t="s">
        <v>12254</v>
      </c>
      <c r="H1103">
        <v>5</v>
      </c>
      <c r="I1103">
        <v>2</v>
      </c>
      <c r="J1103">
        <v>1</v>
      </c>
      <c r="K1103">
        <v>0</v>
      </c>
      <c r="L1103" s="61" t="s">
        <v>4779</v>
      </c>
    </row>
    <row r="1104" spans="6:12">
      <c r="F1104" t="s">
        <v>12255</v>
      </c>
      <c r="G1104" t="s">
        <v>12256</v>
      </c>
      <c r="H1104">
        <v>5</v>
      </c>
      <c r="I1104">
        <v>3</v>
      </c>
      <c r="J1104">
        <v>0</v>
      </c>
      <c r="K1104">
        <v>0</v>
      </c>
      <c r="L1104" s="61" t="s">
        <v>4779</v>
      </c>
    </row>
    <row r="1105" spans="6:12">
      <c r="F1105" t="s">
        <v>12257</v>
      </c>
      <c r="G1105" t="s">
        <v>12258</v>
      </c>
      <c r="H1105">
        <v>4</v>
      </c>
      <c r="I1105">
        <v>3</v>
      </c>
      <c r="J1105">
        <v>1</v>
      </c>
      <c r="K1105">
        <v>0</v>
      </c>
      <c r="L1105" s="61" t="s">
        <v>4779</v>
      </c>
    </row>
    <row r="1106" spans="6:12">
      <c r="F1106" t="s">
        <v>12259</v>
      </c>
      <c r="G1106" t="s">
        <v>12260</v>
      </c>
      <c r="H1106">
        <v>4</v>
      </c>
      <c r="I1106">
        <v>3</v>
      </c>
      <c r="J1106">
        <v>1</v>
      </c>
      <c r="K1106">
        <v>0</v>
      </c>
      <c r="L1106" s="61" t="s">
        <v>4779</v>
      </c>
    </row>
    <row r="1107" spans="6:12">
      <c r="F1107" t="s">
        <v>12261</v>
      </c>
      <c r="G1107" t="s">
        <v>12262</v>
      </c>
      <c r="H1107">
        <v>6</v>
      </c>
      <c r="I1107">
        <v>2</v>
      </c>
      <c r="J1107">
        <v>0</v>
      </c>
      <c r="K1107">
        <v>0</v>
      </c>
      <c r="L1107" s="61" t="s">
        <v>4779</v>
      </c>
    </row>
    <row r="1108" spans="6:12">
      <c r="F1108" t="s">
        <v>12263</v>
      </c>
      <c r="G1108" t="s">
        <v>12264</v>
      </c>
      <c r="H1108">
        <v>7</v>
      </c>
      <c r="I1108">
        <v>0</v>
      </c>
      <c r="J1108">
        <v>1</v>
      </c>
      <c r="K1108">
        <v>0</v>
      </c>
      <c r="L1108" s="61" t="s">
        <v>4779</v>
      </c>
    </row>
    <row r="1109" spans="6:12">
      <c r="F1109" t="s">
        <v>12265</v>
      </c>
      <c r="G1109" t="s">
        <v>4624</v>
      </c>
      <c r="H1109">
        <v>7</v>
      </c>
      <c r="I1109">
        <v>1</v>
      </c>
      <c r="J1109">
        <v>0</v>
      </c>
      <c r="K1109">
        <v>0</v>
      </c>
      <c r="L1109" s="61" t="s">
        <v>4779</v>
      </c>
    </row>
    <row r="1110" spans="6:12">
      <c r="F1110" t="s">
        <v>12266</v>
      </c>
      <c r="G1110" t="s">
        <v>4726</v>
      </c>
      <c r="H1110">
        <v>8</v>
      </c>
      <c r="I1110">
        <v>0</v>
      </c>
      <c r="J1110">
        <v>0</v>
      </c>
      <c r="K1110">
        <v>0</v>
      </c>
      <c r="L1110" s="61" t="s">
        <v>4779</v>
      </c>
    </row>
    <row r="1111" spans="6:12">
      <c r="F1111" t="s">
        <v>12267</v>
      </c>
      <c r="G1111" t="s">
        <v>7369</v>
      </c>
      <c r="H1111">
        <v>7</v>
      </c>
      <c r="I1111">
        <v>1</v>
      </c>
      <c r="J1111">
        <v>0</v>
      </c>
      <c r="K1111">
        <v>0</v>
      </c>
      <c r="L1111" s="61" t="s">
        <v>4779</v>
      </c>
    </row>
    <row r="1112" spans="6:12">
      <c r="F1112" t="s">
        <v>12268</v>
      </c>
      <c r="G1112" t="s">
        <v>12269</v>
      </c>
      <c r="H1112">
        <v>5</v>
      </c>
      <c r="I1112">
        <v>2</v>
      </c>
      <c r="J1112">
        <v>1</v>
      </c>
      <c r="K1112">
        <v>0</v>
      </c>
      <c r="L1112" s="61" t="s">
        <v>4779</v>
      </c>
    </row>
    <row r="1113" spans="6:12">
      <c r="F1113" t="s">
        <v>12270</v>
      </c>
      <c r="G1113" t="s">
        <v>12271</v>
      </c>
      <c r="H1113">
        <v>6</v>
      </c>
      <c r="I1113">
        <v>2</v>
      </c>
      <c r="J1113">
        <v>0</v>
      </c>
      <c r="K1113">
        <v>0</v>
      </c>
      <c r="L1113" s="61" t="s">
        <v>4779</v>
      </c>
    </row>
    <row r="1114" spans="6:12">
      <c r="F1114" t="s">
        <v>12272</v>
      </c>
      <c r="G1114" t="s">
        <v>12273</v>
      </c>
      <c r="H1114">
        <v>6</v>
      </c>
      <c r="I1114">
        <v>1</v>
      </c>
      <c r="J1114">
        <v>1</v>
      </c>
      <c r="K1114">
        <v>0</v>
      </c>
      <c r="L1114" s="61" t="s">
        <v>4779</v>
      </c>
    </row>
    <row r="1115" spans="6:12">
      <c r="F1115" t="s">
        <v>12274</v>
      </c>
      <c r="G1115" t="s">
        <v>12275</v>
      </c>
      <c r="H1115">
        <v>5</v>
      </c>
      <c r="I1115">
        <v>3</v>
      </c>
      <c r="J1115">
        <v>0</v>
      </c>
      <c r="K1115">
        <v>0</v>
      </c>
      <c r="L1115" s="61" t="s">
        <v>4779</v>
      </c>
    </row>
    <row r="1116" spans="6:12">
      <c r="F1116" t="s">
        <v>12276</v>
      </c>
      <c r="G1116" t="s">
        <v>5448</v>
      </c>
      <c r="H1116">
        <v>6</v>
      </c>
      <c r="I1116">
        <v>1</v>
      </c>
      <c r="J1116">
        <v>1</v>
      </c>
      <c r="K1116">
        <v>0</v>
      </c>
      <c r="L1116" s="61" t="s">
        <v>4779</v>
      </c>
    </row>
    <row r="1117" spans="6:12">
      <c r="F1117" t="s">
        <v>12277</v>
      </c>
      <c r="G1117" t="s">
        <v>12278</v>
      </c>
      <c r="H1117">
        <v>7</v>
      </c>
      <c r="I1117">
        <v>1</v>
      </c>
      <c r="J1117">
        <v>0</v>
      </c>
      <c r="K1117">
        <v>0</v>
      </c>
      <c r="L1117" s="61" t="s">
        <v>4779</v>
      </c>
    </row>
    <row r="1118" spans="6:12">
      <c r="F1118" t="s">
        <v>12279</v>
      </c>
      <c r="G1118" t="s">
        <v>12280</v>
      </c>
      <c r="H1118">
        <v>6</v>
      </c>
      <c r="I1118">
        <v>1</v>
      </c>
      <c r="J1118">
        <v>1</v>
      </c>
      <c r="K1118">
        <v>0</v>
      </c>
      <c r="L1118" s="61" t="s">
        <v>4779</v>
      </c>
    </row>
    <row r="1119" spans="6:12">
      <c r="F1119" t="s">
        <v>12281</v>
      </c>
      <c r="G1119" t="s">
        <v>12282</v>
      </c>
      <c r="H1119">
        <v>7</v>
      </c>
      <c r="I1119">
        <v>1</v>
      </c>
      <c r="J1119">
        <v>0</v>
      </c>
      <c r="K1119">
        <v>0</v>
      </c>
      <c r="L1119" s="61" t="s">
        <v>4779</v>
      </c>
    </row>
    <row r="1120" spans="6:12">
      <c r="F1120" t="s">
        <v>12283</v>
      </c>
      <c r="G1120" t="s">
        <v>12284</v>
      </c>
      <c r="H1120">
        <v>6</v>
      </c>
      <c r="I1120">
        <v>2</v>
      </c>
      <c r="J1120">
        <v>0</v>
      </c>
      <c r="K1120">
        <v>0</v>
      </c>
      <c r="L1120" s="61" t="s">
        <v>4808</v>
      </c>
    </row>
    <row r="1121" spans="6:12">
      <c r="F1121" t="s">
        <v>12285</v>
      </c>
      <c r="G1121" t="s">
        <v>11060</v>
      </c>
      <c r="H1121">
        <v>4</v>
      </c>
      <c r="I1121">
        <v>3</v>
      </c>
      <c r="J1121">
        <v>1</v>
      </c>
      <c r="K1121">
        <v>0</v>
      </c>
      <c r="L1121" s="61" t="s">
        <v>4779</v>
      </c>
    </row>
    <row r="1122" spans="6:12">
      <c r="F1122" t="s">
        <v>12286</v>
      </c>
      <c r="G1122" t="s">
        <v>12287</v>
      </c>
      <c r="H1122">
        <v>7</v>
      </c>
      <c r="I1122">
        <v>1</v>
      </c>
      <c r="J1122">
        <v>0</v>
      </c>
      <c r="K1122">
        <v>0</v>
      </c>
      <c r="L1122" s="61" t="s">
        <v>4779</v>
      </c>
    </row>
    <row r="1123" spans="6:12">
      <c r="F1123" t="s">
        <v>12288</v>
      </c>
      <c r="G1123" t="s">
        <v>12289</v>
      </c>
      <c r="H1123">
        <v>6</v>
      </c>
      <c r="I1123">
        <v>2</v>
      </c>
      <c r="J1123">
        <v>0</v>
      </c>
      <c r="K1123">
        <v>0</v>
      </c>
      <c r="L1123" s="61" t="s">
        <v>4779</v>
      </c>
    </row>
    <row r="1124" spans="6:12">
      <c r="F1124" t="s">
        <v>12290</v>
      </c>
      <c r="G1124" t="s">
        <v>12291</v>
      </c>
      <c r="H1124">
        <v>5</v>
      </c>
      <c r="I1124">
        <v>3</v>
      </c>
      <c r="J1124">
        <v>0</v>
      </c>
      <c r="K1124">
        <v>0</v>
      </c>
      <c r="L1124" s="61" t="s">
        <v>4779</v>
      </c>
    </row>
    <row r="1125" spans="6:12">
      <c r="F1125" t="s">
        <v>12292</v>
      </c>
      <c r="G1125" t="s">
        <v>12293</v>
      </c>
      <c r="H1125">
        <v>5</v>
      </c>
      <c r="I1125">
        <v>3</v>
      </c>
      <c r="J1125">
        <v>0</v>
      </c>
      <c r="K1125">
        <v>0</v>
      </c>
      <c r="L1125" s="61" t="s">
        <v>4779</v>
      </c>
    </row>
    <row r="1126" spans="6:12">
      <c r="F1126" t="s">
        <v>12294</v>
      </c>
      <c r="G1126" t="s">
        <v>12295</v>
      </c>
      <c r="H1126">
        <v>6</v>
      </c>
      <c r="I1126">
        <v>2</v>
      </c>
      <c r="J1126">
        <v>0</v>
      </c>
      <c r="K1126">
        <v>0</v>
      </c>
      <c r="L1126" s="61" t="s">
        <v>4779</v>
      </c>
    </row>
    <row r="1127" spans="6:12">
      <c r="F1127" t="s">
        <v>12296</v>
      </c>
      <c r="G1127" t="s">
        <v>12297</v>
      </c>
      <c r="H1127">
        <v>5</v>
      </c>
      <c r="I1127">
        <v>3</v>
      </c>
      <c r="J1127">
        <v>0</v>
      </c>
      <c r="K1127">
        <v>0</v>
      </c>
      <c r="L1127" s="61" t="s">
        <v>4779</v>
      </c>
    </row>
    <row r="1128" spans="6:12">
      <c r="F1128" t="s">
        <v>12298</v>
      </c>
      <c r="G1128" t="s">
        <v>12299</v>
      </c>
      <c r="H1128">
        <v>7</v>
      </c>
      <c r="I1128">
        <v>1</v>
      </c>
      <c r="J1128">
        <v>0</v>
      </c>
      <c r="K1128">
        <v>0</v>
      </c>
      <c r="L1128" s="61" t="s">
        <v>4779</v>
      </c>
    </row>
    <row r="1129" spans="6:12">
      <c r="F1129" t="s">
        <v>12300</v>
      </c>
      <c r="G1129" t="s">
        <v>12301</v>
      </c>
      <c r="H1129">
        <v>8</v>
      </c>
      <c r="I1129">
        <v>0</v>
      </c>
      <c r="J1129">
        <v>0</v>
      </c>
      <c r="K1129">
        <v>0</v>
      </c>
      <c r="L1129" s="61" t="s">
        <v>4779</v>
      </c>
    </row>
    <row r="1130" spans="6:12">
      <c r="F1130" t="s">
        <v>12302</v>
      </c>
      <c r="G1130" t="s">
        <v>12303</v>
      </c>
      <c r="H1130">
        <v>7</v>
      </c>
      <c r="I1130">
        <v>1</v>
      </c>
      <c r="J1130">
        <v>0</v>
      </c>
      <c r="K1130">
        <v>0</v>
      </c>
      <c r="L1130" s="61" t="s">
        <v>4779</v>
      </c>
    </row>
    <row r="1131" spans="6:12">
      <c r="F1131" t="s">
        <v>12304</v>
      </c>
      <c r="G1131" t="s">
        <v>12305</v>
      </c>
      <c r="H1131">
        <v>4</v>
      </c>
      <c r="I1131">
        <v>3</v>
      </c>
      <c r="J1131">
        <v>1</v>
      </c>
      <c r="K1131">
        <v>0</v>
      </c>
      <c r="L1131" s="61" t="s">
        <v>4779</v>
      </c>
    </row>
    <row r="1132" spans="6:12">
      <c r="F1132" t="s">
        <v>12306</v>
      </c>
      <c r="G1132" t="s">
        <v>12307</v>
      </c>
      <c r="H1132">
        <v>7</v>
      </c>
      <c r="I1132">
        <v>0</v>
      </c>
      <c r="J1132">
        <v>1</v>
      </c>
      <c r="K1132">
        <v>0</v>
      </c>
      <c r="L1132" s="61" t="s">
        <v>4779</v>
      </c>
    </row>
    <row r="1133" spans="6:12">
      <c r="F1133" t="s">
        <v>12308</v>
      </c>
      <c r="G1133" t="s">
        <v>6540</v>
      </c>
      <c r="H1133">
        <v>6</v>
      </c>
      <c r="I1133">
        <v>2</v>
      </c>
      <c r="J1133">
        <v>0</v>
      </c>
      <c r="K1133">
        <v>0</v>
      </c>
      <c r="L1133" s="61" t="s">
        <v>4779</v>
      </c>
    </row>
    <row r="1134" spans="6:12">
      <c r="F1134" t="s">
        <v>12309</v>
      </c>
      <c r="G1134" t="s">
        <v>12310</v>
      </c>
      <c r="H1134">
        <v>5</v>
      </c>
      <c r="I1134">
        <v>3</v>
      </c>
      <c r="J1134">
        <v>0</v>
      </c>
      <c r="K1134">
        <v>0</v>
      </c>
      <c r="L1134" s="61" t="s">
        <v>4779</v>
      </c>
    </row>
    <row r="1135" spans="6:12">
      <c r="F1135" t="s">
        <v>12311</v>
      </c>
      <c r="G1135" t="s">
        <v>12312</v>
      </c>
      <c r="H1135">
        <v>5</v>
      </c>
      <c r="I1135">
        <v>3</v>
      </c>
      <c r="J1135">
        <v>0</v>
      </c>
      <c r="K1135">
        <v>0</v>
      </c>
      <c r="L1135" s="61" t="s">
        <v>4779</v>
      </c>
    </row>
    <row r="1136" spans="6:12">
      <c r="F1136" t="s">
        <v>12313</v>
      </c>
      <c r="G1136" t="s">
        <v>12314</v>
      </c>
      <c r="H1136">
        <v>5</v>
      </c>
      <c r="I1136">
        <v>3</v>
      </c>
      <c r="J1136">
        <v>0</v>
      </c>
      <c r="K1136">
        <v>0</v>
      </c>
      <c r="L1136" s="61" t="s">
        <v>4779</v>
      </c>
    </row>
    <row r="1137" spans="6:12">
      <c r="F1137" t="s">
        <v>12315</v>
      </c>
      <c r="G1137" t="s">
        <v>12316</v>
      </c>
      <c r="H1137">
        <v>6</v>
      </c>
      <c r="I1137">
        <v>1</v>
      </c>
      <c r="J1137">
        <v>1</v>
      </c>
      <c r="K1137">
        <v>0</v>
      </c>
      <c r="L1137" s="61" t="s">
        <v>4779</v>
      </c>
    </row>
    <row r="1138" spans="6:12">
      <c r="F1138" t="s">
        <v>12317</v>
      </c>
      <c r="G1138" t="s">
        <v>12318</v>
      </c>
      <c r="H1138">
        <v>6</v>
      </c>
      <c r="I1138">
        <v>2</v>
      </c>
      <c r="J1138">
        <v>0</v>
      </c>
      <c r="K1138">
        <v>0</v>
      </c>
      <c r="L1138" s="61" t="s">
        <v>4779</v>
      </c>
    </row>
    <row r="1139" spans="6:12">
      <c r="F1139" t="s">
        <v>12319</v>
      </c>
      <c r="G1139" t="s">
        <v>12320</v>
      </c>
      <c r="H1139">
        <v>7</v>
      </c>
      <c r="I1139">
        <v>0</v>
      </c>
      <c r="J1139">
        <v>1</v>
      </c>
      <c r="K1139">
        <v>0</v>
      </c>
      <c r="L1139" s="61" t="s">
        <v>4779</v>
      </c>
    </row>
    <row r="1140" spans="6:12">
      <c r="F1140" t="s">
        <v>12321</v>
      </c>
      <c r="G1140" t="s">
        <v>12322</v>
      </c>
      <c r="H1140">
        <v>5</v>
      </c>
      <c r="I1140">
        <v>2</v>
      </c>
      <c r="J1140">
        <v>1</v>
      </c>
      <c r="K1140">
        <v>0</v>
      </c>
      <c r="L1140" s="61" t="s">
        <v>4779</v>
      </c>
    </row>
    <row r="1141" spans="6:12">
      <c r="F1141" t="s">
        <v>12323</v>
      </c>
      <c r="G1141" t="s">
        <v>12324</v>
      </c>
      <c r="H1141">
        <v>7</v>
      </c>
      <c r="I1141">
        <v>1</v>
      </c>
      <c r="J1141">
        <v>0</v>
      </c>
      <c r="K1141">
        <v>0</v>
      </c>
      <c r="L1141" s="61" t="s">
        <v>4779</v>
      </c>
    </row>
    <row r="1142" spans="6:12">
      <c r="F1142" t="s">
        <v>12325</v>
      </c>
      <c r="G1142" t="s">
        <v>5877</v>
      </c>
      <c r="H1142">
        <v>6</v>
      </c>
      <c r="I1142">
        <v>2</v>
      </c>
      <c r="J1142">
        <v>0</v>
      </c>
      <c r="K1142">
        <v>0</v>
      </c>
      <c r="L1142" s="61" t="s">
        <v>4779</v>
      </c>
    </row>
    <row r="1143" spans="6:12">
      <c r="F1143" t="s">
        <v>12326</v>
      </c>
      <c r="G1143" t="s">
        <v>12327</v>
      </c>
      <c r="H1143">
        <v>5</v>
      </c>
      <c r="I1143">
        <v>3</v>
      </c>
      <c r="J1143">
        <v>0</v>
      </c>
      <c r="K1143">
        <v>0</v>
      </c>
      <c r="L1143" s="61" t="s">
        <v>4779</v>
      </c>
    </row>
    <row r="1144" spans="6:12">
      <c r="F1144" t="s">
        <v>12328</v>
      </c>
      <c r="G1144" t="s">
        <v>12329</v>
      </c>
      <c r="H1144">
        <v>6</v>
      </c>
      <c r="I1144">
        <v>2</v>
      </c>
      <c r="J1144">
        <v>0</v>
      </c>
      <c r="K1144">
        <v>0</v>
      </c>
      <c r="L1144" s="61" t="s">
        <v>4779</v>
      </c>
    </row>
    <row r="1145" spans="6:12">
      <c r="F1145" t="s">
        <v>12330</v>
      </c>
      <c r="G1145" t="s">
        <v>12331</v>
      </c>
      <c r="H1145">
        <v>6</v>
      </c>
      <c r="I1145">
        <v>2</v>
      </c>
      <c r="J1145">
        <v>0</v>
      </c>
      <c r="K1145">
        <v>0</v>
      </c>
      <c r="L1145" s="61" t="s">
        <v>4809</v>
      </c>
    </row>
    <row r="1146" spans="6:12">
      <c r="F1146" t="s">
        <v>12332</v>
      </c>
      <c r="G1146" t="s">
        <v>5781</v>
      </c>
      <c r="H1146">
        <v>5</v>
      </c>
      <c r="I1146">
        <v>2</v>
      </c>
      <c r="J1146">
        <v>1</v>
      </c>
      <c r="K1146">
        <v>0</v>
      </c>
      <c r="L1146" s="61" t="s">
        <v>4779</v>
      </c>
    </row>
    <row r="1147" spans="6:12">
      <c r="F1147" t="s">
        <v>12333</v>
      </c>
      <c r="G1147" t="s">
        <v>12334</v>
      </c>
      <c r="H1147">
        <v>4</v>
      </c>
      <c r="I1147">
        <v>3</v>
      </c>
      <c r="J1147">
        <v>1</v>
      </c>
      <c r="K1147">
        <v>0</v>
      </c>
      <c r="L1147" s="61" t="s">
        <v>4779</v>
      </c>
    </row>
    <row r="1148" spans="6:12">
      <c r="F1148" t="s">
        <v>12335</v>
      </c>
      <c r="G1148" t="s">
        <v>12336</v>
      </c>
      <c r="H1148">
        <v>4</v>
      </c>
      <c r="I1148">
        <v>3</v>
      </c>
      <c r="J1148">
        <v>1</v>
      </c>
      <c r="K1148">
        <v>0</v>
      </c>
      <c r="L1148" s="61" t="s">
        <v>4779</v>
      </c>
    </row>
    <row r="1149" spans="6:12">
      <c r="F1149" t="s">
        <v>12337</v>
      </c>
      <c r="G1149" t="s">
        <v>12338</v>
      </c>
      <c r="H1149">
        <v>6</v>
      </c>
      <c r="I1149">
        <v>1</v>
      </c>
      <c r="J1149">
        <v>1</v>
      </c>
      <c r="K1149">
        <v>0</v>
      </c>
      <c r="L1149" s="61" t="s">
        <v>4779</v>
      </c>
    </row>
    <row r="1150" spans="6:12">
      <c r="F1150" t="s">
        <v>12339</v>
      </c>
      <c r="G1150" t="s">
        <v>12340</v>
      </c>
      <c r="H1150">
        <v>5</v>
      </c>
      <c r="I1150">
        <v>3</v>
      </c>
      <c r="J1150">
        <v>0</v>
      </c>
      <c r="K1150">
        <v>0</v>
      </c>
      <c r="L1150" s="61" t="s">
        <v>4779</v>
      </c>
    </row>
    <row r="1151" spans="6:12">
      <c r="F1151" t="s">
        <v>12341</v>
      </c>
      <c r="G1151" t="s">
        <v>6710</v>
      </c>
      <c r="H1151">
        <v>4</v>
      </c>
      <c r="I1151">
        <v>3</v>
      </c>
      <c r="J1151">
        <v>1</v>
      </c>
      <c r="K1151">
        <v>0</v>
      </c>
      <c r="L1151" s="61" t="s">
        <v>4779</v>
      </c>
    </row>
    <row r="1152" spans="6:12">
      <c r="F1152" t="s">
        <v>12342</v>
      </c>
      <c r="G1152" t="s">
        <v>12343</v>
      </c>
      <c r="H1152">
        <v>5</v>
      </c>
      <c r="I1152">
        <v>3</v>
      </c>
      <c r="J1152">
        <v>0</v>
      </c>
      <c r="K1152">
        <v>0</v>
      </c>
      <c r="L1152" s="61" t="s">
        <v>4779</v>
      </c>
    </row>
    <row r="1153" spans="6:12">
      <c r="F1153" t="s">
        <v>12344</v>
      </c>
      <c r="G1153" t="s">
        <v>12345</v>
      </c>
      <c r="H1153">
        <v>6</v>
      </c>
      <c r="I1153">
        <v>2</v>
      </c>
      <c r="J1153">
        <v>0</v>
      </c>
      <c r="K1153">
        <v>0</v>
      </c>
      <c r="L1153" s="61" t="s">
        <v>4779</v>
      </c>
    </row>
    <row r="1154" spans="6:12">
      <c r="F1154" t="s">
        <v>12346</v>
      </c>
      <c r="G1154" t="s">
        <v>10967</v>
      </c>
      <c r="H1154">
        <v>7</v>
      </c>
      <c r="I1154">
        <v>0</v>
      </c>
      <c r="J1154">
        <v>1</v>
      </c>
      <c r="K1154">
        <v>0</v>
      </c>
      <c r="L1154" s="61" t="s">
        <v>4779</v>
      </c>
    </row>
    <row r="1155" spans="6:12">
      <c r="F1155" t="s">
        <v>12347</v>
      </c>
      <c r="G1155" t="s">
        <v>12348</v>
      </c>
      <c r="H1155">
        <v>5</v>
      </c>
      <c r="I1155">
        <v>3</v>
      </c>
      <c r="J1155">
        <v>0</v>
      </c>
      <c r="K1155">
        <v>0</v>
      </c>
      <c r="L1155" s="61" t="s">
        <v>4779</v>
      </c>
    </row>
    <row r="1156" spans="6:12">
      <c r="F1156" t="s">
        <v>12349</v>
      </c>
      <c r="G1156" t="s">
        <v>12350</v>
      </c>
      <c r="H1156">
        <v>5</v>
      </c>
      <c r="I1156">
        <v>2</v>
      </c>
      <c r="J1156">
        <v>1</v>
      </c>
      <c r="K1156">
        <v>0</v>
      </c>
      <c r="L1156" s="61" t="s">
        <v>4779</v>
      </c>
    </row>
    <row r="1157" spans="6:12">
      <c r="F1157" t="s">
        <v>12351</v>
      </c>
      <c r="G1157" t="s">
        <v>5213</v>
      </c>
      <c r="H1157">
        <v>6</v>
      </c>
      <c r="I1157">
        <v>1</v>
      </c>
      <c r="J1157">
        <v>1</v>
      </c>
      <c r="K1157">
        <v>0</v>
      </c>
      <c r="L1157" s="61" t="s">
        <v>4779</v>
      </c>
    </row>
    <row r="1158" spans="6:12">
      <c r="F1158" t="s">
        <v>12352</v>
      </c>
      <c r="G1158" t="s">
        <v>12353</v>
      </c>
      <c r="H1158">
        <v>6</v>
      </c>
      <c r="I1158">
        <v>2</v>
      </c>
      <c r="J1158">
        <v>0</v>
      </c>
      <c r="K1158">
        <v>0</v>
      </c>
      <c r="L1158" s="61" t="s">
        <v>4779</v>
      </c>
    </row>
    <row r="1159" spans="6:12">
      <c r="F1159" t="s">
        <v>12354</v>
      </c>
      <c r="G1159" t="s">
        <v>4881</v>
      </c>
      <c r="H1159">
        <v>5</v>
      </c>
      <c r="I1159">
        <v>3</v>
      </c>
      <c r="J1159">
        <v>0</v>
      </c>
      <c r="K1159">
        <v>0</v>
      </c>
      <c r="L1159" s="61" t="s">
        <v>4779</v>
      </c>
    </row>
    <row r="1160" spans="6:12">
      <c r="F1160" t="s">
        <v>12355</v>
      </c>
      <c r="G1160" t="s">
        <v>12356</v>
      </c>
      <c r="H1160">
        <v>6</v>
      </c>
      <c r="I1160">
        <v>2</v>
      </c>
      <c r="J1160">
        <v>0</v>
      </c>
      <c r="K1160">
        <v>0</v>
      </c>
      <c r="L1160" s="61" t="s">
        <v>4779</v>
      </c>
    </row>
    <row r="1161" spans="6:12">
      <c r="F1161" t="s">
        <v>12357</v>
      </c>
      <c r="G1161" t="s">
        <v>12358</v>
      </c>
      <c r="H1161">
        <v>8</v>
      </c>
      <c r="I1161">
        <v>0</v>
      </c>
      <c r="J1161">
        <v>0</v>
      </c>
      <c r="K1161">
        <v>0</v>
      </c>
      <c r="L1161" s="61" t="s">
        <v>4779</v>
      </c>
    </row>
    <row r="1162" spans="6:12">
      <c r="F1162" t="s">
        <v>12359</v>
      </c>
      <c r="G1162" t="s">
        <v>12360</v>
      </c>
      <c r="H1162">
        <v>7</v>
      </c>
      <c r="I1162">
        <v>1</v>
      </c>
      <c r="J1162">
        <v>0</v>
      </c>
      <c r="K1162">
        <v>0</v>
      </c>
      <c r="L1162" s="61" t="s">
        <v>4779</v>
      </c>
    </row>
    <row r="1163" spans="6:12">
      <c r="F1163" t="s">
        <v>12361</v>
      </c>
      <c r="G1163" t="s">
        <v>5374</v>
      </c>
      <c r="H1163">
        <v>6</v>
      </c>
      <c r="I1163">
        <v>1</v>
      </c>
      <c r="J1163">
        <v>1</v>
      </c>
      <c r="K1163">
        <v>0</v>
      </c>
      <c r="L1163" s="61" t="s">
        <v>4779</v>
      </c>
    </row>
    <row r="1164" spans="6:12">
      <c r="F1164" t="s">
        <v>12362</v>
      </c>
      <c r="G1164" t="s">
        <v>12363</v>
      </c>
      <c r="H1164">
        <v>4</v>
      </c>
      <c r="I1164">
        <v>3</v>
      </c>
      <c r="J1164">
        <v>1</v>
      </c>
      <c r="K1164">
        <v>0</v>
      </c>
      <c r="L1164" s="61" t="s">
        <v>4779</v>
      </c>
    </row>
    <row r="1165" spans="6:12">
      <c r="F1165" t="s">
        <v>12364</v>
      </c>
      <c r="G1165" t="s">
        <v>12365</v>
      </c>
      <c r="H1165">
        <v>7</v>
      </c>
      <c r="I1165">
        <v>1</v>
      </c>
      <c r="J1165">
        <v>0</v>
      </c>
      <c r="K1165">
        <v>0</v>
      </c>
      <c r="L1165" s="61" t="s">
        <v>4808</v>
      </c>
    </row>
    <row r="1166" spans="6:12">
      <c r="F1166" t="s">
        <v>12366</v>
      </c>
      <c r="G1166" t="s">
        <v>12367</v>
      </c>
      <c r="H1166">
        <v>6</v>
      </c>
      <c r="I1166">
        <v>1</v>
      </c>
      <c r="J1166">
        <v>1</v>
      </c>
      <c r="K1166">
        <v>0</v>
      </c>
      <c r="L1166" s="61" t="s">
        <v>4779</v>
      </c>
    </row>
    <row r="1167" spans="6:12">
      <c r="F1167" t="s">
        <v>12368</v>
      </c>
      <c r="G1167" t="s">
        <v>10924</v>
      </c>
      <c r="H1167">
        <v>7</v>
      </c>
      <c r="I1167">
        <v>1</v>
      </c>
      <c r="J1167">
        <v>0</v>
      </c>
      <c r="K1167">
        <v>0</v>
      </c>
      <c r="L1167" s="61" t="s">
        <v>4779</v>
      </c>
    </row>
    <row r="1168" spans="6:12">
      <c r="F1168" t="s">
        <v>12369</v>
      </c>
      <c r="G1168" t="s">
        <v>4673</v>
      </c>
      <c r="H1168">
        <v>4</v>
      </c>
      <c r="I1168">
        <v>3</v>
      </c>
      <c r="J1168">
        <v>1</v>
      </c>
      <c r="K1168">
        <v>0</v>
      </c>
      <c r="L1168" s="61" t="s">
        <v>4779</v>
      </c>
    </row>
    <row r="1169" spans="6:12">
      <c r="F1169" t="s">
        <v>12370</v>
      </c>
      <c r="G1169" t="s">
        <v>10932</v>
      </c>
      <c r="H1169">
        <v>5</v>
      </c>
      <c r="I1169">
        <v>2</v>
      </c>
      <c r="J1169">
        <v>1</v>
      </c>
      <c r="K1169">
        <v>0</v>
      </c>
      <c r="L1169" s="61" t="s">
        <v>4779</v>
      </c>
    </row>
    <row r="1170" spans="6:12">
      <c r="F1170" t="s">
        <v>12371</v>
      </c>
      <c r="G1170" t="s">
        <v>12372</v>
      </c>
      <c r="H1170">
        <v>7</v>
      </c>
      <c r="I1170">
        <v>1</v>
      </c>
      <c r="J1170">
        <v>0</v>
      </c>
      <c r="K1170">
        <v>0</v>
      </c>
      <c r="L1170" s="61" t="s">
        <v>4779</v>
      </c>
    </row>
    <row r="1171" spans="6:12">
      <c r="F1171" t="s">
        <v>12373</v>
      </c>
      <c r="G1171" t="s">
        <v>12374</v>
      </c>
      <c r="H1171">
        <v>6</v>
      </c>
      <c r="I1171">
        <v>2</v>
      </c>
      <c r="J1171">
        <v>0</v>
      </c>
      <c r="K1171">
        <v>0</v>
      </c>
      <c r="L1171" s="61" t="s">
        <v>4779</v>
      </c>
    </row>
    <row r="1172" spans="6:12">
      <c r="F1172" t="s">
        <v>12375</v>
      </c>
      <c r="G1172" t="s">
        <v>5708</v>
      </c>
      <c r="H1172">
        <v>7</v>
      </c>
      <c r="I1172">
        <v>0</v>
      </c>
      <c r="J1172">
        <v>1</v>
      </c>
      <c r="K1172">
        <v>0</v>
      </c>
      <c r="L1172" s="61" t="s">
        <v>4779</v>
      </c>
    </row>
    <row r="1173" spans="6:12">
      <c r="F1173" t="s">
        <v>12376</v>
      </c>
      <c r="G1173" t="s">
        <v>12377</v>
      </c>
      <c r="H1173">
        <v>8</v>
      </c>
      <c r="I1173">
        <v>0</v>
      </c>
      <c r="J1173">
        <v>0</v>
      </c>
      <c r="K1173">
        <v>0</v>
      </c>
      <c r="L1173" s="61" t="s">
        <v>4779</v>
      </c>
    </row>
    <row r="1174" spans="6:12">
      <c r="F1174" t="s">
        <v>12378</v>
      </c>
      <c r="G1174" t="s">
        <v>12379</v>
      </c>
      <c r="H1174">
        <v>8</v>
      </c>
      <c r="I1174">
        <v>0</v>
      </c>
      <c r="J1174">
        <v>0</v>
      </c>
      <c r="K1174">
        <v>0</v>
      </c>
      <c r="L1174" s="61" t="s">
        <v>4779</v>
      </c>
    </row>
    <row r="1175" spans="6:12">
      <c r="F1175" t="s">
        <v>12380</v>
      </c>
      <c r="G1175" t="s">
        <v>12381</v>
      </c>
      <c r="H1175">
        <v>6</v>
      </c>
      <c r="I1175">
        <v>2</v>
      </c>
      <c r="J1175">
        <v>0</v>
      </c>
      <c r="K1175">
        <v>0</v>
      </c>
      <c r="L1175" s="61" t="s">
        <v>4779</v>
      </c>
    </row>
    <row r="1176" spans="6:12">
      <c r="F1176" t="s">
        <v>12382</v>
      </c>
      <c r="G1176" t="s">
        <v>12383</v>
      </c>
      <c r="H1176">
        <v>6</v>
      </c>
      <c r="I1176">
        <v>2</v>
      </c>
      <c r="J1176">
        <v>0</v>
      </c>
      <c r="K1176">
        <v>0</v>
      </c>
      <c r="L1176" s="61" t="s">
        <v>4779</v>
      </c>
    </row>
    <row r="1177" spans="6:12">
      <c r="F1177" t="s">
        <v>12384</v>
      </c>
      <c r="G1177" t="s">
        <v>5368</v>
      </c>
      <c r="H1177">
        <v>6</v>
      </c>
      <c r="I1177">
        <v>2</v>
      </c>
      <c r="J1177">
        <v>0</v>
      </c>
      <c r="K1177">
        <v>0</v>
      </c>
      <c r="L1177" s="61" t="s">
        <v>4779</v>
      </c>
    </row>
    <row r="1178" spans="6:12">
      <c r="F1178" t="s">
        <v>12385</v>
      </c>
      <c r="G1178" t="s">
        <v>12386</v>
      </c>
      <c r="H1178">
        <v>7</v>
      </c>
      <c r="I1178">
        <v>1</v>
      </c>
      <c r="J1178">
        <v>0</v>
      </c>
      <c r="K1178">
        <v>0</v>
      </c>
      <c r="L1178" s="61" t="s">
        <v>4779</v>
      </c>
    </row>
    <row r="1179" spans="6:12">
      <c r="F1179" t="s">
        <v>12387</v>
      </c>
      <c r="G1179" t="s">
        <v>7445</v>
      </c>
      <c r="H1179">
        <v>7</v>
      </c>
      <c r="I1179">
        <v>1</v>
      </c>
      <c r="J1179">
        <v>0</v>
      </c>
      <c r="K1179">
        <v>0</v>
      </c>
      <c r="L1179" s="61" t="s">
        <v>4779</v>
      </c>
    </row>
    <row r="1180" spans="6:12">
      <c r="F1180" t="s">
        <v>12388</v>
      </c>
      <c r="G1180" t="s">
        <v>12389</v>
      </c>
      <c r="H1180">
        <v>6</v>
      </c>
      <c r="I1180">
        <v>1</v>
      </c>
      <c r="J1180">
        <v>1</v>
      </c>
      <c r="K1180">
        <v>0</v>
      </c>
      <c r="L1180" s="61" t="s">
        <v>4779</v>
      </c>
    </row>
    <row r="1181" spans="6:12">
      <c r="F1181" t="s">
        <v>7045</v>
      </c>
      <c r="G1181" t="s">
        <v>12390</v>
      </c>
      <c r="H1181">
        <v>6</v>
      </c>
      <c r="I1181">
        <v>2</v>
      </c>
      <c r="J1181">
        <v>0</v>
      </c>
      <c r="K1181">
        <v>0</v>
      </c>
      <c r="L1181" s="61" t="s">
        <v>4779</v>
      </c>
    </row>
    <row r="1182" spans="6:12">
      <c r="F1182" t="s">
        <v>12391</v>
      </c>
      <c r="G1182" t="s">
        <v>12392</v>
      </c>
      <c r="H1182">
        <v>6</v>
      </c>
      <c r="I1182">
        <v>2</v>
      </c>
      <c r="J1182">
        <v>0</v>
      </c>
      <c r="K1182">
        <v>0</v>
      </c>
      <c r="L1182" s="61" t="s">
        <v>4779</v>
      </c>
    </row>
    <row r="1183" spans="6:12">
      <c r="F1183" t="s">
        <v>12393</v>
      </c>
      <c r="G1183" t="s">
        <v>12394</v>
      </c>
      <c r="H1183">
        <v>5</v>
      </c>
      <c r="I1183">
        <v>3</v>
      </c>
      <c r="J1183">
        <v>0</v>
      </c>
      <c r="K1183">
        <v>0</v>
      </c>
      <c r="L1183" s="61" t="s">
        <v>4779</v>
      </c>
    </row>
    <row r="1184" spans="6:12">
      <c r="F1184" t="s">
        <v>12395</v>
      </c>
      <c r="G1184" t="s">
        <v>12396</v>
      </c>
      <c r="H1184">
        <v>6</v>
      </c>
      <c r="I1184">
        <v>2</v>
      </c>
      <c r="J1184">
        <v>0</v>
      </c>
      <c r="K1184">
        <v>0</v>
      </c>
      <c r="L1184" s="61" t="s">
        <v>4779</v>
      </c>
    </row>
    <row r="1185" spans="6:12">
      <c r="F1185" t="s">
        <v>12397</v>
      </c>
      <c r="G1185" t="s">
        <v>12398</v>
      </c>
      <c r="H1185">
        <v>6</v>
      </c>
      <c r="I1185">
        <v>2</v>
      </c>
      <c r="J1185">
        <v>0</v>
      </c>
      <c r="K1185">
        <v>0</v>
      </c>
      <c r="L1185" s="61" t="s">
        <v>4779</v>
      </c>
    </row>
    <row r="1186" spans="6:12">
      <c r="F1186" t="s">
        <v>12399</v>
      </c>
      <c r="G1186" t="s">
        <v>12400</v>
      </c>
      <c r="H1186">
        <v>5</v>
      </c>
      <c r="I1186">
        <v>3</v>
      </c>
      <c r="J1186">
        <v>0</v>
      </c>
      <c r="K1186">
        <v>0</v>
      </c>
      <c r="L1186" s="61" t="s">
        <v>4779</v>
      </c>
    </row>
    <row r="1187" spans="6:12">
      <c r="F1187" t="s">
        <v>12401</v>
      </c>
      <c r="G1187" t="s">
        <v>12402</v>
      </c>
      <c r="H1187">
        <v>6</v>
      </c>
      <c r="I1187">
        <v>2</v>
      </c>
      <c r="J1187">
        <v>0</v>
      </c>
      <c r="K1187">
        <v>0</v>
      </c>
      <c r="L1187" s="61" t="s">
        <v>4779</v>
      </c>
    </row>
    <row r="1188" spans="6:12">
      <c r="F1188" t="s">
        <v>12403</v>
      </c>
      <c r="G1188" t="s">
        <v>12404</v>
      </c>
      <c r="H1188">
        <v>6</v>
      </c>
      <c r="I1188">
        <v>2</v>
      </c>
      <c r="J1188">
        <v>0</v>
      </c>
      <c r="K1188">
        <v>0</v>
      </c>
      <c r="L1188" s="61" t="s">
        <v>4779</v>
      </c>
    </row>
    <row r="1189" spans="6:12">
      <c r="F1189" t="s">
        <v>12405</v>
      </c>
      <c r="G1189" t="s">
        <v>12406</v>
      </c>
      <c r="H1189">
        <v>7</v>
      </c>
      <c r="I1189">
        <v>1</v>
      </c>
      <c r="J1189">
        <v>0</v>
      </c>
      <c r="K1189">
        <v>0</v>
      </c>
      <c r="L1189" s="61" t="s">
        <v>4779</v>
      </c>
    </row>
    <row r="1190" spans="6:12">
      <c r="F1190" t="s">
        <v>12407</v>
      </c>
      <c r="G1190" t="s">
        <v>12408</v>
      </c>
      <c r="H1190">
        <v>6</v>
      </c>
      <c r="I1190">
        <v>2</v>
      </c>
      <c r="J1190">
        <v>0</v>
      </c>
      <c r="K1190">
        <v>0</v>
      </c>
      <c r="L1190" s="61" t="s">
        <v>4779</v>
      </c>
    </row>
    <row r="1191" spans="6:12">
      <c r="F1191" t="s">
        <v>12409</v>
      </c>
      <c r="G1191" t="s">
        <v>4851</v>
      </c>
      <c r="H1191">
        <v>4</v>
      </c>
      <c r="I1191">
        <v>3</v>
      </c>
      <c r="J1191">
        <v>1</v>
      </c>
      <c r="K1191">
        <v>0</v>
      </c>
      <c r="L1191" s="61" t="s">
        <v>4779</v>
      </c>
    </row>
    <row r="1192" spans="6:12">
      <c r="F1192" t="s">
        <v>12410</v>
      </c>
      <c r="G1192" t="s">
        <v>12411</v>
      </c>
      <c r="H1192">
        <v>6</v>
      </c>
      <c r="I1192">
        <v>2</v>
      </c>
      <c r="J1192">
        <v>0</v>
      </c>
      <c r="K1192">
        <v>0</v>
      </c>
      <c r="L1192" s="61" t="s">
        <v>4779</v>
      </c>
    </row>
    <row r="1193" spans="6:12">
      <c r="F1193" t="s">
        <v>12412</v>
      </c>
      <c r="G1193" t="s">
        <v>6668</v>
      </c>
      <c r="H1193">
        <v>6</v>
      </c>
      <c r="I1193">
        <v>2</v>
      </c>
      <c r="J1193">
        <v>0</v>
      </c>
      <c r="K1193">
        <v>0</v>
      </c>
      <c r="L1193" s="61" t="s">
        <v>4779</v>
      </c>
    </row>
    <row r="1194" spans="6:12">
      <c r="F1194" t="s">
        <v>12413</v>
      </c>
      <c r="G1194" t="s">
        <v>12414</v>
      </c>
      <c r="H1194">
        <v>5</v>
      </c>
      <c r="I1194">
        <v>3</v>
      </c>
      <c r="J1194">
        <v>0</v>
      </c>
      <c r="K1194">
        <v>0</v>
      </c>
      <c r="L1194" s="61" t="s">
        <v>4779</v>
      </c>
    </row>
    <row r="1195" spans="6:12">
      <c r="F1195" t="s">
        <v>12415</v>
      </c>
      <c r="G1195" t="s">
        <v>7820</v>
      </c>
      <c r="H1195">
        <v>5</v>
      </c>
      <c r="I1195">
        <v>3</v>
      </c>
      <c r="J1195">
        <v>0</v>
      </c>
      <c r="K1195">
        <v>0</v>
      </c>
      <c r="L1195" s="61" t="s">
        <v>4779</v>
      </c>
    </row>
    <row r="1196" spans="6:12">
      <c r="F1196" t="s">
        <v>12416</v>
      </c>
      <c r="G1196" t="s">
        <v>5547</v>
      </c>
      <c r="H1196">
        <v>6</v>
      </c>
      <c r="I1196">
        <v>2</v>
      </c>
      <c r="J1196">
        <v>0</v>
      </c>
      <c r="K1196">
        <v>0</v>
      </c>
      <c r="L1196" s="61" t="s">
        <v>4779</v>
      </c>
    </row>
    <row r="1197" spans="6:12">
      <c r="F1197" t="s">
        <v>12417</v>
      </c>
      <c r="G1197" t="s">
        <v>12418</v>
      </c>
      <c r="H1197">
        <v>7</v>
      </c>
      <c r="I1197">
        <v>1</v>
      </c>
      <c r="J1197">
        <v>0</v>
      </c>
      <c r="K1197">
        <v>0</v>
      </c>
      <c r="L1197" s="61" t="s">
        <v>4779</v>
      </c>
    </row>
    <row r="1198" spans="6:12">
      <c r="F1198" t="s">
        <v>12419</v>
      </c>
      <c r="G1198" t="s">
        <v>12420</v>
      </c>
      <c r="H1198">
        <v>6</v>
      </c>
      <c r="I1198">
        <v>2</v>
      </c>
      <c r="J1198">
        <v>0</v>
      </c>
      <c r="K1198">
        <v>0</v>
      </c>
      <c r="L1198" s="61" t="s">
        <v>4779</v>
      </c>
    </row>
    <row r="1199" spans="6:12">
      <c r="F1199" t="s">
        <v>12421</v>
      </c>
      <c r="G1199" t="s">
        <v>5790</v>
      </c>
      <c r="H1199">
        <v>5</v>
      </c>
      <c r="I1199">
        <v>3</v>
      </c>
      <c r="J1199">
        <v>0</v>
      </c>
      <c r="K1199">
        <v>0</v>
      </c>
      <c r="L1199" s="61" t="s">
        <v>4779</v>
      </c>
    </row>
    <row r="1200" spans="6:12">
      <c r="F1200" t="s">
        <v>12422</v>
      </c>
      <c r="G1200" t="s">
        <v>5654</v>
      </c>
      <c r="H1200">
        <v>3</v>
      </c>
      <c r="I1200">
        <v>3</v>
      </c>
      <c r="J1200">
        <v>2</v>
      </c>
      <c r="K1200">
        <v>0</v>
      </c>
      <c r="L1200" s="61" t="s">
        <v>4779</v>
      </c>
    </row>
    <row r="1201" spans="6:12">
      <c r="F1201" t="s">
        <v>12423</v>
      </c>
      <c r="G1201" t="s">
        <v>12424</v>
      </c>
      <c r="H1201">
        <v>4</v>
      </c>
      <c r="I1201">
        <v>3</v>
      </c>
      <c r="J1201">
        <v>1</v>
      </c>
      <c r="K1201">
        <v>0</v>
      </c>
      <c r="L1201" s="61" t="s">
        <v>4779</v>
      </c>
    </row>
    <row r="1202" spans="6:12">
      <c r="F1202" t="s">
        <v>12425</v>
      </c>
      <c r="G1202" t="s">
        <v>12426</v>
      </c>
      <c r="H1202">
        <v>6</v>
      </c>
      <c r="I1202">
        <v>1</v>
      </c>
      <c r="J1202">
        <v>1</v>
      </c>
      <c r="K1202">
        <v>0</v>
      </c>
      <c r="L1202" s="61" t="s">
        <v>4779</v>
      </c>
    </row>
    <row r="1203" spans="6:12">
      <c r="F1203" t="s">
        <v>12427</v>
      </c>
      <c r="G1203" t="s">
        <v>5063</v>
      </c>
      <c r="H1203">
        <v>4</v>
      </c>
      <c r="I1203">
        <v>2</v>
      </c>
      <c r="J1203">
        <v>2</v>
      </c>
      <c r="K1203">
        <v>0</v>
      </c>
      <c r="L1203" s="61" t="s">
        <v>4779</v>
      </c>
    </row>
    <row r="1204" spans="6:12">
      <c r="F1204" t="s">
        <v>12428</v>
      </c>
      <c r="G1204" t="s">
        <v>12429</v>
      </c>
      <c r="H1204">
        <v>5</v>
      </c>
      <c r="I1204">
        <v>1</v>
      </c>
      <c r="J1204">
        <v>2</v>
      </c>
      <c r="K1204">
        <v>0</v>
      </c>
      <c r="L1204" s="61" t="s">
        <v>4779</v>
      </c>
    </row>
    <row r="1205" spans="6:12">
      <c r="F1205" t="s">
        <v>12430</v>
      </c>
      <c r="G1205" t="s">
        <v>4909</v>
      </c>
      <c r="H1205">
        <v>6</v>
      </c>
      <c r="I1205">
        <v>1</v>
      </c>
      <c r="J1205">
        <v>1</v>
      </c>
      <c r="K1205">
        <v>0</v>
      </c>
      <c r="L1205" s="61" t="s">
        <v>4779</v>
      </c>
    </row>
    <row r="1206" spans="6:12">
      <c r="F1206" t="s">
        <v>12431</v>
      </c>
      <c r="G1206" t="s">
        <v>12432</v>
      </c>
      <c r="H1206">
        <v>6</v>
      </c>
      <c r="I1206">
        <v>2</v>
      </c>
      <c r="J1206">
        <v>0</v>
      </c>
      <c r="K1206">
        <v>0</v>
      </c>
      <c r="L1206" s="61" t="s">
        <v>4779</v>
      </c>
    </row>
    <row r="1207" spans="6:12">
      <c r="F1207" t="s">
        <v>12433</v>
      </c>
      <c r="G1207" t="s">
        <v>12434</v>
      </c>
      <c r="H1207">
        <v>6</v>
      </c>
      <c r="I1207">
        <v>2</v>
      </c>
      <c r="J1207">
        <v>0</v>
      </c>
      <c r="K1207">
        <v>0</v>
      </c>
      <c r="L1207" s="61" t="s">
        <v>4779</v>
      </c>
    </row>
    <row r="1208" spans="6:12">
      <c r="F1208" t="s">
        <v>12435</v>
      </c>
      <c r="G1208" t="s">
        <v>5444</v>
      </c>
      <c r="H1208">
        <v>4</v>
      </c>
      <c r="I1208">
        <v>2</v>
      </c>
      <c r="J1208">
        <v>2</v>
      </c>
      <c r="K1208">
        <v>0</v>
      </c>
      <c r="L1208" s="61" t="s">
        <v>4779</v>
      </c>
    </row>
    <row r="1209" spans="6:12">
      <c r="F1209" t="s">
        <v>12436</v>
      </c>
      <c r="G1209" t="s">
        <v>12437</v>
      </c>
      <c r="H1209">
        <v>4</v>
      </c>
      <c r="I1209">
        <v>2</v>
      </c>
      <c r="J1209">
        <v>2</v>
      </c>
      <c r="K1209">
        <v>0</v>
      </c>
      <c r="L1209" s="61" t="s">
        <v>4779</v>
      </c>
    </row>
    <row r="1210" spans="6:12">
      <c r="F1210" t="s">
        <v>12438</v>
      </c>
      <c r="G1210" t="s">
        <v>12439</v>
      </c>
      <c r="H1210">
        <v>6</v>
      </c>
      <c r="I1210">
        <v>2</v>
      </c>
      <c r="J1210">
        <v>0</v>
      </c>
      <c r="K1210">
        <v>0</v>
      </c>
      <c r="L1210" s="61" t="s">
        <v>4779</v>
      </c>
    </row>
    <row r="1211" spans="6:12">
      <c r="F1211" t="s">
        <v>12440</v>
      </c>
      <c r="G1211" t="s">
        <v>12441</v>
      </c>
      <c r="H1211">
        <v>7</v>
      </c>
      <c r="I1211">
        <v>1</v>
      </c>
      <c r="J1211">
        <v>0</v>
      </c>
      <c r="K1211">
        <v>0</v>
      </c>
      <c r="L1211" s="61" t="s">
        <v>4779</v>
      </c>
    </row>
    <row r="1212" spans="6:12">
      <c r="F1212" t="s">
        <v>12442</v>
      </c>
      <c r="G1212" t="s">
        <v>5721</v>
      </c>
      <c r="H1212">
        <v>4</v>
      </c>
      <c r="I1212">
        <v>3</v>
      </c>
      <c r="J1212">
        <v>1</v>
      </c>
      <c r="K1212">
        <v>0</v>
      </c>
      <c r="L1212" s="61" t="s">
        <v>4779</v>
      </c>
    </row>
    <row r="1213" spans="6:12">
      <c r="F1213" t="s">
        <v>12443</v>
      </c>
      <c r="G1213" t="s">
        <v>5236</v>
      </c>
      <c r="H1213">
        <v>5</v>
      </c>
      <c r="I1213">
        <v>3</v>
      </c>
      <c r="J1213">
        <v>0</v>
      </c>
      <c r="K1213">
        <v>0</v>
      </c>
      <c r="L1213" s="61" t="s">
        <v>4779</v>
      </c>
    </row>
    <row r="1214" spans="6:12">
      <c r="F1214" t="s">
        <v>12444</v>
      </c>
      <c r="G1214" t="s">
        <v>5546</v>
      </c>
      <c r="H1214">
        <v>4</v>
      </c>
      <c r="I1214">
        <v>3</v>
      </c>
      <c r="J1214">
        <v>1</v>
      </c>
      <c r="K1214">
        <v>0</v>
      </c>
      <c r="L1214" s="61" t="s">
        <v>4779</v>
      </c>
    </row>
    <row r="1215" spans="6:12">
      <c r="F1215" t="s">
        <v>12445</v>
      </c>
      <c r="G1215" t="s">
        <v>12446</v>
      </c>
      <c r="H1215">
        <v>6</v>
      </c>
      <c r="I1215">
        <v>2</v>
      </c>
      <c r="J1215">
        <v>0</v>
      </c>
      <c r="K1215">
        <v>0</v>
      </c>
      <c r="L1215" s="61" t="s">
        <v>4779</v>
      </c>
    </row>
    <row r="1216" spans="6:12">
      <c r="F1216" t="s">
        <v>12447</v>
      </c>
      <c r="G1216" t="s">
        <v>10962</v>
      </c>
      <c r="H1216">
        <v>5</v>
      </c>
      <c r="I1216">
        <v>2</v>
      </c>
      <c r="J1216">
        <v>1</v>
      </c>
      <c r="K1216">
        <v>0</v>
      </c>
      <c r="L1216" s="61" t="s">
        <v>4779</v>
      </c>
    </row>
    <row r="1217" spans="6:12">
      <c r="F1217" t="s">
        <v>12448</v>
      </c>
      <c r="G1217" t="s">
        <v>12449</v>
      </c>
      <c r="H1217">
        <v>5</v>
      </c>
      <c r="I1217">
        <v>3</v>
      </c>
      <c r="J1217">
        <v>0</v>
      </c>
      <c r="K1217">
        <v>0</v>
      </c>
      <c r="L1217" s="61" t="s">
        <v>4779</v>
      </c>
    </row>
    <row r="1218" spans="6:12">
      <c r="F1218" t="s">
        <v>12450</v>
      </c>
      <c r="G1218" t="s">
        <v>12451</v>
      </c>
      <c r="H1218">
        <v>5</v>
      </c>
      <c r="I1218">
        <v>3</v>
      </c>
      <c r="J1218">
        <v>0</v>
      </c>
      <c r="K1218">
        <v>0</v>
      </c>
      <c r="L1218" s="61" t="s">
        <v>4779</v>
      </c>
    </row>
    <row r="1219" spans="6:12">
      <c r="F1219" t="s">
        <v>12452</v>
      </c>
      <c r="G1219" t="s">
        <v>4577</v>
      </c>
      <c r="H1219">
        <v>4</v>
      </c>
      <c r="I1219">
        <v>3</v>
      </c>
      <c r="J1219">
        <v>1</v>
      </c>
      <c r="K1219">
        <v>0</v>
      </c>
      <c r="L1219" s="61" t="s">
        <v>4779</v>
      </c>
    </row>
    <row r="1220" spans="6:12">
      <c r="F1220" t="s">
        <v>12453</v>
      </c>
      <c r="G1220" t="s">
        <v>12454</v>
      </c>
      <c r="H1220">
        <v>6</v>
      </c>
      <c r="I1220">
        <v>1</v>
      </c>
      <c r="J1220">
        <v>1</v>
      </c>
      <c r="K1220">
        <v>0</v>
      </c>
      <c r="L1220" s="61" t="s">
        <v>4779</v>
      </c>
    </row>
    <row r="1221" spans="6:12">
      <c r="F1221" t="s">
        <v>12455</v>
      </c>
      <c r="G1221" t="s">
        <v>12456</v>
      </c>
      <c r="H1221">
        <v>6</v>
      </c>
      <c r="I1221">
        <v>2</v>
      </c>
      <c r="J1221">
        <v>0</v>
      </c>
      <c r="K1221">
        <v>0</v>
      </c>
      <c r="L1221" s="61" t="s">
        <v>4779</v>
      </c>
    </row>
    <row r="1222" spans="6:12">
      <c r="F1222" t="s">
        <v>12457</v>
      </c>
      <c r="G1222" t="s">
        <v>12458</v>
      </c>
      <c r="H1222">
        <v>5</v>
      </c>
      <c r="I1222">
        <v>1</v>
      </c>
      <c r="J1222">
        <v>2</v>
      </c>
      <c r="K1222">
        <v>0</v>
      </c>
      <c r="L1222" s="61" t="s">
        <v>4779</v>
      </c>
    </row>
    <row r="1223" spans="6:12">
      <c r="F1223" t="s">
        <v>12459</v>
      </c>
      <c r="G1223" t="s">
        <v>12460</v>
      </c>
      <c r="H1223">
        <v>5</v>
      </c>
      <c r="I1223">
        <v>1</v>
      </c>
      <c r="J1223">
        <v>2</v>
      </c>
      <c r="K1223">
        <v>0</v>
      </c>
      <c r="L1223" s="61" t="s">
        <v>4779</v>
      </c>
    </row>
    <row r="1224" spans="6:12">
      <c r="F1224" t="s">
        <v>12461</v>
      </c>
      <c r="G1224" t="s">
        <v>12462</v>
      </c>
      <c r="H1224">
        <v>5</v>
      </c>
      <c r="I1224">
        <v>3</v>
      </c>
      <c r="J1224">
        <v>0</v>
      </c>
      <c r="K1224">
        <v>0</v>
      </c>
      <c r="L1224" s="61" t="s">
        <v>4779</v>
      </c>
    </row>
    <row r="1225" spans="6:12">
      <c r="F1225" t="s">
        <v>12463</v>
      </c>
      <c r="G1225" t="s">
        <v>12464</v>
      </c>
      <c r="H1225">
        <v>4</v>
      </c>
      <c r="I1225">
        <v>3</v>
      </c>
      <c r="J1225">
        <v>1</v>
      </c>
      <c r="K1225">
        <v>0</v>
      </c>
      <c r="L1225" s="61" t="s">
        <v>4779</v>
      </c>
    </row>
    <row r="1226" spans="6:12">
      <c r="F1226" t="s">
        <v>12465</v>
      </c>
      <c r="G1226" t="s">
        <v>12466</v>
      </c>
      <c r="H1226">
        <v>5</v>
      </c>
      <c r="I1226">
        <v>1</v>
      </c>
      <c r="J1226">
        <v>2</v>
      </c>
      <c r="K1226">
        <v>0</v>
      </c>
      <c r="L1226" s="61" t="s">
        <v>4779</v>
      </c>
    </row>
    <row r="1227" spans="6:12">
      <c r="F1227" t="s">
        <v>12467</v>
      </c>
      <c r="G1227" t="s">
        <v>5684</v>
      </c>
      <c r="H1227">
        <v>5</v>
      </c>
      <c r="I1227">
        <v>2</v>
      </c>
      <c r="J1227">
        <v>1</v>
      </c>
      <c r="K1227">
        <v>0</v>
      </c>
      <c r="L1227" s="61" t="s">
        <v>4779</v>
      </c>
    </row>
    <row r="1228" spans="6:12">
      <c r="F1228" t="s">
        <v>12468</v>
      </c>
      <c r="G1228" t="s">
        <v>12469</v>
      </c>
      <c r="H1228">
        <v>6</v>
      </c>
      <c r="I1228">
        <v>2</v>
      </c>
      <c r="J1228">
        <v>0</v>
      </c>
      <c r="K1228">
        <v>0</v>
      </c>
      <c r="L1228" s="61" t="s">
        <v>4779</v>
      </c>
    </row>
    <row r="1229" spans="6:12">
      <c r="F1229" t="s">
        <v>12470</v>
      </c>
      <c r="G1229" t="s">
        <v>5806</v>
      </c>
      <c r="H1229">
        <v>6</v>
      </c>
      <c r="I1229">
        <v>2</v>
      </c>
      <c r="J1229">
        <v>0</v>
      </c>
      <c r="K1229">
        <v>0</v>
      </c>
      <c r="L1229" s="61" t="s">
        <v>4779</v>
      </c>
    </row>
    <row r="1230" spans="6:12">
      <c r="F1230" t="s">
        <v>12471</v>
      </c>
      <c r="G1230" t="s">
        <v>12472</v>
      </c>
      <c r="H1230">
        <v>7</v>
      </c>
      <c r="I1230">
        <v>1</v>
      </c>
      <c r="J1230">
        <v>0</v>
      </c>
      <c r="K1230">
        <v>0</v>
      </c>
      <c r="L1230" s="61" t="s">
        <v>4779</v>
      </c>
    </row>
    <row r="1231" spans="6:12">
      <c r="F1231" t="s">
        <v>12473</v>
      </c>
      <c r="G1231" t="s">
        <v>5766</v>
      </c>
      <c r="H1231">
        <v>4</v>
      </c>
      <c r="I1231">
        <v>2</v>
      </c>
      <c r="J1231">
        <v>2</v>
      </c>
      <c r="K1231">
        <v>0</v>
      </c>
      <c r="L1231" s="61" t="s">
        <v>4779</v>
      </c>
    </row>
    <row r="1232" spans="6:12">
      <c r="F1232" t="s">
        <v>12474</v>
      </c>
      <c r="G1232" t="s">
        <v>10976</v>
      </c>
      <c r="H1232">
        <v>6</v>
      </c>
      <c r="I1232">
        <v>2</v>
      </c>
      <c r="J1232">
        <v>0</v>
      </c>
      <c r="K1232">
        <v>0</v>
      </c>
      <c r="L1232" s="61" t="s">
        <v>4779</v>
      </c>
    </row>
    <row r="1233" spans="6:12">
      <c r="F1233" t="s">
        <v>12475</v>
      </c>
      <c r="G1233" t="s">
        <v>12476</v>
      </c>
      <c r="H1233">
        <v>6</v>
      </c>
      <c r="I1233">
        <v>2</v>
      </c>
      <c r="J1233">
        <v>0</v>
      </c>
      <c r="K1233">
        <v>0</v>
      </c>
      <c r="L1233" s="61" t="s">
        <v>4779</v>
      </c>
    </row>
    <row r="1234" spans="6:12">
      <c r="F1234" t="s">
        <v>12477</v>
      </c>
      <c r="G1234" t="s">
        <v>5365</v>
      </c>
      <c r="H1234">
        <v>5</v>
      </c>
      <c r="I1234">
        <v>2</v>
      </c>
      <c r="J1234">
        <v>1</v>
      </c>
      <c r="K1234">
        <v>0</v>
      </c>
      <c r="L1234" s="61" t="s">
        <v>4779</v>
      </c>
    </row>
    <row r="1235" spans="6:12">
      <c r="F1235" t="s">
        <v>12478</v>
      </c>
      <c r="G1235" t="s">
        <v>12479</v>
      </c>
      <c r="H1235">
        <v>5</v>
      </c>
      <c r="I1235">
        <v>2</v>
      </c>
      <c r="J1235">
        <v>1</v>
      </c>
      <c r="K1235">
        <v>0</v>
      </c>
      <c r="L1235" s="61" t="s">
        <v>4807</v>
      </c>
    </row>
    <row r="1236" spans="6:12">
      <c r="F1236" t="s">
        <v>12480</v>
      </c>
      <c r="G1236" t="s">
        <v>12481</v>
      </c>
      <c r="H1236">
        <v>5</v>
      </c>
      <c r="I1236">
        <v>3</v>
      </c>
      <c r="J1236">
        <v>0</v>
      </c>
      <c r="K1236">
        <v>0</v>
      </c>
      <c r="L1236" s="61" t="s">
        <v>4779</v>
      </c>
    </row>
    <row r="1237" spans="6:12">
      <c r="F1237" t="s">
        <v>12482</v>
      </c>
      <c r="G1237" t="s">
        <v>12483</v>
      </c>
      <c r="H1237">
        <v>5</v>
      </c>
      <c r="I1237">
        <v>2</v>
      </c>
      <c r="J1237">
        <v>1</v>
      </c>
      <c r="K1237">
        <v>0</v>
      </c>
      <c r="L1237" s="61" t="s">
        <v>4779</v>
      </c>
    </row>
    <row r="1238" spans="6:12">
      <c r="F1238" t="s">
        <v>12484</v>
      </c>
      <c r="G1238" t="s">
        <v>5663</v>
      </c>
      <c r="H1238">
        <v>3</v>
      </c>
      <c r="I1238">
        <v>3</v>
      </c>
      <c r="J1238">
        <v>2</v>
      </c>
      <c r="K1238">
        <v>0</v>
      </c>
      <c r="L1238" s="61" t="s">
        <v>4779</v>
      </c>
    </row>
    <row r="1239" spans="6:12">
      <c r="F1239" t="s">
        <v>12485</v>
      </c>
      <c r="G1239" t="s">
        <v>12486</v>
      </c>
      <c r="H1239">
        <v>5</v>
      </c>
      <c r="I1239">
        <v>1</v>
      </c>
      <c r="J1239">
        <v>2</v>
      </c>
      <c r="K1239">
        <v>0</v>
      </c>
      <c r="L1239" s="61" t="s">
        <v>4779</v>
      </c>
    </row>
    <row r="1240" spans="6:12">
      <c r="F1240" t="s">
        <v>12487</v>
      </c>
      <c r="G1240" t="s">
        <v>12488</v>
      </c>
      <c r="H1240">
        <v>6</v>
      </c>
      <c r="I1240">
        <v>2</v>
      </c>
      <c r="J1240">
        <v>0</v>
      </c>
      <c r="K1240">
        <v>0</v>
      </c>
      <c r="L1240" s="61" t="s">
        <v>4779</v>
      </c>
    </row>
    <row r="1241" spans="6:12">
      <c r="F1241" t="s">
        <v>12489</v>
      </c>
      <c r="G1241" t="s">
        <v>12490</v>
      </c>
      <c r="H1241">
        <v>5</v>
      </c>
      <c r="I1241">
        <v>3</v>
      </c>
      <c r="J1241">
        <v>0</v>
      </c>
      <c r="K1241">
        <v>0</v>
      </c>
      <c r="L1241" s="61" t="s">
        <v>4779</v>
      </c>
    </row>
    <row r="1242" spans="6:12">
      <c r="F1242" t="s">
        <v>12491</v>
      </c>
      <c r="G1242" t="s">
        <v>12492</v>
      </c>
      <c r="H1242">
        <v>7</v>
      </c>
      <c r="I1242">
        <v>1</v>
      </c>
      <c r="J1242">
        <v>0</v>
      </c>
      <c r="K1242">
        <v>0</v>
      </c>
      <c r="L1242" s="61" t="s">
        <v>4779</v>
      </c>
    </row>
    <row r="1243" spans="6:12">
      <c r="F1243" t="s">
        <v>12493</v>
      </c>
      <c r="G1243" t="s">
        <v>4672</v>
      </c>
      <c r="H1243">
        <v>3</v>
      </c>
      <c r="I1243">
        <v>3</v>
      </c>
      <c r="J1243">
        <v>2</v>
      </c>
      <c r="K1243">
        <v>0</v>
      </c>
      <c r="L1243" s="61" t="s">
        <v>4779</v>
      </c>
    </row>
    <row r="1244" spans="6:12">
      <c r="F1244" t="s">
        <v>12494</v>
      </c>
      <c r="G1244" t="s">
        <v>12495</v>
      </c>
      <c r="H1244">
        <v>7</v>
      </c>
      <c r="I1244">
        <v>1</v>
      </c>
      <c r="J1244">
        <v>0</v>
      </c>
      <c r="K1244">
        <v>0</v>
      </c>
      <c r="L1244" s="61" t="s">
        <v>4779</v>
      </c>
    </row>
    <row r="1245" spans="6:12">
      <c r="F1245" t="s">
        <v>12496</v>
      </c>
      <c r="G1245" t="s">
        <v>5023</v>
      </c>
      <c r="H1245">
        <v>4</v>
      </c>
      <c r="I1245">
        <v>3</v>
      </c>
      <c r="J1245">
        <v>1</v>
      </c>
      <c r="K1245">
        <v>0</v>
      </c>
      <c r="L1245" s="61" t="s">
        <v>4779</v>
      </c>
    </row>
    <row r="1246" spans="6:12">
      <c r="F1246" t="s">
        <v>12497</v>
      </c>
      <c r="G1246" t="s">
        <v>12498</v>
      </c>
      <c r="H1246">
        <v>6</v>
      </c>
      <c r="I1246">
        <v>2</v>
      </c>
      <c r="J1246">
        <v>0</v>
      </c>
      <c r="K1246">
        <v>0</v>
      </c>
      <c r="L1246" s="61" t="s">
        <v>4779</v>
      </c>
    </row>
    <row r="1247" spans="6:12">
      <c r="F1247" t="s">
        <v>12499</v>
      </c>
      <c r="G1247" t="s">
        <v>12500</v>
      </c>
      <c r="H1247">
        <v>6</v>
      </c>
      <c r="I1247">
        <v>2</v>
      </c>
      <c r="J1247">
        <v>0</v>
      </c>
      <c r="K1247">
        <v>0</v>
      </c>
      <c r="L1247" s="61" t="s">
        <v>4779</v>
      </c>
    </row>
    <row r="1248" spans="6:12">
      <c r="F1248" t="s">
        <v>12501</v>
      </c>
      <c r="G1248" t="s">
        <v>12502</v>
      </c>
      <c r="H1248">
        <v>4</v>
      </c>
      <c r="I1248">
        <v>3</v>
      </c>
      <c r="J1248">
        <v>1</v>
      </c>
      <c r="K1248">
        <v>0</v>
      </c>
      <c r="L1248" s="61" t="s">
        <v>4779</v>
      </c>
    </row>
    <row r="1249" spans="6:12">
      <c r="F1249" t="s">
        <v>12503</v>
      </c>
      <c r="G1249" t="s">
        <v>4864</v>
      </c>
      <c r="H1249">
        <v>3</v>
      </c>
      <c r="I1249">
        <v>3</v>
      </c>
      <c r="J1249">
        <v>2</v>
      </c>
      <c r="K1249">
        <v>0</v>
      </c>
      <c r="L1249" s="61" t="s">
        <v>4779</v>
      </c>
    </row>
    <row r="1250" spans="6:12">
      <c r="F1250" t="s">
        <v>12504</v>
      </c>
      <c r="G1250" t="s">
        <v>12505</v>
      </c>
      <c r="H1250">
        <v>7</v>
      </c>
      <c r="I1250">
        <v>1</v>
      </c>
      <c r="J1250">
        <v>0</v>
      </c>
      <c r="K1250">
        <v>0</v>
      </c>
      <c r="L1250" s="61" t="s">
        <v>4807</v>
      </c>
    </row>
    <row r="1251" spans="6:12">
      <c r="F1251" t="s">
        <v>12506</v>
      </c>
      <c r="G1251" t="s">
        <v>11053</v>
      </c>
      <c r="H1251">
        <v>6</v>
      </c>
      <c r="I1251">
        <v>2</v>
      </c>
      <c r="J1251">
        <v>0</v>
      </c>
      <c r="K1251">
        <v>0</v>
      </c>
      <c r="L1251" s="61" t="s">
        <v>4807</v>
      </c>
    </row>
    <row r="1252" spans="6:12">
      <c r="F1252" t="s">
        <v>12507</v>
      </c>
      <c r="G1252" t="s">
        <v>5190</v>
      </c>
      <c r="H1252">
        <v>5</v>
      </c>
      <c r="I1252">
        <v>2</v>
      </c>
      <c r="J1252">
        <v>1</v>
      </c>
      <c r="K1252">
        <v>0</v>
      </c>
      <c r="L1252" s="61" t="s">
        <v>4779</v>
      </c>
    </row>
    <row r="1253" spans="6:12">
      <c r="F1253" t="s">
        <v>12508</v>
      </c>
      <c r="G1253" t="s">
        <v>5114</v>
      </c>
      <c r="H1253">
        <v>7</v>
      </c>
      <c r="I1253">
        <v>1</v>
      </c>
      <c r="J1253">
        <v>0</v>
      </c>
      <c r="K1253">
        <v>0</v>
      </c>
      <c r="L1253" s="61" t="s">
        <v>4779</v>
      </c>
    </row>
    <row r="1254" spans="6:12">
      <c r="F1254" t="s">
        <v>12509</v>
      </c>
      <c r="G1254" t="s">
        <v>5604</v>
      </c>
      <c r="H1254">
        <v>4</v>
      </c>
      <c r="I1254">
        <v>2</v>
      </c>
      <c r="J1254">
        <v>2</v>
      </c>
      <c r="K1254">
        <v>0</v>
      </c>
      <c r="L1254" s="61" t="s">
        <v>4779</v>
      </c>
    </row>
    <row r="1255" spans="6:12">
      <c r="F1255" t="s">
        <v>12510</v>
      </c>
      <c r="G1255" t="s">
        <v>12511</v>
      </c>
      <c r="H1255">
        <v>5</v>
      </c>
      <c r="I1255">
        <v>3</v>
      </c>
      <c r="J1255">
        <v>0</v>
      </c>
      <c r="K1255">
        <v>0</v>
      </c>
      <c r="L1255" s="61" t="s">
        <v>4779</v>
      </c>
    </row>
    <row r="1256" spans="6:12">
      <c r="F1256" t="s">
        <v>12512</v>
      </c>
      <c r="G1256" t="s">
        <v>12513</v>
      </c>
      <c r="H1256">
        <v>7</v>
      </c>
      <c r="I1256">
        <v>1</v>
      </c>
      <c r="J1256">
        <v>0</v>
      </c>
      <c r="K1256">
        <v>0</v>
      </c>
      <c r="L1256" s="61" t="s">
        <v>4779</v>
      </c>
    </row>
    <row r="1257" spans="6:12">
      <c r="F1257" t="s">
        <v>12514</v>
      </c>
      <c r="G1257" t="s">
        <v>12515</v>
      </c>
      <c r="H1257">
        <v>5</v>
      </c>
      <c r="I1257">
        <v>2</v>
      </c>
      <c r="J1257">
        <v>1</v>
      </c>
      <c r="K1257">
        <v>0</v>
      </c>
      <c r="L1257" s="61" t="s">
        <v>4779</v>
      </c>
    </row>
    <row r="1258" spans="6:12">
      <c r="F1258" t="s">
        <v>12516</v>
      </c>
      <c r="G1258" t="s">
        <v>5273</v>
      </c>
      <c r="H1258">
        <v>6</v>
      </c>
      <c r="I1258">
        <v>1</v>
      </c>
      <c r="J1258">
        <v>1</v>
      </c>
      <c r="K1258">
        <v>0</v>
      </c>
      <c r="L1258" s="61" t="s">
        <v>4779</v>
      </c>
    </row>
    <row r="1259" spans="6:12">
      <c r="F1259" t="s">
        <v>12517</v>
      </c>
      <c r="G1259" t="s">
        <v>12518</v>
      </c>
      <c r="H1259">
        <v>7</v>
      </c>
      <c r="I1259">
        <v>1</v>
      </c>
      <c r="J1259">
        <v>0</v>
      </c>
      <c r="K1259">
        <v>0</v>
      </c>
      <c r="L1259" s="61" t="s">
        <v>4806</v>
      </c>
    </row>
    <row r="1260" spans="6:12">
      <c r="F1260" t="s">
        <v>12519</v>
      </c>
      <c r="G1260" t="s">
        <v>12520</v>
      </c>
      <c r="H1260">
        <v>7</v>
      </c>
      <c r="I1260">
        <v>1</v>
      </c>
      <c r="J1260">
        <v>0</v>
      </c>
      <c r="K1260">
        <v>0</v>
      </c>
      <c r="L1260" s="61" t="s">
        <v>4807</v>
      </c>
    </row>
    <row r="1261" spans="6:12">
      <c r="F1261" t="s">
        <v>12521</v>
      </c>
      <c r="G1261" t="s">
        <v>12522</v>
      </c>
      <c r="H1261">
        <v>6</v>
      </c>
      <c r="I1261">
        <v>2</v>
      </c>
      <c r="J1261">
        <v>0</v>
      </c>
      <c r="K1261">
        <v>0</v>
      </c>
      <c r="L1261" s="61" t="s">
        <v>4779</v>
      </c>
    </row>
    <row r="1262" spans="6:12">
      <c r="F1262" t="s">
        <v>12523</v>
      </c>
      <c r="G1262" t="s">
        <v>5584</v>
      </c>
      <c r="H1262">
        <v>4</v>
      </c>
      <c r="I1262">
        <v>2</v>
      </c>
      <c r="J1262">
        <v>2</v>
      </c>
      <c r="K1262">
        <v>0</v>
      </c>
      <c r="L1262" s="61" t="s">
        <v>4779</v>
      </c>
    </row>
    <row r="1263" spans="6:12">
      <c r="F1263" t="s">
        <v>12524</v>
      </c>
      <c r="G1263" t="s">
        <v>12525</v>
      </c>
      <c r="H1263">
        <v>6</v>
      </c>
      <c r="I1263">
        <v>2</v>
      </c>
      <c r="J1263">
        <v>0</v>
      </c>
      <c r="K1263">
        <v>0</v>
      </c>
      <c r="L1263" s="61" t="s">
        <v>4779</v>
      </c>
    </row>
    <row r="1264" spans="6:12">
      <c r="F1264" t="s">
        <v>12526</v>
      </c>
      <c r="G1264" t="s">
        <v>4660</v>
      </c>
      <c r="H1264">
        <v>4</v>
      </c>
      <c r="I1264">
        <v>3</v>
      </c>
      <c r="J1264">
        <v>1</v>
      </c>
      <c r="K1264">
        <v>0</v>
      </c>
      <c r="L1264" s="61" t="s">
        <v>4809</v>
      </c>
    </row>
    <row r="1265" spans="6:12">
      <c r="F1265" t="s">
        <v>12527</v>
      </c>
      <c r="G1265" t="s">
        <v>12528</v>
      </c>
      <c r="H1265">
        <v>6</v>
      </c>
      <c r="I1265">
        <v>2</v>
      </c>
      <c r="J1265">
        <v>0</v>
      </c>
      <c r="K1265">
        <v>0</v>
      </c>
      <c r="L1265" s="61" t="s">
        <v>4779</v>
      </c>
    </row>
    <row r="1266" spans="6:12">
      <c r="F1266" t="s">
        <v>12529</v>
      </c>
      <c r="G1266" t="s">
        <v>5513</v>
      </c>
      <c r="H1266">
        <v>5</v>
      </c>
      <c r="I1266">
        <v>1</v>
      </c>
      <c r="J1266">
        <v>2</v>
      </c>
      <c r="K1266">
        <v>0</v>
      </c>
      <c r="L1266" s="61" t="s">
        <v>4779</v>
      </c>
    </row>
    <row r="1267" spans="6:12">
      <c r="F1267" t="s">
        <v>12530</v>
      </c>
      <c r="G1267" t="s">
        <v>7531</v>
      </c>
      <c r="H1267">
        <v>5</v>
      </c>
      <c r="I1267">
        <v>2</v>
      </c>
      <c r="J1267">
        <v>1</v>
      </c>
      <c r="K1267">
        <v>0</v>
      </c>
      <c r="L1267" s="61" t="s">
        <v>4779</v>
      </c>
    </row>
    <row r="1268" spans="6:12">
      <c r="F1268" t="s">
        <v>12531</v>
      </c>
      <c r="G1268" t="s">
        <v>12532</v>
      </c>
      <c r="H1268">
        <v>7</v>
      </c>
      <c r="I1268">
        <v>1</v>
      </c>
      <c r="J1268">
        <v>0</v>
      </c>
      <c r="K1268">
        <v>0</v>
      </c>
      <c r="L1268" s="61" t="s">
        <v>4779</v>
      </c>
    </row>
    <row r="1269" spans="6:12">
      <c r="F1269" t="s">
        <v>12533</v>
      </c>
      <c r="G1269" t="s">
        <v>12534</v>
      </c>
      <c r="H1269">
        <v>7</v>
      </c>
      <c r="I1269">
        <v>1</v>
      </c>
      <c r="J1269">
        <v>0</v>
      </c>
      <c r="K1269">
        <v>0</v>
      </c>
      <c r="L1269" s="61" t="s">
        <v>4779</v>
      </c>
    </row>
    <row r="1270" spans="6:12">
      <c r="F1270" t="s">
        <v>12535</v>
      </c>
      <c r="G1270" t="s">
        <v>5583</v>
      </c>
      <c r="H1270">
        <v>5</v>
      </c>
      <c r="I1270">
        <v>1</v>
      </c>
      <c r="J1270">
        <v>2</v>
      </c>
      <c r="K1270">
        <v>0</v>
      </c>
      <c r="L1270" s="61" t="s">
        <v>4806</v>
      </c>
    </row>
    <row r="1271" spans="6:12">
      <c r="F1271" t="s">
        <v>12536</v>
      </c>
      <c r="G1271" t="s">
        <v>12537</v>
      </c>
      <c r="H1271">
        <v>7</v>
      </c>
      <c r="I1271">
        <v>1</v>
      </c>
      <c r="J1271">
        <v>0</v>
      </c>
      <c r="K1271">
        <v>0</v>
      </c>
      <c r="L1271" s="61" t="s">
        <v>4779</v>
      </c>
    </row>
    <row r="1272" spans="6:12">
      <c r="F1272" t="s">
        <v>12538</v>
      </c>
      <c r="G1272" t="s">
        <v>4702</v>
      </c>
      <c r="H1272">
        <v>3</v>
      </c>
      <c r="I1272">
        <v>3</v>
      </c>
      <c r="J1272">
        <v>2</v>
      </c>
      <c r="K1272">
        <v>0</v>
      </c>
      <c r="L1272" s="61" t="s">
        <v>4779</v>
      </c>
    </row>
    <row r="1273" spans="6:12">
      <c r="F1273" t="s">
        <v>12539</v>
      </c>
      <c r="G1273" t="s">
        <v>12540</v>
      </c>
      <c r="H1273">
        <v>6</v>
      </c>
      <c r="I1273">
        <v>2</v>
      </c>
      <c r="J1273">
        <v>0</v>
      </c>
      <c r="K1273">
        <v>0</v>
      </c>
      <c r="L1273" s="61" t="s">
        <v>4779</v>
      </c>
    </row>
    <row r="1274" spans="6:12">
      <c r="F1274" t="s">
        <v>12541</v>
      </c>
      <c r="G1274" t="s">
        <v>6448</v>
      </c>
      <c r="H1274">
        <v>5</v>
      </c>
      <c r="I1274">
        <v>1</v>
      </c>
      <c r="J1274">
        <v>2</v>
      </c>
      <c r="K1274">
        <v>0</v>
      </c>
      <c r="L1274" s="61" t="s">
        <v>4779</v>
      </c>
    </row>
    <row r="1275" spans="6:12">
      <c r="F1275" t="s">
        <v>12542</v>
      </c>
      <c r="G1275" t="s">
        <v>12543</v>
      </c>
      <c r="H1275">
        <v>6</v>
      </c>
      <c r="I1275">
        <v>1</v>
      </c>
      <c r="J1275">
        <v>1</v>
      </c>
      <c r="K1275">
        <v>0</v>
      </c>
      <c r="L1275" s="61" t="s">
        <v>4807</v>
      </c>
    </row>
    <row r="1276" spans="6:12">
      <c r="F1276" t="s">
        <v>12544</v>
      </c>
      <c r="G1276" t="s">
        <v>12545</v>
      </c>
      <c r="H1276">
        <v>5</v>
      </c>
      <c r="I1276">
        <v>3</v>
      </c>
      <c r="J1276">
        <v>0</v>
      </c>
      <c r="K1276">
        <v>0</v>
      </c>
      <c r="L1276" s="61" t="s">
        <v>4779</v>
      </c>
    </row>
    <row r="1277" spans="6:12">
      <c r="F1277" t="s">
        <v>12546</v>
      </c>
      <c r="G1277" t="s">
        <v>12547</v>
      </c>
      <c r="H1277">
        <v>7</v>
      </c>
      <c r="I1277">
        <v>1</v>
      </c>
      <c r="J1277">
        <v>0</v>
      </c>
      <c r="K1277">
        <v>0</v>
      </c>
      <c r="L1277" s="61" t="s">
        <v>4779</v>
      </c>
    </row>
    <row r="1278" spans="6:12">
      <c r="F1278" t="s">
        <v>12548</v>
      </c>
      <c r="G1278" t="s">
        <v>12549</v>
      </c>
      <c r="H1278">
        <v>4</v>
      </c>
      <c r="I1278">
        <v>3</v>
      </c>
      <c r="J1278">
        <v>1</v>
      </c>
      <c r="K1278">
        <v>0</v>
      </c>
      <c r="L1278" s="61" t="s">
        <v>4779</v>
      </c>
    </row>
    <row r="1279" spans="6:12">
      <c r="F1279" t="s">
        <v>12550</v>
      </c>
      <c r="G1279" t="s">
        <v>5208</v>
      </c>
      <c r="H1279">
        <v>5</v>
      </c>
      <c r="I1279">
        <v>1</v>
      </c>
      <c r="J1279">
        <v>2</v>
      </c>
      <c r="K1279">
        <v>0</v>
      </c>
      <c r="L1279" s="61" t="s">
        <v>4779</v>
      </c>
    </row>
    <row r="1280" spans="6:12">
      <c r="F1280" t="s">
        <v>12551</v>
      </c>
      <c r="G1280" t="s">
        <v>12552</v>
      </c>
      <c r="H1280">
        <v>4</v>
      </c>
      <c r="I1280">
        <v>2</v>
      </c>
      <c r="J1280">
        <v>2</v>
      </c>
      <c r="K1280">
        <v>0</v>
      </c>
      <c r="L1280" s="61" t="s">
        <v>4779</v>
      </c>
    </row>
    <row r="1281" spans="6:12">
      <c r="F1281" t="s">
        <v>12553</v>
      </c>
      <c r="G1281" t="s">
        <v>12554</v>
      </c>
      <c r="H1281">
        <v>6</v>
      </c>
      <c r="I1281">
        <v>2</v>
      </c>
      <c r="J1281">
        <v>0</v>
      </c>
      <c r="K1281">
        <v>0</v>
      </c>
      <c r="L1281" s="61" t="s">
        <v>4779</v>
      </c>
    </row>
    <row r="1282" spans="6:12">
      <c r="F1282" t="s">
        <v>12555</v>
      </c>
      <c r="G1282" t="s">
        <v>12556</v>
      </c>
      <c r="H1282">
        <v>7</v>
      </c>
      <c r="I1282">
        <v>1</v>
      </c>
      <c r="J1282">
        <v>0</v>
      </c>
      <c r="K1282">
        <v>0</v>
      </c>
      <c r="L1282" s="61" t="s">
        <v>4779</v>
      </c>
    </row>
    <row r="1283" spans="6:12">
      <c r="F1283" t="s">
        <v>12557</v>
      </c>
      <c r="G1283" t="s">
        <v>12558</v>
      </c>
      <c r="H1283">
        <v>5</v>
      </c>
      <c r="I1283">
        <v>3</v>
      </c>
      <c r="J1283">
        <v>0</v>
      </c>
      <c r="K1283">
        <v>0</v>
      </c>
      <c r="L1283" s="61" t="s">
        <v>4779</v>
      </c>
    </row>
    <row r="1284" spans="6:12">
      <c r="F1284" t="s">
        <v>12559</v>
      </c>
      <c r="G1284" t="s">
        <v>12560</v>
      </c>
      <c r="H1284">
        <v>7</v>
      </c>
      <c r="I1284">
        <v>1</v>
      </c>
      <c r="J1284">
        <v>0</v>
      </c>
      <c r="K1284">
        <v>0</v>
      </c>
      <c r="L1284" s="61" t="s">
        <v>4779</v>
      </c>
    </row>
    <row r="1285" spans="6:12">
      <c r="F1285" t="s">
        <v>12561</v>
      </c>
      <c r="G1285" t="s">
        <v>12562</v>
      </c>
      <c r="H1285">
        <v>6</v>
      </c>
      <c r="I1285">
        <v>2</v>
      </c>
      <c r="J1285">
        <v>0</v>
      </c>
      <c r="K1285">
        <v>0</v>
      </c>
      <c r="L1285" s="61" t="s">
        <v>4779</v>
      </c>
    </row>
    <row r="1286" spans="6:12">
      <c r="F1286" t="s">
        <v>12563</v>
      </c>
      <c r="G1286" t="s">
        <v>12564</v>
      </c>
      <c r="H1286">
        <v>5</v>
      </c>
      <c r="I1286">
        <v>2</v>
      </c>
      <c r="J1286">
        <v>1</v>
      </c>
      <c r="K1286">
        <v>0</v>
      </c>
      <c r="L1286" s="61" t="s">
        <v>4779</v>
      </c>
    </row>
    <row r="1287" spans="6:12">
      <c r="F1287" t="s">
        <v>12565</v>
      </c>
      <c r="G1287" t="s">
        <v>5144</v>
      </c>
      <c r="H1287">
        <v>5</v>
      </c>
      <c r="I1287">
        <v>3</v>
      </c>
      <c r="J1287">
        <v>0</v>
      </c>
      <c r="K1287">
        <v>0</v>
      </c>
      <c r="L1287" s="61" t="s">
        <v>4779</v>
      </c>
    </row>
    <row r="1288" spans="6:12">
      <c r="F1288" t="s">
        <v>12566</v>
      </c>
      <c r="G1288" t="s">
        <v>12567</v>
      </c>
      <c r="H1288">
        <v>4</v>
      </c>
      <c r="I1288">
        <v>2</v>
      </c>
      <c r="J1288">
        <v>2</v>
      </c>
      <c r="K1288">
        <v>0</v>
      </c>
      <c r="L1288" s="61" t="s">
        <v>4779</v>
      </c>
    </row>
    <row r="1289" spans="6:12">
      <c r="F1289" t="s">
        <v>12568</v>
      </c>
      <c r="G1289" t="s">
        <v>4952</v>
      </c>
      <c r="H1289">
        <v>3</v>
      </c>
      <c r="I1289">
        <v>3</v>
      </c>
      <c r="J1289">
        <v>2</v>
      </c>
      <c r="K1289">
        <v>0</v>
      </c>
      <c r="L1289" s="61" t="s">
        <v>4779</v>
      </c>
    </row>
    <row r="1290" spans="6:12">
      <c r="F1290" t="s">
        <v>12569</v>
      </c>
      <c r="G1290" t="s">
        <v>5787</v>
      </c>
      <c r="H1290">
        <v>6</v>
      </c>
      <c r="I1290">
        <v>2</v>
      </c>
      <c r="J1290">
        <v>0</v>
      </c>
      <c r="K1290">
        <v>0</v>
      </c>
      <c r="L1290" s="61" t="s">
        <v>4779</v>
      </c>
    </row>
    <row r="1291" spans="6:12">
      <c r="F1291" t="s">
        <v>12570</v>
      </c>
      <c r="G1291" t="s">
        <v>12571</v>
      </c>
      <c r="H1291">
        <v>6</v>
      </c>
      <c r="I1291">
        <v>2</v>
      </c>
      <c r="J1291">
        <v>0</v>
      </c>
      <c r="K1291">
        <v>0</v>
      </c>
      <c r="L1291" s="61" t="s">
        <v>4779</v>
      </c>
    </row>
    <row r="1292" spans="6:12">
      <c r="F1292" t="s">
        <v>12572</v>
      </c>
      <c r="G1292" t="s">
        <v>5255</v>
      </c>
      <c r="H1292">
        <v>7</v>
      </c>
      <c r="I1292">
        <v>1</v>
      </c>
      <c r="J1292">
        <v>0</v>
      </c>
      <c r="K1292">
        <v>0</v>
      </c>
      <c r="L1292" s="61" t="s">
        <v>4779</v>
      </c>
    </row>
    <row r="1293" spans="6:12">
      <c r="F1293" t="s">
        <v>12573</v>
      </c>
      <c r="G1293" t="s">
        <v>12574</v>
      </c>
      <c r="H1293">
        <v>7</v>
      </c>
      <c r="I1293">
        <v>1</v>
      </c>
      <c r="J1293">
        <v>0</v>
      </c>
      <c r="K1293">
        <v>0</v>
      </c>
      <c r="L1293" s="61" t="s">
        <v>4779</v>
      </c>
    </row>
    <row r="1294" spans="6:12">
      <c r="F1294" t="s">
        <v>12575</v>
      </c>
      <c r="G1294" t="s">
        <v>10931</v>
      </c>
      <c r="H1294">
        <v>3</v>
      </c>
      <c r="I1294">
        <v>3</v>
      </c>
      <c r="J1294">
        <v>2</v>
      </c>
      <c r="K1294">
        <v>0</v>
      </c>
      <c r="L1294" s="61" t="s">
        <v>4779</v>
      </c>
    </row>
    <row r="1295" spans="6:12">
      <c r="F1295" t="s">
        <v>12576</v>
      </c>
      <c r="G1295" t="s">
        <v>10911</v>
      </c>
      <c r="H1295">
        <v>5</v>
      </c>
      <c r="I1295">
        <v>2</v>
      </c>
      <c r="J1295">
        <v>1</v>
      </c>
      <c r="K1295">
        <v>0</v>
      </c>
      <c r="L1295" s="61" t="s">
        <v>4779</v>
      </c>
    </row>
    <row r="1296" spans="6:12">
      <c r="F1296" t="s">
        <v>12577</v>
      </c>
      <c r="G1296" t="s">
        <v>12578</v>
      </c>
      <c r="H1296">
        <v>7</v>
      </c>
      <c r="I1296">
        <v>1</v>
      </c>
      <c r="J1296">
        <v>0</v>
      </c>
      <c r="K1296">
        <v>0</v>
      </c>
      <c r="L1296" s="61" t="s">
        <v>4779</v>
      </c>
    </row>
    <row r="1297" spans="6:12">
      <c r="F1297" t="s">
        <v>12579</v>
      </c>
      <c r="G1297" t="s">
        <v>5733</v>
      </c>
      <c r="H1297">
        <v>4</v>
      </c>
      <c r="I1297">
        <v>3</v>
      </c>
      <c r="J1297">
        <v>1</v>
      </c>
      <c r="K1297">
        <v>0</v>
      </c>
      <c r="L1297" s="61" t="s">
        <v>4779</v>
      </c>
    </row>
    <row r="1298" spans="6:12">
      <c r="F1298" t="s">
        <v>12580</v>
      </c>
      <c r="G1298" t="s">
        <v>12581</v>
      </c>
      <c r="H1298">
        <v>6</v>
      </c>
      <c r="I1298">
        <v>2</v>
      </c>
      <c r="J1298">
        <v>0</v>
      </c>
      <c r="K1298">
        <v>0</v>
      </c>
      <c r="L1298" s="61" t="s">
        <v>4779</v>
      </c>
    </row>
    <row r="1299" spans="6:12">
      <c r="F1299" t="s">
        <v>12582</v>
      </c>
      <c r="G1299" t="s">
        <v>12583</v>
      </c>
      <c r="H1299">
        <v>6</v>
      </c>
      <c r="I1299">
        <v>2</v>
      </c>
      <c r="J1299">
        <v>0</v>
      </c>
      <c r="K1299">
        <v>0</v>
      </c>
      <c r="L1299" s="61" t="s">
        <v>4779</v>
      </c>
    </row>
    <row r="1300" spans="6:12">
      <c r="F1300" t="s">
        <v>12584</v>
      </c>
      <c r="G1300" t="s">
        <v>12585</v>
      </c>
      <c r="H1300">
        <v>5</v>
      </c>
      <c r="I1300">
        <v>1</v>
      </c>
      <c r="J1300">
        <v>2</v>
      </c>
      <c r="K1300">
        <v>0</v>
      </c>
      <c r="L1300" s="61" t="s">
        <v>4779</v>
      </c>
    </row>
    <row r="1301" spans="6:12">
      <c r="F1301" t="s">
        <v>12586</v>
      </c>
      <c r="G1301" t="s">
        <v>10957</v>
      </c>
      <c r="H1301">
        <v>4</v>
      </c>
      <c r="I1301">
        <v>3</v>
      </c>
      <c r="J1301">
        <v>1</v>
      </c>
      <c r="K1301">
        <v>0</v>
      </c>
      <c r="L1301" s="61" t="s">
        <v>4779</v>
      </c>
    </row>
    <row r="1302" spans="6:12">
      <c r="F1302" t="s">
        <v>12587</v>
      </c>
      <c r="G1302" t="s">
        <v>11031</v>
      </c>
      <c r="H1302">
        <v>5</v>
      </c>
      <c r="I1302">
        <v>1</v>
      </c>
      <c r="J1302">
        <v>2</v>
      </c>
      <c r="K1302">
        <v>0</v>
      </c>
      <c r="L1302" s="61" t="s">
        <v>4779</v>
      </c>
    </row>
    <row r="1303" spans="6:12">
      <c r="F1303" t="s">
        <v>12588</v>
      </c>
      <c r="G1303" t="s">
        <v>12589</v>
      </c>
      <c r="H1303">
        <v>5</v>
      </c>
      <c r="I1303">
        <v>3</v>
      </c>
      <c r="J1303">
        <v>0</v>
      </c>
      <c r="K1303">
        <v>0</v>
      </c>
      <c r="L1303" s="61" t="s">
        <v>4779</v>
      </c>
    </row>
    <row r="1304" spans="6:12">
      <c r="F1304" t="s">
        <v>12590</v>
      </c>
      <c r="G1304" t="s">
        <v>10958</v>
      </c>
      <c r="H1304">
        <v>4</v>
      </c>
      <c r="I1304">
        <v>2</v>
      </c>
      <c r="J1304">
        <v>2</v>
      </c>
      <c r="K1304">
        <v>0</v>
      </c>
      <c r="L1304" s="61" t="s">
        <v>4779</v>
      </c>
    </row>
    <row r="1305" spans="6:12">
      <c r="F1305" t="s">
        <v>12591</v>
      </c>
      <c r="G1305" t="s">
        <v>5295</v>
      </c>
      <c r="H1305">
        <v>5</v>
      </c>
      <c r="I1305">
        <v>1</v>
      </c>
      <c r="J1305">
        <v>2</v>
      </c>
      <c r="K1305">
        <v>0</v>
      </c>
      <c r="L1305" s="61" t="s">
        <v>4779</v>
      </c>
    </row>
    <row r="1306" spans="6:12">
      <c r="F1306" t="s">
        <v>12592</v>
      </c>
      <c r="G1306" t="s">
        <v>12593</v>
      </c>
      <c r="H1306">
        <v>7</v>
      </c>
      <c r="I1306">
        <v>1</v>
      </c>
      <c r="J1306">
        <v>0</v>
      </c>
      <c r="K1306">
        <v>0</v>
      </c>
      <c r="L1306" s="61" t="s">
        <v>4779</v>
      </c>
    </row>
    <row r="1307" spans="6:12">
      <c r="F1307" t="s">
        <v>12594</v>
      </c>
      <c r="G1307" t="s">
        <v>12595</v>
      </c>
      <c r="H1307">
        <v>5</v>
      </c>
      <c r="I1307">
        <v>1</v>
      </c>
      <c r="J1307">
        <v>2</v>
      </c>
      <c r="K1307">
        <v>0</v>
      </c>
      <c r="L1307" s="61" t="s">
        <v>4779</v>
      </c>
    </row>
    <row r="1308" spans="6:12">
      <c r="F1308" t="s">
        <v>12596</v>
      </c>
      <c r="G1308" t="s">
        <v>12597</v>
      </c>
      <c r="H1308">
        <v>6</v>
      </c>
      <c r="I1308">
        <v>1</v>
      </c>
      <c r="J1308">
        <v>1</v>
      </c>
      <c r="K1308">
        <v>0</v>
      </c>
      <c r="L1308" s="61" t="s">
        <v>4779</v>
      </c>
    </row>
    <row r="1309" spans="6:12">
      <c r="F1309" t="s">
        <v>12598</v>
      </c>
      <c r="G1309" t="s">
        <v>12599</v>
      </c>
      <c r="H1309">
        <v>7</v>
      </c>
      <c r="I1309">
        <v>1</v>
      </c>
      <c r="J1309">
        <v>0</v>
      </c>
      <c r="K1309">
        <v>0</v>
      </c>
      <c r="L1309" s="61" t="s">
        <v>4779</v>
      </c>
    </row>
    <row r="1310" spans="6:12">
      <c r="F1310" t="s">
        <v>12600</v>
      </c>
      <c r="G1310" t="s">
        <v>12601</v>
      </c>
      <c r="H1310">
        <v>6</v>
      </c>
      <c r="I1310">
        <v>2</v>
      </c>
      <c r="J1310">
        <v>0</v>
      </c>
      <c r="K1310">
        <v>0</v>
      </c>
      <c r="L1310" s="61" t="s">
        <v>4779</v>
      </c>
    </row>
    <row r="1311" spans="6:12">
      <c r="F1311" t="s">
        <v>12602</v>
      </c>
      <c r="G1311" t="s">
        <v>5110</v>
      </c>
      <c r="H1311">
        <v>4</v>
      </c>
      <c r="I1311">
        <v>2</v>
      </c>
      <c r="J1311">
        <v>2</v>
      </c>
      <c r="K1311">
        <v>0</v>
      </c>
      <c r="L1311" s="61" t="s">
        <v>4779</v>
      </c>
    </row>
    <row r="1312" spans="6:12">
      <c r="F1312" t="s">
        <v>12603</v>
      </c>
      <c r="G1312" t="s">
        <v>5553</v>
      </c>
      <c r="H1312">
        <v>4</v>
      </c>
      <c r="I1312">
        <v>2</v>
      </c>
      <c r="J1312">
        <v>2</v>
      </c>
      <c r="K1312">
        <v>0</v>
      </c>
      <c r="L1312" s="61" t="s">
        <v>4779</v>
      </c>
    </row>
    <row r="1313" spans="6:12">
      <c r="F1313" t="s">
        <v>12604</v>
      </c>
      <c r="G1313" t="s">
        <v>12605</v>
      </c>
      <c r="H1313">
        <v>5</v>
      </c>
      <c r="I1313">
        <v>2</v>
      </c>
      <c r="J1313">
        <v>1</v>
      </c>
      <c r="K1313">
        <v>0</v>
      </c>
      <c r="L1313" s="61" t="s">
        <v>4779</v>
      </c>
    </row>
    <row r="1314" spans="6:12">
      <c r="F1314" t="s">
        <v>12606</v>
      </c>
      <c r="G1314" t="s">
        <v>12607</v>
      </c>
      <c r="H1314">
        <v>6</v>
      </c>
      <c r="I1314">
        <v>2</v>
      </c>
      <c r="J1314">
        <v>0</v>
      </c>
      <c r="K1314">
        <v>0</v>
      </c>
      <c r="L1314" s="61" t="s">
        <v>4779</v>
      </c>
    </row>
    <row r="1315" spans="6:12">
      <c r="F1315" t="s">
        <v>12608</v>
      </c>
      <c r="G1315" t="s">
        <v>4696</v>
      </c>
      <c r="H1315">
        <v>5</v>
      </c>
      <c r="I1315">
        <v>3</v>
      </c>
      <c r="J1315">
        <v>0</v>
      </c>
      <c r="K1315">
        <v>0</v>
      </c>
      <c r="L1315" s="61" t="s">
        <v>4810</v>
      </c>
    </row>
    <row r="1316" spans="6:12">
      <c r="F1316" t="s">
        <v>12609</v>
      </c>
      <c r="G1316" t="s">
        <v>12610</v>
      </c>
      <c r="H1316">
        <v>5</v>
      </c>
      <c r="I1316">
        <v>3</v>
      </c>
      <c r="J1316">
        <v>0</v>
      </c>
      <c r="K1316">
        <v>0</v>
      </c>
      <c r="L1316" s="61" t="s">
        <v>4779</v>
      </c>
    </row>
    <row r="1317" spans="6:12">
      <c r="F1317" t="s">
        <v>12611</v>
      </c>
      <c r="G1317" t="s">
        <v>12612</v>
      </c>
      <c r="H1317">
        <v>6</v>
      </c>
      <c r="I1317">
        <v>2</v>
      </c>
      <c r="J1317">
        <v>0</v>
      </c>
      <c r="K1317">
        <v>0</v>
      </c>
      <c r="L1317" s="61" t="s">
        <v>4779</v>
      </c>
    </row>
    <row r="1318" spans="6:12">
      <c r="F1318" t="s">
        <v>12613</v>
      </c>
      <c r="G1318" t="s">
        <v>5775</v>
      </c>
      <c r="H1318">
        <v>7</v>
      </c>
      <c r="I1318">
        <v>1</v>
      </c>
      <c r="J1318">
        <v>0</v>
      </c>
      <c r="K1318">
        <v>0</v>
      </c>
      <c r="L1318" s="61" t="s">
        <v>4779</v>
      </c>
    </row>
    <row r="1319" spans="6:12">
      <c r="F1319" t="s">
        <v>12614</v>
      </c>
      <c r="G1319" t="s">
        <v>12615</v>
      </c>
      <c r="H1319">
        <v>5</v>
      </c>
      <c r="I1319">
        <v>3</v>
      </c>
      <c r="J1319">
        <v>0</v>
      </c>
      <c r="K1319">
        <v>0</v>
      </c>
      <c r="L1319" s="61" t="s">
        <v>4779</v>
      </c>
    </row>
    <row r="1320" spans="6:12">
      <c r="F1320" t="s">
        <v>12616</v>
      </c>
      <c r="G1320" t="s">
        <v>12617</v>
      </c>
      <c r="H1320">
        <v>6</v>
      </c>
      <c r="I1320">
        <v>2</v>
      </c>
      <c r="J1320">
        <v>0</v>
      </c>
      <c r="K1320">
        <v>0</v>
      </c>
      <c r="L1320" s="61" t="s">
        <v>4779</v>
      </c>
    </row>
    <row r="1321" spans="6:12">
      <c r="F1321" t="s">
        <v>12618</v>
      </c>
      <c r="G1321" t="s">
        <v>4662</v>
      </c>
      <c r="H1321">
        <v>5</v>
      </c>
      <c r="I1321">
        <v>3</v>
      </c>
      <c r="J1321">
        <v>0</v>
      </c>
      <c r="K1321">
        <v>0</v>
      </c>
      <c r="L1321" s="61" t="s">
        <v>4779</v>
      </c>
    </row>
    <row r="1322" spans="6:12">
      <c r="F1322" t="s">
        <v>12619</v>
      </c>
      <c r="G1322" t="s">
        <v>12620</v>
      </c>
      <c r="H1322">
        <v>6</v>
      </c>
      <c r="I1322">
        <v>2</v>
      </c>
      <c r="J1322">
        <v>0</v>
      </c>
      <c r="K1322">
        <v>0</v>
      </c>
      <c r="L1322" s="61" t="s">
        <v>4779</v>
      </c>
    </row>
    <row r="1323" spans="6:12">
      <c r="F1323" t="s">
        <v>12621</v>
      </c>
      <c r="G1323" t="s">
        <v>8245</v>
      </c>
      <c r="H1323">
        <v>5</v>
      </c>
      <c r="I1323">
        <v>3</v>
      </c>
      <c r="J1323">
        <v>0</v>
      </c>
      <c r="K1323">
        <v>0</v>
      </c>
      <c r="L1323" s="61" t="s">
        <v>4810</v>
      </c>
    </row>
    <row r="1324" spans="6:12">
      <c r="F1324" t="s">
        <v>12622</v>
      </c>
      <c r="G1324" t="s">
        <v>12623</v>
      </c>
      <c r="H1324">
        <v>6</v>
      </c>
      <c r="I1324">
        <v>2</v>
      </c>
      <c r="J1324">
        <v>0</v>
      </c>
      <c r="K1324">
        <v>0</v>
      </c>
      <c r="L1324" s="61" t="s">
        <v>4779</v>
      </c>
    </row>
    <row r="1325" spans="6:12">
      <c r="F1325" t="s">
        <v>12624</v>
      </c>
      <c r="G1325" t="s">
        <v>12625</v>
      </c>
      <c r="H1325">
        <v>7</v>
      </c>
      <c r="I1325">
        <v>1</v>
      </c>
      <c r="J1325">
        <v>0</v>
      </c>
      <c r="K1325">
        <v>0</v>
      </c>
      <c r="L1325" s="61" t="s">
        <v>4779</v>
      </c>
    </row>
    <row r="1326" spans="6:12">
      <c r="F1326" t="s">
        <v>12626</v>
      </c>
      <c r="G1326" t="s">
        <v>12627</v>
      </c>
      <c r="H1326">
        <v>7</v>
      </c>
      <c r="I1326">
        <v>1</v>
      </c>
      <c r="J1326">
        <v>0</v>
      </c>
      <c r="K1326">
        <v>0</v>
      </c>
      <c r="L1326" s="61" t="s">
        <v>4779</v>
      </c>
    </row>
    <row r="1327" spans="6:12">
      <c r="F1327" t="s">
        <v>12628</v>
      </c>
      <c r="G1327" t="s">
        <v>12585</v>
      </c>
      <c r="H1327">
        <v>5</v>
      </c>
      <c r="I1327">
        <v>1</v>
      </c>
      <c r="J1327">
        <v>2</v>
      </c>
      <c r="K1327">
        <v>0</v>
      </c>
      <c r="L1327" s="61" t="s">
        <v>4779</v>
      </c>
    </row>
    <row r="1328" spans="6:12">
      <c r="F1328" t="s">
        <v>12629</v>
      </c>
      <c r="G1328" t="s">
        <v>12630</v>
      </c>
      <c r="H1328">
        <v>4</v>
      </c>
      <c r="I1328">
        <v>3</v>
      </c>
      <c r="J1328">
        <v>1</v>
      </c>
      <c r="K1328">
        <v>0</v>
      </c>
      <c r="L1328" s="61" t="s">
        <v>4779</v>
      </c>
    </row>
    <row r="1329" spans="6:12">
      <c r="F1329" t="s">
        <v>12631</v>
      </c>
      <c r="G1329" t="s">
        <v>12632</v>
      </c>
      <c r="H1329">
        <v>7</v>
      </c>
      <c r="I1329">
        <v>1</v>
      </c>
      <c r="J1329">
        <v>0</v>
      </c>
      <c r="K1329">
        <v>0</v>
      </c>
      <c r="L1329" s="61" t="s">
        <v>4779</v>
      </c>
    </row>
    <row r="1330" spans="6:12">
      <c r="F1330" t="s">
        <v>12633</v>
      </c>
      <c r="G1330" t="s">
        <v>10968</v>
      </c>
      <c r="H1330">
        <v>5</v>
      </c>
      <c r="I1330">
        <v>1</v>
      </c>
      <c r="J1330">
        <v>2</v>
      </c>
      <c r="K1330">
        <v>0</v>
      </c>
      <c r="L1330" s="61" t="s">
        <v>4779</v>
      </c>
    </row>
    <row r="1331" spans="6:12">
      <c r="F1331" t="s">
        <v>12634</v>
      </c>
      <c r="G1331" t="s">
        <v>12635</v>
      </c>
      <c r="H1331">
        <v>6</v>
      </c>
      <c r="I1331">
        <v>2</v>
      </c>
      <c r="J1331">
        <v>0</v>
      </c>
      <c r="K1331">
        <v>0</v>
      </c>
      <c r="L1331" s="61" t="s">
        <v>4779</v>
      </c>
    </row>
    <row r="1332" spans="6:12">
      <c r="F1332" t="s">
        <v>12636</v>
      </c>
      <c r="G1332" t="s">
        <v>12637</v>
      </c>
      <c r="H1332">
        <v>6</v>
      </c>
      <c r="I1332">
        <v>2</v>
      </c>
      <c r="J1332">
        <v>0</v>
      </c>
      <c r="K1332">
        <v>0</v>
      </c>
      <c r="L1332" s="61" t="s">
        <v>4779</v>
      </c>
    </row>
    <row r="1333" spans="6:12">
      <c r="F1333" t="s">
        <v>12638</v>
      </c>
      <c r="G1333" t="s">
        <v>12639</v>
      </c>
      <c r="H1333">
        <v>5</v>
      </c>
      <c r="I1333">
        <v>3</v>
      </c>
      <c r="J1333">
        <v>0</v>
      </c>
      <c r="K1333">
        <v>0</v>
      </c>
      <c r="L1333" s="61" t="s">
        <v>4779</v>
      </c>
    </row>
    <row r="1334" spans="6:12">
      <c r="F1334" t="s">
        <v>12640</v>
      </c>
      <c r="G1334" t="s">
        <v>5429</v>
      </c>
      <c r="H1334">
        <v>7</v>
      </c>
      <c r="I1334">
        <v>1</v>
      </c>
      <c r="J1334">
        <v>0</v>
      </c>
      <c r="K1334">
        <v>0</v>
      </c>
      <c r="L1334" s="61" t="s">
        <v>4779</v>
      </c>
    </row>
    <row r="1335" spans="6:12">
      <c r="F1335" t="s">
        <v>12641</v>
      </c>
      <c r="G1335" t="s">
        <v>10918</v>
      </c>
      <c r="H1335">
        <v>6</v>
      </c>
      <c r="I1335">
        <v>2</v>
      </c>
      <c r="J1335">
        <v>0</v>
      </c>
      <c r="K1335">
        <v>0</v>
      </c>
      <c r="L1335" s="61" t="s">
        <v>4779</v>
      </c>
    </row>
    <row r="1336" spans="6:12">
      <c r="F1336" t="s">
        <v>12642</v>
      </c>
      <c r="G1336" t="s">
        <v>12643</v>
      </c>
      <c r="H1336">
        <v>6</v>
      </c>
      <c r="I1336">
        <v>1</v>
      </c>
      <c r="J1336">
        <v>1</v>
      </c>
      <c r="K1336">
        <v>0</v>
      </c>
      <c r="L1336" s="61" t="s">
        <v>4779</v>
      </c>
    </row>
    <row r="1337" spans="6:12">
      <c r="F1337" t="s">
        <v>12644</v>
      </c>
      <c r="G1337" t="s">
        <v>5591</v>
      </c>
      <c r="H1337">
        <v>6</v>
      </c>
      <c r="I1337">
        <v>1</v>
      </c>
      <c r="J1337">
        <v>1</v>
      </c>
      <c r="K1337">
        <v>0</v>
      </c>
      <c r="L1337" s="61" t="s">
        <v>4779</v>
      </c>
    </row>
    <row r="1338" spans="6:12">
      <c r="F1338" t="s">
        <v>12645</v>
      </c>
      <c r="G1338" t="s">
        <v>8296</v>
      </c>
      <c r="H1338">
        <v>6</v>
      </c>
      <c r="I1338">
        <v>2</v>
      </c>
      <c r="J1338">
        <v>0</v>
      </c>
      <c r="K1338">
        <v>0</v>
      </c>
      <c r="L1338" s="61" t="s">
        <v>4779</v>
      </c>
    </row>
    <row r="1339" spans="6:12">
      <c r="F1339" t="s">
        <v>12646</v>
      </c>
      <c r="G1339" t="s">
        <v>4614</v>
      </c>
      <c r="H1339">
        <v>5</v>
      </c>
      <c r="I1339">
        <v>3</v>
      </c>
      <c r="J1339">
        <v>0</v>
      </c>
      <c r="K1339">
        <v>0</v>
      </c>
      <c r="L1339" s="61" t="s">
        <v>4779</v>
      </c>
    </row>
    <row r="1340" spans="6:12">
      <c r="F1340" t="s">
        <v>12647</v>
      </c>
      <c r="G1340" t="s">
        <v>4686</v>
      </c>
      <c r="H1340">
        <v>4</v>
      </c>
      <c r="I1340">
        <v>2</v>
      </c>
      <c r="J1340">
        <v>2</v>
      </c>
      <c r="K1340">
        <v>0</v>
      </c>
      <c r="L1340" s="61" t="s">
        <v>4779</v>
      </c>
    </row>
    <row r="1341" spans="6:12">
      <c r="F1341" t="s">
        <v>12648</v>
      </c>
      <c r="G1341" t="s">
        <v>4628</v>
      </c>
      <c r="H1341">
        <v>3</v>
      </c>
      <c r="I1341">
        <v>3</v>
      </c>
      <c r="J1341">
        <v>2</v>
      </c>
      <c r="K1341">
        <v>0</v>
      </c>
      <c r="L1341" s="61" t="s">
        <v>4779</v>
      </c>
    </row>
    <row r="1342" spans="6:12">
      <c r="F1342" t="s">
        <v>12649</v>
      </c>
      <c r="G1342" t="s">
        <v>12650</v>
      </c>
      <c r="H1342">
        <v>7</v>
      </c>
      <c r="I1342">
        <v>1</v>
      </c>
      <c r="J1342">
        <v>0</v>
      </c>
      <c r="K1342">
        <v>0</v>
      </c>
      <c r="L1342" s="61" t="s">
        <v>4779</v>
      </c>
    </row>
    <row r="1343" spans="6:12">
      <c r="F1343" t="s">
        <v>12651</v>
      </c>
      <c r="G1343" t="s">
        <v>12652</v>
      </c>
      <c r="H1343">
        <v>5</v>
      </c>
      <c r="I1343">
        <v>2</v>
      </c>
      <c r="J1343">
        <v>1</v>
      </c>
      <c r="K1343">
        <v>0</v>
      </c>
      <c r="L1343" s="61" t="s">
        <v>4779</v>
      </c>
    </row>
    <row r="1344" spans="6:12">
      <c r="F1344" t="s">
        <v>12653</v>
      </c>
      <c r="G1344" t="s">
        <v>12654</v>
      </c>
      <c r="H1344">
        <v>5</v>
      </c>
      <c r="I1344">
        <v>2</v>
      </c>
      <c r="J1344">
        <v>1</v>
      </c>
      <c r="K1344">
        <v>0</v>
      </c>
      <c r="L1344" s="61" t="s">
        <v>4779</v>
      </c>
    </row>
    <row r="1345" spans="6:12">
      <c r="F1345" t="s">
        <v>12655</v>
      </c>
      <c r="G1345" t="s">
        <v>12656</v>
      </c>
      <c r="H1345">
        <v>5</v>
      </c>
      <c r="I1345">
        <v>1</v>
      </c>
      <c r="J1345">
        <v>2</v>
      </c>
      <c r="K1345">
        <v>0</v>
      </c>
      <c r="L1345" s="61" t="s">
        <v>4779</v>
      </c>
    </row>
    <row r="1346" spans="6:12">
      <c r="F1346" t="s">
        <v>12657</v>
      </c>
      <c r="G1346" t="s">
        <v>12658</v>
      </c>
      <c r="H1346">
        <v>5</v>
      </c>
      <c r="I1346">
        <v>1</v>
      </c>
      <c r="J1346">
        <v>2</v>
      </c>
      <c r="K1346">
        <v>0</v>
      </c>
      <c r="L1346" s="61" t="s">
        <v>4779</v>
      </c>
    </row>
    <row r="1347" spans="6:12">
      <c r="F1347" t="s">
        <v>12659</v>
      </c>
      <c r="G1347" t="s">
        <v>10947</v>
      </c>
      <c r="H1347">
        <v>5</v>
      </c>
      <c r="I1347">
        <v>3</v>
      </c>
      <c r="J1347">
        <v>0</v>
      </c>
      <c r="K1347">
        <v>0</v>
      </c>
      <c r="L1347" s="61" t="s">
        <v>4779</v>
      </c>
    </row>
    <row r="1348" spans="6:12">
      <c r="F1348" t="s">
        <v>12660</v>
      </c>
      <c r="G1348" t="s">
        <v>12661</v>
      </c>
      <c r="H1348">
        <v>7</v>
      </c>
      <c r="I1348">
        <v>1</v>
      </c>
      <c r="J1348">
        <v>0</v>
      </c>
      <c r="K1348">
        <v>0</v>
      </c>
      <c r="L1348" s="61" t="s">
        <v>4779</v>
      </c>
    </row>
    <row r="1349" spans="6:12">
      <c r="F1349" t="s">
        <v>12662</v>
      </c>
      <c r="G1349" t="s">
        <v>12663</v>
      </c>
      <c r="H1349">
        <v>6</v>
      </c>
      <c r="I1349">
        <v>2</v>
      </c>
      <c r="J1349">
        <v>0</v>
      </c>
      <c r="K1349">
        <v>0</v>
      </c>
      <c r="L1349" s="61" t="s">
        <v>4779</v>
      </c>
    </row>
    <row r="1350" spans="6:12">
      <c r="F1350" t="s">
        <v>12664</v>
      </c>
      <c r="G1350" t="s">
        <v>10694</v>
      </c>
      <c r="H1350">
        <v>7</v>
      </c>
      <c r="I1350">
        <v>1</v>
      </c>
      <c r="J1350">
        <v>0</v>
      </c>
      <c r="K1350">
        <v>0</v>
      </c>
      <c r="L1350" s="61" t="s">
        <v>4779</v>
      </c>
    </row>
    <row r="1351" spans="6:12">
      <c r="F1351" t="s">
        <v>12665</v>
      </c>
      <c r="G1351" t="s">
        <v>4862</v>
      </c>
      <c r="H1351">
        <v>4</v>
      </c>
      <c r="I1351">
        <v>3</v>
      </c>
      <c r="J1351">
        <v>1</v>
      </c>
      <c r="K1351">
        <v>0</v>
      </c>
      <c r="L1351" s="61" t="s">
        <v>4779</v>
      </c>
    </row>
    <row r="1352" spans="6:12">
      <c r="F1352" t="s">
        <v>12666</v>
      </c>
      <c r="G1352" t="s">
        <v>12374</v>
      </c>
      <c r="H1352">
        <v>6</v>
      </c>
      <c r="I1352">
        <v>2</v>
      </c>
      <c r="J1352">
        <v>0</v>
      </c>
      <c r="K1352">
        <v>0</v>
      </c>
      <c r="L1352" s="61" t="s">
        <v>4808</v>
      </c>
    </row>
    <row r="1353" spans="6:12">
      <c r="F1353" t="s">
        <v>12667</v>
      </c>
      <c r="G1353" t="s">
        <v>12668</v>
      </c>
      <c r="H1353">
        <v>6</v>
      </c>
      <c r="I1353">
        <v>2</v>
      </c>
      <c r="J1353">
        <v>0</v>
      </c>
      <c r="K1353">
        <v>0</v>
      </c>
      <c r="L1353" s="61" t="s">
        <v>4779</v>
      </c>
    </row>
    <row r="1354" spans="6:12">
      <c r="F1354" t="s">
        <v>11674</v>
      </c>
      <c r="G1354" t="s">
        <v>12669</v>
      </c>
      <c r="H1354">
        <v>7</v>
      </c>
      <c r="I1354">
        <v>1</v>
      </c>
      <c r="J1354">
        <v>0</v>
      </c>
      <c r="K1354">
        <v>0</v>
      </c>
      <c r="L1354" s="61" t="s">
        <v>4779</v>
      </c>
    </row>
    <row r="1355" spans="6:12">
      <c r="F1355" t="s">
        <v>12670</v>
      </c>
      <c r="G1355" t="s">
        <v>12671</v>
      </c>
      <c r="H1355">
        <v>6</v>
      </c>
      <c r="I1355">
        <v>2</v>
      </c>
      <c r="J1355">
        <v>0</v>
      </c>
      <c r="K1355">
        <v>0</v>
      </c>
      <c r="L1355" s="61" t="s">
        <v>4779</v>
      </c>
    </row>
    <row r="1356" spans="6:12">
      <c r="F1356" t="s">
        <v>12672</v>
      </c>
      <c r="G1356" t="s">
        <v>12673</v>
      </c>
      <c r="H1356">
        <v>6</v>
      </c>
      <c r="I1356">
        <v>2</v>
      </c>
      <c r="J1356">
        <v>0</v>
      </c>
      <c r="K1356">
        <v>0</v>
      </c>
      <c r="L1356" s="61" t="s">
        <v>4807</v>
      </c>
    </row>
    <row r="1357" spans="6:12">
      <c r="F1357" t="s">
        <v>12674</v>
      </c>
      <c r="G1357" t="s">
        <v>12675</v>
      </c>
      <c r="H1357">
        <v>7</v>
      </c>
      <c r="I1357">
        <v>1</v>
      </c>
      <c r="J1357">
        <v>0</v>
      </c>
      <c r="K1357">
        <v>0</v>
      </c>
      <c r="L1357" s="61" t="s">
        <v>4779</v>
      </c>
    </row>
    <row r="1358" spans="6:12">
      <c r="F1358" t="s">
        <v>12676</v>
      </c>
      <c r="G1358" t="s">
        <v>10916</v>
      </c>
      <c r="H1358">
        <v>5</v>
      </c>
      <c r="I1358">
        <v>1</v>
      </c>
      <c r="J1358">
        <v>2</v>
      </c>
      <c r="K1358">
        <v>0</v>
      </c>
      <c r="L1358" s="61" t="s">
        <v>4779</v>
      </c>
    </row>
    <row r="1359" spans="6:12">
      <c r="F1359" t="s">
        <v>12677</v>
      </c>
      <c r="G1359" t="s">
        <v>12678</v>
      </c>
      <c r="H1359">
        <v>5</v>
      </c>
      <c r="I1359">
        <v>3</v>
      </c>
      <c r="J1359">
        <v>0</v>
      </c>
      <c r="K1359">
        <v>0</v>
      </c>
      <c r="L1359" s="61" t="s">
        <v>4779</v>
      </c>
    </row>
    <row r="1360" spans="6:12">
      <c r="F1360" t="s">
        <v>12679</v>
      </c>
      <c r="G1360" t="s">
        <v>12680</v>
      </c>
      <c r="H1360">
        <v>7</v>
      </c>
      <c r="I1360">
        <v>1</v>
      </c>
      <c r="J1360">
        <v>0</v>
      </c>
      <c r="K1360">
        <v>0</v>
      </c>
      <c r="L1360" s="61" t="s">
        <v>4779</v>
      </c>
    </row>
    <row r="1361" spans="6:12">
      <c r="F1361" t="s">
        <v>12681</v>
      </c>
      <c r="G1361" t="s">
        <v>12682</v>
      </c>
      <c r="H1361">
        <v>7</v>
      </c>
      <c r="I1361">
        <v>1</v>
      </c>
      <c r="J1361">
        <v>0</v>
      </c>
      <c r="K1361">
        <v>0</v>
      </c>
      <c r="L1361" s="61" t="s">
        <v>4779</v>
      </c>
    </row>
    <row r="1362" spans="6:12">
      <c r="F1362" t="s">
        <v>12683</v>
      </c>
      <c r="G1362" t="s">
        <v>12684</v>
      </c>
      <c r="H1362">
        <v>5</v>
      </c>
      <c r="I1362">
        <v>1</v>
      </c>
      <c r="J1362">
        <v>2</v>
      </c>
      <c r="K1362">
        <v>0</v>
      </c>
      <c r="L1362" s="61" t="s">
        <v>4779</v>
      </c>
    </row>
    <row r="1363" spans="6:12">
      <c r="F1363" t="s">
        <v>12685</v>
      </c>
      <c r="G1363" t="s">
        <v>12686</v>
      </c>
      <c r="H1363">
        <v>5</v>
      </c>
      <c r="I1363">
        <v>3</v>
      </c>
      <c r="J1363">
        <v>0</v>
      </c>
      <c r="K1363">
        <v>0</v>
      </c>
      <c r="L1363" s="61" t="s">
        <v>4779</v>
      </c>
    </row>
    <row r="1364" spans="6:12">
      <c r="F1364" t="s">
        <v>12687</v>
      </c>
      <c r="G1364" t="s">
        <v>5527</v>
      </c>
      <c r="H1364">
        <v>5</v>
      </c>
      <c r="I1364">
        <v>3</v>
      </c>
      <c r="J1364">
        <v>0</v>
      </c>
      <c r="K1364">
        <v>0</v>
      </c>
      <c r="L1364" s="61" t="s">
        <v>4779</v>
      </c>
    </row>
    <row r="1365" spans="6:12">
      <c r="F1365" t="s">
        <v>12688</v>
      </c>
      <c r="G1365" t="s">
        <v>12689</v>
      </c>
      <c r="H1365">
        <v>7</v>
      </c>
      <c r="I1365">
        <v>1</v>
      </c>
      <c r="J1365">
        <v>0</v>
      </c>
      <c r="K1365">
        <v>0</v>
      </c>
      <c r="L1365" s="61" t="s">
        <v>4779</v>
      </c>
    </row>
    <row r="1366" spans="6:12">
      <c r="F1366" t="s">
        <v>12690</v>
      </c>
      <c r="G1366" t="s">
        <v>12691</v>
      </c>
      <c r="H1366">
        <v>3</v>
      </c>
      <c r="I1366">
        <v>3</v>
      </c>
      <c r="J1366">
        <v>2</v>
      </c>
      <c r="K1366">
        <v>0</v>
      </c>
      <c r="L1366" s="61" t="s">
        <v>4779</v>
      </c>
    </row>
    <row r="1367" spans="6:12">
      <c r="F1367" t="s">
        <v>12692</v>
      </c>
      <c r="G1367" t="s">
        <v>12693</v>
      </c>
      <c r="H1367">
        <v>5</v>
      </c>
      <c r="I1367">
        <v>3</v>
      </c>
      <c r="J1367">
        <v>0</v>
      </c>
      <c r="K1367">
        <v>0</v>
      </c>
      <c r="L1367" s="61" t="s">
        <v>4779</v>
      </c>
    </row>
    <row r="1368" spans="6:12">
      <c r="F1368" t="s">
        <v>12694</v>
      </c>
      <c r="G1368" t="s">
        <v>5378</v>
      </c>
      <c r="H1368">
        <v>5</v>
      </c>
      <c r="I1368">
        <v>3</v>
      </c>
      <c r="J1368">
        <v>0</v>
      </c>
      <c r="K1368">
        <v>0</v>
      </c>
      <c r="L1368" s="61" t="s">
        <v>4779</v>
      </c>
    </row>
    <row r="1369" spans="6:12">
      <c r="F1369" t="s">
        <v>12695</v>
      </c>
      <c r="G1369" t="s">
        <v>12696</v>
      </c>
      <c r="H1369">
        <v>6</v>
      </c>
      <c r="I1369">
        <v>2</v>
      </c>
      <c r="J1369">
        <v>0</v>
      </c>
      <c r="K1369">
        <v>0</v>
      </c>
      <c r="L1369" s="61" t="s">
        <v>4779</v>
      </c>
    </row>
    <row r="1370" spans="6:12">
      <c r="F1370" t="s">
        <v>12697</v>
      </c>
      <c r="G1370" t="s">
        <v>12698</v>
      </c>
      <c r="H1370">
        <v>5</v>
      </c>
      <c r="I1370">
        <v>2</v>
      </c>
      <c r="J1370">
        <v>1</v>
      </c>
      <c r="K1370">
        <v>0</v>
      </c>
      <c r="L1370" s="61" t="s">
        <v>4779</v>
      </c>
    </row>
    <row r="1371" spans="6:12">
      <c r="F1371" t="s">
        <v>12699</v>
      </c>
      <c r="G1371" t="s">
        <v>12700</v>
      </c>
      <c r="H1371">
        <v>6</v>
      </c>
      <c r="I1371">
        <v>2</v>
      </c>
      <c r="J1371">
        <v>0</v>
      </c>
      <c r="K1371">
        <v>0</v>
      </c>
      <c r="L1371" s="61" t="s">
        <v>4779</v>
      </c>
    </row>
    <row r="1372" spans="6:12">
      <c r="F1372" t="s">
        <v>12701</v>
      </c>
      <c r="G1372" t="s">
        <v>12702</v>
      </c>
      <c r="H1372">
        <v>5</v>
      </c>
      <c r="I1372">
        <v>3</v>
      </c>
      <c r="J1372">
        <v>0</v>
      </c>
      <c r="K1372">
        <v>0</v>
      </c>
      <c r="L1372" s="61" t="s">
        <v>4779</v>
      </c>
    </row>
    <row r="1373" spans="6:12">
      <c r="F1373" t="s">
        <v>12703</v>
      </c>
      <c r="G1373" t="s">
        <v>10954</v>
      </c>
      <c r="H1373">
        <v>5</v>
      </c>
      <c r="I1373">
        <v>3</v>
      </c>
      <c r="J1373">
        <v>0</v>
      </c>
      <c r="K1373">
        <v>0</v>
      </c>
      <c r="L1373" s="61" t="s">
        <v>4779</v>
      </c>
    </row>
    <row r="1374" spans="6:12">
      <c r="F1374" t="s">
        <v>12704</v>
      </c>
      <c r="G1374" t="s">
        <v>12705</v>
      </c>
      <c r="H1374">
        <v>6</v>
      </c>
      <c r="I1374">
        <v>2</v>
      </c>
      <c r="J1374">
        <v>0</v>
      </c>
      <c r="K1374">
        <v>0</v>
      </c>
      <c r="L1374" s="61" t="s">
        <v>4779</v>
      </c>
    </row>
    <row r="1375" spans="6:12">
      <c r="F1375" t="s">
        <v>12706</v>
      </c>
      <c r="G1375" t="s">
        <v>8113</v>
      </c>
      <c r="H1375">
        <v>5</v>
      </c>
      <c r="I1375">
        <v>3</v>
      </c>
      <c r="J1375">
        <v>0</v>
      </c>
      <c r="K1375">
        <v>0</v>
      </c>
      <c r="L1375" s="61" t="s">
        <v>4779</v>
      </c>
    </row>
    <row r="1376" spans="6:12">
      <c r="F1376" t="s">
        <v>12707</v>
      </c>
      <c r="G1376" t="s">
        <v>5223</v>
      </c>
      <c r="H1376">
        <v>5</v>
      </c>
      <c r="I1376">
        <v>2</v>
      </c>
      <c r="J1376">
        <v>1</v>
      </c>
      <c r="K1376">
        <v>0</v>
      </c>
      <c r="L1376" s="61" t="s">
        <v>4779</v>
      </c>
    </row>
    <row r="1377" spans="6:12">
      <c r="F1377" t="s">
        <v>12708</v>
      </c>
      <c r="G1377" t="s">
        <v>12709</v>
      </c>
      <c r="H1377">
        <v>6</v>
      </c>
      <c r="I1377">
        <v>1</v>
      </c>
      <c r="J1377">
        <v>1</v>
      </c>
      <c r="K1377">
        <v>0</v>
      </c>
      <c r="L1377" s="61" t="s">
        <v>4779</v>
      </c>
    </row>
    <row r="1378" spans="6:12">
      <c r="F1378" t="s">
        <v>12710</v>
      </c>
      <c r="G1378" t="s">
        <v>12711</v>
      </c>
      <c r="H1378">
        <v>6</v>
      </c>
      <c r="I1378">
        <v>2</v>
      </c>
      <c r="J1378">
        <v>0</v>
      </c>
      <c r="K1378">
        <v>0</v>
      </c>
      <c r="L1378" s="61" t="s">
        <v>4779</v>
      </c>
    </row>
    <row r="1379" spans="6:12">
      <c r="F1379" t="s">
        <v>12712</v>
      </c>
      <c r="G1379" t="s">
        <v>12713</v>
      </c>
      <c r="H1379">
        <v>5</v>
      </c>
      <c r="I1379">
        <v>3</v>
      </c>
      <c r="J1379">
        <v>0</v>
      </c>
      <c r="K1379">
        <v>0</v>
      </c>
      <c r="L1379" s="61" t="s">
        <v>4779</v>
      </c>
    </row>
    <row r="1380" spans="6:12">
      <c r="F1380" t="s">
        <v>12714</v>
      </c>
      <c r="G1380" t="s">
        <v>4677</v>
      </c>
      <c r="H1380">
        <v>4</v>
      </c>
      <c r="I1380">
        <v>2</v>
      </c>
      <c r="J1380">
        <v>2</v>
      </c>
      <c r="K1380">
        <v>0</v>
      </c>
      <c r="L1380" s="61" t="s">
        <v>4779</v>
      </c>
    </row>
    <row r="1381" spans="6:12">
      <c r="F1381" t="s">
        <v>12715</v>
      </c>
      <c r="G1381" t="s">
        <v>4659</v>
      </c>
      <c r="H1381">
        <v>5</v>
      </c>
      <c r="I1381">
        <v>3</v>
      </c>
      <c r="J1381">
        <v>0</v>
      </c>
      <c r="K1381">
        <v>0</v>
      </c>
      <c r="L1381" s="61" t="s">
        <v>4779</v>
      </c>
    </row>
    <row r="1382" spans="6:12">
      <c r="F1382" t="s">
        <v>12716</v>
      </c>
      <c r="G1382" t="s">
        <v>5673</v>
      </c>
      <c r="H1382">
        <v>6</v>
      </c>
      <c r="I1382">
        <v>2</v>
      </c>
      <c r="J1382">
        <v>0</v>
      </c>
      <c r="K1382">
        <v>0</v>
      </c>
      <c r="L1382" s="61" t="s">
        <v>4779</v>
      </c>
    </row>
    <row r="1383" spans="6:12">
      <c r="F1383" t="s">
        <v>12717</v>
      </c>
      <c r="G1383" t="s">
        <v>12718</v>
      </c>
      <c r="H1383">
        <v>5</v>
      </c>
      <c r="I1383">
        <v>3</v>
      </c>
      <c r="J1383">
        <v>0</v>
      </c>
      <c r="K1383">
        <v>0</v>
      </c>
      <c r="L1383" s="61" t="s">
        <v>4808</v>
      </c>
    </row>
    <row r="1384" spans="6:12">
      <c r="F1384" t="s">
        <v>12719</v>
      </c>
      <c r="G1384" t="s">
        <v>12720</v>
      </c>
      <c r="H1384">
        <v>5</v>
      </c>
      <c r="I1384">
        <v>3</v>
      </c>
      <c r="J1384">
        <v>0</v>
      </c>
      <c r="K1384">
        <v>0</v>
      </c>
      <c r="L1384" s="61" t="s">
        <v>4779</v>
      </c>
    </row>
    <row r="1385" spans="6:12">
      <c r="F1385" t="s">
        <v>12721</v>
      </c>
      <c r="G1385" t="s">
        <v>12722</v>
      </c>
      <c r="H1385">
        <v>6</v>
      </c>
      <c r="I1385">
        <v>1</v>
      </c>
      <c r="J1385">
        <v>1</v>
      </c>
      <c r="K1385">
        <v>0</v>
      </c>
      <c r="L1385" s="61" t="s">
        <v>4779</v>
      </c>
    </row>
    <row r="1386" spans="6:12">
      <c r="F1386" t="s">
        <v>12723</v>
      </c>
      <c r="G1386" t="s">
        <v>5401</v>
      </c>
      <c r="H1386">
        <v>4</v>
      </c>
      <c r="I1386">
        <v>3</v>
      </c>
      <c r="J1386">
        <v>1</v>
      </c>
      <c r="K1386">
        <v>0</v>
      </c>
      <c r="L1386" s="61" t="s">
        <v>4779</v>
      </c>
    </row>
    <row r="1387" spans="6:12">
      <c r="F1387" t="s">
        <v>12724</v>
      </c>
      <c r="G1387" t="s">
        <v>12725</v>
      </c>
      <c r="H1387">
        <v>5</v>
      </c>
      <c r="I1387">
        <v>3</v>
      </c>
      <c r="J1387">
        <v>0</v>
      </c>
      <c r="K1387">
        <v>0</v>
      </c>
      <c r="L1387" s="61" t="s">
        <v>4779</v>
      </c>
    </row>
    <row r="1388" spans="6:12">
      <c r="F1388" t="s">
        <v>12726</v>
      </c>
      <c r="G1388" t="s">
        <v>12727</v>
      </c>
      <c r="H1388">
        <v>5</v>
      </c>
      <c r="I1388">
        <v>3</v>
      </c>
      <c r="J1388">
        <v>0</v>
      </c>
      <c r="K1388">
        <v>0</v>
      </c>
      <c r="L1388" s="61" t="s">
        <v>4779</v>
      </c>
    </row>
    <row r="1389" spans="6:12">
      <c r="F1389" t="s">
        <v>12728</v>
      </c>
      <c r="G1389" t="s">
        <v>12729</v>
      </c>
      <c r="H1389">
        <v>6</v>
      </c>
      <c r="I1389">
        <v>2</v>
      </c>
      <c r="J1389">
        <v>0</v>
      </c>
      <c r="K1389">
        <v>0</v>
      </c>
      <c r="L1389" s="61" t="s">
        <v>4779</v>
      </c>
    </row>
    <row r="1390" spans="6:12">
      <c r="F1390" t="s">
        <v>12730</v>
      </c>
      <c r="G1390" t="s">
        <v>4658</v>
      </c>
      <c r="H1390">
        <v>5</v>
      </c>
      <c r="I1390">
        <v>3</v>
      </c>
      <c r="J1390">
        <v>0</v>
      </c>
      <c r="K1390">
        <v>0</v>
      </c>
      <c r="L1390" s="61" t="s">
        <v>4779</v>
      </c>
    </row>
    <row r="1391" spans="6:12">
      <c r="F1391" t="s">
        <v>12731</v>
      </c>
      <c r="G1391" t="s">
        <v>12732</v>
      </c>
      <c r="H1391">
        <v>7</v>
      </c>
      <c r="I1391">
        <v>1</v>
      </c>
      <c r="J1391">
        <v>0</v>
      </c>
      <c r="K1391">
        <v>0</v>
      </c>
      <c r="L1391" s="61" t="s">
        <v>4779</v>
      </c>
    </row>
    <row r="1392" spans="6:12">
      <c r="F1392" t="s">
        <v>12733</v>
      </c>
      <c r="G1392" t="s">
        <v>12734</v>
      </c>
      <c r="H1392">
        <v>6</v>
      </c>
      <c r="I1392">
        <v>1</v>
      </c>
      <c r="J1392">
        <v>1</v>
      </c>
      <c r="K1392">
        <v>0</v>
      </c>
      <c r="L1392" s="61" t="s">
        <v>4779</v>
      </c>
    </row>
    <row r="1393" spans="6:12">
      <c r="F1393" t="s">
        <v>12735</v>
      </c>
      <c r="G1393" t="s">
        <v>12736</v>
      </c>
      <c r="H1393">
        <v>7</v>
      </c>
      <c r="I1393">
        <v>1</v>
      </c>
      <c r="J1393">
        <v>0</v>
      </c>
      <c r="K1393">
        <v>0</v>
      </c>
      <c r="L1393" s="61" t="s">
        <v>4779</v>
      </c>
    </row>
    <row r="1394" spans="6:12">
      <c r="F1394" t="s">
        <v>12737</v>
      </c>
      <c r="G1394" t="s">
        <v>12738</v>
      </c>
      <c r="H1394">
        <v>6</v>
      </c>
      <c r="I1394">
        <v>2</v>
      </c>
      <c r="J1394">
        <v>0</v>
      </c>
      <c r="K1394">
        <v>0</v>
      </c>
      <c r="L1394" s="61" t="s">
        <v>4779</v>
      </c>
    </row>
    <row r="1395" spans="6:12">
      <c r="F1395" t="s">
        <v>12739</v>
      </c>
      <c r="G1395" t="s">
        <v>5443</v>
      </c>
      <c r="H1395">
        <v>6</v>
      </c>
      <c r="I1395">
        <v>2</v>
      </c>
      <c r="J1395">
        <v>0</v>
      </c>
      <c r="K1395">
        <v>0</v>
      </c>
      <c r="L1395" s="61" t="s">
        <v>4779</v>
      </c>
    </row>
    <row r="1396" spans="6:12">
      <c r="F1396" t="s">
        <v>12740</v>
      </c>
      <c r="G1396" t="s">
        <v>10927</v>
      </c>
      <c r="H1396">
        <v>5</v>
      </c>
      <c r="I1396">
        <v>1</v>
      </c>
      <c r="J1396">
        <v>2</v>
      </c>
      <c r="K1396">
        <v>0</v>
      </c>
      <c r="L1396" s="61" t="s">
        <v>4779</v>
      </c>
    </row>
    <row r="1397" spans="6:12">
      <c r="F1397" t="s">
        <v>12741</v>
      </c>
      <c r="G1397" t="s">
        <v>12742</v>
      </c>
      <c r="H1397">
        <v>5</v>
      </c>
      <c r="I1397">
        <v>3</v>
      </c>
      <c r="J1397">
        <v>0</v>
      </c>
      <c r="K1397">
        <v>0</v>
      </c>
      <c r="L1397" s="61" t="s">
        <v>4779</v>
      </c>
    </row>
    <row r="1398" spans="6:12">
      <c r="F1398" t="s">
        <v>12743</v>
      </c>
      <c r="G1398" t="s">
        <v>5461</v>
      </c>
      <c r="H1398">
        <v>3</v>
      </c>
      <c r="I1398">
        <v>3</v>
      </c>
      <c r="J1398">
        <v>2</v>
      </c>
      <c r="K1398">
        <v>0</v>
      </c>
      <c r="L1398" s="61" t="s">
        <v>4779</v>
      </c>
    </row>
    <row r="1399" spans="6:12">
      <c r="F1399" t="s">
        <v>12744</v>
      </c>
      <c r="G1399" t="s">
        <v>5292</v>
      </c>
      <c r="H1399">
        <v>6</v>
      </c>
      <c r="I1399">
        <v>2</v>
      </c>
      <c r="J1399">
        <v>0</v>
      </c>
      <c r="K1399">
        <v>0</v>
      </c>
      <c r="L1399" s="61" t="s">
        <v>4779</v>
      </c>
    </row>
    <row r="1400" spans="6:12">
      <c r="F1400" t="s">
        <v>12745</v>
      </c>
      <c r="G1400" t="s">
        <v>5455</v>
      </c>
      <c r="H1400">
        <v>4</v>
      </c>
      <c r="I1400">
        <v>2</v>
      </c>
      <c r="J1400">
        <v>2</v>
      </c>
      <c r="K1400">
        <v>0</v>
      </c>
      <c r="L1400" s="61" t="s">
        <v>4779</v>
      </c>
    </row>
    <row r="1401" spans="6:12">
      <c r="F1401" t="s">
        <v>12746</v>
      </c>
      <c r="G1401" t="s">
        <v>12747</v>
      </c>
      <c r="H1401">
        <v>4</v>
      </c>
      <c r="I1401">
        <v>3</v>
      </c>
      <c r="J1401">
        <v>1</v>
      </c>
      <c r="K1401">
        <v>0</v>
      </c>
      <c r="L1401" s="61" t="s">
        <v>4779</v>
      </c>
    </row>
    <row r="1402" spans="6:12">
      <c r="F1402" t="s">
        <v>12748</v>
      </c>
      <c r="G1402" t="s">
        <v>5713</v>
      </c>
      <c r="H1402">
        <v>6</v>
      </c>
      <c r="I1402">
        <v>1</v>
      </c>
      <c r="J1402">
        <v>1</v>
      </c>
      <c r="K1402">
        <v>0</v>
      </c>
      <c r="L1402" s="61" t="s">
        <v>4779</v>
      </c>
    </row>
    <row r="1403" spans="6:12">
      <c r="F1403" t="s">
        <v>12749</v>
      </c>
      <c r="G1403" t="s">
        <v>5001</v>
      </c>
      <c r="H1403">
        <v>5</v>
      </c>
      <c r="I1403">
        <v>1</v>
      </c>
      <c r="J1403">
        <v>2</v>
      </c>
      <c r="K1403">
        <v>0</v>
      </c>
      <c r="L1403" s="61" t="s">
        <v>4779</v>
      </c>
    </row>
    <row r="1404" spans="6:12">
      <c r="F1404" t="s">
        <v>12750</v>
      </c>
      <c r="G1404" t="s">
        <v>5813</v>
      </c>
      <c r="H1404">
        <v>5</v>
      </c>
      <c r="I1404">
        <v>3</v>
      </c>
      <c r="J1404">
        <v>0</v>
      </c>
      <c r="K1404">
        <v>0</v>
      </c>
      <c r="L1404" s="61" t="s">
        <v>4779</v>
      </c>
    </row>
    <row r="1405" spans="6:12">
      <c r="F1405" t="s">
        <v>12751</v>
      </c>
      <c r="G1405" t="s">
        <v>12752</v>
      </c>
      <c r="H1405">
        <v>6</v>
      </c>
      <c r="I1405">
        <v>2</v>
      </c>
      <c r="J1405">
        <v>0</v>
      </c>
      <c r="K1405">
        <v>0</v>
      </c>
      <c r="L1405" s="61" t="s">
        <v>4779</v>
      </c>
    </row>
    <row r="1406" spans="6:12">
      <c r="F1406" t="s">
        <v>12753</v>
      </c>
      <c r="G1406" t="s">
        <v>12754</v>
      </c>
      <c r="H1406">
        <v>7</v>
      </c>
      <c r="I1406">
        <v>1</v>
      </c>
      <c r="J1406">
        <v>0</v>
      </c>
      <c r="K1406">
        <v>0</v>
      </c>
      <c r="L1406" s="61" t="s">
        <v>4779</v>
      </c>
    </row>
    <row r="1407" spans="6:12">
      <c r="F1407" t="s">
        <v>12755</v>
      </c>
      <c r="G1407" t="s">
        <v>5332</v>
      </c>
      <c r="H1407">
        <v>4</v>
      </c>
      <c r="I1407">
        <v>2</v>
      </c>
      <c r="J1407">
        <v>2</v>
      </c>
      <c r="K1407">
        <v>0</v>
      </c>
      <c r="L1407" s="61" t="s">
        <v>4808</v>
      </c>
    </row>
    <row r="1408" spans="6:12">
      <c r="F1408" t="s">
        <v>12756</v>
      </c>
      <c r="G1408" t="s">
        <v>5317</v>
      </c>
      <c r="H1408">
        <v>5</v>
      </c>
      <c r="I1408">
        <v>2</v>
      </c>
      <c r="J1408">
        <v>1</v>
      </c>
      <c r="K1408">
        <v>0</v>
      </c>
      <c r="L1408" s="61" t="s">
        <v>4810</v>
      </c>
    </row>
    <row r="1409" spans="6:12">
      <c r="F1409" t="s">
        <v>12757</v>
      </c>
      <c r="G1409" t="s">
        <v>5105</v>
      </c>
      <c r="H1409">
        <v>7</v>
      </c>
      <c r="I1409">
        <v>1</v>
      </c>
      <c r="J1409">
        <v>0</v>
      </c>
      <c r="K1409">
        <v>0</v>
      </c>
      <c r="L1409" s="61" t="s">
        <v>4779</v>
      </c>
    </row>
    <row r="1410" spans="6:12">
      <c r="F1410" t="s">
        <v>12758</v>
      </c>
      <c r="G1410" t="s">
        <v>10943</v>
      </c>
      <c r="H1410">
        <v>5</v>
      </c>
      <c r="I1410">
        <v>3</v>
      </c>
      <c r="J1410">
        <v>0</v>
      </c>
      <c r="K1410">
        <v>0</v>
      </c>
      <c r="L1410" s="61" t="s">
        <v>4779</v>
      </c>
    </row>
    <row r="1411" spans="6:12">
      <c r="F1411" t="s">
        <v>12759</v>
      </c>
      <c r="G1411" t="s">
        <v>12760</v>
      </c>
      <c r="H1411">
        <v>6</v>
      </c>
      <c r="I1411">
        <v>2</v>
      </c>
      <c r="J1411">
        <v>0</v>
      </c>
      <c r="K1411">
        <v>0</v>
      </c>
      <c r="L1411" s="61" t="s">
        <v>4779</v>
      </c>
    </row>
    <row r="1412" spans="6:12">
      <c r="F1412" t="s">
        <v>12761</v>
      </c>
      <c r="G1412" t="s">
        <v>5243</v>
      </c>
      <c r="H1412">
        <v>6</v>
      </c>
      <c r="I1412">
        <v>2</v>
      </c>
      <c r="J1412">
        <v>0</v>
      </c>
      <c r="K1412">
        <v>0</v>
      </c>
      <c r="L1412" s="61" t="s">
        <v>4779</v>
      </c>
    </row>
    <row r="1413" spans="6:12">
      <c r="F1413" t="s">
        <v>12762</v>
      </c>
      <c r="G1413" t="s">
        <v>4728</v>
      </c>
      <c r="H1413">
        <v>4</v>
      </c>
      <c r="I1413">
        <v>3</v>
      </c>
      <c r="J1413">
        <v>1</v>
      </c>
      <c r="K1413">
        <v>0</v>
      </c>
      <c r="L1413" s="61" t="s">
        <v>4779</v>
      </c>
    </row>
    <row r="1414" spans="6:12">
      <c r="F1414" t="s">
        <v>12763</v>
      </c>
      <c r="G1414" t="s">
        <v>5577</v>
      </c>
      <c r="H1414">
        <v>4</v>
      </c>
      <c r="I1414">
        <v>2</v>
      </c>
      <c r="J1414">
        <v>2</v>
      </c>
      <c r="K1414">
        <v>0</v>
      </c>
      <c r="L1414" s="61" t="s">
        <v>4779</v>
      </c>
    </row>
    <row r="1415" spans="6:12">
      <c r="F1415" t="s">
        <v>12764</v>
      </c>
      <c r="G1415" t="s">
        <v>4995</v>
      </c>
      <c r="H1415">
        <v>4</v>
      </c>
      <c r="I1415">
        <v>2</v>
      </c>
      <c r="J1415">
        <v>2</v>
      </c>
      <c r="K1415">
        <v>0</v>
      </c>
      <c r="L1415" s="61" t="s">
        <v>4779</v>
      </c>
    </row>
    <row r="1416" spans="6:12">
      <c r="F1416" t="s">
        <v>12765</v>
      </c>
      <c r="G1416" t="s">
        <v>12766</v>
      </c>
      <c r="H1416">
        <v>7</v>
      </c>
      <c r="I1416">
        <v>1</v>
      </c>
      <c r="J1416">
        <v>0</v>
      </c>
      <c r="K1416">
        <v>0</v>
      </c>
      <c r="L1416" s="61" t="s">
        <v>4779</v>
      </c>
    </row>
    <row r="1417" spans="6:12">
      <c r="F1417" t="s">
        <v>12767</v>
      </c>
      <c r="G1417" t="s">
        <v>5296</v>
      </c>
      <c r="H1417">
        <v>6</v>
      </c>
      <c r="I1417">
        <v>2</v>
      </c>
      <c r="J1417">
        <v>0</v>
      </c>
      <c r="K1417">
        <v>0</v>
      </c>
      <c r="L1417" s="61" t="s">
        <v>4808</v>
      </c>
    </row>
    <row r="1418" spans="6:12">
      <c r="F1418" t="s">
        <v>12768</v>
      </c>
      <c r="G1418" t="s">
        <v>5705</v>
      </c>
      <c r="H1418">
        <v>7</v>
      </c>
      <c r="I1418">
        <v>1</v>
      </c>
      <c r="J1418">
        <v>0</v>
      </c>
      <c r="K1418">
        <v>0</v>
      </c>
      <c r="L1418" s="61" t="s">
        <v>4779</v>
      </c>
    </row>
    <row r="1419" spans="6:12">
      <c r="F1419" t="s">
        <v>12769</v>
      </c>
      <c r="G1419" t="s">
        <v>10935</v>
      </c>
      <c r="H1419">
        <v>5</v>
      </c>
      <c r="I1419">
        <v>1</v>
      </c>
      <c r="J1419">
        <v>2</v>
      </c>
      <c r="K1419">
        <v>0</v>
      </c>
      <c r="L1419" s="61" t="s">
        <v>4779</v>
      </c>
    </row>
    <row r="1420" spans="6:12">
      <c r="F1420" t="s">
        <v>12770</v>
      </c>
      <c r="G1420" t="s">
        <v>12771</v>
      </c>
      <c r="H1420">
        <v>7</v>
      </c>
      <c r="I1420">
        <v>1</v>
      </c>
      <c r="J1420">
        <v>0</v>
      </c>
      <c r="K1420">
        <v>0</v>
      </c>
      <c r="L1420" s="61" t="s">
        <v>4779</v>
      </c>
    </row>
    <row r="1421" spans="6:12">
      <c r="F1421" t="s">
        <v>12772</v>
      </c>
      <c r="G1421" t="s">
        <v>7464</v>
      </c>
      <c r="H1421">
        <v>4</v>
      </c>
      <c r="I1421">
        <v>2</v>
      </c>
      <c r="J1421">
        <v>2</v>
      </c>
      <c r="K1421">
        <v>0</v>
      </c>
      <c r="L1421" s="61" t="s">
        <v>4779</v>
      </c>
    </row>
    <row r="1422" spans="6:12">
      <c r="F1422" t="s">
        <v>12773</v>
      </c>
      <c r="G1422" t="s">
        <v>5373</v>
      </c>
      <c r="H1422">
        <v>4</v>
      </c>
      <c r="I1422">
        <v>2</v>
      </c>
      <c r="J1422">
        <v>2</v>
      </c>
      <c r="K1422">
        <v>0</v>
      </c>
      <c r="L1422" s="61" t="s">
        <v>4779</v>
      </c>
    </row>
    <row r="1423" spans="6:12">
      <c r="F1423" t="s">
        <v>12774</v>
      </c>
      <c r="G1423" t="s">
        <v>7911</v>
      </c>
      <c r="H1423">
        <v>5</v>
      </c>
      <c r="I1423">
        <v>3</v>
      </c>
      <c r="J1423">
        <v>0</v>
      </c>
      <c r="K1423">
        <v>0</v>
      </c>
      <c r="L1423" s="61" t="s">
        <v>4779</v>
      </c>
    </row>
    <row r="1424" spans="6:12">
      <c r="F1424" t="s">
        <v>12775</v>
      </c>
      <c r="G1424" t="s">
        <v>11059</v>
      </c>
      <c r="H1424">
        <v>4</v>
      </c>
      <c r="I1424">
        <v>3</v>
      </c>
      <c r="J1424">
        <v>1</v>
      </c>
      <c r="K1424">
        <v>0</v>
      </c>
      <c r="L1424" s="61" t="s">
        <v>4779</v>
      </c>
    </row>
    <row r="1425" spans="6:12">
      <c r="F1425" t="s">
        <v>12776</v>
      </c>
      <c r="G1425" t="s">
        <v>5707</v>
      </c>
      <c r="H1425">
        <v>6</v>
      </c>
      <c r="I1425">
        <v>2</v>
      </c>
      <c r="J1425">
        <v>0</v>
      </c>
      <c r="K1425">
        <v>0</v>
      </c>
      <c r="L1425" s="61" t="s">
        <v>4779</v>
      </c>
    </row>
    <row r="1426" spans="6:12">
      <c r="F1426" t="s">
        <v>12777</v>
      </c>
      <c r="G1426" t="s">
        <v>10985</v>
      </c>
      <c r="H1426">
        <v>6</v>
      </c>
      <c r="I1426">
        <v>2</v>
      </c>
      <c r="J1426">
        <v>0</v>
      </c>
      <c r="K1426">
        <v>0</v>
      </c>
      <c r="L1426" s="61" t="s">
        <v>4779</v>
      </c>
    </row>
    <row r="1427" spans="6:12">
      <c r="F1427" t="s">
        <v>12778</v>
      </c>
      <c r="G1427" t="s">
        <v>12779</v>
      </c>
      <c r="H1427">
        <v>7</v>
      </c>
      <c r="I1427">
        <v>1</v>
      </c>
      <c r="J1427">
        <v>0</v>
      </c>
      <c r="K1427">
        <v>0</v>
      </c>
      <c r="L1427" s="61" t="s">
        <v>4779</v>
      </c>
    </row>
    <row r="1428" spans="6:12">
      <c r="F1428" t="s">
        <v>12780</v>
      </c>
      <c r="G1428" t="s">
        <v>5777</v>
      </c>
      <c r="H1428">
        <v>5</v>
      </c>
      <c r="I1428">
        <v>3</v>
      </c>
      <c r="J1428">
        <v>0</v>
      </c>
      <c r="K1428">
        <v>0</v>
      </c>
      <c r="L1428" s="61" t="s">
        <v>4779</v>
      </c>
    </row>
    <row r="1429" spans="6:12">
      <c r="F1429" t="s">
        <v>12781</v>
      </c>
      <c r="G1429" t="s">
        <v>12782</v>
      </c>
      <c r="H1429">
        <v>3</v>
      </c>
      <c r="I1429">
        <v>3</v>
      </c>
      <c r="J1429">
        <v>2</v>
      </c>
      <c r="K1429">
        <v>0</v>
      </c>
      <c r="L1429" s="61" t="s">
        <v>4779</v>
      </c>
    </row>
    <row r="1430" spans="6:12">
      <c r="F1430" t="s">
        <v>12783</v>
      </c>
      <c r="G1430" t="s">
        <v>12784</v>
      </c>
      <c r="H1430">
        <v>6</v>
      </c>
      <c r="I1430">
        <v>2</v>
      </c>
      <c r="J1430">
        <v>0</v>
      </c>
      <c r="K1430">
        <v>0</v>
      </c>
      <c r="L1430" s="61" t="s">
        <v>4779</v>
      </c>
    </row>
    <row r="1431" spans="6:12">
      <c r="F1431" t="s">
        <v>12785</v>
      </c>
      <c r="G1431" t="s">
        <v>5370</v>
      </c>
      <c r="H1431">
        <v>4</v>
      </c>
      <c r="I1431">
        <v>3</v>
      </c>
      <c r="J1431">
        <v>1</v>
      </c>
      <c r="K1431">
        <v>0</v>
      </c>
      <c r="L1431" s="61" t="s">
        <v>4779</v>
      </c>
    </row>
    <row r="1432" spans="6:12">
      <c r="F1432" t="s">
        <v>12786</v>
      </c>
      <c r="G1432" t="s">
        <v>5067</v>
      </c>
      <c r="H1432">
        <v>5</v>
      </c>
      <c r="I1432">
        <v>3</v>
      </c>
      <c r="J1432">
        <v>0</v>
      </c>
      <c r="K1432">
        <v>0</v>
      </c>
      <c r="L1432" s="61" t="s">
        <v>4779</v>
      </c>
    </row>
    <row r="1433" spans="6:12">
      <c r="F1433" t="s">
        <v>12787</v>
      </c>
      <c r="G1433" t="s">
        <v>12788</v>
      </c>
      <c r="H1433">
        <v>5</v>
      </c>
      <c r="I1433">
        <v>1</v>
      </c>
      <c r="J1433">
        <v>2</v>
      </c>
      <c r="K1433">
        <v>0</v>
      </c>
      <c r="L1433" s="61" t="s">
        <v>4779</v>
      </c>
    </row>
    <row r="1434" spans="6:12">
      <c r="F1434" t="s">
        <v>12385</v>
      </c>
      <c r="G1434" t="s">
        <v>12789</v>
      </c>
      <c r="H1434">
        <v>7</v>
      </c>
      <c r="I1434">
        <v>1</v>
      </c>
      <c r="J1434">
        <v>0</v>
      </c>
      <c r="K1434">
        <v>0</v>
      </c>
      <c r="L1434" s="61" t="s">
        <v>4779</v>
      </c>
    </row>
    <row r="1435" spans="6:12">
      <c r="F1435" t="s">
        <v>12790</v>
      </c>
      <c r="G1435" t="s">
        <v>5565</v>
      </c>
      <c r="H1435">
        <v>5</v>
      </c>
      <c r="I1435">
        <v>3</v>
      </c>
      <c r="J1435">
        <v>0</v>
      </c>
      <c r="K1435">
        <v>0</v>
      </c>
      <c r="L1435" s="61" t="s">
        <v>4779</v>
      </c>
    </row>
    <row r="1436" spans="6:12">
      <c r="F1436" t="s">
        <v>12791</v>
      </c>
      <c r="G1436" t="s">
        <v>5104</v>
      </c>
      <c r="H1436">
        <v>5</v>
      </c>
      <c r="I1436">
        <v>3</v>
      </c>
      <c r="J1436">
        <v>0</v>
      </c>
      <c r="K1436">
        <v>0</v>
      </c>
      <c r="L1436" s="61" t="s">
        <v>4779</v>
      </c>
    </row>
    <row r="1437" spans="6:12">
      <c r="F1437" t="s">
        <v>12792</v>
      </c>
      <c r="G1437" t="s">
        <v>12793</v>
      </c>
      <c r="H1437">
        <v>7</v>
      </c>
      <c r="I1437">
        <v>1</v>
      </c>
      <c r="J1437">
        <v>0</v>
      </c>
      <c r="K1437">
        <v>0</v>
      </c>
      <c r="L1437" s="61" t="s">
        <v>4779</v>
      </c>
    </row>
    <row r="1438" spans="6:12">
      <c r="F1438" t="s">
        <v>12794</v>
      </c>
      <c r="G1438" t="s">
        <v>12795</v>
      </c>
      <c r="H1438">
        <v>7</v>
      </c>
      <c r="I1438">
        <v>1</v>
      </c>
      <c r="J1438">
        <v>0</v>
      </c>
      <c r="K1438">
        <v>0</v>
      </c>
      <c r="L1438" s="61" t="s">
        <v>4779</v>
      </c>
    </row>
    <row r="1439" spans="6:12">
      <c r="F1439" t="s">
        <v>12796</v>
      </c>
      <c r="G1439" t="s">
        <v>10958</v>
      </c>
      <c r="H1439">
        <v>4</v>
      </c>
      <c r="I1439">
        <v>2</v>
      </c>
      <c r="J1439">
        <v>2</v>
      </c>
      <c r="K1439">
        <v>0</v>
      </c>
      <c r="L1439" s="61" t="s">
        <v>4779</v>
      </c>
    </row>
    <row r="1440" spans="6:12">
      <c r="F1440" t="s">
        <v>12797</v>
      </c>
      <c r="G1440" t="s">
        <v>12798</v>
      </c>
      <c r="H1440">
        <v>5</v>
      </c>
      <c r="I1440">
        <v>3</v>
      </c>
      <c r="J1440">
        <v>0</v>
      </c>
      <c r="K1440">
        <v>0</v>
      </c>
      <c r="L1440" s="61" t="s">
        <v>4779</v>
      </c>
    </row>
    <row r="1441" spans="6:12">
      <c r="F1441" t="s">
        <v>12799</v>
      </c>
      <c r="G1441" t="s">
        <v>12800</v>
      </c>
      <c r="H1441">
        <v>6</v>
      </c>
      <c r="I1441">
        <v>2</v>
      </c>
      <c r="J1441">
        <v>0</v>
      </c>
      <c r="K1441">
        <v>0</v>
      </c>
      <c r="L1441" s="61" t="s">
        <v>4779</v>
      </c>
    </row>
    <row r="1442" spans="6:12">
      <c r="F1442" t="s">
        <v>12801</v>
      </c>
      <c r="G1442" t="s">
        <v>4998</v>
      </c>
      <c r="H1442">
        <v>6</v>
      </c>
      <c r="I1442">
        <v>2</v>
      </c>
      <c r="J1442">
        <v>0</v>
      </c>
      <c r="K1442">
        <v>0</v>
      </c>
      <c r="L1442" s="61" t="s">
        <v>4779</v>
      </c>
    </row>
    <row r="1443" spans="6:12">
      <c r="F1443" t="s">
        <v>12802</v>
      </c>
      <c r="G1443" t="s">
        <v>5064</v>
      </c>
      <c r="H1443">
        <v>3</v>
      </c>
      <c r="I1443">
        <v>3</v>
      </c>
      <c r="J1443">
        <v>2</v>
      </c>
      <c r="K1443">
        <v>0</v>
      </c>
      <c r="L1443" s="61" t="s">
        <v>4779</v>
      </c>
    </row>
    <row r="1444" spans="6:12">
      <c r="F1444" t="s">
        <v>12803</v>
      </c>
      <c r="G1444" t="s">
        <v>5332</v>
      </c>
      <c r="H1444">
        <v>4</v>
      </c>
      <c r="I1444">
        <v>3</v>
      </c>
      <c r="J1444">
        <v>1</v>
      </c>
      <c r="K1444">
        <v>0</v>
      </c>
      <c r="L1444" s="61" t="s">
        <v>4779</v>
      </c>
    </row>
    <row r="1445" spans="6:12">
      <c r="F1445" t="s">
        <v>12804</v>
      </c>
      <c r="G1445" t="s">
        <v>7861</v>
      </c>
      <c r="H1445">
        <v>5</v>
      </c>
      <c r="I1445">
        <v>3</v>
      </c>
      <c r="J1445">
        <v>0</v>
      </c>
      <c r="K1445">
        <v>0</v>
      </c>
      <c r="L1445" s="61" t="s">
        <v>4779</v>
      </c>
    </row>
    <row r="1446" spans="6:12">
      <c r="F1446" t="s">
        <v>12805</v>
      </c>
      <c r="G1446" t="s">
        <v>12806</v>
      </c>
      <c r="H1446">
        <v>7</v>
      </c>
      <c r="I1446">
        <v>1</v>
      </c>
      <c r="J1446">
        <v>0</v>
      </c>
      <c r="K1446">
        <v>0</v>
      </c>
      <c r="L1446" s="61" t="s">
        <v>4779</v>
      </c>
    </row>
    <row r="1447" spans="6:12">
      <c r="F1447" t="s">
        <v>12807</v>
      </c>
      <c r="G1447" t="s">
        <v>10973</v>
      </c>
      <c r="H1447">
        <v>5</v>
      </c>
      <c r="I1447">
        <v>2</v>
      </c>
      <c r="J1447">
        <v>1</v>
      </c>
      <c r="K1447">
        <v>0</v>
      </c>
      <c r="L1447" s="61" t="s">
        <v>4779</v>
      </c>
    </row>
    <row r="1448" spans="6:12">
      <c r="F1448" t="s">
        <v>12808</v>
      </c>
      <c r="G1448" t="s">
        <v>11028</v>
      </c>
      <c r="H1448">
        <v>3</v>
      </c>
      <c r="I1448">
        <v>3</v>
      </c>
      <c r="J1448">
        <v>2</v>
      </c>
      <c r="K1448">
        <v>0</v>
      </c>
      <c r="L1448" s="61" t="s">
        <v>4779</v>
      </c>
    </row>
    <row r="1449" spans="6:12">
      <c r="F1449" t="s">
        <v>12809</v>
      </c>
      <c r="G1449" t="s">
        <v>5305</v>
      </c>
      <c r="H1449">
        <v>3</v>
      </c>
      <c r="I1449">
        <v>3</v>
      </c>
      <c r="J1449">
        <v>2</v>
      </c>
      <c r="K1449">
        <v>0</v>
      </c>
      <c r="L1449" s="61" t="s">
        <v>4779</v>
      </c>
    </row>
    <row r="1450" spans="6:12">
      <c r="F1450" t="s">
        <v>12810</v>
      </c>
      <c r="G1450" t="s">
        <v>5301</v>
      </c>
      <c r="H1450">
        <v>5</v>
      </c>
      <c r="I1450">
        <v>3</v>
      </c>
      <c r="J1450">
        <v>0</v>
      </c>
      <c r="K1450">
        <v>0</v>
      </c>
      <c r="L1450" s="61" t="s">
        <v>4779</v>
      </c>
    </row>
    <row r="1451" spans="6:12">
      <c r="F1451" t="s">
        <v>12811</v>
      </c>
      <c r="G1451" t="s">
        <v>5318</v>
      </c>
      <c r="H1451">
        <v>3</v>
      </c>
      <c r="I1451">
        <v>3</v>
      </c>
      <c r="J1451">
        <v>2</v>
      </c>
      <c r="K1451">
        <v>0</v>
      </c>
      <c r="L1451" s="61" t="s">
        <v>4779</v>
      </c>
    </row>
    <row r="1452" spans="6:12">
      <c r="F1452" t="s">
        <v>12812</v>
      </c>
      <c r="G1452" t="s">
        <v>8252</v>
      </c>
      <c r="H1452">
        <v>5</v>
      </c>
      <c r="I1452">
        <v>3</v>
      </c>
      <c r="J1452">
        <v>0</v>
      </c>
      <c r="K1452">
        <v>0</v>
      </c>
      <c r="L1452" s="61" t="s">
        <v>4779</v>
      </c>
    </row>
    <row r="1453" spans="6:12">
      <c r="F1453" t="s">
        <v>12813</v>
      </c>
      <c r="G1453" t="s">
        <v>4914</v>
      </c>
      <c r="H1453">
        <v>3</v>
      </c>
      <c r="I1453">
        <v>3</v>
      </c>
      <c r="J1453">
        <v>2</v>
      </c>
      <c r="K1453">
        <v>0</v>
      </c>
      <c r="L1453" s="61" t="s">
        <v>4779</v>
      </c>
    </row>
    <row r="1454" spans="6:12">
      <c r="F1454" t="s">
        <v>12814</v>
      </c>
      <c r="G1454" t="s">
        <v>5861</v>
      </c>
      <c r="H1454">
        <v>5</v>
      </c>
      <c r="I1454">
        <v>2</v>
      </c>
      <c r="J1454">
        <v>1</v>
      </c>
      <c r="K1454">
        <v>0</v>
      </c>
      <c r="L1454" s="61" t="s">
        <v>4779</v>
      </c>
    </row>
    <row r="1455" spans="6:12">
      <c r="F1455" t="s">
        <v>12815</v>
      </c>
      <c r="G1455" t="s">
        <v>5819</v>
      </c>
      <c r="H1455">
        <v>5</v>
      </c>
      <c r="I1455">
        <v>3</v>
      </c>
      <c r="J1455">
        <v>0</v>
      </c>
      <c r="K1455">
        <v>0</v>
      </c>
      <c r="L1455" s="61" t="s">
        <v>4779</v>
      </c>
    </row>
    <row r="1456" spans="6:12">
      <c r="F1456" t="s">
        <v>12816</v>
      </c>
      <c r="G1456" t="s">
        <v>12817</v>
      </c>
      <c r="H1456">
        <v>6</v>
      </c>
      <c r="I1456">
        <v>2</v>
      </c>
      <c r="J1456">
        <v>0</v>
      </c>
      <c r="K1456">
        <v>0</v>
      </c>
      <c r="L1456" s="61" t="s">
        <v>4779</v>
      </c>
    </row>
    <row r="1457" spans="6:12">
      <c r="F1457" t="s">
        <v>12818</v>
      </c>
      <c r="G1457" t="s">
        <v>5476</v>
      </c>
      <c r="H1457">
        <v>5</v>
      </c>
      <c r="I1457">
        <v>3</v>
      </c>
      <c r="J1457">
        <v>0</v>
      </c>
      <c r="K1457">
        <v>0</v>
      </c>
      <c r="L1457" s="61" t="s">
        <v>4806</v>
      </c>
    </row>
    <row r="1458" spans="6:12">
      <c r="F1458" t="s">
        <v>12819</v>
      </c>
      <c r="G1458" t="s">
        <v>5108</v>
      </c>
      <c r="H1458">
        <v>6</v>
      </c>
      <c r="I1458">
        <v>2</v>
      </c>
      <c r="J1458">
        <v>0</v>
      </c>
      <c r="K1458">
        <v>0</v>
      </c>
      <c r="L1458" s="61" t="s">
        <v>4779</v>
      </c>
    </row>
    <row r="1459" spans="6:12">
      <c r="F1459" t="s">
        <v>12820</v>
      </c>
      <c r="G1459" t="s">
        <v>5040</v>
      </c>
      <c r="H1459">
        <v>6</v>
      </c>
      <c r="I1459">
        <v>2</v>
      </c>
      <c r="J1459">
        <v>0</v>
      </c>
      <c r="K1459">
        <v>0</v>
      </c>
      <c r="L1459" s="61" t="s">
        <v>4779</v>
      </c>
    </row>
    <row r="1460" spans="6:12">
      <c r="F1460" t="s">
        <v>12821</v>
      </c>
      <c r="G1460" t="s">
        <v>5497</v>
      </c>
      <c r="H1460">
        <v>5</v>
      </c>
      <c r="I1460">
        <v>3</v>
      </c>
      <c r="J1460">
        <v>0</v>
      </c>
      <c r="K1460">
        <v>0</v>
      </c>
      <c r="L1460" s="61" t="s">
        <v>4779</v>
      </c>
    </row>
    <row r="1461" spans="6:12">
      <c r="F1461" t="s">
        <v>12822</v>
      </c>
      <c r="G1461" t="s">
        <v>5291</v>
      </c>
      <c r="H1461">
        <v>3</v>
      </c>
      <c r="I1461">
        <v>3</v>
      </c>
      <c r="J1461">
        <v>2</v>
      </c>
      <c r="K1461">
        <v>0</v>
      </c>
      <c r="L1461" s="61" t="s">
        <v>4779</v>
      </c>
    </row>
    <row r="1462" spans="6:12">
      <c r="F1462" t="s">
        <v>12823</v>
      </c>
      <c r="G1462" t="s">
        <v>5771</v>
      </c>
      <c r="H1462">
        <v>6</v>
      </c>
      <c r="I1462">
        <v>2</v>
      </c>
      <c r="J1462">
        <v>0</v>
      </c>
      <c r="K1462">
        <v>0</v>
      </c>
      <c r="L1462" s="61" t="s">
        <v>4779</v>
      </c>
    </row>
    <row r="1463" spans="6:12">
      <c r="F1463" t="s">
        <v>12824</v>
      </c>
      <c r="G1463" t="s">
        <v>12825</v>
      </c>
      <c r="H1463">
        <v>7</v>
      </c>
      <c r="I1463">
        <v>1</v>
      </c>
      <c r="J1463">
        <v>0</v>
      </c>
      <c r="K1463">
        <v>0</v>
      </c>
      <c r="L1463" s="61" t="s">
        <v>4779</v>
      </c>
    </row>
    <row r="1464" spans="6:12">
      <c r="F1464" t="s">
        <v>12826</v>
      </c>
      <c r="G1464" t="s">
        <v>5457</v>
      </c>
      <c r="H1464">
        <v>5</v>
      </c>
      <c r="I1464">
        <v>3</v>
      </c>
      <c r="J1464">
        <v>0</v>
      </c>
      <c r="K1464">
        <v>0</v>
      </c>
      <c r="L1464" s="61" t="s">
        <v>4779</v>
      </c>
    </row>
    <row r="1465" spans="6:12">
      <c r="F1465" t="s">
        <v>12827</v>
      </c>
      <c r="G1465" t="s">
        <v>5480</v>
      </c>
      <c r="H1465">
        <v>5</v>
      </c>
      <c r="I1465">
        <v>1</v>
      </c>
      <c r="J1465">
        <v>2</v>
      </c>
      <c r="K1465">
        <v>0</v>
      </c>
      <c r="L1465" s="61" t="s">
        <v>4779</v>
      </c>
    </row>
    <row r="1466" spans="6:12">
      <c r="F1466" t="s">
        <v>12828</v>
      </c>
      <c r="G1466" t="s">
        <v>12829</v>
      </c>
      <c r="H1466">
        <v>6</v>
      </c>
      <c r="I1466">
        <v>2</v>
      </c>
      <c r="J1466">
        <v>0</v>
      </c>
      <c r="K1466">
        <v>0</v>
      </c>
      <c r="L1466" s="61" t="s">
        <v>4779</v>
      </c>
    </row>
    <row r="1467" spans="6:12">
      <c r="F1467" t="s">
        <v>12830</v>
      </c>
      <c r="G1467" t="s">
        <v>4946</v>
      </c>
      <c r="H1467">
        <v>4</v>
      </c>
      <c r="I1467">
        <v>3</v>
      </c>
      <c r="J1467">
        <v>1</v>
      </c>
      <c r="K1467">
        <v>0</v>
      </c>
      <c r="L1467" s="61" t="s">
        <v>4779</v>
      </c>
    </row>
    <row r="1468" spans="6:12">
      <c r="F1468" t="s">
        <v>12831</v>
      </c>
      <c r="G1468" t="s">
        <v>4695</v>
      </c>
      <c r="H1468">
        <v>4</v>
      </c>
      <c r="I1468">
        <v>3</v>
      </c>
      <c r="J1468">
        <v>1</v>
      </c>
      <c r="K1468">
        <v>0</v>
      </c>
      <c r="L1468" s="61" t="s">
        <v>4779</v>
      </c>
    </row>
    <row r="1469" spans="6:12">
      <c r="F1469" t="s">
        <v>12832</v>
      </c>
      <c r="G1469" t="s">
        <v>5135</v>
      </c>
      <c r="H1469">
        <v>5</v>
      </c>
      <c r="I1469">
        <v>3</v>
      </c>
      <c r="J1469">
        <v>0</v>
      </c>
      <c r="K1469">
        <v>0</v>
      </c>
      <c r="L1469" s="61" t="s">
        <v>4779</v>
      </c>
    </row>
    <row r="1470" spans="6:12">
      <c r="F1470" t="s">
        <v>12833</v>
      </c>
      <c r="G1470" t="s">
        <v>4713</v>
      </c>
      <c r="H1470">
        <v>5</v>
      </c>
      <c r="I1470">
        <v>1</v>
      </c>
      <c r="J1470">
        <v>2</v>
      </c>
      <c r="K1470">
        <v>0</v>
      </c>
      <c r="L1470" s="61" t="s">
        <v>4779</v>
      </c>
    </row>
    <row r="1471" spans="6:12">
      <c r="F1471" t="s">
        <v>12834</v>
      </c>
      <c r="G1471" t="s">
        <v>12835</v>
      </c>
      <c r="H1471">
        <v>7</v>
      </c>
      <c r="I1471">
        <v>1</v>
      </c>
      <c r="J1471">
        <v>0</v>
      </c>
      <c r="K1471">
        <v>0</v>
      </c>
      <c r="L1471" s="61" t="s">
        <v>4779</v>
      </c>
    </row>
    <row r="1472" spans="6:12">
      <c r="F1472" t="s">
        <v>12836</v>
      </c>
      <c r="G1472" t="s">
        <v>5494</v>
      </c>
      <c r="H1472">
        <v>5</v>
      </c>
      <c r="I1472">
        <v>3</v>
      </c>
      <c r="J1472">
        <v>0</v>
      </c>
      <c r="K1472">
        <v>0</v>
      </c>
      <c r="L1472" s="61" t="s">
        <v>4779</v>
      </c>
    </row>
    <row r="1473" spans="6:12">
      <c r="F1473" t="s">
        <v>12837</v>
      </c>
      <c r="G1473" t="s">
        <v>10993</v>
      </c>
      <c r="H1473">
        <v>5</v>
      </c>
      <c r="I1473">
        <v>2</v>
      </c>
      <c r="J1473">
        <v>1</v>
      </c>
      <c r="K1473">
        <v>0</v>
      </c>
      <c r="L1473" s="61" t="s">
        <v>4779</v>
      </c>
    </row>
    <row r="1474" spans="6:12">
      <c r="F1474" t="s">
        <v>12838</v>
      </c>
      <c r="G1474" t="s">
        <v>12839</v>
      </c>
      <c r="H1474">
        <v>7</v>
      </c>
      <c r="I1474">
        <v>1</v>
      </c>
      <c r="J1474">
        <v>0</v>
      </c>
      <c r="K1474">
        <v>0</v>
      </c>
      <c r="L1474" s="61" t="s">
        <v>4779</v>
      </c>
    </row>
    <row r="1475" spans="6:12">
      <c r="F1475" t="s">
        <v>12840</v>
      </c>
      <c r="G1475" t="s">
        <v>5558</v>
      </c>
      <c r="H1475">
        <v>5</v>
      </c>
      <c r="I1475">
        <v>3</v>
      </c>
      <c r="J1475">
        <v>0</v>
      </c>
      <c r="K1475">
        <v>0</v>
      </c>
      <c r="L1475" s="61" t="s">
        <v>4779</v>
      </c>
    </row>
    <row r="1476" spans="6:12">
      <c r="F1476" t="s">
        <v>12841</v>
      </c>
      <c r="G1476" t="s">
        <v>5078</v>
      </c>
      <c r="H1476">
        <v>7</v>
      </c>
      <c r="I1476">
        <v>1</v>
      </c>
      <c r="J1476">
        <v>0</v>
      </c>
      <c r="K1476">
        <v>0</v>
      </c>
      <c r="L1476" s="61" t="s">
        <v>4779</v>
      </c>
    </row>
    <row r="1477" spans="6:12">
      <c r="F1477" t="s">
        <v>12842</v>
      </c>
      <c r="G1477" t="s">
        <v>5617</v>
      </c>
      <c r="H1477">
        <v>7</v>
      </c>
      <c r="I1477">
        <v>1</v>
      </c>
      <c r="J1477">
        <v>0</v>
      </c>
      <c r="K1477">
        <v>0</v>
      </c>
      <c r="L1477" s="61" t="s">
        <v>4779</v>
      </c>
    </row>
    <row r="1478" spans="6:12">
      <c r="F1478" t="s">
        <v>12843</v>
      </c>
      <c r="G1478" t="s">
        <v>11071</v>
      </c>
      <c r="H1478">
        <v>7</v>
      </c>
      <c r="I1478">
        <v>1</v>
      </c>
      <c r="J1478">
        <v>0</v>
      </c>
      <c r="K1478">
        <v>0</v>
      </c>
      <c r="L1478" s="61" t="s">
        <v>4779</v>
      </c>
    </row>
    <row r="1479" spans="6:12">
      <c r="F1479" t="s">
        <v>12844</v>
      </c>
      <c r="G1479" t="s">
        <v>8429</v>
      </c>
      <c r="H1479">
        <v>6</v>
      </c>
      <c r="I1479">
        <v>1</v>
      </c>
      <c r="J1479">
        <v>1</v>
      </c>
      <c r="K1479">
        <v>0</v>
      </c>
      <c r="L1479" s="61" t="s">
        <v>4779</v>
      </c>
    </row>
    <row r="1480" spans="6:12">
      <c r="F1480" t="s">
        <v>12845</v>
      </c>
      <c r="G1480" t="s">
        <v>5126</v>
      </c>
      <c r="H1480">
        <v>5</v>
      </c>
      <c r="I1480">
        <v>2</v>
      </c>
      <c r="J1480">
        <v>1</v>
      </c>
      <c r="K1480">
        <v>0</v>
      </c>
      <c r="L1480" s="61" t="s">
        <v>4779</v>
      </c>
    </row>
    <row r="1481" spans="6:12">
      <c r="F1481" t="s">
        <v>12846</v>
      </c>
      <c r="G1481" t="s">
        <v>12847</v>
      </c>
      <c r="H1481">
        <v>7</v>
      </c>
      <c r="I1481">
        <v>1</v>
      </c>
      <c r="J1481">
        <v>0</v>
      </c>
      <c r="K1481">
        <v>0</v>
      </c>
      <c r="L1481" s="61" t="s">
        <v>4807</v>
      </c>
    </row>
    <row r="1482" spans="6:12">
      <c r="F1482" t="s">
        <v>12848</v>
      </c>
      <c r="G1482" t="s">
        <v>5271</v>
      </c>
      <c r="H1482">
        <v>4</v>
      </c>
      <c r="I1482">
        <v>2</v>
      </c>
      <c r="J1482">
        <v>2</v>
      </c>
      <c r="K1482">
        <v>0</v>
      </c>
      <c r="L1482" s="61" t="s">
        <v>4779</v>
      </c>
    </row>
    <row r="1483" spans="6:12">
      <c r="F1483" t="s">
        <v>12849</v>
      </c>
      <c r="G1483" t="s">
        <v>5336</v>
      </c>
      <c r="H1483">
        <v>5</v>
      </c>
      <c r="I1483">
        <v>3</v>
      </c>
      <c r="J1483">
        <v>0</v>
      </c>
      <c r="K1483">
        <v>0</v>
      </c>
      <c r="L1483" s="61" t="s">
        <v>4779</v>
      </c>
    </row>
    <row r="1484" spans="6:12">
      <c r="F1484" t="s">
        <v>12850</v>
      </c>
      <c r="G1484" t="s">
        <v>11054</v>
      </c>
      <c r="H1484">
        <v>5</v>
      </c>
      <c r="I1484">
        <v>3</v>
      </c>
      <c r="J1484">
        <v>0</v>
      </c>
      <c r="K1484">
        <v>0</v>
      </c>
      <c r="L1484" s="61" t="s">
        <v>4807</v>
      </c>
    </row>
    <row r="1485" spans="6:12">
      <c r="F1485" t="s">
        <v>12851</v>
      </c>
      <c r="G1485" t="s">
        <v>12852</v>
      </c>
      <c r="H1485">
        <v>6</v>
      </c>
      <c r="I1485">
        <v>2</v>
      </c>
      <c r="J1485">
        <v>0</v>
      </c>
      <c r="K1485">
        <v>0</v>
      </c>
      <c r="L1485" s="61" t="s">
        <v>4779</v>
      </c>
    </row>
    <row r="1486" spans="6:12">
      <c r="F1486" t="s">
        <v>12853</v>
      </c>
      <c r="G1486" t="s">
        <v>12854</v>
      </c>
      <c r="H1486">
        <v>7</v>
      </c>
      <c r="I1486">
        <v>1</v>
      </c>
      <c r="J1486">
        <v>0</v>
      </c>
      <c r="K1486">
        <v>0</v>
      </c>
      <c r="L1486" s="61" t="s">
        <v>4779</v>
      </c>
    </row>
    <row r="1487" spans="6:12">
      <c r="F1487" t="s">
        <v>12855</v>
      </c>
      <c r="G1487" t="s">
        <v>11057</v>
      </c>
      <c r="H1487">
        <v>7</v>
      </c>
      <c r="I1487">
        <v>1</v>
      </c>
      <c r="J1487">
        <v>0</v>
      </c>
      <c r="K1487">
        <v>0</v>
      </c>
      <c r="L1487" s="61" t="s">
        <v>4779</v>
      </c>
    </row>
    <row r="1488" spans="6:12">
      <c r="F1488" t="s">
        <v>12856</v>
      </c>
      <c r="G1488" t="s">
        <v>11062</v>
      </c>
      <c r="H1488">
        <v>6</v>
      </c>
      <c r="I1488">
        <v>2</v>
      </c>
      <c r="J1488">
        <v>0</v>
      </c>
      <c r="K1488">
        <v>0</v>
      </c>
      <c r="L1488" s="61" t="s">
        <v>4779</v>
      </c>
    </row>
    <row r="1489" spans="6:12">
      <c r="F1489" t="s">
        <v>12857</v>
      </c>
      <c r="G1489" t="s">
        <v>5472</v>
      </c>
      <c r="H1489">
        <v>5</v>
      </c>
      <c r="I1489">
        <v>1</v>
      </c>
      <c r="J1489">
        <v>2</v>
      </c>
      <c r="K1489">
        <v>0</v>
      </c>
      <c r="L1489" s="61" t="s">
        <v>4779</v>
      </c>
    </row>
    <row r="1490" spans="6:12">
      <c r="F1490" t="s">
        <v>12858</v>
      </c>
      <c r="G1490" t="s">
        <v>5091</v>
      </c>
      <c r="H1490">
        <v>5</v>
      </c>
      <c r="I1490">
        <v>3</v>
      </c>
      <c r="J1490">
        <v>0</v>
      </c>
      <c r="K1490">
        <v>0</v>
      </c>
      <c r="L1490" s="61" t="s">
        <v>4779</v>
      </c>
    </row>
    <row r="1491" spans="6:12">
      <c r="F1491" t="s">
        <v>12859</v>
      </c>
      <c r="G1491" t="s">
        <v>5013</v>
      </c>
      <c r="H1491">
        <v>7</v>
      </c>
      <c r="I1491">
        <v>1</v>
      </c>
      <c r="J1491">
        <v>0</v>
      </c>
      <c r="K1491">
        <v>0</v>
      </c>
      <c r="L1491" s="61" t="s">
        <v>4779</v>
      </c>
    </row>
    <row r="1492" spans="6:12">
      <c r="F1492" t="s">
        <v>12860</v>
      </c>
      <c r="G1492" t="s">
        <v>12861</v>
      </c>
      <c r="H1492">
        <v>7</v>
      </c>
      <c r="I1492">
        <v>1</v>
      </c>
      <c r="J1492">
        <v>0</v>
      </c>
      <c r="K1492">
        <v>0</v>
      </c>
      <c r="L1492" s="61" t="s">
        <v>4779</v>
      </c>
    </row>
    <row r="1493" spans="6:12">
      <c r="F1493" t="s">
        <v>12862</v>
      </c>
      <c r="G1493" t="s">
        <v>5520</v>
      </c>
      <c r="H1493">
        <v>6</v>
      </c>
      <c r="I1493">
        <v>1</v>
      </c>
      <c r="J1493">
        <v>1</v>
      </c>
      <c r="K1493">
        <v>0</v>
      </c>
      <c r="L1493" s="61" t="s">
        <v>4779</v>
      </c>
    </row>
    <row r="1494" spans="6:12">
      <c r="F1494" t="s">
        <v>12863</v>
      </c>
      <c r="G1494" t="s">
        <v>8367</v>
      </c>
      <c r="H1494">
        <v>6</v>
      </c>
      <c r="I1494">
        <v>2</v>
      </c>
      <c r="J1494">
        <v>0</v>
      </c>
      <c r="K1494">
        <v>0</v>
      </c>
      <c r="L1494" s="61" t="s">
        <v>4779</v>
      </c>
    </row>
    <row r="1495" spans="6:12">
      <c r="F1495" t="s">
        <v>12864</v>
      </c>
      <c r="G1495" t="s">
        <v>5741</v>
      </c>
      <c r="H1495">
        <v>6</v>
      </c>
      <c r="I1495">
        <v>1</v>
      </c>
      <c r="J1495">
        <v>1</v>
      </c>
      <c r="K1495">
        <v>0</v>
      </c>
      <c r="L1495" s="61" t="s">
        <v>4779</v>
      </c>
    </row>
    <row r="1496" spans="6:12">
      <c r="F1496" t="s">
        <v>12865</v>
      </c>
      <c r="G1496" t="s">
        <v>5837</v>
      </c>
      <c r="H1496">
        <v>7</v>
      </c>
      <c r="I1496">
        <v>1</v>
      </c>
      <c r="J1496">
        <v>0</v>
      </c>
      <c r="K1496">
        <v>0</v>
      </c>
      <c r="L1496" s="61" t="s">
        <v>4779</v>
      </c>
    </row>
    <row r="1497" spans="6:12">
      <c r="F1497" t="s">
        <v>12866</v>
      </c>
      <c r="G1497" t="s">
        <v>5863</v>
      </c>
      <c r="H1497">
        <v>5</v>
      </c>
      <c r="I1497">
        <v>3</v>
      </c>
      <c r="J1497">
        <v>0</v>
      </c>
      <c r="K1497">
        <v>0</v>
      </c>
      <c r="L1497" s="61" t="s">
        <v>4779</v>
      </c>
    </row>
    <row r="1498" spans="6:12">
      <c r="F1498" t="s">
        <v>12867</v>
      </c>
      <c r="G1498" t="s">
        <v>5362</v>
      </c>
      <c r="H1498">
        <v>5</v>
      </c>
      <c r="I1498">
        <v>1</v>
      </c>
      <c r="J1498">
        <v>2</v>
      </c>
      <c r="K1498">
        <v>0</v>
      </c>
      <c r="L1498" s="61" t="s">
        <v>4779</v>
      </c>
    </row>
    <row r="1499" spans="6:12">
      <c r="F1499" t="s">
        <v>12868</v>
      </c>
      <c r="G1499" t="s">
        <v>10975</v>
      </c>
      <c r="H1499">
        <v>5</v>
      </c>
      <c r="I1499">
        <v>3</v>
      </c>
      <c r="J1499">
        <v>0</v>
      </c>
      <c r="K1499">
        <v>0</v>
      </c>
      <c r="L1499" s="61" t="s">
        <v>4779</v>
      </c>
    </row>
    <row r="1500" spans="6:12">
      <c r="F1500" t="s">
        <v>12869</v>
      </c>
      <c r="G1500" t="s">
        <v>11066</v>
      </c>
      <c r="H1500">
        <v>5</v>
      </c>
      <c r="I1500">
        <v>3</v>
      </c>
      <c r="J1500">
        <v>0</v>
      </c>
      <c r="K1500">
        <v>0</v>
      </c>
      <c r="L1500" s="61" t="s">
        <v>4779</v>
      </c>
    </row>
    <row r="1501" spans="6:12">
      <c r="F1501" t="s">
        <v>12870</v>
      </c>
      <c r="G1501" t="s">
        <v>12871</v>
      </c>
      <c r="H1501">
        <v>7</v>
      </c>
      <c r="I1501">
        <v>1</v>
      </c>
      <c r="J1501">
        <v>0</v>
      </c>
      <c r="K1501">
        <v>0</v>
      </c>
      <c r="L1501" s="61" t="s">
        <v>4779</v>
      </c>
    </row>
    <row r="1502" spans="6:12">
      <c r="F1502" t="s">
        <v>12872</v>
      </c>
      <c r="G1502" t="s">
        <v>12525</v>
      </c>
      <c r="H1502">
        <v>5</v>
      </c>
      <c r="I1502">
        <v>1</v>
      </c>
      <c r="J1502">
        <v>2</v>
      </c>
      <c r="K1502">
        <v>0</v>
      </c>
      <c r="L1502" s="61" t="s">
        <v>4779</v>
      </c>
    </row>
    <row r="1503" spans="6:12">
      <c r="F1503" t="s">
        <v>12873</v>
      </c>
      <c r="G1503" t="s">
        <v>5749</v>
      </c>
      <c r="H1503">
        <v>5</v>
      </c>
      <c r="I1503">
        <v>1</v>
      </c>
      <c r="J1503">
        <v>2</v>
      </c>
      <c r="K1503">
        <v>0</v>
      </c>
      <c r="L1503" s="61" t="s">
        <v>4779</v>
      </c>
    </row>
    <row r="1504" spans="6:12">
      <c r="F1504" t="s">
        <v>12874</v>
      </c>
      <c r="G1504" t="s">
        <v>12875</v>
      </c>
      <c r="H1504">
        <v>5</v>
      </c>
      <c r="I1504">
        <v>3</v>
      </c>
      <c r="J1504">
        <v>0</v>
      </c>
      <c r="K1504">
        <v>0</v>
      </c>
      <c r="L1504" s="61" t="s">
        <v>4779</v>
      </c>
    </row>
    <row r="1505" spans="6:12">
      <c r="F1505" t="s">
        <v>12876</v>
      </c>
      <c r="G1505" t="s">
        <v>5492</v>
      </c>
      <c r="H1505">
        <v>4</v>
      </c>
      <c r="I1505">
        <v>3</v>
      </c>
      <c r="J1505">
        <v>1</v>
      </c>
      <c r="K1505">
        <v>0</v>
      </c>
      <c r="L1505" s="61" t="s">
        <v>4779</v>
      </c>
    </row>
    <row r="1506" spans="6:12">
      <c r="F1506" t="s">
        <v>12877</v>
      </c>
      <c r="G1506" t="s">
        <v>12878</v>
      </c>
      <c r="H1506">
        <v>5</v>
      </c>
      <c r="I1506">
        <v>3</v>
      </c>
      <c r="J1506">
        <v>0</v>
      </c>
      <c r="K1506">
        <v>0</v>
      </c>
      <c r="L1506" s="61" t="s">
        <v>4779</v>
      </c>
    </row>
    <row r="1507" spans="6:12">
      <c r="F1507" t="s">
        <v>12879</v>
      </c>
      <c r="G1507" t="s">
        <v>5760</v>
      </c>
      <c r="H1507">
        <v>7</v>
      </c>
      <c r="I1507">
        <v>1</v>
      </c>
      <c r="J1507">
        <v>0</v>
      </c>
      <c r="K1507">
        <v>0</v>
      </c>
      <c r="L1507" s="61" t="s">
        <v>4779</v>
      </c>
    </row>
    <row r="1508" spans="6:12">
      <c r="F1508" t="s">
        <v>12880</v>
      </c>
      <c r="G1508" t="s">
        <v>5797</v>
      </c>
      <c r="H1508">
        <v>5</v>
      </c>
      <c r="I1508">
        <v>3</v>
      </c>
      <c r="J1508">
        <v>0</v>
      </c>
      <c r="K1508">
        <v>0</v>
      </c>
      <c r="L1508" s="61" t="s">
        <v>4779</v>
      </c>
    </row>
    <row r="1509" spans="6:12">
      <c r="F1509" t="s">
        <v>12881</v>
      </c>
      <c r="G1509" t="s">
        <v>5281</v>
      </c>
      <c r="H1509">
        <v>5</v>
      </c>
      <c r="I1509">
        <v>3</v>
      </c>
      <c r="J1509">
        <v>0</v>
      </c>
      <c r="K1509">
        <v>0</v>
      </c>
      <c r="L1509" s="61" t="s">
        <v>4779</v>
      </c>
    </row>
    <row r="1510" spans="6:12">
      <c r="F1510" t="s">
        <v>12882</v>
      </c>
      <c r="G1510" t="s">
        <v>11026</v>
      </c>
      <c r="H1510">
        <v>5</v>
      </c>
      <c r="I1510">
        <v>3</v>
      </c>
      <c r="J1510">
        <v>0</v>
      </c>
      <c r="K1510">
        <v>0</v>
      </c>
      <c r="L1510" s="61" t="s">
        <v>4779</v>
      </c>
    </row>
    <row r="1511" spans="6:12">
      <c r="F1511" t="s">
        <v>12883</v>
      </c>
      <c r="G1511" t="s">
        <v>5090</v>
      </c>
      <c r="H1511">
        <v>5</v>
      </c>
      <c r="I1511">
        <v>2</v>
      </c>
      <c r="J1511">
        <v>1</v>
      </c>
      <c r="K1511">
        <v>0</v>
      </c>
      <c r="L1511" s="61" t="s">
        <v>4779</v>
      </c>
    </row>
    <row r="1512" spans="6:12">
      <c r="F1512" t="s">
        <v>12884</v>
      </c>
      <c r="G1512" t="s">
        <v>5459</v>
      </c>
      <c r="H1512">
        <v>4</v>
      </c>
      <c r="I1512">
        <v>2</v>
      </c>
      <c r="J1512">
        <v>2</v>
      </c>
      <c r="K1512">
        <v>0</v>
      </c>
      <c r="L1512" s="61" t="s">
        <v>4779</v>
      </c>
    </row>
    <row r="1513" spans="6:12">
      <c r="F1513" t="s">
        <v>12885</v>
      </c>
      <c r="G1513" t="s">
        <v>10946</v>
      </c>
      <c r="H1513">
        <v>6</v>
      </c>
      <c r="I1513">
        <v>2</v>
      </c>
      <c r="J1513">
        <v>0</v>
      </c>
      <c r="K1513">
        <v>0</v>
      </c>
      <c r="L1513" s="61" t="s">
        <v>4779</v>
      </c>
    </row>
    <row r="1514" spans="6:12">
      <c r="F1514" t="s">
        <v>12886</v>
      </c>
      <c r="G1514" t="s">
        <v>10935</v>
      </c>
      <c r="H1514">
        <v>5</v>
      </c>
      <c r="I1514">
        <v>3</v>
      </c>
      <c r="J1514">
        <v>0</v>
      </c>
      <c r="K1514">
        <v>0</v>
      </c>
      <c r="L1514" s="61" t="s">
        <v>4779</v>
      </c>
    </row>
    <row r="1515" spans="6:12">
      <c r="F1515" t="s">
        <v>12887</v>
      </c>
      <c r="G1515" t="s">
        <v>12888</v>
      </c>
      <c r="H1515">
        <v>7</v>
      </c>
      <c r="I1515">
        <v>1</v>
      </c>
      <c r="J1515">
        <v>0</v>
      </c>
      <c r="K1515">
        <v>0</v>
      </c>
      <c r="L1515" s="61" t="s">
        <v>4779</v>
      </c>
    </row>
    <row r="1516" spans="6:12">
      <c r="F1516" t="s">
        <v>12889</v>
      </c>
      <c r="G1516" t="s">
        <v>12890</v>
      </c>
      <c r="H1516">
        <v>6</v>
      </c>
      <c r="I1516">
        <v>2</v>
      </c>
      <c r="J1516">
        <v>0</v>
      </c>
      <c r="K1516">
        <v>0</v>
      </c>
      <c r="L1516" s="61" t="s">
        <v>4779</v>
      </c>
    </row>
    <row r="1517" spans="6:12">
      <c r="F1517" t="s">
        <v>12891</v>
      </c>
      <c r="G1517" t="s">
        <v>11056</v>
      </c>
      <c r="H1517">
        <v>7</v>
      </c>
      <c r="I1517">
        <v>1</v>
      </c>
      <c r="J1517">
        <v>0</v>
      </c>
      <c r="K1517">
        <v>0</v>
      </c>
      <c r="L1517" s="61" t="s">
        <v>4779</v>
      </c>
    </row>
    <row r="1518" spans="6:12">
      <c r="F1518" t="s">
        <v>12892</v>
      </c>
      <c r="G1518" t="s">
        <v>5610</v>
      </c>
      <c r="H1518">
        <v>7</v>
      </c>
      <c r="I1518">
        <v>1</v>
      </c>
      <c r="J1518">
        <v>0</v>
      </c>
      <c r="K1518">
        <v>0</v>
      </c>
      <c r="L1518" s="61" t="s">
        <v>4779</v>
      </c>
    </row>
    <row r="1519" spans="6:12">
      <c r="F1519" t="s">
        <v>12893</v>
      </c>
      <c r="G1519" t="s">
        <v>5573</v>
      </c>
      <c r="H1519">
        <v>6</v>
      </c>
      <c r="I1519">
        <v>2</v>
      </c>
      <c r="J1519">
        <v>0</v>
      </c>
      <c r="K1519">
        <v>0</v>
      </c>
      <c r="L1519" s="61" t="s">
        <v>4808</v>
      </c>
    </row>
    <row r="1520" spans="6:12">
      <c r="F1520" t="s">
        <v>12894</v>
      </c>
      <c r="G1520" t="s">
        <v>12895</v>
      </c>
      <c r="H1520">
        <v>7</v>
      </c>
      <c r="I1520">
        <v>1</v>
      </c>
      <c r="J1520">
        <v>0</v>
      </c>
      <c r="K1520">
        <v>0</v>
      </c>
      <c r="L1520" s="61" t="s">
        <v>4779</v>
      </c>
    </row>
    <row r="1521" spans="6:12">
      <c r="F1521" t="s">
        <v>12896</v>
      </c>
      <c r="G1521" t="s">
        <v>5331</v>
      </c>
      <c r="H1521">
        <v>5</v>
      </c>
      <c r="I1521">
        <v>1</v>
      </c>
      <c r="J1521">
        <v>2</v>
      </c>
      <c r="K1521">
        <v>0</v>
      </c>
      <c r="L1521" s="61" t="s">
        <v>4779</v>
      </c>
    </row>
    <row r="1522" spans="6:12">
      <c r="F1522" t="s">
        <v>12897</v>
      </c>
      <c r="G1522" t="s">
        <v>12898</v>
      </c>
      <c r="H1522">
        <v>6</v>
      </c>
      <c r="I1522">
        <v>2</v>
      </c>
      <c r="J1522">
        <v>0</v>
      </c>
      <c r="K1522">
        <v>0</v>
      </c>
      <c r="L1522" s="61" t="s">
        <v>4779</v>
      </c>
    </row>
    <row r="1523" spans="6:12">
      <c r="F1523" t="s">
        <v>12899</v>
      </c>
      <c r="G1523" t="s">
        <v>8461</v>
      </c>
      <c r="H1523">
        <v>3</v>
      </c>
      <c r="I1523">
        <v>3</v>
      </c>
      <c r="J1523">
        <v>2</v>
      </c>
      <c r="K1523">
        <v>0</v>
      </c>
      <c r="L1523" s="61" t="s">
        <v>4779</v>
      </c>
    </row>
    <row r="1524" spans="6:12">
      <c r="F1524" t="s">
        <v>12900</v>
      </c>
      <c r="G1524" t="s">
        <v>5026</v>
      </c>
      <c r="H1524">
        <v>4</v>
      </c>
      <c r="I1524">
        <v>3</v>
      </c>
      <c r="J1524">
        <v>1</v>
      </c>
      <c r="K1524">
        <v>0</v>
      </c>
      <c r="L1524" s="61" t="s">
        <v>4779</v>
      </c>
    </row>
    <row r="1525" spans="6:12">
      <c r="F1525" t="s">
        <v>12901</v>
      </c>
      <c r="G1525" t="s">
        <v>5502</v>
      </c>
      <c r="H1525">
        <v>5</v>
      </c>
      <c r="I1525">
        <v>3</v>
      </c>
      <c r="J1525">
        <v>0</v>
      </c>
      <c r="K1525">
        <v>0</v>
      </c>
      <c r="L1525" s="61" t="s">
        <v>4779</v>
      </c>
    </row>
    <row r="1526" spans="6:12">
      <c r="F1526" t="s">
        <v>12902</v>
      </c>
      <c r="G1526" t="s">
        <v>10934</v>
      </c>
      <c r="H1526">
        <v>7</v>
      </c>
      <c r="I1526">
        <v>1</v>
      </c>
      <c r="J1526">
        <v>0</v>
      </c>
      <c r="K1526">
        <v>0</v>
      </c>
      <c r="L1526" s="61" t="s">
        <v>4779</v>
      </c>
    </row>
    <row r="1527" spans="6:12">
      <c r="F1527" t="s">
        <v>12903</v>
      </c>
      <c r="G1527" t="s">
        <v>7433</v>
      </c>
      <c r="H1527">
        <v>5</v>
      </c>
      <c r="I1527">
        <v>2</v>
      </c>
      <c r="J1527">
        <v>1</v>
      </c>
      <c r="K1527">
        <v>0</v>
      </c>
      <c r="L1527" s="61" t="s">
        <v>4779</v>
      </c>
    </row>
    <row r="1528" spans="6:12">
      <c r="F1528" t="s">
        <v>12904</v>
      </c>
      <c r="G1528" t="s">
        <v>4707</v>
      </c>
      <c r="H1528">
        <v>3</v>
      </c>
      <c r="I1528">
        <v>3</v>
      </c>
      <c r="J1528">
        <v>2</v>
      </c>
      <c r="K1528">
        <v>0</v>
      </c>
      <c r="L1528" s="61" t="s">
        <v>4779</v>
      </c>
    </row>
    <row r="1529" spans="6:12">
      <c r="F1529" t="s">
        <v>12905</v>
      </c>
      <c r="G1529" t="s">
        <v>12906</v>
      </c>
      <c r="H1529">
        <v>6</v>
      </c>
      <c r="I1529">
        <v>2</v>
      </c>
      <c r="J1529">
        <v>0</v>
      </c>
      <c r="K1529">
        <v>0</v>
      </c>
      <c r="L1529" s="61" t="s">
        <v>4779</v>
      </c>
    </row>
    <row r="1530" spans="6:12">
      <c r="F1530" t="s">
        <v>12907</v>
      </c>
      <c r="G1530" t="s">
        <v>5136</v>
      </c>
      <c r="H1530">
        <v>5</v>
      </c>
      <c r="I1530">
        <v>2</v>
      </c>
      <c r="J1530">
        <v>1</v>
      </c>
      <c r="K1530">
        <v>0</v>
      </c>
      <c r="L1530" s="61" t="s">
        <v>4779</v>
      </c>
    </row>
    <row r="1531" spans="6:12">
      <c r="F1531" t="s">
        <v>12908</v>
      </c>
      <c r="G1531" t="s">
        <v>10939</v>
      </c>
      <c r="H1531">
        <v>7</v>
      </c>
      <c r="I1531">
        <v>1</v>
      </c>
      <c r="J1531">
        <v>0</v>
      </c>
      <c r="K1531">
        <v>0</v>
      </c>
      <c r="L1531" s="61" t="s">
        <v>4779</v>
      </c>
    </row>
    <row r="1532" spans="6:12">
      <c r="F1532" t="s">
        <v>12909</v>
      </c>
      <c r="G1532" t="s">
        <v>11061</v>
      </c>
      <c r="H1532">
        <v>6</v>
      </c>
      <c r="I1532">
        <v>2</v>
      </c>
      <c r="J1532">
        <v>0</v>
      </c>
      <c r="K1532">
        <v>0</v>
      </c>
      <c r="L1532" s="61" t="s">
        <v>4779</v>
      </c>
    </row>
    <row r="1533" spans="6:12">
      <c r="F1533" t="s">
        <v>12910</v>
      </c>
      <c r="G1533" t="s">
        <v>10953</v>
      </c>
      <c r="H1533">
        <v>6</v>
      </c>
      <c r="I1533">
        <v>2</v>
      </c>
      <c r="J1533">
        <v>0</v>
      </c>
      <c r="K1533">
        <v>0</v>
      </c>
      <c r="L1533" s="61" t="s">
        <v>4779</v>
      </c>
    </row>
    <row r="1534" spans="6:12">
      <c r="F1534" t="s">
        <v>12911</v>
      </c>
      <c r="G1534" t="s">
        <v>5512</v>
      </c>
      <c r="H1534">
        <v>3</v>
      </c>
      <c r="I1534">
        <v>3</v>
      </c>
      <c r="J1534">
        <v>2</v>
      </c>
      <c r="K1534">
        <v>0</v>
      </c>
      <c r="L1534" s="61" t="s">
        <v>4779</v>
      </c>
    </row>
    <row r="1535" spans="6:12">
      <c r="F1535" t="s">
        <v>12912</v>
      </c>
      <c r="G1535" t="s">
        <v>11063</v>
      </c>
      <c r="H1535">
        <v>6</v>
      </c>
      <c r="I1535">
        <v>2</v>
      </c>
      <c r="J1535">
        <v>0</v>
      </c>
      <c r="K1535">
        <v>0</v>
      </c>
      <c r="L1535" s="61" t="s">
        <v>4779</v>
      </c>
    </row>
    <row r="1536" spans="6:12">
      <c r="F1536" t="s">
        <v>12913</v>
      </c>
      <c r="G1536" t="s">
        <v>12914</v>
      </c>
      <c r="H1536">
        <v>5</v>
      </c>
      <c r="I1536">
        <v>3</v>
      </c>
      <c r="J1536">
        <v>0</v>
      </c>
      <c r="K1536">
        <v>0</v>
      </c>
      <c r="L1536" s="61" t="s">
        <v>4779</v>
      </c>
    </row>
    <row r="1537" spans="6:12">
      <c r="F1537" t="s">
        <v>12915</v>
      </c>
      <c r="G1537" t="s">
        <v>12916</v>
      </c>
      <c r="H1537">
        <v>5</v>
      </c>
      <c r="I1537">
        <v>3</v>
      </c>
      <c r="J1537">
        <v>0</v>
      </c>
      <c r="K1537">
        <v>0</v>
      </c>
      <c r="L1537" s="61" t="s">
        <v>4806</v>
      </c>
    </row>
    <row r="1538" spans="6:12">
      <c r="F1538" t="s">
        <v>12917</v>
      </c>
      <c r="G1538" t="s">
        <v>5552</v>
      </c>
      <c r="H1538">
        <v>4</v>
      </c>
      <c r="I1538">
        <v>3</v>
      </c>
      <c r="J1538">
        <v>1</v>
      </c>
      <c r="K1538">
        <v>0</v>
      </c>
      <c r="L1538" s="61" t="s">
        <v>4779</v>
      </c>
    </row>
    <row r="1539" spans="6:12">
      <c r="F1539" t="s">
        <v>12918</v>
      </c>
      <c r="G1539" t="s">
        <v>5112</v>
      </c>
      <c r="H1539">
        <v>6</v>
      </c>
      <c r="I1539">
        <v>2</v>
      </c>
      <c r="J1539">
        <v>0</v>
      </c>
      <c r="K1539">
        <v>0</v>
      </c>
      <c r="L1539" s="61" t="s">
        <v>4779</v>
      </c>
    </row>
    <row r="1540" spans="6:12">
      <c r="F1540" t="s">
        <v>12919</v>
      </c>
      <c r="G1540" t="s">
        <v>5121</v>
      </c>
      <c r="H1540">
        <v>6</v>
      </c>
      <c r="I1540">
        <v>2</v>
      </c>
      <c r="J1540">
        <v>0</v>
      </c>
      <c r="K1540">
        <v>0</v>
      </c>
      <c r="L1540" s="61" t="s">
        <v>4810</v>
      </c>
    </row>
    <row r="1541" spans="6:12">
      <c r="F1541" t="s">
        <v>12920</v>
      </c>
      <c r="G1541" t="s">
        <v>5782</v>
      </c>
      <c r="H1541">
        <v>5</v>
      </c>
      <c r="I1541">
        <v>1</v>
      </c>
      <c r="J1541">
        <v>2</v>
      </c>
      <c r="K1541">
        <v>0</v>
      </c>
      <c r="L1541" s="61" t="s">
        <v>4779</v>
      </c>
    </row>
    <row r="1542" spans="6:12">
      <c r="F1542" t="s">
        <v>12921</v>
      </c>
      <c r="G1542" t="s">
        <v>5068</v>
      </c>
      <c r="H1542">
        <v>4</v>
      </c>
      <c r="I1542">
        <v>2</v>
      </c>
      <c r="J1542">
        <v>2</v>
      </c>
      <c r="K1542">
        <v>0</v>
      </c>
      <c r="L1542" s="61" t="s">
        <v>4779</v>
      </c>
    </row>
    <row r="1543" spans="6:12">
      <c r="F1543" t="s">
        <v>12922</v>
      </c>
      <c r="G1543" t="s">
        <v>5537</v>
      </c>
      <c r="H1543">
        <v>5</v>
      </c>
      <c r="I1543">
        <v>2</v>
      </c>
      <c r="J1543">
        <v>1</v>
      </c>
      <c r="K1543">
        <v>0</v>
      </c>
      <c r="L1543" s="61" t="s">
        <v>4779</v>
      </c>
    </row>
    <row r="1544" spans="6:12">
      <c r="F1544" t="s">
        <v>12923</v>
      </c>
      <c r="G1544" t="s">
        <v>12924</v>
      </c>
      <c r="H1544">
        <v>5</v>
      </c>
      <c r="I1544">
        <v>2</v>
      </c>
      <c r="J1544">
        <v>1</v>
      </c>
      <c r="K1544">
        <v>0</v>
      </c>
      <c r="L1544" s="61" t="s">
        <v>4779</v>
      </c>
    </row>
    <row r="1545" spans="6:12">
      <c r="F1545" t="s">
        <v>12925</v>
      </c>
      <c r="G1545" t="s">
        <v>12926</v>
      </c>
      <c r="H1545">
        <v>5</v>
      </c>
      <c r="I1545">
        <v>3</v>
      </c>
      <c r="J1545">
        <v>0</v>
      </c>
      <c r="K1545">
        <v>0</v>
      </c>
      <c r="L1545" s="61" t="s">
        <v>4779</v>
      </c>
    </row>
    <row r="1546" spans="6:12">
      <c r="F1546" t="s">
        <v>12927</v>
      </c>
      <c r="G1546" t="s">
        <v>5320</v>
      </c>
      <c r="H1546">
        <v>3</v>
      </c>
      <c r="I1546">
        <v>3</v>
      </c>
      <c r="J1546">
        <v>2</v>
      </c>
      <c r="K1546">
        <v>0</v>
      </c>
      <c r="L1546" s="61" t="s">
        <v>4779</v>
      </c>
    </row>
    <row r="1547" spans="6:12">
      <c r="F1547" t="s">
        <v>12928</v>
      </c>
      <c r="G1547" t="s">
        <v>5286</v>
      </c>
      <c r="H1547">
        <v>6</v>
      </c>
      <c r="I1547">
        <v>2</v>
      </c>
      <c r="J1547">
        <v>0</v>
      </c>
      <c r="K1547">
        <v>0</v>
      </c>
      <c r="L1547" s="61" t="s">
        <v>4779</v>
      </c>
    </row>
    <row r="1548" spans="6:12">
      <c r="F1548" t="s">
        <v>12929</v>
      </c>
      <c r="G1548" t="s">
        <v>5562</v>
      </c>
      <c r="H1548">
        <v>4</v>
      </c>
      <c r="I1548">
        <v>3</v>
      </c>
      <c r="J1548">
        <v>1</v>
      </c>
      <c r="K1548">
        <v>0</v>
      </c>
      <c r="L1548" s="61" t="s">
        <v>4779</v>
      </c>
    </row>
    <row r="1549" spans="6:12">
      <c r="F1549" t="s">
        <v>12930</v>
      </c>
      <c r="G1549" t="s">
        <v>5639</v>
      </c>
      <c r="H1549">
        <v>5</v>
      </c>
      <c r="I1549">
        <v>2</v>
      </c>
      <c r="J1549">
        <v>1</v>
      </c>
      <c r="K1549">
        <v>0</v>
      </c>
      <c r="L1549" s="61" t="s">
        <v>4779</v>
      </c>
    </row>
    <row r="1550" spans="6:12">
      <c r="F1550" t="s">
        <v>12931</v>
      </c>
      <c r="G1550" t="s">
        <v>10966</v>
      </c>
      <c r="H1550">
        <v>4</v>
      </c>
      <c r="I1550">
        <v>3</v>
      </c>
      <c r="J1550">
        <v>1</v>
      </c>
      <c r="K1550">
        <v>0</v>
      </c>
      <c r="L1550" s="61" t="s">
        <v>4779</v>
      </c>
    </row>
    <row r="1551" spans="6:12">
      <c r="F1551" t="s">
        <v>12932</v>
      </c>
      <c r="G1551" t="s">
        <v>11034</v>
      </c>
      <c r="H1551">
        <v>5</v>
      </c>
      <c r="I1551">
        <v>1</v>
      </c>
      <c r="J1551">
        <v>2</v>
      </c>
      <c r="K1551">
        <v>0</v>
      </c>
      <c r="L1551" s="61" t="s">
        <v>4809</v>
      </c>
    </row>
    <row r="1552" spans="6:12">
      <c r="F1552" t="s">
        <v>12933</v>
      </c>
      <c r="G1552" t="s">
        <v>8499</v>
      </c>
      <c r="H1552">
        <v>5</v>
      </c>
      <c r="I1552">
        <v>3</v>
      </c>
      <c r="J1552">
        <v>0</v>
      </c>
      <c r="K1552">
        <v>0</v>
      </c>
      <c r="L1552" s="61" t="s">
        <v>4779</v>
      </c>
    </row>
    <row r="1553" spans="6:12">
      <c r="F1553" t="s">
        <v>12934</v>
      </c>
      <c r="G1553" t="s">
        <v>5842</v>
      </c>
      <c r="H1553">
        <v>5</v>
      </c>
      <c r="I1553">
        <v>3</v>
      </c>
      <c r="J1553">
        <v>0</v>
      </c>
      <c r="K1553">
        <v>0</v>
      </c>
      <c r="L1553" s="61" t="s">
        <v>4779</v>
      </c>
    </row>
    <row r="1554" spans="6:12">
      <c r="F1554" t="s">
        <v>12935</v>
      </c>
      <c r="G1554" t="s">
        <v>10922</v>
      </c>
      <c r="H1554">
        <v>4</v>
      </c>
      <c r="I1554">
        <v>3</v>
      </c>
      <c r="J1554">
        <v>1</v>
      </c>
      <c r="K1554">
        <v>0</v>
      </c>
      <c r="L1554" s="61" t="s">
        <v>4779</v>
      </c>
    </row>
    <row r="1555" spans="6:12">
      <c r="F1555" t="s">
        <v>12936</v>
      </c>
      <c r="G1555" t="s">
        <v>11033</v>
      </c>
      <c r="H1555">
        <v>4</v>
      </c>
      <c r="I1555">
        <v>2</v>
      </c>
      <c r="J1555">
        <v>2</v>
      </c>
      <c r="K1555">
        <v>0</v>
      </c>
      <c r="L1555" s="61" t="s">
        <v>4779</v>
      </c>
    </row>
    <row r="1556" spans="6:12">
      <c r="F1556" t="s">
        <v>12937</v>
      </c>
      <c r="G1556" t="s">
        <v>12938</v>
      </c>
      <c r="H1556">
        <v>7</v>
      </c>
      <c r="I1556">
        <v>1</v>
      </c>
      <c r="J1556">
        <v>0</v>
      </c>
      <c r="K1556">
        <v>0</v>
      </c>
      <c r="L1556" s="61" t="s">
        <v>4779</v>
      </c>
    </row>
    <row r="1557" spans="6:12">
      <c r="F1557" t="s">
        <v>12939</v>
      </c>
      <c r="G1557" t="s">
        <v>12940</v>
      </c>
      <c r="H1557">
        <v>7</v>
      </c>
      <c r="I1557">
        <v>1</v>
      </c>
      <c r="J1557">
        <v>0</v>
      </c>
      <c r="K1557">
        <v>0</v>
      </c>
      <c r="L1557" s="61" t="s">
        <v>4779</v>
      </c>
    </row>
    <row r="1558" spans="6:12">
      <c r="F1558" t="s">
        <v>12941</v>
      </c>
      <c r="G1558" t="s">
        <v>12942</v>
      </c>
      <c r="H1558">
        <v>4</v>
      </c>
      <c r="I1558">
        <v>3</v>
      </c>
      <c r="J1558">
        <v>1</v>
      </c>
      <c r="K1558">
        <v>0</v>
      </c>
      <c r="L1558" s="61" t="s">
        <v>4779</v>
      </c>
    </row>
    <row r="1559" spans="6:12">
      <c r="F1559" t="s">
        <v>12943</v>
      </c>
      <c r="G1559" t="s">
        <v>5471</v>
      </c>
      <c r="H1559">
        <v>3</v>
      </c>
      <c r="I1559">
        <v>3</v>
      </c>
      <c r="J1559">
        <v>2</v>
      </c>
      <c r="K1559">
        <v>0</v>
      </c>
      <c r="L1559" s="61" t="s">
        <v>4779</v>
      </c>
    </row>
    <row r="1560" spans="6:12">
      <c r="F1560" t="s">
        <v>12944</v>
      </c>
      <c r="G1560" t="s">
        <v>5455</v>
      </c>
      <c r="H1560">
        <v>5</v>
      </c>
      <c r="I1560">
        <v>1</v>
      </c>
      <c r="J1560">
        <v>2</v>
      </c>
      <c r="K1560">
        <v>0</v>
      </c>
      <c r="L1560" s="61" t="s">
        <v>4779</v>
      </c>
    </row>
    <row r="1561" spans="6:12">
      <c r="F1561" t="s">
        <v>12945</v>
      </c>
      <c r="G1561" t="s">
        <v>5135</v>
      </c>
      <c r="H1561">
        <v>5</v>
      </c>
      <c r="I1561">
        <v>3</v>
      </c>
      <c r="J1561">
        <v>0</v>
      </c>
      <c r="K1561">
        <v>0</v>
      </c>
      <c r="L1561" s="61" t="s">
        <v>4779</v>
      </c>
    </row>
    <row r="1562" spans="6:12">
      <c r="F1562" t="s">
        <v>12946</v>
      </c>
      <c r="G1562" t="s">
        <v>7635</v>
      </c>
      <c r="H1562">
        <v>6</v>
      </c>
      <c r="I1562">
        <v>2</v>
      </c>
      <c r="J1562">
        <v>0</v>
      </c>
      <c r="K1562">
        <v>0</v>
      </c>
      <c r="L1562" s="61" t="s">
        <v>4779</v>
      </c>
    </row>
    <row r="1563" spans="6:12">
      <c r="F1563" t="s">
        <v>12947</v>
      </c>
      <c r="G1563" t="s">
        <v>12948</v>
      </c>
      <c r="H1563">
        <v>7</v>
      </c>
      <c r="I1563">
        <v>1</v>
      </c>
      <c r="J1563">
        <v>0</v>
      </c>
      <c r="K1563">
        <v>0</v>
      </c>
      <c r="L1563" s="61" t="s">
        <v>4779</v>
      </c>
    </row>
    <row r="1564" spans="6:12">
      <c r="F1564" t="s">
        <v>12949</v>
      </c>
      <c r="G1564" t="s">
        <v>5467</v>
      </c>
      <c r="H1564">
        <v>6</v>
      </c>
      <c r="I1564">
        <v>2</v>
      </c>
      <c r="J1564">
        <v>0</v>
      </c>
      <c r="K1564">
        <v>0</v>
      </c>
      <c r="L1564" s="61" t="s">
        <v>4779</v>
      </c>
    </row>
    <row r="1565" spans="6:12">
      <c r="F1565" t="s">
        <v>12950</v>
      </c>
      <c r="G1565" t="s">
        <v>12951</v>
      </c>
      <c r="H1565">
        <v>6</v>
      </c>
      <c r="I1565">
        <v>2</v>
      </c>
      <c r="J1565">
        <v>0</v>
      </c>
      <c r="K1565">
        <v>0</v>
      </c>
      <c r="L1565" s="61" t="s">
        <v>4779</v>
      </c>
    </row>
    <row r="1566" spans="6:12">
      <c r="F1566" t="s">
        <v>12952</v>
      </c>
      <c r="G1566" t="s">
        <v>5068</v>
      </c>
      <c r="H1566">
        <v>4</v>
      </c>
      <c r="I1566">
        <v>3</v>
      </c>
      <c r="J1566">
        <v>1</v>
      </c>
      <c r="K1566">
        <v>0</v>
      </c>
      <c r="L1566" s="61" t="s">
        <v>4779</v>
      </c>
    </row>
    <row r="1567" spans="6:12">
      <c r="F1567" t="s">
        <v>12953</v>
      </c>
      <c r="G1567" t="s">
        <v>12954</v>
      </c>
      <c r="H1567">
        <v>5</v>
      </c>
      <c r="I1567">
        <v>3</v>
      </c>
      <c r="J1567">
        <v>0</v>
      </c>
      <c r="K1567">
        <v>0</v>
      </c>
      <c r="L1567" s="61" t="s">
        <v>4779</v>
      </c>
    </row>
    <row r="1568" spans="6:12">
      <c r="F1568" t="s">
        <v>12955</v>
      </c>
      <c r="G1568" t="s">
        <v>5832</v>
      </c>
      <c r="H1568">
        <v>4</v>
      </c>
      <c r="I1568">
        <v>3</v>
      </c>
      <c r="J1568">
        <v>1</v>
      </c>
      <c r="K1568">
        <v>0</v>
      </c>
      <c r="L1568" s="61" t="s">
        <v>4779</v>
      </c>
    </row>
    <row r="1569" spans="6:12">
      <c r="F1569" t="s">
        <v>12956</v>
      </c>
      <c r="G1569" t="s">
        <v>12957</v>
      </c>
      <c r="H1569">
        <v>5</v>
      </c>
      <c r="I1569">
        <v>3</v>
      </c>
      <c r="J1569">
        <v>0</v>
      </c>
      <c r="K1569">
        <v>0</v>
      </c>
      <c r="L1569" s="61" t="s">
        <v>4779</v>
      </c>
    </row>
    <row r="1570" spans="6:12">
      <c r="F1570" t="s">
        <v>12958</v>
      </c>
      <c r="G1570" t="s">
        <v>7655</v>
      </c>
      <c r="H1570">
        <v>7</v>
      </c>
      <c r="I1570">
        <v>1</v>
      </c>
      <c r="J1570">
        <v>0</v>
      </c>
      <c r="K1570">
        <v>0</v>
      </c>
      <c r="L1570" s="61" t="s">
        <v>4779</v>
      </c>
    </row>
    <row r="1571" spans="6:12">
      <c r="F1571" t="s">
        <v>12959</v>
      </c>
      <c r="G1571" t="s">
        <v>5729</v>
      </c>
      <c r="H1571">
        <v>5</v>
      </c>
      <c r="I1571">
        <v>3</v>
      </c>
      <c r="J1571">
        <v>0</v>
      </c>
      <c r="K1571">
        <v>0</v>
      </c>
      <c r="L1571" s="61" t="s">
        <v>4779</v>
      </c>
    </row>
    <row r="1572" spans="6:12">
      <c r="F1572" t="s">
        <v>12960</v>
      </c>
      <c r="G1572" t="s">
        <v>12961</v>
      </c>
      <c r="H1572">
        <v>7</v>
      </c>
      <c r="I1572">
        <v>1</v>
      </c>
      <c r="J1572">
        <v>0</v>
      </c>
      <c r="K1572">
        <v>0</v>
      </c>
      <c r="L1572" s="61" t="s">
        <v>4779</v>
      </c>
    </row>
    <row r="1573" spans="6:12">
      <c r="F1573" t="s">
        <v>12962</v>
      </c>
      <c r="G1573" t="s">
        <v>5846</v>
      </c>
      <c r="H1573">
        <v>5</v>
      </c>
      <c r="I1573">
        <v>2</v>
      </c>
      <c r="J1573">
        <v>1</v>
      </c>
      <c r="K1573">
        <v>0</v>
      </c>
      <c r="L1573" s="61" t="s">
        <v>4779</v>
      </c>
    </row>
    <row r="1574" spans="6:12">
      <c r="F1574" t="s">
        <v>12963</v>
      </c>
      <c r="G1574" t="s">
        <v>5693</v>
      </c>
      <c r="H1574">
        <v>4</v>
      </c>
      <c r="I1574">
        <v>2</v>
      </c>
      <c r="J1574">
        <v>2</v>
      </c>
      <c r="K1574">
        <v>0</v>
      </c>
      <c r="L1574" s="61" t="s">
        <v>4779</v>
      </c>
    </row>
    <row r="1575" spans="6:12">
      <c r="F1575" t="s">
        <v>11019</v>
      </c>
      <c r="G1575" t="s">
        <v>7436</v>
      </c>
      <c r="H1575">
        <v>6</v>
      </c>
      <c r="I1575">
        <v>2</v>
      </c>
      <c r="J1575">
        <v>0</v>
      </c>
      <c r="K1575">
        <v>0</v>
      </c>
      <c r="L1575" s="61" t="s">
        <v>4779</v>
      </c>
    </row>
    <row r="1576" spans="6:12">
      <c r="F1576" t="s">
        <v>12964</v>
      </c>
      <c r="G1576" t="s">
        <v>5050</v>
      </c>
      <c r="H1576">
        <v>6</v>
      </c>
      <c r="I1576">
        <v>1</v>
      </c>
      <c r="J1576">
        <v>1</v>
      </c>
      <c r="K1576">
        <v>0</v>
      </c>
      <c r="L1576" s="61" t="s">
        <v>4779</v>
      </c>
    </row>
    <row r="1577" spans="6:12">
      <c r="F1577" t="s">
        <v>12965</v>
      </c>
      <c r="G1577" t="s">
        <v>12966</v>
      </c>
      <c r="H1577">
        <v>7</v>
      </c>
      <c r="I1577">
        <v>1</v>
      </c>
      <c r="J1577">
        <v>0</v>
      </c>
      <c r="K1577">
        <v>0</v>
      </c>
      <c r="L1577" s="61" t="s">
        <v>4779</v>
      </c>
    </row>
    <row r="1578" spans="6:12">
      <c r="F1578" t="s">
        <v>12967</v>
      </c>
      <c r="G1578" t="s">
        <v>8261</v>
      </c>
      <c r="H1578">
        <v>5</v>
      </c>
      <c r="I1578">
        <v>1</v>
      </c>
      <c r="J1578">
        <v>2</v>
      </c>
      <c r="K1578">
        <v>0</v>
      </c>
      <c r="L1578" s="61" t="s">
        <v>4808</v>
      </c>
    </row>
    <row r="1579" spans="6:12">
      <c r="F1579" t="s">
        <v>12968</v>
      </c>
      <c r="G1579" t="s">
        <v>12969</v>
      </c>
      <c r="H1579">
        <v>5</v>
      </c>
      <c r="I1579">
        <v>3</v>
      </c>
      <c r="J1579">
        <v>0</v>
      </c>
      <c r="K1579">
        <v>0</v>
      </c>
      <c r="L1579" s="61" t="s">
        <v>4779</v>
      </c>
    </row>
    <row r="1580" spans="6:12">
      <c r="F1580" t="s">
        <v>12970</v>
      </c>
      <c r="G1580" t="s">
        <v>5212</v>
      </c>
      <c r="H1580">
        <v>7</v>
      </c>
      <c r="I1580">
        <v>1</v>
      </c>
      <c r="J1580">
        <v>0</v>
      </c>
      <c r="K1580">
        <v>0</v>
      </c>
      <c r="L1580" s="61" t="s">
        <v>4779</v>
      </c>
    </row>
    <row r="1581" spans="6:12">
      <c r="F1581" t="s">
        <v>12971</v>
      </c>
      <c r="G1581" t="s">
        <v>8457</v>
      </c>
      <c r="H1581">
        <v>5</v>
      </c>
      <c r="I1581">
        <v>2</v>
      </c>
      <c r="J1581">
        <v>1</v>
      </c>
      <c r="K1581">
        <v>0</v>
      </c>
      <c r="L1581" s="61" t="s">
        <v>4779</v>
      </c>
    </row>
    <row r="1582" spans="6:12">
      <c r="F1582" t="s">
        <v>12972</v>
      </c>
      <c r="G1582" t="s">
        <v>12973</v>
      </c>
      <c r="H1582">
        <v>6</v>
      </c>
      <c r="I1582">
        <v>2</v>
      </c>
      <c r="J1582">
        <v>0</v>
      </c>
      <c r="K1582">
        <v>0</v>
      </c>
      <c r="L1582" s="61" t="s">
        <v>4779</v>
      </c>
    </row>
    <row r="1583" spans="6:12">
      <c r="F1583" t="s">
        <v>12974</v>
      </c>
      <c r="G1583" t="s">
        <v>4983</v>
      </c>
      <c r="H1583">
        <v>4</v>
      </c>
      <c r="I1583">
        <v>3</v>
      </c>
      <c r="J1583">
        <v>1</v>
      </c>
      <c r="K1583">
        <v>0</v>
      </c>
      <c r="L1583" s="61" t="s">
        <v>4779</v>
      </c>
    </row>
    <row r="1584" spans="6:12">
      <c r="F1584" t="s">
        <v>12975</v>
      </c>
      <c r="G1584" t="s">
        <v>5262</v>
      </c>
      <c r="H1584">
        <v>6</v>
      </c>
      <c r="I1584">
        <v>2</v>
      </c>
      <c r="J1584">
        <v>0</v>
      </c>
      <c r="K1584">
        <v>0</v>
      </c>
      <c r="L1584" s="61" t="s">
        <v>4779</v>
      </c>
    </row>
    <row r="1585" spans="6:12">
      <c r="F1585" t="s">
        <v>12976</v>
      </c>
      <c r="G1585" t="s">
        <v>5149</v>
      </c>
      <c r="H1585">
        <v>6</v>
      </c>
      <c r="I1585">
        <v>1</v>
      </c>
      <c r="J1585">
        <v>1</v>
      </c>
      <c r="K1585">
        <v>0</v>
      </c>
      <c r="L1585" s="61" t="s">
        <v>4779</v>
      </c>
    </row>
    <row r="1586" spans="6:12">
      <c r="F1586" t="s">
        <v>12977</v>
      </c>
      <c r="G1586" t="s">
        <v>4596</v>
      </c>
      <c r="H1586">
        <v>3</v>
      </c>
      <c r="I1586">
        <v>3</v>
      </c>
      <c r="J1586">
        <v>2</v>
      </c>
      <c r="K1586">
        <v>0</v>
      </c>
      <c r="L1586" s="61" t="s">
        <v>4779</v>
      </c>
    </row>
    <row r="1587" spans="6:12">
      <c r="F1587" t="s">
        <v>12978</v>
      </c>
      <c r="G1587" t="s">
        <v>11038</v>
      </c>
      <c r="H1587">
        <v>4</v>
      </c>
      <c r="I1587">
        <v>3</v>
      </c>
      <c r="J1587">
        <v>1</v>
      </c>
      <c r="K1587">
        <v>0</v>
      </c>
      <c r="L1587" s="61" t="s">
        <v>4807</v>
      </c>
    </row>
    <row r="1588" spans="6:12">
      <c r="F1588" t="s">
        <v>12979</v>
      </c>
      <c r="G1588" t="s">
        <v>5773</v>
      </c>
      <c r="H1588">
        <v>5</v>
      </c>
      <c r="I1588">
        <v>1</v>
      </c>
      <c r="J1588">
        <v>2</v>
      </c>
      <c r="K1588">
        <v>0</v>
      </c>
      <c r="L1588" s="61" t="s">
        <v>4779</v>
      </c>
    </row>
    <row r="1589" spans="6:12">
      <c r="F1589" t="s">
        <v>12980</v>
      </c>
      <c r="G1589" t="s">
        <v>10925</v>
      </c>
      <c r="H1589">
        <v>6</v>
      </c>
      <c r="I1589">
        <v>2</v>
      </c>
      <c r="J1589">
        <v>0</v>
      </c>
      <c r="K1589">
        <v>0</v>
      </c>
      <c r="L1589" s="61" t="s">
        <v>4779</v>
      </c>
    </row>
    <row r="1590" spans="6:12">
      <c r="F1590" t="s">
        <v>12981</v>
      </c>
      <c r="G1590" t="s">
        <v>12982</v>
      </c>
      <c r="H1590">
        <v>6</v>
      </c>
      <c r="I1590">
        <v>2</v>
      </c>
      <c r="J1590">
        <v>0</v>
      </c>
      <c r="K1590">
        <v>0</v>
      </c>
      <c r="L1590" s="61" t="s">
        <v>4779</v>
      </c>
    </row>
    <row r="1591" spans="6:12">
      <c r="F1591" t="s">
        <v>12983</v>
      </c>
      <c r="G1591" t="s">
        <v>12984</v>
      </c>
      <c r="H1591">
        <v>7</v>
      </c>
      <c r="I1591">
        <v>1</v>
      </c>
      <c r="J1591">
        <v>0</v>
      </c>
      <c r="K1591">
        <v>0</v>
      </c>
      <c r="L1591" s="61" t="s">
        <v>4779</v>
      </c>
    </row>
    <row r="1592" spans="6:12">
      <c r="F1592" t="s">
        <v>12985</v>
      </c>
      <c r="G1592" t="s">
        <v>5253</v>
      </c>
      <c r="H1592">
        <v>6</v>
      </c>
      <c r="I1592">
        <v>1</v>
      </c>
      <c r="J1592">
        <v>1</v>
      </c>
      <c r="K1592">
        <v>0</v>
      </c>
      <c r="L1592" s="61" t="s">
        <v>4779</v>
      </c>
    </row>
    <row r="1593" spans="6:12">
      <c r="F1593" t="s">
        <v>12986</v>
      </c>
      <c r="G1593" t="s">
        <v>5757</v>
      </c>
      <c r="H1593">
        <v>6</v>
      </c>
      <c r="I1593">
        <v>2</v>
      </c>
      <c r="J1593">
        <v>0</v>
      </c>
      <c r="K1593">
        <v>0</v>
      </c>
      <c r="L1593" s="61" t="s">
        <v>4779</v>
      </c>
    </row>
    <row r="1594" spans="6:12">
      <c r="F1594" t="s">
        <v>12987</v>
      </c>
      <c r="G1594" t="s">
        <v>5346</v>
      </c>
      <c r="H1594">
        <v>4</v>
      </c>
      <c r="I1594">
        <v>2</v>
      </c>
      <c r="J1594">
        <v>2</v>
      </c>
      <c r="K1594">
        <v>0</v>
      </c>
      <c r="L1594" s="61" t="s">
        <v>4809</v>
      </c>
    </row>
    <row r="1595" spans="6:12">
      <c r="F1595" t="s">
        <v>12988</v>
      </c>
      <c r="G1595" t="s">
        <v>10991</v>
      </c>
      <c r="H1595">
        <v>7</v>
      </c>
      <c r="I1595">
        <v>1</v>
      </c>
      <c r="J1595">
        <v>0</v>
      </c>
      <c r="K1595">
        <v>0</v>
      </c>
      <c r="L1595" s="61" t="s">
        <v>4779</v>
      </c>
    </row>
    <row r="1596" spans="6:12">
      <c r="F1596" t="s">
        <v>12989</v>
      </c>
      <c r="G1596" t="s">
        <v>12990</v>
      </c>
      <c r="H1596">
        <v>7</v>
      </c>
      <c r="I1596">
        <v>1</v>
      </c>
      <c r="J1596">
        <v>0</v>
      </c>
      <c r="K1596">
        <v>0</v>
      </c>
      <c r="L1596" s="61" t="s">
        <v>4779</v>
      </c>
    </row>
    <row r="1597" spans="6:12">
      <c r="F1597" t="s">
        <v>12991</v>
      </c>
      <c r="G1597" t="s">
        <v>5839</v>
      </c>
      <c r="H1597">
        <v>5</v>
      </c>
      <c r="I1597">
        <v>1</v>
      </c>
      <c r="J1597">
        <v>2</v>
      </c>
      <c r="K1597">
        <v>0</v>
      </c>
      <c r="L1597" s="61" t="s">
        <v>4779</v>
      </c>
    </row>
    <row r="1598" spans="6:12">
      <c r="F1598" t="s">
        <v>12992</v>
      </c>
      <c r="G1598" t="s">
        <v>11058</v>
      </c>
      <c r="H1598">
        <v>5</v>
      </c>
      <c r="I1598">
        <v>3</v>
      </c>
      <c r="J1598">
        <v>0</v>
      </c>
      <c r="K1598">
        <v>0</v>
      </c>
      <c r="L1598" s="61" t="s">
        <v>4779</v>
      </c>
    </row>
    <row r="1599" spans="6:12">
      <c r="F1599" t="s">
        <v>12993</v>
      </c>
      <c r="G1599" t="s">
        <v>5537</v>
      </c>
      <c r="H1599">
        <v>5</v>
      </c>
      <c r="I1599">
        <v>3</v>
      </c>
      <c r="J1599">
        <v>0</v>
      </c>
      <c r="K1599">
        <v>0</v>
      </c>
      <c r="L1599" s="61" t="s">
        <v>4779</v>
      </c>
    </row>
    <row r="1600" spans="6:12">
      <c r="F1600" t="s">
        <v>12994</v>
      </c>
      <c r="G1600" t="s">
        <v>5312</v>
      </c>
      <c r="H1600">
        <v>7</v>
      </c>
      <c r="I1600">
        <v>1</v>
      </c>
      <c r="J1600">
        <v>0</v>
      </c>
      <c r="K1600">
        <v>0</v>
      </c>
      <c r="L1600" s="61" t="s">
        <v>4779</v>
      </c>
    </row>
    <row r="1601" spans="6:12">
      <c r="F1601" t="s">
        <v>12995</v>
      </c>
      <c r="G1601" t="s">
        <v>5595</v>
      </c>
      <c r="H1601">
        <v>5</v>
      </c>
      <c r="I1601">
        <v>3</v>
      </c>
      <c r="J1601">
        <v>0</v>
      </c>
      <c r="K1601">
        <v>0</v>
      </c>
      <c r="L1601" s="61" t="s">
        <v>4779</v>
      </c>
    </row>
    <row r="1602" spans="6:12">
      <c r="F1602" t="s">
        <v>12996</v>
      </c>
      <c r="G1602" t="s">
        <v>5680</v>
      </c>
      <c r="H1602">
        <v>4</v>
      </c>
      <c r="I1602">
        <v>2</v>
      </c>
      <c r="J1602">
        <v>2</v>
      </c>
      <c r="K1602">
        <v>0</v>
      </c>
      <c r="L1602" s="61" t="s">
        <v>4808</v>
      </c>
    </row>
    <row r="1603" spans="6:12">
      <c r="F1603" t="s">
        <v>12997</v>
      </c>
      <c r="G1603" t="s">
        <v>11034</v>
      </c>
      <c r="H1603">
        <v>5</v>
      </c>
      <c r="I1603">
        <v>1</v>
      </c>
      <c r="J1603">
        <v>2</v>
      </c>
      <c r="K1603">
        <v>0</v>
      </c>
      <c r="L1603" s="61" t="s">
        <v>4779</v>
      </c>
    </row>
    <row r="1604" spans="6:12">
      <c r="F1604" t="s">
        <v>12998</v>
      </c>
      <c r="G1604" t="s">
        <v>5710</v>
      </c>
      <c r="H1604">
        <v>5</v>
      </c>
      <c r="I1604">
        <v>1</v>
      </c>
      <c r="J1604">
        <v>2</v>
      </c>
      <c r="K1604">
        <v>0</v>
      </c>
      <c r="L1604" s="61" t="s">
        <v>4779</v>
      </c>
    </row>
    <row r="1605" spans="6:12">
      <c r="F1605" t="s">
        <v>12999</v>
      </c>
      <c r="G1605" t="s">
        <v>5536</v>
      </c>
      <c r="H1605">
        <v>4</v>
      </c>
      <c r="I1605">
        <v>2</v>
      </c>
      <c r="J1605">
        <v>2</v>
      </c>
      <c r="K1605">
        <v>0</v>
      </c>
      <c r="L1605" s="61" t="s">
        <v>4779</v>
      </c>
    </row>
    <row r="1606" spans="6:12">
      <c r="F1606" t="s">
        <v>13000</v>
      </c>
      <c r="G1606" t="s">
        <v>5287</v>
      </c>
      <c r="H1606">
        <v>4</v>
      </c>
      <c r="I1606">
        <v>2</v>
      </c>
      <c r="J1606">
        <v>2</v>
      </c>
      <c r="K1606">
        <v>0</v>
      </c>
      <c r="L1606" s="61" t="s">
        <v>4779</v>
      </c>
    </row>
    <row r="1607" spans="6:12">
      <c r="F1607" t="s">
        <v>13001</v>
      </c>
      <c r="G1607" t="s">
        <v>13002</v>
      </c>
      <c r="H1607">
        <v>5</v>
      </c>
      <c r="I1607">
        <v>3</v>
      </c>
      <c r="J1607">
        <v>0</v>
      </c>
      <c r="K1607">
        <v>0</v>
      </c>
      <c r="L1607" s="61" t="s">
        <v>4779</v>
      </c>
    </row>
    <row r="1608" spans="6:12">
      <c r="F1608" t="s">
        <v>13003</v>
      </c>
      <c r="G1608" t="s">
        <v>8132</v>
      </c>
      <c r="H1608">
        <v>6</v>
      </c>
      <c r="I1608">
        <v>2</v>
      </c>
      <c r="J1608">
        <v>0</v>
      </c>
      <c r="K1608">
        <v>0</v>
      </c>
      <c r="L1608" s="61" t="s">
        <v>4779</v>
      </c>
    </row>
    <row r="1609" spans="6:12">
      <c r="F1609" t="s">
        <v>13004</v>
      </c>
      <c r="G1609" t="s">
        <v>13005</v>
      </c>
      <c r="H1609">
        <v>6</v>
      </c>
      <c r="I1609">
        <v>2</v>
      </c>
      <c r="J1609">
        <v>0</v>
      </c>
      <c r="K1609">
        <v>0</v>
      </c>
      <c r="L1609" s="61" t="s">
        <v>4808</v>
      </c>
    </row>
    <row r="1610" spans="6:12">
      <c r="F1610" t="s">
        <v>13006</v>
      </c>
      <c r="G1610" t="s">
        <v>5505</v>
      </c>
      <c r="H1610">
        <v>3</v>
      </c>
      <c r="I1610">
        <v>3</v>
      </c>
      <c r="J1610">
        <v>2</v>
      </c>
      <c r="K1610">
        <v>0</v>
      </c>
      <c r="L1610" s="61" t="s">
        <v>4779</v>
      </c>
    </row>
    <row r="1611" spans="6:12">
      <c r="F1611" t="s">
        <v>13007</v>
      </c>
      <c r="G1611" t="s">
        <v>5840</v>
      </c>
      <c r="H1611">
        <v>5</v>
      </c>
      <c r="I1611">
        <v>3</v>
      </c>
      <c r="J1611">
        <v>0</v>
      </c>
      <c r="K1611">
        <v>0</v>
      </c>
      <c r="L1611" s="61" t="s">
        <v>4779</v>
      </c>
    </row>
    <row r="1612" spans="6:12">
      <c r="F1612" t="s">
        <v>13008</v>
      </c>
      <c r="G1612" t="s">
        <v>4932</v>
      </c>
      <c r="H1612">
        <v>5</v>
      </c>
      <c r="I1612">
        <v>3</v>
      </c>
      <c r="J1612">
        <v>0</v>
      </c>
      <c r="K1612">
        <v>0</v>
      </c>
      <c r="L1612" s="61" t="s">
        <v>4808</v>
      </c>
    </row>
    <row r="1613" spans="6:12">
      <c r="F1613" t="s">
        <v>13009</v>
      </c>
      <c r="G1613" t="s">
        <v>4663</v>
      </c>
      <c r="H1613">
        <v>3</v>
      </c>
      <c r="I1613">
        <v>3</v>
      </c>
      <c r="J1613">
        <v>2</v>
      </c>
      <c r="K1613">
        <v>0</v>
      </c>
      <c r="L1613" s="61" t="s">
        <v>4779</v>
      </c>
    </row>
    <row r="1614" spans="6:12">
      <c r="F1614" t="s">
        <v>13010</v>
      </c>
      <c r="G1614" t="s">
        <v>13011</v>
      </c>
      <c r="H1614">
        <v>6</v>
      </c>
      <c r="I1614">
        <v>2</v>
      </c>
      <c r="J1614">
        <v>0</v>
      </c>
      <c r="K1614">
        <v>0</v>
      </c>
      <c r="L1614" s="61" t="s">
        <v>4779</v>
      </c>
    </row>
    <row r="1615" spans="6:12">
      <c r="F1615" t="s">
        <v>13012</v>
      </c>
      <c r="G1615" t="s">
        <v>4914</v>
      </c>
      <c r="H1615">
        <v>3</v>
      </c>
      <c r="I1615">
        <v>3</v>
      </c>
      <c r="J1615">
        <v>2</v>
      </c>
      <c r="K1615">
        <v>0</v>
      </c>
      <c r="L1615" s="61" t="s">
        <v>4779</v>
      </c>
    </row>
    <row r="1616" spans="6:12">
      <c r="F1616" t="s">
        <v>13013</v>
      </c>
      <c r="G1616" t="s">
        <v>5727</v>
      </c>
      <c r="H1616">
        <v>5</v>
      </c>
      <c r="I1616">
        <v>3</v>
      </c>
      <c r="J1616">
        <v>0</v>
      </c>
      <c r="K1616">
        <v>0</v>
      </c>
      <c r="L1616" s="61" t="s">
        <v>4779</v>
      </c>
    </row>
    <row r="1617" spans="6:12">
      <c r="F1617" t="s">
        <v>13014</v>
      </c>
      <c r="G1617" t="s">
        <v>5777</v>
      </c>
      <c r="H1617">
        <v>5</v>
      </c>
      <c r="I1617">
        <v>3</v>
      </c>
      <c r="J1617">
        <v>0</v>
      </c>
      <c r="K1617">
        <v>0</v>
      </c>
      <c r="L1617" s="61" t="s">
        <v>4779</v>
      </c>
    </row>
    <row r="1618" spans="6:12">
      <c r="F1618" t="s">
        <v>13015</v>
      </c>
      <c r="G1618" t="s">
        <v>13016</v>
      </c>
      <c r="H1618">
        <v>5</v>
      </c>
      <c r="I1618">
        <v>3</v>
      </c>
      <c r="J1618">
        <v>0</v>
      </c>
      <c r="K1618">
        <v>0</v>
      </c>
      <c r="L1618" s="61" t="s">
        <v>4779</v>
      </c>
    </row>
    <row r="1619" spans="6:12">
      <c r="F1619" t="s">
        <v>13017</v>
      </c>
      <c r="G1619" t="s">
        <v>10955</v>
      </c>
      <c r="H1619">
        <v>4</v>
      </c>
      <c r="I1619">
        <v>3</v>
      </c>
      <c r="J1619">
        <v>1</v>
      </c>
      <c r="K1619">
        <v>0</v>
      </c>
      <c r="L1619" s="61" t="s">
        <v>4779</v>
      </c>
    </row>
    <row r="1620" spans="6:12">
      <c r="F1620" t="s">
        <v>13018</v>
      </c>
      <c r="G1620" t="s">
        <v>13019</v>
      </c>
      <c r="H1620">
        <v>5</v>
      </c>
      <c r="I1620">
        <v>2</v>
      </c>
      <c r="J1620">
        <v>1</v>
      </c>
      <c r="K1620">
        <v>0</v>
      </c>
      <c r="L1620" s="61" t="s">
        <v>4779</v>
      </c>
    </row>
    <row r="1621" spans="6:12">
      <c r="F1621" t="s">
        <v>13020</v>
      </c>
      <c r="G1621" t="s">
        <v>13021</v>
      </c>
      <c r="H1621">
        <v>6</v>
      </c>
      <c r="I1621">
        <v>2</v>
      </c>
      <c r="J1621">
        <v>0</v>
      </c>
      <c r="K1621">
        <v>0</v>
      </c>
      <c r="L1621" s="61" t="s">
        <v>4779</v>
      </c>
    </row>
    <row r="1622" spans="6:12">
      <c r="F1622" t="s">
        <v>13022</v>
      </c>
      <c r="G1622" t="s">
        <v>7753</v>
      </c>
      <c r="H1622">
        <v>5</v>
      </c>
      <c r="I1622">
        <v>2</v>
      </c>
      <c r="J1622">
        <v>1</v>
      </c>
      <c r="K1622">
        <v>0</v>
      </c>
      <c r="L1622" s="61" t="s">
        <v>4779</v>
      </c>
    </row>
    <row r="1623" spans="6:12">
      <c r="F1623" t="s">
        <v>13023</v>
      </c>
      <c r="G1623" t="s">
        <v>5828</v>
      </c>
      <c r="H1623">
        <v>3</v>
      </c>
      <c r="I1623">
        <v>3</v>
      </c>
      <c r="J1623">
        <v>2</v>
      </c>
      <c r="K1623">
        <v>0</v>
      </c>
      <c r="L1623" s="61" t="s">
        <v>4779</v>
      </c>
    </row>
    <row r="1624" spans="6:12">
      <c r="F1624" t="s">
        <v>13024</v>
      </c>
      <c r="G1624" t="s">
        <v>6945</v>
      </c>
      <c r="H1624">
        <v>6</v>
      </c>
      <c r="I1624">
        <v>2</v>
      </c>
      <c r="J1624">
        <v>0</v>
      </c>
      <c r="K1624">
        <v>0</v>
      </c>
      <c r="L1624" s="61" t="s">
        <v>4779</v>
      </c>
    </row>
    <row r="1625" spans="6:12">
      <c r="F1625" t="s">
        <v>13025</v>
      </c>
      <c r="G1625" t="s">
        <v>5255</v>
      </c>
      <c r="H1625">
        <v>7</v>
      </c>
      <c r="I1625">
        <v>1</v>
      </c>
      <c r="J1625">
        <v>0</v>
      </c>
      <c r="K1625">
        <v>0</v>
      </c>
      <c r="L1625" s="61" t="s">
        <v>4779</v>
      </c>
    </row>
    <row r="1626" spans="6:12">
      <c r="F1626" t="s">
        <v>13026</v>
      </c>
      <c r="G1626" t="s">
        <v>4609</v>
      </c>
      <c r="H1626">
        <v>4</v>
      </c>
      <c r="I1626">
        <v>3</v>
      </c>
      <c r="J1626">
        <v>1</v>
      </c>
      <c r="K1626">
        <v>0</v>
      </c>
      <c r="L1626" s="61" t="s">
        <v>4779</v>
      </c>
    </row>
    <row r="1627" spans="6:12">
      <c r="F1627" t="s">
        <v>13027</v>
      </c>
      <c r="G1627" t="s">
        <v>10964</v>
      </c>
      <c r="H1627">
        <v>3</v>
      </c>
      <c r="I1627">
        <v>3</v>
      </c>
      <c r="J1627">
        <v>2</v>
      </c>
      <c r="K1627">
        <v>0</v>
      </c>
      <c r="L1627" s="61" t="s">
        <v>4808</v>
      </c>
    </row>
    <row r="1628" spans="6:12">
      <c r="F1628" t="s">
        <v>13028</v>
      </c>
      <c r="G1628" t="s">
        <v>5000</v>
      </c>
      <c r="H1628">
        <v>5</v>
      </c>
      <c r="I1628">
        <v>3</v>
      </c>
      <c r="J1628">
        <v>0</v>
      </c>
      <c r="K1628">
        <v>0</v>
      </c>
      <c r="L1628" s="61" t="s">
        <v>4779</v>
      </c>
    </row>
    <row r="1629" spans="6:12">
      <c r="F1629" t="s">
        <v>13029</v>
      </c>
      <c r="G1629" t="s">
        <v>5676</v>
      </c>
      <c r="H1629">
        <v>3</v>
      </c>
      <c r="I1629">
        <v>3</v>
      </c>
      <c r="J1629">
        <v>2</v>
      </c>
      <c r="K1629">
        <v>0</v>
      </c>
      <c r="L1629" s="61" t="s">
        <v>4779</v>
      </c>
    </row>
    <row r="1630" spans="6:12">
      <c r="F1630" t="s">
        <v>13030</v>
      </c>
      <c r="G1630" t="s">
        <v>13031</v>
      </c>
      <c r="H1630">
        <v>6</v>
      </c>
      <c r="I1630">
        <v>2</v>
      </c>
      <c r="J1630">
        <v>0</v>
      </c>
      <c r="K1630">
        <v>0</v>
      </c>
      <c r="L1630" s="61" t="s">
        <v>4779</v>
      </c>
    </row>
    <row r="1631" spans="6:12">
      <c r="F1631" t="s">
        <v>13032</v>
      </c>
      <c r="G1631" t="s">
        <v>10956</v>
      </c>
      <c r="H1631">
        <v>6</v>
      </c>
      <c r="I1631">
        <v>2</v>
      </c>
      <c r="J1631">
        <v>0</v>
      </c>
      <c r="K1631">
        <v>0</v>
      </c>
      <c r="L1631" s="61" t="s">
        <v>4779</v>
      </c>
    </row>
    <row r="1632" spans="6:12">
      <c r="F1632" t="s">
        <v>13033</v>
      </c>
      <c r="G1632" t="s">
        <v>13034</v>
      </c>
      <c r="H1632">
        <v>5</v>
      </c>
      <c r="I1632">
        <v>3</v>
      </c>
      <c r="J1632">
        <v>0</v>
      </c>
      <c r="K1632">
        <v>0</v>
      </c>
      <c r="L1632" s="61" t="s">
        <v>4779</v>
      </c>
    </row>
    <row r="1633" spans="6:12">
      <c r="F1633" t="s">
        <v>13035</v>
      </c>
      <c r="G1633" t="s">
        <v>5133</v>
      </c>
      <c r="H1633">
        <v>6</v>
      </c>
      <c r="I1633">
        <v>2</v>
      </c>
      <c r="J1633">
        <v>0</v>
      </c>
      <c r="K1633">
        <v>0</v>
      </c>
      <c r="L1633" s="61" t="s">
        <v>4779</v>
      </c>
    </row>
    <row r="1634" spans="6:12">
      <c r="F1634" t="s">
        <v>13036</v>
      </c>
      <c r="G1634" t="s">
        <v>4941</v>
      </c>
      <c r="H1634">
        <v>5</v>
      </c>
      <c r="I1634">
        <v>3</v>
      </c>
      <c r="J1634">
        <v>0</v>
      </c>
      <c r="K1634">
        <v>0</v>
      </c>
      <c r="L1634" s="61" t="s">
        <v>4779</v>
      </c>
    </row>
    <row r="1635" spans="6:12">
      <c r="F1635" t="s">
        <v>13037</v>
      </c>
      <c r="G1635" t="s">
        <v>13038</v>
      </c>
      <c r="H1635">
        <v>4</v>
      </c>
      <c r="I1635">
        <v>3</v>
      </c>
      <c r="J1635">
        <v>1</v>
      </c>
      <c r="K1635">
        <v>0</v>
      </c>
      <c r="L1635" s="61" t="s">
        <v>4779</v>
      </c>
    </row>
    <row r="1636" spans="6:12">
      <c r="F1636" t="s">
        <v>13039</v>
      </c>
      <c r="G1636" t="s">
        <v>4991</v>
      </c>
      <c r="H1636">
        <v>6</v>
      </c>
      <c r="I1636">
        <v>2</v>
      </c>
      <c r="J1636">
        <v>0</v>
      </c>
      <c r="K1636">
        <v>0</v>
      </c>
      <c r="L1636" s="61" t="s">
        <v>4779</v>
      </c>
    </row>
    <row r="1637" spans="6:12">
      <c r="F1637" t="s">
        <v>13040</v>
      </c>
      <c r="G1637" t="s">
        <v>13041</v>
      </c>
      <c r="H1637">
        <v>6</v>
      </c>
      <c r="I1637">
        <v>1</v>
      </c>
      <c r="J1637">
        <v>1</v>
      </c>
      <c r="K1637">
        <v>0</v>
      </c>
      <c r="L1637" s="61" t="s">
        <v>4779</v>
      </c>
    </row>
    <row r="1638" spans="6:12">
      <c r="F1638" t="s">
        <v>13042</v>
      </c>
      <c r="G1638" t="s">
        <v>4992</v>
      </c>
      <c r="H1638">
        <v>6</v>
      </c>
      <c r="I1638">
        <v>2</v>
      </c>
      <c r="J1638">
        <v>0</v>
      </c>
      <c r="K1638">
        <v>0</v>
      </c>
      <c r="L1638" s="61" t="s">
        <v>4779</v>
      </c>
    </row>
    <row r="1639" spans="6:12">
      <c r="F1639" t="s">
        <v>13043</v>
      </c>
      <c r="G1639" t="s">
        <v>13044</v>
      </c>
      <c r="H1639">
        <v>4</v>
      </c>
      <c r="I1639">
        <v>3</v>
      </c>
      <c r="J1639">
        <v>1</v>
      </c>
      <c r="K1639">
        <v>0</v>
      </c>
      <c r="L1639" s="61" t="s">
        <v>4779</v>
      </c>
    </row>
    <row r="1640" spans="6:12">
      <c r="F1640" t="s">
        <v>13045</v>
      </c>
      <c r="G1640" t="s">
        <v>13046</v>
      </c>
      <c r="H1640">
        <v>7</v>
      </c>
      <c r="I1640">
        <v>1</v>
      </c>
      <c r="J1640">
        <v>0</v>
      </c>
      <c r="K1640">
        <v>0</v>
      </c>
      <c r="L1640" s="61" t="s">
        <v>4779</v>
      </c>
    </row>
    <row r="1641" spans="6:12">
      <c r="F1641" t="s">
        <v>13047</v>
      </c>
      <c r="G1641" t="s">
        <v>5369</v>
      </c>
      <c r="H1641">
        <v>4</v>
      </c>
      <c r="I1641">
        <v>3</v>
      </c>
      <c r="J1641">
        <v>1</v>
      </c>
      <c r="K1641">
        <v>0</v>
      </c>
      <c r="L1641" s="61" t="s">
        <v>4779</v>
      </c>
    </row>
    <row r="1642" spans="6:12">
      <c r="F1642" t="s">
        <v>13048</v>
      </c>
      <c r="G1642" t="s">
        <v>8151</v>
      </c>
      <c r="H1642">
        <v>7</v>
      </c>
      <c r="I1642">
        <v>1</v>
      </c>
      <c r="J1642">
        <v>0</v>
      </c>
      <c r="K1642">
        <v>0</v>
      </c>
      <c r="L1642" s="61" t="s">
        <v>4810</v>
      </c>
    </row>
    <row r="1643" spans="6:12">
      <c r="F1643" t="s">
        <v>13049</v>
      </c>
      <c r="G1643" t="s">
        <v>10952</v>
      </c>
      <c r="H1643">
        <v>5</v>
      </c>
      <c r="I1643">
        <v>3</v>
      </c>
      <c r="J1643">
        <v>0</v>
      </c>
      <c r="K1643">
        <v>0</v>
      </c>
      <c r="L1643" s="61" t="s">
        <v>4779</v>
      </c>
    </row>
    <row r="1644" spans="6:12">
      <c r="F1644" t="s">
        <v>13050</v>
      </c>
      <c r="G1644" t="s">
        <v>7433</v>
      </c>
      <c r="H1644">
        <v>5</v>
      </c>
      <c r="I1644">
        <v>1</v>
      </c>
      <c r="J1644">
        <v>2</v>
      </c>
      <c r="K1644">
        <v>0</v>
      </c>
      <c r="L1644" s="61" t="s">
        <v>4779</v>
      </c>
    </row>
    <row r="1645" spans="6:12">
      <c r="F1645" t="s">
        <v>13051</v>
      </c>
      <c r="G1645" t="s">
        <v>5712</v>
      </c>
      <c r="H1645">
        <v>3</v>
      </c>
      <c r="I1645">
        <v>3</v>
      </c>
      <c r="J1645">
        <v>2</v>
      </c>
      <c r="K1645">
        <v>0</v>
      </c>
      <c r="L1645" s="61" t="s">
        <v>4779</v>
      </c>
    </row>
    <row r="1646" spans="6:12">
      <c r="F1646" t="s">
        <v>13052</v>
      </c>
      <c r="G1646" t="s">
        <v>5807</v>
      </c>
      <c r="H1646">
        <v>5</v>
      </c>
      <c r="I1646">
        <v>3</v>
      </c>
      <c r="J1646">
        <v>0</v>
      </c>
      <c r="K1646">
        <v>0</v>
      </c>
      <c r="L1646" s="61" t="s">
        <v>4779</v>
      </c>
    </row>
    <row r="1647" spans="6:12">
      <c r="F1647" t="s">
        <v>13053</v>
      </c>
      <c r="G1647" t="s">
        <v>5827</v>
      </c>
      <c r="H1647">
        <v>5</v>
      </c>
      <c r="I1647">
        <v>3</v>
      </c>
      <c r="J1647">
        <v>0</v>
      </c>
      <c r="K1647">
        <v>0</v>
      </c>
      <c r="L1647" s="61" t="s">
        <v>4779</v>
      </c>
    </row>
    <row r="1648" spans="6:12">
      <c r="F1648" t="s">
        <v>13054</v>
      </c>
      <c r="G1648" t="s">
        <v>7938</v>
      </c>
      <c r="H1648">
        <v>5</v>
      </c>
      <c r="I1648">
        <v>1</v>
      </c>
      <c r="J1648">
        <v>2</v>
      </c>
      <c r="K1648">
        <v>0</v>
      </c>
      <c r="L1648" s="61" t="s">
        <v>4779</v>
      </c>
    </row>
    <row r="1649" spans="6:12">
      <c r="F1649" t="s">
        <v>13055</v>
      </c>
      <c r="G1649" t="s">
        <v>5354</v>
      </c>
      <c r="H1649">
        <v>5</v>
      </c>
      <c r="I1649">
        <v>3</v>
      </c>
      <c r="J1649">
        <v>0</v>
      </c>
      <c r="K1649">
        <v>0</v>
      </c>
      <c r="L1649" s="61" t="s">
        <v>4779</v>
      </c>
    </row>
    <row r="1650" spans="6:12">
      <c r="F1650" t="s">
        <v>13056</v>
      </c>
      <c r="G1650" t="s">
        <v>13057</v>
      </c>
      <c r="H1650">
        <v>6</v>
      </c>
      <c r="I1650">
        <v>2</v>
      </c>
      <c r="J1650">
        <v>0</v>
      </c>
      <c r="K1650">
        <v>0</v>
      </c>
      <c r="L1650" s="61" t="s">
        <v>4779</v>
      </c>
    </row>
    <row r="1651" spans="6:12">
      <c r="F1651" t="s">
        <v>13058</v>
      </c>
      <c r="G1651" t="s">
        <v>10938</v>
      </c>
      <c r="H1651">
        <v>6</v>
      </c>
      <c r="I1651">
        <v>2</v>
      </c>
      <c r="J1651">
        <v>0</v>
      </c>
      <c r="K1651">
        <v>0</v>
      </c>
      <c r="L1651" s="61" t="s">
        <v>4779</v>
      </c>
    </row>
    <row r="1652" spans="6:12">
      <c r="F1652" t="s">
        <v>13059</v>
      </c>
      <c r="G1652" t="s">
        <v>8468</v>
      </c>
      <c r="H1652">
        <v>5</v>
      </c>
      <c r="I1652">
        <v>1</v>
      </c>
      <c r="J1652">
        <v>2</v>
      </c>
      <c r="K1652">
        <v>0</v>
      </c>
      <c r="L1652" s="61" t="s">
        <v>4779</v>
      </c>
    </row>
    <row r="1653" spans="6:12">
      <c r="F1653" t="s">
        <v>13060</v>
      </c>
      <c r="G1653" t="s">
        <v>4625</v>
      </c>
      <c r="H1653">
        <v>5</v>
      </c>
      <c r="I1653">
        <v>2</v>
      </c>
      <c r="J1653">
        <v>1</v>
      </c>
      <c r="K1653">
        <v>0</v>
      </c>
      <c r="L1653" s="61" t="s">
        <v>4779</v>
      </c>
    </row>
    <row r="1654" spans="6:12">
      <c r="F1654" t="s">
        <v>13061</v>
      </c>
      <c r="G1654" t="s">
        <v>13062</v>
      </c>
      <c r="H1654">
        <v>6</v>
      </c>
      <c r="I1654">
        <v>2</v>
      </c>
      <c r="J1654">
        <v>0</v>
      </c>
      <c r="K1654">
        <v>0</v>
      </c>
      <c r="L1654" s="61" t="s">
        <v>4779</v>
      </c>
    </row>
    <row r="1655" spans="6:12">
      <c r="F1655" t="s">
        <v>13063</v>
      </c>
      <c r="G1655" t="s">
        <v>10951</v>
      </c>
      <c r="H1655">
        <v>5</v>
      </c>
      <c r="I1655">
        <v>3</v>
      </c>
      <c r="J1655">
        <v>0</v>
      </c>
      <c r="K1655">
        <v>0</v>
      </c>
      <c r="L1655" s="61" t="s">
        <v>4810</v>
      </c>
    </row>
    <row r="1656" spans="6:12">
      <c r="F1656" t="s">
        <v>13064</v>
      </c>
      <c r="G1656" t="s">
        <v>4984</v>
      </c>
      <c r="H1656">
        <v>6</v>
      </c>
      <c r="I1656">
        <v>2</v>
      </c>
      <c r="J1656">
        <v>0</v>
      </c>
      <c r="K1656">
        <v>0</v>
      </c>
      <c r="L1656" s="61" t="s">
        <v>4779</v>
      </c>
    </row>
    <row r="1657" spans="6:12">
      <c r="F1657" t="s">
        <v>13065</v>
      </c>
      <c r="G1657" t="s">
        <v>5788</v>
      </c>
      <c r="H1657">
        <v>4</v>
      </c>
      <c r="I1657">
        <v>2</v>
      </c>
      <c r="J1657">
        <v>2</v>
      </c>
      <c r="K1657">
        <v>0</v>
      </c>
      <c r="L1657" s="61" t="s">
        <v>4779</v>
      </c>
    </row>
    <row r="1658" spans="6:12">
      <c r="F1658" t="s">
        <v>13066</v>
      </c>
      <c r="G1658" t="s">
        <v>4729</v>
      </c>
      <c r="H1658">
        <v>6</v>
      </c>
      <c r="I1658">
        <v>2</v>
      </c>
      <c r="J1658">
        <v>0</v>
      </c>
      <c r="K1658">
        <v>0</v>
      </c>
      <c r="L1658" s="61" t="s">
        <v>4807</v>
      </c>
    </row>
    <row r="1659" spans="6:12">
      <c r="F1659" t="s">
        <v>13067</v>
      </c>
      <c r="G1659" t="s">
        <v>13068</v>
      </c>
      <c r="H1659">
        <v>7</v>
      </c>
      <c r="I1659">
        <v>1</v>
      </c>
      <c r="J1659">
        <v>0</v>
      </c>
      <c r="K1659">
        <v>0</v>
      </c>
      <c r="L1659" s="61" t="s">
        <v>4779</v>
      </c>
    </row>
    <row r="1660" spans="6:12">
      <c r="F1660" t="s">
        <v>13069</v>
      </c>
      <c r="G1660" t="s">
        <v>5346</v>
      </c>
      <c r="H1660">
        <v>5</v>
      </c>
      <c r="I1660">
        <v>3</v>
      </c>
      <c r="J1660">
        <v>0</v>
      </c>
      <c r="K1660">
        <v>0</v>
      </c>
      <c r="L1660" s="61" t="s">
        <v>4779</v>
      </c>
    </row>
    <row r="1661" spans="6:12">
      <c r="F1661" t="s">
        <v>13070</v>
      </c>
      <c r="G1661" t="s">
        <v>13071</v>
      </c>
      <c r="H1661">
        <v>6</v>
      </c>
      <c r="I1661">
        <v>2</v>
      </c>
      <c r="J1661">
        <v>0</v>
      </c>
      <c r="K1661">
        <v>0</v>
      </c>
      <c r="L1661" s="61" t="s">
        <v>4779</v>
      </c>
    </row>
    <row r="1662" spans="6:12">
      <c r="F1662" t="s">
        <v>13072</v>
      </c>
      <c r="G1662" t="s">
        <v>11068</v>
      </c>
      <c r="H1662">
        <v>5</v>
      </c>
      <c r="I1662">
        <v>3</v>
      </c>
      <c r="J1662">
        <v>0</v>
      </c>
      <c r="K1662">
        <v>0</v>
      </c>
      <c r="L1662" s="61" t="s">
        <v>4779</v>
      </c>
    </row>
    <row r="1663" spans="6:12">
      <c r="F1663" t="s">
        <v>13073</v>
      </c>
      <c r="G1663" t="s">
        <v>12835</v>
      </c>
      <c r="H1663">
        <v>6</v>
      </c>
      <c r="I1663">
        <v>2</v>
      </c>
      <c r="J1663">
        <v>0</v>
      </c>
      <c r="K1663">
        <v>0</v>
      </c>
      <c r="L1663" s="61" t="s">
        <v>4779</v>
      </c>
    </row>
    <row r="1664" spans="6:12">
      <c r="F1664" t="s">
        <v>13074</v>
      </c>
      <c r="G1664" t="s">
        <v>5270</v>
      </c>
      <c r="H1664">
        <v>7</v>
      </c>
      <c r="I1664">
        <v>1</v>
      </c>
      <c r="J1664">
        <v>0</v>
      </c>
      <c r="K1664">
        <v>0</v>
      </c>
      <c r="L1664" s="61" t="s">
        <v>4779</v>
      </c>
    </row>
    <row r="1665" spans="6:12">
      <c r="F1665" t="s">
        <v>13075</v>
      </c>
      <c r="G1665" t="s">
        <v>7629</v>
      </c>
      <c r="H1665">
        <v>5</v>
      </c>
      <c r="I1665">
        <v>3</v>
      </c>
      <c r="J1665">
        <v>0</v>
      </c>
      <c r="K1665">
        <v>0</v>
      </c>
      <c r="L1665" s="61" t="s">
        <v>4779</v>
      </c>
    </row>
    <row r="1666" spans="6:12">
      <c r="F1666" t="s">
        <v>13076</v>
      </c>
      <c r="G1666" t="s">
        <v>10936</v>
      </c>
      <c r="H1666">
        <v>6</v>
      </c>
      <c r="I1666">
        <v>2</v>
      </c>
      <c r="J1666">
        <v>0</v>
      </c>
      <c r="K1666">
        <v>0</v>
      </c>
      <c r="L1666" s="61" t="s">
        <v>4779</v>
      </c>
    </row>
    <row r="1667" spans="6:12">
      <c r="F1667" t="s">
        <v>13077</v>
      </c>
      <c r="G1667" t="s">
        <v>5018</v>
      </c>
      <c r="H1667">
        <v>3</v>
      </c>
      <c r="I1667">
        <v>3</v>
      </c>
      <c r="J1667">
        <v>2</v>
      </c>
      <c r="K1667">
        <v>0</v>
      </c>
      <c r="L1667" s="61" t="s">
        <v>4779</v>
      </c>
    </row>
    <row r="1668" spans="6:12">
      <c r="F1668" t="s">
        <v>13078</v>
      </c>
      <c r="G1668" t="s">
        <v>13079</v>
      </c>
      <c r="H1668">
        <v>7</v>
      </c>
      <c r="I1668">
        <v>1</v>
      </c>
      <c r="J1668">
        <v>0</v>
      </c>
      <c r="K1668">
        <v>0</v>
      </c>
      <c r="L1668" s="61" t="s">
        <v>4779</v>
      </c>
    </row>
    <row r="1669" spans="6:12">
      <c r="F1669" t="s">
        <v>13080</v>
      </c>
      <c r="G1669" t="s">
        <v>5597</v>
      </c>
      <c r="H1669">
        <v>4</v>
      </c>
      <c r="I1669">
        <v>2</v>
      </c>
      <c r="J1669">
        <v>2</v>
      </c>
      <c r="K1669">
        <v>0</v>
      </c>
      <c r="L1669" s="61" t="s">
        <v>4779</v>
      </c>
    </row>
    <row r="1670" spans="6:12">
      <c r="F1670" t="s">
        <v>13081</v>
      </c>
      <c r="G1670" t="s">
        <v>7464</v>
      </c>
      <c r="H1670">
        <v>5</v>
      </c>
      <c r="I1670">
        <v>3</v>
      </c>
      <c r="J1670">
        <v>0</v>
      </c>
      <c r="K1670">
        <v>0</v>
      </c>
      <c r="L1670" s="61" t="s">
        <v>4779</v>
      </c>
    </row>
    <row r="1671" spans="6:12">
      <c r="F1671" t="s">
        <v>13082</v>
      </c>
      <c r="G1671" t="s">
        <v>5138</v>
      </c>
      <c r="H1671">
        <v>5</v>
      </c>
      <c r="I1671">
        <v>2</v>
      </c>
      <c r="J1671">
        <v>1</v>
      </c>
      <c r="K1671">
        <v>0</v>
      </c>
      <c r="L1671" s="61" t="s">
        <v>4779</v>
      </c>
    </row>
    <row r="1672" spans="6:12">
      <c r="F1672" t="s">
        <v>13083</v>
      </c>
      <c r="G1672" t="s">
        <v>5484</v>
      </c>
      <c r="H1672">
        <v>5</v>
      </c>
      <c r="I1672">
        <v>3</v>
      </c>
      <c r="J1672">
        <v>0</v>
      </c>
      <c r="K1672">
        <v>0</v>
      </c>
      <c r="L1672" s="61" t="s">
        <v>4779</v>
      </c>
    </row>
    <row r="1673" spans="6:12">
      <c r="F1673" t="s">
        <v>13084</v>
      </c>
      <c r="G1673" t="s">
        <v>5124</v>
      </c>
      <c r="H1673">
        <v>5</v>
      </c>
      <c r="I1673">
        <v>3</v>
      </c>
      <c r="J1673">
        <v>0</v>
      </c>
      <c r="K1673">
        <v>0</v>
      </c>
      <c r="L1673" s="61" t="s">
        <v>4779</v>
      </c>
    </row>
    <row r="1674" spans="6:12">
      <c r="F1674" t="s">
        <v>13085</v>
      </c>
      <c r="G1674" t="s">
        <v>5867</v>
      </c>
      <c r="H1674">
        <v>6</v>
      </c>
      <c r="I1674">
        <v>2</v>
      </c>
      <c r="J1674">
        <v>0</v>
      </c>
      <c r="K1674">
        <v>0</v>
      </c>
      <c r="L1674" s="61" t="s">
        <v>4779</v>
      </c>
    </row>
    <row r="1675" spans="6:12">
      <c r="F1675" t="s">
        <v>13086</v>
      </c>
      <c r="G1675" t="s">
        <v>13087</v>
      </c>
      <c r="H1675">
        <v>6</v>
      </c>
      <c r="I1675">
        <v>2</v>
      </c>
      <c r="J1675">
        <v>0</v>
      </c>
      <c r="K1675">
        <v>0</v>
      </c>
      <c r="L1675" s="61" t="s">
        <v>4807</v>
      </c>
    </row>
    <row r="1676" spans="6:12">
      <c r="F1676" t="s">
        <v>13088</v>
      </c>
      <c r="G1676" t="s">
        <v>5293</v>
      </c>
      <c r="H1676">
        <v>5</v>
      </c>
      <c r="I1676">
        <v>2</v>
      </c>
      <c r="J1676">
        <v>1</v>
      </c>
      <c r="K1676">
        <v>0</v>
      </c>
      <c r="L1676" s="61" t="s">
        <v>4779</v>
      </c>
    </row>
    <row r="1677" spans="6:12">
      <c r="F1677" t="s">
        <v>13089</v>
      </c>
      <c r="G1677" t="s">
        <v>5278</v>
      </c>
      <c r="H1677">
        <v>6</v>
      </c>
      <c r="I1677">
        <v>1</v>
      </c>
      <c r="J1677">
        <v>1</v>
      </c>
      <c r="K1677">
        <v>0</v>
      </c>
      <c r="L1677" s="61" t="s">
        <v>4779</v>
      </c>
    </row>
    <row r="1678" spans="6:12">
      <c r="F1678" t="s">
        <v>13090</v>
      </c>
      <c r="G1678" t="s">
        <v>13091</v>
      </c>
      <c r="H1678">
        <v>6</v>
      </c>
      <c r="I1678">
        <v>2</v>
      </c>
      <c r="J1678">
        <v>0</v>
      </c>
      <c r="K1678">
        <v>0</v>
      </c>
      <c r="L1678" s="61" t="s">
        <v>4779</v>
      </c>
    </row>
    <row r="1679" spans="6:12">
      <c r="F1679" t="s">
        <v>13092</v>
      </c>
      <c r="G1679" t="s">
        <v>5847</v>
      </c>
      <c r="H1679">
        <v>7</v>
      </c>
      <c r="I1679">
        <v>1</v>
      </c>
      <c r="J1679">
        <v>0</v>
      </c>
      <c r="K1679">
        <v>0</v>
      </c>
      <c r="L1679" s="61" t="s">
        <v>4779</v>
      </c>
    </row>
    <row r="1680" spans="6:12">
      <c r="F1680" t="s">
        <v>13093</v>
      </c>
      <c r="G1680" t="s">
        <v>5150</v>
      </c>
      <c r="H1680">
        <v>6</v>
      </c>
      <c r="I1680">
        <v>2</v>
      </c>
      <c r="J1680">
        <v>0</v>
      </c>
      <c r="K1680">
        <v>0</v>
      </c>
      <c r="L1680" s="61" t="s">
        <v>4779</v>
      </c>
    </row>
    <row r="1681" spans="6:12">
      <c r="F1681" t="s">
        <v>13094</v>
      </c>
      <c r="G1681" t="s">
        <v>13095</v>
      </c>
      <c r="H1681">
        <v>6</v>
      </c>
      <c r="I1681">
        <v>2</v>
      </c>
      <c r="J1681">
        <v>0</v>
      </c>
      <c r="K1681">
        <v>0</v>
      </c>
      <c r="L1681" s="61" t="s">
        <v>4779</v>
      </c>
    </row>
    <row r="1682" spans="6:12">
      <c r="F1682" t="s">
        <v>13096</v>
      </c>
      <c r="G1682" t="s">
        <v>5115</v>
      </c>
      <c r="H1682">
        <v>6</v>
      </c>
      <c r="I1682">
        <v>2</v>
      </c>
      <c r="J1682">
        <v>0</v>
      </c>
      <c r="K1682">
        <v>0</v>
      </c>
      <c r="L1682" s="61" t="s">
        <v>4779</v>
      </c>
    </row>
    <row r="1683" spans="6:12">
      <c r="F1683" t="s">
        <v>13097</v>
      </c>
      <c r="G1683" t="s">
        <v>11033</v>
      </c>
      <c r="H1683">
        <v>4</v>
      </c>
      <c r="I1683">
        <v>2</v>
      </c>
      <c r="J1683">
        <v>2</v>
      </c>
      <c r="K1683">
        <v>0</v>
      </c>
      <c r="L1683" s="61" t="s">
        <v>4779</v>
      </c>
    </row>
    <row r="1684" spans="6:12">
      <c r="F1684" t="s">
        <v>13098</v>
      </c>
      <c r="G1684" t="s">
        <v>4665</v>
      </c>
      <c r="H1684">
        <v>5</v>
      </c>
      <c r="I1684">
        <v>3</v>
      </c>
      <c r="J1684">
        <v>0</v>
      </c>
      <c r="K1684">
        <v>0</v>
      </c>
      <c r="L1684" s="61" t="s">
        <v>4779</v>
      </c>
    </row>
    <row r="1685" spans="6:12">
      <c r="F1685" t="s">
        <v>13099</v>
      </c>
      <c r="G1685" t="s">
        <v>13100</v>
      </c>
      <c r="H1685">
        <v>5</v>
      </c>
      <c r="I1685">
        <v>3</v>
      </c>
      <c r="J1685">
        <v>0</v>
      </c>
      <c r="K1685">
        <v>0</v>
      </c>
      <c r="L1685" s="61" t="s">
        <v>4779</v>
      </c>
    </row>
    <row r="1686" spans="6:12">
      <c r="F1686" t="s">
        <v>13101</v>
      </c>
      <c r="G1686" t="s">
        <v>13102</v>
      </c>
      <c r="H1686">
        <v>6</v>
      </c>
      <c r="I1686">
        <v>1</v>
      </c>
      <c r="J1686">
        <v>1</v>
      </c>
      <c r="K1686">
        <v>0</v>
      </c>
      <c r="L1686" s="61" t="s">
        <v>4779</v>
      </c>
    </row>
    <row r="1687" spans="6:12">
      <c r="F1687" t="s">
        <v>13103</v>
      </c>
      <c r="G1687" t="s">
        <v>5299</v>
      </c>
      <c r="H1687">
        <v>7</v>
      </c>
      <c r="I1687">
        <v>1</v>
      </c>
      <c r="J1687">
        <v>0</v>
      </c>
      <c r="K1687">
        <v>0</v>
      </c>
      <c r="L1687" s="61" t="s">
        <v>4779</v>
      </c>
    </row>
    <row r="1688" spans="6:12">
      <c r="F1688" t="s">
        <v>13104</v>
      </c>
      <c r="G1688" t="s">
        <v>5541</v>
      </c>
      <c r="H1688">
        <v>6</v>
      </c>
      <c r="I1688">
        <v>2</v>
      </c>
      <c r="J1688">
        <v>0</v>
      </c>
      <c r="K1688">
        <v>0</v>
      </c>
      <c r="L1688" s="61" t="s">
        <v>4779</v>
      </c>
    </row>
    <row r="1689" spans="6:12">
      <c r="F1689" t="s">
        <v>13105</v>
      </c>
      <c r="G1689" t="s">
        <v>5028</v>
      </c>
      <c r="H1689">
        <v>6</v>
      </c>
      <c r="I1689">
        <v>1</v>
      </c>
      <c r="J1689">
        <v>1</v>
      </c>
      <c r="K1689">
        <v>0</v>
      </c>
      <c r="L1689" s="61" t="s">
        <v>4779</v>
      </c>
    </row>
    <row r="1690" spans="6:12">
      <c r="F1690" t="s">
        <v>13106</v>
      </c>
      <c r="G1690" t="s">
        <v>10933</v>
      </c>
      <c r="H1690">
        <v>5</v>
      </c>
      <c r="I1690">
        <v>3</v>
      </c>
      <c r="J1690">
        <v>0</v>
      </c>
      <c r="K1690">
        <v>0</v>
      </c>
      <c r="L1690" s="61" t="s">
        <v>4779</v>
      </c>
    </row>
    <row r="1691" spans="6:12">
      <c r="F1691" t="s">
        <v>13107</v>
      </c>
      <c r="G1691" t="s">
        <v>13108</v>
      </c>
      <c r="H1691">
        <v>6</v>
      </c>
      <c r="I1691">
        <v>2</v>
      </c>
      <c r="J1691">
        <v>0</v>
      </c>
      <c r="K1691">
        <v>0</v>
      </c>
      <c r="L1691" s="61" t="s">
        <v>4779</v>
      </c>
    </row>
    <row r="1692" spans="6:12">
      <c r="F1692" t="s">
        <v>13109</v>
      </c>
      <c r="G1692" t="s">
        <v>5821</v>
      </c>
      <c r="H1692">
        <v>5</v>
      </c>
      <c r="I1692">
        <v>1</v>
      </c>
      <c r="J1692">
        <v>2</v>
      </c>
      <c r="K1692">
        <v>0</v>
      </c>
      <c r="L1692" s="61" t="s">
        <v>4779</v>
      </c>
    </row>
    <row r="1693" spans="6:12">
      <c r="F1693" t="s">
        <v>13110</v>
      </c>
      <c r="G1693" t="s">
        <v>13111</v>
      </c>
      <c r="H1693">
        <v>7</v>
      </c>
      <c r="I1693">
        <v>1</v>
      </c>
      <c r="J1693">
        <v>0</v>
      </c>
      <c r="K1693">
        <v>0</v>
      </c>
      <c r="L1693" s="61" t="s">
        <v>4779</v>
      </c>
    </row>
    <row r="1694" spans="6:12">
      <c r="F1694" t="s">
        <v>13112</v>
      </c>
      <c r="G1694" t="s">
        <v>5261</v>
      </c>
      <c r="H1694">
        <v>6</v>
      </c>
      <c r="I1694">
        <v>2</v>
      </c>
      <c r="J1694">
        <v>0</v>
      </c>
      <c r="K1694">
        <v>0</v>
      </c>
      <c r="L1694" s="61" t="s">
        <v>4779</v>
      </c>
    </row>
    <row r="1695" spans="6:12">
      <c r="F1695" t="s">
        <v>13113</v>
      </c>
      <c r="G1695" t="s">
        <v>13114</v>
      </c>
      <c r="H1695">
        <v>7</v>
      </c>
      <c r="I1695">
        <v>1</v>
      </c>
      <c r="J1695">
        <v>0</v>
      </c>
      <c r="K1695">
        <v>0</v>
      </c>
      <c r="L1695" s="61" t="s">
        <v>4779</v>
      </c>
    </row>
    <row r="1696" spans="6:12">
      <c r="F1696" t="s">
        <v>13115</v>
      </c>
      <c r="G1696" t="s">
        <v>5145</v>
      </c>
      <c r="H1696">
        <v>7</v>
      </c>
      <c r="I1696">
        <v>1</v>
      </c>
      <c r="J1696">
        <v>0</v>
      </c>
      <c r="K1696">
        <v>0</v>
      </c>
      <c r="L1696" s="61" t="s">
        <v>4779</v>
      </c>
    </row>
    <row r="1697" spans="6:12">
      <c r="F1697" t="s">
        <v>13116</v>
      </c>
      <c r="G1697" t="s">
        <v>5071</v>
      </c>
      <c r="H1697">
        <v>6</v>
      </c>
      <c r="I1697">
        <v>1</v>
      </c>
      <c r="J1697">
        <v>1</v>
      </c>
      <c r="K1697">
        <v>0</v>
      </c>
      <c r="L1697" s="61" t="s">
        <v>4779</v>
      </c>
    </row>
    <row r="1698" spans="6:12">
      <c r="F1698" t="s">
        <v>13117</v>
      </c>
      <c r="G1698" t="s">
        <v>5284</v>
      </c>
      <c r="H1698">
        <v>3</v>
      </c>
      <c r="I1698">
        <v>3</v>
      </c>
      <c r="J1698">
        <v>2</v>
      </c>
      <c r="K1698">
        <v>0</v>
      </c>
      <c r="L1698" s="61" t="s">
        <v>4779</v>
      </c>
    </row>
    <row r="1699" spans="6:12">
      <c r="F1699" t="s">
        <v>13118</v>
      </c>
      <c r="G1699" t="s">
        <v>5717</v>
      </c>
      <c r="H1699">
        <v>5</v>
      </c>
      <c r="I1699">
        <v>1</v>
      </c>
      <c r="J1699">
        <v>2</v>
      </c>
      <c r="K1699">
        <v>0</v>
      </c>
      <c r="L1699" s="61" t="s">
        <v>4779</v>
      </c>
    </row>
    <row r="1700" spans="6:12">
      <c r="F1700" t="s">
        <v>13119</v>
      </c>
      <c r="G1700" t="s">
        <v>11036</v>
      </c>
      <c r="H1700">
        <v>5</v>
      </c>
      <c r="I1700">
        <v>3</v>
      </c>
      <c r="J1700">
        <v>0</v>
      </c>
      <c r="K1700">
        <v>0</v>
      </c>
      <c r="L1700" s="61" t="s">
        <v>4779</v>
      </c>
    </row>
    <row r="1701" spans="6:12">
      <c r="F1701" t="s">
        <v>13120</v>
      </c>
      <c r="G1701" t="s">
        <v>5304</v>
      </c>
      <c r="H1701">
        <v>4</v>
      </c>
      <c r="I1701">
        <v>3</v>
      </c>
      <c r="J1701">
        <v>1</v>
      </c>
      <c r="K1701">
        <v>0</v>
      </c>
      <c r="L1701" s="61" t="s">
        <v>4779</v>
      </c>
    </row>
    <row r="1702" spans="6:12">
      <c r="F1702" t="s">
        <v>13121</v>
      </c>
      <c r="G1702" t="s">
        <v>7841</v>
      </c>
      <c r="H1702">
        <v>6</v>
      </c>
      <c r="I1702">
        <v>2</v>
      </c>
      <c r="J1702">
        <v>0</v>
      </c>
      <c r="K1702">
        <v>0</v>
      </c>
      <c r="L1702" s="61" t="s">
        <v>4779</v>
      </c>
    </row>
    <row r="1703" spans="6:12">
      <c r="F1703" t="s">
        <v>13122</v>
      </c>
      <c r="G1703" t="s">
        <v>5120</v>
      </c>
      <c r="H1703">
        <v>5</v>
      </c>
      <c r="I1703">
        <v>3</v>
      </c>
      <c r="J1703">
        <v>0</v>
      </c>
      <c r="K1703">
        <v>0</v>
      </c>
      <c r="L1703" s="61" t="s">
        <v>4779</v>
      </c>
    </row>
    <row r="1704" spans="6:12">
      <c r="F1704" t="s">
        <v>13123</v>
      </c>
      <c r="G1704" t="s">
        <v>13124</v>
      </c>
      <c r="H1704">
        <v>7</v>
      </c>
      <c r="I1704">
        <v>1</v>
      </c>
      <c r="J1704">
        <v>0</v>
      </c>
      <c r="K1704">
        <v>0</v>
      </c>
      <c r="L1704" s="61" t="s">
        <v>4779</v>
      </c>
    </row>
    <row r="1705" spans="6:12">
      <c r="F1705" t="s">
        <v>13125</v>
      </c>
      <c r="G1705" t="s">
        <v>4650</v>
      </c>
      <c r="H1705">
        <v>3</v>
      </c>
      <c r="I1705">
        <v>3</v>
      </c>
      <c r="J1705">
        <v>2</v>
      </c>
      <c r="K1705">
        <v>0</v>
      </c>
      <c r="L1705" s="61" t="s">
        <v>4779</v>
      </c>
    </row>
    <row r="1706" spans="6:12">
      <c r="F1706" t="s">
        <v>13126</v>
      </c>
      <c r="G1706" t="s">
        <v>13127</v>
      </c>
      <c r="H1706">
        <v>6</v>
      </c>
      <c r="I1706">
        <v>2</v>
      </c>
      <c r="J1706">
        <v>0</v>
      </c>
      <c r="K1706">
        <v>0</v>
      </c>
      <c r="L1706" s="61" t="s">
        <v>4810</v>
      </c>
    </row>
    <row r="1707" spans="6:12">
      <c r="F1707" t="s">
        <v>13128</v>
      </c>
      <c r="G1707" t="s">
        <v>4710</v>
      </c>
      <c r="H1707">
        <v>5</v>
      </c>
      <c r="I1707">
        <v>3</v>
      </c>
      <c r="J1707">
        <v>0</v>
      </c>
      <c r="K1707">
        <v>0</v>
      </c>
      <c r="L1707" s="61" t="s">
        <v>4779</v>
      </c>
    </row>
    <row r="1708" spans="6:12">
      <c r="F1708" t="s">
        <v>13129</v>
      </c>
      <c r="G1708" t="s">
        <v>13130</v>
      </c>
      <c r="H1708">
        <v>5</v>
      </c>
      <c r="I1708">
        <v>3</v>
      </c>
      <c r="J1708">
        <v>0</v>
      </c>
      <c r="K1708">
        <v>0</v>
      </c>
      <c r="L1708" s="61" t="s">
        <v>4779</v>
      </c>
    </row>
    <row r="1709" spans="6:12">
      <c r="F1709" t="s">
        <v>13131</v>
      </c>
      <c r="G1709" t="s">
        <v>13132</v>
      </c>
      <c r="H1709">
        <v>6</v>
      </c>
      <c r="I1709">
        <v>1</v>
      </c>
      <c r="J1709">
        <v>1</v>
      </c>
      <c r="K1709">
        <v>0</v>
      </c>
      <c r="L1709" s="61" t="s">
        <v>4779</v>
      </c>
    </row>
    <row r="1710" spans="6:12">
      <c r="F1710" t="s">
        <v>13133</v>
      </c>
      <c r="G1710" t="s">
        <v>5855</v>
      </c>
      <c r="H1710">
        <v>3</v>
      </c>
      <c r="I1710">
        <v>3</v>
      </c>
      <c r="J1710">
        <v>2</v>
      </c>
      <c r="K1710">
        <v>0</v>
      </c>
      <c r="L1710" s="61" t="s">
        <v>4806</v>
      </c>
    </row>
    <row r="1711" spans="6:12">
      <c r="F1711" t="s">
        <v>13134</v>
      </c>
      <c r="G1711" t="s">
        <v>5316</v>
      </c>
      <c r="H1711">
        <v>6</v>
      </c>
      <c r="I1711">
        <v>1</v>
      </c>
      <c r="J1711">
        <v>1</v>
      </c>
      <c r="K1711">
        <v>0</v>
      </c>
      <c r="L1711" s="61" t="s">
        <v>4779</v>
      </c>
    </row>
    <row r="1712" spans="6:12">
      <c r="F1712" t="s">
        <v>13135</v>
      </c>
      <c r="G1712" t="s">
        <v>13136</v>
      </c>
      <c r="H1712">
        <v>5</v>
      </c>
      <c r="I1712">
        <v>3</v>
      </c>
      <c r="J1712">
        <v>0</v>
      </c>
      <c r="K1712">
        <v>0</v>
      </c>
      <c r="L1712" s="61" t="s">
        <v>4779</v>
      </c>
    </row>
    <row r="1713" spans="6:12">
      <c r="F1713" t="s">
        <v>13137</v>
      </c>
      <c r="G1713" t="s">
        <v>13138</v>
      </c>
      <c r="H1713">
        <v>3</v>
      </c>
      <c r="I1713">
        <v>3</v>
      </c>
      <c r="J1713">
        <v>2</v>
      </c>
      <c r="K1713">
        <v>0</v>
      </c>
      <c r="L1713" s="61" t="s">
        <v>4779</v>
      </c>
    </row>
    <row r="1714" spans="6:12">
      <c r="F1714" t="s">
        <v>13139</v>
      </c>
      <c r="G1714" t="s">
        <v>8191</v>
      </c>
      <c r="H1714">
        <v>5</v>
      </c>
      <c r="I1714">
        <v>3</v>
      </c>
      <c r="J1714">
        <v>0</v>
      </c>
      <c r="K1714">
        <v>0</v>
      </c>
      <c r="L1714" s="61" t="s">
        <v>4779</v>
      </c>
    </row>
    <row r="1715" spans="6:12">
      <c r="F1715" t="s">
        <v>13140</v>
      </c>
      <c r="G1715" t="s">
        <v>4982</v>
      </c>
      <c r="H1715">
        <v>5</v>
      </c>
      <c r="I1715">
        <v>3</v>
      </c>
      <c r="J1715">
        <v>0</v>
      </c>
      <c r="K1715">
        <v>0</v>
      </c>
      <c r="L1715" s="61" t="s">
        <v>4779</v>
      </c>
    </row>
    <row r="1716" spans="6:12">
      <c r="F1716" t="s">
        <v>13141</v>
      </c>
      <c r="G1716" t="s">
        <v>5753</v>
      </c>
      <c r="H1716">
        <v>5</v>
      </c>
      <c r="I1716">
        <v>3</v>
      </c>
      <c r="J1716">
        <v>0</v>
      </c>
      <c r="K1716">
        <v>0</v>
      </c>
      <c r="L1716" s="61" t="s">
        <v>4806</v>
      </c>
    </row>
    <row r="1717" spans="6:12">
      <c r="F1717" t="s">
        <v>13142</v>
      </c>
      <c r="G1717" t="s">
        <v>5571</v>
      </c>
      <c r="H1717">
        <v>5</v>
      </c>
      <c r="I1717">
        <v>2</v>
      </c>
      <c r="J1717">
        <v>1</v>
      </c>
      <c r="K1717">
        <v>0</v>
      </c>
      <c r="L1717" s="61" t="s">
        <v>4779</v>
      </c>
    </row>
    <row r="1718" spans="6:12">
      <c r="F1718" t="s">
        <v>13143</v>
      </c>
      <c r="G1718" t="s">
        <v>13144</v>
      </c>
      <c r="H1718">
        <v>7</v>
      </c>
      <c r="I1718">
        <v>1</v>
      </c>
      <c r="J1718">
        <v>0</v>
      </c>
      <c r="K1718">
        <v>0</v>
      </c>
      <c r="L1718" s="61" t="s">
        <v>4779</v>
      </c>
    </row>
    <row r="1719" spans="6:12">
      <c r="F1719" t="s">
        <v>13145</v>
      </c>
      <c r="G1719" t="s">
        <v>5539</v>
      </c>
      <c r="H1719">
        <v>5</v>
      </c>
      <c r="I1719">
        <v>1</v>
      </c>
      <c r="J1719">
        <v>2</v>
      </c>
      <c r="K1719">
        <v>0</v>
      </c>
      <c r="L1719" s="61" t="s">
        <v>4779</v>
      </c>
    </row>
    <row r="1720" spans="6:12">
      <c r="F1720" t="s">
        <v>13146</v>
      </c>
      <c r="G1720" t="s">
        <v>5526</v>
      </c>
      <c r="H1720">
        <v>6</v>
      </c>
      <c r="I1720">
        <v>2</v>
      </c>
      <c r="J1720">
        <v>0</v>
      </c>
      <c r="K1720">
        <v>0</v>
      </c>
      <c r="L1720" s="61" t="s">
        <v>4779</v>
      </c>
    </row>
    <row r="1721" spans="6:12">
      <c r="F1721" t="s">
        <v>13147</v>
      </c>
      <c r="G1721" t="s">
        <v>13148</v>
      </c>
      <c r="H1721">
        <v>5</v>
      </c>
      <c r="I1721">
        <v>3</v>
      </c>
      <c r="J1721">
        <v>0</v>
      </c>
      <c r="K1721">
        <v>0</v>
      </c>
      <c r="L1721" s="61" t="s">
        <v>4779</v>
      </c>
    </row>
    <row r="1722" spans="6:12">
      <c r="F1722" t="s">
        <v>13149</v>
      </c>
      <c r="G1722" t="s">
        <v>13150</v>
      </c>
      <c r="H1722">
        <v>6</v>
      </c>
      <c r="I1722">
        <v>2</v>
      </c>
      <c r="J1722">
        <v>0</v>
      </c>
      <c r="K1722">
        <v>0</v>
      </c>
      <c r="L1722" s="61" t="s">
        <v>4779</v>
      </c>
    </row>
    <row r="1723" spans="6:12">
      <c r="F1723" t="s">
        <v>13151</v>
      </c>
      <c r="G1723" t="s">
        <v>5259</v>
      </c>
      <c r="H1723">
        <v>4</v>
      </c>
      <c r="I1723">
        <v>3</v>
      </c>
      <c r="J1723">
        <v>1</v>
      </c>
      <c r="K1723">
        <v>0</v>
      </c>
      <c r="L1723" s="61" t="s">
        <v>4779</v>
      </c>
    </row>
    <row r="1724" spans="6:12">
      <c r="F1724" t="s">
        <v>13152</v>
      </c>
      <c r="G1724" t="s">
        <v>5360</v>
      </c>
      <c r="H1724">
        <v>6</v>
      </c>
      <c r="I1724">
        <v>1</v>
      </c>
      <c r="J1724">
        <v>1</v>
      </c>
      <c r="K1724">
        <v>0</v>
      </c>
      <c r="L1724" s="61" t="s">
        <v>4779</v>
      </c>
    </row>
    <row r="1725" spans="6:12">
      <c r="F1725" t="s">
        <v>13153</v>
      </c>
      <c r="G1725" t="s">
        <v>5029</v>
      </c>
      <c r="H1725">
        <v>5</v>
      </c>
      <c r="I1725">
        <v>3</v>
      </c>
      <c r="J1725">
        <v>0</v>
      </c>
      <c r="K1725">
        <v>0</v>
      </c>
      <c r="L1725" s="61" t="s">
        <v>4779</v>
      </c>
    </row>
    <row r="1726" spans="6:12">
      <c r="F1726" t="s">
        <v>13154</v>
      </c>
      <c r="G1726" t="s">
        <v>5303</v>
      </c>
      <c r="H1726">
        <v>5</v>
      </c>
      <c r="I1726">
        <v>3</v>
      </c>
      <c r="J1726">
        <v>0</v>
      </c>
      <c r="K1726">
        <v>0</v>
      </c>
      <c r="L1726" s="61" t="s">
        <v>4779</v>
      </c>
    </row>
    <row r="1727" spans="6:12">
      <c r="F1727" t="s">
        <v>13155</v>
      </c>
      <c r="G1727" t="s">
        <v>10972</v>
      </c>
      <c r="H1727">
        <v>7</v>
      </c>
      <c r="I1727">
        <v>1</v>
      </c>
      <c r="J1727">
        <v>0</v>
      </c>
      <c r="K1727">
        <v>0</v>
      </c>
      <c r="L1727" s="61" t="s">
        <v>4779</v>
      </c>
    </row>
    <row r="1728" spans="6:12">
      <c r="F1728" t="s">
        <v>13156</v>
      </c>
      <c r="G1728" t="s">
        <v>10945</v>
      </c>
      <c r="H1728">
        <v>6</v>
      </c>
      <c r="I1728">
        <v>2</v>
      </c>
      <c r="J1728">
        <v>0</v>
      </c>
      <c r="K1728">
        <v>0</v>
      </c>
      <c r="L1728" s="61" t="s">
        <v>4779</v>
      </c>
    </row>
    <row r="1729" spans="6:12">
      <c r="F1729" t="s">
        <v>13157</v>
      </c>
      <c r="G1729" t="s">
        <v>13158</v>
      </c>
      <c r="H1729">
        <v>6</v>
      </c>
      <c r="I1729">
        <v>2</v>
      </c>
      <c r="J1729">
        <v>0</v>
      </c>
      <c r="K1729">
        <v>0</v>
      </c>
      <c r="L1729" s="61" t="s">
        <v>4779</v>
      </c>
    </row>
    <row r="1730" spans="6:12">
      <c r="F1730" t="s">
        <v>13159</v>
      </c>
      <c r="G1730" t="s">
        <v>13160</v>
      </c>
      <c r="H1730">
        <v>7</v>
      </c>
      <c r="I1730">
        <v>1</v>
      </c>
      <c r="J1730">
        <v>0</v>
      </c>
      <c r="K1730">
        <v>0</v>
      </c>
      <c r="L1730" s="61" t="s">
        <v>4779</v>
      </c>
    </row>
    <row r="1731" spans="6:12">
      <c r="F1731" t="s">
        <v>13161</v>
      </c>
      <c r="G1731" t="s">
        <v>5178</v>
      </c>
      <c r="H1731">
        <v>5</v>
      </c>
      <c r="I1731">
        <v>2</v>
      </c>
      <c r="J1731">
        <v>1</v>
      </c>
      <c r="K1731">
        <v>0</v>
      </c>
      <c r="L1731" s="61" t="s">
        <v>4779</v>
      </c>
    </row>
    <row r="1732" spans="6:12">
      <c r="F1732" t="s">
        <v>13162</v>
      </c>
      <c r="G1732" t="s">
        <v>5734</v>
      </c>
      <c r="H1732">
        <v>4</v>
      </c>
      <c r="I1732">
        <v>3</v>
      </c>
      <c r="J1732">
        <v>1</v>
      </c>
      <c r="K1732">
        <v>0</v>
      </c>
      <c r="L1732" s="61" t="s">
        <v>4779</v>
      </c>
    </row>
    <row r="1733" spans="6:12">
      <c r="F1733" t="s">
        <v>13163</v>
      </c>
      <c r="G1733" t="s">
        <v>5336</v>
      </c>
      <c r="H1733">
        <v>6</v>
      </c>
      <c r="I1733">
        <v>2</v>
      </c>
      <c r="J1733">
        <v>0</v>
      </c>
      <c r="K1733">
        <v>0</v>
      </c>
      <c r="L1733" s="61" t="s">
        <v>4779</v>
      </c>
    </row>
    <row r="1734" spans="6:12">
      <c r="F1734" t="s">
        <v>13164</v>
      </c>
      <c r="G1734" t="s">
        <v>7930</v>
      </c>
      <c r="H1734">
        <v>7</v>
      </c>
      <c r="I1734">
        <v>1</v>
      </c>
      <c r="J1734">
        <v>0</v>
      </c>
      <c r="K1734">
        <v>0</v>
      </c>
      <c r="L1734" s="61" t="s">
        <v>4779</v>
      </c>
    </row>
    <row r="1735" spans="6:12">
      <c r="F1735" t="s">
        <v>13165</v>
      </c>
      <c r="G1735" t="s">
        <v>5270</v>
      </c>
      <c r="H1735">
        <v>5</v>
      </c>
      <c r="I1735">
        <v>2</v>
      </c>
      <c r="J1735">
        <v>1</v>
      </c>
      <c r="K1735">
        <v>0</v>
      </c>
      <c r="L1735" s="61" t="s">
        <v>4779</v>
      </c>
    </row>
    <row r="1736" spans="6:12">
      <c r="F1736" t="s">
        <v>13166</v>
      </c>
      <c r="G1736" t="s">
        <v>13167</v>
      </c>
      <c r="H1736">
        <v>6</v>
      </c>
      <c r="I1736">
        <v>2</v>
      </c>
      <c r="J1736">
        <v>0</v>
      </c>
      <c r="K1736">
        <v>0</v>
      </c>
      <c r="L1736" s="61" t="s">
        <v>4779</v>
      </c>
    </row>
    <row r="1737" spans="6:12">
      <c r="F1737" t="s">
        <v>13168</v>
      </c>
      <c r="G1737" t="s">
        <v>5488</v>
      </c>
      <c r="H1737">
        <v>6</v>
      </c>
      <c r="I1737">
        <v>1</v>
      </c>
      <c r="J1737">
        <v>1</v>
      </c>
      <c r="K1737">
        <v>0</v>
      </c>
      <c r="L1737" s="61" t="s">
        <v>4779</v>
      </c>
    </row>
    <row r="1738" spans="6:12">
      <c r="F1738" t="s">
        <v>13169</v>
      </c>
      <c r="G1738" t="s">
        <v>13170</v>
      </c>
      <c r="H1738">
        <v>5</v>
      </c>
      <c r="I1738">
        <v>3</v>
      </c>
      <c r="J1738">
        <v>0</v>
      </c>
      <c r="K1738">
        <v>0</v>
      </c>
      <c r="L1738" s="61" t="s">
        <v>4807</v>
      </c>
    </row>
    <row r="1739" spans="6:12">
      <c r="F1739" t="s">
        <v>13171</v>
      </c>
      <c r="G1739" t="s">
        <v>5870</v>
      </c>
      <c r="H1739">
        <v>6</v>
      </c>
      <c r="I1739">
        <v>1</v>
      </c>
      <c r="J1739">
        <v>1</v>
      </c>
      <c r="K1739">
        <v>0</v>
      </c>
      <c r="L1739" s="61" t="s">
        <v>4779</v>
      </c>
    </row>
    <row r="1740" spans="6:12">
      <c r="F1740" t="s">
        <v>13172</v>
      </c>
      <c r="G1740" t="s">
        <v>13173</v>
      </c>
      <c r="H1740">
        <v>7</v>
      </c>
      <c r="I1740">
        <v>1</v>
      </c>
      <c r="J1740">
        <v>0</v>
      </c>
      <c r="K1740">
        <v>0</v>
      </c>
      <c r="L1740" s="61" t="s">
        <v>4779</v>
      </c>
    </row>
    <row r="1741" spans="6:12">
      <c r="F1741" t="s">
        <v>13174</v>
      </c>
      <c r="G1741" t="s">
        <v>5849</v>
      </c>
      <c r="H1741">
        <v>6</v>
      </c>
      <c r="I1741">
        <v>2</v>
      </c>
      <c r="J1741">
        <v>0</v>
      </c>
      <c r="K1741">
        <v>0</v>
      </c>
      <c r="L1741" s="61" t="s">
        <v>4779</v>
      </c>
    </row>
    <row r="1742" spans="6:12">
      <c r="F1742" t="s">
        <v>13175</v>
      </c>
      <c r="G1742" t="s">
        <v>4941</v>
      </c>
      <c r="H1742">
        <v>3</v>
      </c>
      <c r="I1742">
        <v>3</v>
      </c>
      <c r="J1742">
        <v>2</v>
      </c>
      <c r="K1742">
        <v>0</v>
      </c>
      <c r="L1742" s="61" t="s">
        <v>4779</v>
      </c>
    </row>
    <row r="1743" spans="6:12">
      <c r="F1743" t="s">
        <v>13176</v>
      </c>
      <c r="G1743" t="s">
        <v>11036</v>
      </c>
      <c r="H1743">
        <v>6</v>
      </c>
      <c r="I1743">
        <v>2</v>
      </c>
      <c r="J1743">
        <v>0</v>
      </c>
      <c r="K1743">
        <v>0</v>
      </c>
      <c r="L1743" s="61" t="s">
        <v>4779</v>
      </c>
    </row>
    <row r="1744" spans="6:12">
      <c r="F1744" t="s">
        <v>13177</v>
      </c>
      <c r="G1744" t="s">
        <v>5604</v>
      </c>
      <c r="H1744">
        <v>4</v>
      </c>
      <c r="I1744">
        <v>2</v>
      </c>
      <c r="J1744">
        <v>2</v>
      </c>
      <c r="K1744">
        <v>0</v>
      </c>
      <c r="L1744" s="61" t="s">
        <v>4779</v>
      </c>
    </row>
    <row r="1745" spans="6:12">
      <c r="F1745" t="s">
        <v>13178</v>
      </c>
      <c r="G1745" t="s">
        <v>5011</v>
      </c>
      <c r="H1745">
        <v>5</v>
      </c>
      <c r="I1745">
        <v>3</v>
      </c>
      <c r="J1745">
        <v>0</v>
      </c>
      <c r="K1745">
        <v>0</v>
      </c>
      <c r="L1745" s="61" t="s">
        <v>4779</v>
      </c>
    </row>
    <row r="1746" spans="6:12">
      <c r="F1746" t="s">
        <v>13179</v>
      </c>
      <c r="G1746" t="s">
        <v>5774</v>
      </c>
      <c r="H1746">
        <v>5</v>
      </c>
      <c r="I1746">
        <v>3</v>
      </c>
      <c r="J1746">
        <v>0</v>
      </c>
      <c r="K1746">
        <v>0</v>
      </c>
      <c r="L1746" s="61" t="s">
        <v>4779</v>
      </c>
    </row>
    <row r="1747" spans="6:12">
      <c r="F1747" t="s">
        <v>13180</v>
      </c>
      <c r="G1747" t="s">
        <v>4708</v>
      </c>
      <c r="H1747">
        <v>3</v>
      </c>
      <c r="I1747">
        <v>3</v>
      </c>
      <c r="J1747">
        <v>2</v>
      </c>
      <c r="K1747">
        <v>0</v>
      </c>
      <c r="L1747" s="61" t="s">
        <v>4779</v>
      </c>
    </row>
    <row r="1748" spans="6:12">
      <c r="F1748" t="s">
        <v>13181</v>
      </c>
      <c r="G1748" t="s">
        <v>5857</v>
      </c>
      <c r="H1748">
        <v>6</v>
      </c>
      <c r="I1748">
        <v>2</v>
      </c>
      <c r="J1748">
        <v>0</v>
      </c>
      <c r="K1748">
        <v>0</v>
      </c>
      <c r="L1748" s="61" t="s">
        <v>4779</v>
      </c>
    </row>
    <row r="1749" spans="6:12">
      <c r="F1749" t="s">
        <v>13182</v>
      </c>
      <c r="G1749" t="s">
        <v>13183</v>
      </c>
      <c r="H1749">
        <v>5</v>
      </c>
      <c r="I1749">
        <v>3</v>
      </c>
      <c r="J1749">
        <v>0</v>
      </c>
      <c r="K1749">
        <v>0</v>
      </c>
      <c r="L1749" s="61" t="s">
        <v>4779</v>
      </c>
    </row>
    <row r="1750" spans="6:12">
      <c r="F1750" t="s">
        <v>13184</v>
      </c>
      <c r="G1750" t="s">
        <v>4985</v>
      </c>
      <c r="H1750">
        <v>6</v>
      </c>
      <c r="I1750">
        <v>2</v>
      </c>
      <c r="J1750">
        <v>0</v>
      </c>
      <c r="K1750">
        <v>0</v>
      </c>
      <c r="L1750" s="61" t="s">
        <v>4779</v>
      </c>
    </row>
    <row r="1751" spans="6:12">
      <c r="F1751" t="s">
        <v>13185</v>
      </c>
      <c r="G1751" t="s">
        <v>5139</v>
      </c>
      <c r="H1751">
        <v>4</v>
      </c>
      <c r="I1751">
        <v>3</v>
      </c>
      <c r="J1751">
        <v>1</v>
      </c>
      <c r="K1751">
        <v>0</v>
      </c>
      <c r="L1751" s="61" t="s">
        <v>4779</v>
      </c>
    </row>
    <row r="1752" spans="6:12">
      <c r="F1752" t="s">
        <v>13186</v>
      </c>
      <c r="G1752" t="s">
        <v>13187</v>
      </c>
      <c r="H1752">
        <v>5</v>
      </c>
      <c r="I1752">
        <v>1</v>
      </c>
      <c r="J1752">
        <v>2</v>
      </c>
      <c r="K1752">
        <v>0</v>
      </c>
      <c r="L1752" s="61" t="s">
        <v>4779</v>
      </c>
    </row>
    <row r="1753" spans="6:12">
      <c r="F1753" t="s">
        <v>13188</v>
      </c>
      <c r="G1753" t="s">
        <v>13189</v>
      </c>
      <c r="H1753">
        <v>7</v>
      </c>
      <c r="I1753">
        <v>1</v>
      </c>
      <c r="J1753">
        <v>0</v>
      </c>
      <c r="K1753">
        <v>0</v>
      </c>
      <c r="L1753" s="61" t="s">
        <v>4779</v>
      </c>
    </row>
    <row r="1754" spans="6:12">
      <c r="F1754" t="s">
        <v>13190</v>
      </c>
      <c r="G1754" t="s">
        <v>5269</v>
      </c>
      <c r="H1754">
        <v>7</v>
      </c>
      <c r="I1754">
        <v>1</v>
      </c>
      <c r="J1754">
        <v>0</v>
      </c>
      <c r="K1754">
        <v>0</v>
      </c>
      <c r="L1754" s="61" t="s">
        <v>4779</v>
      </c>
    </row>
    <row r="1755" spans="6:12">
      <c r="F1755" t="s">
        <v>13191</v>
      </c>
      <c r="G1755" t="s">
        <v>5043</v>
      </c>
      <c r="H1755">
        <v>5</v>
      </c>
      <c r="I1755">
        <v>1</v>
      </c>
      <c r="J1755">
        <v>2</v>
      </c>
      <c r="K1755">
        <v>0</v>
      </c>
      <c r="L1755" s="61" t="s">
        <v>4779</v>
      </c>
    </row>
    <row r="1756" spans="6:12">
      <c r="F1756" t="s">
        <v>13192</v>
      </c>
      <c r="G1756" t="s">
        <v>6544</v>
      </c>
      <c r="H1756">
        <v>3</v>
      </c>
      <c r="I1756">
        <v>3</v>
      </c>
      <c r="J1756">
        <v>2</v>
      </c>
      <c r="K1756">
        <v>0</v>
      </c>
      <c r="L1756" s="61" t="s">
        <v>4779</v>
      </c>
    </row>
    <row r="1757" spans="6:12">
      <c r="F1757" t="s">
        <v>13193</v>
      </c>
      <c r="G1757" t="s">
        <v>5309</v>
      </c>
      <c r="H1757">
        <v>5</v>
      </c>
      <c r="I1757">
        <v>1</v>
      </c>
      <c r="J1757">
        <v>2</v>
      </c>
      <c r="K1757">
        <v>0</v>
      </c>
      <c r="L1757" s="61" t="s">
        <v>4779</v>
      </c>
    </row>
    <row r="1758" spans="6:12">
      <c r="F1758" t="s">
        <v>13194</v>
      </c>
      <c r="G1758" t="s">
        <v>5596</v>
      </c>
      <c r="H1758">
        <v>6</v>
      </c>
      <c r="I1758">
        <v>2</v>
      </c>
      <c r="J1758">
        <v>0</v>
      </c>
      <c r="K1758">
        <v>0</v>
      </c>
      <c r="L1758" s="61" t="s">
        <v>4779</v>
      </c>
    </row>
    <row r="1759" spans="6:12">
      <c r="F1759" t="s">
        <v>13195</v>
      </c>
      <c r="G1759" t="s">
        <v>13196</v>
      </c>
      <c r="H1759">
        <v>6</v>
      </c>
      <c r="I1759">
        <v>1</v>
      </c>
      <c r="J1759">
        <v>1</v>
      </c>
      <c r="K1759">
        <v>0</v>
      </c>
      <c r="L1759" s="61" t="s">
        <v>4779</v>
      </c>
    </row>
    <row r="1760" spans="6:12">
      <c r="F1760" t="s">
        <v>13197</v>
      </c>
      <c r="G1760" t="s">
        <v>13198</v>
      </c>
      <c r="H1760">
        <v>5</v>
      </c>
      <c r="I1760">
        <v>1</v>
      </c>
      <c r="J1760">
        <v>2</v>
      </c>
      <c r="K1760">
        <v>0</v>
      </c>
      <c r="L1760" s="61" t="s">
        <v>4779</v>
      </c>
    </row>
    <row r="1761" spans="6:12">
      <c r="F1761" t="s">
        <v>13199</v>
      </c>
      <c r="G1761" t="s">
        <v>5812</v>
      </c>
      <c r="H1761">
        <v>5</v>
      </c>
      <c r="I1761">
        <v>3</v>
      </c>
      <c r="J1761">
        <v>0</v>
      </c>
      <c r="K1761">
        <v>0</v>
      </c>
      <c r="L1761" s="61" t="s">
        <v>4779</v>
      </c>
    </row>
    <row r="1762" spans="6:12">
      <c r="F1762" t="s">
        <v>13200</v>
      </c>
      <c r="G1762" t="s">
        <v>7423</v>
      </c>
      <c r="H1762">
        <v>4</v>
      </c>
      <c r="I1762">
        <v>2</v>
      </c>
      <c r="J1762">
        <v>2</v>
      </c>
      <c r="K1762">
        <v>0</v>
      </c>
      <c r="L1762" s="61" t="s">
        <v>4779</v>
      </c>
    </row>
    <row r="1763" spans="6:12">
      <c r="F1763" t="s">
        <v>13201</v>
      </c>
      <c r="G1763" t="s">
        <v>5506</v>
      </c>
      <c r="H1763">
        <v>6</v>
      </c>
      <c r="I1763">
        <v>1</v>
      </c>
      <c r="J1763">
        <v>1</v>
      </c>
      <c r="K1763">
        <v>0</v>
      </c>
      <c r="L1763" s="61" t="s">
        <v>4779</v>
      </c>
    </row>
    <row r="1764" spans="6:12">
      <c r="F1764" t="s">
        <v>13202</v>
      </c>
      <c r="G1764" t="s">
        <v>13203</v>
      </c>
      <c r="H1764">
        <v>7</v>
      </c>
      <c r="I1764">
        <v>1</v>
      </c>
      <c r="J1764">
        <v>0</v>
      </c>
      <c r="K1764">
        <v>0</v>
      </c>
      <c r="L1764" s="61" t="s">
        <v>4779</v>
      </c>
    </row>
    <row r="1765" spans="6:12">
      <c r="F1765" t="s">
        <v>13204</v>
      </c>
      <c r="G1765" t="s">
        <v>13011</v>
      </c>
      <c r="H1765">
        <v>6</v>
      </c>
      <c r="I1765">
        <v>2</v>
      </c>
      <c r="J1765">
        <v>0</v>
      </c>
      <c r="K1765">
        <v>0</v>
      </c>
      <c r="L1765" s="61" t="s">
        <v>4779</v>
      </c>
    </row>
    <row r="1766" spans="6:12">
      <c r="F1766" t="s">
        <v>10907</v>
      </c>
      <c r="G1766" t="s">
        <v>13205</v>
      </c>
      <c r="H1766">
        <v>7</v>
      </c>
      <c r="I1766">
        <v>1</v>
      </c>
      <c r="J1766">
        <v>0</v>
      </c>
      <c r="K1766">
        <v>0</v>
      </c>
      <c r="L1766" s="61" t="s">
        <v>4779</v>
      </c>
    </row>
    <row r="1767" spans="6:12">
      <c r="F1767" t="s">
        <v>13206</v>
      </c>
      <c r="G1767" t="s">
        <v>5770</v>
      </c>
      <c r="H1767">
        <v>6</v>
      </c>
      <c r="I1767">
        <v>2</v>
      </c>
      <c r="J1767">
        <v>0</v>
      </c>
      <c r="K1767">
        <v>0</v>
      </c>
      <c r="L1767" s="61" t="s">
        <v>4779</v>
      </c>
    </row>
    <row r="1768" spans="6:12">
      <c r="F1768" t="s">
        <v>13207</v>
      </c>
      <c r="G1768" t="s">
        <v>10948</v>
      </c>
      <c r="H1768">
        <v>7</v>
      </c>
      <c r="I1768">
        <v>1</v>
      </c>
      <c r="J1768">
        <v>0</v>
      </c>
      <c r="K1768">
        <v>0</v>
      </c>
      <c r="L1768" s="61" t="s">
        <v>4779</v>
      </c>
    </row>
    <row r="1769" spans="6:12">
      <c r="F1769" t="s">
        <v>13208</v>
      </c>
      <c r="G1769" t="s">
        <v>13209</v>
      </c>
      <c r="H1769">
        <v>7</v>
      </c>
      <c r="I1769">
        <v>1</v>
      </c>
      <c r="J1769">
        <v>0</v>
      </c>
      <c r="K1769">
        <v>0</v>
      </c>
      <c r="L1769" s="61" t="s">
        <v>4810</v>
      </c>
    </row>
    <row r="1770" spans="6:12">
      <c r="F1770" t="s">
        <v>13210</v>
      </c>
      <c r="G1770" t="s">
        <v>5742</v>
      </c>
      <c r="H1770">
        <v>4</v>
      </c>
      <c r="I1770">
        <v>3</v>
      </c>
      <c r="J1770">
        <v>1</v>
      </c>
      <c r="K1770">
        <v>0</v>
      </c>
      <c r="L1770" s="61" t="s">
        <v>4779</v>
      </c>
    </row>
    <row r="1771" spans="6:12">
      <c r="F1771" t="s">
        <v>13211</v>
      </c>
      <c r="G1771" t="s">
        <v>5069</v>
      </c>
      <c r="H1771">
        <v>6</v>
      </c>
      <c r="I1771">
        <v>2</v>
      </c>
      <c r="J1771">
        <v>0</v>
      </c>
      <c r="K1771">
        <v>0</v>
      </c>
      <c r="L1771" s="61" t="s">
        <v>4779</v>
      </c>
    </row>
    <row r="1772" spans="6:12">
      <c r="F1772" t="s">
        <v>13212</v>
      </c>
      <c r="G1772" t="s">
        <v>5529</v>
      </c>
      <c r="H1772">
        <v>5</v>
      </c>
      <c r="I1772">
        <v>2</v>
      </c>
      <c r="J1772">
        <v>1</v>
      </c>
      <c r="K1772">
        <v>0</v>
      </c>
      <c r="L1772" s="61" t="s">
        <v>4779</v>
      </c>
    </row>
    <row r="1773" spans="6:12">
      <c r="F1773" t="s">
        <v>13213</v>
      </c>
      <c r="G1773" t="s">
        <v>13214</v>
      </c>
      <c r="H1773">
        <v>7</v>
      </c>
      <c r="I1773">
        <v>1</v>
      </c>
      <c r="J1773">
        <v>0</v>
      </c>
      <c r="K1773">
        <v>0</v>
      </c>
      <c r="L1773" s="61" t="s">
        <v>4779</v>
      </c>
    </row>
    <row r="1774" spans="6:12">
      <c r="F1774" t="s">
        <v>13215</v>
      </c>
      <c r="G1774" t="s">
        <v>5820</v>
      </c>
      <c r="H1774">
        <v>5</v>
      </c>
      <c r="I1774">
        <v>3</v>
      </c>
      <c r="J1774">
        <v>0</v>
      </c>
      <c r="K1774">
        <v>0</v>
      </c>
      <c r="L1774" s="61" t="s">
        <v>4779</v>
      </c>
    </row>
    <row r="1775" spans="6:12">
      <c r="F1775" t="s">
        <v>13216</v>
      </c>
      <c r="G1775" t="s">
        <v>5568</v>
      </c>
      <c r="H1775">
        <v>4</v>
      </c>
      <c r="I1775">
        <v>3</v>
      </c>
      <c r="J1775">
        <v>1</v>
      </c>
      <c r="K1775">
        <v>0</v>
      </c>
      <c r="L1775" s="61" t="s">
        <v>4779</v>
      </c>
    </row>
    <row r="1776" spans="6:12">
      <c r="F1776" t="s">
        <v>13217</v>
      </c>
      <c r="G1776" t="s">
        <v>11059</v>
      </c>
      <c r="H1776">
        <v>4</v>
      </c>
      <c r="I1776">
        <v>3</v>
      </c>
      <c r="J1776">
        <v>1</v>
      </c>
      <c r="K1776">
        <v>0</v>
      </c>
      <c r="L1776" s="61" t="s">
        <v>4779</v>
      </c>
    </row>
    <row r="1777" spans="6:12">
      <c r="F1777" t="s">
        <v>13218</v>
      </c>
      <c r="G1777" t="s">
        <v>13219</v>
      </c>
      <c r="H1777">
        <v>7</v>
      </c>
      <c r="I1777">
        <v>1</v>
      </c>
      <c r="J1777">
        <v>0</v>
      </c>
      <c r="K1777">
        <v>0</v>
      </c>
      <c r="L1777" s="61" t="s">
        <v>4779</v>
      </c>
    </row>
    <row r="1778" spans="6:12">
      <c r="F1778" t="s">
        <v>13220</v>
      </c>
      <c r="G1778" t="s">
        <v>5863</v>
      </c>
      <c r="H1778">
        <v>5</v>
      </c>
      <c r="I1778">
        <v>3</v>
      </c>
      <c r="J1778">
        <v>0</v>
      </c>
      <c r="K1778">
        <v>0</v>
      </c>
      <c r="L1778" s="61" t="s">
        <v>4779</v>
      </c>
    </row>
    <row r="1779" spans="6:12">
      <c r="F1779" t="s">
        <v>13221</v>
      </c>
      <c r="G1779" t="s">
        <v>5713</v>
      </c>
      <c r="H1779">
        <v>5</v>
      </c>
      <c r="I1779">
        <v>3</v>
      </c>
      <c r="J1779">
        <v>0</v>
      </c>
      <c r="K1779">
        <v>0</v>
      </c>
      <c r="L1779" s="61" t="s">
        <v>4779</v>
      </c>
    </row>
    <row r="1780" spans="6:12">
      <c r="F1780" t="s">
        <v>13222</v>
      </c>
      <c r="G1780" t="s">
        <v>5154</v>
      </c>
      <c r="H1780">
        <v>4</v>
      </c>
      <c r="I1780">
        <v>2</v>
      </c>
      <c r="J1780">
        <v>2</v>
      </c>
      <c r="K1780">
        <v>0</v>
      </c>
      <c r="L1780" s="61" t="s">
        <v>4779</v>
      </c>
    </row>
    <row r="1781" spans="6:12">
      <c r="F1781" t="s">
        <v>13223</v>
      </c>
      <c r="G1781" t="s">
        <v>5829</v>
      </c>
      <c r="H1781">
        <v>5</v>
      </c>
      <c r="I1781">
        <v>1</v>
      </c>
      <c r="J1781">
        <v>2</v>
      </c>
      <c r="K1781">
        <v>0</v>
      </c>
      <c r="L1781" s="61" t="s">
        <v>4779</v>
      </c>
    </row>
    <row r="1782" spans="6:12">
      <c r="F1782" t="s">
        <v>13224</v>
      </c>
      <c r="G1782" t="s">
        <v>7944</v>
      </c>
      <c r="H1782">
        <v>4</v>
      </c>
      <c r="I1782">
        <v>2</v>
      </c>
      <c r="J1782">
        <v>2</v>
      </c>
      <c r="K1782">
        <v>0</v>
      </c>
      <c r="L1782" s="61" t="s">
        <v>4779</v>
      </c>
    </row>
    <row r="1783" spans="6:12">
      <c r="F1783" t="s">
        <v>13225</v>
      </c>
      <c r="G1783" t="s">
        <v>5314</v>
      </c>
      <c r="H1783">
        <v>6</v>
      </c>
      <c r="I1783">
        <v>2</v>
      </c>
      <c r="J1783">
        <v>0</v>
      </c>
      <c r="K1783">
        <v>0</v>
      </c>
      <c r="L1783" s="61" t="s">
        <v>4779</v>
      </c>
    </row>
    <row r="1784" spans="6:12">
      <c r="F1784" t="s">
        <v>13226</v>
      </c>
      <c r="G1784" t="s">
        <v>5331</v>
      </c>
      <c r="H1784">
        <v>5</v>
      </c>
      <c r="I1784">
        <v>2</v>
      </c>
      <c r="J1784">
        <v>1</v>
      </c>
      <c r="K1784">
        <v>0</v>
      </c>
      <c r="L1784" s="61" t="s">
        <v>4779</v>
      </c>
    </row>
    <row r="1785" spans="6:12">
      <c r="F1785" t="s">
        <v>13227</v>
      </c>
      <c r="G1785" t="s">
        <v>5413</v>
      </c>
      <c r="H1785">
        <v>3</v>
      </c>
      <c r="I1785">
        <v>3</v>
      </c>
      <c r="J1785">
        <v>2</v>
      </c>
      <c r="K1785">
        <v>0</v>
      </c>
      <c r="L1785" s="61" t="s">
        <v>4779</v>
      </c>
    </row>
    <row r="1786" spans="6:12">
      <c r="F1786" t="s">
        <v>13228</v>
      </c>
      <c r="G1786" t="s">
        <v>10970</v>
      </c>
      <c r="H1786">
        <v>5</v>
      </c>
      <c r="I1786">
        <v>3</v>
      </c>
      <c r="J1786">
        <v>0</v>
      </c>
      <c r="K1786">
        <v>0</v>
      </c>
      <c r="L1786" s="61" t="s">
        <v>4779</v>
      </c>
    </row>
    <row r="1787" spans="6:12">
      <c r="F1787" t="s">
        <v>13229</v>
      </c>
      <c r="G1787" t="s">
        <v>5287</v>
      </c>
      <c r="H1787">
        <v>6</v>
      </c>
      <c r="I1787">
        <v>2</v>
      </c>
      <c r="J1787">
        <v>0</v>
      </c>
      <c r="K1787">
        <v>0</v>
      </c>
      <c r="L1787" s="61" t="s">
        <v>4779</v>
      </c>
    </row>
    <row r="1788" spans="6:12">
      <c r="F1788" t="s">
        <v>13230</v>
      </c>
      <c r="G1788" t="s">
        <v>10923</v>
      </c>
      <c r="H1788">
        <v>4</v>
      </c>
      <c r="I1788">
        <v>3</v>
      </c>
      <c r="J1788">
        <v>1</v>
      </c>
      <c r="K1788">
        <v>0</v>
      </c>
      <c r="L1788" s="61" t="s">
        <v>4779</v>
      </c>
    </row>
    <row r="1789" spans="6:12">
      <c r="F1789" t="s">
        <v>13231</v>
      </c>
      <c r="G1789" t="s">
        <v>5773</v>
      </c>
      <c r="H1789">
        <v>4</v>
      </c>
      <c r="I1789">
        <v>2</v>
      </c>
      <c r="J1789">
        <v>2</v>
      </c>
      <c r="K1789">
        <v>0</v>
      </c>
      <c r="L1789" s="61" t="s">
        <v>4779</v>
      </c>
    </row>
    <row r="1790" spans="6:12">
      <c r="F1790" t="s">
        <v>13232</v>
      </c>
      <c r="G1790" t="s">
        <v>13233</v>
      </c>
      <c r="H1790">
        <v>7</v>
      </c>
      <c r="I1790">
        <v>1</v>
      </c>
      <c r="J1790">
        <v>0</v>
      </c>
      <c r="K1790">
        <v>0</v>
      </c>
      <c r="L1790" s="61" t="s">
        <v>4779</v>
      </c>
    </row>
    <row r="1791" spans="6:12">
      <c r="F1791" t="s">
        <v>13234</v>
      </c>
      <c r="G1791" t="s">
        <v>5909</v>
      </c>
      <c r="H1791">
        <v>5</v>
      </c>
      <c r="I1791">
        <v>3</v>
      </c>
      <c r="J1791">
        <v>0</v>
      </c>
      <c r="K1791">
        <v>0</v>
      </c>
      <c r="L1791" s="61" t="s">
        <v>4779</v>
      </c>
    </row>
    <row r="1792" spans="6:12">
      <c r="F1792" t="s">
        <v>13235</v>
      </c>
      <c r="G1792" t="s">
        <v>13236</v>
      </c>
      <c r="H1792">
        <v>5</v>
      </c>
      <c r="I1792">
        <v>3</v>
      </c>
      <c r="J1792">
        <v>0</v>
      </c>
      <c r="K1792">
        <v>0</v>
      </c>
      <c r="L1792" s="61" t="s">
        <v>4779</v>
      </c>
    </row>
    <row r="1793" spans="6:12">
      <c r="F1793" t="s">
        <v>13237</v>
      </c>
      <c r="G1793" t="s">
        <v>5079</v>
      </c>
      <c r="H1793">
        <v>7</v>
      </c>
      <c r="I1793">
        <v>1</v>
      </c>
      <c r="J1793">
        <v>0</v>
      </c>
      <c r="K1793">
        <v>0</v>
      </c>
      <c r="L1793" s="61" t="s">
        <v>4779</v>
      </c>
    </row>
    <row r="1794" spans="6:12">
      <c r="F1794" t="s">
        <v>13238</v>
      </c>
      <c r="G1794" t="s">
        <v>13239</v>
      </c>
      <c r="H1794">
        <v>5</v>
      </c>
      <c r="I1794">
        <v>3</v>
      </c>
      <c r="J1794">
        <v>0</v>
      </c>
      <c r="K1794">
        <v>0</v>
      </c>
      <c r="L1794" s="61" t="s">
        <v>4779</v>
      </c>
    </row>
    <row r="1795" spans="6:12">
      <c r="F1795" t="s">
        <v>13240</v>
      </c>
      <c r="G1795" t="s">
        <v>8464</v>
      </c>
      <c r="H1795">
        <v>4</v>
      </c>
      <c r="I1795">
        <v>3</v>
      </c>
      <c r="J1795">
        <v>1</v>
      </c>
      <c r="K1795">
        <v>0</v>
      </c>
      <c r="L1795" s="61" t="s">
        <v>4779</v>
      </c>
    </row>
    <row r="1796" spans="6:12">
      <c r="F1796" t="s">
        <v>13241</v>
      </c>
      <c r="G1796" t="s">
        <v>11049</v>
      </c>
      <c r="H1796">
        <v>5</v>
      </c>
      <c r="I1796">
        <v>3</v>
      </c>
      <c r="J1796">
        <v>0</v>
      </c>
      <c r="K1796">
        <v>0</v>
      </c>
      <c r="L1796" s="61" t="s">
        <v>4779</v>
      </c>
    </row>
    <row r="1797" spans="6:12">
      <c r="F1797" t="s">
        <v>13242</v>
      </c>
      <c r="G1797" t="s">
        <v>13243</v>
      </c>
      <c r="H1797">
        <v>6</v>
      </c>
      <c r="I1797">
        <v>2</v>
      </c>
      <c r="J1797">
        <v>0</v>
      </c>
      <c r="K1797">
        <v>0</v>
      </c>
      <c r="L1797" s="61" t="s">
        <v>4779</v>
      </c>
    </row>
    <row r="1798" spans="6:12">
      <c r="F1798" t="s">
        <v>13244</v>
      </c>
      <c r="G1798" t="s">
        <v>5901</v>
      </c>
      <c r="H1798">
        <v>6</v>
      </c>
      <c r="I1798">
        <v>1</v>
      </c>
      <c r="J1798">
        <v>1</v>
      </c>
      <c r="K1798">
        <v>0</v>
      </c>
      <c r="L1798" s="61" t="s">
        <v>4779</v>
      </c>
    </row>
    <row r="1799" spans="6:12">
      <c r="F1799" t="s">
        <v>13245</v>
      </c>
      <c r="G1799" t="s">
        <v>5560</v>
      </c>
      <c r="H1799">
        <v>6</v>
      </c>
      <c r="I1799">
        <v>2</v>
      </c>
      <c r="J1799">
        <v>0</v>
      </c>
      <c r="K1799">
        <v>0</v>
      </c>
      <c r="L1799" s="61" t="s">
        <v>4779</v>
      </c>
    </row>
    <row r="1800" spans="6:12">
      <c r="F1800" t="s">
        <v>13246</v>
      </c>
      <c r="G1800" t="s">
        <v>5608</v>
      </c>
      <c r="H1800">
        <v>6</v>
      </c>
      <c r="I1800">
        <v>1</v>
      </c>
      <c r="J1800">
        <v>1</v>
      </c>
      <c r="K1800">
        <v>0</v>
      </c>
      <c r="L1800" s="61" t="s">
        <v>4779</v>
      </c>
    </row>
    <row r="1801" spans="6:12">
      <c r="F1801" t="s">
        <v>13247</v>
      </c>
      <c r="G1801" t="s">
        <v>13248</v>
      </c>
      <c r="H1801">
        <v>6</v>
      </c>
      <c r="I1801">
        <v>2</v>
      </c>
      <c r="J1801">
        <v>0</v>
      </c>
      <c r="K1801">
        <v>0</v>
      </c>
      <c r="L1801" s="61" t="s">
        <v>4806</v>
      </c>
    </row>
    <row r="1802" spans="6:12">
      <c r="F1802" t="s">
        <v>13249</v>
      </c>
      <c r="G1802" t="s">
        <v>13250</v>
      </c>
      <c r="H1802">
        <v>6</v>
      </c>
      <c r="I1802">
        <v>2</v>
      </c>
      <c r="J1802">
        <v>0</v>
      </c>
      <c r="K1802">
        <v>0</v>
      </c>
      <c r="L1802" s="61" t="s">
        <v>4779</v>
      </c>
    </row>
    <row r="1803" spans="6:12">
      <c r="F1803" t="s">
        <v>13251</v>
      </c>
      <c r="G1803" t="s">
        <v>12374</v>
      </c>
      <c r="H1803">
        <v>6</v>
      </c>
      <c r="I1803">
        <v>2</v>
      </c>
      <c r="J1803">
        <v>0</v>
      </c>
      <c r="K1803">
        <v>0</v>
      </c>
      <c r="L1803" s="61" t="s">
        <v>4779</v>
      </c>
    </row>
    <row r="1804" spans="6:12">
      <c r="F1804" t="s">
        <v>13252</v>
      </c>
      <c r="G1804" t="s">
        <v>5611</v>
      </c>
      <c r="H1804">
        <v>5</v>
      </c>
      <c r="I1804">
        <v>2</v>
      </c>
      <c r="J1804">
        <v>1</v>
      </c>
      <c r="K1804">
        <v>0</v>
      </c>
      <c r="L1804" s="61" t="s">
        <v>4779</v>
      </c>
    </row>
    <row r="1805" spans="6:12">
      <c r="F1805" t="s">
        <v>13253</v>
      </c>
      <c r="G1805" t="s">
        <v>6872</v>
      </c>
      <c r="H1805">
        <v>5</v>
      </c>
      <c r="I1805">
        <v>2</v>
      </c>
      <c r="J1805">
        <v>1</v>
      </c>
      <c r="K1805">
        <v>0</v>
      </c>
      <c r="L1805" s="61" t="s">
        <v>4779</v>
      </c>
    </row>
    <row r="1806" spans="6:12">
      <c r="F1806" t="s">
        <v>13254</v>
      </c>
      <c r="G1806" t="s">
        <v>5049</v>
      </c>
      <c r="H1806">
        <v>6</v>
      </c>
      <c r="I1806">
        <v>2</v>
      </c>
      <c r="J1806">
        <v>0</v>
      </c>
      <c r="K1806">
        <v>0</v>
      </c>
      <c r="L1806" s="61" t="s">
        <v>4779</v>
      </c>
    </row>
    <row r="1807" spans="6:12">
      <c r="F1807" t="s">
        <v>13255</v>
      </c>
      <c r="G1807" t="s">
        <v>5533</v>
      </c>
      <c r="H1807">
        <v>5</v>
      </c>
      <c r="I1807">
        <v>3</v>
      </c>
      <c r="J1807">
        <v>0</v>
      </c>
      <c r="K1807">
        <v>0</v>
      </c>
      <c r="L1807" s="61" t="s">
        <v>4779</v>
      </c>
    </row>
    <row r="1808" spans="6:12">
      <c r="F1808" t="s">
        <v>13256</v>
      </c>
      <c r="G1808" t="s">
        <v>11055</v>
      </c>
      <c r="H1808">
        <v>7</v>
      </c>
      <c r="I1808">
        <v>1</v>
      </c>
      <c r="J1808">
        <v>0</v>
      </c>
      <c r="K1808">
        <v>0</v>
      </c>
      <c r="L1808" s="61" t="s">
        <v>4779</v>
      </c>
    </row>
    <row r="1809" spans="6:12">
      <c r="F1809" t="s">
        <v>13257</v>
      </c>
      <c r="G1809" t="s">
        <v>5241</v>
      </c>
      <c r="H1809">
        <v>5</v>
      </c>
      <c r="I1809">
        <v>2</v>
      </c>
      <c r="J1809">
        <v>1</v>
      </c>
      <c r="K1809">
        <v>0</v>
      </c>
      <c r="L1809" s="61" t="s">
        <v>4806</v>
      </c>
    </row>
    <row r="1810" spans="6:12">
      <c r="F1810" t="s">
        <v>13258</v>
      </c>
      <c r="G1810" t="s">
        <v>5277</v>
      </c>
      <c r="H1810">
        <v>4</v>
      </c>
      <c r="I1810">
        <v>3</v>
      </c>
      <c r="J1810">
        <v>1</v>
      </c>
      <c r="K1810">
        <v>0</v>
      </c>
      <c r="L1810" s="61" t="s">
        <v>4779</v>
      </c>
    </row>
    <row r="1811" spans="6:12">
      <c r="F1811" t="s">
        <v>13259</v>
      </c>
      <c r="G1811" t="s">
        <v>5561</v>
      </c>
      <c r="H1811">
        <v>6</v>
      </c>
      <c r="I1811">
        <v>2</v>
      </c>
      <c r="J1811">
        <v>0</v>
      </c>
      <c r="K1811">
        <v>0</v>
      </c>
      <c r="L1811" s="61" t="s">
        <v>4779</v>
      </c>
    </row>
    <row r="1812" spans="6:12">
      <c r="F1812" t="s">
        <v>13260</v>
      </c>
      <c r="G1812" t="s">
        <v>4991</v>
      </c>
      <c r="H1812">
        <v>3</v>
      </c>
      <c r="I1812">
        <v>3</v>
      </c>
      <c r="J1812">
        <v>2</v>
      </c>
      <c r="K1812">
        <v>0</v>
      </c>
      <c r="L1812" s="61" t="s">
        <v>4779</v>
      </c>
    </row>
    <row r="1813" spans="6:12">
      <c r="F1813" t="s">
        <v>13261</v>
      </c>
      <c r="G1813" t="s">
        <v>13262</v>
      </c>
      <c r="H1813">
        <v>6</v>
      </c>
      <c r="I1813">
        <v>2</v>
      </c>
      <c r="J1813">
        <v>0</v>
      </c>
      <c r="K1813">
        <v>0</v>
      </c>
      <c r="L1813" s="61" t="s">
        <v>4779</v>
      </c>
    </row>
    <row r="1814" spans="6:12">
      <c r="F1814" t="s">
        <v>13263</v>
      </c>
      <c r="G1814" t="s">
        <v>13264</v>
      </c>
      <c r="H1814">
        <v>7</v>
      </c>
      <c r="I1814">
        <v>1</v>
      </c>
      <c r="J1814">
        <v>0</v>
      </c>
      <c r="K1814">
        <v>0</v>
      </c>
      <c r="L1814" s="61" t="s">
        <v>4779</v>
      </c>
    </row>
    <row r="1815" spans="6:12">
      <c r="F1815" t="s">
        <v>13265</v>
      </c>
      <c r="G1815" t="s">
        <v>8198</v>
      </c>
      <c r="H1815">
        <v>5</v>
      </c>
      <c r="I1815">
        <v>3</v>
      </c>
      <c r="J1815">
        <v>0</v>
      </c>
      <c r="K1815">
        <v>0</v>
      </c>
      <c r="L1815" s="61" t="s">
        <v>4779</v>
      </c>
    </row>
    <row r="1816" spans="6:12">
      <c r="F1816" t="s">
        <v>13266</v>
      </c>
      <c r="G1816" t="s">
        <v>13267</v>
      </c>
      <c r="H1816">
        <v>7</v>
      </c>
      <c r="I1816">
        <v>1</v>
      </c>
      <c r="J1816">
        <v>0</v>
      </c>
      <c r="K1816">
        <v>0</v>
      </c>
      <c r="L1816" s="61" t="s">
        <v>4779</v>
      </c>
    </row>
    <row r="1817" spans="6:12">
      <c r="F1817" t="s">
        <v>13268</v>
      </c>
      <c r="G1817" t="s">
        <v>5725</v>
      </c>
      <c r="H1817">
        <v>7</v>
      </c>
      <c r="I1817">
        <v>1</v>
      </c>
      <c r="J1817">
        <v>0</v>
      </c>
      <c r="K1817">
        <v>0</v>
      </c>
      <c r="L1817" s="61" t="s">
        <v>4806</v>
      </c>
    </row>
    <row r="1818" spans="6:12">
      <c r="F1818" t="s">
        <v>13269</v>
      </c>
      <c r="G1818" t="s">
        <v>5129</v>
      </c>
      <c r="H1818">
        <v>7</v>
      </c>
      <c r="I1818">
        <v>1</v>
      </c>
      <c r="J1818">
        <v>0</v>
      </c>
      <c r="K1818">
        <v>0</v>
      </c>
      <c r="L1818" s="61" t="s">
        <v>4779</v>
      </c>
    </row>
    <row r="1819" spans="6:12">
      <c r="F1819" t="s">
        <v>13270</v>
      </c>
      <c r="G1819" t="s">
        <v>5710</v>
      </c>
      <c r="H1819">
        <v>5</v>
      </c>
      <c r="I1819">
        <v>3</v>
      </c>
      <c r="J1819">
        <v>0</v>
      </c>
      <c r="K1819">
        <v>0</v>
      </c>
      <c r="L1819" s="61" t="s">
        <v>4779</v>
      </c>
    </row>
    <row r="1820" spans="6:12">
      <c r="F1820" t="s">
        <v>13271</v>
      </c>
      <c r="G1820" t="s">
        <v>5625</v>
      </c>
      <c r="H1820">
        <v>4</v>
      </c>
      <c r="I1820">
        <v>3</v>
      </c>
      <c r="J1820">
        <v>1</v>
      </c>
      <c r="K1820">
        <v>0</v>
      </c>
      <c r="L1820" s="61" t="s">
        <v>4779</v>
      </c>
    </row>
    <row r="1821" spans="6:12">
      <c r="F1821" t="s">
        <v>13272</v>
      </c>
      <c r="G1821" t="s">
        <v>8802</v>
      </c>
      <c r="H1821">
        <v>4</v>
      </c>
      <c r="I1821">
        <v>2</v>
      </c>
      <c r="J1821">
        <v>2</v>
      </c>
      <c r="K1821">
        <v>0</v>
      </c>
      <c r="L1821" s="61" t="s">
        <v>4779</v>
      </c>
    </row>
    <row r="1822" spans="6:12">
      <c r="F1822" t="s">
        <v>13273</v>
      </c>
      <c r="G1822" t="s">
        <v>13274</v>
      </c>
      <c r="H1822">
        <v>7</v>
      </c>
      <c r="I1822">
        <v>1</v>
      </c>
      <c r="J1822">
        <v>0</v>
      </c>
      <c r="K1822">
        <v>0</v>
      </c>
      <c r="L1822" s="61" t="s">
        <v>4779</v>
      </c>
    </row>
    <row r="1823" spans="6:12">
      <c r="F1823" t="s">
        <v>13275</v>
      </c>
      <c r="G1823" t="s">
        <v>9861</v>
      </c>
      <c r="H1823">
        <v>5</v>
      </c>
      <c r="I1823">
        <v>3</v>
      </c>
      <c r="J1823">
        <v>0</v>
      </c>
      <c r="K1823">
        <v>0</v>
      </c>
      <c r="L1823" s="61" t="s">
        <v>4779</v>
      </c>
    </row>
    <row r="1824" spans="6:12">
      <c r="F1824" t="s">
        <v>13276</v>
      </c>
      <c r="G1824" t="s">
        <v>13198</v>
      </c>
      <c r="H1824">
        <v>5</v>
      </c>
      <c r="I1824">
        <v>1</v>
      </c>
      <c r="J1824">
        <v>2</v>
      </c>
      <c r="K1824">
        <v>0</v>
      </c>
      <c r="L1824" s="61" t="s">
        <v>4779</v>
      </c>
    </row>
    <row r="1825" spans="6:12">
      <c r="F1825" t="s">
        <v>13277</v>
      </c>
      <c r="G1825" t="s">
        <v>13278</v>
      </c>
      <c r="H1825">
        <v>6</v>
      </c>
      <c r="I1825">
        <v>2</v>
      </c>
      <c r="J1825">
        <v>0</v>
      </c>
      <c r="K1825">
        <v>0</v>
      </c>
      <c r="L1825" s="61" t="s">
        <v>4779</v>
      </c>
    </row>
    <row r="1826" spans="6:12">
      <c r="F1826" t="s">
        <v>13279</v>
      </c>
      <c r="G1826" t="s">
        <v>13280</v>
      </c>
      <c r="H1826">
        <v>6</v>
      </c>
      <c r="I1826">
        <v>2</v>
      </c>
      <c r="J1826">
        <v>0</v>
      </c>
      <c r="K1826">
        <v>0</v>
      </c>
      <c r="L1826" s="61" t="s">
        <v>4779</v>
      </c>
    </row>
    <row r="1827" spans="6:12">
      <c r="F1827" t="s">
        <v>13281</v>
      </c>
      <c r="G1827" t="s">
        <v>8051</v>
      </c>
      <c r="H1827">
        <v>7</v>
      </c>
      <c r="I1827">
        <v>1</v>
      </c>
      <c r="J1827">
        <v>0</v>
      </c>
      <c r="K1827">
        <v>0</v>
      </c>
      <c r="L1827" s="61" t="s">
        <v>4779</v>
      </c>
    </row>
    <row r="1828" spans="6:12">
      <c r="F1828" t="s">
        <v>13282</v>
      </c>
      <c r="G1828" t="s">
        <v>11043</v>
      </c>
      <c r="H1828">
        <v>7</v>
      </c>
      <c r="I1828">
        <v>1</v>
      </c>
      <c r="J1828">
        <v>0</v>
      </c>
      <c r="K1828">
        <v>0</v>
      </c>
      <c r="L1828" s="61" t="s">
        <v>4779</v>
      </c>
    </row>
    <row r="1829" spans="6:12">
      <c r="F1829" t="s">
        <v>13283</v>
      </c>
      <c r="G1829" t="s">
        <v>12318</v>
      </c>
      <c r="H1829">
        <v>6</v>
      </c>
      <c r="I1829">
        <v>1</v>
      </c>
      <c r="J1829">
        <v>1</v>
      </c>
      <c r="K1829">
        <v>0</v>
      </c>
      <c r="L1829" s="61" t="s">
        <v>4779</v>
      </c>
    </row>
    <row r="1830" spans="6:12">
      <c r="F1830" t="s">
        <v>13284</v>
      </c>
      <c r="G1830" t="s">
        <v>11069</v>
      </c>
      <c r="H1830">
        <v>5</v>
      </c>
      <c r="I1830">
        <v>3</v>
      </c>
      <c r="J1830">
        <v>0</v>
      </c>
      <c r="K1830">
        <v>0</v>
      </c>
      <c r="L1830" s="61" t="s">
        <v>4779</v>
      </c>
    </row>
    <row r="1831" spans="6:12">
      <c r="F1831" t="s">
        <v>13285</v>
      </c>
      <c r="G1831" t="s">
        <v>7159</v>
      </c>
      <c r="H1831">
        <v>5</v>
      </c>
      <c r="I1831">
        <v>3</v>
      </c>
      <c r="J1831">
        <v>0</v>
      </c>
      <c r="K1831">
        <v>0</v>
      </c>
      <c r="L1831" s="61" t="s">
        <v>4809</v>
      </c>
    </row>
    <row r="1832" spans="6:12">
      <c r="F1832" t="s">
        <v>13286</v>
      </c>
      <c r="G1832" t="s">
        <v>7653</v>
      </c>
      <c r="H1832">
        <v>5</v>
      </c>
      <c r="I1832">
        <v>2</v>
      </c>
      <c r="J1832">
        <v>1</v>
      </c>
      <c r="K1832">
        <v>0</v>
      </c>
      <c r="L1832" s="61" t="s">
        <v>4779</v>
      </c>
    </row>
    <row r="1833" spans="6:12">
      <c r="F1833" t="s">
        <v>13287</v>
      </c>
      <c r="G1833" t="s">
        <v>5140</v>
      </c>
      <c r="H1833">
        <v>7</v>
      </c>
      <c r="I1833">
        <v>1</v>
      </c>
      <c r="J1833">
        <v>0</v>
      </c>
      <c r="K1833">
        <v>0</v>
      </c>
      <c r="L1833" s="61" t="s">
        <v>4779</v>
      </c>
    </row>
    <row r="1834" spans="6:12">
      <c r="F1834" t="s">
        <v>13288</v>
      </c>
      <c r="G1834" t="s">
        <v>8345</v>
      </c>
      <c r="H1834">
        <v>6</v>
      </c>
      <c r="I1834">
        <v>2</v>
      </c>
      <c r="J1834">
        <v>0</v>
      </c>
      <c r="K1834">
        <v>0</v>
      </c>
      <c r="L1834" s="61" t="s">
        <v>4810</v>
      </c>
    </row>
    <row r="1835" spans="6:12">
      <c r="F1835" t="s">
        <v>13289</v>
      </c>
      <c r="G1835" t="s">
        <v>13290</v>
      </c>
      <c r="H1835">
        <v>7</v>
      </c>
      <c r="I1835">
        <v>1</v>
      </c>
      <c r="J1835">
        <v>0</v>
      </c>
      <c r="K1835">
        <v>0</v>
      </c>
      <c r="L1835" s="61" t="s">
        <v>4779</v>
      </c>
    </row>
    <row r="1836" spans="6:12">
      <c r="F1836" t="s">
        <v>13291</v>
      </c>
      <c r="G1836" t="s">
        <v>4852</v>
      </c>
      <c r="H1836">
        <v>5</v>
      </c>
      <c r="I1836">
        <v>2</v>
      </c>
      <c r="J1836">
        <v>1</v>
      </c>
      <c r="K1836">
        <v>0</v>
      </c>
      <c r="L1836" s="61" t="s">
        <v>4779</v>
      </c>
    </row>
    <row r="1837" spans="6:12">
      <c r="F1837" t="s">
        <v>13292</v>
      </c>
      <c r="G1837" t="s">
        <v>10949</v>
      </c>
      <c r="H1837">
        <v>6</v>
      </c>
      <c r="I1837">
        <v>2</v>
      </c>
      <c r="J1837">
        <v>0</v>
      </c>
      <c r="K1837">
        <v>0</v>
      </c>
      <c r="L1837" s="61" t="s">
        <v>4779</v>
      </c>
    </row>
    <row r="1838" spans="6:12">
      <c r="F1838" t="s">
        <v>13293</v>
      </c>
      <c r="G1838" t="s">
        <v>5132</v>
      </c>
      <c r="H1838">
        <v>6</v>
      </c>
      <c r="I1838">
        <v>1</v>
      </c>
      <c r="J1838">
        <v>1</v>
      </c>
      <c r="K1838">
        <v>0</v>
      </c>
      <c r="L1838" s="61" t="s">
        <v>4779</v>
      </c>
    </row>
    <row r="1839" spans="6:12">
      <c r="F1839" t="s">
        <v>13294</v>
      </c>
      <c r="G1839" t="s">
        <v>5851</v>
      </c>
      <c r="H1839">
        <v>6</v>
      </c>
      <c r="I1839">
        <v>2</v>
      </c>
      <c r="J1839">
        <v>0</v>
      </c>
      <c r="K1839">
        <v>0</v>
      </c>
      <c r="L1839" s="61" t="s">
        <v>4809</v>
      </c>
    </row>
    <row r="1840" spans="6:12">
      <c r="F1840" t="s">
        <v>13295</v>
      </c>
      <c r="G1840" t="s">
        <v>5764</v>
      </c>
      <c r="H1840">
        <v>6</v>
      </c>
      <c r="I1840">
        <v>2</v>
      </c>
      <c r="J1840">
        <v>0</v>
      </c>
      <c r="K1840">
        <v>0</v>
      </c>
      <c r="L1840" s="61" t="s">
        <v>4779</v>
      </c>
    </row>
    <row r="1841" spans="6:12">
      <c r="F1841" t="s">
        <v>13296</v>
      </c>
      <c r="G1841" t="s">
        <v>5748</v>
      </c>
      <c r="H1841">
        <v>5</v>
      </c>
      <c r="I1841">
        <v>3</v>
      </c>
      <c r="J1841">
        <v>0</v>
      </c>
      <c r="K1841">
        <v>0</v>
      </c>
      <c r="L1841" s="61" t="s">
        <v>4779</v>
      </c>
    </row>
    <row r="1842" spans="6:12">
      <c r="F1842" t="s">
        <v>13297</v>
      </c>
      <c r="G1842" t="s">
        <v>5121</v>
      </c>
      <c r="H1842">
        <v>5</v>
      </c>
      <c r="I1842">
        <v>1</v>
      </c>
      <c r="J1842">
        <v>2</v>
      </c>
      <c r="K1842">
        <v>0</v>
      </c>
      <c r="L1842" s="61" t="s">
        <v>4779</v>
      </c>
    </row>
    <row r="1843" spans="6:12">
      <c r="F1843" t="s">
        <v>13298</v>
      </c>
      <c r="G1843" t="s">
        <v>5454</v>
      </c>
      <c r="H1843">
        <v>5</v>
      </c>
      <c r="I1843">
        <v>2</v>
      </c>
      <c r="J1843">
        <v>1</v>
      </c>
      <c r="K1843">
        <v>0</v>
      </c>
      <c r="L1843" s="61" t="s">
        <v>4807</v>
      </c>
    </row>
    <row r="1844" spans="6:12">
      <c r="F1844" t="s">
        <v>13299</v>
      </c>
      <c r="G1844" t="s">
        <v>5844</v>
      </c>
      <c r="H1844">
        <v>5</v>
      </c>
      <c r="I1844">
        <v>3</v>
      </c>
      <c r="J1844">
        <v>0</v>
      </c>
      <c r="K1844">
        <v>0</v>
      </c>
      <c r="L1844" s="61" t="s">
        <v>4779</v>
      </c>
    </row>
    <row r="1845" spans="6:12">
      <c r="F1845" t="s">
        <v>13300</v>
      </c>
      <c r="G1845" t="s">
        <v>6947</v>
      </c>
      <c r="H1845">
        <v>5</v>
      </c>
      <c r="I1845">
        <v>3</v>
      </c>
      <c r="J1845">
        <v>0</v>
      </c>
      <c r="K1845">
        <v>0</v>
      </c>
      <c r="L1845" s="61" t="s">
        <v>4779</v>
      </c>
    </row>
    <row r="1846" spans="6:12">
      <c r="F1846" t="s">
        <v>13301</v>
      </c>
      <c r="G1846" t="s">
        <v>10942</v>
      </c>
      <c r="H1846">
        <v>6</v>
      </c>
      <c r="I1846">
        <v>2</v>
      </c>
      <c r="J1846">
        <v>0</v>
      </c>
      <c r="K1846">
        <v>0</v>
      </c>
      <c r="L1846" s="61" t="s">
        <v>4779</v>
      </c>
    </row>
    <row r="1847" spans="6:12">
      <c r="F1847" t="s">
        <v>13302</v>
      </c>
      <c r="G1847" t="s">
        <v>5579</v>
      </c>
      <c r="H1847">
        <v>6</v>
      </c>
      <c r="I1847">
        <v>2</v>
      </c>
      <c r="J1847">
        <v>0</v>
      </c>
      <c r="K1847">
        <v>0</v>
      </c>
      <c r="L1847" s="61" t="s">
        <v>4779</v>
      </c>
    </row>
    <row r="1848" spans="6:12">
      <c r="F1848" t="s">
        <v>13303</v>
      </c>
      <c r="G1848" t="s">
        <v>13304</v>
      </c>
      <c r="H1848">
        <v>7</v>
      </c>
      <c r="I1848">
        <v>1</v>
      </c>
      <c r="J1848">
        <v>0</v>
      </c>
      <c r="K1848">
        <v>0</v>
      </c>
      <c r="L1848" s="61" t="s">
        <v>4779</v>
      </c>
    </row>
    <row r="1849" spans="6:12">
      <c r="F1849" t="s">
        <v>13305</v>
      </c>
      <c r="G1849" t="s">
        <v>11041</v>
      </c>
      <c r="H1849">
        <v>5</v>
      </c>
      <c r="I1849">
        <v>2</v>
      </c>
      <c r="J1849">
        <v>1</v>
      </c>
      <c r="K1849">
        <v>0</v>
      </c>
      <c r="L1849" s="61" t="s">
        <v>4779</v>
      </c>
    </row>
    <row r="1850" spans="6:12">
      <c r="F1850" t="s">
        <v>13306</v>
      </c>
      <c r="G1850" t="s">
        <v>8206</v>
      </c>
      <c r="H1850">
        <v>5</v>
      </c>
      <c r="I1850">
        <v>1</v>
      </c>
      <c r="J1850">
        <v>2</v>
      </c>
      <c r="K1850">
        <v>0</v>
      </c>
      <c r="L1850" s="61" t="s">
        <v>4779</v>
      </c>
    </row>
    <row r="1851" spans="6:12">
      <c r="F1851" t="s">
        <v>13307</v>
      </c>
      <c r="G1851" t="s">
        <v>11099</v>
      </c>
      <c r="H1851">
        <v>6</v>
      </c>
      <c r="I1851">
        <v>2</v>
      </c>
      <c r="J1851">
        <v>0</v>
      </c>
      <c r="K1851">
        <v>0</v>
      </c>
      <c r="L1851" s="61" t="s">
        <v>4779</v>
      </c>
    </row>
    <row r="1852" spans="6:12">
      <c r="F1852" t="s">
        <v>13308</v>
      </c>
      <c r="G1852" t="s">
        <v>13309</v>
      </c>
      <c r="H1852">
        <v>6</v>
      </c>
      <c r="I1852">
        <v>2</v>
      </c>
      <c r="J1852">
        <v>0</v>
      </c>
      <c r="K1852">
        <v>0</v>
      </c>
      <c r="L1852" s="61" t="s">
        <v>4779</v>
      </c>
    </row>
    <row r="1853" spans="6:12">
      <c r="F1853" t="s">
        <v>13310</v>
      </c>
      <c r="G1853" t="s">
        <v>5561</v>
      </c>
      <c r="H1853">
        <v>6</v>
      </c>
      <c r="I1853">
        <v>2</v>
      </c>
      <c r="J1853">
        <v>0</v>
      </c>
      <c r="K1853">
        <v>0</v>
      </c>
      <c r="L1853" s="61" t="s">
        <v>4779</v>
      </c>
    </row>
    <row r="1854" spans="6:12">
      <c r="F1854" t="s">
        <v>13311</v>
      </c>
      <c r="G1854" t="s">
        <v>5713</v>
      </c>
      <c r="H1854">
        <v>6</v>
      </c>
      <c r="I1854">
        <v>2</v>
      </c>
      <c r="J1854">
        <v>0</v>
      </c>
      <c r="K1854">
        <v>0</v>
      </c>
      <c r="L1854" s="61" t="s">
        <v>4779</v>
      </c>
    </row>
    <row r="1855" spans="6:12">
      <c r="F1855" t="s">
        <v>13312</v>
      </c>
      <c r="G1855" t="s">
        <v>5841</v>
      </c>
      <c r="H1855">
        <v>5</v>
      </c>
      <c r="I1855">
        <v>3</v>
      </c>
      <c r="J1855">
        <v>0</v>
      </c>
      <c r="K1855">
        <v>0</v>
      </c>
      <c r="L1855" s="61" t="s">
        <v>4779</v>
      </c>
    </row>
    <row r="1856" spans="6:12">
      <c r="F1856" t="s">
        <v>13313</v>
      </c>
      <c r="G1856" t="s">
        <v>8254</v>
      </c>
      <c r="H1856">
        <v>6</v>
      </c>
      <c r="I1856">
        <v>2</v>
      </c>
      <c r="J1856">
        <v>0</v>
      </c>
      <c r="K1856">
        <v>0</v>
      </c>
      <c r="L1856" s="61" t="s">
        <v>4779</v>
      </c>
    </row>
    <row r="1857" spans="6:12">
      <c r="F1857" t="s">
        <v>13314</v>
      </c>
      <c r="G1857" t="s">
        <v>12492</v>
      </c>
      <c r="H1857">
        <v>6</v>
      </c>
      <c r="I1857">
        <v>2</v>
      </c>
      <c r="J1857">
        <v>0</v>
      </c>
      <c r="K1857">
        <v>0</v>
      </c>
      <c r="L1857" s="61" t="s">
        <v>4779</v>
      </c>
    </row>
    <row r="1858" spans="6:12">
      <c r="F1858" t="s">
        <v>13315</v>
      </c>
      <c r="G1858" t="s">
        <v>5828</v>
      </c>
      <c r="H1858">
        <v>3</v>
      </c>
      <c r="I1858">
        <v>3</v>
      </c>
      <c r="J1858">
        <v>2</v>
      </c>
      <c r="K1858">
        <v>0</v>
      </c>
      <c r="L1858" s="61" t="s">
        <v>4779</v>
      </c>
    </row>
    <row r="1859" spans="6:12">
      <c r="F1859" t="s">
        <v>13316</v>
      </c>
      <c r="G1859" t="s">
        <v>13317</v>
      </c>
      <c r="H1859">
        <v>7</v>
      </c>
      <c r="I1859">
        <v>1</v>
      </c>
      <c r="J1859">
        <v>0</v>
      </c>
      <c r="K1859">
        <v>0</v>
      </c>
      <c r="L1859" s="61" t="s">
        <v>4779</v>
      </c>
    </row>
    <row r="1860" spans="6:12">
      <c r="F1860" t="s">
        <v>13318</v>
      </c>
      <c r="G1860" t="s">
        <v>10919</v>
      </c>
      <c r="H1860">
        <v>5</v>
      </c>
      <c r="I1860">
        <v>3</v>
      </c>
      <c r="J1860">
        <v>0</v>
      </c>
      <c r="K1860">
        <v>0</v>
      </c>
      <c r="L1860" s="61" t="s">
        <v>4779</v>
      </c>
    </row>
    <row r="1861" spans="6:12">
      <c r="F1861" t="s">
        <v>13319</v>
      </c>
      <c r="G1861" t="s">
        <v>13320</v>
      </c>
      <c r="H1861">
        <v>7</v>
      </c>
      <c r="I1861">
        <v>1</v>
      </c>
      <c r="J1861">
        <v>0</v>
      </c>
      <c r="K1861">
        <v>0</v>
      </c>
      <c r="L1861" s="61" t="s">
        <v>4779</v>
      </c>
    </row>
    <row r="1862" spans="6:12">
      <c r="F1862" t="s">
        <v>13321</v>
      </c>
      <c r="G1862" t="s">
        <v>11084</v>
      </c>
      <c r="H1862">
        <v>6</v>
      </c>
      <c r="I1862">
        <v>1</v>
      </c>
      <c r="J1862">
        <v>1</v>
      </c>
      <c r="K1862">
        <v>0</v>
      </c>
      <c r="L1862" s="61" t="s">
        <v>4779</v>
      </c>
    </row>
    <row r="1863" spans="6:12">
      <c r="F1863" t="s">
        <v>13322</v>
      </c>
      <c r="G1863" t="s">
        <v>5890</v>
      </c>
      <c r="H1863">
        <v>6</v>
      </c>
      <c r="I1863">
        <v>2</v>
      </c>
      <c r="J1863">
        <v>0</v>
      </c>
      <c r="K1863">
        <v>0</v>
      </c>
      <c r="L1863" s="61" t="s">
        <v>4779</v>
      </c>
    </row>
    <row r="1864" spans="6:12">
      <c r="F1864" t="s">
        <v>13323</v>
      </c>
      <c r="G1864" t="s">
        <v>5498</v>
      </c>
      <c r="H1864">
        <v>6</v>
      </c>
      <c r="I1864">
        <v>1</v>
      </c>
      <c r="J1864">
        <v>1</v>
      </c>
      <c r="K1864">
        <v>0</v>
      </c>
      <c r="L1864" s="61" t="s">
        <v>4779</v>
      </c>
    </row>
    <row r="1865" spans="6:12">
      <c r="F1865" t="s">
        <v>13324</v>
      </c>
      <c r="G1865" t="s">
        <v>5592</v>
      </c>
      <c r="H1865">
        <v>4</v>
      </c>
      <c r="I1865">
        <v>2</v>
      </c>
      <c r="J1865">
        <v>2</v>
      </c>
      <c r="K1865">
        <v>0</v>
      </c>
      <c r="L1865" s="61" t="s">
        <v>4779</v>
      </c>
    </row>
    <row r="1866" spans="6:12">
      <c r="F1866" t="s">
        <v>13325</v>
      </c>
      <c r="G1866" t="s">
        <v>10943</v>
      </c>
      <c r="H1866">
        <v>5</v>
      </c>
      <c r="I1866">
        <v>2</v>
      </c>
      <c r="J1866">
        <v>1</v>
      </c>
      <c r="K1866">
        <v>0</v>
      </c>
      <c r="L1866" s="61" t="s">
        <v>4779</v>
      </c>
    </row>
    <row r="1867" spans="6:12">
      <c r="F1867" t="s">
        <v>13326</v>
      </c>
      <c r="G1867" t="s">
        <v>5154</v>
      </c>
      <c r="H1867">
        <v>5</v>
      </c>
      <c r="I1867">
        <v>3</v>
      </c>
      <c r="J1867">
        <v>0</v>
      </c>
      <c r="K1867">
        <v>0</v>
      </c>
      <c r="L1867" s="61" t="s">
        <v>4779</v>
      </c>
    </row>
    <row r="1868" spans="6:12">
      <c r="F1868" t="s">
        <v>13327</v>
      </c>
      <c r="G1868" t="s">
        <v>4880</v>
      </c>
      <c r="H1868">
        <v>4</v>
      </c>
      <c r="I1868">
        <v>2</v>
      </c>
      <c r="J1868">
        <v>2</v>
      </c>
      <c r="K1868">
        <v>0</v>
      </c>
      <c r="L1868" s="61" t="s">
        <v>4779</v>
      </c>
    </row>
    <row r="1869" spans="6:12">
      <c r="F1869" t="s">
        <v>13328</v>
      </c>
      <c r="G1869" t="s">
        <v>11039</v>
      </c>
      <c r="H1869">
        <v>6</v>
      </c>
      <c r="I1869">
        <v>2</v>
      </c>
      <c r="J1869">
        <v>0</v>
      </c>
      <c r="K1869">
        <v>0</v>
      </c>
      <c r="L1869" s="61" t="s">
        <v>4779</v>
      </c>
    </row>
    <row r="1870" spans="6:12">
      <c r="F1870" t="s">
        <v>13329</v>
      </c>
      <c r="G1870" t="s">
        <v>5848</v>
      </c>
      <c r="H1870">
        <v>4</v>
      </c>
      <c r="I1870">
        <v>3</v>
      </c>
      <c r="J1870">
        <v>1</v>
      </c>
      <c r="K1870">
        <v>0</v>
      </c>
      <c r="L1870" s="61" t="s">
        <v>4779</v>
      </c>
    </row>
    <row r="1871" spans="6:12">
      <c r="F1871" t="s">
        <v>13330</v>
      </c>
      <c r="G1871" t="s">
        <v>5681</v>
      </c>
      <c r="H1871">
        <v>5</v>
      </c>
      <c r="I1871">
        <v>3</v>
      </c>
      <c r="J1871">
        <v>0</v>
      </c>
      <c r="K1871">
        <v>0</v>
      </c>
      <c r="L1871" s="61" t="s">
        <v>4779</v>
      </c>
    </row>
    <row r="1872" spans="6:12">
      <c r="F1872" t="s">
        <v>13331</v>
      </c>
      <c r="G1872" t="s">
        <v>5354</v>
      </c>
      <c r="H1872">
        <v>5</v>
      </c>
      <c r="I1872">
        <v>3</v>
      </c>
      <c r="J1872">
        <v>0</v>
      </c>
      <c r="K1872">
        <v>0</v>
      </c>
      <c r="L1872" s="61" t="s">
        <v>4779</v>
      </c>
    </row>
    <row r="1873" spans="6:12">
      <c r="F1873" t="s">
        <v>13332</v>
      </c>
      <c r="G1873" t="s">
        <v>13333</v>
      </c>
      <c r="H1873">
        <v>7</v>
      </c>
      <c r="I1873">
        <v>1</v>
      </c>
      <c r="J1873">
        <v>0</v>
      </c>
      <c r="K1873">
        <v>0</v>
      </c>
      <c r="L1873" s="61" t="s">
        <v>4779</v>
      </c>
    </row>
    <row r="1874" spans="6:12">
      <c r="F1874" t="s">
        <v>13334</v>
      </c>
      <c r="G1874" t="s">
        <v>13335</v>
      </c>
      <c r="H1874">
        <v>6</v>
      </c>
      <c r="I1874">
        <v>2</v>
      </c>
      <c r="J1874">
        <v>0</v>
      </c>
      <c r="K1874">
        <v>0</v>
      </c>
      <c r="L1874" s="61" t="s">
        <v>4779</v>
      </c>
    </row>
    <row r="1875" spans="6:12">
      <c r="F1875" t="s">
        <v>13336</v>
      </c>
      <c r="G1875" t="s">
        <v>13337</v>
      </c>
      <c r="H1875">
        <v>5</v>
      </c>
      <c r="I1875">
        <v>3</v>
      </c>
      <c r="J1875">
        <v>0</v>
      </c>
      <c r="K1875">
        <v>0</v>
      </c>
      <c r="L1875" s="61" t="s">
        <v>4808</v>
      </c>
    </row>
    <row r="1876" spans="6:12">
      <c r="F1876" t="s">
        <v>13338</v>
      </c>
      <c r="G1876" t="s">
        <v>5825</v>
      </c>
      <c r="H1876">
        <v>3</v>
      </c>
      <c r="I1876">
        <v>3</v>
      </c>
      <c r="J1876">
        <v>2</v>
      </c>
      <c r="K1876">
        <v>0</v>
      </c>
      <c r="L1876" s="61" t="s">
        <v>4779</v>
      </c>
    </row>
    <row r="1877" spans="6:12">
      <c r="F1877" t="s">
        <v>13339</v>
      </c>
      <c r="G1877" t="s">
        <v>11040</v>
      </c>
      <c r="H1877">
        <v>6</v>
      </c>
      <c r="I1877">
        <v>2</v>
      </c>
      <c r="J1877">
        <v>0</v>
      </c>
      <c r="K1877">
        <v>0</v>
      </c>
      <c r="L1877" s="61" t="s">
        <v>4779</v>
      </c>
    </row>
    <row r="1878" spans="6:12">
      <c r="F1878" t="s">
        <v>13340</v>
      </c>
      <c r="G1878" t="s">
        <v>5323</v>
      </c>
      <c r="H1878">
        <v>4</v>
      </c>
      <c r="I1878">
        <v>2</v>
      </c>
      <c r="J1878">
        <v>2</v>
      </c>
      <c r="K1878">
        <v>0</v>
      </c>
      <c r="L1878" s="61" t="s">
        <v>4779</v>
      </c>
    </row>
    <row r="1879" spans="6:12">
      <c r="F1879" t="s">
        <v>13341</v>
      </c>
      <c r="G1879" t="s">
        <v>6887</v>
      </c>
      <c r="H1879">
        <v>3</v>
      </c>
      <c r="I1879">
        <v>3</v>
      </c>
      <c r="J1879">
        <v>2</v>
      </c>
      <c r="K1879">
        <v>0</v>
      </c>
      <c r="L1879" s="61" t="s">
        <v>4779</v>
      </c>
    </row>
    <row r="1880" spans="6:12">
      <c r="F1880" t="s">
        <v>13342</v>
      </c>
      <c r="G1880" t="s">
        <v>13343</v>
      </c>
      <c r="H1880">
        <v>6</v>
      </c>
      <c r="I1880">
        <v>2</v>
      </c>
      <c r="J1880">
        <v>0</v>
      </c>
      <c r="K1880">
        <v>0</v>
      </c>
      <c r="L1880" s="61" t="s">
        <v>4779</v>
      </c>
    </row>
    <row r="1881" spans="6:12">
      <c r="F1881" t="s">
        <v>13344</v>
      </c>
      <c r="G1881" t="s">
        <v>5046</v>
      </c>
      <c r="H1881">
        <v>7</v>
      </c>
      <c r="I1881">
        <v>1</v>
      </c>
      <c r="J1881">
        <v>0</v>
      </c>
      <c r="K1881">
        <v>0</v>
      </c>
      <c r="L1881" s="61" t="s">
        <v>4779</v>
      </c>
    </row>
    <row r="1882" spans="6:12">
      <c r="F1882" t="s">
        <v>13345</v>
      </c>
      <c r="G1882" t="s">
        <v>11049</v>
      </c>
      <c r="H1882">
        <v>7</v>
      </c>
      <c r="I1882">
        <v>1</v>
      </c>
      <c r="J1882">
        <v>0</v>
      </c>
      <c r="K1882">
        <v>0</v>
      </c>
      <c r="L1882" s="61" t="s">
        <v>4779</v>
      </c>
    </row>
    <row r="1883" spans="6:12">
      <c r="F1883" t="s">
        <v>13346</v>
      </c>
      <c r="G1883" t="s">
        <v>7174</v>
      </c>
      <c r="H1883">
        <v>7</v>
      </c>
      <c r="I1883">
        <v>1</v>
      </c>
      <c r="J1883">
        <v>0</v>
      </c>
      <c r="K1883">
        <v>0</v>
      </c>
      <c r="L1883" s="61" t="s">
        <v>4779</v>
      </c>
    </row>
    <row r="1884" spans="6:12">
      <c r="F1884" t="s">
        <v>13347</v>
      </c>
      <c r="G1884" t="s">
        <v>5574</v>
      </c>
      <c r="H1884">
        <v>7</v>
      </c>
      <c r="I1884">
        <v>1</v>
      </c>
      <c r="J1884">
        <v>0</v>
      </c>
      <c r="K1884">
        <v>0</v>
      </c>
      <c r="L1884" s="61" t="s">
        <v>4779</v>
      </c>
    </row>
    <row r="1885" spans="6:12">
      <c r="F1885" t="s">
        <v>13348</v>
      </c>
      <c r="G1885" t="s">
        <v>6899</v>
      </c>
      <c r="H1885">
        <v>6</v>
      </c>
      <c r="I1885">
        <v>2</v>
      </c>
      <c r="J1885">
        <v>0</v>
      </c>
      <c r="K1885">
        <v>0</v>
      </c>
      <c r="L1885" s="61" t="s">
        <v>4779</v>
      </c>
    </row>
    <row r="1886" spans="6:12">
      <c r="F1886" t="s">
        <v>13349</v>
      </c>
      <c r="G1886" t="s">
        <v>5528</v>
      </c>
      <c r="H1886">
        <v>7</v>
      </c>
      <c r="I1886">
        <v>1</v>
      </c>
      <c r="J1886">
        <v>0</v>
      </c>
      <c r="K1886">
        <v>0</v>
      </c>
      <c r="L1886" s="61" t="s">
        <v>4779</v>
      </c>
    </row>
    <row r="1887" spans="6:12">
      <c r="F1887" t="s">
        <v>13350</v>
      </c>
      <c r="G1887" t="s">
        <v>10930</v>
      </c>
      <c r="H1887">
        <v>6</v>
      </c>
      <c r="I1887">
        <v>2</v>
      </c>
      <c r="J1887">
        <v>0</v>
      </c>
      <c r="K1887">
        <v>0</v>
      </c>
      <c r="L1887" s="61" t="s">
        <v>4779</v>
      </c>
    </row>
    <row r="1888" spans="6:12">
      <c r="F1888" t="s">
        <v>13351</v>
      </c>
      <c r="G1888" t="s">
        <v>7922</v>
      </c>
      <c r="H1888">
        <v>4</v>
      </c>
      <c r="I1888">
        <v>3</v>
      </c>
      <c r="J1888">
        <v>1</v>
      </c>
      <c r="K1888">
        <v>0</v>
      </c>
      <c r="L1888" s="61" t="s">
        <v>4779</v>
      </c>
    </row>
    <row r="1889" spans="6:12">
      <c r="F1889" t="s">
        <v>13352</v>
      </c>
      <c r="G1889" t="s">
        <v>5730</v>
      </c>
      <c r="H1889">
        <v>6</v>
      </c>
      <c r="I1889">
        <v>2</v>
      </c>
      <c r="J1889">
        <v>0</v>
      </c>
      <c r="K1889">
        <v>0</v>
      </c>
      <c r="L1889" s="61" t="s">
        <v>4779</v>
      </c>
    </row>
    <row r="1890" spans="6:12">
      <c r="F1890" t="s">
        <v>13353</v>
      </c>
      <c r="G1890" t="s">
        <v>13354</v>
      </c>
      <c r="H1890">
        <v>6</v>
      </c>
      <c r="I1890">
        <v>2</v>
      </c>
      <c r="J1890">
        <v>0</v>
      </c>
      <c r="K1890">
        <v>0</v>
      </c>
      <c r="L1890" s="61" t="s">
        <v>4779</v>
      </c>
    </row>
    <row r="1891" spans="6:12">
      <c r="F1891" t="s">
        <v>13355</v>
      </c>
      <c r="G1891" t="s">
        <v>4610</v>
      </c>
      <c r="H1891">
        <v>4</v>
      </c>
      <c r="I1891">
        <v>2</v>
      </c>
      <c r="J1891">
        <v>2</v>
      </c>
      <c r="K1891">
        <v>0</v>
      </c>
      <c r="L1891" s="61" t="s">
        <v>4779</v>
      </c>
    </row>
    <row r="1892" spans="6:12">
      <c r="F1892" t="s">
        <v>13356</v>
      </c>
      <c r="G1892" t="s">
        <v>13357</v>
      </c>
      <c r="H1892">
        <v>7</v>
      </c>
      <c r="I1892">
        <v>1</v>
      </c>
      <c r="J1892">
        <v>0</v>
      </c>
      <c r="K1892">
        <v>0</v>
      </c>
      <c r="L1892" s="61" t="s">
        <v>4779</v>
      </c>
    </row>
    <row r="1893" spans="6:12">
      <c r="F1893" t="s">
        <v>13358</v>
      </c>
      <c r="G1893" t="s">
        <v>13359</v>
      </c>
      <c r="H1893">
        <v>4</v>
      </c>
      <c r="I1893">
        <v>2</v>
      </c>
      <c r="J1893">
        <v>2</v>
      </c>
      <c r="K1893">
        <v>0</v>
      </c>
      <c r="L1893" s="61" t="s">
        <v>4779</v>
      </c>
    </row>
    <row r="1894" spans="6:12">
      <c r="F1894" t="s">
        <v>13360</v>
      </c>
      <c r="G1894" t="s">
        <v>5076</v>
      </c>
      <c r="H1894">
        <v>4</v>
      </c>
      <c r="I1894">
        <v>2</v>
      </c>
      <c r="J1894">
        <v>2</v>
      </c>
      <c r="K1894">
        <v>0</v>
      </c>
      <c r="L1894" s="61" t="s">
        <v>4779</v>
      </c>
    </row>
    <row r="1895" spans="6:12">
      <c r="F1895" t="s">
        <v>13361</v>
      </c>
      <c r="G1895" t="s">
        <v>13095</v>
      </c>
      <c r="H1895">
        <v>7</v>
      </c>
      <c r="I1895">
        <v>1</v>
      </c>
      <c r="J1895">
        <v>0</v>
      </c>
      <c r="K1895">
        <v>0</v>
      </c>
      <c r="L1895" s="61" t="s">
        <v>4779</v>
      </c>
    </row>
    <row r="1896" spans="6:12">
      <c r="F1896" t="s">
        <v>13362</v>
      </c>
      <c r="G1896" t="s">
        <v>10950</v>
      </c>
      <c r="H1896">
        <v>5</v>
      </c>
      <c r="I1896">
        <v>1</v>
      </c>
      <c r="J1896">
        <v>2</v>
      </c>
      <c r="K1896">
        <v>0</v>
      </c>
      <c r="L1896" s="61" t="s">
        <v>4779</v>
      </c>
    </row>
    <row r="1897" spans="6:12">
      <c r="F1897" t="s">
        <v>13363</v>
      </c>
      <c r="G1897" t="s">
        <v>10959</v>
      </c>
      <c r="H1897">
        <v>5</v>
      </c>
      <c r="I1897">
        <v>3</v>
      </c>
      <c r="J1897">
        <v>0</v>
      </c>
      <c r="K1897">
        <v>0</v>
      </c>
      <c r="L1897" s="61" t="s">
        <v>4779</v>
      </c>
    </row>
    <row r="1898" spans="6:12">
      <c r="F1898" t="s">
        <v>13364</v>
      </c>
      <c r="G1898" t="s">
        <v>5051</v>
      </c>
      <c r="H1898">
        <v>6</v>
      </c>
      <c r="I1898">
        <v>2</v>
      </c>
      <c r="J1898">
        <v>0</v>
      </c>
      <c r="K1898">
        <v>0</v>
      </c>
      <c r="L1898" s="61" t="s">
        <v>4779</v>
      </c>
    </row>
    <row r="1899" spans="6:12">
      <c r="F1899" t="s">
        <v>13365</v>
      </c>
      <c r="G1899" t="s">
        <v>5154</v>
      </c>
      <c r="H1899">
        <v>5</v>
      </c>
      <c r="I1899">
        <v>3</v>
      </c>
      <c r="J1899">
        <v>0</v>
      </c>
      <c r="K1899">
        <v>0</v>
      </c>
      <c r="L1899" s="61" t="s">
        <v>4807</v>
      </c>
    </row>
    <row r="1900" spans="6:12">
      <c r="F1900" t="s">
        <v>13366</v>
      </c>
      <c r="G1900" t="s">
        <v>13367</v>
      </c>
      <c r="H1900">
        <v>3</v>
      </c>
      <c r="I1900">
        <v>3</v>
      </c>
      <c r="J1900">
        <v>2</v>
      </c>
      <c r="K1900">
        <v>0</v>
      </c>
      <c r="L1900" s="61" t="s">
        <v>4779</v>
      </c>
    </row>
    <row r="1901" spans="6:12">
      <c r="F1901" t="s">
        <v>13368</v>
      </c>
      <c r="G1901" t="s">
        <v>8407</v>
      </c>
      <c r="H1901">
        <v>5</v>
      </c>
      <c r="I1901">
        <v>3</v>
      </c>
      <c r="J1901">
        <v>0</v>
      </c>
      <c r="K1901">
        <v>0</v>
      </c>
      <c r="L1901" s="61" t="s">
        <v>4779</v>
      </c>
    </row>
    <row r="1902" spans="6:12">
      <c r="F1902" t="s">
        <v>13369</v>
      </c>
      <c r="G1902" t="s">
        <v>13370</v>
      </c>
      <c r="H1902">
        <v>7</v>
      </c>
      <c r="I1902">
        <v>1</v>
      </c>
      <c r="J1902">
        <v>0</v>
      </c>
      <c r="K1902">
        <v>0</v>
      </c>
      <c r="L1902" s="61" t="s">
        <v>4779</v>
      </c>
    </row>
    <row r="1903" spans="6:12">
      <c r="F1903" t="s">
        <v>13371</v>
      </c>
      <c r="G1903" t="s">
        <v>5797</v>
      </c>
      <c r="H1903">
        <v>5</v>
      </c>
      <c r="I1903">
        <v>3</v>
      </c>
      <c r="J1903">
        <v>0</v>
      </c>
      <c r="K1903">
        <v>0</v>
      </c>
      <c r="L1903" s="61" t="s">
        <v>4779</v>
      </c>
    </row>
    <row r="1904" spans="6:12">
      <c r="F1904" t="s">
        <v>13372</v>
      </c>
      <c r="G1904" t="s">
        <v>5313</v>
      </c>
      <c r="H1904">
        <v>5</v>
      </c>
      <c r="I1904">
        <v>3</v>
      </c>
      <c r="J1904">
        <v>0</v>
      </c>
      <c r="K1904">
        <v>0</v>
      </c>
      <c r="L1904" s="61" t="s">
        <v>4779</v>
      </c>
    </row>
    <row r="1905" spans="6:12">
      <c r="F1905" t="s">
        <v>13373</v>
      </c>
      <c r="G1905" t="s">
        <v>13374</v>
      </c>
      <c r="H1905">
        <v>3</v>
      </c>
      <c r="I1905">
        <v>3</v>
      </c>
      <c r="J1905">
        <v>2</v>
      </c>
      <c r="K1905">
        <v>0</v>
      </c>
      <c r="L1905" s="61" t="s">
        <v>4779</v>
      </c>
    </row>
    <row r="1906" spans="6:12">
      <c r="F1906" t="s">
        <v>13375</v>
      </c>
      <c r="G1906" t="s">
        <v>5623</v>
      </c>
      <c r="H1906">
        <v>4</v>
      </c>
      <c r="I1906">
        <v>2</v>
      </c>
      <c r="J1906">
        <v>2</v>
      </c>
      <c r="K1906">
        <v>0</v>
      </c>
      <c r="L1906" s="61" t="s">
        <v>4779</v>
      </c>
    </row>
    <row r="1907" spans="6:12">
      <c r="F1907" t="s">
        <v>13376</v>
      </c>
      <c r="G1907" t="s">
        <v>5598</v>
      </c>
      <c r="H1907">
        <v>5</v>
      </c>
      <c r="I1907">
        <v>3</v>
      </c>
      <c r="J1907">
        <v>0</v>
      </c>
      <c r="K1907">
        <v>0</v>
      </c>
      <c r="L1907" s="61" t="s">
        <v>4779</v>
      </c>
    </row>
    <row r="1908" spans="6:12">
      <c r="F1908" t="s">
        <v>13377</v>
      </c>
      <c r="G1908" t="s">
        <v>5476</v>
      </c>
      <c r="H1908">
        <v>4</v>
      </c>
      <c r="I1908">
        <v>3</v>
      </c>
      <c r="J1908">
        <v>1</v>
      </c>
      <c r="K1908">
        <v>0</v>
      </c>
      <c r="L1908" s="61" t="s">
        <v>4779</v>
      </c>
    </row>
    <row r="1909" spans="6:12">
      <c r="F1909" t="s">
        <v>13378</v>
      </c>
      <c r="G1909" t="s">
        <v>13379</v>
      </c>
      <c r="H1909">
        <v>5</v>
      </c>
      <c r="I1909">
        <v>3</v>
      </c>
      <c r="J1909">
        <v>0</v>
      </c>
      <c r="K1909">
        <v>0</v>
      </c>
      <c r="L1909" s="61" t="s">
        <v>4779</v>
      </c>
    </row>
    <row r="1910" spans="6:12">
      <c r="F1910" t="s">
        <v>13380</v>
      </c>
      <c r="G1910" t="s">
        <v>13381</v>
      </c>
      <c r="H1910">
        <v>6</v>
      </c>
      <c r="I1910">
        <v>1</v>
      </c>
      <c r="J1910">
        <v>1</v>
      </c>
      <c r="K1910">
        <v>0</v>
      </c>
      <c r="L1910" s="61" t="s">
        <v>4779</v>
      </c>
    </row>
    <row r="1911" spans="6:12">
      <c r="F1911" t="s">
        <v>13382</v>
      </c>
      <c r="G1911" t="s">
        <v>8104</v>
      </c>
      <c r="H1911">
        <v>5</v>
      </c>
      <c r="I1911">
        <v>3</v>
      </c>
      <c r="J1911">
        <v>0</v>
      </c>
      <c r="K1911">
        <v>0</v>
      </c>
      <c r="L1911" s="61" t="s">
        <v>4808</v>
      </c>
    </row>
    <row r="1912" spans="6:12">
      <c r="F1912" t="s">
        <v>13383</v>
      </c>
      <c r="G1912" t="s">
        <v>9328</v>
      </c>
      <c r="H1912">
        <v>5</v>
      </c>
      <c r="I1912">
        <v>3</v>
      </c>
      <c r="J1912">
        <v>0</v>
      </c>
      <c r="K1912">
        <v>0</v>
      </c>
      <c r="L1912" s="61" t="s">
        <v>4779</v>
      </c>
    </row>
    <row r="1913" spans="6:12">
      <c r="F1913" t="s">
        <v>13384</v>
      </c>
      <c r="G1913" t="s">
        <v>5530</v>
      </c>
      <c r="H1913">
        <v>4</v>
      </c>
      <c r="I1913">
        <v>3</v>
      </c>
      <c r="J1913">
        <v>1</v>
      </c>
      <c r="K1913">
        <v>0</v>
      </c>
      <c r="L1913" s="61" t="s">
        <v>4779</v>
      </c>
    </row>
    <row r="1914" spans="6:12">
      <c r="F1914" t="s">
        <v>13385</v>
      </c>
      <c r="G1914" t="s">
        <v>13386</v>
      </c>
      <c r="H1914">
        <v>6</v>
      </c>
      <c r="I1914">
        <v>2</v>
      </c>
      <c r="J1914">
        <v>0</v>
      </c>
      <c r="K1914">
        <v>0</v>
      </c>
      <c r="L1914" s="61" t="s">
        <v>4810</v>
      </c>
    </row>
    <row r="1915" spans="6:12">
      <c r="F1915" t="s">
        <v>13387</v>
      </c>
      <c r="G1915" t="s">
        <v>13388</v>
      </c>
      <c r="H1915">
        <v>6</v>
      </c>
      <c r="I1915">
        <v>1</v>
      </c>
      <c r="J1915">
        <v>1</v>
      </c>
      <c r="K1915">
        <v>0</v>
      </c>
      <c r="L1915" s="61" t="s">
        <v>4779</v>
      </c>
    </row>
    <row r="1916" spans="6:12">
      <c r="F1916" t="s">
        <v>13389</v>
      </c>
      <c r="G1916" t="s">
        <v>13390</v>
      </c>
      <c r="H1916">
        <v>7</v>
      </c>
      <c r="I1916">
        <v>1</v>
      </c>
      <c r="J1916">
        <v>0</v>
      </c>
      <c r="K1916">
        <v>0</v>
      </c>
      <c r="L1916" s="61" t="s">
        <v>4779</v>
      </c>
    </row>
    <row r="1917" spans="6:12">
      <c r="F1917" t="s">
        <v>13391</v>
      </c>
      <c r="G1917" t="s">
        <v>5791</v>
      </c>
      <c r="H1917">
        <v>5</v>
      </c>
      <c r="I1917">
        <v>3</v>
      </c>
      <c r="J1917">
        <v>0</v>
      </c>
      <c r="K1917">
        <v>0</v>
      </c>
      <c r="L1917" s="61" t="s">
        <v>4779</v>
      </c>
    </row>
    <row r="1918" spans="6:12">
      <c r="F1918" t="s">
        <v>13392</v>
      </c>
      <c r="G1918" t="s">
        <v>5636</v>
      </c>
      <c r="H1918">
        <v>5</v>
      </c>
      <c r="I1918">
        <v>1</v>
      </c>
      <c r="J1918">
        <v>2</v>
      </c>
      <c r="K1918">
        <v>0</v>
      </c>
      <c r="L1918" s="61" t="s">
        <v>4779</v>
      </c>
    </row>
    <row r="1919" spans="6:12">
      <c r="F1919" t="s">
        <v>13393</v>
      </c>
      <c r="G1919" t="s">
        <v>7823</v>
      </c>
      <c r="H1919">
        <v>6</v>
      </c>
      <c r="I1919">
        <v>2</v>
      </c>
      <c r="J1919">
        <v>0</v>
      </c>
      <c r="K1919">
        <v>0</v>
      </c>
      <c r="L1919" s="61" t="s">
        <v>4779</v>
      </c>
    </row>
    <row r="1920" spans="6:12">
      <c r="F1920" t="s">
        <v>13394</v>
      </c>
      <c r="G1920" t="s">
        <v>7970</v>
      </c>
      <c r="H1920">
        <v>5</v>
      </c>
      <c r="I1920">
        <v>2</v>
      </c>
      <c r="J1920">
        <v>1</v>
      </c>
      <c r="K1920">
        <v>0</v>
      </c>
      <c r="L1920" s="61" t="s">
        <v>4779</v>
      </c>
    </row>
    <row r="1921" spans="6:12">
      <c r="F1921" t="s">
        <v>13395</v>
      </c>
      <c r="G1921" t="s">
        <v>5331</v>
      </c>
      <c r="H1921">
        <v>6</v>
      </c>
      <c r="I1921">
        <v>2</v>
      </c>
      <c r="J1921">
        <v>0</v>
      </c>
      <c r="K1921">
        <v>0</v>
      </c>
      <c r="L1921" s="61" t="s">
        <v>4779</v>
      </c>
    </row>
    <row r="1922" spans="6:12">
      <c r="F1922" t="s">
        <v>13396</v>
      </c>
      <c r="G1922" t="s">
        <v>5481</v>
      </c>
      <c r="H1922">
        <v>6</v>
      </c>
      <c r="I1922">
        <v>1</v>
      </c>
      <c r="J1922">
        <v>1</v>
      </c>
      <c r="K1922">
        <v>0</v>
      </c>
      <c r="L1922" s="61" t="s">
        <v>4779</v>
      </c>
    </row>
    <row r="1923" spans="6:12">
      <c r="F1923" t="s">
        <v>13397</v>
      </c>
      <c r="G1923" t="s">
        <v>13398</v>
      </c>
      <c r="H1923">
        <v>6</v>
      </c>
      <c r="I1923">
        <v>2</v>
      </c>
      <c r="J1923">
        <v>0</v>
      </c>
      <c r="K1923">
        <v>0</v>
      </c>
      <c r="L1923" s="61" t="s">
        <v>4779</v>
      </c>
    </row>
    <row r="1924" spans="6:12">
      <c r="F1924" t="s">
        <v>13399</v>
      </c>
      <c r="G1924" t="s">
        <v>5571</v>
      </c>
      <c r="H1924">
        <v>4</v>
      </c>
      <c r="I1924">
        <v>3</v>
      </c>
      <c r="J1924">
        <v>1</v>
      </c>
      <c r="K1924">
        <v>0</v>
      </c>
      <c r="L1924" s="61" t="s">
        <v>4779</v>
      </c>
    </row>
    <row r="1925" spans="6:12">
      <c r="F1925" t="s">
        <v>13400</v>
      </c>
      <c r="G1925" t="s">
        <v>5056</v>
      </c>
      <c r="H1925">
        <v>5</v>
      </c>
      <c r="I1925">
        <v>1</v>
      </c>
      <c r="J1925">
        <v>2</v>
      </c>
      <c r="K1925">
        <v>0</v>
      </c>
      <c r="L1925" s="61" t="s">
        <v>4779</v>
      </c>
    </row>
    <row r="1926" spans="6:12">
      <c r="F1926" t="s">
        <v>13401</v>
      </c>
      <c r="G1926" t="s">
        <v>5073</v>
      </c>
      <c r="H1926">
        <v>4</v>
      </c>
      <c r="I1926">
        <v>2</v>
      </c>
      <c r="J1926">
        <v>2</v>
      </c>
      <c r="K1926">
        <v>0</v>
      </c>
      <c r="L1926" s="61" t="s">
        <v>4779</v>
      </c>
    </row>
    <row r="1927" spans="6:12">
      <c r="F1927" t="s">
        <v>13402</v>
      </c>
      <c r="G1927" t="s">
        <v>13403</v>
      </c>
      <c r="H1927">
        <v>7</v>
      </c>
      <c r="I1927">
        <v>1</v>
      </c>
      <c r="J1927">
        <v>0</v>
      </c>
      <c r="K1927">
        <v>0</v>
      </c>
      <c r="L1927" s="61" t="s">
        <v>4779</v>
      </c>
    </row>
    <row r="1928" spans="6:12">
      <c r="F1928" t="s">
        <v>13404</v>
      </c>
      <c r="G1928" t="s">
        <v>5455</v>
      </c>
      <c r="H1928">
        <v>4</v>
      </c>
      <c r="I1928">
        <v>2</v>
      </c>
      <c r="J1928">
        <v>2</v>
      </c>
      <c r="K1928">
        <v>0</v>
      </c>
      <c r="L1928" s="61" t="s">
        <v>4807</v>
      </c>
    </row>
    <row r="1929" spans="6:12">
      <c r="F1929" t="s">
        <v>13405</v>
      </c>
      <c r="G1929" t="s">
        <v>5089</v>
      </c>
      <c r="H1929">
        <v>4</v>
      </c>
      <c r="I1929">
        <v>2</v>
      </c>
      <c r="J1929">
        <v>2</v>
      </c>
      <c r="K1929">
        <v>0</v>
      </c>
      <c r="L1929" s="61" t="s">
        <v>4779</v>
      </c>
    </row>
    <row r="1930" spans="6:12">
      <c r="F1930" t="s">
        <v>13406</v>
      </c>
      <c r="G1930" t="s">
        <v>5081</v>
      </c>
      <c r="H1930">
        <v>6</v>
      </c>
      <c r="I1930">
        <v>2</v>
      </c>
      <c r="J1930">
        <v>0</v>
      </c>
      <c r="K1930">
        <v>0</v>
      </c>
      <c r="L1930" s="61" t="s">
        <v>4779</v>
      </c>
    </row>
    <row r="1931" spans="6:12">
      <c r="F1931" t="s">
        <v>13407</v>
      </c>
      <c r="G1931" t="s">
        <v>13408</v>
      </c>
      <c r="H1931">
        <v>7</v>
      </c>
      <c r="I1931">
        <v>1</v>
      </c>
      <c r="J1931">
        <v>0</v>
      </c>
      <c r="K1931">
        <v>0</v>
      </c>
      <c r="L1931" s="61" t="s">
        <v>4779</v>
      </c>
    </row>
    <row r="1932" spans="6:12">
      <c r="F1932" t="s">
        <v>13409</v>
      </c>
      <c r="G1932" t="s">
        <v>13410</v>
      </c>
      <c r="H1932">
        <v>7</v>
      </c>
      <c r="I1932">
        <v>1</v>
      </c>
      <c r="J1932">
        <v>0</v>
      </c>
      <c r="K1932">
        <v>0</v>
      </c>
      <c r="L1932" s="61" t="s">
        <v>4779</v>
      </c>
    </row>
    <row r="1933" spans="6:12">
      <c r="F1933" t="s">
        <v>13411</v>
      </c>
      <c r="G1933" t="s">
        <v>5521</v>
      </c>
      <c r="H1933">
        <v>7</v>
      </c>
      <c r="I1933">
        <v>1</v>
      </c>
      <c r="J1933">
        <v>0</v>
      </c>
      <c r="K1933">
        <v>0</v>
      </c>
      <c r="L1933" s="61" t="s">
        <v>4779</v>
      </c>
    </row>
    <row r="1934" spans="6:12">
      <c r="F1934" t="s">
        <v>13412</v>
      </c>
      <c r="G1934" t="s">
        <v>5340</v>
      </c>
      <c r="H1934">
        <v>7</v>
      </c>
      <c r="I1934">
        <v>1</v>
      </c>
      <c r="J1934">
        <v>0</v>
      </c>
      <c r="K1934">
        <v>0</v>
      </c>
      <c r="L1934" s="61" t="s">
        <v>4779</v>
      </c>
    </row>
    <row r="1935" spans="6:12">
      <c r="F1935" t="s">
        <v>13413</v>
      </c>
      <c r="G1935" t="s">
        <v>5485</v>
      </c>
      <c r="H1935">
        <v>4</v>
      </c>
      <c r="I1935">
        <v>2</v>
      </c>
      <c r="J1935">
        <v>2</v>
      </c>
      <c r="K1935">
        <v>0</v>
      </c>
      <c r="L1935" s="61" t="s">
        <v>4807</v>
      </c>
    </row>
    <row r="1936" spans="6:12">
      <c r="F1936" t="s">
        <v>13414</v>
      </c>
      <c r="G1936" t="s">
        <v>13415</v>
      </c>
      <c r="H1936">
        <v>6</v>
      </c>
      <c r="I1936">
        <v>2</v>
      </c>
      <c r="J1936">
        <v>0</v>
      </c>
      <c r="K1936">
        <v>0</v>
      </c>
      <c r="L1936" s="61" t="s">
        <v>4779</v>
      </c>
    </row>
    <row r="1937" spans="6:12">
      <c r="F1937" t="s">
        <v>13416</v>
      </c>
      <c r="G1937" t="s">
        <v>5480</v>
      </c>
      <c r="H1937">
        <v>4</v>
      </c>
      <c r="I1937">
        <v>2</v>
      </c>
      <c r="J1937">
        <v>2</v>
      </c>
      <c r="K1937">
        <v>0</v>
      </c>
      <c r="L1937" s="61" t="s">
        <v>4779</v>
      </c>
    </row>
    <row r="1938" spans="6:12">
      <c r="F1938" t="s">
        <v>13417</v>
      </c>
      <c r="G1938" t="s">
        <v>5517</v>
      </c>
      <c r="H1938">
        <v>4</v>
      </c>
      <c r="I1938">
        <v>2</v>
      </c>
      <c r="J1938">
        <v>2</v>
      </c>
      <c r="K1938">
        <v>0</v>
      </c>
      <c r="L1938" s="61" t="s">
        <v>4779</v>
      </c>
    </row>
    <row r="1939" spans="6:12">
      <c r="F1939" t="s">
        <v>13418</v>
      </c>
      <c r="G1939" t="s">
        <v>5343</v>
      </c>
      <c r="H1939">
        <v>4</v>
      </c>
      <c r="I1939">
        <v>3</v>
      </c>
      <c r="J1939">
        <v>1</v>
      </c>
      <c r="K1939">
        <v>0</v>
      </c>
      <c r="L1939" s="61" t="s">
        <v>4779</v>
      </c>
    </row>
    <row r="1940" spans="6:12">
      <c r="F1940" t="s">
        <v>13419</v>
      </c>
      <c r="G1940" t="s">
        <v>5678</v>
      </c>
      <c r="H1940">
        <v>6</v>
      </c>
      <c r="I1940">
        <v>2</v>
      </c>
      <c r="J1940">
        <v>0</v>
      </c>
      <c r="K1940">
        <v>0</v>
      </c>
      <c r="L1940" s="61" t="s">
        <v>4779</v>
      </c>
    </row>
    <row r="1941" spans="6:12">
      <c r="F1941" t="s">
        <v>13420</v>
      </c>
      <c r="G1941" t="s">
        <v>13421</v>
      </c>
      <c r="H1941">
        <v>4</v>
      </c>
      <c r="I1941">
        <v>3</v>
      </c>
      <c r="J1941">
        <v>1</v>
      </c>
      <c r="K1941">
        <v>0</v>
      </c>
      <c r="L1941" s="61" t="s">
        <v>4779</v>
      </c>
    </row>
    <row r="1942" spans="6:12">
      <c r="F1942" t="s">
        <v>13422</v>
      </c>
      <c r="G1942" t="s">
        <v>5818</v>
      </c>
      <c r="H1942">
        <v>5</v>
      </c>
      <c r="I1942">
        <v>3</v>
      </c>
      <c r="J1942">
        <v>0</v>
      </c>
      <c r="K1942">
        <v>0</v>
      </c>
      <c r="L1942" s="61" t="s">
        <v>4779</v>
      </c>
    </row>
    <row r="1943" spans="6:12">
      <c r="F1943" t="s">
        <v>13423</v>
      </c>
      <c r="G1943" t="s">
        <v>5454</v>
      </c>
      <c r="H1943">
        <v>5</v>
      </c>
      <c r="I1943">
        <v>2</v>
      </c>
      <c r="J1943">
        <v>1</v>
      </c>
      <c r="K1943">
        <v>0</v>
      </c>
      <c r="L1943" s="61" t="s">
        <v>4779</v>
      </c>
    </row>
    <row r="1944" spans="6:12">
      <c r="F1944" t="s">
        <v>13424</v>
      </c>
      <c r="G1944" t="s">
        <v>5077</v>
      </c>
      <c r="H1944">
        <v>3</v>
      </c>
      <c r="I1944">
        <v>3</v>
      </c>
      <c r="J1944">
        <v>2</v>
      </c>
      <c r="K1944">
        <v>0</v>
      </c>
      <c r="L1944" s="61" t="s">
        <v>4807</v>
      </c>
    </row>
    <row r="1945" spans="6:12">
      <c r="F1945" t="s">
        <v>13425</v>
      </c>
      <c r="G1945" t="s">
        <v>5738</v>
      </c>
      <c r="H1945">
        <v>5</v>
      </c>
      <c r="I1945">
        <v>1</v>
      </c>
      <c r="J1945">
        <v>2</v>
      </c>
      <c r="K1945">
        <v>0</v>
      </c>
      <c r="L1945" s="61" t="s">
        <v>4807</v>
      </c>
    </row>
    <row r="1946" spans="6:12">
      <c r="F1946" t="s">
        <v>13426</v>
      </c>
      <c r="G1946" t="s">
        <v>10994</v>
      </c>
      <c r="H1946">
        <v>5</v>
      </c>
      <c r="I1946">
        <v>1</v>
      </c>
      <c r="J1946">
        <v>2</v>
      </c>
      <c r="K1946">
        <v>0</v>
      </c>
      <c r="L1946" s="61" t="s">
        <v>4779</v>
      </c>
    </row>
    <row r="1947" spans="6:12">
      <c r="F1947" t="s">
        <v>13427</v>
      </c>
      <c r="G1947" t="s">
        <v>5572</v>
      </c>
      <c r="H1947">
        <v>6</v>
      </c>
      <c r="I1947">
        <v>2</v>
      </c>
      <c r="J1947">
        <v>0</v>
      </c>
      <c r="K1947">
        <v>0</v>
      </c>
      <c r="L1947" s="61" t="s">
        <v>4809</v>
      </c>
    </row>
    <row r="1948" spans="6:12">
      <c r="F1948" t="s">
        <v>13428</v>
      </c>
      <c r="G1948" t="s">
        <v>13429</v>
      </c>
      <c r="H1948">
        <v>6</v>
      </c>
      <c r="I1948">
        <v>2</v>
      </c>
      <c r="J1948">
        <v>0</v>
      </c>
      <c r="K1948">
        <v>0</v>
      </c>
      <c r="L1948" s="61" t="s">
        <v>4779</v>
      </c>
    </row>
    <row r="1949" spans="6:12">
      <c r="F1949" t="s">
        <v>13430</v>
      </c>
      <c r="G1949" t="s">
        <v>5563</v>
      </c>
      <c r="H1949">
        <v>6</v>
      </c>
      <c r="I1949">
        <v>1</v>
      </c>
      <c r="J1949">
        <v>1</v>
      </c>
      <c r="K1949">
        <v>0</v>
      </c>
      <c r="L1949" s="61" t="s">
        <v>4779</v>
      </c>
    </row>
    <row r="1950" spans="6:12">
      <c r="F1950" t="s">
        <v>13431</v>
      </c>
      <c r="G1950" t="s">
        <v>5783</v>
      </c>
      <c r="H1950">
        <v>5</v>
      </c>
      <c r="I1950">
        <v>1</v>
      </c>
      <c r="J1950">
        <v>2</v>
      </c>
      <c r="K1950">
        <v>0</v>
      </c>
      <c r="L1950" s="61" t="s">
        <v>4779</v>
      </c>
    </row>
    <row r="1951" spans="6:12">
      <c r="F1951" t="s">
        <v>13432</v>
      </c>
      <c r="G1951" t="s">
        <v>13433</v>
      </c>
      <c r="H1951">
        <v>7</v>
      </c>
      <c r="I1951">
        <v>1</v>
      </c>
      <c r="J1951">
        <v>0</v>
      </c>
      <c r="K1951">
        <v>0</v>
      </c>
      <c r="L1951" s="61" t="s">
        <v>4779</v>
      </c>
    </row>
    <row r="1952" spans="6:12">
      <c r="F1952" t="s">
        <v>13434</v>
      </c>
      <c r="G1952" t="s">
        <v>5014</v>
      </c>
      <c r="H1952">
        <v>7</v>
      </c>
      <c r="I1952">
        <v>1</v>
      </c>
      <c r="J1952">
        <v>0</v>
      </c>
      <c r="K1952">
        <v>0</v>
      </c>
      <c r="L1952" s="61" t="s">
        <v>4779</v>
      </c>
    </row>
    <row r="1953" spans="6:12">
      <c r="F1953" t="s">
        <v>13435</v>
      </c>
      <c r="G1953" t="s">
        <v>13436</v>
      </c>
      <c r="H1953">
        <v>4</v>
      </c>
      <c r="I1953">
        <v>3</v>
      </c>
      <c r="J1953">
        <v>1</v>
      </c>
      <c r="K1953">
        <v>0</v>
      </c>
      <c r="L1953" s="61" t="s">
        <v>4779</v>
      </c>
    </row>
    <row r="1954" spans="6:12">
      <c r="F1954" t="s">
        <v>13437</v>
      </c>
      <c r="G1954" t="s">
        <v>13438</v>
      </c>
      <c r="H1954">
        <v>7</v>
      </c>
      <c r="I1954">
        <v>1</v>
      </c>
      <c r="J1954">
        <v>0</v>
      </c>
      <c r="K1954">
        <v>0</v>
      </c>
      <c r="L1954" s="61" t="s">
        <v>4779</v>
      </c>
    </row>
    <row r="1955" spans="6:12">
      <c r="F1955" t="s">
        <v>13439</v>
      </c>
      <c r="G1955" t="s">
        <v>5261</v>
      </c>
      <c r="H1955">
        <v>5</v>
      </c>
      <c r="I1955">
        <v>2</v>
      </c>
      <c r="J1955">
        <v>1</v>
      </c>
      <c r="K1955">
        <v>0</v>
      </c>
      <c r="L1955" s="61" t="s">
        <v>4779</v>
      </c>
    </row>
    <row r="1956" spans="6:12">
      <c r="F1956" t="s">
        <v>13440</v>
      </c>
      <c r="G1956" t="s">
        <v>5473</v>
      </c>
      <c r="H1956">
        <v>4</v>
      </c>
      <c r="I1956">
        <v>3</v>
      </c>
      <c r="J1956">
        <v>1</v>
      </c>
      <c r="K1956">
        <v>0</v>
      </c>
      <c r="L1956" s="61" t="s">
        <v>4806</v>
      </c>
    </row>
    <row r="1957" spans="6:12">
      <c r="F1957" t="s">
        <v>13441</v>
      </c>
      <c r="G1957" t="s">
        <v>5607</v>
      </c>
      <c r="H1957">
        <v>4</v>
      </c>
      <c r="I1957">
        <v>3</v>
      </c>
      <c r="J1957">
        <v>1</v>
      </c>
      <c r="K1957">
        <v>0</v>
      </c>
      <c r="L1957" s="61" t="s">
        <v>4779</v>
      </c>
    </row>
    <row r="1958" spans="6:12">
      <c r="F1958" t="s">
        <v>13442</v>
      </c>
      <c r="G1958" t="s">
        <v>10954</v>
      </c>
      <c r="H1958">
        <v>4</v>
      </c>
      <c r="I1958">
        <v>2</v>
      </c>
      <c r="J1958">
        <v>2</v>
      </c>
      <c r="K1958">
        <v>0</v>
      </c>
      <c r="L1958" s="61" t="s">
        <v>4779</v>
      </c>
    </row>
    <row r="1959" spans="6:12">
      <c r="F1959" t="s">
        <v>13443</v>
      </c>
      <c r="G1959" t="s">
        <v>5596</v>
      </c>
      <c r="H1959">
        <v>6</v>
      </c>
      <c r="I1959">
        <v>2</v>
      </c>
      <c r="J1959">
        <v>0</v>
      </c>
      <c r="K1959">
        <v>0</v>
      </c>
      <c r="L1959" s="61" t="s">
        <v>4779</v>
      </c>
    </row>
    <row r="1960" spans="6:12">
      <c r="F1960" t="s">
        <v>13444</v>
      </c>
      <c r="G1960" t="s">
        <v>5746</v>
      </c>
      <c r="H1960">
        <v>5</v>
      </c>
      <c r="I1960">
        <v>3</v>
      </c>
      <c r="J1960">
        <v>0</v>
      </c>
      <c r="K1960">
        <v>0</v>
      </c>
      <c r="L1960" s="61" t="s">
        <v>4779</v>
      </c>
    </row>
    <row r="1961" spans="6:12">
      <c r="F1961" t="s">
        <v>13445</v>
      </c>
      <c r="G1961" t="s">
        <v>5493</v>
      </c>
      <c r="H1961">
        <v>4</v>
      </c>
      <c r="I1961">
        <v>2</v>
      </c>
      <c r="J1961">
        <v>2</v>
      </c>
      <c r="K1961">
        <v>0</v>
      </c>
      <c r="L1961" s="61" t="s">
        <v>4779</v>
      </c>
    </row>
    <row r="1962" spans="6:12">
      <c r="F1962" t="s">
        <v>13446</v>
      </c>
      <c r="G1962" t="s">
        <v>5537</v>
      </c>
      <c r="H1962">
        <v>4</v>
      </c>
      <c r="I1962">
        <v>3</v>
      </c>
      <c r="J1962">
        <v>1</v>
      </c>
      <c r="K1962">
        <v>0</v>
      </c>
      <c r="L1962" s="61" t="s">
        <v>4779</v>
      </c>
    </row>
    <row r="1963" spans="6:12">
      <c r="F1963" t="s">
        <v>13447</v>
      </c>
      <c r="G1963" t="s">
        <v>11058</v>
      </c>
      <c r="H1963">
        <v>5</v>
      </c>
      <c r="I1963">
        <v>3</v>
      </c>
      <c r="J1963">
        <v>0</v>
      </c>
      <c r="K1963">
        <v>0</v>
      </c>
      <c r="L1963" s="61" t="s">
        <v>4779</v>
      </c>
    </row>
    <row r="1964" spans="6:12">
      <c r="F1964" t="s">
        <v>13448</v>
      </c>
      <c r="G1964" t="s">
        <v>5740</v>
      </c>
      <c r="H1964">
        <v>5</v>
      </c>
      <c r="I1964">
        <v>1</v>
      </c>
      <c r="J1964">
        <v>2</v>
      </c>
      <c r="K1964">
        <v>0</v>
      </c>
      <c r="L1964" s="61" t="s">
        <v>4779</v>
      </c>
    </row>
    <row r="1965" spans="6:12">
      <c r="F1965" t="s">
        <v>13449</v>
      </c>
      <c r="G1965" t="s">
        <v>5073</v>
      </c>
      <c r="H1965">
        <v>5</v>
      </c>
      <c r="I1965">
        <v>1</v>
      </c>
      <c r="J1965">
        <v>2</v>
      </c>
      <c r="K1965">
        <v>0</v>
      </c>
      <c r="L1965" s="61" t="s">
        <v>4779</v>
      </c>
    </row>
    <row r="1966" spans="6:12">
      <c r="F1966" t="s">
        <v>13450</v>
      </c>
      <c r="G1966" t="s">
        <v>13451</v>
      </c>
      <c r="H1966">
        <v>7</v>
      </c>
      <c r="I1966">
        <v>1</v>
      </c>
      <c r="J1966">
        <v>0</v>
      </c>
      <c r="K1966">
        <v>0</v>
      </c>
      <c r="L1966" s="61" t="s">
        <v>4779</v>
      </c>
    </row>
    <row r="1967" spans="6:12">
      <c r="F1967" t="s">
        <v>13452</v>
      </c>
      <c r="G1967" t="s">
        <v>5007</v>
      </c>
      <c r="H1967">
        <v>5</v>
      </c>
      <c r="I1967">
        <v>3</v>
      </c>
      <c r="J1967">
        <v>0</v>
      </c>
      <c r="K1967">
        <v>0</v>
      </c>
      <c r="L1967" s="61" t="s">
        <v>4779</v>
      </c>
    </row>
    <row r="1968" spans="6:12">
      <c r="F1968" t="s">
        <v>13453</v>
      </c>
      <c r="G1968" t="s">
        <v>8802</v>
      </c>
      <c r="H1968">
        <v>6</v>
      </c>
      <c r="I1968">
        <v>1</v>
      </c>
      <c r="J1968">
        <v>1</v>
      </c>
      <c r="K1968">
        <v>0</v>
      </c>
      <c r="L1968" s="61" t="s">
        <v>4779</v>
      </c>
    </row>
    <row r="1969" spans="6:12">
      <c r="F1969" t="s">
        <v>13454</v>
      </c>
      <c r="G1969" t="s">
        <v>5464</v>
      </c>
      <c r="H1969">
        <v>5</v>
      </c>
      <c r="I1969">
        <v>3</v>
      </c>
      <c r="J1969">
        <v>0</v>
      </c>
      <c r="K1969">
        <v>0</v>
      </c>
      <c r="L1969" s="61" t="s">
        <v>4779</v>
      </c>
    </row>
    <row r="1970" spans="6:12">
      <c r="F1970" t="s">
        <v>13455</v>
      </c>
      <c r="G1970" t="s">
        <v>5798</v>
      </c>
      <c r="H1970">
        <v>4</v>
      </c>
      <c r="I1970">
        <v>3</v>
      </c>
      <c r="J1970">
        <v>1</v>
      </c>
      <c r="K1970">
        <v>0</v>
      </c>
      <c r="L1970" s="61" t="s">
        <v>4779</v>
      </c>
    </row>
    <row r="1971" spans="6:12">
      <c r="F1971" t="s">
        <v>13456</v>
      </c>
      <c r="G1971" t="s">
        <v>12788</v>
      </c>
      <c r="H1971">
        <v>5</v>
      </c>
      <c r="I1971">
        <v>1</v>
      </c>
      <c r="J1971">
        <v>2</v>
      </c>
      <c r="K1971">
        <v>0</v>
      </c>
      <c r="L1971" s="61" t="s">
        <v>4810</v>
      </c>
    </row>
    <row r="1972" spans="6:12">
      <c r="F1972" t="s">
        <v>13457</v>
      </c>
      <c r="G1972" t="s">
        <v>5339</v>
      </c>
      <c r="H1972">
        <v>5</v>
      </c>
      <c r="I1972">
        <v>2</v>
      </c>
      <c r="J1972">
        <v>1</v>
      </c>
      <c r="K1972">
        <v>0</v>
      </c>
      <c r="L1972" s="61" t="s">
        <v>4779</v>
      </c>
    </row>
    <row r="1973" spans="6:12">
      <c r="F1973" t="s">
        <v>13458</v>
      </c>
      <c r="G1973" t="s">
        <v>13459</v>
      </c>
      <c r="H1973">
        <v>5</v>
      </c>
      <c r="I1973">
        <v>2</v>
      </c>
      <c r="J1973">
        <v>1</v>
      </c>
      <c r="K1973">
        <v>0</v>
      </c>
      <c r="L1973" s="61" t="s">
        <v>4779</v>
      </c>
    </row>
    <row r="1974" spans="6:12">
      <c r="F1974" t="s">
        <v>13460</v>
      </c>
      <c r="G1974" t="s">
        <v>10963</v>
      </c>
      <c r="H1974">
        <v>5</v>
      </c>
      <c r="I1974">
        <v>3</v>
      </c>
      <c r="J1974">
        <v>0</v>
      </c>
      <c r="K1974">
        <v>0</v>
      </c>
      <c r="L1974" s="61" t="s">
        <v>4779</v>
      </c>
    </row>
    <row r="1975" spans="6:12">
      <c r="F1975" t="s">
        <v>13461</v>
      </c>
      <c r="G1975" t="s">
        <v>11065</v>
      </c>
      <c r="H1975">
        <v>6</v>
      </c>
      <c r="I1975">
        <v>1</v>
      </c>
      <c r="J1975">
        <v>1</v>
      </c>
      <c r="K1975">
        <v>0</v>
      </c>
      <c r="L1975" s="61" t="s">
        <v>4779</v>
      </c>
    </row>
    <row r="1976" spans="6:12">
      <c r="F1976" t="s">
        <v>13462</v>
      </c>
      <c r="G1976" t="s">
        <v>5550</v>
      </c>
      <c r="H1976">
        <v>3</v>
      </c>
      <c r="I1976">
        <v>3</v>
      </c>
      <c r="J1976">
        <v>2</v>
      </c>
      <c r="K1976">
        <v>0</v>
      </c>
      <c r="L1976" s="61" t="s">
        <v>4779</v>
      </c>
    </row>
    <row r="1977" spans="6:12">
      <c r="F1977" t="s">
        <v>13463</v>
      </c>
      <c r="G1977" t="s">
        <v>5742</v>
      </c>
      <c r="H1977">
        <v>3</v>
      </c>
      <c r="I1977">
        <v>3</v>
      </c>
      <c r="J1977">
        <v>2</v>
      </c>
      <c r="K1977">
        <v>0</v>
      </c>
      <c r="L1977" s="61" t="s">
        <v>4779</v>
      </c>
    </row>
    <row r="1978" spans="6:12">
      <c r="F1978" t="s">
        <v>13464</v>
      </c>
      <c r="G1978" t="s">
        <v>5805</v>
      </c>
      <c r="H1978">
        <v>5</v>
      </c>
      <c r="I1978">
        <v>3</v>
      </c>
      <c r="J1978">
        <v>0</v>
      </c>
      <c r="K1978">
        <v>0</v>
      </c>
      <c r="L1978" s="61" t="s">
        <v>4779</v>
      </c>
    </row>
    <row r="1979" spans="6:12">
      <c r="F1979" t="s">
        <v>13465</v>
      </c>
      <c r="G1979" t="s">
        <v>5719</v>
      </c>
      <c r="H1979">
        <v>5</v>
      </c>
      <c r="I1979">
        <v>2</v>
      </c>
      <c r="J1979">
        <v>1</v>
      </c>
      <c r="K1979">
        <v>0</v>
      </c>
      <c r="L1979" s="61" t="s">
        <v>4779</v>
      </c>
    </row>
    <row r="1980" spans="6:12">
      <c r="F1980" t="s">
        <v>13466</v>
      </c>
      <c r="G1980" t="s">
        <v>5084</v>
      </c>
      <c r="H1980">
        <v>6</v>
      </c>
      <c r="I1980">
        <v>2</v>
      </c>
      <c r="J1980">
        <v>0</v>
      </c>
      <c r="K1980">
        <v>0</v>
      </c>
      <c r="L1980" s="61" t="s">
        <v>4779</v>
      </c>
    </row>
    <row r="1981" spans="6:12">
      <c r="F1981" t="s">
        <v>13467</v>
      </c>
      <c r="G1981" t="s">
        <v>10954</v>
      </c>
      <c r="H1981">
        <v>3</v>
      </c>
      <c r="I1981">
        <v>3</v>
      </c>
      <c r="J1981">
        <v>2</v>
      </c>
      <c r="K1981">
        <v>0</v>
      </c>
      <c r="L1981" s="61" t="s">
        <v>4779</v>
      </c>
    </row>
    <row r="1982" spans="6:12">
      <c r="F1982" t="s">
        <v>13468</v>
      </c>
      <c r="G1982" t="s">
        <v>13469</v>
      </c>
      <c r="H1982">
        <v>6</v>
      </c>
      <c r="I1982">
        <v>2</v>
      </c>
      <c r="J1982">
        <v>0</v>
      </c>
      <c r="K1982">
        <v>0</v>
      </c>
      <c r="L1982" s="61" t="s">
        <v>4779</v>
      </c>
    </row>
    <row r="1983" spans="6:12">
      <c r="F1983" t="s">
        <v>13470</v>
      </c>
      <c r="G1983" t="s">
        <v>13471</v>
      </c>
      <c r="H1983">
        <v>6</v>
      </c>
      <c r="I1983">
        <v>2</v>
      </c>
      <c r="J1983">
        <v>0</v>
      </c>
      <c r="K1983">
        <v>0</v>
      </c>
      <c r="L1983" s="61" t="s">
        <v>4779</v>
      </c>
    </row>
    <row r="1984" spans="6:12">
      <c r="F1984" t="s">
        <v>13472</v>
      </c>
      <c r="G1984" t="s">
        <v>13473</v>
      </c>
      <c r="H1984">
        <v>5</v>
      </c>
      <c r="I1984">
        <v>3</v>
      </c>
      <c r="J1984">
        <v>0</v>
      </c>
      <c r="K1984">
        <v>0</v>
      </c>
      <c r="L1984" s="61" t="s">
        <v>4779</v>
      </c>
    </row>
    <row r="1985" spans="6:12">
      <c r="F1985" t="s">
        <v>13474</v>
      </c>
      <c r="G1985" t="s">
        <v>10941</v>
      </c>
      <c r="H1985">
        <v>5</v>
      </c>
      <c r="I1985">
        <v>1</v>
      </c>
      <c r="J1985">
        <v>2</v>
      </c>
      <c r="K1985">
        <v>0</v>
      </c>
      <c r="L1985" s="61" t="s">
        <v>4779</v>
      </c>
    </row>
    <row r="1986" spans="6:12">
      <c r="F1986" t="s">
        <v>13475</v>
      </c>
      <c r="G1986" t="s">
        <v>10944</v>
      </c>
      <c r="H1986">
        <v>7</v>
      </c>
      <c r="I1986">
        <v>1</v>
      </c>
      <c r="J1986">
        <v>0</v>
      </c>
      <c r="K1986">
        <v>0</v>
      </c>
      <c r="L1986" s="61" t="s">
        <v>4806</v>
      </c>
    </row>
    <row r="1987" spans="6:12">
      <c r="F1987" t="s">
        <v>13476</v>
      </c>
      <c r="G1987" t="s">
        <v>10999</v>
      </c>
      <c r="H1987">
        <v>7</v>
      </c>
      <c r="I1987">
        <v>1</v>
      </c>
      <c r="J1987">
        <v>0</v>
      </c>
      <c r="K1987">
        <v>0</v>
      </c>
      <c r="L1987" s="61" t="s">
        <v>4779</v>
      </c>
    </row>
    <row r="1988" spans="6:12">
      <c r="F1988" t="s">
        <v>13477</v>
      </c>
      <c r="G1988" t="s">
        <v>5847</v>
      </c>
      <c r="H1988">
        <v>7</v>
      </c>
      <c r="I1988">
        <v>1</v>
      </c>
      <c r="J1988">
        <v>0</v>
      </c>
      <c r="K1988">
        <v>0</v>
      </c>
      <c r="L1988" s="61" t="s">
        <v>4779</v>
      </c>
    </row>
    <row r="1989" spans="6:12">
      <c r="F1989" t="s">
        <v>13478</v>
      </c>
      <c r="G1989" t="s">
        <v>7861</v>
      </c>
      <c r="H1989">
        <v>5</v>
      </c>
      <c r="I1989">
        <v>2</v>
      </c>
      <c r="J1989">
        <v>1</v>
      </c>
      <c r="K1989">
        <v>0</v>
      </c>
      <c r="L1989" s="61" t="s">
        <v>4779</v>
      </c>
    </row>
    <row r="1990" spans="6:12">
      <c r="F1990" t="s">
        <v>13479</v>
      </c>
      <c r="G1990" t="s">
        <v>11070</v>
      </c>
      <c r="H1990">
        <v>6</v>
      </c>
      <c r="I1990">
        <v>2</v>
      </c>
      <c r="J1990">
        <v>0</v>
      </c>
      <c r="K1990">
        <v>0</v>
      </c>
      <c r="L1990" s="61" t="s">
        <v>4779</v>
      </c>
    </row>
    <row r="1991" spans="6:12">
      <c r="F1991" t="s">
        <v>13480</v>
      </c>
      <c r="G1991" t="s">
        <v>13481</v>
      </c>
      <c r="H1991">
        <v>6</v>
      </c>
      <c r="I1991">
        <v>1</v>
      </c>
      <c r="J1991">
        <v>1</v>
      </c>
      <c r="K1991">
        <v>0</v>
      </c>
      <c r="L1991" s="61" t="s">
        <v>4779</v>
      </c>
    </row>
    <row r="1992" spans="6:12">
      <c r="F1992" t="s">
        <v>13482</v>
      </c>
      <c r="G1992" t="s">
        <v>5352</v>
      </c>
      <c r="H1992">
        <v>5</v>
      </c>
      <c r="I1992">
        <v>3</v>
      </c>
      <c r="J1992">
        <v>0</v>
      </c>
      <c r="K1992">
        <v>0</v>
      </c>
      <c r="L1992" s="61" t="s">
        <v>4779</v>
      </c>
    </row>
    <row r="1993" spans="6:12">
      <c r="F1993" t="s">
        <v>13483</v>
      </c>
      <c r="G1993" t="s">
        <v>5732</v>
      </c>
      <c r="H1993">
        <v>5</v>
      </c>
      <c r="I1993">
        <v>3</v>
      </c>
      <c r="J1993">
        <v>0</v>
      </c>
      <c r="K1993">
        <v>0</v>
      </c>
      <c r="L1993" s="61" t="s">
        <v>4779</v>
      </c>
    </row>
    <row r="1994" spans="6:12">
      <c r="F1994" t="s">
        <v>13484</v>
      </c>
      <c r="G1994" t="s">
        <v>13485</v>
      </c>
      <c r="H1994">
        <v>6</v>
      </c>
      <c r="I1994">
        <v>2</v>
      </c>
      <c r="J1994">
        <v>0</v>
      </c>
      <c r="K1994">
        <v>0</v>
      </c>
      <c r="L1994" s="61" t="s">
        <v>4779</v>
      </c>
    </row>
    <row r="1995" spans="6:12">
      <c r="F1995" t="s">
        <v>13486</v>
      </c>
      <c r="G1995" t="s">
        <v>5448</v>
      </c>
      <c r="H1995">
        <v>3</v>
      </c>
      <c r="I1995">
        <v>3</v>
      </c>
      <c r="J1995">
        <v>2</v>
      </c>
      <c r="K1995">
        <v>0</v>
      </c>
      <c r="L1995" s="61" t="s">
        <v>4779</v>
      </c>
    </row>
    <row r="1996" spans="6:12">
      <c r="F1996" t="s">
        <v>13487</v>
      </c>
      <c r="G1996" t="s">
        <v>7502</v>
      </c>
      <c r="H1996">
        <v>5</v>
      </c>
      <c r="I1996">
        <v>3</v>
      </c>
      <c r="J1996">
        <v>0</v>
      </c>
      <c r="K1996">
        <v>0</v>
      </c>
      <c r="L1996" s="61" t="s">
        <v>4779</v>
      </c>
    </row>
    <row r="1997" spans="6:12">
      <c r="F1997" t="s">
        <v>13488</v>
      </c>
      <c r="G1997" t="s">
        <v>4975</v>
      </c>
      <c r="H1997">
        <v>5</v>
      </c>
      <c r="I1997">
        <v>1</v>
      </c>
      <c r="J1997">
        <v>2</v>
      </c>
      <c r="K1997">
        <v>0</v>
      </c>
      <c r="L1997" s="61" t="s">
        <v>4779</v>
      </c>
    </row>
    <row r="1998" spans="6:12">
      <c r="F1998" t="s">
        <v>13489</v>
      </c>
      <c r="G1998" t="s">
        <v>13490</v>
      </c>
      <c r="H1998">
        <v>6</v>
      </c>
      <c r="I1998">
        <v>2</v>
      </c>
      <c r="J1998">
        <v>0</v>
      </c>
      <c r="K1998">
        <v>0</v>
      </c>
      <c r="L1998" s="61" t="s">
        <v>4779</v>
      </c>
    </row>
    <row r="1999" spans="6:12">
      <c r="F1999" t="s">
        <v>13491</v>
      </c>
      <c r="G1999" t="s">
        <v>13492</v>
      </c>
      <c r="H1999">
        <v>6</v>
      </c>
      <c r="I1999">
        <v>2</v>
      </c>
      <c r="J1999">
        <v>0</v>
      </c>
      <c r="K1999">
        <v>0</v>
      </c>
      <c r="L1999" s="61" t="s">
        <v>4779</v>
      </c>
    </row>
    <row r="2000" spans="6:12">
      <c r="F2000" t="s">
        <v>13493</v>
      </c>
      <c r="G2000" t="s">
        <v>4971</v>
      </c>
      <c r="H2000">
        <v>6</v>
      </c>
      <c r="I2000">
        <v>2</v>
      </c>
      <c r="J2000">
        <v>0</v>
      </c>
      <c r="K2000">
        <v>0</v>
      </c>
      <c r="L2000" s="61" t="s">
        <v>4779</v>
      </c>
    </row>
    <row r="2001" spans="6:12">
      <c r="F2001" t="s">
        <v>13494</v>
      </c>
      <c r="G2001" t="s">
        <v>5476</v>
      </c>
      <c r="H2001">
        <v>4</v>
      </c>
      <c r="I2001">
        <v>2</v>
      </c>
      <c r="J2001">
        <v>2</v>
      </c>
      <c r="K2001">
        <v>0</v>
      </c>
      <c r="L2001" s="61" t="s">
        <v>4779</v>
      </c>
    </row>
    <row r="2002" spans="6:12">
      <c r="F2002" t="s">
        <v>13495</v>
      </c>
      <c r="G2002" t="s">
        <v>10932</v>
      </c>
      <c r="H2002">
        <v>5</v>
      </c>
      <c r="I2002">
        <v>3</v>
      </c>
      <c r="J2002">
        <v>0</v>
      </c>
      <c r="K2002">
        <v>0</v>
      </c>
      <c r="L2002" s="61" t="s">
        <v>4779</v>
      </c>
    </row>
    <row r="2003" spans="6:12">
      <c r="F2003" t="s">
        <v>13496</v>
      </c>
      <c r="G2003" t="s">
        <v>5112</v>
      </c>
      <c r="H2003">
        <v>5</v>
      </c>
      <c r="I2003">
        <v>3</v>
      </c>
      <c r="J2003">
        <v>0</v>
      </c>
      <c r="K2003">
        <v>0</v>
      </c>
      <c r="L2003" s="61" t="s">
        <v>4806</v>
      </c>
    </row>
    <row r="2004" spans="6:12">
      <c r="F2004" t="s">
        <v>13497</v>
      </c>
      <c r="G2004" t="s">
        <v>5043</v>
      </c>
      <c r="H2004">
        <v>4</v>
      </c>
      <c r="I2004">
        <v>2</v>
      </c>
      <c r="J2004">
        <v>2</v>
      </c>
      <c r="K2004">
        <v>0</v>
      </c>
      <c r="L2004" s="61" t="s">
        <v>4779</v>
      </c>
    </row>
    <row r="2005" spans="6:12">
      <c r="F2005" t="s">
        <v>13498</v>
      </c>
      <c r="G2005" t="s">
        <v>4968</v>
      </c>
      <c r="H2005">
        <v>5</v>
      </c>
      <c r="I2005">
        <v>1</v>
      </c>
      <c r="J2005">
        <v>2</v>
      </c>
      <c r="K2005">
        <v>0</v>
      </c>
      <c r="L2005" s="61" t="s">
        <v>4779</v>
      </c>
    </row>
    <row r="2006" spans="6:12">
      <c r="F2006" t="s">
        <v>13499</v>
      </c>
      <c r="G2006" t="s">
        <v>8369</v>
      </c>
      <c r="H2006">
        <v>6</v>
      </c>
      <c r="I2006">
        <v>1</v>
      </c>
      <c r="J2006">
        <v>1</v>
      </c>
      <c r="K2006">
        <v>0</v>
      </c>
      <c r="L2006" s="61" t="s">
        <v>4779</v>
      </c>
    </row>
    <row r="2007" spans="6:12">
      <c r="F2007" t="s">
        <v>13500</v>
      </c>
      <c r="G2007" t="s">
        <v>5448</v>
      </c>
      <c r="H2007">
        <v>3</v>
      </c>
      <c r="I2007">
        <v>3</v>
      </c>
      <c r="J2007">
        <v>2</v>
      </c>
      <c r="K2007">
        <v>0</v>
      </c>
      <c r="L2007" s="61" t="s">
        <v>4779</v>
      </c>
    </row>
    <row r="2008" spans="6:12">
      <c r="F2008" t="s">
        <v>13501</v>
      </c>
      <c r="G2008" t="s">
        <v>5586</v>
      </c>
      <c r="H2008">
        <v>3</v>
      </c>
      <c r="I2008">
        <v>3</v>
      </c>
      <c r="J2008">
        <v>2</v>
      </c>
      <c r="K2008">
        <v>0</v>
      </c>
      <c r="L2008" s="61" t="s">
        <v>4779</v>
      </c>
    </row>
    <row r="2009" spans="6:12">
      <c r="F2009" t="s">
        <v>13502</v>
      </c>
      <c r="G2009" t="s">
        <v>4677</v>
      </c>
      <c r="H2009">
        <v>3</v>
      </c>
      <c r="I2009">
        <v>3</v>
      </c>
      <c r="J2009">
        <v>2</v>
      </c>
      <c r="K2009">
        <v>0</v>
      </c>
      <c r="L2009" s="61" t="s">
        <v>4806</v>
      </c>
    </row>
    <row r="2010" spans="6:12">
      <c r="F2010" t="s">
        <v>13503</v>
      </c>
      <c r="G2010" t="s">
        <v>10974</v>
      </c>
      <c r="H2010">
        <v>7</v>
      </c>
      <c r="I2010">
        <v>1</v>
      </c>
      <c r="J2010">
        <v>0</v>
      </c>
      <c r="K2010">
        <v>0</v>
      </c>
      <c r="L2010" s="61" t="s">
        <v>4779</v>
      </c>
    </row>
    <row r="2011" spans="6:12">
      <c r="F2011" t="s">
        <v>13504</v>
      </c>
      <c r="G2011" t="s">
        <v>13505</v>
      </c>
      <c r="H2011">
        <v>4</v>
      </c>
      <c r="I2011">
        <v>3</v>
      </c>
      <c r="J2011">
        <v>1</v>
      </c>
      <c r="K2011">
        <v>0</v>
      </c>
      <c r="L2011" s="61" t="s">
        <v>4779</v>
      </c>
    </row>
    <row r="2012" spans="6:12">
      <c r="F2012" t="s">
        <v>13506</v>
      </c>
      <c r="G2012" t="s">
        <v>5460</v>
      </c>
      <c r="H2012">
        <v>4</v>
      </c>
      <c r="I2012">
        <v>2</v>
      </c>
      <c r="J2012">
        <v>2</v>
      </c>
      <c r="K2012">
        <v>0</v>
      </c>
      <c r="L2012" s="61" t="s">
        <v>4779</v>
      </c>
    </row>
    <row r="2013" spans="6:12">
      <c r="F2013" t="s">
        <v>13507</v>
      </c>
      <c r="G2013" t="s">
        <v>5795</v>
      </c>
      <c r="H2013">
        <v>7</v>
      </c>
      <c r="I2013">
        <v>1</v>
      </c>
      <c r="J2013">
        <v>0</v>
      </c>
      <c r="K2013">
        <v>0</v>
      </c>
      <c r="L2013" s="61" t="s">
        <v>4779</v>
      </c>
    </row>
    <row r="2014" spans="6:12">
      <c r="F2014" t="s">
        <v>13508</v>
      </c>
      <c r="G2014" t="s">
        <v>5436</v>
      </c>
      <c r="H2014">
        <v>3</v>
      </c>
      <c r="I2014">
        <v>3</v>
      </c>
      <c r="J2014">
        <v>2</v>
      </c>
      <c r="K2014">
        <v>0</v>
      </c>
      <c r="L2014" s="61" t="s">
        <v>4779</v>
      </c>
    </row>
    <row r="2015" spans="6:12">
      <c r="F2015" t="s">
        <v>13509</v>
      </c>
      <c r="G2015" t="s">
        <v>5311</v>
      </c>
      <c r="H2015">
        <v>5</v>
      </c>
      <c r="I2015">
        <v>3</v>
      </c>
      <c r="J2015">
        <v>0</v>
      </c>
      <c r="K2015">
        <v>0</v>
      </c>
      <c r="L2015" s="61" t="s">
        <v>4779</v>
      </c>
    </row>
    <row r="2016" spans="6:12">
      <c r="F2016" t="s">
        <v>13510</v>
      </c>
      <c r="G2016" t="s">
        <v>4880</v>
      </c>
      <c r="H2016">
        <v>4</v>
      </c>
      <c r="I2016">
        <v>2</v>
      </c>
      <c r="J2016">
        <v>2</v>
      </c>
      <c r="K2016">
        <v>0</v>
      </c>
      <c r="L2016" s="61" t="s">
        <v>4779</v>
      </c>
    </row>
    <row r="2017" spans="6:12">
      <c r="F2017" t="s">
        <v>13511</v>
      </c>
      <c r="G2017" t="s">
        <v>5300</v>
      </c>
      <c r="H2017">
        <v>5</v>
      </c>
      <c r="I2017">
        <v>3</v>
      </c>
      <c r="J2017">
        <v>0</v>
      </c>
      <c r="K2017">
        <v>0</v>
      </c>
      <c r="L2017" s="61" t="s">
        <v>4779</v>
      </c>
    </row>
    <row r="2018" spans="6:12">
      <c r="F2018" t="s">
        <v>13512</v>
      </c>
      <c r="G2018" t="s">
        <v>13513</v>
      </c>
      <c r="H2018">
        <v>6</v>
      </c>
      <c r="I2018">
        <v>1</v>
      </c>
      <c r="J2018">
        <v>1</v>
      </c>
      <c r="K2018">
        <v>0</v>
      </c>
      <c r="L2018" s="61" t="s">
        <v>4779</v>
      </c>
    </row>
    <row r="2019" spans="6:12">
      <c r="F2019" t="s">
        <v>13514</v>
      </c>
      <c r="G2019" t="s">
        <v>13515</v>
      </c>
      <c r="H2019">
        <v>6</v>
      </c>
      <c r="I2019">
        <v>1</v>
      </c>
      <c r="J2019">
        <v>1</v>
      </c>
      <c r="K2019">
        <v>0</v>
      </c>
      <c r="L2019" s="61" t="s">
        <v>4779</v>
      </c>
    </row>
    <row r="2020" spans="6:12">
      <c r="F2020" t="s">
        <v>13516</v>
      </c>
      <c r="G2020" t="s">
        <v>13517</v>
      </c>
      <c r="H2020">
        <v>7</v>
      </c>
      <c r="I2020">
        <v>1</v>
      </c>
      <c r="J2020">
        <v>0</v>
      </c>
      <c r="K2020">
        <v>0</v>
      </c>
      <c r="L2020" s="61" t="s">
        <v>4779</v>
      </c>
    </row>
    <row r="2021" spans="6:12">
      <c r="F2021" t="s">
        <v>13518</v>
      </c>
      <c r="G2021" t="s">
        <v>10940</v>
      </c>
      <c r="H2021">
        <v>7</v>
      </c>
      <c r="I2021">
        <v>1</v>
      </c>
      <c r="J2021">
        <v>0</v>
      </c>
      <c r="K2021">
        <v>0</v>
      </c>
      <c r="L2021" s="61" t="s">
        <v>4779</v>
      </c>
    </row>
    <row r="2022" spans="6:12">
      <c r="F2022" t="s">
        <v>13519</v>
      </c>
      <c r="G2022" t="s">
        <v>13520</v>
      </c>
      <c r="H2022">
        <v>6</v>
      </c>
      <c r="I2022">
        <v>2</v>
      </c>
      <c r="J2022">
        <v>0</v>
      </c>
      <c r="K2022">
        <v>0</v>
      </c>
      <c r="L2022" s="61" t="s">
        <v>4779</v>
      </c>
    </row>
    <row r="2023" spans="6:12">
      <c r="F2023" t="s">
        <v>13521</v>
      </c>
      <c r="G2023" t="s">
        <v>5531</v>
      </c>
      <c r="H2023">
        <v>5</v>
      </c>
      <c r="I2023">
        <v>3</v>
      </c>
      <c r="J2023">
        <v>0</v>
      </c>
      <c r="K2023">
        <v>0</v>
      </c>
      <c r="L2023" s="61" t="s">
        <v>4779</v>
      </c>
    </row>
    <row r="2024" spans="6:12">
      <c r="F2024" t="s">
        <v>13522</v>
      </c>
      <c r="G2024" t="s">
        <v>5002</v>
      </c>
      <c r="H2024">
        <v>5</v>
      </c>
      <c r="I2024">
        <v>3</v>
      </c>
      <c r="J2024">
        <v>0</v>
      </c>
      <c r="K2024">
        <v>0</v>
      </c>
      <c r="L2024" s="61" t="s">
        <v>4779</v>
      </c>
    </row>
    <row r="2025" spans="6:12">
      <c r="F2025" t="s">
        <v>13523</v>
      </c>
      <c r="G2025" t="s">
        <v>12700</v>
      </c>
      <c r="H2025">
        <v>5</v>
      </c>
      <c r="I2025">
        <v>2</v>
      </c>
      <c r="J2025">
        <v>1</v>
      </c>
      <c r="K2025">
        <v>0</v>
      </c>
      <c r="L2025" s="61" t="s">
        <v>4779</v>
      </c>
    </row>
    <row r="2026" spans="6:12">
      <c r="F2026" t="s">
        <v>13524</v>
      </c>
      <c r="G2026" t="s">
        <v>13525</v>
      </c>
      <c r="H2026">
        <v>6</v>
      </c>
      <c r="I2026">
        <v>2</v>
      </c>
      <c r="J2026">
        <v>0</v>
      </c>
      <c r="K2026">
        <v>0</v>
      </c>
      <c r="L2026" s="61" t="s">
        <v>4779</v>
      </c>
    </row>
    <row r="2027" spans="6:12">
      <c r="F2027" t="s">
        <v>13526</v>
      </c>
      <c r="G2027" t="s">
        <v>5792</v>
      </c>
      <c r="H2027">
        <v>5</v>
      </c>
      <c r="I2027">
        <v>2</v>
      </c>
      <c r="J2027">
        <v>1</v>
      </c>
      <c r="K2027">
        <v>0</v>
      </c>
      <c r="L2027" s="61" t="s">
        <v>4779</v>
      </c>
    </row>
    <row r="2028" spans="6:12">
      <c r="F2028" t="s">
        <v>13527</v>
      </c>
      <c r="G2028" t="s">
        <v>5784</v>
      </c>
      <c r="H2028">
        <v>4</v>
      </c>
      <c r="I2028">
        <v>3</v>
      </c>
      <c r="J2028">
        <v>1</v>
      </c>
      <c r="K2028">
        <v>0</v>
      </c>
      <c r="L2028" s="61" t="s">
        <v>4779</v>
      </c>
    </row>
    <row r="2029" spans="6:12">
      <c r="F2029" t="s">
        <v>13528</v>
      </c>
      <c r="G2029" t="s">
        <v>13529</v>
      </c>
      <c r="H2029">
        <v>6</v>
      </c>
      <c r="I2029">
        <v>2</v>
      </c>
      <c r="J2029">
        <v>0</v>
      </c>
      <c r="K2029">
        <v>0</v>
      </c>
      <c r="L2029" s="61" t="s">
        <v>4779</v>
      </c>
    </row>
    <row r="2030" spans="6:12">
      <c r="F2030" t="s">
        <v>13530</v>
      </c>
      <c r="G2030" t="s">
        <v>5542</v>
      </c>
      <c r="H2030">
        <v>5</v>
      </c>
      <c r="I2030">
        <v>1</v>
      </c>
      <c r="J2030">
        <v>2</v>
      </c>
      <c r="K2030">
        <v>0</v>
      </c>
      <c r="L2030" s="61" t="s">
        <v>4779</v>
      </c>
    </row>
    <row r="2031" spans="6:12">
      <c r="F2031" t="s">
        <v>13531</v>
      </c>
      <c r="G2031" t="s">
        <v>13532</v>
      </c>
      <c r="H2031">
        <v>4</v>
      </c>
      <c r="I2031">
        <v>2</v>
      </c>
      <c r="J2031">
        <v>2</v>
      </c>
      <c r="K2031">
        <v>0</v>
      </c>
      <c r="L2031" s="61" t="s">
        <v>4779</v>
      </c>
    </row>
    <row r="2032" spans="6:12">
      <c r="F2032" t="s">
        <v>13533</v>
      </c>
      <c r="G2032" t="s">
        <v>13534</v>
      </c>
      <c r="H2032">
        <v>5</v>
      </c>
      <c r="I2032">
        <v>3</v>
      </c>
      <c r="J2032">
        <v>0</v>
      </c>
      <c r="K2032">
        <v>0</v>
      </c>
      <c r="L2032" s="61" t="s">
        <v>4779</v>
      </c>
    </row>
    <row r="2033" spans="6:12">
      <c r="F2033" t="s">
        <v>13535</v>
      </c>
      <c r="G2033" t="s">
        <v>5546</v>
      </c>
      <c r="H2033">
        <v>3</v>
      </c>
      <c r="I2033">
        <v>3</v>
      </c>
      <c r="J2033">
        <v>2</v>
      </c>
      <c r="K2033">
        <v>0</v>
      </c>
      <c r="L2033" s="61" t="s">
        <v>4779</v>
      </c>
    </row>
    <row r="2034" spans="6:12">
      <c r="F2034" t="s">
        <v>13536</v>
      </c>
      <c r="G2034" t="s">
        <v>5090</v>
      </c>
      <c r="H2034">
        <v>3</v>
      </c>
      <c r="I2034">
        <v>3</v>
      </c>
      <c r="J2034">
        <v>2</v>
      </c>
      <c r="K2034">
        <v>0</v>
      </c>
      <c r="L2034" s="61" t="s">
        <v>4779</v>
      </c>
    </row>
    <row r="2035" spans="6:12">
      <c r="F2035" t="s">
        <v>13537</v>
      </c>
      <c r="G2035" t="s">
        <v>7626</v>
      </c>
      <c r="H2035">
        <v>6</v>
      </c>
      <c r="I2035">
        <v>2</v>
      </c>
      <c r="J2035">
        <v>0</v>
      </c>
      <c r="K2035">
        <v>0</v>
      </c>
      <c r="L2035" s="61" t="s">
        <v>4779</v>
      </c>
    </row>
    <row r="2036" spans="6:12">
      <c r="F2036" t="s">
        <v>13538</v>
      </c>
      <c r="G2036" t="s">
        <v>13539</v>
      </c>
      <c r="H2036">
        <v>7</v>
      </c>
      <c r="I2036">
        <v>1</v>
      </c>
      <c r="J2036">
        <v>0</v>
      </c>
      <c r="K2036">
        <v>0</v>
      </c>
      <c r="L2036" s="61" t="s">
        <v>4779</v>
      </c>
    </row>
    <row r="2037" spans="6:12">
      <c r="F2037" t="s">
        <v>13540</v>
      </c>
      <c r="G2037" t="s">
        <v>13541</v>
      </c>
      <c r="H2037">
        <v>4</v>
      </c>
      <c r="I2037">
        <v>3</v>
      </c>
      <c r="J2037">
        <v>1</v>
      </c>
      <c r="K2037">
        <v>0</v>
      </c>
      <c r="L2037" s="61" t="s">
        <v>4807</v>
      </c>
    </row>
    <row r="2038" spans="6:12">
      <c r="F2038" t="s">
        <v>13542</v>
      </c>
      <c r="G2038" t="s">
        <v>13543</v>
      </c>
      <c r="H2038">
        <v>6</v>
      </c>
      <c r="I2038">
        <v>2</v>
      </c>
      <c r="J2038">
        <v>0</v>
      </c>
      <c r="K2038">
        <v>0</v>
      </c>
      <c r="L2038" s="61" t="s">
        <v>4779</v>
      </c>
    </row>
    <row r="2039" spans="6:12">
      <c r="F2039" t="s">
        <v>13544</v>
      </c>
      <c r="G2039" t="s">
        <v>5557</v>
      </c>
      <c r="H2039">
        <v>4</v>
      </c>
      <c r="I2039">
        <v>2</v>
      </c>
      <c r="J2039">
        <v>2</v>
      </c>
      <c r="K2039">
        <v>0</v>
      </c>
      <c r="L2039" s="61" t="s">
        <v>4779</v>
      </c>
    </row>
    <row r="2040" spans="6:12">
      <c r="F2040" t="s">
        <v>13545</v>
      </c>
      <c r="G2040" t="s">
        <v>6920</v>
      </c>
      <c r="H2040">
        <v>4</v>
      </c>
      <c r="I2040">
        <v>3</v>
      </c>
      <c r="J2040">
        <v>1</v>
      </c>
      <c r="K2040">
        <v>0</v>
      </c>
      <c r="L2040" s="61" t="s">
        <v>4810</v>
      </c>
    </row>
    <row r="2041" spans="6:12">
      <c r="F2041" t="s">
        <v>13546</v>
      </c>
      <c r="G2041" t="s">
        <v>12269</v>
      </c>
      <c r="H2041">
        <v>5</v>
      </c>
      <c r="I2041">
        <v>2</v>
      </c>
      <c r="J2041">
        <v>1</v>
      </c>
      <c r="K2041">
        <v>0</v>
      </c>
      <c r="L2041" s="61" t="s">
        <v>4809</v>
      </c>
    </row>
    <row r="2042" spans="6:12">
      <c r="F2042" t="s">
        <v>13547</v>
      </c>
      <c r="G2042" t="s">
        <v>5566</v>
      </c>
      <c r="H2042">
        <v>4</v>
      </c>
      <c r="I2042">
        <v>2</v>
      </c>
      <c r="J2042">
        <v>2</v>
      </c>
      <c r="K2042">
        <v>0</v>
      </c>
      <c r="L2042" s="61" t="s">
        <v>4779</v>
      </c>
    </row>
    <row r="2043" spans="6:12">
      <c r="F2043" t="s">
        <v>13548</v>
      </c>
      <c r="G2043" t="s">
        <v>7970</v>
      </c>
      <c r="H2043">
        <v>4</v>
      </c>
      <c r="I2043">
        <v>3</v>
      </c>
      <c r="J2043">
        <v>1</v>
      </c>
      <c r="K2043">
        <v>0</v>
      </c>
      <c r="L2043" s="61" t="s">
        <v>4779</v>
      </c>
    </row>
    <row r="2044" spans="6:12">
      <c r="F2044" t="s">
        <v>13549</v>
      </c>
      <c r="G2044" t="s">
        <v>13550</v>
      </c>
      <c r="H2044">
        <v>4</v>
      </c>
      <c r="I2044">
        <v>3</v>
      </c>
      <c r="J2044">
        <v>1</v>
      </c>
      <c r="K2044">
        <v>0</v>
      </c>
      <c r="L2044" s="61" t="s">
        <v>4779</v>
      </c>
    </row>
    <row r="2045" spans="6:12">
      <c r="F2045" t="s">
        <v>13551</v>
      </c>
      <c r="G2045" t="s">
        <v>5141</v>
      </c>
      <c r="H2045">
        <v>5</v>
      </c>
      <c r="I2045">
        <v>3</v>
      </c>
      <c r="J2045">
        <v>0</v>
      </c>
      <c r="K2045">
        <v>0</v>
      </c>
      <c r="L2045" s="61" t="s">
        <v>4779</v>
      </c>
    </row>
    <row r="2046" spans="6:12">
      <c r="F2046" t="s">
        <v>13552</v>
      </c>
      <c r="G2046" t="s">
        <v>7621</v>
      </c>
      <c r="H2046">
        <v>6</v>
      </c>
      <c r="I2046">
        <v>2</v>
      </c>
      <c r="J2046">
        <v>0</v>
      </c>
      <c r="K2046">
        <v>0</v>
      </c>
      <c r="L2046" s="61" t="s">
        <v>4779</v>
      </c>
    </row>
    <row r="2047" spans="6:12">
      <c r="F2047" t="s">
        <v>13553</v>
      </c>
      <c r="G2047" t="s">
        <v>7710</v>
      </c>
      <c r="H2047">
        <v>6</v>
      </c>
      <c r="I2047">
        <v>1</v>
      </c>
      <c r="J2047">
        <v>1</v>
      </c>
      <c r="K2047">
        <v>0</v>
      </c>
      <c r="L2047" s="61" t="s">
        <v>4779</v>
      </c>
    </row>
    <row r="2048" spans="6:12">
      <c r="F2048" t="s">
        <v>13554</v>
      </c>
      <c r="G2048" t="s">
        <v>7944</v>
      </c>
      <c r="H2048">
        <v>4</v>
      </c>
      <c r="I2048">
        <v>2</v>
      </c>
      <c r="J2048">
        <v>2</v>
      </c>
      <c r="K2048">
        <v>0</v>
      </c>
      <c r="L2048" s="61" t="s">
        <v>4779</v>
      </c>
    </row>
    <row r="2049" spans="6:12">
      <c r="F2049" t="s">
        <v>13555</v>
      </c>
      <c r="G2049" t="s">
        <v>5758</v>
      </c>
      <c r="H2049">
        <v>5</v>
      </c>
      <c r="I2049">
        <v>3</v>
      </c>
      <c r="J2049">
        <v>0</v>
      </c>
      <c r="K2049">
        <v>0</v>
      </c>
      <c r="L2049" s="61" t="s">
        <v>4779</v>
      </c>
    </row>
    <row r="2050" spans="6:12">
      <c r="F2050" t="s">
        <v>13556</v>
      </c>
      <c r="G2050" t="s">
        <v>4930</v>
      </c>
      <c r="H2050">
        <v>5</v>
      </c>
      <c r="I2050">
        <v>2</v>
      </c>
      <c r="J2050">
        <v>1</v>
      </c>
      <c r="K2050">
        <v>0</v>
      </c>
      <c r="L2050" s="61" t="s">
        <v>4779</v>
      </c>
    </row>
    <row r="2051" spans="6:12">
      <c r="F2051" t="s">
        <v>13557</v>
      </c>
      <c r="G2051" t="s">
        <v>5056</v>
      </c>
      <c r="H2051">
        <v>4</v>
      </c>
      <c r="I2051">
        <v>2</v>
      </c>
      <c r="J2051">
        <v>2</v>
      </c>
      <c r="K2051">
        <v>0</v>
      </c>
      <c r="L2051" s="61" t="s">
        <v>4779</v>
      </c>
    </row>
    <row r="2052" spans="6:12">
      <c r="F2052" t="s">
        <v>13558</v>
      </c>
      <c r="G2052" t="s">
        <v>5606</v>
      </c>
      <c r="H2052">
        <v>3</v>
      </c>
      <c r="I2052">
        <v>3</v>
      </c>
      <c r="J2052">
        <v>2</v>
      </c>
      <c r="K2052">
        <v>0</v>
      </c>
      <c r="L2052" s="61" t="s">
        <v>4779</v>
      </c>
    </row>
    <row r="2053" spans="6:12">
      <c r="F2053" t="s">
        <v>13559</v>
      </c>
      <c r="G2053" t="s">
        <v>5001</v>
      </c>
      <c r="H2053">
        <v>4</v>
      </c>
      <c r="I2053">
        <v>3</v>
      </c>
      <c r="J2053">
        <v>1</v>
      </c>
      <c r="K2053">
        <v>0</v>
      </c>
      <c r="L2053" s="61" t="s">
        <v>4807</v>
      </c>
    </row>
    <row r="2054" spans="6:12">
      <c r="F2054" t="s">
        <v>13560</v>
      </c>
      <c r="G2054" t="s">
        <v>5024</v>
      </c>
      <c r="H2054">
        <v>3</v>
      </c>
      <c r="I2054">
        <v>3</v>
      </c>
      <c r="J2054">
        <v>2</v>
      </c>
      <c r="K2054">
        <v>0</v>
      </c>
      <c r="L2054" s="61" t="s">
        <v>4779</v>
      </c>
    </row>
    <row r="2055" spans="6:12">
      <c r="F2055" t="s">
        <v>13561</v>
      </c>
      <c r="G2055" t="s">
        <v>5595</v>
      </c>
      <c r="H2055">
        <v>6</v>
      </c>
      <c r="I2055">
        <v>1</v>
      </c>
      <c r="J2055">
        <v>1</v>
      </c>
      <c r="K2055">
        <v>0</v>
      </c>
      <c r="L2055" s="61" t="s">
        <v>4779</v>
      </c>
    </row>
    <row r="2056" spans="6:12">
      <c r="F2056" t="s">
        <v>13562</v>
      </c>
      <c r="G2056" t="s">
        <v>13563</v>
      </c>
      <c r="H2056">
        <v>7</v>
      </c>
      <c r="I2056">
        <v>1</v>
      </c>
      <c r="J2056">
        <v>0</v>
      </c>
      <c r="K2056">
        <v>0</v>
      </c>
      <c r="L2056" s="61" t="s">
        <v>4779</v>
      </c>
    </row>
    <row r="2057" spans="6:12">
      <c r="F2057" t="s">
        <v>13564</v>
      </c>
      <c r="G2057" t="s">
        <v>13565</v>
      </c>
      <c r="H2057">
        <v>4</v>
      </c>
      <c r="I2057">
        <v>3</v>
      </c>
      <c r="J2057">
        <v>1</v>
      </c>
      <c r="K2057">
        <v>0</v>
      </c>
      <c r="L2057" s="61" t="s">
        <v>4779</v>
      </c>
    </row>
    <row r="2058" spans="6:12">
      <c r="F2058" t="s">
        <v>13566</v>
      </c>
      <c r="G2058" t="s">
        <v>5010</v>
      </c>
      <c r="H2058">
        <v>5</v>
      </c>
      <c r="I2058">
        <v>3</v>
      </c>
      <c r="J2058">
        <v>0</v>
      </c>
      <c r="K2058">
        <v>0</v>
      </c>
      <c r="L2058" s="61" t="s">
        <v>4779</v>
      </c>
    </row>
    <row r="2059" spans="6:12">
      <c r="F2059" t="s">
        <v>13567</v>
      </c>
      <c r="G2059" t="s">
        <v>13568</v>
      </c>
      <c r="H2059">
        <v>7</v>
      </c>
      <c r="I2059">
        <v>1</v>
      </c>
      <c r="J2059">
        <v>0</v>
      </c>
      <c r="K2059">
        <v>0</v>
      </c>
      <c r="L2059" s="61" t="s">
        <v>4779</v>
      </c>
    </row>
    <row r="2060" spans="6:12">
      <c r="F2060" t="s">
        <v>13569</v>
      </c>
      <c r="G2060" t="s">
        <v>11084</v>
      </c>
      <c r="H2060">
        <v>5</v>
      </c>
      <c r="I2060">
        <v>2</v>
      </c>
      <c r="J2060">
        <v>1</v>
      </c>
      <c r="K2060">
        <v>0</v>
      </c>
      <c r="L2060" s="61" t="s">
        <v>4779</v>
      </c>
    </row>
    <row r="2061" spans="6:12">
      <c r="F2061" t="s">
        <v>13570</v>
      </c>
      <c r="G2061" t="s">
        <v>9516</v>
      </c>
      <c r="H2061">
        <v>7</v>
      </c>
      <c r="I2061">
        <v>1</v>
      </c>
      <c r="J2061">
        <v>0</v>
      </c>
      <c r="K2061">
        <v>0</v>
      </c>
      <c r="L2061" s="61" t="s">
        <v>4779</v>
      </c>
    </row>
    <row r="2062" spans="6:12">
      <c r="F2062" t="s">
        <v>13571</v>
      </c>
      <c r="G2062" t="s">
        <v>5074</v>
      </c>
      <c r="H2062">
        <v>6</v>
      </c>
      <c r="I2062">
        <v>2</v>
      </c>
      <c r="J2062">
        <v>0</v>
      </c>
      <c r="K2062">
        <v>0</v>
      </c>
      <c r="L2062" s="61" t="s">
        <v>4779</v>
      </c>
    </row>
    <row r="2063" spans="6:12">
      <c r="F2063" t="s">
        <v>13572</v>
      </c>
      <c r="G2063" t="s">
        <v>5298</v>
      </c>
      <c r="H2063">
        <v>5</v>
      </c>
      <c r="I2063">
        <v>3</v>
      </c>
      <c r="J2063">
        <v>0</v>
      </c>
      <c r="K2063">
        <v>0</v>
      </c>
      <c r="L2063" s="61" t="s">
        <v>4779</v>
      </c>
    </row>
    <row r="2064" spans="6:12">
      <c r="F2064" t="s">
        <v>13573</v>
      </c>
      <c r="G2064" t="s">
        <v>5281</v>
      </c>
      <c r="H2064">
        <v>5</v>
      </c>
      <c r="I2064">
        <v>2</v>
      </c>
      <c r="J2064">
        <v>1</v>
      </c>
      <c r="K2064">
        <v>0</v>
      </c>
      <c r="L2064" s="61" t="s">
        <v>4779</v>
      </c>
    </row>
    <row r="2065" spans="6:12">
      <c r="F2065" t="s">
        <v>13574</v>
      </c>
      <c r="G2065" t="s">
        <v>11027</v>
      </c>
      <c r="H2065">
        <v>7</v>
      </c>
      <c r="I2065">
        <v>1</v>
      </c>
      <c r="J2065">
        <v>0</v>
      </c>
      <c r="K2065">
        <v>0</v>
      </c>
      <c r="L2065" s="61" t="s">
        <v>4779</v>
      </c>
    </row>
    <row r="2066" spans="6:12">
      <c r="F2066" t="s">
        <v>13575</v>
      </c>
      <c r="G2066" t="s">
        <v>5746</v>
      </c>
      <c r="H2066">
        <v>6</v>
      </c>
      <c r="I2066">
        <v>1</v>
      </c>
      <c r="J2066">
        <v>1</v>
      </c>
      <c r="K2066">
        <v>0</v>
      </c>
      <c r="L2066" s="61" t="s">
        <v>4779</v>
      </c>
    </row>
    <row r="2067" spans="6:12">
      <c r="F2067" t="s">
        <v>13576</v>
      </c>
      <c r="G2067" t="s">
        <v>13577</v>
      </c>
      <c r="H2067">
        <v>6</v>
      </c>
      <c r="I2067">
        <v>1</v>
      </c>
      <c r="J2067">
        <v>1</v>
      </c>
      <c r="K2067">
        <v>0</v>
      </c>
      <c r="L2067" s="61" t="s">
        <v>4779</v>
      </c>
    </row>
    <row r="2068" spans="6:12">
      <c r="F2068" t="s">
        <v>13578</v>
      </c>
      <c r="G2068" t="s">
        <v>13579</v>
      </c>
      <c r="H2068">
        <v>5</v>
      </c>
      <c r="I2068">
        <v>3</v>
      </c>
      <c r="J2068">
        <v>0</v>
      </c>
      <c r="K2068">
        <v>0</v>
      </c>
      <c r="L2068" s="61" t="s">
        <v>4779</v>
      </c>
    </row>
    <row r="2069" spans="6:12">
      <c r="F2069" t="s">
        <v>13580</v>
      </c>
      <c r="G2069" t="s">
        <v>10929</v>
      </c>
      <c r="H2069">
        <v>4</v>
      </c>
      <c r="I2069">
        <v>3</v>
      </c>
      <c r="J2069">
        <v>1</v>
      </c>
      <c r="K2069">
        <v>0</v>
      </c>
      <c r="L2069" s="61" t="s">
        <v>4779</v>
      </c>
    </row>
    <row r="2070" spans="6:12">
      <c r="F2070" t="s">
        <v>13581</v>
      </c>
      <c r="G2070" t="s">
        <v>13374</v>
      </c>
      <c r="H2070">
        <v>3</v>
      </c>
      <c r="I2070">
        <v>3</v>
      </c>
      <c r="J2070">
        <v>2</v>
      </c>
      <c r="K2070">
        <v>0</v>
      </c>
      <c r="L2070" s="61" t="s">
        <v>4806</v>
      </c>
    </row>
    <row r="2071" spans="6:12">
      <c r="F2071" t="s">
        <v>13582</v>
      </c>
      <c r="G2071" t="s">
        <v>7807</v>
      </c>
      <c r="H2071">
        <v>6</v>
      </c>
      <c r="I2071">
        <v>2</v>
      </c>
      <c r="J2071">
        <v>0</v>
      </c>
      <c r="K2071">
        <v>0</v>
      </c>
      <c r="L2071" s="61" t="s">
        <v>4779</v>
      </c>
    </row>
    <row r="2072" spans="6:12">
      <c r="F2072" t="s">
        <v>13583</v>
      </c>
      <c r="G2072" t="s">
        <v>5466</v>
      </c>
      <c r="H2072">
        <v>4</v>
      </c>
      <c r="I2072">
        <v>2</v>
      </c>
      <c r="J2072">
        <v>2</v>
      </c>
      <c r="K2072">
        <v>0</v>
      </c>
      <c r="L2072" s="61" t="s">
        <v>4779</v>
      </c>
    </row>
    <row r="2073" spans="6:12">
      <c r="F2073" t="s">
        <v>13584</v>
      </c>
      <c r="G2073" t="s">
        <v>4936</v>
      </c>
      <c r="H2073">
        <v>5</v>
      </c>
      <c r="I2073">
        <v>1</v>
      </c>
      <c r="J2073">
        <v>2</v>
      </c>
      <c r="K2073">
        <v>0</v>
      </c>
      <c r="L2073" s="61" t="s">
        <v>4779</v>
      </c>
    </row>
    <row r="2074" spans="6:12">
      <c r="F2074" t="s">
        <v>13585</v>
      </c>
      <c r="G2074" t="s">
        <v>5017</v>
      </c>
      <c r="H2074">
        <v>5</v>
      </c>
      <c r="I2074">
        <v>3</v>
      </c>
      <c r="J2074">
        <v>0</v>
      </c>
      <c r="K2074">
        <v>0</v>
      </c>
      <c r="L2074" s="61" t="s">
        <v>4779</v>
      </c>
    </row>
    <row r="2075" spans="6:12">
      <c r="F2075" t="s">
        <v>13586</v>
      </c>
      <c r="G2075" t="s">
        <v>5555</v>
      </c>
      <c r="H2075">
        <v>4</v>
      </c>
      <c r="I2075">
        <v>2</v>
      </c>
      <c r="J2075">
        <v>2</v>
      </c>
      <c r="K2075">
        <v>0</v>
      </c>
      <c r="L2075" s="61" t="s">
        <v>4779</v>
      </c>
    </row>
    <row r="2076" spans="6:12">
      <c r="F2076" t="s">
        <v>13587</v>
      </c>
      <c r="G2076" t="s">
        <v>5538</v>
      </c>
      <c r="H2076">
        <v>5</v>
      </c>
      <c r="I2076">
        <v>2</v>
      </c>
      <c r="J2076">
        <v>1</v>
      </c>
      <c r="K2076">
        <v>0</v>
      </c>
      <c r="L2076" s="61" t="s">
        <v>4779</v>
      </c>
    </row>
    <row r="2077" spans="6:12">
      <c r="F2077" t="s">
        <v>13588</v>
      </c>
      <c r="G2077" t="s">
        <v>13589</v>
      </c>
      <c r="H2077">
        <v>7</v>
      </c>
      <c r="I2077">
        <v>1</v>
      </c>
      <c r="J2077">
        <v>0</v>
      </c>
      <c r="K2077">
        <v>0</v>
      </c>
      <c r="L2077" s="61" t="s">
        <v>4779</v>
      </c>
    </row>
    <row r="2078" spans="6:12">
      <c r="F2078" t="s">
        <v>13590</v>
      </c>
      <c r="G2078" t="s">
        <v>5062</v>
      </c>
      <c r="H2078">
        <v>5</v>
      </c>
      <c r="I2078">
        <v>1</v>
      </c>
      <c r="J2078">
        <v>2</v>
      </c>
      <c r="K2078">
        <v>0</v>
      </c>
      <c r="L2078" s="61" t="s">
        <v>4779</v>
      </c>
    </row>
    <row r="2079" spans="6:12">
      <c r="F2079" t="s">
        <v>13591</v>
      </c>
      <c r="G2079" t="s">
        <v>5357</v>
      </c>
      <c r="H2079">
        <v>7</v>
      </c>
      <c r="I2079">
        <v>1</v>
      </c>
      <c r="J2079">
        <v>0</v>
      </c>
      <c r="K2079">
        <v>0</v>
      </c>
      <c r="L2079" s="61" t="s">
        <v>4779</v>
      </c>
    </row>
    <row r="2080" spans="6:12">
      <c r="F2080" t="s">
        <v>13592</v>
      </c>
      <c r="G2080" t="s">
        <v>5322</v>
      </c>
      <c r="H2080">
        <v>5</v>
      </c>
      <c r="I2080">
        <v>3</v>
      </c>
      <c r="J2080">
        <v>0</v>
      </c>
      <c r="K2080">
        <v>0</v>
      </c>
      <c r="L2080" s="61" t="s">
        <v>4779</v>
      </c>
    </row>
    <row r="2081" spans="6:12">
      <c r="F2081" t="s">
        <v>13593</v>
      </c>
      <c r="G2081" t="s">
        <v>5040</v>
      </c>
      <c r="H2081">
        <v>5</v>
      </c>
      <c r="I2081">
        <v>2</v>
      </c>
      <c r="J2081">
        <v>1</v>
      </c>
      <c r="K2081">
        <v>0</v>
      </c>
      <c r="L2081" s="61" t="s">
        <v>4779</v>
      </c>
    </row>
    <row r="2082" spans="6:12">
      <c r="F2082" t="s">
        <v>13594</v>
      </c>
      <c r="G2082" t="s">
        <v>13138</v>
      </c>
      <c r="H2082">
        <v>3</v>
      </c>
      <c r="I2082">
        <v>3</v>
      </c>
      <c r="J2082">
        <v>2</v>
      </c>
      <c r="K2082">
        <v>0</v>
      </c>
      <c r="L2082" s="61" t="s">
        <v>4779</v>
      </c>
    </row>
    <row r="2083" spans="6:12">
      <c r="F2083" t="s">
        <v>13595</v>
      </c>
      <c r="G2083" t="s">
        <v>13596</v>
      </c>
      <c r="H2083">
        <v>6</v>
      </c>
      <c r="I2083">
        <v>1</v>
      </c>
      <c r="J2083">
        <v>1</v>
      </c>
      <c r="K2083">
        <v>0</v>
      </c>
      <c r="L2083" s="61" t="s">
        <v>4779</v>
      </c>
    </row>
    <row r="2084" spans="6:12">
      <c r="F2084" t="s">
        <v>13597</v>
      </c>
      <c r="G2084" t="s">
        <v>5792</v>
      </c>
      <c r="H2084">
        <v>5</v>
      </c>
      <c r="I2084">
        <v>2</v>
      </c>
      <c r="J2084">
        <v>1</v>
      </c>
      <c r="K2084">
        <v>0</v>
      </c>
      <c r="L2084" s="61" t="s">
        <v>4808</v>
      </c>
    </row>
    <row r="2085" spans="6:12">
      <c r="F2085" t="s">
        <v>13598</v>
      </c>
      <c r="G2085" t="s">
        <v>5749</v>
      </c>
      <c r="H2085">
        <v>5</v>
      </c>
      <c r="I2085">
        <v>1</v>
      </c>
      <c r="J2085">
        <v>2</v>
      </c>
      <c r="K2085">
        <v>0</v>
      </c>
      <c r="L2085" s="61" t="s">
        <v>4779</v>
      </c>
    </row>
    <row r="2086" spans="6:12">
      <c r="F2086" t="s">
        <v>13599</v>
      </c>
      <c r="G2086" t="s">
        <v>13600</v>
      </c>
      <c r="H2086">
        <v>5</v>
      </c>
      <c r="I2086">
        <v>3</v>
      </c>
      <c r="J2086">
        <v>0</v>
      </c>
      <c r="K2086">
        <v>0</v>
      </c>
      <c r="L2086" s="61" t="s">
        <v>4779</v>
      </c>
    </row>
    <row r="2087" spans="6:12">
      <c r="F2087" t="s">
        <v>13601</v>
      </c>
      <c r="G2087" t="s">
        <v>13602</v>
      </c>
      <c r="H2087">
        <v>7</v>
      </c>
      <c r="I2087">
        <v>1</v>
      </c>
      <c r="J2087">
        <v>0</v>
      </c>
      <c r="K2087">
        <v>0</v>
      </c>
      <c r="L2087" s="61" t="s">
        <v>4779</v>
      </c>
    </row>
    <row r="2088" spans="6:12">
      <c r="F2088" t="s">
        <v>13603</v>
      </c>
      <c r="G2088" t="s">
        <v>4721</v>
      </c>
      <c r="H2088">
        <v>5</v>
      </c>
      <c r="I2088">
        <v>2</v>
      </c>
      <c r="J2088">
        <v>1</v>
      </c>
      <c r="K2088">
        <v>0</v>
      </c>
      <c r="L2088" s="61" t="s">
        <v>4779</v>
      </c>
    </row>
    <row r="2089" spans="6:12">
      <c r="F2089" t="s">
        <v>13604</v>
      </c>
      <c r="G2089" t="s">
        <v>13605</v>
      </c>
      <c r="H2089">
        <v>7</v>
      </c>
      <c r="I2089">
        <v>1</v>
      </c>
      <c r="J2089">
        <v>0</v>
      </c>
      <c r="K2089">
        <v>0</v>
      </c>
      <c r="L2089" s="61" t="s">
        <v>4779</v>
      </c>
    </row>
    <row r="2090" spans="6:12">
      <c r="F2090" t="s">
        <v>13606</v>
      </c>
      <c r="G2090" t="s">
        <v>7744</v>
      </c>
      <c r="H2090">
        <v>5</v>
      </c>
      <c r="I2090">
        <v>3</v>
      </c>
      <c r="J2090">
        <v>0</v>
      </c>
      <c r="K2090">
        <v>0</v>
      </c>
      <c r="L2090" s="61" t="s">
        <v>4779</v>
      </c>
    </row>
    <row r="2091" spans="6:12">
      <c r="F2091" t="s">
        <v>13607</v>
      </c>
      <c r="G2091" t="s">
        <v>5582</v>
      </c>
      <c r="H2091">
        <v>4</v>
      </c>
      <c r="I2091">
        <v>2</v>
      </c>
      <c r="J2091">
        <v>2</v>
      </c>
      <c r="K2091">
        <v>0</v>
      </c>
      <c r="L2091" s="61" t="s">
        <v>4779</v>
      </c>
    </row>
    <row r="2092" spans="6:12">
      <c r="F2092" t="s">
        <v>13608</v>
      </c>
      <c r="G2092" t="s">
        <v>5833</v>
      </c>
      <c r="H2092">
        <v>5</v>
      </c>
      <c r="I2092">
        <v>1</v>
      </c>
      <c r="J2092">
        <v>2</v>
      </c>
      <c r="K2092">
        <v>0</v>
      </c>
      <c r="L2092" s="61" t="s">
        <v>4779</v>
      </c>
    </row>
    <row r="2093" spans="6:12">
      <c r="F2093" t="s">
        <v>13609</v>
      </c>
      <c r="G2093" t="s">
        <v>5533</v>
      </c>
      <c r="H2093">
        <v>5</v>
      </c>
      <c r="I2093">
        <v>1</v>
      </c>
      <c r="J2093">
        <v>2</v>
      </c>
      <c r="K2093">
        <v>0</v>
      </c>
      <c r="L2093" s="61" t="s">
        <v>4779</v>
      </c>
    </row>
    <row r="2094" spans="6:12">
      <c r="F2094" t="s">
        <v>13610</v>
      </c>
      <c r="G2094" t="s">
        <v>5288</v>
      </c>
      <c r="H2094">
        <v>6</v>
      </c>
      <c r="I2094">
        <v>1</v>
      </c>
      <c r="J2094">
        <v>1</v>
      </c>
      <c r="K2094">
        <v>0</v>
      </c>
      <c r="L2094" s="61" t="s">
        <v>4779</v>
      </c>
    </row>
    <row r="2095" spans="6:12">
      <c r="F2095" t="s">
        <v>13611</v>
      </c>
      <c r="G2095" t="s">
        <v>11035</v>
      </c>
      <c r="H2095">
        <v>6</v>
      </c>
      <c r="I2095">
        <v>1</v>
      </c>
      <c r="J2095">
        <v>1</v>
      </c>
      <c r="K2095">
        <v>0</v>
      </c>
      <c r="L2095" s="61" t="s">
        <v>4779</v>
      </c>
    </row>
    <row r="2096" spans="6:12">
      <c r="F2096" t="s">
        <v>13612</v>
      </c>
      <c r="G2096" t="s">
        <v>13613</v>
      </c>
      <c r="H2096">
        <v>6</v>
      </c>
      <c r="I2096">
        <v>2</v>
      </c>
      <c r="J2096">
        <v>0</v>
      </c>
      <c r="K2096">
        <v>0</v>
      </c>
      <c r="L2096" s="61" t="s">
        <v>4779</v>
      </c>
    </row>
    <row r="2097" spans="6:12">
      <c r="F2097" t="s">
        <v>13614</v>
      </c>
      <c r="G2097" t="s">
        <v>5727</v>
      </c>
      <c r="H2097">
        <v>5</v>
      </c>
      <c r="I2097">
        <v>1</v>
      </c>
      <c r="J2097">
        <v>2</v>
      </c>
      <c r="K2097">
        <v>0</v>
      </c>
      <c r="L2097" s="61" t="s">
        <v>4809</v>
      </c>
    </row>
    <row r="2098" spans="6:12">
      <c r="F2098" t="s">
        <v>13615</v>
      </c>
      <c r="G2098" t="s">
        <v>11037</v>
      </c>
      <c r="H2098">
        <v>7</v>
      </c>
      <c r="I2098">
        <v>1</v>
      </c>
      <c r="J2098">
        <v>0</v>
      </c>
      <c r="K2098">
        <v>0</v>
      </c>
      <c r="L2098" s="61" t="s">
        <v>4779</v>
      </c>
    </row>
    <row r="2099" spans="6:12">
      <c r="F2099" t="s">
        <v>13616</v>
      </c>
      <c r="G2099" t="s">
        <v>4722</v>
      </c>
      <c r="H2099">
        <v>5</v>
      </c>
      <c r="I2099">
        <v>3</v>
      </c>
      <c r="J2099">
        <v>0</v>
      </c>
      <c r="K2099">
        <v>0</v>
      </c>
      <c r="L2099" s="61" t="s">
        <v>4808</v>
      </c>
    </row>
    <row r="2100" spans="6:12">
      <c r="F2100" t="s">
        <v>13617</v>
      </c>
      <c r="G2100" t="s">
        <v>5153</v>
      </c>
      <c r="H2100">
        <v>5</v>
      </c>
      <c r="I2100">
        <v>2</v>
      </c>
      <c r="J2100">
        <v>1</v>
      </c>
      <c r="K2100">
        <v>0</v>
      </c>
      <c r="L2100" s="61" t="s">
        <v>4779</v>
      </c>
    </row>
    <row r="2101" spans="6:12">
      <c r="F2101" t="s">
        <v>13618</v>
      </c>
      <c r="G2101" t="s">
        <v>5822</v>
      </c>
      <c r="H2101">
        <v>4</v>
      </c>
      <c r="I2101">
        <v>3</v>
      </c>
      <c r="J2101">
        <v>1</v>
      </c>
      <c r="K2101">
        <v>0</v>
      </c>
      <c r="L2101" s="61" t="s">
        <v>4779</v>
      </c>
    </row>
    <row r="2102" spans="6:12">
      <c r="F2102" t="s">
        <v>13619</v>
      </c>
      <c r="G2102" t="s">
        <v>11067</v>
      </c>
      <c r="H2102">
        <v>4</v>
      </c>
      <c r="I2102">
        <v>3</v>
      </c>
      <c r="J2102">
        <v>1</v>
      </c>
      <c r="K2102">
        <v>0</v>
      </c>
      <c r="L2102" s="61" t="s">
        <v>4779</v>
      </c>
    </row>
    <row r="2103" spans="6:12">
      <c r="F2103" t="s">
        <v>13620</v>
      </c>
      <c r="G2103" t="s">
        <v>11045</v>
      </c>
      <c r="H2103">
        <v>5</v>
      </c>
      <c r="I2103">
        <v>3</v>
      </c>
      <c r="J2103">
        <v>0</v>
      </c>
      <c r="K2103">
        <v>0</v>
      </c>
      <c r="L2103" s="61" t="s">
        <v>4779</v>
      </c>
    </row>
    <row r="2104" spans="6:12">
      <c r="F2104" t="s">
        <v>13621</v>
      </c>
      <c r="G2104" t="s">
        <v>5731</v>
      </c>
      <c r="H2104">
        <v>4</v>
      </c>
      <c r="I2104">
        <v>3</v>
      </c>
      <c r="J2104">
        <v>1</v>
      </c>
      <c r="K2104">
        <v>0</v>
      </c>
      <c r="L2104" s="61" t="s">
        <v>4779</v>
      </c>
    </row>
    <row r="2105" spans="6:12">
      <c r="F2105" t="s">
        <v>13622</v>
      </c>
      <c r="G2105" t="s">
        <v>11016</v>
      </c>
      <c r="H2105">
        <v>6</v>
      </c>
      <c r="I2105">
        <v>1</v>
      </c>
      <c r="J2105">
        <v>1</v>
      </c>
      <c r="K2105">
        <v>0</v>
      </c>
      <c r="L2105" s="61" t="s">
        <v>4810</v>
      </c>
    </row>
    <row r="2106" spans="6:12">
      <c r="F2106" t="s">
        <v>13623</v>
      </c>
      <c r="G2106" t="s">
        <v>5883</v>
      </c>
      <c r="H2106">
        <v>5</v>
      </c>
      <c r="I2106">
        <v>2</v>
      </c>
      <c r="J2106">
        <v>1</v>
      </c>
      <c r="K2106">
        <v>0</v>
      </c>
      <c r="L2106" s="61" t="s">
        <v>4779</v>
      </c>
    </row>
    <row r="2107" spans="6:12">
      <c r="F2107" t="s">
        <v>13624</v>
      </c>
      <c r="G2107" t="s">
        <v>13625</v>
      </c>
      <c r="H2107">
        <v>6</v>
      </c>
      <c r="I2107">
        <v>1</v>
      </c>
      <c r="J2107">
        <v>1</v>
      </c>
      <c r="K2107">
        <v>0</v>
      </c>
      <c r="L2107" s="61" t="s">
        <v>4779</v>
      </c>
    </row>
    <row r="2108" spans="6:12">
      <c r="F2108" t="s">
        <v>13626</v>
      </c>
      <c r="G2108" t="s">
        <v>5364</v>
      </c>
      <c r="H2108">
        <v>5</v>
      </c>
      <c r="I2108">
        <v>2</v>
      </c>
      <c r="J2108">
        <v>1</v>
      </c>
      <c r="K2108">
        <v>0</v>
      </c>
      <c r="L2108" s="61" t="s">
        <v>4810</v>
      </c>
    </row>
    <row r="2109" spans="6:12">
      <c r="F2109" t="s">
        <v>13627</v>
      </c>
      <c r="G2109" t="s">
        <v>9333</v>
      </c>
      <c r="H2109">
        <v>5</v>
      </c>
      <c r="I2109">
        <v>1</v>
      </c>
      <c r="J2109">
        <v>2</v>
      </c>
      <c r="K2109">
        <v>0</v>
      </c>
      <c r="L2109" s="61" t="s">
        <v>4779</v>
      </c>
    </row>
    <row r="2110" spans="6:12">
      <c r="F2110" t="s">
        <v>13628</v>
      </c>
      <c r="G2110" t="s">
        <v>5047</v>
      </c>
      <c r="H2110">
        <v>6</v>
      </c>
      <c r="I2110">
        <v>2</v>
      </c>
      <c r="J2110">
        <v>0</v>
      </c>
      <c r="K2110">
        <v>0</v>
      </c>
      <c r="L2110" s="61" t="s">
        <v>4779</v>
      </c>
    </row>
    <row r="2111" spans="6:12">
      <c r="F2111" t="s">
        <v>13629</v>
      </c>
      <c r="G2111" t="s">
        <v>4610</v>
      </c>
      <c r="H2111">
        <v>3</v>
      </c>
      <c r="I2111">
        <v>3</v>
      </c>
      <c r="J2111">
        <v>2</v>
      </c>
      <c r="K2111">
        <v>0</v>
      </c>
      <c r="L2111" s="61" t="s">
        <v>4779</v>
      </c>
    </row>
    <row r="2112" spans="6:12">
      <c r="F2112" t="s">
        <v>13630</v>
      </c>
      <c r="G2112" t="s">
        <v>13631</v>
      </c>
      <c r="H2112">
        <v>5</v>
      </c>
      <c r="I2112">
        <v>2</v>
      </c>
      <c r="J2112">
        <v>1</v>
      </c>
      <c r="K2112">
        <v>0</v>
      </c>
      <c r="L2112" s="61" t="s">
        <v>4779</v>
      </c>
    </row>
    <row r="2113" spans="6:12">
      <c r="F2113" t="s">
        <v>13632</v>
      </c>
      <c r="G2113" t="s">
        <v>5480</v>
      </c>
      <c r="H2113">
        <v>5</v>
      </c>
      <c r="I2113">
        <v>1</v>
      </c>
      <c r="J2113">
        <v>2</v>
      </c>
      <c r="K2113">
        <v>0</v>
      </c>
      <c r="L2113" s="61" t="s">
        <v>4779</v>
      </c>
    </row>
    <row r="2114" spans="6:12">
      <c r="F2114" t="s">
        <v>13633</v>
      </c>
      <c r="G2114" t="s">
        <v>5345</v>
      </c>
      <c r="H2114">
        <v>5</v>
      </c>
      <c r="I2114">
        <v>1</v>
      </c>
      <c r="J2114">
        <v>2</v>
      </c>
      <c r="K2114">
        <v>0</v>
      </c>
      <c r="L2114" s="61" t="s">
        <v>4779</v>
      </c>
    </row>
    <row r="2115" spans="6:12">
      <c r="F2115" t="s">
        <v>13634</v>
      </c>
      <c r="G2115" t="s">
        <v>10965</v>
      </c>
      <c r="H2115">
        <v>7</v>
      </c>
      <c r="I2115">
        <v>1</v>
      </c>
      <c r="J2115">
        <v>0</v>
      </c>
      <c r="K2115">
        <v>0</v>
      </c>
      <c r="L2115" s="61" t="s">
        <v>4779</v>
      </c>
    </row>
    <row r="2116" spans="6:12">
      <c r="F2116" t="s">
        <v>13635</v>
      </c>
      <c r="G2116" t="s">
        <v>13636</v>
      </c>
      <c r="H2116">
        <v>7</v>
      </c>
      <c r="I2116">
        <v>1</v>
      </c>
      <c r="J2116">
        <v>0</v>
      </c>
      <c r="K2116">
        <v>0</v>
      </c>
      <c r="L2116" s="61" t="s">
        <v>4779</v>
      </c>
    </row>
    <row r="2117" spans="6:12">
      <c r="F2117" t="s">
        <v>13637</v>
      </c>
      <c r="G2117" t="s">
        <v>5132</v>
      </c>
      <c r="H2117">
        <v>5</v>
      </c>
      <c r="I2117">
        <v>3</v>
      </c>
      <c r="J2117">
        <v>0</v>
      </c>
      <c r="K2117">
        <v>0</v>
      </c>
      <c r="L2117" s="61" t="s">
        <v>4779</v>
      </c>
    </row>
    <row r="2118" spans="6:12">
      <c r="F2118" t="s">
        <v>13638</v>
      </c>
      <c r="G2118" t="s">
        <v>8429</v>
      </c>
      <c r="H2118">
        <v>7</v>
      </c>
      <c r="I2118">
        <v>1</v>
      </c>
      <c r="J2118">
        <v>0</v>
      </c>
      <c r="K2118">
        <v>0</v>
      </c>
      <c r="L2118" s="61" t="s">
        <v>4779</v>
      </c>
    </row>
    <row r="2119" spans="6:12">
      <c r="F2119" t="s">
        <v>13639</v>
      </c>
      <c r="G2119" t="s">
        <v>13640</v>
      </c>
      <c r="H2119">
        <v>5</v>
      </c>
      <c r="I2119">
        <v>3</v>
      </c>
      <c r="J2119">
        <v>0</v>
      </c>
      <c r="K2119">
        <v>0</v>
      </c>
      <c r="L2119" s="61" t="s">
        <v>4779</v>
      </c>
    </row>
    <row r="2120" spans="6:12">
      <c r="F2120" t="s">
        <v>13641</v>
      </c>
      <c r="G2120" t="s">
        <v>13642</v>
      </c>
      <c r="H2120">
        <v>6</v>
      </c>
      <c r="I2120">
        <v>1</v>
      </c>
      <c r="J2120">
        <v>1</v>
      </c>
      <c r="K2120">
        <v>0</v>
      </c>
      <c r="L2120" s="61" t="s">
        <v>4779</v>
      </c>
    </row>
    <row r="2121" spans="6:12">
      <c r="F2121" t="s">
        <v>13643</v>
      </c>
      <c r="G2121" t="s">
        <v>5563</v>
      </c>
      <c r="H2121">
        <v>5</v>
      </c>
      <c r="I2121">
        <v>1</v>
      </c>
      <c r="J2121">
        <v>2</v>
      </c>
      <c r="K2121">
        <v>0</v>
      </c>
      <c r="L2121" s="61" t="s">
        <v>4779</v>
      </c>
    </row>
    <row r="2122" spans="6:12">
      <c r="F2122" t="s">
        <v>13644</v>
      </c>
      <c r="G2122" t="s">
        <v>4978</v>
      </c>
      <c r="H2122">
        <v>6</v>
      </c>
      <c r="I2122">
        <v>1</v>
      </c>
      <c r="J2122">
        <v>1</v>
      </c>
      <c r="K2122">
        <v>0</v>
      </c>
      <c r="L2122" s="61" t="s">
        <v>4779</v>
      </c>
    </row>
    <row r="2123" spans="6:12">
      <c r="F2123" t="s">
        <v>13645</v>
      </c>
      <c r="G2123" t="s">
        <v>13646</v>
      </c>
      <c r="H2123">
        <v>7</v>
      </c>
      <c r="I2123">
        <v>1</v>
      </c>
      <c r="J2123">
        <v>0</v>
      </c>
      <c r="K2123">
        <v>0</v>
      </c>
      <c r="L2123" s="61" t="s">
        <v>4779</v>
      </c>
    </row>
    <row r="2124" spans="6:12">
      <c r="F2124" t="s">
        <v>13647</v>
      </c>
      <c r="G2124" t="s">
        <v>13648</v>
      </c>
      <c r="H2124">
        <v>6</v>
      </c>
      <c r="I2124">
        <v>2</v>
      </c>
      <c r="J2124">
        <v>0</v>
      </c>
      <c r="K2124">
        <v>0</v>
      </c>
      <c r="L2124" s="61" t="s">
        <v>4779</v>
      </c>
    </row>
    <row r="2125" spans="6:12">
      <c r="F2125" t="s">
        <v>13649</v>
      </c>
      <c r="G2125" t="s">
        <v>10971</v>
      </c>
      <c r="H2125">
        <v>5</v>
      </c>
      <c r="I2125">
        <v>3</v>
      </c>
      <c r="J2125">
        <v>0</v>
      </c>
      <c r="K2125">
        <v>0</v>
      </c>
      <c r="L2125" s="61" t="s">
        <v>4779</v>
      </c>
    </row>
    <row r="2126" spans="6:12">
      <c r="F2126" t="s">
        <v>13650</v>
      </c>
      <c r="G2126" t="s">
        <v>13651</v>
      </c>
      <c r="H2126">
        <v>7</v>
      </c>
      <c r="I2126">
        <v>1</v>
      </c>
      <c r="J2126">
        <v>0</v>
      </c>
      <c r="K2126">
        <v>0</v>
      </c>
      <c r="L2126" s="61" t="s">
        <v>4779</v>
      </c>
    </row>
    <row r="2127" spans="6:12">
      <c r="F2127" t="s">
        <v>13652</v>
      </c>
      <c r="G2127" t="s">
        <v>4988</v>
      </c>
      <c r="H2127">
        <v>5</v>
      </c>
      <c r="I2127">
        <v>2</v>
      </c>
      <c r="J2127">
        <v>1</v>
      </c>
      <c r="K2127">
        <v>0</v>
      </c>
      <c r="L2127" s="61" t="s">
        <v>4779</v>
      </c>
    </row>
    <row r="2128" spans="6:12">
      <c r="F2128" t="s">
        <v>13653</v>
      </c>
      <c r="G2128" t="s">
        <v>10969</v>
      </c>
      <c r="H2128">
        <v>5</v>
      </c>
      <c r="I2128">
        <v>2</v>
      </c>
      <c r="J2128">
        <v>1</v>
      </c>
      <c r="K2128">
        <v>0</v>
      </c>
      <c r="L2128" s="61" t="s">
        <v>4779</v>
      </c>
    </row>
    <row r="2129" spans="6:12">
      <c r="F2129" t="s">
        <v>13654</v>
      </c>
      <c r="G2129" t="s">
        <v>5104</v>
      </c>
      <c r="H2129">
        <v>5</v>
      </c>
      <c r="I2129">
        <v>3</v>
      </c>
      <c r="J2129">
        <v>0</v>
      </c>
      <c r="K2129">
        <v>0</v>
      </c>
      <c r="L2129" s="61" t="s">
        <v>4779</v>
      </c>
    </row>
    <row r="2130" spans="6:12">
      <c r="F2130" t="s">
        <v>13655</v>
      </c>
      <c r="G2130" t="s">
        <v>5282</v>
      </c>
      <c r="H2130">
        <v>5</v>
      </c>
      <c r="I2130">
        <v>3</v>
      </c>
      <c r="J2130">
        <v>0</v>
      </c>
      <c r="K2130">
        <v>0</v>
      </c>
      <c r="L2130" s="61" t="s">
        <v>4779</v>
      </c>
    </row>
    <row r="2131" spans="6:12">
      <c r="F2131" t="s">
        <v>13656</v>
      </c>
      <c r="G2131" t="s">
        <v>13657</v>
      </c>
      <c r="H2131">
        <v>4</v>
      </c>
      <c r="I2131">
        <v>2</v>
      </c>
      <c r="J2131">
        <v>2</v>
      </c>
      <c r="K2131">
        <v>0</v>
      </c>
      <c r="L2131" s="61" t="s">
        <v>4779</v>
      </c>
    </row>
    <row r="2132" spans="6:12">
      <c r="F2132" t="s">
        <v>13658</v>
      </c>
      <c r="G2132" t="s">
        <v>13659</v>
      </c>
      <c r="H2132">
        <v>5</v>
      </c>
      <c r="I2132">
        <v>3</v>
      </c>
      <c r="J2132">
        <v>0</v>
      </c>
      <c r="K2132">
        <v>0</v>
      </c>
      <c r="L2132" s="61" t="s">
        <v>4779</v>
      </c>
    </row>
    <row r="2133" spans="6:12">
      <c r="F2133" t="s">
        <v>13660</v>
      </c>
      <c r="G2133" t="s">
        <v>13661</v>
      </c>
      <c r="H2133">
        <v>7</v>
      </c>
      <c r="I2133">
        <v>1</v>
      </c>
      <c r="J2133">
        <v>0</v>
      </c>
      <c r="K2133">
        <v>0</v>
      </c>
      <c r="L2133" s="61" t="s">
        <v>4779</v>
      </c>
    </row>
    <row r="2134" spans="6:12">
      <c r="F2134" t="s">
        <v>13662</v>
      </c>
      <c r="G2134" t="s">
        <v>4613</v>
      </c>
      <c r="H2134">
        <v>3</v>
      </c>
      <c r="I2134">
        <v>3</v>
      </c>
      <c r="J2134">
        <v>2</v>
      </c>
      <c r="K2134">
        <v>0</v>
      </c>
      <c r="L2134" s="61" t="s">
        <v>4779</v>
      </c>
    </row>
    <row r="2135" spans="6:12">
      <c r="F2135" t="s">
        <v>13663</v>
      </c>
      <c r="G2135" t="s">
        <v>5805</v>
      </c>
      <c r="H2135">
        <v>5</v>
      </c>
      <c r="I2135">
        <v>2</v>
      </c>
      <c r="J2135">
        <v>1</v>
      </c>
      <c r="K2135">
        <v>0</v>
      </c>
      <c r="L2135" s="61" t="s">
        <v>4779</v>
      </c>
    </row>
    <row r="2136" spans="6:12">
      <c r="F2136" t="s">
        <v>13664</v>
      </c>
      <c r="G2136" t="s">
        <v>10941</v>
      </c>
      <c r="H2136">
        <v>5</v>
      </c>
      <c r="I2136">
        <v>2</v>
      </c>
      <c r="J2136">
        <v>1</v>
      </c>
      <c r="K2136">
        <v>0</v>
      </c>
      <c r="L2136" s="61" t="s">
        <v>4779</v>
      </c>
    </row>
    <row r="2137" spans="6:12">
      <c r="F2137" t="s">
        <v>13665</v>
      </c>
      <c r="G2137" t="s">
        <v>11029</v>
      </c>
      <c r="H2137">
        <v>4</v>
      </c>
      <c r="I2137">
        <v>3</v>
      </c>
      <c r="J2137">
        <v>1</v>
      </c>
      <c r="K2137">
        <v>0</v>
      </c>
      <c r="L2137" s="61" t="s">
        <v>4779</v>
      </c>
    </row>
    <row r="2138" spans="6:12">
      <c r="F2138" t="s">
        <v>13666</v>
      </c>
      <c r="G2138" t="s">
        <v>5870</v>
      </c>
      <c r="H2138">
        <v>6</v>
      </c>
      <c r="I2138">
        <v>1</v>
      </c>
      <c r="J2138">
        <v>1</v>
      </c>
      <c r="K2138">
        <v>0</v>
      </c>
      <c r="L2138" s="61" t="s">
        <v>4779</v>
      </c>
    </row>
    <row r="2139" spans="6:12">
      <c r="F2139" t="s">
        <v>13667</v>
      </c>
      <c r="G2139" t="s">
        <v>13668</v>
      </c>
      <c r="H2139">
        <v>6</v>
      </c>
      <c r="I2139">
        <v>2</v>
      </c>
      <c r="J2139">
        <v>0</v>
      </c>
      <c r="K2139">
        <v>0</v>
      </c>
      <c r="L2139" s="61" t="s">
        <v>4779</v>
      </c>
    </row>
    <row r="2140" spans="6:12">
      <c r="F2140" t="s">
        <v>13669</v>
      </c>
      <c r="G2140" t="s">
        <v>5072</v>
      </c>
      <c r="H2140">
        <v>6</v>
      </c>
      <c r="I2140">
        <v>1</v>
      </c>
      <c r="J2140">
        <v>1</v>
      </c>
      <c r="K2140">
        <v>0</v>
      </c>
      <c r="L2140" s="61" t="s">
        <v>4779</v>
      </c>
    </row>
    <row r="2141" spans="6:12">
      <c r="F2141" t="s">
        <v>13670</v>
      </c>
      <c r="G2141" t="s">
        <v>13671</v>
      </c>
      <c r="H2141">
        <v>6</v>
      </c>
      <c r="I2141">
        <v>2</v>
      </c>
      <c r="J2141">
        <v>0</v>
      </c>
      <c r="K2141">
        <v>0</v>
      </c>
      <c r="L2141" s="61" t="s">
        <v>4779</v>
      </c>
    </row>
    <row r="2142" spans="6:12">
      <c r="F2142" t="s">
        <v>13672</v>
      </c>
      <c r="G2142" t="s">
        <v>4699</v>
      </c>
      <c r="H2142">
        <v>5</v>
      </c>
      <c r="I2142">
        <v>1</v>
      </c>
      <c r="J2142">
        <v>2</v>
      </c>
      <c r="K2142">
        <v>0</v>
      </c>
      <c r="L2142" s="61" t="s">
        <v>4779</v>
      </c>
    </row>
    <row r="2143" spans="6:12">
      <c r="F2143" t="s">
        <v>13673</v>
      </c>
      <c r="G2143" t="s">
        <v>5524</v>
      </c>
      <c r="H2143">
        <v>5</v>
      </c>
      <c r="I2143">
        <v>2</v>
      </c>
      <c r="J2143">
        <v>1</v>
      </c>
      <c r="K2143">
        <v>0</v>
      </c>
      <c r="L2143" s="61" t="s">
        <v>4779</v>
      </c>
    </row>
    <row r="2144" spans="6:12">
      <c r="F2144" t="s">
        <v>13674</v>
      </c>
      <c r="G2144" t="s">
        <v>13675</v>
      </c>
      <c r="H2144">
        <v>6</v>
      </c>
      <c r="I2144">
        <v>2</v>
      </c>
      <c r="J2144">
        <v>0</v>
      </c>
      <c r="K2144">
        <v>0</v>
      </c>
      <c r="L2144" s="61" t="s">
        <v>4779</v>
      </c>
    </row>
    <row r="2145" spans="6:12">
      <c r="F2145" t="s">
        <v>13676</v>
      </c>
      <c r="G2145" t="s">
        <v>5040</v>
      </c>
      <c r="H2145">
        <v>4</v>
      </c>
      <c r="I2145">
        <v>3</v>
      </c>
      <c r="J2145">
        <v>1</v>
      </c>
      <c r="K2145">
        <v>0</v>
      </c>
      <c r="L2145" s="61" t="s">
        <v>4779</v>
      </c>
    </row>
    <row r="2146" spans="6:12">
      <c r="F2146" t="s">
        <v>13677</v>
      </c>
      <c r="G2146" t="s">
        <v>5011</v>
      </c>
      <c r="H2146">
        <v>6</v>
      </c>
      <c r="I2146">
        <v>2</v>
      </c>
      <c r="J2146">
        <v>0</v>
      </c>
      <c r="K2146">
        <v>0</v>
      </c>
      <c r="L2146" s="61" t="s">
        <v>4779</v>
      </c>
    </row>
    <row r="2147" spans="6:12">
      <c r="F2147" t="s">
        <v>13678</v>
      </c>
      <c r="G2147" t="s">
        <v>4715</v>
      </c>
      <c r="H2147">
        <v>6</v>
      </c>
      <c r="I2147">
        <v>1</v>
      </c>
      <c r="J2147">
        <v>1</v>
      </c>
      <c r="K2147">
        <v>0</v>
      </c>
      <c r="L2147" s="61" t="s">
        <v>4779</v>
      </c>
    </row>
    <row r="2148" spans="6:12">
      <c r="F2148" t="s">
        <v>13679</v>
      </c>
      <c r="G2148" t="s">
        <v>5068</v>
      </c>
      <c r="H2148">
        <v>3</v>
      </c>
      <c r="I2148">
        <v>3</v>
      </c>
      <c r="J2148">
        <v>2</v>
      </c>
      <c r="K2148">
        <v>0</v>
      </c>
      <c r="L2148" s="61" t="s">
        <v>4779</v>
      </c>
    </row>
    <row r="2149" spans="6:12">
      <c r="F2149" t="s">
        <v>13680</v>
      </c>
      <c r="G2149" t="s">
        <v>6899</v>
      </c>
      <c r="H2149">
        <v>6</v>
      </c>
      <c r="I2149">
        <v>2</v>
      </c>
      <c r="J2149">
        <v>0</v>
      </c>
      <c r="K2149">
        <v>0</v>
      </c>
      <c r="L2149" s="61" t="s">
        <v>4779</v>
      </c>
    </row>
    <row r="2150" spans="6:12">
      <c r="F2150" t="s">
        <v>13681</v>
      </c>
      <c r="G2150" t="s">
        <v>4962</v>
      </c>
      <c r="H2150">
        <v>4</v>
      </c>
      <c r="I2150">
        <v>2</v>
      </c>
      <c r="J2150">
        <v>2</v>
      </c>
      <c r="K2150">
        <v>0</v>
      </c>
      <c r="L2150" s="61" t="s">
        <v>4779</v>
      </c>
    </row>
    <row r="2151" spans="6:12">
      <c r="F2151" t="s">
        <v>13682</v>
      </c>
      <c r="G2151" t="s">
        <v>5576</v>
      </c>
      <c r="H2151">
        <v>5</v>
      </c>
      <c r="I2151">
        <v>2</v>
      </c>
      <c r="J2151">
        <v>1</v>
      </c>
      <c r="K2151">
        <v>0</v>
      </c>
      <c r="L2151" s="61" t="s">
        <v>4779</v>
      </c>
    </row>
    <row r="2152" spans="6:12">
      <c r="F2152" t="s">
        <v>13683</v>
      </c>
      <c r="G2152" t="s">
        <v>5371</v>
      </c>
      <c r="H2152">
        <v>5</v>
      </c>
      <c r="I2152">
        <v>1</v>
      </c>
      <c r="J2152">
        <v>2</v>
      </c>
      <c r="K2152">
        <v>0</v>
      </c>
      <c r="L2152" s="61" t="s">
        <v>4779</v>
      </c>
    </row>
    <row r="2153" spans="6:12">
      <c r="F2153" t="s">
        <v>13684</v>
      </c>
      <c r="G2153" t="s">
        <v>13685</v>
      </c>
      <c r="H2153">
        <v>4</v>
      </c>
      <c r="I2153">
        <v>3</v>
      </c>
      <c r="J2153">
        <v>1</v>
      </c>
      <c r="K2153">
        <v>0</v>
      </c>
      <c r="L2153" s="61" t="s">
        <v>4779</v>
      </c>
    </row>
    <row r="2154" spans="6:12">
      <c r="F2154" t="s">
        <v>13686</v>
      </c>
      <c r="G2154" t="s">
        <v>10971</v>
      </c>
      <c r="H2154">
        <v>5</v>
      </c>
      <c r="I2154">
        <v>3</v>
      </c>
      <c r="J2154">
        <v>0</v>
      </c>
      <c r="K2154">
        <v>0</v>
      </c>
      <c r="L2154" s="61" t="s">
        <v>4779</v>
      </c>
    </row>
    <row r="2155" spans="6:12">
      <c r="F2155" t="s">
        <v>13687</v>
      </c>
      <c r="G2155" t="s">
        <v>4970</v>
      </c>
      <c r="H2155">
        <v>5</v>
      </c>
      <c r="I2155">
        <v>2</v>
      </c>
      <c r="J2155">
        <v>1</v>
      </c>
      <c r="K2155">
        <v>0</v>
      </c>
      <c r="L2155" s="61" t="s">
        <v>4779</v>
      </c>
    </row>
    <row r="2156" spans="6:12">
      <c r="F2156" t="s">
        <v>13688</v>
      </c>
      <c r="G2156" t="s">
        <v>4987</v>
      </c>
      <c r="H2156">
        <v>6</v>
      </c>
      <c r="I2156">
        <v>1</v>
      </c>
      <c r="J2156">
        <v>1</v>
      </c>
      <c r="K2156">
        <v>0</v>
      </c>
      <c r="L2156" s="61" t="s">
        <v>4779</v>
      </c>
    </row>
    <row r="2157" spans="6:12">
      <c r="F2157" t="s">
        <v>13689</v>
      </c>
      <c r="G2157" t="s">
        <v>5585</v>
      </c>
      <c r="H2157">
        <v>5</v>
      </c>
      <c r="I2157">
        <v>1</v>
      </c>
      <c r="J2157">
        <v>2</v>
      </c>
      <c r="K2157">
        <v>0</v>
      </c>
      <c r="L2157" s="61" t="s">
        <v>4779</v>
      </c>
    </row>
    <row r="2158" spans="6:12">
      <c r="F2158" t="s">
        <v>13690</v>
      </c>
      <c r="G2158" t="s">
        <v>5814</v>
      </c>
      <c r="H2158">
        <v>4</v>
      </c>
      <c r="I2158">
        <v>3</v>
      </c>
      <c r="J2158">
        <v>1</v>
      </c>
      <c r="K2158">
        <v>0</v>
      </c>
      <c r="L2158" s="61" t="s">
        <v>4779</v>
      </c>
    </row>
    <row r="2159" spans="6:12">
      <c r="F2159" t="s">
        <v>13691</v>
      </c>
      <c r="G2159" t="s">
        <v>4897</v>
      </c>
      <c r="H2159">
        <v>4</v>
      </c>
      <c r="I2159">
        <v>3</v>
      </c>
      <c r="J2159">
        <v>1</v>
      </c>
      <c r="K2159">
        <v>0</v>
      </c>
      <c r="L2159" s="61" t="s">
        <v>4779</v>
      </c>
    </row>
    <row r="2160" spans="6:12">
      <c r="F2160" t="s">
        <v>13692</v>
      </c>
      <c r="G2160" t="s">
        <v>5770</v>
      </c>
      <c r="H2160">
        <v>6</v>
      </c>
      <c r="I2160">
        <v>2</v>
      </c>
      <c r="J2160">
        <v>0</v>
      </c>
      <c r="K2160">
        <v>0</v>
      </c>
      <c r="L2160" s="61" t="s">
        <v>4779</v>
      </c>
    </row>
    <row r="2161" spans="6:12">
      <c r="F2161" t="s">
        <v>13693</v>
      </c>
      <c r="G2161" t="s">
        <v>5334</v>
      </c>
      <c r="H2161">
        <v>3</v>
      </c>
      <c r="I2161">
        <v>3</v>
      </c>
      <c r="J2161">
        <v>2</v>
      </c>
      <c r="K2161">
        <v>0</v>
      </c>
      <c r="L2161" s="61" t="s">
        <v>4779</v>
      </c>
    </row>
    <row r="2162" spans="6:12">
      <c r="F2162" t="s">
        <v>13694</v>
      </c>
      <c r="G2162" t="s">
        <v>5148</v>
      </c>
      <c r="H2162">
        <v>4</v>
      </c>
      <c r="I2162">
        <v>2</v>
      </c>
      <c r="J2162">
        <v>2</v>
      </c>
      <c r="K2162">
        <v>0</v>
      </c>
      <c r="L2162" s="61" t="s">
        <v>4779</v>
      </c>
    </row>
    <row r="2163" spans="6:12">
      <c r="F2163" t="s">
        <v>13695</v>
      </c>
      <c r="G2163" t="s">
        <v>5359</v>
      </c>
      <c r="H2163">
        <v>5</v>
      </c>
      <c r="I2163">
        <v>1</v>
      </c>
      <c r="J2163">
        <v>2</v>
      </c>
      <c r="K2163">
        <v>0</v>
      </c>
      <c r="L2163" s="61" t="s">
        <v>4779</v>
      </c>
    </row>
    <row r="2164" spans="6:12">
      <c r="F2164" t="s">
        <v>13696</v>
      </c>
      <c r="G2164" t="s">
        <v>5025</v>
      </c>
      <c r="H2164">
        <v>7</v>
      </c>
      <c r="I2164">
        <v>1</v>
      </c>
      <c r="J2164">
        <v>0</v>
      </c>
      <c r="K2164">
        <v>0</v>
      </c>
      <c r="L2164" s="61" t="s">
        <v>4807</v>
      </c>
    </row>
    <row r="2165" spans="6:12">
      <c r="F2165" t="s">
        <v>13697</v>
      </c>
      <c r="G2165" t="s">
        <v>5557</v>
      </c>
      <c r="H2165">
        <v>4</v>
      </c>
      <c r="I2165">
        <v>3</v>
      </c>
      <c r="J2165">
        <v>1</v>
      </c>
      <c r="K2165">
        <v>0</v>
      </c>
      <c r="L2165" s="61" t="s">
        <v>4809</v>
      </c>
    </row>
    <row r="2166" spans="6:12">
      <c r="F2166" t="s">
        <v>13698</v>
      </c>
      <c r="G2166" t="s">
        <v>11050</v>
      </c>
      <c r="H2166">
        <v>6</v>
      </c>
      <c r="I2166">
        <v>1</v>
      </c>
      <c r="J2166">
        <v>1</v>
      </c>
      <c r="K2166">
        <v>0</v>
      </c>
      <c r="L2166" s="61" t="s">
        <v>4779</v>
      </c>
    </row>
    <row r="2167" spans="6:12">
      <c r="F2167" t="s">
        <v>13699</v>
      </c>
      <c r="G2167" t="s">
        <v>13700</v>
      </c>
      <c r="H2167">
        <v>6</v>
      </c>
      <c r="I2167">
        <v>1</v>
      </c>
      <c r="J2167">
        <v>1</v>
      </c>
      <c r="K2167">
        <v>0</v>
      </c>
      <c r="L2167" s="61" t="s">
        <v>4779</v>
      </c>
    </row>
    <row r="2168" spans="6:12">
      <c r="F2168" t="s">
        <v>13701</v>
      </c>
      <c r="G2168" t="s">
        <v>11059</v>
      </c>
      <c r="H2168">
        <v>4</v>
      </c>
      <c r="I2168">
        <v>2</v>
      </c>
      <c r="J2168">
        <v>2</v>
      </c>
      <c r="K2168">
        <v>0</v>
      </c>
      <c r="L2168" s="61" t="s">
        <v>4779</v>
      </c>
    </row>
    <row r="2169" spans="6:12">
      <c r="F2169" t="s">
        <v>13702</v>
      </c>
      <c r="G2169" t="s">
        <v>5293</v>
      </c>
      <c r="H2169">
        <v>5</v>
      </c>
      <c r="I2169">
        <v>1</v>
      </c>
      <c r="J2169">
        <v>2</v>
      </c>
      <c r="K2169">
        <v>0</v>
      </c>
      <c r="L2169" s="61" t="s">
        <v>4779</v>
      </c>
    </row>
    <row r="2170" spans="6:12">
      <c r="F2170" t="s">
        <v>13703</v>
      </c>
      <c r="G2170" t="s">
        <v>4993</v>
      </c>
      <c r="H2170">
        <v>5</v>
      </c>
      <c r="I2170">
        <v>1</v>
      </c>
      <c r="J2170">
        <v>2</v>
      </c>
      <c r="K2170">
        <v>0</v>
      </c>
      <c r="L2170" s="61" t="s">
        <v>4779</v>
      </c>
    </row>
    <row r="2171" spans="6:12">
      <c r="F2171" t="s">
        <v>13704</v>
      </c>
      <c r="G2171" t="s">
        <v>5485</v>
      </c>
      <c r="H2171">
        <v>4</v>
      </c>
      <c r="I2171">
        <v>2</v>
      </c>
      <c r="J2171">
        <v>2</v>
      </c>
      <c r="K2171">
        <v>0</v>
      </c>
      <c r="L2171" s="61" t="s">
        <v>4779</v>
      </c>
    </row>
    <row r="2172" spans="6:12">
      <c r="F2172" t="s">
        <v>13705</v>
      </c>
      <c r="G2172" t="s">
        <v>11047</v>
      </c>
      <c r="H2172">
        <v>4</v>
      </c>
      <c r="I2172">
        <v>3</v>
      </c>
      <c r="J2172">
        <v>1</v>
      </c>
      <c r="K2172">
        <v>0</v>
      </c>
      <c r="L2172" s="61" t="s">
        <v>4779</v>
      </c>
    </row>
    <row r="2173" spans="6:12">
      <c r="F2173" t="s">
        <v>13706</v>
      </c>
      <c r="G2173" t="s">
        <v>11044</v>
      </c>
      <c r="H2173">
        <v>5</v>
      </c>
      <c r="I2173">
        <v>3</v>
      </c>
      <c r="J2173">
        <v>0</v>
      </c>
      <c r="K2173">
        <v>0</v>
      </c>
      <c r="L2173" s="61" t="s">
        <v>4779</v>
      </c>
    </row>
    <row r="2174" spans="6:12">
      <c r="F2174" t="s">
        <v>13707</v>
      </c>
      <c r="G2174" t="s">
        <v>5478</v>
      </c>
      <c r="H2174">
        <v>6</v>
      </c>
      <c r="I2174">
        <v>2</v>
      </c>
      <c r="J2174">
        <v>0</v>
      </c>
      <c r="K2174">
        <v>0</v>
      </c>
      <c r="L2174" s="61" t="s">
        <v>4808</v>
      </c>
    </row>
    <row r="2175" spans="6:12">
      <c r="F2175" t="s">
        <v>13708</v>
      </c>
      <c r="G2175" t="s">
        <v>13709</v>
      </c>
      <c r="H2175">
        <v>4</v>
      </c>
      <c r="I2175">
        <v>3</v>
      </c>
      <c r="J2175">
        <v>1</v>
      </c>
      <c r="K2175">
        <v>0</v>
      </c>
      <c r="L2175" s="61" t="s">
        <v>4779</v>
      </c>
    </row>
    <row r="2176" spans="6:12">
      <c r="F2176" t="s">
        <v>13710</v>
      </c>
      <c r="G2176" t="s">
        <v>9333</v>
      </c>
      <c r="H2176">
        <v>5</v>
      </c>
      <c r="I2176">
        <v>1</v>
      </c>
      <c r="J2176">
        <v>2</v>
      </c>
      <c r="K2176">
        <v>0</v>
      </c>
      <c r="L2176" s="61" t="s">
        <v>4779</v>
      </c>
    </row>
    <row r="2177" spans="6:12">
      <c r="F2177" t="s">
        <v>13711</v>
      </c>
      <c r="G2177" t="s">
        <v>5824</v>
      </c>
      <c r="H2177">
        <v>6</v>
      </c>
      <c r="I2177">
        <v>1</v>
      </c>
      <c r="J2177">
        <v>1</v>
      </c>
      <c r="K2177">
        <v>0</v>
      </c>
      <c r="L2177" s="61" t="s">
        <v>4779</v>
      </c>
    </row>
    <row r="2178" spans="6:12">
      <c r="F2178" t="s">
        <v>13712</v>
      </c>
      <c r="G2178" t="s">
        <v>5552</v>
      </c>
      <c r="H2178">
        <v>4</v>
      </c>
      <c r="I2178">
        <v>2</v>
      </c>
      <c r="J2178">
        <v>2</v>
      </c>
      <c r="K2178">
        <v>0</v>
      </c>
      <c r="L2178" s="61" t="s">
        <v>4779</v>
      </c>
    </row>
    <row r="2179" spans="6:12">
      <c r="F2179" t="s">
        <v>13713</v>
      </c>
      <c r="G2179" t="s">
        <v>10954</v>
      </c>
      <c r="H2179">
        <v>4</v>
      </c>
      <c r="I2179">
        <v>2</v>
      </c>
      <c r="J2179">
        <v>2</v>
      </c>
      <c r="K2179">
        <v>0</v>
      </c>
      <c r="L2179" s="61" t="s">
        <v>4779</v>
      </c>
    </row>
    <row r="2180" spans="6:12">
      <c r="F2180" t="s">
        <v>13714</v>
      </c>
      <c r="G2180" t="s">
        <v>5055</v>
      </c>
      <c r="H2180">
        <v>7</v>
      </c>
      <c r="I2180">
        <v>1</v>
      </c>
      <c r="J2180">
        <v>0</v>
      </c>
      <c r="K2180">
        <v>0</v>
      </c>
      <c r="L2180" s="61" t="s">
        <v>4779</v>
      </c>
    </row>
    <row r="2181" spans="6:12">
      <c r="F2181" t="s">
        <v>13715</v>
      </c>
      <c r="G2181" t="s">
        <v>5483</v>
      </c>
      <c r="H2181">
        <v>5</v>
      </c>
      <c r="I2181">
        <v>3</v>
      </c>
      <c r="J2181">
        <v>0</v>
      </c>
      <c r="K2181">
        <v>0</v>
      </c>
      <c r="L2181" s="61" t="s">
        <v>4779</v>
      </c>
    </row>
    <row r="2182" spans="6:12">
      <c r="F2182" t="s">
        <v>13716</v>
      </c>
      <c r="G2182" t="s">
        <v>5307</v>
      </c>
      <c r="H2182">
        <v>6</v>
      </c>
      <c r="I2182">
        <v>2</v>
      </c>
      <c r="J2182">
        <v>0</v>
      </c>
      <c r="K2182">
        <v>0</v>
      </c>
      <c r="L2182" s="61" t="s">
        <v>4779</v>
      </c>
    </row>
    <row r="2183" spans="6:12">
      <c r="F2183" t="s">
        <v>13717</v>
      </c>
      <c r="G2183" t="s">
        <v>4973</v>
      </c>
      <c r="H2183">
        <v>4</v>
      </c>
      <c r="I2183">
        <v>2</v>
      </c>
      <c r="J2183">
        <v>2</v>
      </c>
      <c r="K2183">
        <v>0</v>
      </c>
      <c r="L2183" s="61" t="s">
        <v>4779</v>
      </c>
    </row>
    <row r="2184" spans="6:12">
      <c r="F2184" t="s">
        <v>13718</v>
      </c>
      <c r="G2184" t="s">
        <v>5284</v>
      </c>
      <c r="H2184">
        <v>3</v>
      </c>
      <c r="I2184">
        <v>3</v>
      </c>
      <c r="J2184">
        <v>2</v>
      </c>
      <c r="K2184">
        <v>0</v>
      </c>
      <c r="L2184" s="61" t="s">
        <v>4779</v>
      </c>
    </row>
    <row r="2185" spans="6:12">
      <c r="F2185" t="s">
        <v>13719</v>
      </c>
      <c r="G2185" t="s">
        <v>5286</v>
      </c>
      <c r="H2185">
        <v>5</v>
      </c>
      <c r="I2185">
        <v>2</v>
      </c>
      <c r="J2185">
        <v>1</v>
      </c>
      <c r="K2185">
        <v>0</v>
      </c>
      <c r="L2185" s="61" t="s">
        <v>4810</v>
      </c>
    </row>
    <row r="2186" spans="6:12">
      <c r="F2186" t="s">
        <v>13720</v>
      </c>
      <c r="G2186" t="s">
        <v>13721</v>
      </c>
      <c r="H2186">
        <v>6</v>
      </c>
      <c r="I2186">
        <v>2</v>
      </c>
      <c r="J2186">
        <v>0</v>
      </c>
      <c r="K2186">
        <v>0</v>
      </c>
      <c r="L2186" s="61" t="s">
        <v>4779</v>
      </c>
    </row>
    <row r="2187" spans="6:12">
      <c r="F2187" t="s">
        <v>13722</v>
      </c>
      <c r="G2187" t="s">
        <v>5353</v>
      </c>
      <c r="H2187">
        <v>3</v>
      </c>
      <c r="I2187">
        <v>3</v>
      </c>
      <c r="J2187">
        <v>2</v>
      </c>
      <c r="K2187">
        <v>0</v>
      </c>
      <c r="L2187" s="61" t="s">
        <v>4779</v>
      </c>
    </row>
    <row r="2188" spans="6:12">
      <c r="F2188" t="s">
        <v>13723</v>
      </c>
      <c r="G2188" t="s">
        <v>5457</v>
      </c>
      <c r="H2188">
        <v>5</v>
      </c>
      <c r="I2188">
        <v>2</v>
      </c>
      <c r="J2188">
        <v>1</v>
      </c>
      <c r="K2188">
        <v>0</v>
      </c>
      <c r="L2188" s="61" t="s">
        <v>4779</v>
      </c>
    </row>
    <row r="2189" spans="6:12">
      <c r="F2189" t="s">
        <v>13724</v>
      </c>
      <c r="G2189" t="s">
        <v>7183</v>
      </c>
      <c r="H2189">
        <v>5</v>
      </c>
      <c r="I2189">
        <v>2</v>
      </c>
      <c r="J2189">
        <v>1</v>
      </c>
      <c r="K2189">
        <v>0</v>
      </c>
      <c r="L2189" s="61" t="s">
        <v>4806</v>
      </c>
    </row>
    <row r="2190" spans="6:12">
      <c r="F2190" t="s">
        <v>13725</v>
      </c>
      <c r="G2190" t="s">
        <v>13726</v>
      </c>
      <c r="H2190">
        <v>7</v>
      </c>
      <c r="I2190">
        <v>1</v>
      </c>
      <c r="J2190">
        <v>0</v>
      </c>
      <c r="K2190">
        <v>0</v>
      </c>
      <c r="L2190" s="61" t="s">
        <v>4779</v>
      </c>
    </row>
    <row r="2191" spans="6:12">
      <c r="F2191" t="s">
        <v>13727</v>
      </c>
      <c r="G2191" t="s">
        <v>5136</v>
      </c>
      <c r="H2191">
        <v>4</v>
      </c>
      <c r="I2191">
        <v>2</v>
      </c>
      <c r="J2191">
        <v>2</v>
      </c>
      <c r="K2191">
        <v>0</v>
      </c>
      <c r="L2191" s="61" t="s">
        <v>4779</v>
      </c>
    </row>
    <row r="2192" spans="6:12">
      <c r="F2192" t="s">
        <v>13728</v>
      </c>
      <c r="G2192" t="s">
        <v>13729</v>
      </c>
      <c r="H2192">
        <v>5</v>
      </c>
      <c r="I2192">
        <v>3</v>
      </c>
      <c r="J2192">
        <v>0</v>
      </c>
      <c r="K2192">
        <v>0</v>
      </c>
      <c r="L2192" s="61" t="s">
        <v>4779</v>
      </c>
    </row>
    <row r="2193" spans="6:12">
      <c r="F2193" t="s">
        <v>13730</v>
      </c>
      <c r="G2193" t="s">
        <v>7030</v>
      </c>
      <c r="H2193">
        <v>5</v>
      </c>
      <c r="I2193">
        <v>2</v>
      </c>
      <c r="J2193">
        <v>1</v>
      </c>
      <c r="K2193">
        <v>0</v>
      </c>
      <c r="L2193" s="61" t="s">
        <v>4779</v>
      </c>
    </row>
    <row r="2194" spans="6:12">
      <c r="F2194" t="s">
        <v>13731</v>
      </c>
      <c r="G2194" t="s">
        <v>5083</v>
      </c>
      <c r="H2194">
        <v>5</v>
      </c>
      <c r="I2194">
        <v>1</v>
      </c>
      <c r="J2194">
        <v>2</v>
      </c>
      <c r="K2194">
        <v>0</v>
      </c>
      <c r="L2194" s="61" t="s">
        <v>4779</v>
      </c>
    </row>
    <row r="2195" spans="6:12">
      <c r="F2195" t="s">
        <v>13732</v>
      </c>
      <c r="G2195" t="s">
        <v>7502</v>
      </c>
      <c r="H2195">
        <v>5</v>
      </c>
      <c r="I2195">
        <v>2</v>
      </c>
      <c r="J2195">
        <v>1</v>
      </c>
      <c r="K2195">
        <v>0</v>
      </c>
      <c r="L2195" s="61" t="s">
        <v>4779</v>
      </c>
    </row>
    <row r="2196" spans="6:12">
      <c r="F2196" t="s">
        <v>13733</v>
      </c>
      <c r="G2196" t="s">
        <v>13734</v>
      </c>
      <c r="H2196">
        <v>6</v>
      </c>
      <c r="I2196">
        <v>1</v>
      </c>
      <c r="J2196">
        <v>1</v>
      </c>
      <c r="K2196">
        <v>0</v>
      </c>
      <c r="L2196" s="61" t="s">
        <v>4779</v>
      </c>
    </row>
    <row r="2197" spans="6:12">
      <c r="F2197" t="s">
        <v>13735</v>
      </c>
      <c r="G2197" t="s">
        <v>8153</v>
      </c>
      <c r="H2197">
        <v>7</v>
      </c>
      <c r="I2197">
        <v>1</v>
      </c>
      <c r="J2197">
        <v>0</v>
      </c>
      <c r="K2197">
        <v>0</v>
      </c>
      <c r="L2197" s="61" t="s">
        <v>4779</v>
      </c>
    </row>
    <row r="2198" spans="6:12">
      <c r="F2198" t="s">
        <v>13736</v>
      </c>
      <c r="G2198" t="s">
        <v>13737</v>
      </c>
      <c r="H2198">
        <v>6</v>
      </c>
      <c r="I2198">
        <v>1</v>
      </c>
      <c r="J2198">
        <v>1</v>
      </c>
      <c r="K2198">
        <v>0</v>
      </c>
      <c r="L2198" s="61" t="s">
        <v>4779</v>
      </c>
    </row>
    <row r="2199" spans="6:12">
      <c r="F2199" t="s">
        <v>13738</v>
      </c>
      <c r="G2199" t="s">
        <v>13739</v>
      </c>
      <c r="H2199">
        <v>6</v>
      </c>
      <c r="I2199">
        <v>1</v>
      </c>
      <c r="J2199">
        <v>1</v>
      </c>
      <c r="K2199">
        <v>0</v>
      </c>
      <c r="L2199" s="61" t="s">
        <v>4779</v>
      </c>
    </row>
    <row r="2200" spans="6:12">
      <c r="F2200" t="s">
        <v>13740</v>
      </c>
      <c r="G2200" t="s">
        <v>13741</v>
      </c>
      <c r="H2200">
        <v>6</v>
      </c>
      <c r="I2200">
        <v>2</v>
      </c>
      <c r="J2200">
        <v>0</v>
      </c>
      <c r="K2200">
        <v>0</v>
      </c>
      <c r="L2200" s="61" t="s">
        <v>4806</v>
      </c>
    </row>
    <row r="2201" spans="6:12">
      <c r="F2201" t="s">
        <v>13742</v>
      </c>
      <c r="G2201" t="s">
        <v>13743</v>
      </c>
      <c r="H2201">
        <v>4</v>
      </c>
      <c r="I2201">
        <v>3</v>
      </c>
      <c r="J2201">
        <v>1</v>
      </c>
      <c r="K2201">
        <v>0</v>
      </c>
      <c r="L2201" s="61" t="s">
        <v>4779</v>
      </c>
    </row>
    <row r="2202" spans="6:12">
      <c r="F2202" t="s">
        <v>13744</v>
      </c>
      <c r="G2202" t="s">
        <v>13745</v>
      </c>
      <c r="H2202">
        <v>4</v>
      </c>
      <c r="I2202">
        <v>3</v>
      </c>
      <c r="J2202">
        <v>1</v>
      </c>
      <c r="K2202">
        <v>0</v>
      </c>
      <c r="L2202" s="61" t="s">
        <v>4779</v>
      </c>
    </row>
    <row r="2203" spans="6:12">
      <c r="F2203" t="s">
        <v>13746</v>
      </c>
      <c r="G2203" t="s">
        <v>13747</v>
      </c>
      <c r="H2203">
        <v>4</v>
      </c>
      <c r="I2203">
        <v>2</v>
      </c>
      <c r="J2203">
        <v>2</v>
      </c>
      <c r="K2203">
        <v>0</v>
      </c>
      <c r="L2203" s="61" t="s">
        <v>4779</v>
      </c>
    </row>
    <row r="2204" spans="6:12">
      <c r="F2204" t="s">
        <v>13748</v>
      </c>
      <c r="G2204" t="s">
        <v>11079</v>
      </c>
      <c r="H2204">
        <v>6</v>
      </c>
      <c r="I2204">
        <v>1</v>
      </c>
      <c r="J2204">
        <v>1</v>
      </c>
      <c r="K2204">
        <v>0</v>
      </c>
      <c r="L2204" s="61" t="s">
        <v>4779</v>
      </c>
    </row>
    <row r="2205" spans="6:12">
      <c r="F2205" t="s">
        <v>13749</v>
      </c>
      <c r="G2205" t="s">
        <v>13750</v>
      </c>
      <c r="H2205">
        <v>4</v>
      </c>
      <c r="I2205">
        <v>2</v>
      </c>
      <c r="J2205">
        <v>2</v>
      </c>
      <c r="K2205">
        <v>0</v>
      </c>
      <c r="L2205" s="61" t="s">
        <v>4779</v>
      </c>
    </row>
    <row r="2206" spans="6:12">
      <c r="F2206" t="s">
        <v>13751</v>
      </c>
      <c r="G2206" t="s">
        <v>5252</v>
      </c>
      <c r="H2206">
        <v>5</v>
      </c>
      <c r="I2206">
        <v>2</v>
      </c>
      <c r="J2206">
        <v>1</v>
      </c>
      <c r="K2206">
        <v>0</v>
      </c>
      <c r="L2206" s="61" t="s">
        <v>4779</v>
      </c>
    </row>
    <row r="2207" spans="6:12">
      <c r="F2207" t="s">
        <v>13752</v>
      </c>
      <c r="G2207" t="s">
        <v>10984</v>
      </c>
      <c r="H2207">
        <v>4</v>
      </c>
      <c r="I2207">
        <v>2</v>
      </c>
      <c r="J2207">
        <v>2</v>
      </c>
      <c r="K2207">
        <v>0</v>
      </c>
      <c r="L2207" s="61" t="s">
        <v>4779</v>
      </c>
    </row>
    <row r="2208" spans="6:12">
      <c r="F2208" t="s">
        <v>13753</v>
      </c>
      <c r="G2208" t="s">
        <v>8613</v>
      </c>
      <c r="H2208">
        <v>6</v>
      </c>
      <c r="I2208">
        <v>2</v>
      </c>
      <c r="J2208">
        <v>0</v>
      </c>
      <c r="K2208">
        <v>0</v>
      </c>
      <c r="L2208" s="61" t="s">
        <v>4779</v>
      </c>
    </row>
    <row r="2209" spans="6:12">
      <c r="F2209" t="s">
        <v>13754</v>
      </c>
      <c r="G2209" t="s">
        <v>13755</v>
      </c>
      <c r="H2209">
        <v>6</v>
      </c>
      <c r="I2209">
        <v>1</v>
      </c>
      <c r="J2209">
        <v>1</v>
      </c>
      <c r="K2209">
        <v>0</v>
      </c>
      <c r="L2209" s="61" t="s">
        <v>4779</v>
      </c>
    </row>
    <row r="2210" spans="6:12">
      <c r="F2210" t="s">
        <v>13756</v>
      </c>
      <c r="G2210" t="s">
        <v>11004</v>
      </c>
      <c r="H2210">
        <v>4</v>
      </c>
      <c r="I2210">
        <v>2</v>
      </c>
      <c r="J2210">
        <v>2</v>
      </c>
      <c r="K2210">
        <v>0</v>
      </c>
      <c r="L2210" s="61" t="s">
        <v>4779</v>
      </c>
    </row>
    <row r="2211" spans="6:12">
      <c r="F2211" t="s">
        <v>13757</v>
      </c>
      <c r="G2211" t="s">
        <v>13758</v>
      </c>
      <c r="H2211">
        <v>7</v>
      </c>
      <c r="I2211">
        <v>1</v>
      </c>
      <c r="J2211">
        <v>0</v>
      </c>
      <c r="K2211">
        <v>0</v>
      </c>
      <c r="L2211" s="61" t="s">
        <v>4779</v>
      </c>
    </row>
    <row r="2212" spans="6:12">
      <c r="F2212" t="s">
        <v>13759</v>
      </c>
      <c r="G2212" t="s">
        <v>11082</v>
      </c>
      <c r="H2212">
        <v>4</v>
      </c>
      <c r="I2212">
        <v>3</v>
      </c>
      <c r="J2212">
        <v>1</v>
      </c>
      <c r="K2212">
        <v>0</v>
      </c>
      <c r="L2212" s="61" t="s">
        <v>4779</v>
      </c>
    </row>
    <row r="2213" spans="6:12">
      <c r="F2213" t="s">
        <v>13760</v>
      </c>
      <c r="G2213" t="s">
        <v>13761</v>
      </c>
      <c r="H2213">
        <v>5</v>
      </c>
      <c r="I2213">
        <v>3</v>
      </c>
      <c r="J2213">
        <v>0</v>
      </c>
      <c r="K2213">
        <v>0</v>
      </c>
      <c r="L2213" s="61" t="s">
        <v>4779</v>
      </c>
    </row>
    <row r="2214" spans="6:12">
      <c r="F2214" t="s">
        <v>13762</v>
      </c>
      <c r="G2214" t="s">
        <v>13763</v>
      </c>
      <c r="H2214">
        <v>7</v>
      </c>
      <c r="I2214">
        <v>1</v>
      </c>
      <c r="J2214">
        <v>0</v>
      </c>
      <c r="K2214">
        <v>0</v>
      </c>
      <c r="L2214" s="61" t="s">
        <v>4779</v>
      </c>
    </row>
    <row r="2215" spans="6:12">
      <c r="F2215" t="s">
        <v>13764</v>
      </c>
      <c r="G2215" t="s">
        <v>13765</v>
      </c>
      <c r="H2215">
        <v>6</v>
      </c>
      <c r="I2215">
        <v>1</v>
      </c>
      <c r="J2215">
        <v>1</v>
      </c>
      <c r="K2215">
        <v>0</v>
      </c>
      <c r="L2215" s="61" t="s">
        <v>4779</v>
      </c>
    </row>
    <row r="2216" spans="6:12">
      <c r="F2216" t="s">
        <v>13766</v>
      </c>
      <c r="G2216" t="s">
        <v>13767</v>
      </c>
      <c r="H2216">
        <v>3</v>
      </c>
      <c r="I2216">
        <v>3</v>
      </c>
      <c r="J2216">
        <v>2</v>
      </c>
      <c r="K2216">
        <v>0</v>
      </c>
      <c r="L2216" s="61" t="s">
        <v>4779</v>
      </c>
    </row>
    <row r="2217" spans="6:12">
      <c r="F2217" t="s">
        <v>13768</v>
      </c>
      <c r="G2217" t="s">
        <v>13769</v>
      </c>
      <c r="H2217">
        <v>5</v>
      </c>
      <c r="I2217">
        <v>3</v>
      </c>
      <c r="J2217">
        <v>0</v>
      </c>
      <c r="K2217">
        <v>0</v>
      </c>
      <c r="L2217" s="61" t="s">
        <v>4779</v>
      </c>
    </row>
    <row r="2218" spans="6:12">
      <c r="F2218" t="s">
        <v>13770</v>
      </c>
      <c r="G2218" t="s">
        <v>13771</v>
      </c>
      <c r="H2218">
        <v>5</v>
      </c>
      <c r="I2218">
        <v>1</v>
      </c>
      <c r="J2218">
        <v>2</v>
      </c>
      <c r="K2218">
        <v>0</v>
      </c>
      <c r="L2218" s="61" t="s">
        <v>4779</v>
      </c>
    </row>
    <row r="2219" spans="6:12">
      <c r="F2219" t="s">
        <v>13772</v>
      </c>
      <c r="G2219" t="s">
        <v>13773</v>
      </c>
      <c r="H2219">
        <v>3</v>
      </c>
      <c r="I2219">
        <v>3</v>
      </c>
      <c r="J2219">
        <v>2</v>
      </c>
      <c r="K2219">
        <v>0</v>
      </c>
      <c r="L2219" s="61" t="s">
        <v>4810</v>
      </c>
    </row>
    <row r="2220" spans="6:12">
      <c r="F2220" t="s">
        <v>13774</v>
      </c>
      <c r="G2220" t="s">
        <v>8943</v>
      </c>
      <c r="H2220">
        <v>5</v>
      </c>
      <c r="I2220">
        <v>1</v>
      </c>
      <c r="J2220">
        <v>2</v>
      </c>
      <c r="K2220">
        <v>0</v>
      </c>
      <c r="L2220" s="61" t="s">
        <v>4779</v>
      </c>
    </row>
    <row r="2221" spans="6:12">
      <c r="F2221" t="s">
        <v>13775</v>
      </c>
      <c r="G2221" t="s">
        <v>13776</v>
      </c>
      <c r="H2221">
        <v>5</v>
      </c>
      <c r="I2221">
        <v>2</v>
      </c>
      <c r="J2221">
        <v>1</v>
      </c>
      <c r="K2221">
        <v>0</v>
      </c>
      <c r="L2221" s="61" t="s">
        <v>4779</v>
      </c>
    </row>
    <row r="2222" spans="6:12">
      <c r="F2222" t="s">
        <v>13777</v>
      </c>
      <c r="G2222" t="s">
        <v>11078</v>
      </c>
      <c r="H2222">
        <v>5</v>
      </c>
      <c r="I2222">
        <v>2</v>
      </c>
      <c r="J2222">
        <v>1</v>
      </c>
      <c r="K2222">
        <v>0</v>
      </c>
      <c r="L2222" s="61" t="s">
        <v>4779</v>
      </c>
    </row>
    <row r="2223" spans="6:12">
      <c r="F2223" t="s">
        <v>13778</v>
      </c>
      <c r="G2223" t="s">
        <v>13779</v>
      </c>
      <c r="H2223">
        <v>5</v>
      </c>
      <c r="I2223">
        <v>3</v>
      </c>
      <c r="J2223">
        <v>0</v>
      </c>
      <c r="K2223">
        <v>0</v>
      </c>
      <c r="L2223" s="61" t="s">
        <v>4779</v>
      </c>
    </row>
    <row r="2224" spans="6:12">
      <c r="F2224" t="s">
        <v>13780</v>
      </c>
      <c r="G2224" t="s">
        <v>13781</v>
      </c>
      <c r="H2224">
        <v>4</v>
      </c>
      <c r="I2224">
        <v>2</v>
      </c>
      <c r="J2224">
        <v>2</v>
      </c>
      <c r="K2224">
        <v>0</v>
      </c>
      <c r="L2224" s="61" t="s">
        <v>4779</v>
      </c>
    </row>
    <row r="2225" spans="6:12">
      <c r="F2225" t="s">
        <v>13782</v>
      </c>
      <c r="G2225" t="s">
        <v>13783</v>
      </c>
      <c r="H2225">
        <v>5</v>
      </c>
      <c r="I2225">
        <v>3</v>
      </c>
      <c r="J2225">
        <v>0</v>
      </c>
      <c r="K2225">
        <v>0</v>
      </c>
      <c r="L2225" s="61" t="s">
        <v>4779</v>
      </c>
    </row>
    <row r="2226" spans="6:12">
      <c r="F2226" t="s">
        <v>13784</v>
      </c>
      <c r="G2226" t="s">
        <v>13785</v>
      </c>
      <c r="H2226">
        <v>5</v>
      </c>
      <c r="I2226">
        <v>3</v>
      </c>
      <c r="J2226">
        <v>0</v>
      </c>
      <c r="K2226">
        <v>0</v>
      </c>
      <c r="L2226" s="61" t="s">
        <v>4808</v>
      </c>
    </row>
    <row r="2227" spans="6:12">
      <c r="F2227" t="s">
        <v>13786</v>
      </c>
      <c r="G2227" t="s">
        <v>13787</v>
      </c>
      <c r="H2227">
        <v>5</v>
      </c>
      <c r="I2227">
        <v>1</v>
      </c>
      <c r="J2227">
        <v>2</v>
      </c>
      <c r="K2227">
        <v>0</v>
      </c>
      <c r="L2227" s="61" t="s">
        <v>4810</v>
      </c>
    </row>
    <row r="2228" spans="6:12">
      <c r="F2228" t="s">
        <v>13788</v>
      </c>
      <c r="G2228" t="s">
        <v>13789</v>
      </c>
      <c r="H2228">
        <v>6</v>
      </c>
      <c r="I2228">
        <v>2</v>
      </c>
      <c r="J2228">
        <v>0</v>
      </c>
      <c r="K2228">
        <v>0</v>
      </c>
      <c r="L2228" s="61" t="s">
        <v>4779</v>
      </c>
    </row>
    <row r="2229" spans="6:12">
      <c r="F2229" t="s">
        <v>13790</v>
      </c>
      <c r="G2229" t="s">
        <v>13791</v>
      </c>
      <c r="H2229">
        <v>5</v>
      </c>
      <c r="I2229">
        <v>3</v>
      </c>
      <c r="J2229">
        <v>0</v>
      </c>
      <c r="K2229">
        <v>0</v>
      </c>
      <c r="L2229" s="61" t="s">
        <v>4779</v>
      </c>
    </row>
    <row r="2230" spans="6:12">
      <c r="F2230" t="s">
        <v>13792</v>
      </c>
      <c r="G2230" t="s">
        <v>11073</v>
      </c>
      <c r="H2230">
        <v>4</v>
      </c>
      <c r="I2230">
        <v>2</v>
      </c>
      <c r="J2230">
        <v>2</v>
      </c>
      <c r="K2230">
        <v>0</v>
      </c>
      <c r="L2230" s="61" t="s">
        <v>4809</v>
      </c>
    </row>
    <row r="2231" spans="6:12">
      <c r="F2231" t="s">
        <v>13793</v>
      </c>
      <c r="G2231" t="s">
        <v>13794</v>
      </c>
      <c r="H2231">
        <v>3</v>
      </c>
      <c r="I2231">
        <v>3</v>
      </c>
      <c r="J2231">
        <v>2</v>
      </c>
      <c r="K2231">
        <v>0</v>
      </c>
      <c r="L2231" s="61" t="s">
        <v>4779</v>
      </c>
    </row>
    <row r="2232" spans="6:12">
      <c r="F2232" t="s">
        <v>13795</v>
      </c>
      <c r="G2232" t="s">
        <v>13796</v>
      </c>
      <c r="H2232">
        <v>5</v>
      </c>
      <c r="I2232">
        <v>2</v>
      </c>
      <c r="J2232">
        <v>1</v>
      </c>
      <c r="K2232">
        <v>0</v>
      </c>
      <c r="L2232" s="61" t="s">
        <v>4779</v>
      </c>
    </row>
    <row r="2233" spans="6:12">
      <c r="F2233" t="s">
        <v>13797</v>
      </c>
      <c r="G2233" t="s">
        <v>13798</v>
      </c>
      <c r="H2233">
        <v>6</v>
      </c>
      <c r="I2233">
        <v>1</v>
      </c>
      <c r="J2233">
        <v>1</v>
      </c>
      <c r="K2233">
        <v>0</v>
      </c>
      <c r="L2233" s="61" t="s">
        <v>4807</v>
      </c>
    </row>
    <row r="2234" spans="6:12">
      <c r="F2234" t="s">
        <v>13799</v>
      </c>
      <c r="G2234" t="s">
        <v>5391</v>
      </c>
      <c r="H2234">
        <v>6</v>
      </c>
      <c r="I2234">
        <v>1</v>
      </c>
      <c r="J2234">
        <v>1</v>
      </c>
      <c r="K2234">
        <v>0</v>
      </c>
      <c r="L2234" s="61" t="s">
        <v>4779</v>
      </c>
    </row>
    <row r="2235" spans="6:12">
      <c r="F2235" t="s">
        <v>13800</v>
      </c>
      <c r="G2235" t="s">
        <v>13801</v>
      </c>
      <c r="H2235">
        <v>5</v>
      </c>
      <c r="I2235">
        <v>1</v>
      </c>
      <c r="J2235">
        <v>2</v>
      </c>
      <c r="K2235">
        <v>0</v>
      </c>
      <c r="L2235" s="61" t="s">
        <v>4779</v>
      </c>
    </row>
    <row r="2236" spans="6:12">
      <c r="F2236" t="s">
        <v>13802</v>
      </c>
      <c r="G2236" t="s">
        <v>13803</v>
      </c>
      <c r="H2236">
        <v>5</v>
      </c>
      <c r="I2236">
        <v>3</v>
      </c>
      <c r="J2236">
        <v>0</v>
      </c>
      <c r="K2236">
        <v>0</v>
      </c>
      <c r="L2236" s="61" t="s">
        <v>4779</v>
      </c>
    </row>
    <row r="2237" spans="6:12">
      <c r="F2237" t="s">
        <v>13804</v>
      </c>
      <c r="G2237" t="s">
        <v>13805</v>
      </c>
      <c r="H2237">
        <v>6</v>
      </c>
      <c r="I2237">
        <v>1</v>
      </c>
      <c r="J2237">
        <v>1</v>
      </c>
      <c r="K2237">
        <v>0</v>
      </c>
      <c r="L2237" s="61" t="s">
        <v>4809</v>
      </c>
    </row>
    <row r="2238" spans="6:12">
      <c r="F2238" t="s">
        <v>13806</v>
      </c>
      <c r="G2238" t="s">
        <v>13807</v>
      </c>
      <c r="H2238">
        <v>6</v>
      </c>
      <c r="I2238">
        <v>2</v>
      </c>
      <c r="J2238">
        <v>0</v>
      </c>
      <c r="K2238">
        <v>0</v>
      </c>
      <c r="L2238" s="61" t="s">
        <v>4779</v>
      </c>
    </row>
    <row r="2239" spans="6:12">
      <c r="F2239" t="s">
        <v>13808</v>
      </c>
      <c r="G2239" t="s">
        <v>13809</v>
      </c>
      <c r="H2239">
        <v>7</v>
      </c>
      <c r="I2239">
        <v>1</v>
      </c>
      <c r="J2239">
        <v>0</v>
      </c>
      <c r="K2239">
        <v>0</v>
      </c>
      <c r="L2239" s="61" t="s">
        <v>4779</v>
      </c>
    </row>
    <row r="2240" spans="6:12">
      <c r="F2240" t="s">
        <v>13810</v>
      </c>
      <c r="G2240" t="s">
        <v>13811</v>
      </c>
      <c r="H2240">
        <v>6</v>
      </c>
      <c r="I2240">
        <v>2</v>
      </c>
      <c r="J2240">
        <v>0</v>
      </c>
      <c r="K2240">
        <v>0</v>
      </c>
      <c r="L2240" s="61" t="s">
        <v>4779</v>
      </c>
    </row>
    <row r="2241" spans="6:12">
      <c r="F2241" t="s">
        <v>13812</v>
      </c>
      <c r="G2241" t="s">
        <v>13813</v>
      </c>
      <c r="H2241">
        <v>7</v>
      </c>
      <c r="I2241">
        <v>1</v>
      </c>
      <c r="J2241">
        <v>0</v>
      </c>
      <c r="K2241">
        <v>0</v>
      </c>
      <c r="L2241" s="61" t="s">
        <v>4779</v>
      </c>
    </row>
    <row r="2242" spans="6:12">
      <c r="F2242" t="s">
        <v>13814</v>
      </c>
      <c r="G2242" t="s">
        <v>13815</v>
      </c>
      <c r="H2242">
        <v>6</v>
      </c>
      <c r="I2242">
        <v>2</v>
      </c>
      <c r="J2242">
        <v>0</v>
      </c>
      <c r="K2242">
        <v>0</v>
      </c>
      <c r="L2242" s="61" t="s">
        <v>4779</v>
      </c>
    </row>
    <row r="2243" spans="6:12">
      <c r="F2243" t="s">
        <v>13816</v>
      </c>
      <c r="G2243" t="s">
        <v>13817</v>
      </c>
      <c r="H2243">
        <v>7</v>
      </c>
      <c r="I2243">
        <v>1</v>
      </c>
      <c r="J2243">
        <v>0</v>
      </c>
      <c r="K2243">
        <v>0</v>
      </c>
      <c r="L2243" s="61" t="s">
        <v>4779</v>
      </c>
    </row>
    <row r="2244" spans="6:12">
      <c r="F2244" t="s">
        <v>13818</v>
      </c>
      <c r="G2244" t="s">
        <v>13819</v>
      </c>
      <c r="H2244">
        <v>6</v>
      </c>
      <c r="I2244">
        <v>2</v>
      </c>
      <c r="J2244">
        <v>0</v>
      </c>
      <c r="K2244">
        <v>0</v>
      </c>
      <c r="L2244" s="61" t="s">
        <v>4779</v>
      </c>
    </row>
    <row r="2245" spans="6:12">
      <c r="F2245" t="s">
        <v>13820</v>
      </c>
      <c r="G2245" t="s">
        <v>11007</v>
      </c>
      <c r="H2245">
        <v>3</v>
      </c>
      <c r="I2245">
        <v>3</v>
      </c>
      <c r="J2245">
        <v>2</v>
      </c>
      <c r="K2245">
        <v>0</v>
      </c>
      <c r="L2245" s="61" t="s">
        <v>4779</v>
      </c>
    </row>
    <row r="2246" spans="6:12">
      <c r="F2246" t="s">
        <v>13821</v>
      </c>
      <c r="G2246" t="s">
        <v>13822</v>
      </c>
      <c r="H2246">
        <v>7</v>
      </c>
      <c r="I2246">
        <v>1</v>
      </c>
      <c r="J2246">
        <v>0</v>
      </c>
      <c r="K2246">
        <v>0</v>
      </c>
      <c r="L2246" s="61" t="s">
        <v>4779</v>
      </c>
    </row>
    <row r="2247" spans="6:12">
      <c r="F2247" t="s">
        <v>13823</v>
      </c>
      <c r="G2247" t="s">
        <v>13824</v>
      </c>
      <c r="H2247">
        <v>7</v>
      </c>
      <c r="I2247">
        <v>1</v>
      </c>
      <c r="J2247">
        <v>0</v>
      </c>
      <c r="K2247">
        <v>0</v>
      </c>
      <c r="L2247" s="61" t="s">
        <v>4779</v>
      </c>
    </row>
    <row r="2248" spans="6:12">
      <c r="F2248" t="s">
        <v>13825</v>
      </c>
      <c r="G2248" t="s">
        <v>5256</v>
      </c>
      <c r="H2248">
        <v>6</v>
      </c>
      <c r="I2248">
        <v>2</v>
      </c>
      <c r="J2248">
        <v>0</v>
      </c>
      <c r="K2248">
        <v>0</v>
      </c>
      <c r="L2248" s="61" t="s">
        <v>4779</v>
      </c>
    </row>
    <row r="2249" spans="6:12">
      <c r="F2249" t="s">
        <v>13826</v>
      </c>
      <c r="G2249" t="s">
        <v>13827</v>
      </c>
      <c r="H2249">
        <v>6</v>
      </c>
      <c r="I2249">
        <v>1</v>
      </c>
      <c r="J2249">
        <v>1</v>
      </c>
      <c r="K2249">
        <v>0</v>
      </c>
      <c r="L2249" s="61" t="s">
        <v>4779</v>
      </c>
    </row>
    <row r="2250" spans="6:12">
      <c r="F2250" t="s">
        <v>13828</v>
      </c>
      <c r="G2250" t="s">
        <v>5835</v>
      </c>
      <c r="H2250">
        <v>5</v>
      </c>
      <c r="I2250">
        <v>2</v>
      </c>
      <c r="J2250">
        <v>1</v>
      </c>
      <c r="K2250">
        <v>0</v>
      </c>
      <c r="L2250" s="61" t="s">
        <v>4779</v>
      </c>
    </row>
    <row r="2251" spans="6:12">
      <c r="F2251" t="s">
        <v>13829</v>
      </c>
      <c r="G2251" t="s">
        <v>13830</v>
      </c>
      <c r="H2251">
        <v>3</v>
      </c>
      <c r="I2251">
        <v>3</v>
      </c>
      <c r="J2251">
        <v>2</v>
      </c>
      <c r="K2251">
        <v>0</v>
      </c>
      <c r="L2251" s="61" t="s">
        <v>4807</v>
      </c>
    </row>
    <row r="2252" spans="6:12">
      <c r="F2252" t="s">
        <v>13831</v>
      </c>
      <c r="G2252" t="s">
        <v>13832</v>
      </c>
      <c r="H2252">
        <v>5</v>
      </c>
      <c r="I2252">
        <v>3</v>
      </c>
      <c r="J2252">
        <v>0</v>
      </c>
      <c r="K2252">
        <v>0</v>
      </c>
      <c r="L2252" s="61" t="s">
        <v>4779</v>
      </c>
    </row>
    <row r="2253" spans="6:12">
      <c r="F2253" t="s">
        <v>13833</v>
      </c>
      <c r="G2253" t="s">
        <v>13834</v>
      </c>
      <c r="H2253">
        <v>7</v>
      </c>
      <c r="I2253">
        <v>1</v>
      </c>
      <c r="J2253">
        <v>0</v>
      </c>
      <c r="K2253">
        <v>0</v>
      </c>
      <c r="L2253" s="61" t="s">
        <v>4806</v>
      </c>
    </row>
    <row r="2254" spans="6:12">
      <c r="F2254" t="s">
        <v>13835</v>
      </c>
      <c r="G2254" t="s">
        <v>13836</v>
      </c>
      <c r="H2254">
        <v>7</v>
      </c>
      <c r="I2254">
        <v>1</v>
      </c>
      <c r="J2254">
        <v>0</v>
      </c>
      <c r="K2254">
        <v>0</v>
      </c>
      <c r="L2254" s="61" t="s">
        <v>4779</v>
      </c>
    </row>
    <row r="2255" spans="6:12">
      <c r="F2255" t="s">
        <v>13837</v>
      </c>
      <c r="G2255" t="s">
        <v>13838</v>
      </c>
      <c r="H2255">
        <v>7</v>
      </c>
      <c r="I2255">
        <v>1</v>
      </c>
      <c r="J2255">
        <v>0</v>
      </c>
      <c r="K2255">
        <v>0</v>
      </c>
      <c r="L2255" s="61" t="s">
        <v>4779</v>
      </c>
    </row>
    <row r="2256" spans="6:12">
      <c r="F2256" t="s">
        <v>13839</v>
      </c>
      <c r="G2256" t="s">
        <v>13840</v>
      </c>
      <c r="H2256">
        <v>5</v>
      </c>
      <c r="I2256">
        <v>3</v>
      </c>
      <c r="J2256">
        <v>0</v>
      </c>
      <c r="K2256">
        <v>0</v>
      </c>
      <c r="L2256" s="61" t="s">
        <v>4808</v>
      </c>
    </row>
    <row r="2257" spans="6:12">
      <c r="F2257" t="s">
        <v>13841</v>
      </c>
      <c r="G2257" t="s">
        <v>6794</v>
      </c>
      <c r="H2257">
        <v>3</v>
      </c>
      <c r="I2257">
        <v>3</v>
      </c>
      <c r="J2257">
        <v>2</v>
      </c>
      <c r="K2257">
        <v>0</v>
      </c>
      <c r="L2257" s="61" t="s">
        <v>4779</v>
      </c>
    </row>
    <row r="2258" spans="6:12">
      <c r="F2258" t="s">
        <v>13842</v>
      </c>
      <c r="G2258" t="s">
        <v>13843</v>
      </c>
      <c r="H2258">
        <v>5</v>
      </c>
      <c r="I2258">
        <v>2</v>
      </c>
      <c r="J2258">
        <v>1</v>
      </c>
      <c r="K2258">
        <v>0</v>
      </c>
      <c r="L2258" s="61" t="s">
        <v>4779</v>
      </c>
    </row>
    <row r="2259" spans="6:12">
      <c r="F2259" t="s">
        <v>13844</v>
      </c>
      <c r="G2259" t="s">
        <v>7807</v>
      </c>
      <c r="H2259">
        <v>3</v>
      </c>
      <c r="I2259">
        <v>3</v>
      </c>
      <c r="J2259">
        <v>2</v>
      </c>
      <c r="K2259">
        <v>0</v>
      </c>
      <c r="L2259" s="61" t="s">
        <v>4779</v>
      </c>
    </row>
    <row r="2260" spans="6:12">
      <c r="F2260" t="s">
        <v>13845</v>
      </c>
      <c r="G2260" t="s">
        <v>13846</v>
      </c>
      <c r="H2260">
        <v>6</v>
      </c>
      <c r="I2260">
        <v>2</v>
      </c>
      <c r="J2260">
        <v>0</v>
      </c>
      <c r="K2260">
        <v>0</v>
      </c>
      <c r="L2260" s="61" t="s">
        <v>4807</v>
      </c>
    </row>
    <row r="2261" spans="6:12">
      <c r="F2261" t="s">
        <v>13847</v>
      </c>
      <c r="G2261" t="s">
        <v>13848</v>
      </c>
      <c r="H2261">
        <v>4</v>
      </c>
      <c r="I2261">
        <v>2</v>
      </c>
      <c r="J2261">
        <v>2</v>
      </c>
      <c r="K2261">
        <v>0</v>
      </c>
      <c r="L2261" s="61" t="s">
        <v>4779</v>
      </c>
    </row>
    <row r="2262" spans="6:12">
      <c r="F2262" t="s">
        <v>13849</v>
      </c>
      <c r="G2262" t="s">
        <v>13850</v>
      </c>
      <c r="H2262">
        <v>7</v>
      </c>
      <c r="I2262">
        <v>1</v>
      </c>
      <c r="J2262">
        <v>0</v>
      </c>
      <c r="K2262">
        <v>0</v>
      </c>
      <c r="L2262" s="61" t="s">
        <v>4779</v>
      </c>
    </row>
    <row r="2263" spans="6:12">
      <c r="F2263" t="s">
        <v>13851</v>
      </c>
      <c r="G2263" t="s">
        <v>5937</v>
      </c>
      <c r="H2263">
        <v>4</v>
      </c>
      <c r="I2263">
        <v>2</v>
      </c>
      <c r="J2263">
        <v>2</v>
      </c>
      <c r="K2263">
        <v>0</v>
      </c>
      <c r="L2263" s="61" t="s">
        <v>4779</v>
      </c>
    </row>
    <row r="2264" spans="6:12">
      <c r="F2264" t="s">
        <v>13852</v>
      </c>
      <c r="G2264" t="s">
        <v>13853</v>
      </c>
      <c r="H2264">
        <v>6</v>
      </c>
      <c r="I2264">
        <v>1</v>
      </c>
      <c r="J2264">
        <v>1</v>
      </c>
      <c r="K2264">
        <v>0</v>
      </c>
      <c r="L2264" s="61" t="s">
        <v>4779</v>
      </c>
    </row>
    <row r="2265" spans="6:12">
      <c r="F2265" t="s">
        <v>13854</v>
      </c>
      <c r="G2265" t="s">
        <v>13855</v>
      </c>
      <c r="H2265">
        <v>4</v>
      </c>
      <c r="I2265">
        <v>3</v>
      </c>
      <c r="J2265">
        <v>1</v>
      </c>
      <c r="K2265">
        <v>0</v>
      </c>
      <c r="L2265" s="61" t="s">
        <v>4779</v>
      </c>
    </row>
    <row r="2266" spans="6:12">
      <c r="F2266" t="s">
        <v>13856</v>
      </c>
      <c r="G2266" t="s">
        <v>13857</v>
      </c>
      <c r="H2266">
        <v>5</v>
      </c>
      <c r="I2266">
        <v>3</v>
      </c>
      <c r="J2266">
        <v>0</v>
      </c>
      <c r="K2266">
        <v>0</v>
      </c>
      <c r="L2266" s="61" t="s">
        <v>4779</v>
      </c>
    </row>
    <row r="2267" spans="6:12">
      <c r="F2267" t="s">
        <v>13858</v>
      </c>
      <c r="G2267" t="s">
        <v>13859</v>
      </c>
      <c r="H2267">
        <v>4</v>
      </c>
      <c r="I2267">
        <v>3</v>
      </c>
      <c r="J2267">
        <v>1</v>
      </c>
      <c r="K2267">
        <v>0</v>
      </c>
      <c r="L2267" s="61" t="s">
        <v>4779</v>
      </c>
    </row>
    <row r="2268" spans="6:12">
      <c r="F2268" t="s">
        <v>13860</v>
      </c>
      <c r="G2268" t="s">
        <v>13861</v>
      </c>
      <c r="H2268">
        <v>7</v>
      </c>
      <c r="I2268">
        <v>1</v>
      </c>
      <c r="J2268">
        <v>0</v>
      </c>
      <c r="K2268">
        <v>0</v>
      </c>
      <c r="L2268" s="61" t="s">
        <v>4779</v>
      </c>
    </row>
    <row r="2269" spans="6:12">
      <c r="F2269" t="s">
        <v>13862</v>
      </c>
      <c r="G2269" t="s">
        <v>13863</v>
      </c>
      <c r="H2269">
        <v>5</v>
      </c>
      <c r="I2269">
        <v>3</v>
      </c>
      <c r="J2269">
        <v>0</v>
      </c>
      <c r="K2269">
        <v>0</v>
      </c>
      <c r="L2269" s="61" t="s">
        <v>4779</v>
      </c>
    </row>
    <row r="2270" spans="6:12">
      <c r="F2270" t="s">
        <v>13864</v>
      </c>
      <c r="G2270" t="s">
        <v>13865</v>
      </c>
      <c r="H2270">
        <v>5</v>
      </c>
      <c r="I2270">
        <v>3</v>
      </c>
      <c r="J2270">
        <v>0</v>
      </c>
      <c r="K2270">
        <v>0</v>
      </c>
      <c r="L2270" s="61" t="s">
        <v>4779</v>
      </c>
    </row>
    <row r="2271" spans="6:12">
      <c r="F2271" t="s">
        <v>13866</v>
      </c>
      <c r="G2271" t="s">
        <v>4976</v>
      </c>
      <c r="H2271">
        <v>3</v>
      </c>
      <c r="I2271">
        <v>3</v>
      </c>
      <c r="J2271">
        <v>2</v>
      </c>
      <c r="K2271">
        <v>0</v>
      </c>
      <c r="L2271" s="61" t="s">
        <v>4779</v>
      </c>
    </row>
    <row r="2272" spans="6:12">
      <c r="F2272" t="s">
        <v>13867</v>
      </c>
      <c r="G2272" t="s">
        <v>13868</v>
      </c>
      <c r="H2272">
        <v>3</v>
      </c>
      <c r="I2272">
        <v>3</v>
      </c>
      <c r="J2272">
        <v>2</v>
      </c>
      <c r="K2272">
        <v>0</v>
      </c>
      <c r="L2272" s="61" t="s">
        <v>4779</v>
      </c>
    </row>
    <row r="2273" spans="6:12">
      <c r="F2273" t="s">
        <v>13869</v>
      </c>
      <c r="G2273" t="s">
        <v>13870</v>
      </c>
      <c r="H2273">
        <v>5</v>
      </c>
      <c r="I2273">
        <v>1</v>
      </c>
      <c r="J2273">
        <v>2</v>
      </c>
      <c r="K2273">
        <v>0</v>
      </c>
      <c r="L2273" s="61" t="s">
        <v>4779</v>
      </c>
    </row>
    <row r="2274" spans="6:12">
      <c r="F2274" t="s">
        <v>13871</v>
      </c>
      <c r="G2274" t="s">
        <v>13872</v>
      </c>
      <c r="H2274">
        <v>6</v>
      </c>
      <c r="I2274">
        <v>1</v>
      </c>
      <c r="J2274">
        <v>1</v>
      </c>
      <c r="K2274">
        <v>0</v>
      </c>
      <c r="L2274" s="61" t="s">
        <v>4779</v>
      </c>
    </row>
    <row r="2275" spans="6:12">
      <c r="F2275" t="s">
        <v>13873</v>
      </c>
      <c r="G2275" t="s">
        <v>13874</v>
      </c>
      <c r="H2275">
        <v>5</v>
      </c>
      <c r="I2275">
        <v>2</v>
      </c>
      <c r="J2275">
        <v>1</v>
      </c>
      <c r="K2275">
        <v>0</v>
      </c>
      <c r="L2275" s="61" t="s">
        <v>4806</v>
      </c>
    </row>
    <row r="2276" spans="6:12">
      <c r="F2276" t="s">
        <v>13875</v>
      </c>
      <c r="G2276" t="s">
        <v>13876</v>
      </c>
      <c r="H2276">
        <v>6</v>
      </c>
      <c r="I2276">
        <v>2</v>
      </c>
      <c r="J2276">
        <v>0</v>
      </c>
      <c r="K2276">
        <v>0</v>
      </c>
      <c r="L2276" s="61" t="s">
        <v>4779</v>
      </c>
    </row>
    <row r="2277" spans="6:12">
      <c r="F2277" t="s">
        <v>13877</v>
      </c>
      <c r="G2277" t="s">
        <v>13878</v>
      </c>
      <c r="H2277">
        <v>5</v>
      </c>
      <c r="I2277">
        <v>3</v>
      </c>
      <c r="J2277">
        <v>0</v>
      </c>
      <c r="K2277">
        <v>0</v>
      </c>
      <c r="L2277" s="61" t="s">
        <v>4779</v>
      </c>
    </row>
    <row r="2278" spans="6:12">
      <c r="F2278" t="s">
        <v>13879</v>
      </c>
      <c r="G2278" t="s">
        <v>13880</v>
      </c>
      <c r="H2278">
        <v>7</v>
      </c>
      <c r="I2278">
        <v>1</v>
      </c>
      <c r="J2278">
        <v>0</v>
      </c>
      <c r="K2278">
        <v>0</v>
      </c>
      <c r="L2278" s="61" t="s">
        <v>4779</v>
      </c>
    </row>
    <row r="2279" spans="6:12">
      <c r="F2279" t="s">
        <v>13881</v>
      </c>
      <c r="G2279" t="s">
        <v>13882</v>
      </c>
      <c r="H2279">
        <v>4</v>
      </c>
      <c r="I2279">
        <v>2</v>
      </c>
      <c r="J2279">
        <v>2</v>
      </c>
      <c r="K2279">
        <v>0</v>
      </c>
      <c r="L2279" s="61" t="s">
        <v>4779</v>
      </c>
    </row>
    <row r="2280" spans="6:12">
      <c r="F2280" t="s">
        <v>13883</v>
      </c>
      <c r="G2280" t="s">
        <v>13884</v>
      </c>
      <c r="H2280">
        <v>7</v>
      </c>
      <c r="I2280">
        <v>1</v>
      </c>
      <c r="J2280">
        <v>0</v>
      </c>
      <c r="K2280">
        <v>0</v>
      </c>
      <c r="L2280" s="61" t="s">
        <v>4779</v>
      </c>
    </row>
    <row r="2281" spans="6:12">
      <c r="F2281" t="s">
        <v>13885</v>
      </c>
      <c r="G2281" t="s">
        <v>13886</v>
      </c>
      <c r="H2281">
        <v>3</v>
      </c>
      <c r="I2281">
        <v>3</v>
      </c>
      <c r="J2281">
        <v>2</v>
      </c>
      <c r="K2281">
        <v>0</v>
      </c>
      <c r="L2281" s="61" t="s">
        <v>4779</v>
      </c>
    </row>
    <row r="2282" spans="6:12">
      <c r="F2282" t="s">
        <v>13887</v>
      </c>
      <c r="G2282" t="s">
        <v>13888</v>
      </c>
      <c r="H2282">
        <v>6</v>
      </c>
      <c r="I2282">
        <v>2</v>
      </c>
      <c r="J2282">
        <v>0</v>
      </c>
      <c r="K2282">
        <v>0</v>
      </c>
      <c r="L2282" s="61" t="s">
        <v>4807</v>
      </c>
    </row>
    <row r="2283" spans="6:12">
      <c r="F2283" t="s">
        <v>13889</v>
      </c>
      <c r="G2283" t="s">
        <v>13890</v>
      </c>
      <c r="H2283">
        <v>6</v>
      </c>
      <c r="I2283">
        <v>1</v>
      </c>
      <c r="J2283">
        <v>1</v>
      </c>
      <c r="K2283">
        <v>0</v>
      </c>
      <c r="L2283" s="61" t="s">
        <v>4779</v>
      </c>
    </row>
    <row r="2284" spans="6:12">
      <c r="F2284" t="s">
        <v>13891</v>
      </c>
      <c r="G2284" t="s">
        <v>13892</v>
      </c>
      <c r="H2284">
        <v>4</v>
      </c>
      <c r="I2284">
        <v>3</v>
      </c>
      <c r="J2284">
        <v>1</v>
      </c>
      <c r="K2284">
        <v>0</v>
      </c>
      <c r="L2284" s="61" t="s">
        <v>4779</v>
      </c>
    </row>
    <row r="2285" spans="6:12">
      <c r="F2285" t="s">
        <v>13893</v>
      </c>
      <c r="G2285" t="s">
        <v>13894</v>
      </c>
      <c r="H2285">
        <v>7</v>
      </c>
      <c r="I2285">
        <v>1</v>
      </c>
      <c r="J2285">
        <v>0</v>
      </c>
      <c r="K2285">
        <v>0</v>
      </c>
      <c r="L2285" s="61" t="s">
        <v>4779</v>
      </c>
    </row>
    <row r="2286" spans="6:12">
      <c r="F2286" t="s">
        <v>13895</v>
      </c>
      <c r="G2286" t="s">
        <v>13896</v>
      </c>
      <c r="H2286">
        <v>4</v>
      </c>
      <c r="I2286">
        <v>3</v>
      </c>
      <c r="J2286">
        <v>1</v>
      </c>
      <c r="K2286">
        <v>0</v>
      </c>
      <c r="L2286" s="61" t="s">
        <v>4779</v>
      </c>
    </row>
    <row r="2287" spans="6:12">
      <c r="F2287" t="s">
        <v>13897</v>
      </c>
      <c r="G2287" t="s">
        <v>13898</v>
      </c>
      <c r="H2287">
        <v>7</v>
      </c>
      <c r="I2287">
        <v>1</v>
      </c>
      <c r="J2287">
        <v>0</v>
      </c>
      <c r="K2287">
        <v>0</v>
      </c>
      <c r="L2287" s="61" t="s">
        <v>4779</v>
      </c>
    </row>
    <row r="2288" spans="6:12">
      <c r="F2288" t="s">
        <v>13899</v>
      </c>
      <c r="G2288" t="s">
        <v>10869</v>
      </c>
      <c r="H2288">
        <v>3</v>
      </c>
      <c r="I2288">
        <v>3</v>
      </c>
      <c r="J2288">
        <v>2</v>
      </c>
      <c r="K2288">
        <v>0</v>
      </c>
      <c r="L2288" s="61" t="s">
        <v>4779</v>
      </c>
    </row>
    <row r="2289" spans="6:12">
      <c r="F2289" t="s">
        <v>13900</v>
      </c>
      <c r="G2289" t="s">
        <v>13901</v>
      </c>
      <c r="H2289">
        <v>5</v>
      </c>
      <c r="I2289">
        <v>2</v>
      </c>
      <c r="J2289">
        <v>1</v>
      </c>
      <c r="K2289">
        <v>0</v>
      </c>
      <c r="L2289" s="61" t="s">
        <v>4779</v>
      </c>
    </row>
    <row r="2290" spans="6:12">
      <c r="F2290" t="s">
        <v>13902</v>
      </c>
      <c r="G2290" t="s">
        <v>13903</v>
      </c>
      <c r="H2290">
        <v>6</v>
      </c>
      <c r="I2290">
        <v>1</v>
      </c>
      <c r="J2290">
        <v>1</v>
      </c>
      <c r="K2290">
        <v>0</v>
      </c>
      <c r="L2290" s="61" t="s">
        <v>4810</v>
      </c>
    </row>
    <row r="2291" spans="6:12">
      <c r="F2291" t="s">
        <v>13904</v>
      </c>
      <c r="G2291" t="s">
        <v>4947</v>
      </c>
      <c r="H2291">
        <v>6</v>
      </c>
      <c r="I2291">
        <v>2</v>
      </c>
      <c r="J2291">
        <v>0</v>
      </c>
      <c r="K2291">
        <v>0</v>
      </c>
      <c r="L2291" s="61" t="s">
        <v>4779</v>
      </c>
    </row>
    <row r="2292" spans="6:12">
      <c r="F2292" t="s">
        <v>13905</v>
      </c>
      <c r="G2292" t="s">
        <v>5769</v>
      </c>
      <c r="H2292">
        <v>6</v>
      </c>
      <c r="I2292">
        <v>2</v>
      </c>
      <c r="J2292">
        <v>0</v>
      </c>
      <c r="K2292">
        <v>0</v>
      </c>
      <c r="L2292" s="61" t="s">
        <v>4779</v>
      </c>
    </row>
    <row r="2293" spans="6:12">
      <c r="F2293" t="s">
        <v>13906</v>
      </c>
      <c r="G2293" t="s">
        <v>5477</v>
      </c>
      <c r="H2293">
        <v>4</v>
      </c>
      <c r="I2293">
        <v>2</v>
      </c>
      <c r="J2293">
        <v>2</v>
      </c>
      <c r="K2293">
        <v>0</v>
      </c>
      <c r="L2293" s="61" t="s">
        <v>4779</v>
      </c>
    </row>
    <row r="2294" spans="6:12">
      <c r="F2294" t="s">
        <v>13907</v>
      </c>
      <c r="G2294" t="s">
        <v>13908</v>
      </c>
      <c r="H2294">
        <v>4</v>
      </c>
      <c r="I2294">
        <v>2</v>
      </c>
      <c r="J2294">
        <v>2</v>
      </c>
      <c r="K2294">
        <v>0</v>
      </c>
      <c r="L2294" s="61" t="s">
        <v>4779</v>
      </c>
    </row>
    <row r="2295" spans="6:12">
      <c r="F2295" t="s">
        <v>13909</v>
      </c>
      <c r="G2295" t="s">
        <v>13910</v>
      </c>
      <c r="H2295">
        <v>5</v>
      </c>
      <c r="I2295">
        <v>1</v>
      </c>
      <c r="J2295">
        <v>2</v>
      </c>
      <c r="K2295">
        <v>0</v>
      </c>
      <c r="L2295" s="61" t="s">
        <v>4779</v>
      </c>
    </row>
    <row r="2296" spans="6:12">
      <c r="F2296" t="s">
        <v>13911</v>
      </c>
      <c r="G2296" t="s">
        <v>13912</v>
      </c>
      <c r="H2296">
        <v>5</v>
      </c>
      <c r="I2296">
        <v>3</v>
      </c>
      <c r="J2296">
        <v>0</v>
      </c>
      <c r="K2296">
        <v>0</v>
      </c>
      <c r="L2296" s="61" t="s">
        <v>4779</v>
      </c>
    </row>
    <row r="2297" spans="6:12">
      <c r="F2297" t="s">
        <v>13913</v>
      </c>
      <c r="G2297" t="s">
        <v>13914</v>
      </c>
      <c r="H2297">
        <v>4</v>
      </c>
      <c r="I2297">
        <v>3</v>
      </c>
      <c r="J2297">
        <v>1</v>
      </c>
      <c r="K2297">
        <v>0</v>
      </c>
      <c r="L2297" s="61" t="s">
        <v>4779</v>
      </c>
    </row>
    <row r="2298" spans="6:12">
      <c r="F2298" t="s">
        <v>13915</v>
      </c>
      <c r="G2298" t="s">
        <v>13916</v>
      </c>
      <c r="H2298">
        <v>3</v>
      </c>
      <c r="I2298">
        <v>3</v>
      </c>
      <c r="J2298">
        <v>2</v>
      </c>
      <c r="K2298">
        <v>0</v>
      </c>
      <c r="L2298" s="61" t="s">
        <v>4779</v>
      </c>
    </row>
    <row r="2299" spans="6:12">
      <c r="F2299" t="s">
        <v>13917</v>
      </c>
      <c r="G2299" t="s">
        <v>13918</v>
      </c>
      <c r="H2299">
        <v>4</v>
      </c>
      <c r="I2299">
        <v>3</v>
      </c>
      <c r="J2299">
        <v>1</v>
      </c>
      <c r="K2299">
        <v>0</v>
      </c>
      <c r="L2299" s="61" t="s">
        <v>4779</v>
      </c>
    </row>
    <row r="2300" spans="6:12">
      <c r="F2300" t="s">
        <v>13919</v>
      </c>
      <c r="G2300" t="s">
        <v>13920</v>
      </c>
      <c r="H2300">
        <v>5</v>
      </c>
      <c r="I2300">
        <v>3</v>
      </c>
      <c r="J2300">
        <v>0</v>
      </c>
      <c r="K2300">
        <v>0</v>
      </c>
      <c r="L2300" s="61" t="s">
        <v>4779</v>
      </c>
    </row>
    <row r="2301" spans="6:12">
      <c r="F2301" t="s">
        <v>13921</v>
      </c>
      <c r="G2301" t="s">
        <v>13922</v>
      </c>
      <c r="H2301">
        <v>6</v>
      </c>
      <c r="I2301">
        <v>2</v>
      </c>
      <c r="J2301">
        <v>0</v>
      </c>
      <c r="K2301">
        <v>0</v>
      </c>
      <c r="L2301" s="61" t="s">
        <v>4779</v>
      </c>
    </row>
    <row r="2302" spans="6:12">
      <c r="F2302" t="s">
        <v>13923</v>
      </c>
      <c r="G2302" t="s">
        <v>13924</v>
      </c>
      <c r="H2302">
        <v>3</v>
      </c>
      <c r="I2302">
        <v>3</v>
      </c>
      <c r="J2302">
        <v>2</v>
      </c>
      <c r="K2302">
        <v>0</v>
      </c>
      <c r="L2302" s="61" t="s">
        <v>4779</v>
      </c>
    </row>
    <row r="2303" spans="6:12">
      <c r="F2303" t="s">
        <v>13925</v>
      </c>
      <c r="G2303" t="s">
        <v>13926</v>
      </c>
      <c r="H2303">
        <v>6</v>
      </c>
      <c r="I2303">
        <v>2</v>
      </c>
      <c r="J2303">
        <v>0</v>
      </c>
      <c r="K2303">
        <v>0</v>
      </c>
      <c r="L2303" s="61" t="s">
        <v>4779</v>
      </c>
    </row>
    <row r="2304" spans="6:12">
      <c r="F2304" t="s">
        <v>13927</v>
      </c>
      <c r="G2304" t="s">
        <v>13928</v>
      </c>
      <c r="H2304">
        <v>6</v>
      </c>
      <c r="I2304">
        <v>2</v>
      </c>
      <c r="J2304">
        <v>0</v>
      </c>
      <c r="K2304">
        <v>0</v>
      </c>
      <c r="L2304" s="61" t="s">
        <v>4779</v>
      </c>
    </row>
    <row r="2305" spans="6:12">
      <c r="F2305" t="s">
        <v>13929</v>
      </c>
      <c r="G2305" t="s">
        <v>8601</v>
      </c>
      <c r="H2305">
        <v>7</v>
      </c>
      <c r="I2305">
        <v>1</v>
      </c>
      <c r="J2305">
        <v>0</v>
      </c>
      <c r="K2305">
        <v>0</v>
      </c>
      <c r="L2305" s="61" t="s">
        <v>4808</v>
      </c>
    </row>
    <row r="2306" spans="6:12">
      <c r="F2306" t="s">
        <v>13930</v>
      </c>
      <c r="G2306" t="s">
        <v>13931</v>
      </c>
      <c r="H2306">
        <v>5</v>
      </c>
      <c r="I2306">
        <v>1</v>
      </c>
      <c r="J2306">
        <v>2</v>
      </c>
      <c r="K2306">
        <v>0</v>
      </c>
      <c r="L2306" s="61" t="s">
        <v>4779</v>
      </c>
    </row>
    <row r="2307" spans="6:12">
      <c r="F2307" t="s">
        <v>13932</v>
      </c>
      <c r="G2307" t="s">
        <v>13933</v>
      </c>
      <c r="H2307">
        <v>6</v>
      </c>
      <c r="I2307">
        <v>2</v>
      </c>
      <c r="J2307">
        <v>0</v>
      </c>
      <c r="K2307">
        <v>0</v>
      </c>
      <c r="L2307" s="61" t="s">
        <v>4779</v>
      </c>
    </row>
    <row r="2308" spans="6:12">
      <c r="F2308" t="s">
        <v>13934</v>
      </c>
      <c r="G2308" t="s">
        <v>5043</v>
      </c>
      <c r="H2308">
        <v>3</v>
      </c>
      <c r="I2308">
        <v>3</v>
      </c>
      <c r="J2308">
        <v>2</v>
      </c>
      <c r="K2308">
        <v>0</v>
      </c>
      <c r="L2308" s="61" t="s">
        <v>4779</v>
      </c>
    </row>
    <row r="2309" spans="6:12">
      <c r="F2309" t="s">
        <v>13935</v>
      </c>
      <c r="G2309" t="s">
        <v>13936</v>
      </c>
      <c r="H2309">
        <v>4</v>
      </c>
      <c r="I2309">
        <v>3</v>
      </c>
      <c r="J2309">
        <v>1</v>
      </c>
      <c r="K2309">
        <v>0</v>
      </c>
      <c r="L2309" s="61" t="s">
        <v>4809</v>
      </c>
    </row>
    <row r="2310" spans="6:12">
      <c r="F2310" t="s">
        <v>13937</v>
      </c>
      <c r="G2310" t="s">
        <v>13938</v>
      </c>
      <c r="H2310">
        <v>5</v>
      </c>
      <c r="I2310">
        <v>3</v>
      </c>
      <c r="J2310">
        <v>0</v>
      </c>
      <c r="K2310">
        <v>0</v>
      </c>
      <c r="L2310" s="61" t="s">
        <v>4779</v>
      </c>
    </row>
    <row r="2311" spans="6:12">
      <c r="F2311" t="s">
        <v>13939</v>
      </c>
      <c r="G2311" t="s">
        <v>13940</v>
      </c>
      <c r="H2311">
        <v>7</v>
      </c>
      <c r="I2311">
        <v>1</v>
      </c>
      <c r="J2311">
        <v>0</v>
      </c>
      <c r="K2311">
        <v>0</v>
      </c>
      <c r="L2311" s="61" t="s">
        <v>4779</v>
      </c>
    </row>
    <row r="2312" spans="6:12">
      <c r="F2312" t="s">
        <v>13941</v>
      </c>
      <c r="G2312" t="s">
        <v>13942</v>
      </c>
      <c r="H2312">
        <v>6</v>
      </c>
      <c r="I2312">
        <v>2</v>
      </c>
      <c r="J2312">
        <v>0</v>
      </c>
      <c r="K2312">
        <v>0</v>
      </c>
      <c r="L2312" s="61" t="s">
        <v>4779</v>
      </c>
    </row>
    <row r="2313" spans="6:12">
      <c r="F2313" t="s">
        <v>13943</v>
      </c>
      <c r="G2313" t="s">
        <v>13944</v>
      </c>
      <c r="H2313">
        <v>6</v>
      </c>
      <c r="I2313">
        <v>1</v>
      </c>
      <c r="J2313">
        <v>1</v>
      </c>
      <c r="K2313">
        <v>0</v>
      </c>
      <c r="L2313" s="61" t="s">
        <v>4779</v>
      </c>
    </row>
    <row r="2314" spans="6:12">
      <c r="F2314" t="s">
        <v>13945</v>
      </c>
      <c r="G2314" t="s">
        <v>13946</v>
      </c>
      <c r="H2314">
        <v>6</v>
      </c>
      <c r="I2314">
        <v>2</v>
      </c>
      <c r="J2314">
        <v>0</v>
      </c>
      <c r="K2314">
        <v>0</v>
      </c>
      <c r="L2314" s="61" t="s">
        <v>4779</v>
      </c>
    </row>
    <row r="2315" spans="6:12">
      <c r="F2315" t="s">
        <v>13947</v>
      </c>
      <c r="G2315" t="s">
        <v>13948</v>
      </c>
      <c r="H2315">
        <v>4</v>
      </c>
      <c r="I2315">
        <v>2</v>
      </c>
      <c r="J2315">
        <v>2</v>
      </c>
      <c r="K2315">
        <v>0</v>
      </c>
      <c r="L2315" s="61" t="s">
        <v>4779</v>
      </c>
    </row>
    <row r="2316" spans="6:12">
      <c r="F2316" t="s">
        <v>13949</v>
      </c>
      <c r="G2316" t="s">
        <v>5085</v>
      </c>
      <c r="H2316">
        <v>4</v>
      </c>
      <c r="I2316">
        <v>2</v>
      </c>
      <c r="J2316">
        <v>2</v>
      </c>
      <c r="K2316">
        <v>0</v>
      </c>
      <c r="L2316" s="61" t="s">
        <v>4779</v>
      </c>
    </row>
    <row r="2317" spans="6:12">
      <c r="F2317" t="s">
        <v>13950</v>
      </c>
      <c r="G2317" t="s">
        <v>13951</v>
      </c>
      <c r="H2317">
        <v>5</v>
      </c>
      <c r="I2317">
        <v>2</v>
      </c>
      <c r="J2317">
        <v>1</v>
      </c>
      <c r="K2317">
        <v>0</v>
      </c>
      <c r="L2317" s="61" t="s">
        <v>4807</v>
      </c>
    </row>
    <row r="2318" spans="6:12">
      <c r="F2318" t="s">
        <v>13952</v>
      </c>
      <c r="G2318" t="s">
        <v>5353</v>
      </c>
      <c r="H2318">
        <v>4</v>
      </c>
      <c r="I2318">
        <v>2</v>
      </c>
      <c r="J2318">
        <v>2</v>
      </c>
      <c r="K2318">
        <v>0</v>
      </c>
      <c r="L2318" s="61" t="s">
        <v>4779</v>
      </c>
    </row>
    <row r="2319" spans="6:12">
      <c r="F2319" t="s">
        <v>13953</v>
      </c>
      <c r="G2319" t="s">
        <v>13954</v>
      </c>
      <c r="H2319">
        <v>4</v>
      </c>
      <c r="I2319">
        <v>2</v>
      </c>
      <c r="J2319">
        <v>2</v>
      </c>
      <c r="K2319">
        <v>0</v>
      </c>
      <c r="L2319" s="61" t="s">
        <v>4779</v>
      </c>
    </row>
    <row r="2320" spans="6:12">
      <c r="F2320" t="s">
        <v>13955</v>
      </c>
      <c r="G2320" t="s">
        <v>13956</v>
      </c>
      <c r="H2320">
        <v>4</v>
      </c>
      <c r="I2320">
        <v>3</v>
      </c>
      <c r="J2320">
        <v>1</v>
      </c>
      <c r="K2320">
        <v>0</v>
      </c>
      <c r="L2320" s="61" t="s">
        <v>4779</v>
      </c>
    </row>
    <row r="2321" spans="6:12">
      <c r="F2321" t="s">
        <v>13957</v>
      </c>
      <c r="G2321" t="s">
        <v>13958</v>
      </c>
      <c r="H2321">
        <v>5</v>
      </c>
      <c r="I2321">
        <v>1</v>
      </c>
      <c r="J2321">
        <v>2</v>
      </c>
      <c r="K2321">
        <v>0</v>
      </c>
      <c r="L2321" s="61" t="s">
        <v>4779</v>
      </c>
    </row>
    <row r="2322" spans="6:12">
      <c r="F2322" t="s">
        <v>13959</v>
      </c>
      <c r="G2322" t="s">
        <v>13960</v>
      </c>
      <c r="H2322">
        <v>4</v>
      </c>
      <c r="I2322">
        <v>3</v>
      </c>
      <c r="J2322">
        <v>1</v>
      </c>
      <c r="K2322">
        <v>0</v>
      </c>
      <c r="L2322" s="61" t="s">
        <v>4809</v>
      </c>
    </row>
    <row r="2323" spans="6:12">
      <c r="F2323" t="s">
        <v>13961</v>
      </c>
      <c r="G2323" t="s">
        <v>13962</v>
      </c>
      <c r="H2323">
        <v>5</v>
      </c>
      <c r="I2323">
        <v>3</v>
      </c>
      <c r="J2323">
        <v>0</v>
      </c>
      <c r="K2323">
        <v>0</v>
      </c>
      <c r="L2323" s="61" t="s">
        <v>4779</v>
      </c>
    </row>
    <row r="2324" spans="6:12">
      <c r="F2324" t="s">
        <v>13963</v>
      </c>
      <c r="G2324" t="s">
        <v>13964</v>
      </c>
      <c r="H2324">
        <v>5</v>
      </c>
      <c r="I2324">
        <v>3</v>
      </c>
      <c r="J2324">
        <v>0</v>
      </c>
      <c r="K2324">
        <v>0</v>
      </c>
      <c r="L2324" s="61" t="s">
        <v>4779</v>
      </c>
    </row>
    <row r="2325" spans="6:12">
      <c r="F2325" t="s">
        <v>13965</v>
      </c>
      <c r="G2325" t="s">
        <v>13966</v>
      </c>
      <c r="H2325">
        <v>7</v>
      </c>
      <c r="I2325">
        <v>1</v>
      </c>
      <c r="J2325">
        <v>0</v>
      </c>
      <c r="K2325">
        <v>0</v>
      </c>
      <c r="L2325" s="61" t="s">
        <v>4779</v>
      </c>
    </row>
    <row r="2326" spans="6:12">
      <c r="F2326" t="s">
        <v>13967</v>
      </c>
      <c r="G2326" t="s">
        <v>13968</v>
      </c>
      <c r="H2326">
        <v>7</v>
      </c>
      <c r="I2326">
        <v>1</v>
      </c>
      <c r="J2326">
        <v>0</v>
      </c>
      <c r="K2326">
        <v>0</v>
      </c>
      <c r="L2326" s="61" t="s">
        <v>4809</v>
      </c>
    </row>
    <row r="2327" spans="6:12">
      <c r="F2327" t="s">
        <v>13969</v>
      </c>
      <c r="G2327" t="s">
        <v>13970</v>
      </c>
      <c r="H2327">
        <v>7</v>
      </c>
      <c r="I2327">
        <v>1</v>
      </c>
      <c r="J2327">
        <v>0</v>
      </c>
      <c r="K2327">
        <v>0</v>
      </c>
      <c r="L2327" s="61" t="s">
        <v>4779</v>
      </c>
    </row>
    <row r="2328" spans="6:12">
      <c r="F2328" t="s">
        <v>13971</v>
      </c>
      <c r="G2328" t="s">
        <v>13972</v>
      </c>
      <c r="H2328">
        <v>5</v>
      </c>
      <c r="I2328">
        <v>2</v>
      </c>
      <c r="J2328">
        <v>1</v>
      </c>
      <c r="K2328">
        <v>0</v>
      </c>
      <c r="L2328" s="61" t="s">
        <v>4779</v>
      </c>
    </row>
    <row r="2329" spans="6:12">
      <c r="F2329" t="s">
        <v>13973</v>
      </c>
      <c r="G2329" t="s">
        <v>4613</v>
      </c>
      <c r="H2329">
        <v>3</v>
      </c>
      <c r="I2329">
        <v>3</v>
      </c>
      <c r="J2329">
        <v>2</v>
      </c>
      <c r="K2329">
        <v>0</v>
      </c>
      <c r="L2329" s="61" t="s">
        <v>4779</v>
      </c>
    </row>
    <row r="2330" spans="6:12">
      <c r="F2330" t="s">
        <v>13974</v>
      </c>
      <c r="G2330" t="s">
        <v>13975</v>
      </c>
      <c r="H2330">
        <v>5</v>
      </c>
      <c r="I2330">
        <v>3</v>
      </c>
      <c r="J2330">
        <v>0</v>
      </c>
      <c r="K2330">
        <v>0</v>
      </c>
      <c r="L2330" s="61" t="s">
        <v>4779</v>
      </c>
    </row>
    <row r="2331" spans="6:12">
      <c r="F2331" t="s">
        <v>13976</v>
      </c>
      <c r="G2331" t="s">
        <v>13977</v>
      </c>
      <c r="H2331">
        <v>5</v>
      </c>
      <c r="I2331">
        <v>3</v>
      </c>
      <c r="J2331">
        <v>0</v>
      </c>
      <c r="K2331">
        <v>0</v>
      </c>
      <c r="L2331" s="61" t="s">
        <v>4779</v>
      </c>
    </row>
    <row r="2332" spans="6:12">
      <c r="F2332" t="s">
        <v>13978</v>
      </c>
      <c r="G2332" t="s">
        <v>13979</v>
      </c>
      <c r="H2332">
        <v>5</v>
      </c>
      <c r="I2332">
        <v>2</v>
      </c>
      <c r="J2332">
        <v>1</v>
      </c>
      <c r="K2332">
        <v>0</v>
      </c>
      <c r="L2332" s="61" t="s">
        <v>4779</v>
      </c>
    </row>
    <row r="2333" spans="6:12">
      <c r="F2333" t="s">
        <v>13980</v>
      </c>
      <c r="G2333" t="s">
        <v>13367</v>
      </c>
      <c r="H2333">
        <v>3</v>
      </c>
      <c r="I2333">
        <v>3</v>
      </c>
      <c r="J2333">
        <v>2</v>
      </c>
      <c r="K2333">
        <v>0</v>
      </c>
      <c r="L2333" s="61" t="s">
        <v>4779</v>
      </c>
    </row>
    <row r="2334" spans="6:12">
      <c r="F2334" t="s">
        <v>13981</v>
      </c>
      <c r="G2334" t="s">
        <v>13982</v>
      </c>
      <c r="H2334">
        <v>7</v>
      </c>
      <c r="I2334">
        <v>1</v>
      </c>
      <c r="J2334">
        <v>0</v>
      </c>
      <c r="K2334">
        <v>0</v>
      </c>
      <c r="L2334" s="61" t="s">
        <v>4779</v>
      </c>
    </row>
    <row r="2335" spans="6:12">
      <c r="F2335" t="s">
        <v>13983</v>
      </c>
      <c r="G2335" t="s">
        <v>13984</v>
      </c>
      <c r="H2335">
        <v>5</v>
      </c>
      <c r="I2335">
        <v>3</v>
      </c>
      <c r="J2335">
        <v>0</v>
      </c>
      <c r="K2335">
        <v>0</v>
      </c>
      <c r="L2335" s="61" t="s">
        <v>4779</v>
      </c>
    </row>
    <row r="2336" spans="6:12">
      <c r="F2336" t="s">
        <v>13985</v>
      </c>
      <c r="G2336" t="s">
        <v>13986</v>
      </c>
      <c r="H2336">
        <v>6</v>
      </c>
      <c r="I2336">
        <v>1</v>
      </c>
      <c r="J2336">
        <v>1</v>
      </c>
      <c r="K2336">
        <v>0</v>
      </c>
      <c r="L2336" s="61" t="s">
        <v>4779</v>
      </c>
    </row>
    <row r="2337" spans="6:12">
      <c r="F2337" t="s">
        <v>13987</v>
      </c>
      <c r="G2337" t="s">
        <v>13988</v>
      </c>
      <c r="H2337">
        <v>4</v>
      </c>
      <c r="I2337">
        <v>3</v>
      </c>
      <c r="J2337">
        <v>1</v>
      </c>
      <c r="K2337">
        <v>0</v>
      </c>
      <c r="L2337" s="61" t="s">
        <v>4779</v>
      </c>
    </row>
    <row r="2338" spans="6:12">
      <c r="F2338" t="s">
        <v>13989</v>
      </c>
      <c r="G2338" t="s">
        <v>13990</v>
      </c>
      <c r="H2338">
        <v>5</v>
      </c>
      <c r="I2338">
        <v>3</v>
      </c>
      <c r="J2338">
        <v>0</v>
      </c>
      <c r="K2338">
        <v>0</v>
      </c>
      <c r="L2338" s="61" t="s">
        <v>4779</v>
      </c>
    </row>
    <row r="2339" spans="6:12">
      <c r="F2339" t="s">
        <v>13991</v>
      </c>
      <c r="G2339" t="s">
        <v>13992</v>
      </c>
      <c r="H2339">
        <v>5</v>
      </c>
      <c r="I2339">
        <v>1</v>
      </c>
      <c r="J2339">
        <v>2</v>
      </c>
      <c r="K2339">
        <v>0</v>
      </c>
      <c r="L2339" s="61" t="s">
        <v>4779</v>
      </c>
    </row>
    <row r="2340" spans="6:12">
      <c r="F2340" t="s">
        <v>13993</v>
      </c>
      <c r="G2340" t="s">
        <v>13994</v>
      </c>
      <c r="H2340">
        <v>7</v>
      </c>
      <c r="I2340">
        <v>1</v>
      </c>
      <c r="J2340">
        <v>0</v>
      </c>
      <c r="K2340">
        <v>0</v>
      </c>
      <c r="L2340" s="61" t="s">
        <v>4807</v>
      </c>
    </row>
    <row r="2341" spans="6:12">
      <c r="F2341" t="s">
        <v>13995</v>
      </c>
      <c r="G2341" t="s">
        <v>5628</v>
      </c>
      <c r="H2341">
        <v>4</v>
      </c>
      <c r="I2341">
        <v>2</v>
      </c>
      <c r="J2341">
        <v>2</v>
      </c>
      <c r="K2341">
        <v>0</v>
      </c>
      <c r="L2341" s="61" t="s">
        <v>4779</v>
      </c>
    </row>
    <row r="2342" spans="6:12">
      <c r="F2342" t="s">
        <v>13996</v>
      </c>
      <c r="G2342" t="s">
        <v>13997</v>
      </c>
      <c r="H2342">
        <v>4</v>
      </c>
      <c r="I2342">
        <v>3</v>
      </c>
      <c r="J2342">
        <v>1</v>
      </c>
      <c r="K2342">
        <v>0</v>
      </c>
      <c r="L2342" s="61" t="s">
        <v>4779</v>
      </c>
    </row>
    <row r="2343" spans="6:12">
      <c r="F2343" t="s">
        <v>13998</v>
      </c>
      <c r="G2343" t="s">
        <v>5449</v>
      </c>
      <c r="H2343">
        <v>5</v>
      </c>
      <c r="I2343">
        <v>2</v>
      </c>
      <c r="J2343">
        <v>1</v>
      </c>
      <c r="K2343">
        <v>0</v>
      </c>
      <c r="L2343" s="61" t="s">
        <v>4808</v>
      </c>
    </row>
    <row r="2344" spans="6:12">
      <c r="F2344" t="s">
        <v>13999</v>
      </c>
      <c r="G2344" t="s">
        <v>11064</v>
      </c>
      <c r="H2344">
        <v>4</v>
      </c>
      <c r="I2344">
        <v>2</v>
      </c>
      <c r="J2344">
        <v>2</v>
      </c>
      <c r="K2344">
        <v>0</v>
      </c>
      <c r="L2344" s="61" t="s">
        <v>4779</v>
      </c>
    </row>
    <row r="2345" spans="6:12">
      <c r="F2345" t="s">
        <v>14000</v>
      </c>
      <c r="G2345" t="s">
        <v>14001</v>
      </c>
      <c r="H2345">
        <v>6</v>
      </c>
      <c r="I2345">
        <v>1</v>
      </c>
      <c r="J2345">
        <v>1</v>
      </c>
      <c r="K2345">
        <v>0</v>
      </c>
      <c r="L2345" s="61" t="s">
        <v>4779</v>
      </c>
    </row>
    <row r="2346" spans="6:12">
      <c r="F2346" t="s">
        <v>14002</v>
      </c>
      <c r="G2346" t="s">
        <v>5128</v>
      </c>
      <c r="H2346">
        <v>5</v>
      </c>
      <c r="I2346">
        <v>3</v>
      </c>
      <c r="J2346">
        <v>0</v>
      </c>
      <c r="K2346">
        <v>0</v>
      </c>
      <c r="L2346" s="61" t="s">
        <v>4810</v>
      </c>
    </row>
    <row r="2347" spans="6:12">
      <c r="F2347" t="s">
        <v>14003</v>
      </c>
      <c r="G2347" t="s">
        <v>14004</v>
      </c>
      <c r="H2347">
        <v>5</v>
      </c>
      <c r="I2347">
        <v>3</v>
      </c>
      <c r="J2347">
        <v>0</v>
      </c>
      <c r="K2347">
        <v>0</v>
      </c>
      <c r="L2347" s="61" t="s">
        <v>4779</v>
      </c>
    </row>
    <row r="2348" spans="6:12">
      <c r="F2348" t="s">
        <v>14005</v>
      </c>
      <c r="G2348" t="s">
        <v>14006</v>
      </c>
      <c r="H2348">
        <v>6</v>
      </c>
      <c r="I2348">
        <v>2</v>
      </c>
      <c r="J2348">
        <v>0</v>
      </c>
      <c r="K2348">
        <v>0</v>
      </c>
      <c r="L2348" s="61" t="s">
        <v>4779</v>
      </c>
    </row>
    <row r="2349" spans="6:12">
      <c r="F2349" t="s">
        <v>14007</v>
      </c>
      <c r="G2349" t="s">
        <v>5276</v>
      </c>
      <c r="H2349">
        <v>4</v>
      </c>
      <c r="I2349">
        <v>3</v>
      </c>
      <c r="J2349">
        <v>1</v>
      </c>
      <c r="K2349">
        <v>0</v>
      </c>
      <c r="L2349" s="61" t="s">
        <v>4779</v>
      </c>
    </row>
    <row r="2350" spans="6:12">
      <c r="F2350" t="s">
        <v>14008</v>
      </c>
      <c r="G2350" t="s">
        <v>14009</v>
      </c>
      <c r="H2350">
        <v>5</v>
      </c>
      <c r="I2350">
        <v>3</v>
      </c>
      <c r="J2350">
        <v>0</v>
      </c>
      <c r="K2350">
        <v>0</v>
      </c>
      <c r="L2350" s="61" t="s">
        <v>4779</v>
      </c>
    </row>
    <row r="2351" spans="6:12">
      <c r="F2351" t="s">
        <v>14010</v>
      </c>
      <c r="G2351" t="s">
        <v>14011</v>
      </c>
      <c r="H2351">
        <v>5</v>
      </c>
      <c r="I2351">
        <v>2</v>
      </c>
      <c r="J2351">
        <v>1</v>
      </c>
      <c r="K2351">
        <v>0</v>
      </c>
      <c r="L2351" s="61" t="s">
        <v>4779</v>
      </c>
    </row>
    <row r="2352" spans="6:12">
      <c r="F2352" t="s">
        <v>14012</v>
      </c>
      <c r="G2352" t="s">
        <v>14013</v>
      </c>
      <c r="H2352">
        <v>3</v>
      </c>
      <c r="I2352">
        <v>3</v>
      </c>
      <c r="J2352">
        <v>2</v>
      </c>
      <c r="K2352">
        <v>0</v>
      </c>
      <c r="L2352" s="61" t="s">
        <v>4779</v>
      </c>
    </row>
    <row r="2353" spans="6:12">
      <c r="F2353" t="s">
        <v>14014</v>
      </c>
      <c r="G2353" t="s">
        <v>14015</v>
      </c>
      <c r="H2353">
        <v>6</v>
      </c>
      <c r="I2353">
        <v>1</v>
      </c>
      <c r="J2353">
        <v>1</v>
      </c>
      <c r="K2353">
        <v>0</v>
      </c>
      <c r="L2353" s="61" t="s">
        <v>4779</v>
      </c>
    </row>
    <row r="2354" spans="6:12">
      <c r="F2354" t="s">
        <v>14016</v>
      </c>
      <c r="G2354" t="s">
        <v>14017</v>
      </c>
      <c r="H2354">
        <v>3</v>
      </c>
      <c r="I2354">
        <v>3</v>
      </c>
      <c r="J2354">
        <v>2</v>
      </c>
      <c r="K2354">
        <v>0</v>
      </c>
      <c r="L2354" s="61" t="s">
        <v>4779</v>
      </c>
    </row>
    <row r="2355" spans="6:12">
      <c r="F2355" t="s">
        <v>14018</v>
      </c>
      <c r="G2355" t="s">
        <v>14019</v>
      </c>
      <c r="H2355">
        <v>4</v>
      </c>
      <c r="I2355">
        <v>2</v>
      </c>
      <c r="J2355">
        <v>2</v>
      </c>
      <c r="K2355">
        <v>0</v>
      </c>
      <c r="L2355" s="61" t="s">
        <v>4779</v>
      </c>
    </row>
    <row r="2356" spans="6:12">
      <c r="F2356" t="s">
        <v>14020</v>
      </c>
      <c r="G2356" t="s">
        <v>14021</v>
      </c>
      <c r="H2356">
        <v>3</v>
      </c>
      <c r="I2356">
        <v>3</v>
      </c>
      <c r="J2356">
        <v>2</v>
      </c>
      <c r="K2356">
        <v>0</v>
      </c>
      <c r="L2356" s="61" t="s">
        <v>4810</v>
      </c>
    </row>
    <row r="2357" spans="6:12">
      <c r="F2357" t="s">
        <v>14022</v>
      </c>
      <c r="G2357" t="s">
        <v>10980</v>
      </c>
      <c r="H2357">
        <v>3</v>
      </c>
      <c r="I2357">
        <v>3</v>
      </c>
      <c r="J2357">
        <v>2</v>
      </c>
      <c r="K2357">
        <v>0</v>
      </c>
      <c r="L2357" s="61" t="s">
        <v>4807</v>
      </c>
    </row>
    <row r="2358" spans="6:12">
      <c r="F2358" t="s">
        <v>14023</v>
      </c>
      <c r="G2358" t="s">
        <v>14024</v>
      </c>
      <c r="H2358">
        <v>5</v>
      </c>
      <c r="I2358">
        <v>1</v>
      </c>
      <c r="J2358">
        <v>2</v>
      </c>
      <c r="K2358">
        <v>0</v>
      </c>
      <c r="L2358" s="61" t="s">
        <v>4779</v>
      </c>
    </row>
    <row r="2359" spans="6:12">
      <c r="F2359" t="s">
        <v>14025</v>
      </c>
      <c r="G2359" t="s">
        <v>9485</v>
      </c>
      <c r="H2359">
        <v>4</v>
      </c>
      <c r="I2359">
        <v>2</v>
      </c>
      <c r="J2359">
        <v>2</v>
      </c>
      <c r="K2359">
        <v>0</v>
      </c>
      <c r="L2359" s="61" t="s">
        <v>4779</v>
      </c>
    </row>
    <row r="2360" spans="6:12">
      <c r="F2360" t="s">
        <v>14026</v>
      </c>
      <c r="G2360" t="s">
        <v>5033</v>
      </c>
      <c r="H2360">
        <v>4</v>
      </c>
      <c r="I2360">
        <v>2</v>
      </c>
      <c r="J2360">
        <v>2</v>
      </c>
      <c r="K2360">
        <v>0</v>
      </c>
      <c r="L2360" s="61" t="s">
        <v>4779</v>
      </c>
    </row>
    <row r="2361" spans="6:12">
      <c r="F2361" t="s">
        <v>14027</v>
      </c>
      <c r="G2361" t="s">
        <v>14028</v>
      </c>
      <c r="H2361">
        <v>7</v>
      </c>
      <c r="I2361">
        <v>1</v>
      </c>
      <c r="J2361">
        <v>0</v>
      </c>
      <c r="K2361">
        <v>0</v>
      </c>
      <c r="L2361" s="61" t="s">
        <v>4810</v>
      </c>
    </row>
    <row r="2362" spans="6:12">
      <c r="F2362" t="s">
        <v>14029</v>
      </c>
      <c r="G2362" t="s">
        <v>14030</v>
      </c>
      <c r="H2362">
        <v>4</v>
      </c>
      <c r="I2362">
        <v>2</v>
      </c>
      <c r="J2362">
        <v>2</v>
      </c>
      <c r="K2362">
        <v>0</v>
      </c>
      <c r="L2362" s="61" t="s">
        <v>4779</v>
      </c>
    </row>
    <row r="2363" spans="6:12">
      <c r="F2363" t="s">
        <v>14031</v>
      </c>
      <c r="G2363" t="s">
        <v>14032</v>
      </c>
      <c r="H2363">
        <v>6</v>
      </c>
      <c r="I2363">
        <v>2</v>
      </c>
      <c r="J2363">
        <v>0</v>
      </c>
      <c r="K2363">
        <v>0</v>
      </c>
      <c r="L2363" s="61" t="s">
        <v>4779</v>
      </c>
    </row>
    <row r="2364" spans="6:12">
      <c r="F2364" t="s">
        <v>14033</v>
      </c>
      <c r="G2364" t="s">
        <v>11000</v>
      </c>
      <c r="H2364">
        <v>6</v>
      </c>
      <c r="I2364">
        <v>2</v>
      </c>
      <c r="J2364">
        <v>0</v>
      </c>
      <c r="K2364">
        <v>0</v>
      </c>
      <c r="L2364" s="61" t="s">
        <v>4810</v>
      </c>
    </row>
    <row r="2365" spans="6:12">
      <c r="F2365" t="s">
        <v>14034</v>
      </c>
      <c r="G2365" t="s">
        <v>14035</v>
      </c>
      <c r="H2365">
        <v>7</v>
      </c>
      <c r="I2365">
        <v>1</v>
      </c>
      <c r="J2365">
        <v>0</v>
      </c>
      <c r="K2365">
        <v>0</v>
      </c>
      <c r="L2365" s="61" t="s">
        <v>4779</v>
      </c>
    </row>
    <row r="2366" spans="6:12">
      <c r="F2366" t="s">
        <v>14036</v>
      </c>
      <c r="G2366" t="s">
        <v>11080</v>
      </c>
      <c r="H2366">
        <v>3</v>
      </c>
      <c r="I2366">
        <v>3</v>
      </c>
      <c r="J2366">
        <v>2</v>
      </c>
      <c r="K2366">
        <v>0</v>
      </c>
      <c r="L2366" s="61" t="s">
        <v>4806</v>
      </c>
    </row>
    <row r="2367" spans="6:12">
      <c r="F2367" t="s">
        <v>14037</v>
      </c>
      <c r="G2367" t="s">
        <v>14038</v>
      </c>
      <c r="H2367">
        <v>7</v>
      </c>
      <c r="I2367">
        <v>1</v>
      </c>
      <c r="J2367">
        <v>0</v>
      </c>
      <c r="K2367">
        <v>0</v>
      </c>
      <c r="L2367" s="61" t="s">
        <v>4779</v>
      </c>
    </row>
    <row r="2368" spans="6:12">
      <c r="F2368" t="s">
        <v>14039</v>
      </c>
      <c r="G2368" t="s">
        <v>4930</v>
      </c>
      <c r="H2368">
        <v>4</v>
      </c>
      <c r="I2368">
        <v>2</v>
      </c>
      <c r="J2368">
        <v>2</v>
      </c>
      <c r="K2368">
        <v>0</v>
      </c>
      <c r="L2368" s="61" t="s">
        <v>4779</v>
      </c>
    </row>
    <row r="2369" spans="6:12">
      <c r="F2369" t="s">
        <v>14040</v>
      </c>
      <c r="G2369" t="s">
        <v>14041</v>
      </c>
      <c r="H2369">
        <v>5</v>
      </c>
      <c r="I2369">
        <v>1</v>
      </c>
      <c r="J2369">
        <v>2</v>
      </c>
      <c r="K2369">
        <v>0</v>
      </c>
      <c r="L2369" s="61" t="s">
        <v>4779</v>
      </c>
    </row>
    <row r="2370" spans="6:12">
      <c r="F2370" t="s">
        <v>14042</v>
      </c>
      <c r="G2370" t="s">
        <v>14043</v>
      </c>
      <c r="H2370">
        <v>7</v>
      </c>
      <c r="I2370">
        <v>1</v>
      </c>
      <c r="J2370">
        <v>0</v>
      </c>
      <c r="K2370">
        <v>0</v>
      </c>
      <c r="L2370" s="61" t="s">
        <v>4779</v>
      </c>
    </row>
    <row r="2371" spans="6:12">
      <c r="F2371" t="s">
        <v>14044</v>
      </c>
      <c r="G2371" t="s">
        <v>14045</v>
      </c>
      <c r="H2371">
        <v>3</v>
      </c>
      <c r="I2371">
        <v>3</v>
      </c>
      <c r="J2371">
        <v>2</v>
      </c>
      <c r="K2371">
        <v>0</v>
      </c>
      <c r="L2371" s="61" t="s">
        <v>4779</v>
      </c>
    </row>
    <row r="2372" spans="6:12">
      <c r="F2372" t="s">
        <v>14046</v>
      </c>
      <c r="G2372" t="s">
        <v>14047</v>
      </c>
      <c r="H2372">
        <v>5</v>
      </c>
      <c r="I2372">
        <v>3</v>
      </c>
      <c r="J2372">
        <v>0</v>
      </c>
      <c r="K2372">
        <v>0</v>
      </c>
      <c r="L2372" s="61" t="s">
        <v>4779</v>
      </c>
    </row>
    <row r="2373" spans="6:12">
      <c r="F2373" t="s">
        <v>14048</v>
      </c>
      <c r="G2373" t="s">
        <v>14049</v>
      </c>
      <c r="H2373">
        <v>6</v>
      </c>
      <c r="I2373">
        <v>2</v>
      </c>
      <c r="J2373">
        <v>0</v>
      </c>
      <c r="K2373">
        <v>0</v>
      </c>
      <c r="L2373" s="61" t="s">
        <v>4779</v>
      </c>
    </row>
    <row r="2374" spans="6:12">
      <c r="F2374" t="s">
        <v>14050</v>
      </c>
      <c r="G2374" t="s">
        <v>14051</v>
      </c>
      <c r="H2374">
        <v>5</v>
      </c>
      <c r="I2374">
        <v>3</v>
      </c>
      <c r="J2374">
        <v>0</v>
      </c>
      <c r="K2374">
        <v>0</v>
      </c>
      <c r="L2374" s="61" t="s">
        <v>4779</v>
      </c>
    </row>
    <row r="2375" spans="6:12">
      <c r="F2375" t="s">
        <v>14052</v>
      </c>
      <c r="G2375" t="s">
        <v>14053</v>
      </c>
      <c r="H2375">
        <v>6</v>
      </c>
      <c r="I2375">
        <v>2</v>
      </c>
      <c r="J2375">
        <v>0</v>
      </c>
      <c r="K2375">
        <v>0</v>
      </c>
      <c r="L2375" s="61" t="s">
        <v>4779</v>
      </c>
    </row>
    <row r="2376" spans="6:12">
      <c r="F2376" t="s">
        <v>14054</v>
      </c>
      <c r="G2376" t="s">
        <v>5786</v>
      </c>
      <c r="H2376">
        <v>6</v>
      </c>
      <c r="I2376">
        <v>2</v>
      </c>
      <c r="J2376">
        <v>0</v>
      </c>
      <c r="K2376">
        <v>0</v>
      </c>
      <c r="L2376" s="61" t="s">
        <v>4779</v>
      </c>
    </row>
    <row r="2377" spans="6:12">
      <c r="F2377" t="s">
        <v>14055</v>
      </c>
      <c r="G2377" t="s">
        <v>14056</v>
      </c>
      <c r="H2377">
        <v>4</v>
      </c>
      <c r="I2377">
        <v>2</v>
      </c>
      <c r="J2377">
        <v>2</v>
      </c>
      <c r="K2377">
        <v>0</v>
      </c>
      <c r="L2377" s="61" t="s">
        <v>4779</v>
      </c>
    </row>
    <row r="2378" spans="6:12">
      <c r="F2378" t="s">
        <v>14057</v>
      </c>
      <c r="G2378" t="s">
        <v>14058</v>
      </c>
      <c r="H2378">
        <v>5</v>
      </c>
      <c r="I2378">
        <v>3</v>
      </c>
      <c r="J2378">
        <v>0</v>
      </c>
      <c r="K2378">
        <v>0</v>
      </c>
      <c r="L2378" s="61" t="s">
        <v>4779</v>
      </c>
    </row>
    <row r="2379" spans="6:12">
      <c r="F2379" t="s">
        <v>14059</v>
      </c>
      <c r="G2379" t="s">
        <v>14060</v>
      </c>
      <c r="H2379">
        <v>6</v>
      </c>
      <c r="I2379">
        <v>1</v>
      </c>
      <c r="J2379">
        <v>1</v>
      </c>
      <c r="K2379">
        <v>0</v>
      </c>
      <c r="L2379" s="61" t="s">
        <v>4779</v>
      </c>
    </row>
    <row r="2380" spans="6:12">
      <c r="F2380" t="s">
        <v>14061</v>
      </c>
      <c r="G2380" t="s">
        <v>14062</v>
      </c>
      <c r="H2380">
        <v>4</v>
      </c>
      <c r="I2380">
        <v>3</v>
      </c>
      <c r="J2380">
        <v>1</v>
      </c>
      <c r="K2380">
        <v>0</v>
      </c>
      <c r="L2380" s="61" t="s">
        <v>4779</v>
      </c>
    </row>
    <row r="2381" spans="6:12">
      <c r="F2381" t="s">
        <v>14063</v>
      </c>
      <c r="G2381" t="s">
        <v>14064</v>
      </c>
      <c r="H2381">
        <v>6</v>
      </c>
      <c r="I2381">
        <v>2</v>
      </c>
      <c r="J2381">
        <v>0</v>
      </c>
      <c r="K2381">
        <v>0</v>
      </c>
      <c r="L2381" s="61" t="s">
        <v>4779</v>
      </c>
    </row>
    <row r="2382" spans="6:12">
      <c r="F2382" t="s">
        <v>14065</v>
      </c>
      <c r="G2382" t="s">
        <v>14066</v>
      </c>
      <c r="H2382">
        <v>4</v>
      </c>
      <c r="I2382">
        <v>2</v>
      </c>
      <c r="J2382">
        <v>2</v>
      </c>
      <c r="K2382">
        <v>0</v>
      </c>
      <c r="L2382" s="61" t="s">
        <v>4779</v>
      </c>
    </row>
    <row r="2383" spans="6:12">
      <c r="F2383" t="s">
        <v>14067</v>
      </c>
      <c r="G2383" t="s">
        <v>5326</v>
      </c>
      <c r="H2383">
        <v>4</v>
      </c>
      <c r="I2383">
        <v>2</v>
      </c>
      <c r="J2383">
        <v>2</v>
      </c>
      <c r="K2383">
        <v>0</v>
      </c>
      <c r="L2383" s="61" t="s">
        <v>4809</v>
      </c>
    </row>
    <row r="2384" spans="6:12">
      <c r="F2384" t="s">
        <v>14068</v>
      </c>
      <c r="G2384" t="s">
        <v>10978</v>
      </c>
      <c r="H2384">
        <v>7</v>
      </c>
      <c r="I2384">
        <v>1</v>
      </c>
      <c r="J2384">
        <v>0</v>
      </c>
      <c r="K2384">
        <v>0</v>
      </c>
      <c r="L2384" s="61" t="s">
        <v>4779</v>
      </c>
    </row>
    <row r="2385" spans="6:12">
      <c r="F2385" t="s">
        <v>14069</v>
      </c>
      <c r="G2385" t="s">
        <v>14070</v>
      </c>
      <c r="H2385">
        <v>5</v>
      </c>
      <c r="I2385">
        <v>2</v>
      </c>
      <c r="J2385">
        <v>1</v>
      </c>
      <c r="K2385">
        <v>0</v>
      </c>
      <c r="L2385" s="61" t="s">
        <v>4779</v>
      </c>
    </row>
    <row r="2386" spans="6:12">
      <c r="F2386" t="s">
        <v>14071</v>
      </c>
      <c r="G2386" t="s">
        <v>14072</v>
      </c>
      <c r="H2386">
        <v>5</v>
      </c>
      <c r="I2386">
        <v>3</v>
      </c>
      <c r="J2386">
        <v>0</v>
      </c>
      <c r="K2386">
        <v>0</v>
      </c>
      <c r="L2386" s="61" t="s">
        <v>4779</v>
      </c>
    </row>
    <row r="2387" spans="6:12">
      <c r="F2387" t="s">
        <v>14073</v>
      </c>
      <c r="G2387" t="s">
        <v>14074</v>
      </c>
      <c r="H2387">
        <v>6</v>
      </c>
      <c r="I2387">
        <v>2</v>
      </c>
      <c r="J2387">
        <v>0</v>
      </c>
      <c r="K2387">
        <v>0</v>
      </c>
      <c r="L2387" s="61" t="s">
        <v>4779</v>
      </c>
    </row>
    <row r="2388" spans="6:12">
      <c r="F2388" t="s">
        <v>14075</v>
      </c>
      <c r="G2388" t="s">
        <v>14076</v>
      </c>
      <c r="H2388">
        <v>3</v>
      </c>
      <c r="I2388">
        <v>3</v>
      </c>
      <c r="J2388">
        <v>2</v>
      </c>
      <c r="K2388">
        <v>0</v>
      </c>
      <c r="L2388" s="61" t="s">
        <v>4779</v>
      </c>
    </row>
    <row r="2389" spans="6:12">
      <c r="F2389" t="s">
        <v>14077</v>
      </c>
      <c r="G2389" t="s">
        <v>14078</v>
      </c>
      <c r="H2389">
        <v>6</v>
      </c>
      <c r="I2389">
        <v>2</v>
      </c>
      <c r="J2389">
        <v>0</v>
      </c>
      <c r="K2389">
        <v>0</v>
      </c>
      <c r="L2389" s="61" t="s">
        <v>4779</v>
      </c>
    </row>
    <row r="2390" spans="6:12">
      <c r="F2390" t="s">
        <v>14079</v>
      </c>
      <c r="G2390" t="s">
        <v>11074</v>
      </c>
      <c r="H2390">
        <v>6</v>
      </c>
      <c r="I2390">
        <v>2</v>
      </c>
      <c r="J2390">
        <v>0</v>
      </c>
      <c r="K2390">
        <v>0</v>
      </c>
      <c r="L2390" s="61" t="s">
        <v>4779</v>
      </c>
    </row>
    <row r="2391" spans="6:12">
      <c r="F2391" t="s">
        <v>14080</v>
      </c>
      <c r="G2391" t="s">
        <v>9645</v>
      </c>
      <c r="H2391">
        <v>5</v>
      </c>
      <c r="I2391">
        <v>1</v>
      </c>
      <c r="J2391">
        <v>2</v>
      </c>
      <c r="K2391">
        <v>0</v>
      </c>
      <c r="L2391" s="61" t="s">
        <v>4806</v>
      </c>
    </row>
    <row r="2392" spans="6:12">
      <c r="F2392" t="s">
        <v>14081</v>
      </c>
      <c r="G2392" t="s">
        <v>14082</v>
      </c>
      <c r="H2392">
        <v>7</v>
      </c>
      <c r="I2392">
        <v>1</v>
      </c>
      <c r="J2392">
        <v>0</v>
      </c>
      <c r="K2392">
        <v>0</v>
      </c>
      <c r="L2392" s="61" t="s">
        <v>4779</v>
      </c>
    </row>
    <row r="2393" spans="6:12">
      <c r="F2393" t="s">
        <v>14083</v>
      </c>
      <c r="G2393" t="s">
        <v>14084</v>
      </c>
      <c r="H2393">
        <v>4</v>
      </c>
      <c r="I2393">
        <v>3</v>
      </c>
      <c r="J2393">
        <v>1</v>
      </c>
      <c r="K2393">
        <v>0</v>
      </c>
      <c r="L2393" s="61" t="s">
        <v>4779</v>
      </c>
    </row>
    <row r="2394" spans="6:12">
      <c r="F2394" t="s">
        <v>14085</v>
      </c>
      <c r="G2394" t="s">
        <v>14086</v>
      </c>
      <c r="H2394">
        <v>5</v>
      </c>
      <c r="I2394">
        <v>3</v>
      </c>
      <c r="J2394">
        <v>0</v>
      </c>
      <c r="K2394">
        <v>0</v>
      </c>
      <c r="L2394" s="61" t="s">
        <v>4779</v>
      </c>
    </row>
    <row r="2395" spans="6:12">
      <c r="F2395" t="s">
        <v>14087</v>
      </c>
      <c r="G2395" t="s">
        <v>14088</v>
      </c>
      <c r="H2395">
        <v>7</v>
      </c>
      <c r="I2395">
        <v>1</v>
      </c>
      <c r="J2395">
        <v>0</v>
      </c>
      <c r="K2395">
        <v>0</v>
      </c>
      <c r="L2395" s="61" t="s">
        <v>4779</v>
      </c>
    </row>
    <row r="2396" spans="6:12">
      <c r="F2396" t="s">
        <v>14089</v>
      </c>
      <c r="G2396" t="s">
        <v>14090</v>
      </c>
      <c r="H2396">
        <v>6</v>
      </c>
      <c r="I2396">
        <v>2</v>
      </c>
      <c r="J2396">
        <v>0</v>
      </c>
      <c r="K2396">
        <v>0</v>
      </c>
      <c r="L2396" s="61" t="s">
        <v>4806</v>
      </c>
    </row>
    <row r="2397" spans="6:12">
      <c r="F2397" t="s">
        <v>14091</v>
      </c>
      <c r="G2397" t="s">
        <v>5921</v>
      </c>
      <c r="H2397">
        <v>6</v>
      </c>
      <c r="I2397">
        <v>2</v>
      </c>
      <c r="J2397">
        <v>0</v>
      </c>
      <c r="K2397">
        <v>0</v>
      </c>
      <c r="L2397" s="61" t="s">
        <v>4807</v>
      </c>
    </row>
    <row r="2398" spans="6:12">
      <c r="F2398" t="s">
        <v>14092</v>
      </c>
      <c r="G2398" t="s">
        <v>14093</v>
      </c>
      <c r="H2398">
        <v>7</v>
      </c>
      <c r="I2398">
        <v>1</v>
      </c>
      <c r="J2398">
        <v>0</v>
      </c>
      <c r="K2398">
        <v>0</v>
      </c>
      <c r="L2398" s="61" t="s">
        <v>4779</v>
      </c>
    </row>
    <row r="2399" spans="6:12">
      <c r="F2399" t="s">
        <v>14094</v>
      </c>
      <c r="G2399" t="s">
        <v>14095</v>
      </c>
      <c r="H2399">
        <v>6</v>
      </c>
      <c r="I2399">
        <v>2</v>
      </c>
      <c r="J2399">
        <v>0</v>
      </c>
      <c r="K2399">
        <v>0</v>
      </c>
      <c r="L2399" s="61" t="s">
        <v>4808</v>
      </c>
    </row>
    <row r="2400" spans="6:12">
      <c r="F2400" t="s">
        <v>14096</v>
      </c>
      <c r="G2400" t="s">
        <v>14097</v>
      </c>
      <c r="H2400">
        <v>7</v>
      </c>
      <c r="I2400">
        <v>1</v>
      </c>
      <c r="J2400">
        <v>0</v>
      </c>
      <c r="K2400">
        <v>0</v>
      </c>
      <c r="L2400" s="61" t="s">
        <v>4779</v>
      </c>
    </row>
    <row r="2401" spans="6:12">
      <c r="F2401" t="s">
        <v>14098</v>
      </c>
      <c r="G2401" t="s">
        <v>6794</v>
      </c>
      <c r="H2401">
        <v>3</v>
      </c>
      <c r="I2401">
        <v>3</v>
      </c>
      <c r="J2401">
        <v>2</v>
      </c>
      <c r="K2401">
        <v>0</v>
      </c>
      <c r="L2401" s="61" t="s">
        <v>4810</v>
      </c>
    </row>
    <row r="2402" spans="6:12">
      <c r="F2402" t="s">
        <v>14099</v>
      </c>
      <c r="G2402" t="s">
        <v>14100</v>
      </c>
      <c r="H2402">
        <v>7</v>
      </c>
      <c r="I2402">
        <v>1</v>
      </c>
      <c r="J2402">
        <v>0</v>
      </c>
      <c r="K2402">
        <v>0</v>
      </c>
      <c r="L2402" s="61" t="s">
        <v>4779</v>
      </c>
    </row>
    <row r="2403" spans="6:12">
      <c r="F2403" t="s">
        <v>14101</v>
      </c>
      <c r="G2403" t="s">
        <v>14102</v>
      </c>
      <c r="H2403">
        <v>5</v>
      </c>
      <c r="I2403">
        <v>3</v>
      </c>
      <c r="J2403">
        <v>0</v>
      </c>
      <c r="K2403">
        <v>0</v>
      </c>
      <c r="L2403" s="61" t="s">
        <v>4779</v>
      </c>
    </row>
    <row r="2404" spans="6:12">
      <c r="F2404" t="s">
        <v>14103</v>
      </c>
      <c r="G2404" t="s">
        <v>14104</v>
      </c>
      <c r="H2404">
        <v>5</v>
      </c>
      <c r="I2404">
        <v>3</v>
      </c>
      <c r="J2404">
        <v>0</v>
      </c>
      <c r="K2404">
        <v>0</v>
      </c>
      <c r="L2404" s="61" t="s">
        <v>4779</v>
      </c>
    </row>
    <row r="2405" spans="6:12">
      <c r="F2405" t="s">
        <v>14105</v>
      </c>
      <c r="G2405" t="s">
        <v>5005</v>
      </c>
      <c r="H2405">
        <v>4</v>
      </c>
      <c r="I2405">
        <v>2</v>
      </c>
      <c r="J2405">
        <v>2</v>
      </c>
      <c r="K2405">
        <v>0</v>
      </c>
      <c r="L2405" s="61" t="s">
        <v>4779</v>
      </c>
    </row>
    <row r="2406" spans="6:12">
      <c r="F2406" t="s">
        <v>14106</v>
      </c>
      <c r="G2406" t="s">
        <v>14107</v>
      </c>
      <c r="H2406">
        <v>5</v>
      </c>
      <c r="I2406">
        <v>3</v>
      </c>
      <c r="J2406">
        <v>0</v>
      </c>
      <c r="K2406">
        <v>0</v>
      </c>
      <c r="L2406" s="61" t="s">
        <v>4779</v>
      </c>
    </row>
    <row r="2407" spans="6:12">
      <c r="F2407" t="s">
        <v>14108</v>
      </c>
      <c r="G2407" t="s">
        <v>14109</v>
      </c>
      <c r="H2407">
        <v>4</v>
      </c>
      <c r="I2407">
        <v>3</v>
      </c>
      <c r="J2407">
        <v>1</v>
      </c>
      <c r="K2407">
        <v>0</v>
      </c>
      <c r="L2407" s="61" t="s">
        <v>4779</v>
      </c>
    </row>
    <row r="2408" spans="6:12">
      <c r="F2408" t="s">
        <v>14110</v>
      </c>
      <c r="G2408" t="s">
        <v>14111</v>
      </c>
      <c r="H2408">
        <v>4</v>
      </c>
      <c r="I2408">
        <v>3</v>
      </c>
      <c r="J2408">
        <v>1</v>
      </c>
      <c r="K2408">
        <v>0</v>
      </c>
      <c r="L2408" s="61" t="s">
        <v>4779</v>
      </c>
    </row>
    <row r="2409" spans="6:12">
      <c r="F2409" t="s">
        <v>14112</v>
      </c>
      <c r="G2409" t="s">
        <v>14113</v>
      </c>
      <c r="H2409">
        <v>5</v>
      </c>
      <c r="I2409">
        <v>1</v>
      </c>
      <c r="J2409">
        <v>2</v>
      </c>
      <c r="K2409">
        <v>0</v>
      </c>
      <c r="L2409" s="61" t="s">
        <v>4779</v>
      </c>
    </row>
    <row r="2410" spans="6:12">
      <c r="F2410" t="s">
        <v>14114</v>
      </c>
      <c r="G2410" t="s">
        <v>10928</v>
      </c>
      <c r="H2410">
        <v>5</v>
      </c>
      <c r="I2410">
        <v>2</v>
      </c>
      <c r="J2410">
        <v>1</v>
      </c>
      <c r="K2410">
        <v>0</v>
      </c>
      <c r="L2410" s="61" t="s">
        <v>4779</v>
      </c>
    </row>
    <row r="2411" spans="6:12">
      <c r="F2411" t="s">
        <v>14115</v>
      </c>
      <c r="G2411" t="s">
        <v>5920</v>
      </c>
      <c r="H2411">
        <v>5</v>
      </c>
      <c r="I2411">
        <v>1</v>
      </c>
      <c r="J2411">
        <v>2</v>
      </c>
      <c r="K2411">
        <v>0</v>
      </c>
      <c r="L2411" s="61" t="s">
        <v>4779</v>
      </c>
    </row>
    <row r="2412" spans="6:12">
      <c r="F2412" t="s">
        <v>14116</v>
      </c>
      <c r="G2412" t="s">
        <v>14117</v>
      </c>
      <c r="H2412">
        <v>6</v>
      </c>
      <c r="I2412">
        <v>2</v>
      </c>
      <c r="J2412">
        <v>0</v>
      </c>
      <c r="K2412">
        <v>0</v>
      </c>
      <c r="L2412" s="61" t="s">
        <v>4779</v>
      </c>
    </row>
    <row r="2413" spans="6:12">
      <c r="F2413" t="s">
        <v>14118</v>
      </c>
      <c r="G2413" t="s">
        <v>14119</v>
      </c>
      <c r="H2413">
        <v>6</v>
      </c>
      <c r="I2413">
        <v>2</v>
      </c>
      <c r="J2413">
        <v>0</v>
      </c>
      <c r="K2413">
        <v>0</v>
      </c>
      <c r="L2413" s="61" t="s">
        <v>4779</v>
      </c>
    </row>
    <row r="2414" spans="6:12">
      <c r="F2414" t="s">
        <v>14120</v>
      </c>
      <c r="G2414" t="s">
        <v>7890</v>
      </c>
      <c r="H2414">
        <v>5</v>
      </c>
      <c r="I2414">
        <v>3</v>
      </c>
      <c r="J2414">
        <v>0</v>
      </c>
      <c r="K2414">
        <v>0</v>
      </c>
      <c r="L2414" s="61" t="s">
        <v>4779</v>
      </c>
    </row>
    <row r="2415" spans="6:12">
      <c r="F2415" t="s">
        <v>14121</v>
      </c>
      <c r="G2415" t="s">
        <v>14122</v>
      </c>
      <c r="H2415">
        <v>3</v>
      </c>
      <c r="I2415">
        <v>3</v>
      </c>
      <c r="J2415">
        <v>2</v>
      </c>
      <c r="K2415">
        <v>0</v>
      </c>
      <c r="L2415" s="61" t="s">
        <v>4779</v>
      </c>
    </row>
    <row r="2416" spans="6:12">
      <c r="F2416" t="s">
        <v>14123</v>
      </c>
      <c r="G2416" t="s">
        <v>14124</v>
      </c>
      <c r="H2416">
        <v>6</v>
      </c>
      <c r="I2416">
        <v>2</v>
      </c>
      <c r="J2416">
        <v>0</v>
      </c>
      <c r="K2416">
        <v>0</v>
      </c>
      <c r="L2416" s="61" t="s">
        <v>4810</v>
      </c>
    </row>
    <row r="2417" spans="6:12">
      <c r="F2417" t="s">
        <v>14125</v>
      </c>
      <c r="G2417" t="s">
        <v>14126</v>
      </c>
      <c r="H2417">
        <v>7</v>
      </c>
      <c r="I2417">
        <v>1</v>
      </c>
      <c r="J2417">
        <v>0</v>
      </c>
      <c r="K2417">
        <v>0</v>
      </c>
      <c r="L2417" s="61" t="s">
        <v>4779</v>
      </c>
    </row>
    <row r="2418" spans="6:12">
      <c r="F2418" t="s">
        <v>14127</v>
      </c>
      <c r="G2418" t="s">
        <v>5776</v>
      </c>
      <c r="H2418">
        <v>4</v>
      </c>
      <c r="I2418">
        <v>2</v>
      </c>
      <c r="J2418">
        <v>2</v>
      </c>
      <c r="K2418">
        <v>0</v>
      </c>
      <c r="L2418" s="61" t="s">
        <v>4779</v>
      </c>
    </row>
    <row r="2419" spans="6:12">
      <c r="F2419" t="s">
        <v>14128</v>
      </c>
      <c r="G2419" t="s">
        <v>14129</v>
      </c>
      <c r="H2419">
        <v>4</v>
      </c>
      <c r="I2419">
        <v>3</v>
      </c>
      <c r="J2419">
        <v>1</v>
      </c>
      <c r="K2419">
        <v>0</v>
      </c>
      <c r="L2419" s="61" t="s">
        <v>4807</v>
      </c>
    </row>
    <row r="2420" spans="6:12">
      <c r="F2420" t="s">
        <v>14130</v>
      </c>
      <c r="G2420" t="s">
        <v>5869</v>
      </c>
      <c r="H2420">
        <v>5</v>
      </c>
      <c r="I2420">
        <v>3</v>
      </c>
      <c r="J2420">
        <v>0</v>
      </c>
      <c r="K2420">
        <v>0</v>
      </c>
      <c r="L2420" s="61" t="s">
        <v>4779</v>
      </c>
    </row>
    <row r="2421" spans="6:12">
      <c r="F2421" t="s">
        <v>14131</v>
      </c>
      <c r="G2421" t="s">
        <v>5382</v>
      </c>
      <c r="H2421">
        <v>4</v>
      </c>
      <c r="I2421">
        <v>3</v>
      </c>
      <c r="J2421">
        <v>1</v>
      </c>
      <c r="K2421">
        <v>0</v>
      </c>
      <c r="L2421" s="61" t="s">
        <v>4779</v>
      </c>
    </row>
    <row r="2422" spans="6:12">
      <c r="F2422" t="s">
        <v>14132</v>
      </c>
      <c r="G2422" t="s">
        <v>14133</v>
      </c>
      <c r="H2422">
        <v>6</v>
      </c>
      <c r="I2422">
        <v>2</v>
      </c>
      <c r="J2422">
        <v>0</v>
      </c>
      <c r="K2422">
        <v>0</v>
      </c>
      <c r="L2422" s="61" t="s">
        <v>4779</v>
      </c>
    </row>
    <row r="2423" spans="6:12">
      <c r="F2423" t="s">
        <v>14134</v>
      </c>
      <c r="G2423" t="s">
        <v>14135</v>
      </c>
      <c r="H2423">
        <v>7</v>
      </c>
      <c r="I2423">
        <v>1</v>
      </c>
      <c r="J2423">
        <v>0</v>
      </c>
      <c r="K2423">
        <v>0</v>
      </c>
      <c r="L2423" s="61" t="s">
        <v>4779</v>
      </c>
    </row>
    <row r="2424" spans="6:12">
      <c r="F2424" t="s">
        <v>14136</v>
      </c>
      <c r="G2424" t="s">
        <v>14137</v>
      </c>
      <c r="H2424">
        <v>5</v>
      </c>
      <c r="I2424">
        <v>2</v>
      </c>
      <c r="J2424">
        <v>1</v>
      </c>
      <c r="K2424">
        <v>0</v>
      </c>
      <c r="L2424" s="61" t="s">
        <v>4779</v>
      </c>
    </row>
    <row r="2425" spans="6:12">
      <c r="F2425" t="s">
        <v>14138</v>
      </c>
      <c r="G2425" t="s">
        <v>14139</v>
      </c>
      <c r="H2425">
        <v>5</v>
      </c>
      <c r="I2425">
        <v>3</v>
      </c>
      <c r="J2425">
        <v>0</v>
      </c>
      <c r="K2425">
        <v>0</v>
      </c>
      <c r="L2425" s="61" t="s">
        <v>4779</v>
      </c>
    </row>
    <row r="2426" spans="6:12">
      <c r="F2426" t="s">
        <v>14140</v>
      </c>
      <c r="G2426" t="s">
        <v>14141</v>
      </c>
      <c r="H2426">
        <v>6</v>
      </c>
      <c r="I2426">
        <v>2</v>
      </c>
      <c r="J2426">
        <v>0</v>
      </c>
      <c r="K2426">
        <v>0</v>
      </c>
      <c r="L2426" s="61" t="s">
        <v>4779</v>
      </c>
    </row>
    <row r="2427" spans="6:12">
      <c r="F2427" t="s">
        <v>14142</v>
      </c>
      <c r="G2427" t="s">
        <v>14143</v>
      </c>
      <c r="H2427">
        <v>6</v>
      </c>
      <c r="I2427">
        <v>2</v>
      </c>
      <c r="J2427">
        <v>0</v>
      </c>
      <c r="K2427">
        <v>0</v>
      </c>
      <c r="L2427" s="61" t="s">
        <v>4809</v>
      </c>
    </row>
    <row r="2428" spans="6:12">
      <c r="F2428" t="s">
        <v>14144</v>
      </c>
      <c r="G2428" t="s">
        <v>9596</v>
      </c>
      <c r="H2428">
        <v>4</v>
      </c>
      <c r="I2428">
        <v>3</v>
      </c>
      <c r="J2428">
        <v>1</v>
      </c>
      <c r="K2428">
        <v>0</v>
      </c>
      <c r="L2428" s="61" t="s">
        <v>4779</v>
      </c>
    </row>
    <row r="2429" spans="6:12">
      <c r="F2429" t="s">
        <v>14145</v>
      </c>
      <c r="G2429" t="s">
        <v>14146</v>
      </c>
      <c r="H2429">
        <v>6</v>
      </c>
      <c r="I2429">
        <v>2</v>
      </c>
      <c r="J2429">
        <v>0</v>
      </c>
      <c r="K2429">
        <v>0</v>
      </c>
      <c r="L2429" s="61" t="s">
        <v>4779</v>
      </c>
    </row>
    <row r="2430" spans="6:12">
      <c r="F2430" t="s">
        <v>14147</v>
      </c>
      <c r="G2430" t="s">
        <v>14148</v>
      </c>
      <c r="H2430">
        <v>4</v>
      </c>
      <c r="I2430">
        <v>2</v>
      </c>
      <c r="J2430">
        <v>2</v>
      </c>
      <c r="K2430">
        <v>0</v>
      </c>
      <c r="L2430" s="61" t="s">
        <v>4779</v>
      </c>
    </row>
    <row r="2431" spans="6:12">
      <c r="F2431" t="s">
        <v>14149</v>
      </c>
      <c r="G2431" t="s">
        <v>5674</v>
      </c>
      <c r="H2431">
        <v>4</v>
      </c>
      <c r="I2431">
        <v>3</v>
      </c>
      <c r="J2431">
        <v>1</v>
      </c>
      <c r="K2431">
        <v>0</v>
      </c>
      <c r="L2431" s="61" t="s">
        <v>4779</v>
      </c>
    </row>
    <row r="2432" spans="6:12">
      <c r="F2432" t="s">
        <v>14150</v>
      </c>
      <c r="G2432" t="s">
        <v>5242</v>
      </c>
      <c r="H2432">
        <v>3</v>
      </c>
      <c r="I2432">
        <v>3</v>
      </c>
      <c r="J2432">
        <v>2</v>
      </c>
      <c r="K2432">
        <v>0</v>
      </c>
      <c r="L2432" s="61" t="s">
        <v>4779</v>
      </c>
    </row>
    <row r="2433" spans="6:12">
      <c r="F2433" t="s">
        <v>14151</v>
      </c>
      <c r="G2433" t="s">
        <v>14152</v>
      </c>
      <c r="H2433">
        <v>7</v>
      </c>
      <c r="I2433">
        <v>1</v>
      </c>
      <c r="J2433">
        <v>0</v>
      </c>
      <c r="K2433">
        <v>0</v>
      </c>
      <c r="L2433" s="61" t="s">
        <v>4779</v>
      </c>
    </row>
    <row r="2434" spans="6:12">
      <c r="F2434" t="s">
        <v>14153</v>
      </c>
      <c r="G2434" t="s">
        <v>14154</v>
      </c>
      <c r="H2434">
        <v>7</v>
      </c>
      <c r="I2434">
        <v>1</v>
      </c>
      <c r="J2434">
        <v>0</v>
      </c>
      <c r="K2434">
        <v>0</v>
      </c>
      <c r="L2434" s="61" t="s">
        <v>4807</v>
      </c>
    </row>
    <row r="2435" spans="6:12">
      <c r="F2435" t="s">
        <v>14155</v>
      </c>
      <c r="G2435" t="s">
        <v>10989</v>
      </c>
      <c r="H2435">
        <v>4</v>
      </c>
      <c r="I2435">
        <v>3</v>
      </c>
      <c r="J2435">
        <v>1</v>
      </c>
      <c r="K2435">
        <v>0</v>
      </c>
      <c r="L2435" s="61" t="s">
        <v>4779</v>
      </c>
    </row>
    <row r="2436" spans="6:12">
      <c r="F2436" t="s">
        <v>14156</v>
      </c>
      <c r="G2436" t="s">
        <v>9968</v>
      </c>
      <c r="H2436">
        <v>5</v>
      </c>
      <c r="I2436">
        <v>1</v>
      </c>
      <c r="J2436">
        <v>2</v>
      </c>
      <c r="K2436">
        <v>0</v>
      </c>
      <c r="L2436" s="61" t="s">
        <v>4779</v>
      </c>
    </row>
    <row r="2437" spans="6:12">
      <c r="F2437" t="s">
        <v>14157</v>
      </c>
      <c r="G2437" t="s">
        <v>10980</v>
      </c>
      <c r="H2437">
        <v>5</v>
      </c>
      <c r="I2437">
        <v>3</v>
      </c>
      <c r="J2437">
        <v>0</v>
      </c>
      <c r="K2437">
        <v>0</v>
      </c>
      <c r="L2437" s="61" t="s">
        <v>4779</v>
      </c>
    </row>
    <row r="2438" spans="6:12">
      <c r="F2438" t="s">
        <v>14158</v>
      </c>
      <c r="G2438" t="s">
        <v>13469</v>
      </c>
      <c r="H2438">
        <v>4</v>
      </c>
      <c r="I2438">
        <v>2</v>
      </c>
      <c r="J2438">
        <v>2</v>
      </c>
      <c r="K2438">
        <v>0</v>
      </c>
      <c r="L2438" s="61" t="s">
        <v>4779</v>
      </c>
    </row>
    <row r="2439" spans="6:12">
      <c r="F2439" t="s">
        <v>14159</v>
      </c>
      <c r="G2439" t="s">
        <v>14160</v>
      </c>
      <c r="H2439">
        <v>7</v>
      </c>
      <c r="I2439">
        <v>1</v>
      </c>
      <c r="J2439">
        <v>0</v>
      </c>
      <c r="K2439">
        <v>0</v>
      </c>
      <c r="L2439" s="61" t="s">
        <v>4779</v>
      </c>
    </row>
    <row r="2440" spans="6:12">
      <c r="F2440" t="s">
        <v>14161</v>
      </c>
      <c r="G2440" t="s">
        <v>13044</v>
      </c>
      <c r="H2440">
        <v>4</v>
      </c>
      <c r="I2440">
        <v>3</v>
      </c>
      <c r="J2440">
        <v>1</v>
      </c>
      <c r="K2440">
        <v>0</v>
      </c>
      <c r="L2440" s="61" t="s">
        <v>4779</v>
      </c>
    </row>
    <row r="2441" spans="6:12">
      <c r="F2441" t="s">
        <v>14162</v>
      </c>
      <c r="G2441" t="s">
        <v>14163</v>
      </c>
      <c r="H2441">
        <v>3</v>
      </c>
      <c r="I2441">
        <v>3</v>
      </c>
      <c r="J2441">
        <v>2</v>
      </c>
      <c r="K2441">
        <v>0</v>
      </c>
      <c r="L2441" s="61" t="s">
        <v>4779</v>
      </c>
    </row>
    <row r="2442" spans="6:12">
      <c r="F2442" t="s">
        <v>14164</v>
      </c>
      <c r="G2442" t="s">
        <v>14165</v>
      </c>
      <c r="H2442">
        <v>6</v>
      </c>
      <c r="I2442">
        <v>2</v>
      </c>
      <c r="J2442">
        <v>0</v>
      </c>
      <c r="K2442">
        <v>0</v>
      </c>
      <c r="L2442" s="61" t="s">
        <v>4779</v>
      </c>
    </row>
    <row r="2443" spans="6:12">
      <c r="F2443" t="s">
        <v>14166</v>
      </c>
      <c r="G2443" t="s">
        <v>14167</v>
      </c>
      <c r="H2443">
        <v>6</v>
      </c>
      <c r="I2443">
        <v>1</v>
      </c>
      <c r="J2443">
        <v>1</v>
      </c>
      <c r="K2443">
        <v>0</v>
      </c>
      <c r="L2443" s="61" t="s">
        <v>4808</v>
      </c>
    </row>
    <row r="2444" spans="6:12">
      <c r="F2444" t="s">
        <v>14168</v>
      </c>
      <c r="G2444" t="s">
        <v>14169</v>
      </c>
      <c r="H2444">
        <v>5</v>
      </c>
      <c r="I2444">
        <v>3</v>
      </c>
      <c r="J2444">
        <v>0</v>
      </c>
      <c r="K2444">
        <v>0</v>
      </c>
      <c r="L2444" s="61" t="s">
        <v>4779</v>
      </c>
    </row>
    <row r="2445" spans="6:12">
      <c r="F2445" t="s">
        <v>14170</v>
      </c>
      <c r="G2445" t="s">
        <v>14171</v>
      </c>
      <c r="H2445">
        <v>6</v>
      </c>
      <c r="I2445">
        <v>1</v>
      </c>
      <c r="J2445">
        <v>1</v>
      </c>
      <c r="K2445">
        <v>0</v>
      </c>
      <c r="L2445" s="61" t="s">
        <v>4779</v>
      </c>
    </row>
    <row r="2446" spans="6:12">
      <c r="F2446" t="s">
        <v>14172</v>
      </c>
      <c r="G2446" t="s">
        <v>14173</v>
      </c>
      <c r="H2446">
        <v>4</v>
      </c>
      <c r="I2446">
        <v>2</v>
      </c>
      <c r="J2446">
        <v>2</v>
      </c>
      <c r="K2446">
        <v>0</v>
      </c>
      <c r="L2446" s="61" t="s">
        <v>4779</v>
      </c>
    </row>
    <row r="2447" spans="6:12">
      <c r="F2447" t="s">
        <v>14174</v>
      </c>
      <c r="G2447" t="s">
        <v>14175</v>
      </c>
      <c r="H2447">
        <v>6</v>
      </c>
      <c r="I2447">
        <v>1</v>
      </c>
      <c r="J2447">
        <v>1</v>
      </c>
      <c r="K2447">
        <v>0</v>
      </c>
      <c r="L2447" s="61" t="s">
        <v>4779</v>
      </c>
    </row>
    <row r="2448" spans="6:12">
      <c r="F2448" t="s">
        <v>14176</v>
      </c>
      <c r="G2448" t="s">
        <v>5815</v>
      </c>
      <c r="H2448">
        <v>5</v>
      </c>
      <c r="I2448">
        <v>3</v>
      </c>
      <c r="J2448">
        <v>0</v>
      </c>
      <c r="K2448">
        <v>0</v>
      </c>
      <c r="L2448" s="61" t="s">
        <v>4779</v>
      </c>
    </row>
    <row r="2449" spans="6:12">
      <c r="F2449" t="s">
        <v>14177</v>
      </c>
      <c r="G2449" t="s">
        <v>4989</v>
      </c>
      <c r="H2449">
        <v>6</v>
      </c>
      <c r="I2449">
        <v>2</v>
      </c>
      <c r="J2449">
        <v>0</v>
      </c>
      <c r="K2449">
        <v>0</v>
      </c>
      <c r="L2449" s="61" t="s">
        <v>4779</v>
      </c>
    </row>
    <row r="2450" spans="6:12">
      <c r="F2450" t="s">
        <v>14178</v>
      </c>
      <c r="G2450" t="s">
        <v>14179</v>
      </c>
      <c r="H2450">
        <v>4</v>
      </c>
      <c r="I2450">
        <v>2</v>
      </c>
      <c r="J2450">
        <v>2</v>
      </c>
      <c r="K2450">
        <v>0</v>
      </c>
      <c r="L2450" s="61" t="s">
        <v>4779</v>
      </c>
    </row>
    <row r="2451" spans="6:12">
      <c r="F2451" t="s">
        <v>14180</v>
      </c>
      <c r="G2451" t="s">
        <v>5015</v>
      </c>
      <c r="H2451">
        <v>5</v>
      </c>
      <c r="I2451">
        <v>3</v>
      </c>
      <c r="J2451">
        <v>0</v>
      </c>
      <c r="K2451">
        <v>0</v>
      </c>
      <c r="L2451" s="61" t="s">
        <v>4779</v>
      </c>
    </row>
    <row r="2452" spans="6:12">
      <c r="F2452" t="s">
        <v>14181</v>
      </c>
      <c r="G2452" t="s">
        <v>14182</v>
      </c>
      <c r="H2452">
        <v>7</v>
      </c>
      <c r="I2452">
        <v>1</v>
      </c>
      <c r="J2452">
        <v>0</v>
      </c>
      <c r="K2452">
        <v>0</v>
      </c>
      <c r="L2452" s="61" t="s">
        <v>4779</v>
      </c>
    </row>
    <row r="2453" spans="6:12">
      <c r="F2453" t="s">
        <v>14183</v>
      </c>
      <c r="G2453" t="s">
        <v>14184</v>
      </c>
      <c r="H2453">
        <v>5</v>
      </c>
      <c r="I2453">
        <v>3</v>
      </c>
      <c r="J2453">
        <v>0</v>
      </c>
      <c r="K2453">
        <v>0</v>
      </c>
      <c r="L2453" s="61" t="s">
        <v>4779</v>
      </c>
    </row>
    <row r="2454" spans="6:12">
      <c r="F2454" t="s">
        <v>14185</v>
      </c>
      <c r="G2454" t="s">
        <v>14186</v>
      </c>
      <c r="H2454">
        <v>4</v>
      </c>
      <c r="I2454">
        <v>3</v>
      </c>
      <c r="J2454">
        <v>1</v>
      </c>
      <c r="K2454">
        <v>0</v>
      </c>
      <c r="L2454" s="61" t="s">
        <v>4779</v>
      </c>
    </row>
    <row r="2455" spans="6:12">
      <c r="F2455" t="s">
        <v>14187</v>
      </c>
      <c r="G2455" t="s">
        <v>14188</v>
      </c>
      <c r="H2455">
        <v>5</v>
      </c>
      <c r="I2455">
        <v>1</v>
      </c>
      <c r="J2455">
        <v>2</v>
      </c>
      <c r="K2455">
        <v>0</v>
      </c>
      <c r="L2455" s="61" t="s">
        <v>4779</v>
      </c>
    </row>
    <row r="2456" spans="6:12">
      <c r="F2456" t="s">
        <v>14189</v>
      </c>
      <c r="G2456" t="s">
        <v>14190</v>
      </c>
      <c r="H2456">
        <v>6</v>
      </c>
      <c r="I2456">
        <v>2</v>
      </c>
      <c r="J2456">
        <v>0</v>
      </c>
      <c r="K2456">
        <v>0</v>
      </c>
      <c r="L2456" s="61" t="s">
        <v>4779</v>
      </c>
    </row>
    <row r="2457" spans="6:12">
      <c r="F2457" t="s">
        <v>14191</v>
      </c>
      <c r="G2457" t="s">
        <v>14192</v>
      </c>
      <c r="H2457">
        <v>5</v>
      </c>
      <c r="I2457">
        <v>3</v>
      </c>
      <c r="J2457">
        <v>0</v>
      </c>
      <c r="K2457">
        <v>0</v>
      </c>
      <c r="L2457" s="61" t="s">
        <v>4779</v>
      </c>
    </row>
    <row r="2458" spans="6:12">
      <c r="F2458" t="s">
        <v>14193</v>
      </c>
      <c r="G2458" t="s">
        <v>14194</v>
      </c>
      <c r="H2458">
        <v>6</v>
      </c>
      <c r="I2458">
        <v>2</v>
      </c>
      <c r="J2458">
        <v>0</v>
      </c>
      <c r="K2458">
        <v>0</v>
      </c>
      <c r="L2458" s="61" t="s">
        <v>4779</v>
      </c>
    </row>
    <row r="2459" spans="6:12">
      <c r="F2459" t="s">
        <v>14195</v>
      </c>
      <c r="G2459" t="s">
        <v>14196</v>
      </c>
      <c r="H2459">
        <v>7</v>
      </c>
      <c r="I2459">
        <v>1</v>
      </c>
      <c r="J2459">
        <v>0</v>
      </c>
      <c r="K2459">
        <v>0</v>
      </c>
      <c r="L2459" s="61" t="s">
        <v>4779</v>
      </c>
    </row>
    <row r="2460" spans="6:12">
      <c r="F2460" t="s">
        <v>14197</v>
      </c>
      <c r="G2460" t="s">
        <v>14198</v>
      </c>
      <c r="H2460">
        <v>5</v>
      </c>
      <c r="I2460">
        <v>3</v>
      </c>
      <c r="J2460">
        <v>0</v>
      </c>
      <c r="K2460">
        <v>0</v>
      </c>
      <c r="L2460" s="61" t="s">
        <v>4779</v>
      </c>
    </row>
    <row r="2461" spans="6:12">
      <c r="F2461" t="s">
        <v>14199</v>
      </c>
      <c r="G2461" t="s">
        <v>14200</v>
      </c>
      <c r="H2461">
        <v>4</v>
      </c>
      <c r="I2461">
        <v>3</v>
      </c>
      <c r="J2461">
        <v>1</v>
      </c>
      <c r="K2461">
        <v>0</v>
      </c>
      <c r="L2461" s="61" t="s">
        <v>4806</v>
      </c>
    </row>
    <row r="2462" spans="6:12">
      <c r="F2462" t="s">
        <v>14201</v>
      </c>
      <c r="G2462" t="s">
        <v>14202</v>
      </c>
      <c r="H2462">
        <v>5</v>
      </c>
      <c r="I2462">
        <v>2</v>
      </c>
      <c r="J2462">
        <v>1</v>
      </c>
      <c r="K2462">
        <v>0</v>
      </c>
      <c r="L2462" s="61" t="s">
        <v>4779</v>
      </c>
    </row>
    <row r="2463" spans="6:12">
      <c r="F2463" t="s">
        <v>14203</v>
      </c>
      <c r="G2463" t="s">
        <v>14204</v>
      </c>
      <c r="H2463">
        <v>4</v>
      </c>
      <c r="I2463">
        <v>3</v>
      </c>
      <c r="J2463">
        <v>1</v>
      </c>
      <c r="K2463">
        <v>0</v>
      </c>
      <c r="L2463" s="61" t="s">
        <v>4779</v>
      </c>
    </row>
    <row r="2464" spans="6:12">
      <c r="F2464" t="s">
        <v>14205</v>
      </c>
      <c r="G2464" t="s">
        <v>14206</v>
      </c>
      <c r="H2464">
        <v>4</v>
      </c>
      <c r="I2464">
        <v>3</v>
      </c>
      <c r="J2464">
        <v>1</v>
      </c>
      <c r="K2464">
        <v>0</v>
      </c>
      <c r="L2464" s="61" t="s">
        <v>4779</v>
      </c>
    </row>
    <row r="2465" spans="6:12">
      <c r="F2465" t="s">
        <v>14207</v>
      </c>
      <c r="G2465" t="s">
        <v>8990</v>
      </c>
      <c r="H2465">
        <v>7</v>
      </c>
      <c r="I2465">
        <v>1</v>
      </c>
      <c r="J2465">
        <v>0</v>
      </c>
      <c r="K2465">
        <v>0</v>
      </c>
      <c r="L2465" s="61" t="s">
        <v>4779</v>
      </c>
    </row>
    <row r="2466" spans="6:12">
      <c r="F2466" t="s">
        <v>14208</v>
      </c>
      <c r="G2466" t="s">
        <v>5356</v>
      </c>
      <c r="H2466">
        <v>5</v>
      </c>
      <c r="I2466">
        <v>2</v>
      </c>
      <c r="J2466">
        <v>1</v>
      </c>
      <c r="K2466">
        <v>0</v>
      </c>
      <c r="L2466" s="61" t="s">
        <v>4809</v>
      </c>
    </row>
    <row r="2467" spans="6:12">
      <c r="F2467" t="s">
        <v>14209</v>
      </c>
      <c r="G2467" t="s">
        <v>14210</v>
      </c>
      <c r="H2467">
        <v>5</v>
      </c>
      <c r="I2467">
        <v>3</v>
      </c>
      <c r="J2467">
        <v>0</v>
      </c>
      <c r="K2467">
        <v>0</v>
      </c>
      <c r="L2467" s="61" t="s">
        <v>4779</v>
      </c>
    </row>
    <row r="2468" spans="6:12">
      <c r="F2468" t="s">
        <v>14211</v>
      </c>
      <c r="G2468" t="s">
        <v>5462</v>
      </c>
      <c r="H2468">
        <v>6</v>
      </c>
      <c r="I2468">
        <v>2</v>
      </c>
      <c r="J2468">
        <v>0</v>
      </c>
      <c r="K2468">
        <v>0</v>
      </c>
      <c r="L2468" s="61" t="s">
        <v>4779</v>
      </c>
    </row>
    <row r="2469" spans="6:12">
      <c r="F2469" t="s">
        <v>14212</v>
      </c>
      <c r="G2469" t="s">
        <v>14213</v>
      </c>
      <c r="H2469">
        <v>6</v>
      </c>
      <c r="I2469">
        <v>2</v>
      </c>
      <c r="J2469">
        <v>0</v>
      </c>
      <c r="K2469">
        <v>0</v>
      </c>
      <c r="L2469" s="61" t="s">
        <v>4809</v>
      </c>
    </row>
    <row r="2470" spans="6:12">
      <c r="F2470" t="s">
        <v>14214</v>
      </c>
      <c r="G2470" t="s">
        <v>11077</v>
      </c>
      <c r="H2470">
        <v>4</v>
      </c>
      <c r="I2470">
        <v>3</v>
      </c>
      <c r="J2470">
        <v>1</v>
      </c>
      <c r="K2470">
        <v>0</v>
      </c>
      <c r="L2470" s="61" t="s">
        <v>4779</v>
      </c>
    </row>
    <row r="2471" spans="6:12">
      <c r="F2471" t="s">
        <v>14215</v>
      </c>
      <c r="G2471" t="s">
        <v>14216</v>
      </c>
      <c r="H2471">
        <v>5</v>
      </c>
      <c r="I2471">
        <v>1</v>
      </c>
      <c r="J2471">
        <v>2</v>
      </c>
      <c r="K2471">
        <v>0</v>
      </c>
      <c r="L2471" s="61" t="s">
        <v>4779</v>
      </c>
    </row>
    <row r="2472" spans="6:12">
      <c r="F2472" t="s">
        <v>14217</v>
      </c>
      <c r="G2472" t="s">
        <v>14218</v>
      </c>
      <c r="H2472">
        <v>5</v>
      </c>
      <c r="I2472">
        <v>2</v>
      </c>
      <c r="J2472">
        <v>1</v>
      </c>
      <c r="K2472">
        <v>0</v>
      </c>
      <c r="L2472" s="61" t="s">
        <v>4779</v>
      </c>
    </row>
    <row r="2473" spans="6:12">
      <c r="F2473" t="s">
        <v>14219</v>
      </c>
      <c r="G2473" t="s">
        <v>14220</v>
      </c>
      <c r="H2473">
        <v>6</v>
      </c>
      <c r="I2473">
        <v>1</v>
      </c>
      <c r="J2473">
        <v>1</v>
      </c>
      <c r="K2473">
        <v>0</v>
      </c>
      <c r="L2473" s="61" t="s">
        <v>4779</v>
      </c>
    </row>
    <row r="2474" spans="6:12">
      <c r="F2474" t="s">
        <v>14221</v>
      </c>
      <c r="G2474" t="s">
        <v>14222</v>
      </c>
      <c r="H2474">
        <v>5</v>
      </c>
      <c r="I2474">
        <v>3</v>
      </c>
      <c r="J2474">
        <v>0</v>
      </c>
      <c r="K2474">
        <v>0</v>
      </c>
      <c r="L2474" s="61" t="s">
        <v>4779</v>
      </c>
    </row>
    <row r="2475" spans="6:12">
      <c r="F2475" t="s">
        <v>14223</v>
      </c>
      <c r="G2475" t="s">
        <v>14224</v>
      </c>
      <c r="H2475">
        <v>7</v>
      </c>
      <c r="I2475">
        <v>1</v>
      </c>
      <c r="J2475">
        <v>0</v>
      </c>
      <c r="K2475">
        <v>0</v>
      </c>
      <c r="L2475" s="61" t="s">
        <v>4779</v>
      </c>
    </row>
    <row r="2476" spans="6:12">
      <c r="F2476" t="s">
        <v>14225</v>
      </c>
      <c r="G2476" t="s">
        <v>14226</v>
      </c>
      <c r="H2476">
        <v>3</v>
      </c>
      <c r="I2476">
        <v>3</v>
      </c>
      <c r="J2476">
        <v>2</v>
      </c>
      <c r="K2476">
        <v>0</v>
      </c>
      <c r="L2476" s="61" t="s">
        <v>4779</v>
      </c>
    </row>
    <row r="2477" spans="6:12">
      <c r="F2477" t="s">
        <v>14227</v>
      </c>
      <c r="G2477" t="s">
        <v>14228</v>
      </c>
      <c r="H2477">
        <v>4</v>
      </c>
      <c r="I2477">
        <v>3</v>
      </c>
      <c r="J2477">
        <v>1</v>
      </c>
      <c r="K2477">
        <v>0</v>
      </c>
      <c r="L2477" s="61" t="s">
        <v>4779</v>
      </c>
    </row>
    <row r="2478" spans="6:12">
      <c r="F2478" t="s">
        <v>14229</v>
      </c>
      <c r="G2478" t="s">
        <v>14230</v>
      </c>
      <c r="H2478">
        <v>6</v>
      </c>
      <c r="I2478">
        <v>2</v>
      </c>
      <c r="J2478">
        <v>0</v>
      </c>
      <c r="K2478">
        <v>0</v>
      </c>
      <c r="L2478" s="61" t="s">
        <v>4810</v>
      </c>
    </row>
    <row r="2479" spans="6:12">
      <c r="F2479" t="s">
        <v>14231</v>
      </c>
      <c r="G2479" t="s">
        <v>14232</v>
      </c>
      <c r="H2479">
        <v>6</v>
      </c>
      <c r="I2479">
        <v>2</v>
      </c>
      <c r="J2479">
        <v>0</v>
      </c>
      <c r="K2479">
        <v>0</v>
      </c>
      <c r="L2479" s="61" t="s">
        <v>4779</v>
      </c>
    </row>
    <row r="2480" spans="6:12">
      <c r="F2480" t="s">
        <v>14233</v>
      </c>
      <c r="G2480" t="s">
        <v>14234</v>
      </c>
      <c r="H2480">
        <v>7</v>
      </c>
      <c r="I2480">
        <v>1</v>
      </c>
      <c r="J2480">
        <v>0</v>
      </c>
      <c r="K2480">
        <v>0</v>
      </c>
      <c r="L2480" s="61" t="s">
        <v>4779</v>
      </c>
    </row>
    <row r="2481" spans="6:12">
      <c r="F2481" t="s">
        <v>14235</v>
      </c>
      <c r="G2481" t="s">
        <v>14236</v>
      </c>
      <c r="H2481">
        <v>7</v>
      </c>
      <c r="I2481">
        <v>1</v>
      </c>
      <c r="J2481">
        <v>0</v>
      </c>
      <c r="K2481">
        <v>0</v>
      </c>
      <c r="L2481" s="61" t="s">
        <v>4779</v>
      </c>
    </row>
    <row r="2482" spans="6:12">
      <c r="F2482" t="s">
        <v>14237</v>
      </c>
      <c r="G2482" t="s">
        <v>14238</v>
      </c>
      <c r="H2482">
        <v>4</v>
      </c>
      <c r="I2482">
        <v>2</v>
      </c>
      <c r="J2482">
        <v>2</v>
      </c>
      <c r="K2482">
        <v>0</v>
      </c>
      <c r="L2482" s="61" t="s">
        <v>4779</v>
      </c>
    </row>
    <row r="2483" spans="6:12">
      <c r="F2483" t="s">
        <v>14239</v>
      </c>
      <c r="G2483" t="s">
        <v>5900</v>
      </c>
      <c r="H2483">
        <v>4</v>
      </c>
      <c r="I2483">
        <v>3</v>
      </c>
      <c r="J2483">
        <v>1</v>
      </c>
      <c r="K2483">
        <v>0</v>
      </c>
      <c r="L2483" s="61" t="s">
        <v>4779</v>
      </c>
    </row>
    <row r="2484" spans="6:12">
      <c r="F2484" t="s">
        <v>14240</v>
      </c>
      <c r="G2484" t="s">
        <v>14241</v>
      </c>
      <c r="H2484">
        <v>7</v>
      </c>
      <c r="I2484">
        <v>1</v>
      </c>
      <c r="J2484">
        <v>0</v>
      </c>
      <c r="K2484">
        <v>0</v>
      </c>
      <c r="L2484" s="61" t="s">
        <v>4779</v>
      </c>
    </row>
    <row r="2485" spans="6:12">
      <c r="F2485" t="s">
        <v>14242</v>
      </c>
      <c r="G2485" t="s">
        <v>14243</v>
      </c>
      <c r="H2485">
        <v>5</v>
      </c>
      <c r="I2485">
        <v>2</v>
      </c>
      <c r="J2485">
        <v>1</v>
      </c>
      <c r="K2485">
        <v>0</v>
      </c>
      <c r="L2485" s="61" t="s">
        <v>4779</v>
      </c>
    </row>
    <row r="2486" spans="6:12">
      <c r="F2486" t="s">
        <v>14244</v>
      </c>
      <c r="G2486" t="s">
        <v>4677</v>
      </c>
      <c r="H2486">
        <v>3</v>
      </c>
      <c r="I2486">
        <v>3</v>
      </c>
      <c r="J2486">
        <v>2</v>
      </c>
      <c r="K2486">
        <v>0</v>
      </c>
      <c r="L2486" s="61" t="s">
        <v>4779</v>
      </c>
    </row>
    <row r="2487" spans="6:12">
      <c r="F2487" t="s">
        <v>14245</v>
      </c>
      <c r="G2487" t="s">
        <v>14246</v>
      </c>
      <c r="H2487">
        <v>6</v>
      </c>
      <c r="I2487">
        <v>1</v>
      </c>
      <c r="J2487">
        <v>1</v>
      </c>
      <c r="K2487">
        <v>0</v>
      </c>
      <c r="L2487" s="61" t="s">
        <v>4779</v>
      </c>
    </row>
    <row r="2488" spans="6:12">
      <c r="F2488" t="s">
        <v>14247</v>
      </c>
      <c r="G2488" t="s">
        <v>9836</v>
      </c>
      <c r="H2488">
        <v>5</v>
      </c>
      <c r="I2488">
        <v>1</v>
      </c>
      <c r="J2488">
        <v>2</v>
      </c>
      <c r="K2488">
        <v>0</v>
      </c>
      <c r="L2488" s="61" t="s">
        <v>4779</v>
      </c>
    </row>
    <row r="2489" spans="6:12">
      <c r="F2489" t="s">
        <v>14248</v>
      </c>
      <c r="G2489" t="s">
        <v>14249</v>
      </c>
      <c r="H2489">
        <v>4</v>
      </c>
      <c r="I2489">
        <v>2</v>
      </c>
      <c r="J2489">
        <v>2</v>
      </c>
      <c r="K2489">
        <v>0</v>
      </c>
      <c r="L2489" s="61" t="s">
        <v>4779</v>
      </c>
    </row>
    <row r="2490" spans="6:12">
      <c r="F2490" t="s">
        <v>14250</v>
      </c>
      <c r="G2490" t="s">
        <v>14251</v>
      </c>
      <c r="H2490">
        <v>5</v>
      </c>
      <c r="I2490">
        <v>1</v>
      </c>
      <c r="J2490">
        <v>2</v>
      </c>
      <c r="K2490">
        <v>0</v>
      </c>
      <c r="L2490" s="61" t="s">
        <v>4779</v>
      </c>
    </row>
    <row r="2491" spans="6:12">
      <c r="F2491" t="s">
        <v>14252</v>
      </c>
      <c r="G2491" t="s">
        <v>14253</v>
      </c>
      <c r="H2491">
        <v>6</v>
      </c>
      <c r="I2491">
        <v>1</v>
      </c>
      <c r="J2491">
        <v>1</v>
      </c>
      <c r="K2491">
        <v>0</v>
      </c>
      <c r="L2491" s="61" t="s">
        <v>4806</v>
      </c>
    </row>
    <row r="2492" spans="6:12">
      <c r="F2492" t="s">
        <v>14254</v>
      </c>
      <c r="G2492" t="s">
        <v>14255</v>
      </c>
      <c r="H2492">
        <v>5</v>
      </c>
      <c r="I2492">
        <v>3</v>
      </c>
      <c r="J2492">
        <v>0</v>
      </c>
      <c r="K2492">
        <v>0</v>
      </c>
      <c r="L2492" s="61" t="s">
        <v>4779</v>
      </c>
    </row>
    <row r="2493" spans="6:12">
      <c r="F2493" t="s">
        <v>14256</v>
      </c>
      <c r="G2493" t="s">
        <v>9204</v>
      </c>
      <c r="H2493">
        <v>5</v>
      </c>
      <c r="I2493">
        <v>1</v>
      </c>
      <c r="J2493">
        <v>2</v>
      </c>
      <c r="K2493">
        <v>0</v>
      </c>
      <c r="L2493" s="61" t="s">
        <v>4779</v>
      </c>
    </row>
    <row r="2494" spans="6:12">
      <c r="F2494" t="s">
        <v>14257</v>
      </c>
      <c r="G2494" t="s">
        <v>14258</v>
      </c>
      <c r="H2494">
        <v>6</v>
      </c>
      <c r="I2494">
        <v>2</v>
      </c>
      <c r="J2494">
        <v>0</v>
      </c>
      <c r="K2494">
        <v>0</v>
      </c>
      <c r="L2494" s="61" t="s">
        <v>4779</v>
      </c>
    </row>
    <row r="2495" spans="6:12">
      <c r="F2495" t="s">
        <v>14259</v>
      </c>
      <c r="G2495" t="s">
        <v>7490</v>
      </c>
      <c r="H2495">
        <v>6</v>
      </c>
      <c r="I2495">
        <v>1</v>
      </c>
      <c r="J2495">
        <v>1</v>
      </c>
      <c r="K2495">
        <v>0</v>
      </c>
      <c r="L2495" s="61" t="s">
        <v>4779</v>
      </c>
    </row>
    <row r="2496" spans="6:12">
      <c r="F2496" t="s">
        <v>14260</v>
      </c>
      <c r="G2496" t="s">
        <v>5680</v>
      </c>
      <c r="H2496">
        <v>4</v>
      </c>
      <c r="I2496">
        <v>3</v>
      </c>
      <c r="J2496">
        <v>1</v>
      </c>
      <c r="K2496">
        <v>0</v>
      </c>
      <c r="L2496" s="61" t="s">
        <v>4779</v>
      </c>
    </row>
    <row r="2497" spans="6:12">
      <c r="F2497" t="s">
        <v>14261</v>
      </c>
      <c r="G2497" t="s">
        <v>14262</v>
      </c>
      <c r="H2497">
        <v>6</v>
      </c>
      <c r="I2497">
        <v>1</v>
      </c>
      <c r="J2497">
        <v>1</v>
      </c>
      <c r="K2497">
        <v>0</v>
      </c>
      <c r="L2497" s="61" t="s">
        <v>4779</v>
      </c>
    </row>
    <row r="2498" spans="6:12">
      <c r="F2498" t="s">
        <v>14263</v>
      </c>
      <c r="G2498" t="s">
        <v>14264</v>
      </c>
      <c r="H2498">
        <v>7</v>
      </c>
      <c r="I2498">
        <v>1</v>
      </c>
      <c r="J2498">
        <v>0</v>
      </c>
      <c r="K2498">
        <v>0</v>
      </c>
      <c r="L2498" s="61" t="s">
        <v>4779</v>
      </c>
    </row>
    <row r="2499" spans="6:12">
      <c r="F2499" t="s">
        <v>14265</v>
      </c>
      <c r="G2499" t="s">
        <v>14266</v>
      </c>
      <c r="H2499">
        <v>4</v>
      </c>
      <c r="I2499">
        <v>2</v>
      </c>
      <c r="J2499">
        <v>2</v>
      </c>
      <c r="K2499">
        <v>0</v>
      </c>
      <c r="L2499" s="61" t="s">
        <v>4779</v>
      </c>
    </row>
    <row r="2500" spans="6:12">
      <c r="F2500" t="s">
        <v>14267</v>
      </c>
      <c r="G2500" t="s">
        <v>10977</v>
      </c>
      <c r="H2500">
        <v>4</v>
      </c>
      <c r="I2500">
        <v>3</v>
      </c>
      <c r="J2500">
        <v>1</v>
      </c>
      <c r="K2500">
        <v>0</v>
      </c>
      <c r="L2500" s="61" t="s">
        <v>4779</v>
      </c>
    </row>
    <row r="2501" spans="6:12">
      <c r="F2501" t="s">
        <v>14268</v>
      </c>
      <c r="G2501" t="s">
        <v>14269</v>
      </c>
      <c r="H2501">
        <v>5</v>
      </c>
      <c r="I2501">
        <v>2</v>
      </c>
      <c r="J2501">
        <v>1</v>
      </c>
      <c r="K2501">
        <v>0</v>
      </c>
      <c r="L2501" s="61" t="s">
        <v>4779</v>
      </c>
    </row>
    <row r="2502" spans="6:12">
      <c r="F2502" t="s">
        <v>14270</v>
      </c>
      <c r="G2502" t="s">
        <v>4995</v>
      </c>
      <c r="H2502">
        <v>4</v>
      </c>
      <c r="I2502">
        <v>2</v>
      </c>
      <c r="J2502">
        <v>2</v>
      </c>
      <c r="K2502">
        <v>0</v>
      </c>
      <c r="L2502" s="61" t="s">
        <v>4779</v>
      </c>
    </row>
    <row r="2503" spans="6:12">
      <c r="F2503" t="s">
        <v>14271</v>
      </c>
      <c r="G2503" t="s">
        <v>14272</v>
      </c>
      <c r="H2503">
        <v>5</v>
      </c>
      <c r="I2503">
        <v>3</v>
      </c>
      <c r="J2503">
        <v>0</v>
      </c>
      <c r="K2503">
        <v>0</v>
      </c>
      <c r="L2503" s="61" t="s">
        <v>4779</v>
      </c>
    </row>
    <row r="2504" spans="6:12">
      <c r="F2504" t="s">
        <v>14273</v>
      </c>
      <c r="G2504" t="s">
        <v>9619</v>
      </c>
      <c r="H2504">
        <v>3</v>
      </c>
      <c r="I2504">
        <v>3</v>
      </c>
      <c r="J2504">
        <v>2</v>
      </c>
      <c r="K2504">
        <v>0</v>
      </c>
      <c r="L2504" s="61" t="s">
        <v>4779</v>
      </c>
    </row>
    <row r="2505" spans="6:12">
      <c r="F2505" t="s">
        <v>14274</v>
      </c>
      <c r="G2505" t="s">
        <v>14275</v>
      </c>
      <c r="H2505">
        <v>7</v>
      </c>
      <c r="I2505">
        <v>1</v>
      </c>
      <c r="J2505">
        <v>0</v>
      </c>
      <c r="K2505">
        <v>0</v>
      </c>
      <c r="L2505" s="61" t="s">
        <v>4779</v>
      </c>
    </row>
    <row r="2506" spans="6:12">
      <c r="F2506" t="s">
        <v>14276</v>
      </c>
      <c r="G2506" t="s">
        <v>5309</v>
      </c>
      <c r="H2506">
        <v>4</v>
      </c>
      <c r="I2506">
        <v>2</v>
      </c>
      <c r="J2506">
        <v>2</v>
      </c>
      <c r="K2506">
        <v>0</v>
      </c>
      <c r="L2506" s="61" t="s">
        <v>4779</v>
      </c>
    </row>
    <row r="2507" spans="6:12">
      <c r="F2507" t="s">
        <v>14277</v>
      </c>
      <c r="G2507" t="s">
        <v>14278</v>
      </c>
      <c r="H2507">
        <v>5</v>
      </c>
      <c r="I2507">
        <v>2</v>
      </c>
      <c r="J2507">
        <v>1</v>
      </c>
      <c r="K2507">
        <v>0</v>
      </c>
      <c r="L2507" s="61" t="s">
        <v>4779</v>
      </c>
    </row>
    <row r="2508" spans="6:12">
      <c r="F2508" t="s">
        <v>14279</v>
      </c>
      <c r="G2508" t="s">
        <v>14280</v>
      </c>
      <c r="H2508">
        <v>6</v>
      </c>
      <c r="I2508">
        <v>1</v>
      </c>
      <c r="J2508">
        <v>0</v>
      </c>
      <c r="K2508">
        <v>1</v>
      </c>
      <c r="L2508" s="61" t="s">
        <v>4779</v>
      </c>
    </row>
    <row r="2509" spans="6:12">
      <c r="F2509" t="s">
        <v>14281</v>
      </c>
      <c r="G2509" t="s">
        <v>5392</v>
      </c>
      <c r="H2509">
        <v>5</v>
      </c>
      <c r="I2509">
        <v>3</v>
      </c>
      <c r="J2509">
        <v>0</v>
      </c>
      <c r="K2509">
        <v>0</v>
      </c>
      <c r="L2509" s="61" t="s">
        <v>4779</v>
      </c>
    </row>
    <row r="2510" spans="6:12">
      <c r="F2510" t="s">
        <v>14282</v>
      </c>
      <c r="G2510" t="s">
        <v>14283</v>
      </c>
      <c r="H2510">
        <v>7</v>
      </c>
      <c r="I2510">
        <v>1</v>
      </c>
      <c r="J2510">
        <v>0</v>
      </c>
      <c r="K2510">
        <v>0</v>
      </c>
      <c r="L2510" s="61" t="s">
        <v>4779</v>
      </c>
    </row>
    <row r="2511" spans="6:12">
      <c r="F2511" t="s">
        <v>14284</v>
      </c>
      <c r="G2511" t="s">
        <v>14285</v>
      </c>
      <c r="H2511">
        <v>6</v>
      </c>
      <c r="I2511">
        <v>2</v>
      </c>
      <c r="J2511">
        <v>0</v>
      </c>
      <c r="K2511">
        <v>0</v>
      </c>
      <c r="L2511" s="61" t="s">
        <v>4779</v>
      </c>
    </row>
    <row r="2512" spans="6:12">
      <c r="F2512" t="s">
        <v>14286</v>
      </c>
      <c r="G2512" t="s">
        <v>9236</v>
      </c>
      <c r="H2512">
        <v>4</v>
      </c>
      <c r="I2512">
        <v>2</v>
      </c>
      <c r="J2512">
        <v>2</v>
      </c>
      <c r="K2512">
        <v>0</v>
      </c>
      <c r="L2512" s="61" t="s">
        <v>4779</v>
      </c>
    </row>
    <row r="2513" spans="6:12">
      <c r="F2513" t="s">
        <v>14287</v>
      </c>
      <c r="G2513" t="s">
        <v>14288</v>
      </c>
      <c r="H2513">
        <v>5</v>
      </c>
      <c r="I2513">
        <v>3</v>
      </c>
      <c r="J2513">
        <v>0</v>
      </c>
      <c r="K2513">
        <v>0</v>
      </c>
      <c r="L2513" s="61" t="s">
        <v>4779</v>
      </c>
    </row>
    <row r="2514" spans="6:12">
      <c r="F2514" t="s">
        <v>14289</v>
      </c>
      <c r="G2514" t="s">
        <v>14290</v>
      </c>
      <c r="H2514">
        <v>5</v>
      </c>
      <c r="I2514">
        <v>2</v>
      </c>
      <c r="J2514">
        <v>1</v>
      </c>
      <c r="K2514">
        <v>0</v>
      </c>
      <c r="L2514" s="61" t="s">
        <v>4779</v>
      </c>
    </row>
    <row r="2515" spans="6:12">
      <c r="F2515" t="s">
        <v>14291</v>
      </c>
      <c r="G2515" t="s">
        <v>11076</v>
      </c>
      <c r="H2515">
        <v>5</v>
      </c>
      <c r="I2515">
        <v>2</v>
      </c>
      <c r="J2515">
        <v>1</v>
      </c>
      <c r="K2515">
        <v>0</v>
      </c>
      <c r="L2515" s="61" t="s">
        <v>4806</v>
      </c>
    </row>
    <row r="2516" spans="6:12">
      <c r="F2516" t="s">
        <v>14292</v>
      </c>
      <c r="G2516" t="s">
        <v>14293</v>
      </c>
      <c r="H2516">
        <v>6</v>
      </c>
      <c r="I2516">
        <v>2</v>
      </c>
      <c r="J2516">
        <v>0</v>
      </c>
      <c r="K2516">
        <v>0</v>
      </c>
      <c r="L2516" s="61" t="s">
        <v>4779</v>
      </c>
    </row>
    <row r="2517" spans="6:12">
      <c r="F2517" t="s">
        <v>14294</v>
      </c>
      <c r="G2517" t="s">
        <v>5803</v>
      </c>
      <c r="H2517">
        <v>7</v>
      </c>
      <c r="I2517">
        <v>1</v>
      </c>
      <c r="J2517">
        <v>0</v>
      </c>
      <c r="K2517">
        <v>0</v>
      </c>
      <c r="L2517" s="61" t="s">
        <v>4779</v>
      </c>
    </row>
    <row r="2518" spans="6:12">
      <c r="F2518" t="s">
        <v>14295</v>
      </c>
      <c r="G2518" t="s">
        <v>14296</v>
      </c>
      <c r="H2518">
        <v>5</v>
      </c>
      <c r="I2518">
        <v>3</v>
      </c>
      <c r="J2518">
        <v>0</v>
      </c>
      <c r="K2518">
        <v>0</v>
      </c>
      <c r="L2518" s="61" t="s">
        <v>4779</v>
      </c>
    </row>
    <row r="2519" spans="6:12">
      <c r="F2519" t="s">
        <v>14297</v>
      </c>
      <c r="G2519" t="s">
        <v>5008</v>
      </c>
      <c r="H2519">
        <v>4</v>
      </c>
      <c r="I2519">
        <v>2</v>
      </c>
      <c r="J2519">
        <v>2</v>
      </c>
      <c r="K2519">
        <v>0</v>
      </c>
      <c r="L2519" s="61" t="s">
        <v>4779</v>
      </c>
    </row>
    <row r="2520" spans="6:12">
      <c r="F2520" t="s">
        <v>14298</v>
      </c>
      <c r="G2520" t="s">
        <v>14299</v>
      </c>
      <c r="H2520">
        <v>3</v>
      </c>
      <c r="I2520">
        <v>3</v>
      </c>
      <c r="J2520">
        <v>2</v>
      </c>
      <c r="K2520">
        <v>0</v>
      </c>
      <c r="L2520" s="61" t="s">
        <v>4779</v>
      </c>
    </row>
    <row r="2521" spans="6:12">
      <c r="F2521" t="s">
        <v>14300</v>
      </c>
      <c r="G2521" t="s">
        <v>5109</v>
      </c>
      <c r="H2521">
        <v>4</v>
      </c>
      <c r="I2521">
        <v>2</v>
      </c>
      <c r="J2521">
        <v>2</v>
      </c>
      <c r="K2521">
        <v>0</v>
      </c>
      <c r="L2521" s="61" t="s">
        <v>4779</v>
      </c>
    </row>
    <row r="2522" spans="6:12">
      <c r="F2522" t="s">
        <v>14301</v>
      </c>
      <c r="G2522" t="s">
        <v>14302</v>
      </c>
      <c r="H2522">
        <v>6</v>
      </c>
      <c r="I2522">
        <v>2</v>
      </c>
      <c r="J2522">
        <v>0</v>
      </c>
      <c r="K2522">
        <v>0</v>
      </c>
      <c r="L2522" s="61" t="s">
        <v>4779</v>
      </c>
    </row>
    <row r="2523" spans="6:12">
      <c r="F2523" t="s">
        <v>14303</v>
      </c>
      <c r="G2523" t="s">
        <v>14304</v>
      </c>
      <c r="H2523">
        <v>7</v>
      </c>
      <c r="I2523">
        <v>1</v>
      </c>
      <c r="J2523">
        <v>0</v>
      </c>
      <c r="K2523">
        <v>0</v>
      </c>
      <c r="L2523" s="61" t="s">
        <v>4779</v>
      </c>
    </row>
    <row r="2524" spans="6:12">
      <c r="F2524" t="s">
        <v>14305</v>
      </c>
      <c r="G2524" t="s">
        <v>10708</v>
      </c>
      <c r="H2524">
        <v>5</v>
      </c>
      <c r="I2524">
        <v>2</v>
      </c>
      <c r="J2524">
        <v>1</v>
      </c>
      <c r="K2524">
        <v>0</v>
      </c>
      <c r="L2524" s="61" t="s">
        <v>4779</v>
      </c>
    </row>
    <row r="2525" spans="6:12">
      <c r="F2525" t="s">
        <v>14306</v>
      </c>
      <c r="G2525" t="s">
        <v>4932</v>
      </c>
      <c r="H2525">
        <v>5</v>
      </c>
      <c r="I2525">
        <v>1</v>
      </c>
      <c r="J2525">
        <v>2</v>
      </c>
      <c r="K2525">
        <v>0</v>
      </c>
      <c r="L2525" s="61" t="s">
        <v>4779</v>
      </c>
    </row>
    <row r="2526" spans="6:12">
      <c r="F2526" t="s">
        <v>14307</v>
      </c>
      <c r="G2526" t="s">
        <v>14308</v>
      </c>
      <c r="H2526">
        <v>3</v>
      </c>
      <c r="I2526">
        <v>3</v>
      </c>
      <c r="J2526">
        <v>2</v>
      </c>
      <c r="K2526">
        <v>0</v>
      </c>
      <c r="L2526" s="61" t="s">
        <v>4779</v>
      </c>
    </row>
    <row r="2527" spans="6:12">
      <c r="F2527" t="s">
        <v>14309</v>
      </c>
      <c r="G2527" t="s">
        <v>14310</v>
      </c>
      <c r="H2527">
        <v>4</v>
      </c>
      <c r="I2527">
        <v>2</v>
      </c>
      <c r="J2527">
        <v>2</v>
      </c>
      <c r="K2527">
        <v>0</v>
      </c>
      <c r="L2527" s="61" t="s">
        <v>4779</v>
      </c>
    </row>
    <row r="2528" spans="6:12">
      <c r="F2528" t="s">
        <v>14311</v>
      </c>
      <c r="G2528" t="s">
        <v>14312</v>
      </c>
      <c r="H2528">
        <v>5</v>
      </c>
      <c r="I2528">
        <v>3</v>
      </c>
      <c r="J2528">
        <v>0</v>
      </c>
      <c r="K2528">
        <v>0</v>
      </c>
      <c r="L2528" s="61" t="s">
        <v>4779</v>
      </c>
    </row>
    <row r="2529" spans="6:12">
      <c r="F2529" t="s">
        <v>14313</v>
      </c>
      <c r="G2529" t="s">
        <v>14314</v>
      </c>
      <c r="H2529">
        <v>7</v>
      </c>
      <c r="I2529">
        <v>1</v>
      </c>
      <c r="J2529">
        <v>0</v>
      </c>
      <c r="K2529">
        <v>0</v>
      </c>
      <c r="L2529" s="61" t="s">
        <v>4779</v>
      </c>
    </row>
    <row r="2530" spans="6:12">
      <c r="F2530" t="s">
        <v>14315</v>
      </c>
      <c r="G2530" t="s">
        <v>14316</v>
      </c>
      <c r="H2530">
        <v>6</v>
      </c>
      <c r="I2530">
        <v>2</v>
      </c>
      <c r="J2530">
        <v>0</v>
      </c>
      <c r="K2530">
        <v>0</v>
      </c>
      <c r="L2530" s="61" t="s">
        <v>4779</v>
      </c>
    </row>
    <row r="2531" spans="6:12">
      <c r="F2531" t="s">
        <v>14317</v>
      </c>
      <c r="G2531" t="s">
        <v>14318</v>
      </c>
      <c r="H2531">
        <v>6</v>
      </c>
      <c r="I2531">
        <v>1</v>
      </c>
      <c r="J2531">
        <v>1</v>
      </c>
      <c r="K2531">
        <v>0</v>
      </c>
      <c r="L2531" s="61" t="s">
        <v>4779</v>
      </c>
    </row>
    <row r="2532" spans="6:12">
      <c r="F2532" t="s">
        <v>14319</v>
      </c>
      <c r="G2532" t="s">
        <v>14320</v>
      </c>
      <c r="H2532">
        <v>6</v>
      </c>
      <c r="I2532">
        <v>2</v>
      </c>
      <c r="J2532">
        <v>0</v>
      </c>
      <c r="K2532">
        <v>0</v>
      </c>
      <c r="L2532" s="61" t="s">
        <v>4779</v>
      </c>
    </row>
    <row r="2533" spans="6:12">
      <c r="F2533" t="s">
        <v>14321</v>
      </c>
      <c r="G2533" t="s">
        <v>14322</v>
      </c>
      <c r="H2533">
        <v>7</v>
      </c>
      <c r="I2533">
        <v>1</v>
      </c>
      <c r="J2533">
        <v>0</v>
      </c>
      <c r="K2533">
        <v>0</v>
      </c>
      <c r="L2533" s="61" t="s">
        <v>4779</v>
      </c>
    </row>
    <row r="2534" spans="6:12">
      <c r="F2534" t="s">
        <v>14323</v>
      </c>
      <c r="G2534" t="s">
        <v>14324</v>
      </c>
      <c r="H2534">
        <v>4</v>
      </c>
      <c r="I2534">
        <v>1</v>
      </c>
      <c r="J2534">
        <v>2</v>
      </c>
      <c r="K2534">
        <v>1</v>
      </c>
      <c r="L2534" s="61" t="s">
        <v>4779</v>
      </c>
    </row>
    <row r="2535" spans="6:12">
      <c r="F2535" t="s">
        <v>14325</v>
      </c>
      <c r="G2535" t="s">
        <v>14326</v>
      </c>
      <c r="H2535">
        <v>6</v>
      </c>
      <c r="I2535">
        <v>1</v>
      </c>
      <c r="J2535">
        <v>1</v>
      </c>
      <c r="K2535">
        <v>0</v>
      </c>
      <c r="L2535" s="61" t="s">
        <v>4779</v>
      </c>
    </row>
    <row r="2536" spans="6:12">
      <c r="F2536" t="s">
        <v>14327</v>
      </c>
      <c r="G2536" t="s">
        <v>14328</v>
      </c>
      <c r="H2536">
        <v>6</v>
      </c>
      <c r="I2536">
        <v>2</v>
      </c>
      <c r="J2536">
        <v>0</v>
      </c>
      <c r="K2536">
        <v>0</v>
      </c>
      <c r="L2536" s="61" t="s">
        <v>4779</v>
      </c>
    </row>
    <row r="2537" spans="6:12">
      <c r="F2537" t="s">
        <v>14329</v>
      </c>
      <c r="G2537" t="s">
        <v>14330</v>
      </c>
      <c r="H2537">
        <v>5</v>
      </c>
      <c r="I2537">
        <v>3</v>
      </c>
      <c r="J2537">
        <v>0</v>
      </c>
      <c r="K2537">
        <v>0</v>
      </c>
      <c r="L2537" s="61" t="s">
        <v>4779</v>
      </c>
    </row>
    <row r="2538" spans="6:12">
      <c r="F2538" t="s">
        <v>14331</v>
      </c>
      <c r="G2538" t="s">
        <v>9598</v>
      </c>
      <c r="H2538">
        <v>4</v>
      </c>
      <c r="I2538">
        <v>2</v>
      </c>
      <c r="J2538">
        <v>2</v>
      </c>
      <c r="K2538">
        <v>0</v>
      </c>
      <c r="L2538" s="61" t="s">
        <v>4779</v>
      </c>
    </row>
    <row r="2539" spans="6:12">
      <c r="F2539" t="s">
        <v>14332</v>
      </c>
      <c r="G2539" t="s">
        <v>14333</v>
      </c>
      <c r="H2539">
        <v>7</v>
      </c>
      <c r="I2539">
        <v>1</v>
      </c>
      <c r="J2539">
        <v>0</v>
      </c>
      <c r="K2539">
        <v>0</v>
      </c>
      <c r="L2539" s="61" t="s">
        <v>4779</v>
      </c>
    </row>
    <row r="2540" spans="6:12">
      <c r="F2540" t="s">
        <v>14334</v>
      </c>
      <c r="G2540" t="s">
        <v>14335</v>
      </c>
      <c r="H2540">
        <v>7</v>
      </c>
      <c r="I2540">
        <v>1</v>
      </c>
      <c r="J2540">
        <v>0</v>
      </c>
      <c r="K2540">
        <v>0</v>
      </c>
      <c r="L2540" s="61" t="s">
        <v>4779</v>
      </c>
    </row>
    <row r="2541" spans="6:12">
      <c r="F2541" t="s">
        <v>14336</v>
      </c>
      <c r="G2541" t="s">
        <v>5103</v>
      </c>
      <c r="H2541">
        <v>4</v>
      </c>
      <c r="I2541">
        <v>3</v>
      </c>
      <c r="J2541">
        <v>1</v>
      </c>
      <c r="K2541">
        <v>0</v>
      </c>
      <c r="L2541" s="61" t="s">
        <v>4779</v>
      </c>
    </row>
    <row r="2542" spans="6:12">
      <c r="F2542" t="s">
        <v>14337</v>
      </c>
      <c r="G2542" t="s">
        <v>5328</v>
      </c>
      <c r="H2542">
        <v>3</v>
      </c>
      <c r="I2542">
        <v>3</v>
      </c>
      <c r="J2542">
        <v>2</v>
      </c>
      <c r="K2542">
        <v>0</v>
      </c>
      <c r="L2542" s="61" t="s">
        <v>4779</v>
      </c>
    </row>
    <row r="2543" spans="6:12">
      <c r="F2543" t="s">
        <v>14338</v>
      </c>
      <c r="G2543" t="s">
        <v>14339</v>
      </c>
      <c r="H2543">
        <v>5</v>
      </c>
      <c r="I2543">
        <v>3</v>
      </c>
      <c r="J2543">
        <v>0</v>
      </c>
      <c r="K2543">
        <v>0</v>
      </c>
      <c r="L2543" s="61" t="s">
        <v>4779</v>
      </c>
    </row>
    <row r="2544" spans="6:12">
      <c r="F2544" t="s">
        <v>14340</v>
      </c>
      <c r="G2544" t="s">
        <v>14341</v>
      </c>
      <c r="H2544">
        <v>6</v>
      </c>
      <c r="I2544">
        <v>2</v>
      </c>
      <c r="J2544">
        <v>0</v>
      </c>
      <c r="K2544">
        <v>0</v>
      </c>
      <c r="L2544" s="61" t="s">
        <v>4779</v>
      </c>
    </row>
    <row r="2545" spans="6:12">
      <c r="F2545" t="s">
        <v>14342</v>
      </c>
      <c r="G2545" t="s">
        <v>14343</v>
      </c>
      <c r="H2545">
        <v>5</v>
      </c>
      <c r="I2545">
        <v>2</v>
      </c>
      <c r="J2545">
        <v>1</v>
      </c>
      <c r="K2545">
        <v>0</v>
      </c>
      <c r="L2545" s="61" t="s">
        <v>4779</v>
      </c>
    </row>
    <row r="2546" spans="6:12">
      <c r="F2546" t="s">
        <v>14344</v>
      </c>
      <c r="G2546" t="s">
        <v>10604</v>
      </c>
      <c r="H2546">
        <v>4</v>
      </c>
      <c r="I2546">
        <v>2</v>
      </c>
      <c r="J2546">
        <v>2</v>
      </c>
      <c r="K2546">
        <v>0</v>
      </c>
      <c r="L2546" s="61" t="s">
        <v>4779</v>
      </c>
    </row>
    <row r="2547" spans="6:12">
      <c r="F2547" t="s">
        <v>14345</v>
      </c>
      <c r="G2547" t="s">
        <v>14346</v>
      </c>
      <c r="H2547">
        <v>5</v>
      </c>
      <c r="I2547">
        <v>2</v>
      </c>
      <c r="J2547">
        <v>1</v>
      </c>
      <c r="K2547">
        <v>0</v>
      </c>
      <c r="L2547" s="61" t="s">
        <v>4779</v>
      </c>
    </row>
    <row r="2548" spans="6:12">
      <c r="F2548" t="s">
        <v>14347</v>
      </c>
      <c r="G2548" t="s">
        <v>5809</v>
      </c>
      <c r="H2548">
        <v>5</v>
      </c>
      <c r="I2548">
        <v>1</v>
      </c>
      <c r="J2548">
        <v>2</v>
      </c>
      <c r="K2548">
        <v>0</v>
      </c>
      <c r="L2548" s="61" t="s">
        <v>4779</v>
      </c>
    </row>
    <row r="2549" spans="6:12">
      <c r="F2549" t="s">
        <v>14348</v>
      </c>
      <c r="G2549" t="s">
        <v>14349</v>
      </c>
      <c r="H2549">
        <v>5</v>
      </c>
      <c r="I2549">
        <v>3</v>
      </c>
      <c r="J2549">
        <v>0</v>
      </c>
      <c r="K2549">
        <v>0</v>
      </c>
      <c r="L2549" s="61" t="s">
        <v>4779</v>
      </c>
    </row>
    <row r="2550" spans="6:12">
      <c r="F2550" t="s">
        <v>14350</v>
      </c>
      <c r="G2550" t="s">
        <v>14351</v>
      </c>
      <c r="H2550">
        <v>7</v>
      </c>
      <c r="I2550">
        <v>1</v>
      </c>
      <c r="J2550">
        <v>0</v>
      </c>
      <c r="K2550">
        <v>0</v>
      </c>
      <c r="L2550" s="61" t="s">
        <v>4779</v>
      </c>
    </row>
    <row r="2551" spans="6:12">
      <c r="F2551" t="s">
        <v>14352</v>
      </c>
      <c r="G2551" t="s">
        <v>14353</v>
      </c>
      <c r="H2551">
        <v>6</v>
      </c>
      <c r="I2551">
        <v>1</v>
      </c>
      <c r="J2551">
        <v>1</v>
      </c>
      <c r="K2551">
        <v>0</v>
      </c>
      <c r="L2551" s="61" t="s">
        <v>4779</v>
      </c>
    </row>
    <row r="2552" spans="6:12">
      <c r="F2552" t="s">
        <v>14354</v>
      </c>
      <c r="G2552" t="s">
        <v>14355</v>
      </c>
      <c r="H2552">
        <v>7</v>
      </c>
      <c r="I2552">
        <v>1</v>
      </c>
      <c r="J2552">
        <v>0</v>
      </c>
      <c r="K2552">
        <v>0</v>
      </c>
      <c r="L2552" s="61" t="s">
        <v>4779</v>
      </c>
    </row>
    <row r="2553" spans="6:12">
      <c r="F2553" t="s">
        <v>14356</v>
      </c>
      <c r="G2553" t="s">
        <v>14357</v>
      </c>
      <c r="H2553">
        <v>5</v>
      </c>
      <c r="I2553">
        <v>3</v>
      </c>
      <c r="J2553">
        <v>0</v>
      </c>
      <c r="K2553">
        <v>0</v>
      </c>
      <c r="L2553" s="61" t="s">
        <v>4779</v>
      </c>
    </row>
    <row r="2554" spans="6:12">
      <c r="F2554" t="s">
        <v>14358</v>
      </c>
      <c r="G2554" t="s">
        <v>5027</v>
      </c>
      <c r="H2554">
        <v>3</v>
      </c>
      <c r="I2554">
        <v>3</v>
      </c>
      <c r="J2554">
        <v>2</v>
      </c>
      <c r="K2554">
        <v>0</v>
      </c>
      <c r="L2554" s="61" t="s">
        <v>4779</v>
      </c>
    </row>
    <row r="2555" spans="6:12">
      <c r="F2555" t="s">
        <v>14359</v>
      </c>
      <c r="G2555" t="s">
        <v>14360</v>
      </c>
      <c r="H2555">
        <v>4</v>
      </c>
      <c r="I2555">
        <v>3</v>
      </c>
      <c r="J2555">
        <v>1</v>
      </c>
      <c r="K2555">
        <v>0</v>
      </c>
      <c r="L2555" s="61" t="s">
        <v>4779</v>
      </c>
    </row>
    <row r="2556" spans="6:12">
      <c r="F2556" t="s">
        <v>14361</v>
      </c>
      <c r="G2556" t="s">
        <v>14362</v>
      </c>
      <c r="H2556">
        <v>5</v>
      </c>
      <c r="I2556">
        <v>3</v>
      </c>
      <c r="J2556">
        <v>0</v>
      </c>
      <c r="K2556">
        <v>0</v>
      </c>
      <c r="L2556" s="61" t="s">
        <v>4779</v>
      </c>
    </row>
    <row r="2557" spans="6:12">
      <c r="F2557" t="s">
        <v>14363</v>
      </c>
      <c r="G2557" t="s">
        <v>14364</v>
      </c>
      <c r="H2557">
        <v>7</v>
      </c>
      <c r="I2557">
        <v>1</v>
      </c>
      <c r="J2557">
        <v>0</v>
      </c>
      <c r="K2557">
        <v>0</v>
      </c>
      <c r="L2557" s="61" t="s">
        <v>4809</v>
      </c>
    </row>
    <row r="2558" spans="6:12">
      <c r="F2558" t="s">
        <v>14365</v>
      </c>
      <c r="G2558" t="s">
        <v>14366</v>
      </c>
      <c r="H2558">
        <v>4</v>
      </c>
      <c r="I2558">
        <v>3</v>
      </c>
      <c r="J2558">
        <v>1</v>
      </c>
      <c r="K2558">
        <v>0</v>
      </c>
      <c r="L2558" s="61" t="s">
        <v>4779</v>
      </c>
    </row>
    <row r="2559" spans="6:12">
      <c r="F2559" t="s">
        <v>14367</v>
      </c>
      <c r="G2559" t="s">
        <v>10997</v>
      </c>
      <c r="H2559">
        <v>4</v>
      </c>
      <c r="I2559">
        <v>2</v>
      </c>
      <c r="J2559">
        <v>2</v>
      </c>
      <c r="K2559">
        <v>0</v>
      </c>
      <c r="L2559" s="61" t="s">
        <v>4779</v>
      </c>
    </row>
    <row r="2560" spans="6:12">
      <c r="F2560" t="s">
        <v>14368</v>
      </c>
      <c r="G2560" t="s">
        <v>12684</v>
      </c>
      <c r="H2560">
        <v>3</v>
      </c>
      <c r="I2560">
        <v>3</v>
      </c>
      <c r="J2560">
        <v>2</v>
      </c>
      <c r="K2560">
        <v>0</v>
      </c>
      <c r="L2560" s="61" t="s">
        <v>4779</v>
      </c>
    </row>
    <row r="2561" spans="6:12">
      <c r="F2561" t="s">
        <v>14369</v>
      </c>
      <c r="G2561" t="s">
        <v>5022</v>
      </c>
      <c r="H2561">
        <v>4</v>
      </c>
      <c r="I2561">
        <v>3</v>
      </c>
      <c r="J2561">
        <v>1</v>
      </c>
      <c r="K2561">
        <v>0</v>
      </c>
      <c r="L2561" s="61" t="s">
        <v>4779</v>
      </c>
    </row>
    <row r="2562" spans="6:12">
      <c r="F2562" t="s">
        <v>14370</v>
      </c>
      <c r="G2562" t="s">
        <v>14371</v>
      </c>
      <c r="H2562">
        <v>3</v>
      </c>
      <c r="I2562">
        <v>3</v>
      </c>
      <c r="J2562">
        <v>2</v>
      </c>
      <c r="K2562">
        <v>0</v>
      </c>
      <c r="L2562" s="61" t="s">
        <v>4779</v>
      </c>
    </row>
    <row r="2563" spans="6:12">
      <c r="F2563" t="s">
        <v>14372</v>
      </c>
      <c r="G2563" t="s">
        <v>5320</v>
      </c>
      <c r="H2563">
        <v>3</v>
      </c>
      <c r="I2563">
        <v>3</v>
      </c>
      <c r="J2563">
        <v>2</v>
      </c>
      <c r="K2563">
        <v>0</v>
      </c>
      <c r="L2563" s="61" t="s">
        <v>4779</v>
      </c>
    </row>
    <row r="2564" spans="6:12">
      <c r="F2564" t="s">
        <v>14373</v>
      </c>
      <c r="G2564" t="s">
        <v>14374</v>
      </c>
      <c r="H2564">
        <v>7</v>
      </c>
      <c r="I2564">
        <v>1</v>
      </c>
      <c r="J2564">
        <v>0</v>
      </c>
      <c r="K2564">
        <v>0</v>
      </c>
      <c r="L2564" s="61" t="s">
        <v>4779</v>
      </c>
    </row>
    <row r="2565" spans="6:12">
      <c r="F2565" t="s">
        <v>14375</v>
      </c>
      <c r="G2565" t="s">
        <v>14376</v>
      </c>
      <c r="H2565">
        <v>4</v>
      </c>
      <c r="I2565">
        <v>3</v>
      </c>
      <c r="J2565">
        <v>1</v>
      </c>
      <c r="K2565">
        <v>0</v>
      </c>
      <c r="L2565" s="61" t="s">
        <v>4809</v>
      </c>
    </row>
    <row r="2566" spans="6:12">
      <c r="F2566" t="s">
        <v>14377</v>
      </c>
      <c r="G2566" t="s">
        <v>11051</v>
      </c>
      <c r="H2566">
        <v>5</v>
      </c>
      <c r="I2566">
        <v>1</v>
      </c>
      <c r="J2566">
        <v>2</v>
      </c>
      <c r="K2566">
        <v>0</v>
      </c>
      <c r="L2566" s="61" t="s">
        <v>4779</v>
      </c>
    </row>
    <row r="2567" spans="6:12">
      <c r="F2567" t="s">
        <v>14378</v>
      </c>
      <c r="G2567" t="s">
        <v>14379</v>
      </c>
      <c r="H2567">
        <v>7</v>
      </c>
      <c r="I2567">
        <v>1</v>
      </c>
      <c r="J2567">
        <v>0</v>
      </c>
      <c r="K2567">
        <v>0</v>
      </c>
      <c r="L2567" s="61" t="s">
        <v>4779</v>
      </c>
    </row>
    <row r="2568" spans="6:12">
      <c r="F2568" t="s">
        <v>14380</v>
      </c>
      <c r="G2568" t="s">
        <v>14381</v>
      </c>
      <c r="H2568">
        <v>7</v>
      </c>
      <c r="I2568">
        <v>1</v>
      </c>
      <c r="J2568">
        <v>0</v>
      </c>
      <c r="K2568">
        <v>0</v>
      </c>
      <c r="L2568" s="61" t="s">
        <v>4779</v>
      </c>
    </row>
    <row r="2569" spans="6:12">
      <c r="F2569" t="s">
        <v>14382</v>
      </c>
      <c r="G2569" t="s">
        <v>14383</v>
      </c>
      <c r="H2569">
        <v>6</v>
      </c>
      <c r="I2569">
        <v>1</v>
      </c>
      <c r="J2569">
        <v>1</v>
      </c>
      <c r="K2569">
        <v>0</v>
      </c>
      <c r="L2569" s="61" t="s">
        <v>4810</v>
      </c>
    </row>
    <row r="2570" spans="6:12">
      <c r="F2570" t="s">
        <v>14384</v>
      </c>
      <c r="G2570" t="s">
        <v>14385</v>
      </c>
      <c r="H2570">
        <v>6</v>
      </c>
      <c r="I2570">
        <v>2</v>
      </c>
      <c r="J2570">
        <v>0</v>
      </c>
      <c r="K2570">
        <v>0</v>
      </c>
      <c r="L2570" s="61" t="s">
        <v>4779</v>
      </c>
    </row>
    <row r="2571" spans="6:12">
      <c r="F2571" t="s">
        <v>14386</v>
      </c>
      <c r="G2571" t="s">
        <v>4976</v>
      </c>
      <c r="H2571">
        <v>4</v>
      </c>
      <c r="I2571">
        <v>2</v>
      </c>
      <c r="J2571">
        <v>2</v>
      </c>
      <c r="K2571">
        <v>0</v>
      </c>
      <c r="L2571" s="61" t="s">
        <v>4779</v>
      </c>
    </row>
    <row r="2572" spans="6:12">
      <c r="F2572" t="s">
        <v>14387</v>
      </c>
      <c r="G2572" t="s">
        <v>5575</v>
      </c>
      <c r="H2572">
        <v>4</v>
      </c>
      <c r="I2572">
        <v>3</v>
      </c>
      <c r="J2572">
        <v>0</v>
      </c>
      <c r="K2572">
        <v>1</v>
      </c>
      <c r="L2572" s="61" t="s">
        <v>4779</v>
      </c>
    </row>
    <row r="2573" spans="6:12">
      <c r="F2573" t="s">
        <v>14388</v>
      </c>
      <c r="G2573" t="s">
        <v>14389</v>
      </c>
      <c r="H2573">
        <v>3</v>
      </c>
      <c r="I2573">
        <v>3</v>
      </c>
      <c r="J2573">
        <v>2</v>
      </c>
      <c r="K2573">
        <v>0</v>
      </c>
      <c r="L2573" s="61" t="s">
        <v>4779</v>
      </c>
    </row>
    <row r="2574" spans="6:12">
      <c r="F2574" t="s">
        <v>14390</v>
      </c>
      <c r="G2574" t="s">
        <v>14391</v>
      </c>
      <c r="H2574">
        <v>4</v>
      </c>
      <c r="I2574">
        <v>3</v>
      </c>
      <c r="J2574">
        <v>1</v>
      </c>
      <c r="K2574">
        <v>0</v>
      </c>
      <c r="L2574" s="61" t="s">
        <v>4810</v>
      </c>
    </row>
    <row r="2575" spans="6:12">
      <c r="F2575" t="s">
        <v>14392</v>
      </c>
      <c r="G2575" t="s">
        <v>14393</v>
      </c>
      <c r="H2575">
        <v>7</v>
      </c>
      <c r="I2575">
        <v>1</v>
      </c>
      <c r="J2575">
        <v>0</v>
      </c>
      <c r="K2575">
        <v>0</v>
      </c>
      <c r="L2575" s="61" t="s">
        <v>4779</v>
      </c>
    </row>
    <row r="2576" spans="6:12">
      <c r="F2576" t="s">
        <v>14394</v>
      </c>
      <c r="G2576" t="s">
        <v>14395</v>
      </c>
      <c r="H2576">
        <v>4</v>
      </c>
      <c r="I2576">
        <v>2</v>
      </c>
      <c r="J2576">
        <v>2</v>
      </c>
      <c r="K2576">
        <v>0</v>
      </c>
      <c r="L2576" s="61" t="s">
        <v>4779</v>
      </c>
    </row>
    <row r="2577" spans="6:12">
      <c r="F2577" t="s">
        <v>14396</v>
      </c>
      <c r="G2577" t="s">
        <v>5864</v>
      </c>
      <c r="H2577">
        <v>6</v>
      </c>
      <c r="I2577">
        <v>2</v>
      </c>
      <c r="J2577">
        <v>0</v>
      </c>
      <c r="K2577">
        <v>0</v>
      </c>
      <c r="L2577" s="61" t="s">
        <v>4779</v>
      </c>
    </row>
    <row r="2578" spans="6:12">
      <c r="F2578" t="s">
        <v>14397</v>
      </c>
      <c r="G2578" t="s">
        <v>10988</v>
      </c>
      <c r="H2578">
        <v>4</v>
      </c>
      <c r="I2578">
        <v>2</v>
      </c>
      <c r="J2578">
        <v>2</v>
      </c>
      <c r="K2578">
        <v>0</v>
      </c>
      <c r="L2578" s="61" t="s">
        <v>4806</v>
      </c>
    </row>
    <row r="2579" spans="6:12">
      <c r="F2579" t="s">
        <v>14398</v>
      </c>
      <c r="G2579" t="s">
        <v>14399</v>
      </c>
      <c r="H2579">
        <v>5</v>
      </c>
      <c r="I2579">
        <v>2</v>
      </c>
      <c r="J2579">
        <v>1</v>
      </c>
      <c r="K2579">
        <v>0</v>
      </c>
      <c r="L2579" s="61" t="s">
        <v>4779</v>
      </c>
    </row>
    <row r="2580" spans="6:12">
      <c r="F2580" t="s">
        <v>14400</v>
      </c>
      <c r="G2580" t="s">
        <v>10961</v>
      </c>
      <c r="H2580">
        <v>6</v>
      </c>
      <c r="I2580">
        <v>2</v>
      </c>
      <c r="J2580">
        <v>0</v>
      </c>
      <c r="K2580">
        <v>0</v>
      </c>
      <c r="L2580" s="61" t="s">
        <v>4779</v>
      </c>
    </row>
    <row r="2581" spans="6:12">
      <c r="F2581" t="s">
        <v>14401</v>
      </c>
      <c r="G2581" t="s">
        <v>14402</v>
      </c>
      <c r="H2581">
        <v>5</v>
      </c>
      <c r="I2581">
        <v>3</v>
      </c>
      <c r="J2581">
        <v>0</v>
      </c>
      <c r="K2581">
        <v>0</v>
      </c>
      <c r="L2581" s="61" t="s">
        <v>4779</v>
      </c>
    </row>
    <row r="2582" spans="6:12">
      <c r="F2582" t="s">
        <v>14403</v>
      </c>
      <c r="G2582" t="s">
        <v>14404</v>
      </c>
      <c r="H2582">
        <v>6</v>
      </c>
      <c r="I2582">
        <v>1</v>
      </c>
      <c r="J2582">
        <v>1</v>
      </c>
      <c r="K2582">
        <v>0</v>
      </c>
      <c r="L2582" s="61" t="s">
        <v>4779</v>
      </c>
    </row>
    <row r="2583" spans="6:12">
      <c r="F2583" t="s">
        <v>14405</v>
      </c>
      <c r="G2583" t="s">
        <v>14406</v>
      </c>
      <c r="H2583">
        <v>5</v>
      </c>
      <c r="I2583">
        <v>1</v>
      </c>
      <c r="J2583">
        <v>2</v>
      </c>
      <c r="K2583">
        <v>0</v>
      </c>
      <c r="L2583" s="61" t="s">
        <v>4779</v>
      </c>
    </row>
    <row r="2584" spans="6:12">
      <c r="F2584" t="s">
        <v>14407</v>
      </c>
      <c r="G2584" t="s">
        <v>14408</v>
      </c>
      <c r="H2584">
        <v>5</v>
      </c>
      <c r="I2584">
        <v>1</v>
      </c>
      <c r="J2584">
        <v>2</v>
      </c>
      <c r="K2584">
        <v>0</v>
      </c>
      <c r="L2584" s="61" t="s">
        <v>4779</v>
      </c>
    </row>
    <row r="2585" spans="6:12">
      <c r="F2585" t="s">
        <v>14409</v>
      </c>
      <c r="G2585" t="s">
        <v>14410</v>
      </c>
      <c r="H2585">
        <v>5</v>
      </c>
      <c r="I2585">
        <v>1</v>
      </c>
      <c r="J2585">
        <v>2</v>
      </c>
      <c r="K2585">
        <v>0</v>
      </c>
      <c r="L2585" s="61" t="s">
        <v>4779</v>
      </c>
    </row>
    <row r="2586" spans="6:12">
      <c r="F2586" t="s">
        <v>14411</v>
      </c>
      <c r="G2586" t="s">
        <v>14412</v>
      </c>
      <c r="H2586">
        <v>7</v>
      </c>
      <c r="I2586">
        <v>1</v>
      </c>
      <c r="J2586">
        <v>0</v>
      </c>
      <c r="K2586">
        <v>0</v>
      </c>
      <c r="L2586" s="61" t="s">
        <v>4779</v>
      </c>
    </row>
    <row r="2587" spans="6:12">
      <c r="F2587" t="s">
        <v>14413</v>
      </c>
      <c r="G2587" t="s">
        <v>10992</v>
      </c>
      <c r="H2587">
        <v>6</v>
      </c>
      <c r="I2587">
        <v>2</v>
      </c>
      <c r="J2587">
        <v>0</v>
      </c>
      <c r="K2587">
        <v>0</v>
      </c>
      <c r="L2587" s="61" t="s">
        <v>4779</v>
      </c>
    </row>
    <row r="2588" spans="6:12">
      <c r="F2588" t="s">
        <v>14414</v>
      </c>
      <c r="G2588" t="s">
        <v>14415</v>
      </c>
      <c r="H2588">
        <v>4</v>
      </c>
      <c r="I2588">
        <v>2</v>
      </c>
      <c r="J2588">
        <v>2</v>
      </c>
      <c r="K2588">
        <v>0</v>
      </c>
      <c r="L2588" s="61" t="s">
        <v>4779</v>
      </c>
    </row>
    <row r="2589" spans="6:12">
      <c r="F2589" t="s">
        <v>14416</v>
      </c>
      <c r="G2589" t="s">
        <v>14417</v>
      </c>
      <c r="H2589">
        <v>6</v>
      </c>
      <c r="I2589">
        <v>1</v>
      </c>
      <c r="J2589">
        <v>1</v>
      </c>
      <c r="K2589">
        <v>0</v>
      </c>
      <c r="L2589" s="61" t="s">
        <v>4807</v>
      </c>
    </row>
    <row r="2590" spans="6:12">
      <c r="F2590" t="s">
        <v>14418</v>
      </c>
      <c r="G2590" t="s">
        <v>14419</v>
      </c>
      <c r="H2590">
        <v>4</v>
      </c>
      <c r="I2590">
        <v>2</v>
      </c>
      <c r="J2590">
        <v>2</v>
      </c>
      <c r="K2590">
        <v>0</v>
      </c>
      <c r="L2590" s="61" t="s">
        <v>4779</v>
      </c>
    </row>
    <row r="2591" spans="6:12">
      <c r="F2591" t="s">
        <v>14420</v>
      </c>
      <c r="G2591" t="s">
        <v>14421</v>
      </c>
      <c r="H2591">
        <v>5</v>
      </c>
      <c r="I2591">
        <v>3</v>
      </c>
      <c r="J2591">
        <v>0</v>
      </c>
      <c r="K2591">
        <v>0</v>
      </c>
      <c r="L2591" s="61" t="s">
        <v>4779</v>
      </c>
    </row>
    <row r="2592" spans="6:12">
      <c r="F2592" t="s">
        <v>14422</v>
      </c>
      <c r="G2592" t="s">
        <v>11098</v>
      </c>
      <c r="H2592">
        <v>3</v>
      </c>
      <c r="I2592">
        <v>3</v>
      </c>
      <c r="J2592">
        <v>2</v>
      </c>
      <c r="K2592">
        <v>0</v>
      </c>
      <c r="L2592" s="61" t="s">
        <v>4779</v>
      </c>
    </row>
    <row r="2593" spans="6:12">
      <c r="F2593" t="s">
        <v>14423</v>
      </c>
      <c r="G2593" t="s">
        <v>14424</v>
      </c>
      <c r="H2593">
        <v>4</v>
      </c>
      <c r="I2593">
        <v>3</v>
      </c>
      <c r="J2593">
        <v>1</v>
      </c>
      <c r="K2593">
        <v>0</v>
      </c>
      <c r="L2593" s="61" t="s">
        <v>4810</v>
      </c>
    </row>
    <row r="2594" spans="6:12">
      <c r="F2594" t="s">
        <v>14425</v>
      </c>
      <c r="G2594" t="s">
        <v>14426</v>
      </c>
      <c r="H2594">
        <v>5</v>
      </c>
      <c r="I2594">
        <v>3</v>
      </c>
      <c r="J2594">
        <v>0</v>
      </c>
      <c r="K2594">
        <v>0</v>
      </c>
      <c r="L2594" s="61" t="s">
        <v>4779</v>
      </c>
    </row>
    <row r="2595" spans="6:12">
      <c r="F2595" t="s">
        <v>14427</v>
      </c>
      <c r="G2595" t="s">
        <v>14428</v>
      </c>
      <c r="H2595">
        <v>3</v>
      </c>
      <c r="I2595">
        <v>3</v>
      </c>
      <c r="J2595">
        <v>2</v>
      </c>
      <c r="K2595">
        <v>0</v>
      </c>
      <c r="L2595" s="61" t="s">
        <v>4809</v>
      </c>
    </row>
    <row r="2596" spans="6:12">
      <c r="F2596" t="s">
        <v>14429</v>
      </c>
      <c r="G2596" t="s">
        <v>11096</v>
      </c>
      <c r="H2596">
        <v>4</v>
      </c>
      <c r="I2596">
        <v>3</v>
      </c>
      <c r="J2596">
        <v>1</v>
      </c>
      <c r="K2596">
        <v>0</v>
      </c>
      <c r="L2596" s="61" t="s">
        <v>4779</v>
      </c>
    </row>
    <row r="2597" spans="6:12">
      <c r="F2597" t="s">
        <v>14430</v>
      </c>
      <c r="G2597" t="s">
        <v>14431</v>
      </c>
      <c r="H2597">
        <v>6</v>
      </c>
      <c r="I2597">
        <v>2</v>
      </c>
      <c r="J2597">
        <v>0</v>
      </c>
      <c r="K2597">
        <v>0</v>
      </c>
      <c r="L2597" s="61" t="s">
        <v>4779</v>
      </c>
    </row>
    <row r="2598" spans="6:12">
      <c r="F2598" t="s">
        <v>14432</v>
      </c>
      <c r="G2598" t="s">
        <v>14433</v>
      </c>
      <c r="H2598">
        <v>7</v>
      </c>
      <c r="I2598">
        <v>1</v>
      </c>
      <c r="J2598">
        <v>0</v>
      </c>
      <c r="K2598">
        <v>0</v>
      </c>
      <c r="L2598" s="61" t="s">
        <v>4779</v>
      </c>
    </row>
    <row r="2599" spans="6:12">
      <c r="F2599" t="s">
        <v>14434</v>
      </c>
      <c r="G2599" t="s">
        <v>14435</v>
      </c>
      <c r="H2599">
        <v>7</v>
      </c>
      <c r="I2599">
        <v>1</v>
      </c>
      <c r="J2599">
        <v>0</v>
      </c>
      <c r="K2599">
        <v>0</v>
      </c>
      <c r="L2599" s="61" t="s">
        <v>4779</v>
      </c>
    </row>
    <row r="2600" spans="6:12">
      <c r="F2600" t="s">
        <v>14436</v>
      </c>
      <c r="G2600" t="s">
        <v>14437</v>
      </c>
      <c r="H2600">
        <v>4</v>
      </c>
      <c r="I2600">
        <v>2</v>
      </c>
      <c r="J2600">
        <v>2</v>
      </c>
      <c r="K2600">
        <v>0</v>
      </c>
      <c r="L2600" s="61" t="s">
        <v>4806</v>
      </c>
    </row>
    <row r="2601" spans="6:12">
      <c r="F2601" t="s">
        <v>14438</v>
      </c>
      <c r="G2601" t="s">
        <v>14439</v>
      </c>
      <c r="H2601">
        <v>6</v>
      </c>
      <c r="I2601">
        <v>1</v>
      </c>
      <c r="J2601">
        <v>1</v>
      </c>
      <c r="K2601">
        <v>0</v>
      </c>
      <c r="L2601" s="61" t="s">
        <v>4779</v>
      </c>
    </row>
    <row r="2602" spans="6:12">
      <c r="F2602" t="s">
        <v>14440</v>
      </c>
      <c r="G2602" t="s">
        <v>5895</v>
      </c>
      <c r="H2602">
        <v>6</v>
      </c>
      <c r="I2602">
        <v>2</v>
      </c>
      <c r="J2602">
        <v>0</v>
      </c>
      <c r="K2602">
        <v>0</v>
      </c>
      <c r="L2602" s="61" t="s">
        <v>4810</v>
      </c>
    </row>
    <row r="2603" spans="6:12">
      <c r="F2603" t="s">
        <v>14441</v>
      </c>
      <c r="G2603" t="s">
        <v>14442</v>
      </c>
      <c r="H2603">
        <v>6</v>
      </c>
      <c r="I2603">
        <v>2</v>
      </c>
      <c r="J2603">
        <v>0</v>
      </c>
      <c r="K2603">
        <v>0</v>
      </c>
      <c r="L2603" s="61" t="s">
        <v>4779</v>
      </c>
    </row>
    <row r="2604" spans="6:12">
      <c r="F2604" t="s">
        <v>14443</v>
      </c>
      <c r="G2604" t="s">
        <v>10236</v>
      </c>
      <c r="H2604">
        <v>5</v>
      </c>
      <c r="I2604">
        <v>1</v>
      </c>
      <c r="J2604">
        <v>2</v>
      </c>
      <c r="K2604">
        <v>0</v>
      </c>
      <c r="L2604" s="61" t="s">
        <v>4779</v>
      </c>
    </row>
    <row r="2605" spans="6:12">
      <c r="F2605" t="s">
        <v>14444</v>
      </c>
      <c r="G2605" t="s">
        <v>14445</v>
      </c>
      <c r="H2605">
        <v>5</v>
      </c>
      <c r="I2605">
        <v>2</v>
      </c>
      <c r="J2605">
        <v>1</v>
      </c>
      <c r="K2605">
        <v>0</v>
      </c>
      <c r="L2605" s="61" t="s">
        <v>4809</v>
      </c>
    </row>
    <row r="2606" spans="6:12">
      <c r="F2606" t="s">
        <v>14446</v>
      </c>
      <c r="G2606" t="s">
        <v>14447</v>
      </c>
      <c r="H2606">
        <v>4</v>
      </c>
      <c r="I2606">
        <v>3</v>
      </c>
      <c r="J2606">
        <v>1</v>
      </c>
      <c r="K2606">
        <v>0</v>
      </c>
      <c r="L2606" s="61" t="s">
        <v>4779</v>
      </c>
    </row>
    <row r="2607" spans="6:12">
      <c r="F2607" t="s">
        <v>14448</v>
      </c>
      <c r="G2607" t="s">
        <v>14449</v>
      </c>
      <c r="H2607">
        <v>6</v>
      </c>
      <c r="I2607">
        <v>1</v>
      </c>
      <c r="J2607">
        <v>1</v>
      </c>
      <c r="K2607">
        <v>0</v>
      </c>
      <c r="L2607" s="61" t="s">
        <v>4779</v>
      </c>
    </row>
    <row r="2608" spans="6:12">
      <c r="F2608" t="s">
        <v>14450</v>
      </c>
      <c r="G2608" t="s">
        <v>5373</v>
      </c>
      <c r="H2608">
        <v>5</v>
      </c>
      <c r="I2608">
        <v>1</v>
      </c>
      <c r="J2608">
        <v>2</v>
      </c>
      <c r="K2608">
        <v>0</v>
      </c>
      <c r="L2608" s="61" t="s">
        <v>4779</v>
      </c>
    </row>
    <row r="2609" spans="6:12">
      <c r="F2609" t="s">
        <v>14451</v>
      </c>
      <c r="G2609" t="s">
        <v>14452</v>
      </c>
      <c r="H2609">
        <v>6</v>
      </c>
      <c r="I2609">
        <v>2</v>
      </c>
      <c r="J2609">
        <v>0</v>
      </c>
      <c r="K2609">
        <v>0</v>
      </c>
      <c r="L2609" s="61" t="s">
        <v>4809</v>
      </c>
    </row>
    <row r="2610" spans="6:12">
      <c r="F2610" t="s">
        <v>14453</v>
      </c>
      <c r="G2610" t="s">
        <v>14454</v>
      </c>
      <c r="H2610">
        <v>6</v>
      </c>
      <c r="I2610">
        <v>1</v>
      </c>
      <c r="J2610">
        <v>1</v>
      </c>
      <c r="K2610">
        <v>0</v>
      </c>
      <c r="L2610" s="61" t="s">
        <v>4806</v>
      </c>
    </row>
    <row r="2611" spans="6:12">
      <c r="F2611" t="s">
        <v>14455</v>
      </c>
      <c r="G2611" t="s">
        <v>11042</v>
      </c>
      <c r="H2611">
        <v>5</v>
      </c>
      <c r="I2611">
        <v>2</v>
      </c>
      <c r="J2611">
        <v>1</v>
      </c>
      <c r="K2611">
        <v>0</v>
      </c>
      <c r="L2611" s="61" t="s">
        <v>4779</v>
      </c>
    </row>
    <row r="2612" spans="6:12">
      <c r="F2612" t="s">
        <v>14456</v>
      </c>
      <c r="G2612" t="s">
        <v>14457</v>
      </c>
      <c r="H2612">
        <v>6</v>
      </c>
      <c r="I2612">
        <v>2</v>
      </c>
      <c r="J2612">
        <v>0</v>
      </c>
      <c r="K2612">
        <v>0</v>
      </c>
      <c r="L2612" s="61" t="s">
        <v>4779</v>
      </c>
    </row>
    <row r="2613" spans="6:12">
      <c r="F2613" t="s">
        <v>14458</v>
      </c>
      <c r="G2613" t="s">
        <v>14459</v>
      </c>
      <c r="H2613">
        <v>6</v>
      </c>
      <c r="I2613">
        <v>2</v>
      </c>
      <c r="J2613">
        <v>0</v>
      </c>
      <c r="K2613">
        <v>0</v>
      </c>
      <c r="L2613" s="61" t="s">
        <v>4809</v>
      </c>
    </row>
    <row r="2614" spans="6:12">
      <c r="F2614" t="s">
        <v>14460</v>
      </c>
      <c r="G2614" t="s">
        <v>14461</v>
      </c>
      <c r="H2614">
        <v>5</v>
      </c>
      <c r="I2614">
        <v>3</v>
      </c>
      <c r="J2614">
        <v>0</v>
      </c>
      <c r="K2614">
        <v>0</v>
      </c>
      <c r="L2614" s="61" t="s">
        <v>4779</v>
      </c>
    </row>
    <row r="2615" spans="6:12">
      <c r="F2615" t="s">
        <v>14462</v>
      </c>
      <c r="G2615" t="s">
        <v>14463</v>
      </c>
      <c r="H2615">
        <v>6</v>
      </c>
      <c r="I2615">
        <v>1</v>
      </c>
      <c r="J2615">
        <v>1</v>
      </c>
      <c r="K2615">
        <v>0</v>
      </c>
      <c r="L2615" s="61" t="s">
        <v>4779</v>
      </c>
    </row>
    <row r="2616" spans="6:12">
      <c r="F2616" t="s">
        <v>14464</v>
      </c>
      <c r="G2616" t="s">
        <v>14465</v>
      </c>
      <c r="H2616">
        <v>7</v>
      </c>
      <c r="I2616">
        <v>1</v>
      </c>
      <c r="J2616">
        <v>0</v>
      </c>
      <c r="K2616">
        <v>0</v>
      </c>
      <c r="L2616" s="61" t="s">
        <v>4779</v>
      </c>
    </row>
    <row r="2617" spans="6:12">
      <c r="F2617" t="s">
        <v>14466</v>
      </c>
      <c r="G2617" t="s">
        <v>14467</v>
      </c>
      <c r="H2617">
        <v>5</v>
      </c>
      <c r="I2617">
        <v>3</v>
      </c>
      <c r="J2617">
        <v>0</v>
      </c>
      <c r="K2617">
        <v>0</v>
      </c>
      <c r="L2617" s="61" t="s">
        <v>4779</v>
      </c>
    </row>
    <row r="2618" spans="6:12">
      <c r="F2618" t="s">
        <v>14468</v>
      </c>
      <c r="G2618" t="s">
        <v>14469</v>
      </c>
      <c r="H2618">
        <v>5</v>
      </c>
      <c r="I2618">
        <v>3</v>
      </c>
      <c r="J2618">
        <v>0</v>
      </c>
      <c r="K2618">
        <v>0</v>
      </c>
      <c r="L2618" s="61" t="s">
        <v>4779</v>
      </c>
    </row>
    <row r="2619" spans="6:12">
      <c r="F2619" t="s">
        <v>14470</v>
      </c>
      <c r="G2619" t="s">
        <v>14471</v>
      </c>
      <c r="H2619">
        <v>6</v>
      </c>
      <c r="I2619">
        <v>1</v>
      </c>
      <c r="J2619">
        <v>1</v>
      </c>
      <c r="K2619">
        <v>0</v>
      </c>
      <c r="L2619" s="61" t="s">
        <v>4779</v>
      </c>
    </row>
    <row r="2620" spans="6:12">
      <c r="F2620" t="s">
        <v>14472</v>
      </c>
      <c r="G2620" t="s">
        <v>10986</v>
      </c>
      <c r="H2620">
        <v>5</v>
      </c>
      <c r="I2620">
        <v>3</v>
      </c>
      <c r="J2620">
        <v>0</v>
      </c>
      <c r="K2620">
        <v>0</v>
      </c>
      <c r="L2620" s="61" t="s">
        <v>4779</v>
      </c>
    </row>
    <row r="2621" spans="6:12">
      <c r="F2621" t="s">
        <v>14473</v>
      </c>
      <c r="G2621" t="s">
        <v>14474</v>
      </c>
      <c r="H2621">
        <v>6</v>
      </c>
      <c r="I2621">
        <v>2</v>
      </c>
      <c r="J2621">
        <v>0</v>
      </c>
      <c r="K2621">
        <v>0</v>
      </c>
      <c r="L2621" s="61" t="s">
        <v>4779</v>
      </c>
    </row>
    <row r="2622" spans="6:12">
      <c r="F2622" t="s">
        <v>14475</v>
      </c>
      <c r="G2622" t="s">
        <v>14476</v>
      </c>
      <c r="H2622">
        <v>6</v>
      </c>
      <c r="I2622">
        <v>2</v>
      </c>
      <c r="J2622">
        <v>0</v>
      </c>
      <c r="K2622">
        <v>0</v>
      </c>
      <c r="L2622" s="61" t="s">
        <v>4779</v>
      </c>
    </row>
    <row r="2623" spans="6:12">
      <c r="F2623" t="s">
        <v>14477</v>
      </c>
      <c r="G2623" t="s">
        <v>14478</v>
      </c>
      <c r="H2623">
        <v>7</v>
      </c>
      <c r="I2623">
        <v>1</v>
      </c>
      <c r="J2623">
        <v>0</v>
      </c>
      <c r="K2623">
        <v>0</v>
      </c>
      <c r="L2623" s="61" t="s">
        <v>4779</v>
      </c>
    </row>
    <row r="2624" spans="6:12">
      <c r="F2624" t="s">
        <v>14479</v>
      </c>
      <c r="G2624" t="s">
        <v>14480</v>
      </c>
      <c r="H2624">
        <v>6</v>
      </c>
      <c r="I2624">
        <v>2</v>
      </c>
      <c r="J2624">
        <v>0</v>
      </c>
      <c r="K2624">
        <v>0</v>
      </c>
      <c r="L2624" s="61" t="s">
        <v>4779</v>
      </c>
    </row>
    <row r="2625" spans="6:12">
      <c r="F2625" t="s">
        <v>14481</v>
      </c>
      <c r="G2625" t="s">
        <v>14482</v>
      </c>
      <c r="H2625">
        <v>7</v>
      </c>
      <c r="I2625">
        <v>1</v>
      </c>
      <c r="J2625">
        <v>0</v>
      </c>
      <c r="K2625">
        <v>0</v>
      </c>
      <c r="L2625" s="61" t="s">
        <v>4779</v>
      </c>
    </row>
    <row r="2626" spans="6:12">
      <c r="F2626" t="s">
        <v>14483</v>
      </c>
      <c r="G2626" t="s">
        <v>4979</v>
      </c>
      <c r="H2626">
        <v>5</v>
      </c>
      <c r="I2626">
        <v>1</v>
      </c>
      <c r="J2626">
        <v>2</v>
      </c>
      <c r="K2626">
        <v>0</v>
      </c>
      <c r="L2626" s="61" t="s">
        <v>4810</v>
      </c>
    </row>
    <row r="2627" spans="6:12">
      <c r="F2627" t="s">
        <v>14484</v>
      </c>
      <c r="G2627" t="s">
        <v>14485</v>
      </c>
      <c r="H2627">
        <v>7</v>
      </c>
      <c r="I2627">
        <v>1</v>
      </c>
      <c r="J2627">
        <v>0</v>
      </c>
      <c r="K2627">
        <v>0</v>
      </c>
      <c r="L2627" s="61" t="s">
        <v>4779</v>
      </c>
    </row>
    <row r="2628" spans="6:12">
      <c r="F2628" t="s">
        <v>14486</v>
      </c>
      <c r="G2628" t="s">
        <v>14487</v>
      </c>
      <c r="H2628">
        <v>5</v>
      </c>
      <c r="I2628">
        <v>2</v>
      </c>
      <c r="J2628">
        <v>1</v>
      </c>
      <c r="K2628">
        <v>0</v>
      </c>
      <c r="L2628" s="61" t="s">
        <v>4779</v>
      </c>
    </row>
    <row r="2629" spans="6:12">
      <c r="F2629" t="s">
        <v>14488</v>
      </c>
      <c r="G2629" t="s">
        <v>14489</v>
      </c>
      <c r="H2629">
        <v>4</v>
      </c>
      <c r="I2629">
        <v>3</v>
      </c>
      <c r="J2629">
        <v>1</v>
      </c>
      <c r="K2629">
        <v>0</v>
      </c>
      <c r="L2629" s="61" t="s">
        <v>4779</v>
      </c>
    </row>
    <row r="2630" spans="6:12">
      <c r="F2630" t="s">
        <v>14490</v>
      </c>
      <c r="G2630" t="s">
        <v>14491</v>
      </c>
      <c r="H2630">
        <v>6</v>
      </c>
      <c r="I2630">
        <v>2</v>
      </c>
      <c r="J2630">
        <v>0</v>
      </c>
      <c r="K2630">
        <v>0</v>
      </c>
      <c r="L2630" s="61" t="s">
        <v>4810</v>
      </c>
    </row>
    <row r="2631" spans="6:12">
      <c r="F2631" t="s">
        <v>14492</v>
      </c>
      <c r="G2631" t="s">
        <v>12316</v>
      </c>
      <c r="H2631">
        <v>5</v>
      </c>
      <c r="I2631">
        <v>3</v>
      </c>
      <c r="J2631">
        <v>0</v>
      </c>
      <c r="K2631">
        <v>0</v>
      </c>
      <c r="L2631" s="61" t="s">
        <v>4806</v>
      </c>
    </row>
    <row r="2632" spans="6:12">
      <c r="F2632" t="s">
        <v>14493</v>
      </c>
      <c r="G2632" t="s">
        <v>14494</v>
      </c>
      <c r="H2632">
        <v>4</v>
      </c>
      <c r="I2632">
        <v>3</v>
      </c>
      <c r="J2632">
        <v>1</v>
      </c>
      <c r="K2632">
        <v>0</v>
      </c>
      <c r="L2632" s="61" t="s">
        <v>4779</v>
      </c>
    </row>
    <row r="2633" spans="6:12">
      <c r="F2633" t="s">
        <v>14495</v>
      </c>
      <c r="G2633" t="s">
        <v>14496</v>
      </c>
      <c r="H2633">
        <v>3</v>
      </c>
      <c r="I2633">
        <v>3</v>
      </c>
      <c r="J2633">
        <v>2</v>
      </c>
      <c r="K2633">
        <v>0</v>
      </c>
      <c r="L2633" s="61" t="s">
        <v>4779</v>
      </c>
    </row>
    <row r="2634" spans="6:12">
      <c r="F2634" t="s">
        <v>14497</v>
      </c>
      <c r="G2634" t="s">
        <v>14498</v>
      </c>
      <c r="H2634">
        <v>3</v>
      </c>
      <c r="I2634">
        <v>3</v>
      </c>
      <c r="J2634">
        <v>2</v>
      </c>
      <c r="K2634">
        <v>0</v>
      </c>
      <c r="L2634" s="61" t="s">
        <v>4779</v>
      </c>
    </row>
    <row r="2635" spans="6:12">
      <c r="F2635" t="s">
        <v>14499</v>
      </c>
      <c r="G2635" t="s">
        <v>14500</v>
      </c>
      <c r="H2635">
        <v>6</v>
      </c>
      <c r="I2635">
        <v>2</v>
      </c>
      <c r="J2635">
        <v>0</v>
      </c>
      <c r="K2635">
        <v>0</v>
      </c>
      <c r="L2635" s="61" t="s">
        <v>4779</v>
      </c>
    </row>
    <row r="2636" spans="6:12">
      <c r="F2636" t="s">
        <v>14501</v>
      </c>
      <c r="G2636" t="s">
        <v>8667</v>
      </c>
      <c r="H2636">
        <v>3</v>
      </c>
      <c r="I2636">
        <v>3</v>
      </c>
      <c r="J2636">
        <v>2</v>
      </c>
      <c r="K2636">
        <v>0</v>
      </c>
      <c r="L2636" s="61" t="s">
        <v>4779</v>
      </c>
    </row>
    <row r="2637" spans="6:12">
      <c r="F2637" t="s">
        <v>14502</v>
      </c>
      <c r="G2637" t="s">
        <v>14503</v>
      </c>
      <c r="H2637">
        <v>5</v>
      </c>
      <c r="I2637">
        <v>3</v>
      </c>
      <c r="J2637">
        <v>0</v>
      </c>
      <c r="K2637">
        <v>0</v>
      </c>
      <c r="L2637" s="61" t="s">
        <v>4779</v>
      </c>
    </row>
    <row r="2638" spans="6:12">
      <c r="F2638" t="s">
        <v>14504</v>
      </c>
      <c r="G2638" t="s">
        <v>14505</v>
      </c>
      <c r="H2638">
        <v>5</v>
      </c>
      <c r="I2638">
        <v>2</v>
      </c>
      <c r="J2638">
        <v>1</v>
      </c>
      <c r="K2638">
        <v>0</v>
      </c>
      <c r="L2638" s="61" t="s">
        <v>4779</v>
      </c>
    </row>
    <row r="2639" spans="6:12">
      <c r="F2639" t="s">
        <v>14506</v>
      </c>
      <c r="G2639" t="s">
        <v>14507</v>
      </c>
      <c r="H2639">
        <v>6</v>
      </c>
      <c r="I2639">
        <v>2</v>
      </c>
      <c r="J2639">
        <v>0</v>
      </c>
      <c r="K2639">
        <v>0</v>
      </c>
      <c r="L2639" s="61" t="s">
        <v>4810</v>
      </c>
    </row>
    <row r="2640" spans="6:12">
      <c r="F2640" t="s">
        <v>14508</v>
      </c>
      <c r="G2640" t="s">
        <v>14509</v>
      </c>
      <c r="H2640">
        <v>7</v>
      </c>
      <c r="I2640">
        <v>1</v>
      </c>
      <c r="J2640">
        <v>0</v>
      </c>
      <c r="K2640">
        <v>0</v>
      </c>
      <c r="L2640" s="61" t="s">
        <v>4779</v>
      </c>
    </row>
    <row r="2641" spans="6:12">
      <c r="F2641" t="s">
        <v>14510</v>
      </c>
      <c r="G2641" t="s">
        <v>10708</v>
      </c>
      <c r="H2641">
        <v>5</v>
      </c>
      <c r="I2641">
        <v>1</v>
      </c>
      <c r="J2641">
        <v>2</v>
      </c>
      <c r="K2641">
        <v>0</v>
      </c>
      <c r="L2641" s="61" t="s">
        <v>4779</v>
      </c>
    </row>
    <row r="2642" spans="6:12">
      <c r="F2642" t="s">
        <v>14511</v>
      </c>
      <c r="G2642" t="s">
        <v>14512</v>
      </c>
      <c r="H2642">
        <v>7</v>
      </c>
      <c r="I2642">
        <v>1</v>
      </c>
      <c r="J2642">
        <v>0</v>
      </c>
      <c r="K2642">
        <v>0</v>
      </c>
      <c r="L2642" s="61" t="s">
        <v>4806</v>
      </c>
    </row>
    <row r="2643" spans="6:12">
      <c r="F2643" t="s">
        <v>14513</v>
      </c>
      <c r="G2643" t="s">
        <v>5590</v>
      </c>
      <c r="H2643">
        <v>5</v>
      </c>
      <c r="I2643">
        <v>1</v>
      </c>
      <c r="J2643">
        <v>2</v>
      </c>
      <c r="K2643">
        <v>0</v>
      </c>
      <c r="L2643" s="61" t="s">
        <v>4779</v>
      </c>
    </row>
    <row r="2644" spans="6:12">
      <c r="F2644" t="s">
        <v>14514</v>
      </c>
      <c r="G2644" t="s">
        <v>14515</v>
      </c>
      <c r="H2644">
        <v>7</v>
      </c>
      <c r="I2644">
        <v>1</v>
      </c>
      <c r="J2644">
        <v>0</v>
      </c>
      <c r="K2644">
        <v>0</v>
      </c>
      <c r="L2644" s="61" t="s">
        <v>4779</v>
      </c>
    </row>
    <row r="2645" spans="6:12">
      <c r="F2645" t="s">
        <v>14516</v>
      </c>
      <c r="G2645" t="s">
        <v>5922</v>
      </c>
      <c r="H2645">
        <v>3</v>
      </c>
      <c r="I2645">
        <v>3</v>
      </c>
      <c r="J2645">
        <v>2</v>
      </c>
      <c r="K2645">
        <v>0</v>
      </c>
      <c r="L2645" s="61" t="s">
        <v>4779</v>
      </c>
    </row>
    <row r="2646" spans="6:12">
      <c r="F2646" t="s">
        <v>14517</v>
      </c>
      <c r="G2646" t="s">
        <v>9301</v>
      </c>
      <c r="H2646">
        <v>5</v>
      </c>
      <c r="I2646">
        <v>1</v>
      </c>
      <c r="J2646">
        <v>2</v>
      </c>
      <c r="K2646">
        <v>0</v>
      </c>
      <c r="L2646" s="61" t="s">
        <v>4779</v>
      </c>
    </row>
    <row r="2647" spans="6:12">
      <c r="F2647" t="s">
        <v>14518</v>
      </c>
      <c r="G2647" t="s">
        <v>14519</v>
      </c>
      <c r="H2647">
        <v>5</v>
      </c>
      <c r="I2647">
        <v>2</v>
      </c>
      <c r="J2647">
        <v>1</v>
      </c>
      <c r="K2647">
        <v>0</v>
      </c>
      <c r="L2647" s="61" t="s">
        <v>4779</v>
      </c>
    </row>
    <row r="2648" spans="6:12">
      <c r="F2648" t="s">
        <v>14520</v>
      </c>
      <c r="G2648" t="s">
        <v>5872</v>
      </c>
      <c r="H2648">
        <v>3</v>
      </c>
      <c r="I2648">
        <v>3</v>
      </c>
      <c r="J2648">
        <v>2</v>
      </c>
      <c r="K2648">
        <v>0</v>
      </c>
      <c r="L2648" s="61" t="s">
        <v>4779</v>
      </c>
    </row>
    <row r="2649" spans="6:12">
      <c r="F2649" t="s">
        <v>14521</v>
      </c>
      <c r="G2649" t="s">
        <v>14522</v>
      </c>
      <c r="H2649">
        <v>4</v>
      </c>
      <c r="I2649">
        <v>2</v>
      </c>
      <c r="J2649">
        <v>2</v>
      </c>
      <c r="K2649">
        <v>0</v>
      </c>
      <c r="L2649" s="61" t="s">
        <v>4779</v>
      </c>
    </row>
    <row r="2650" spans="6:12">
      <c r="F2650" t="s">
        <v>14523</v>
      </c>
      <c r="G2650" t="s">
        <v>14524</v>
      </c>
      <c r="H2650">
        <v>6</v>
      </c>
      <c r="I2650">
        <v>2</v>
      </c>
      <c r="J2650">
        <v>0</v>
      </c>
      <c r="K2650">
        <v>0</v>
      </c>
      <c r="L2650" s="61" t="s">
        <v>4806</v>
      </c>
    </row>
    <row r="2651" spans="6:12">
      <c r="F2651" t="s">
        <v>14525</v>
      </c>
      <c r="G2651" t="s">
        <v>14526</v>
      </c>
      <c r="H2651">
        <v>5</v>
      </c>
      <c r="I2651">
        <v>1</v>
      </c>
      <c r="J2651">
        <v>2</v>
      </c>
      <c r="K2651">
        <v>0</v>
      </c>
      <c r="L2651" s="61" t="s">
        <v>4779</v>
      </c>
    </row>
    <row r="2652" spans="6:12">
      <c r="F2652" t="s">
        <v>14527</v>
      </c>
      <c r="G2652" t="s">
        <v>14528</v>
      </c>
      <c r="H2652">
        <v>5</v>
      </c>
      <c r="I2652">
        <v>3</v>
      </c>
      <c r="J2652">
        <v>0</v>
      </c>
      <c r="K2652">
        <v>0</v>
      </c>
      <c r="L2652" s="61" t="s">
        <v>4779</v>
      </c>
    </row>
    <row r="2653" spans="6:12">
      <c r="F2653" t="s">
        <v>14529</v>
      </c>
      <c r="G2653" t="s">
        <v>14530</v>
      </c>
      <c r="H2653">
        <v>7</v>
      </c>
      <c r="I2653">
        <v>1</v>
      </c>
      <c r="J2653">
        <v>0</v>
      </c>
      <c r="K2653">
        <v>0</v>
      </c>
      <c r="L2653" s="61" t="s">
        <v>4779</v>
      </c>
    </row>
    <row r="2654" spans="6:12">
      <c r="F2654" t="s">
        <v>14531</v>
      </c>
      <c r="G2654" t="s">
        <v>5342</v>
      </c>
      <c r="H2654">
        <v>7</v>
      </c>
      <c r="I2654">
        <v>1</v>
      </c>
      <c r="J2654">
        <v>0</v>
      </c>
      <c r="K2654">
        <v>0</v>
      </c>
      <c r="L2654" s="61" t="s">
        <v>4779</v>
      </c>
    </row>
    <row r="2655" spans="6:12">
      <c r="F2655" t="s">
        <v>14532</v>
      </c>
      <c r="G2655" t="s">
        <v>14533</v>
      </c>
      <c r="H2655">
        <v>5</v>
      </c>
      <c r="I2655">
        <v>3</v>
      </c>
      <c r="J2655">
        <v>0</v>
      </c>
      <c r="K2655">
        <v>0</v>
      </c>
      <c r="L2655" s="61" t="s">
        <v>4779</v>
      </c>
    </row>
    <row r="2656" spans="6:12">
      <c r="F2656" t="s">
        <v>14534</v>
      </c>
      <c r="G2656" t="s">
        <v>14535</v>
      </c>
      <c r="H2656">
        <v>6</v>
      </c>
      <c r="I2656">
        <v>2</v>
      </c>
      <c r="J2656">
        <v>0</v>
      </c>
      <c r="K2656">
        <v>0</v>
      </c>
      <c r="L2656" s="61" t="s">
        <v>4779</v>
      </c>
    </row>
    <row r="2657" spans="6:12">
      <c r="F2657" t="s">
        <v>14536</v>
      </c>
      <c r="G2657" t="s">
        <v>10908</v>
      </c>
      <c r="H2657">
        <v>2</v>
      </c>
      <c r="I2657">
        <v>3</v>
      </c>
      <c r="J2657">
        <v>2</v>
      </c>
      <c r="K2657">
        <v>1</v>
      </c>
      <c r="L2657" s="61" t="s">
        <v>4779</v>
      </c>
    </row>
    <row r="2658" spans="6:12">
      <c r="F2658" t="s">
        <v>14537</v>
      </c>
      <c r="G2658" t="s">
        <v>5508</v>
      </c>
      <c r="H2658">
        <v>4</v>
      </c>
      <c r="I2658">
        <v>2</v>
      </c>
      <c r="J2658">
        <v>2</v>
      </c>
      <c r="K2658">
        <v>0</v>
      </c>
      <c r="L2658" s="61" t="s">
        <v>4779</v>
      </c>
    </row>
    <row r="2659" spans="6:12">
      <c r="F2659" t="s">
        <v>14538</v>
      </c>
      <c r="G2659" t="s">
        <v>5282</v>
      </c>
      <c r="H2659">
        <v>5</v>
      </c>
      <c r="I2659">
        <v>3</v>
      </c>
      <c r="J2659">
        <v>0</v>
      </c>
      <c r="K2659">
        <v>0</v>
      </c>
      <c r="L2659" s="61" t="s">
        <v>4779</v>
      </c>
    </row>
    <row r="2660" spans="6:12">
      <c r="F2660" t="s">
        <v>14539</v>
      </c>
      <c r="G2660" t="s">
        <v>14540</v>
      </c>
      <c r="H2660">
        <v>5</v>
      </c>
      <c r="I2660">
        <v>1</v>
      </c>
      <c r="J2660">
        <v>2</v>
      </c>
      <c r="K2660">
        <v>0</v>
      </c>
      <c r="L2660" s="61" t="s">
        <v>4779</v>
      </c>
    </row>
    <row r="2661" spans="6:12">
      <c r="F2661" t="s">
        <v>14541</v>
      </c>
      <c r="G2661" t="s">
        <v>14542</v>
      </c>
      <c r="H2661">
        <v>5</v>
      </c>
      <c r="I2661">
        <v>3</v>
      </c>
      <c r="J2661">
        <v>0</v>
      </c>
      <c r="K2661">
        <v>0</v>
      </c>
      <c r="L2661" s="61" t="s">
        <v>4779</v>
      </c>
    </row>
    <row r="2662" spans="6:12">
      <c r="F2662" t="s">
        <v>14543</v>
      </c>
      <c r="G2662" t="s">
        <v>14544</v>
      </c>
      <c r="H2662">
        <v>5</v>
      </c>
      <c r="I2662">
        <v>2</v>
      </c>
      <c r="J2662">
        <v>1</v>
      </c>
      <c r="K2662">
        <v>0</v>
      </c>
      <c r="L2662" s="61" t="s">
        <v>4809</v>
      </c>
    </row>
    <row r="2663" spans="6:12">
      <c r="F2663" t="s">
        <v>14545</v>
      </c>
      <c r="G2663" t="s">
        <v>14546</v>
      </c>
      <c r="H2663">
        <v>7</v>
      </c>
      <c r="I2663">
        <v>1</v>
      </c>
      <c r="J2663">
        <v>0</v>
      </c>
      <c r="K2663">
        <v>0</v>
      </c>
      <c r="L2663" s="61" t="s">
        <v>4779</v>
      </c>
    </row>
    <row r="2664" spans="6:12">
      <c r="F2664" t="s">
        <v>14547</v>
      </c>
      <c r="G2664" t="s">
        <v>5910</v>
      </c>
      <c r="H2664">
        <v>3</v>
      </c>
      <c r="I2664">
        <v>3</v>
      </c>
      <c r="J2664">
        <v>2</v>
      </c>
      <c r="K2664">
        <v>0</v>
      </c>
      <c r="L2664" s="61" t="s">
        <v>4779</v>
      </c>
    </row>
    <row r="2665" spans="6:12">
      <c r="F2665" t="s">
        <v>14548</v>
      </c>
      <c r="G2665" t="s">
        <v>14549</v>
      </c>
      <c r="H2665">
        <v>7</v>
      </c>
      <c r="I2665">
        <v>1</v>
      </c>
      <c r="J2665">
        <v>0</v>
      </c>
      <c r="K2665">
        <v>0</v>
      </c>
      <c r="L2665" s="61" t="s">
        <v>4809</v>
      </c>
    </row>
    <row r="2666" spans="6:12">
      <c r="F2666" t="s">
        <v>14550</v>
      </c>
      <c r="G2666" t="s">
        <v>14551</v>
      </c>
      <c r="H2666">
        <v>5</v>
      </c>
      <c r="I2666">
        <v>2</v>
      </c>
      <c r="J2666">
        <v>1</v>
      </c>
      <c r="K2666">
        <v>0</v>
      </c>
      <c r="L2666" s="61" t="s">
        <v>4809</v>
      </c>
    </row>
    <row r="2667" spans="6:12">
      <c r="F2667" t="s">
        <v>14552</v>
      </c>
      <c r="G2667" t="s">
        <v>11032</v>
      </c>
      <c r="H2667">
        <v>3</v>
      </c>
      <c r="I2667">
        <v>3</v>
      </c>
      <c r="J2667">
        <v>2</v>
      </c>
      <c r="K2667">
        <v>0</v>
      </c>
      <c r="L2667" s="61" t="s">
        <v>4779</v>
      </c>
    </row>
    <row r="2668" spans="6:12">
      <c r="F2668" t="s">
        <v>14553</v>
      </c>
      <c r="G2668" t="s">
        <v>14554</v>
      </c>
      <c r="H2668">
        <v>6</v>
      </c>
      <c r="I2668">
        <v>2</v>
      </c>
      <c r="J2668">
        <v>0</v>
      </c>
      <c r="K2668">
        <v>0</v>
      </c>
      <c r="L2668" s="61" t="s">
        <v>4779</v>
      </c>
    </row>
    <row r="2669" spans="6:12">
      <c r="F2669" t="s">
        <v>14555</v>
      </c>
      <c r="G2669" t="s">
        <v>14556</v>
      </c>
      <c r="H2669">
        <v>5</v>
      </c>
      <c r="I2669">
        <v>3</v>
      </c>
      <c r="J2669">
        <v>0</v>
      </c>
      <c r="K2669">
        <v>0</v>
      </c>
      <c r="L2669" s="61" t="s">
        <v>4779</v>
      </c>
    </row>
    <row r="2670" spans="6:12">
      <c r="F2670" t="s">
        <v>14557</v>
      </c>
      <c r="G2670" t="s">
        <v>14428</v>
      </c>
      <c r="H2670">
        <v>4</v>
      </c>
      <c r="I2670">
        <v>3</v>
      </c>
      <c r="J2670">
        <v>1</v>
      </c>
      <c r="K2670">
        <v>0</v>
      </c>
      <c r="L2670" s="61" t="s">
        <v>4779</v>
      </c>
    </row>
    <row r="2671" spans="6:12">
      <c r="F2671" t="s">
        <v>14558</v>
      </c>
      <c r="G2671" t="s">
        <v>14559</v>
      </c>
      <c r="H2671">
        <v>6</v>
      </c>
      <c r="I2671">
        <v>1</v>
      </c>
      <c r="J2671">
        <v>1</v>
      </c>
      <c r="K2671">
        <v>0</v>
      </c>
      <c r="L2671" s="61" t="s">
        <v>4779</v>
      </c>
    </row>
    <row r="2672" spans="6:12">
      <c r="F2672" t="s">
        <v>14560</v>
      </c>
      <c r="G2672" t="s">
        <v>14561</v>
      </c>
      <c r="H2672">
        <v>6</v>
      </c>
      <c r="I2672">
        <v>2</v>
      </c>
      <c r="J2672">
        <v>0</v>
      </c>
      <c r="K2672">
        <v>0</v>
      </c>
      <c r="L2672" s="61" t="s">
        <v>4779</v>
      </c>
    </row>
    <row r="2673" spans="6:12">
      <c r="F2673" t="s">
        <v>14562</v>
      </c>
      <c r="G2673" t="s">
        <v>9107</v>
      </c>
      <c r="H2673">
        <v>5</v>
      </c>
      <c r="I2673">
        <v>3</v>
      </c>
      <c r="J2673">
        <v>0</v>
      </c>
      <c r="K2673">
        <v>0</v>
      </c>
      <c r="L2673" s="61" t="s">
        <v>4779</v>
      </c>
    </row>
    <row r="2674" spans="6:12">
      <c r="F2674" t="s">
        <v>14563</v>
      </c>
      <c r="G2674" t="s">
        <v>14564</v>
      </c>
      <c r="H2674">
        <v>5</v>
      </c>
      <c r="I2674">
        <v>3</v>
      </c>
      <c r="J2674">
        <v>0</v>
      </c>
      <c r="K2674">
        <v>0</v>
      </c>
      <c r="L2674" s="61" t="s">
        <v>4779</v>
      </c>
    </row>
    <row r="2675" spans="6:12">
      <c r="F2675" t="s">
        <v>14565</v>
      </c>
      <c r="G2675" t="s">
        <v>14566</v>
      </c>
      <c r="H2675">
        <v>6</v>
      </c>
      <c r="I2675">
        <v>1</v>
      </c>
      <c r="J2675">
        <v>1</v>
      </c>
      <c r="K2675">
        <v>0</v>
      </c>
      <c r="L2675" s="61" t="s">
        <v>4779</v>
      </c>
    </row>
    <row r="2676" spans="6:12">
      <c r="F2676" t="s">
        <v>14567</v>
      </c>
      <c r="G2676" t="s">
        <v>14568</v>
      </c>
      <c r="H2676">
        <v>6</v>
      </c>
      <c r="I2676">
        <v>2</v>
      </c>
      <c r="J2676">
        <v>0</v>
      </c>
      <c r="K2676">
        <v>0</v>
      </c>
      <c r="L2676" s="61" t="s">
        <v>4779</v>
      </c>
    </row>
    <row r="2677" spans="6:12">
      <c r="F2677" t="s">
        <v>14569</v>
      </c>
      <c r="G2677" t="s">
        <v>14570</v>
      </c>
      <c r="H2677">
        <v>6</v>
      </c>
      <c r="I2677">
        <v>2</v>
      </c>
      <c r="J2677">
        <v>0</v>
      </c>
      <c r="K2677">
        <v>0</v>
      </c>
      <c r="L2677" s="61" t="s">
        <v>4779</v>
      </c>
    </row>
    <row r="2678" spans="6:12">
      <c r="F2678" t="s">
        <v>14571</v>
      </c>
      <c r="G2678" t="s">
        <v>14572</v>
      </c>
      <c r="H2678">
        <v>6</v>
      </c>
      <c r="I2678">
        <v>2</v>
      </c>
      <c r="J2678">
        <v>0</v>
      </c>
      <c r="K2678">
        <v>0</v>
      </c>
      <c r="L2678" s="61" t="s">
        <v>4779</v>
      </c>
    </row>
    <row r="2679" spans="6:12">
      <c r="F2679" t="s">
        <v>14573</v>
      </c>
      <c r="G2679" t="s">
        <v>14574</v>
      </c>
      <c r="H2679">
        <v>6</v>
      </c>
      <c r="I2679">
        <v>1</v>
      </c>
      <c r="J2679">
        <v>1</v>
      </c>
      <c r="K2679">
        <v>0</v>
      </c>
      <c r="L2679" s="61" t="s">
        <v>4809</v>
      </c>
    </row>
    <row r="2680" spans="6:12">
      <c r="F2680" t="s">
        <v>14575</v>
      </c>
      <c r="G2680" t="s">
        <v>14576</v>
      </c>
      <c r="H2680">
        <v>4</v>
      </c>
      <c r="I2680">
        <v>3</v>
      </c>
      <c r="J2680">
        <v>1</v>
      </c>
      <c r="K2680">
        <v>0</v>
      </c>
      <c r="L2680" s="61" t="s">
        <v>4808</v>
      </c>
    </row>
    <row r="2681" spans="6:12">
      <c r="F2681" t="s">
        <v>14577</v>
      </c>
      <c r="G2681" t="s">
        <v>14578</v>
      </c>
      <c r="H2681">
        <v>3</v>
      </c>
      <c r="I2681">
        <v>3</v>
      </c>
      <c r="J2681">
        <v>2</v>
      </c>
      <c r="K2681">
        <v>0</v>
      </c>
      <c r="L2681" s="61" t="s">
        <v>4779</v>
      </c>
    </row>
    <row r="2682" spans="6:12">
      <c r="F2682" t="s">
        <v>14579</v>
      </c>
      <c r="G2682" t="s">
        <v>14580</v>
      </c>
      <c r="H2682">
        <v>6</v>
      </c>
      <c r="I2682">
        <v>2</v>
      </c>
      <c r="J2682">
        <v>0</v>
      </c>
      <c r="K2682">
        <v>0</v>
      </c>
      <c r="L2682" s="61" t="s">
        <v>4779</v>
      </c>
    </row>
    <row r="2683" spans="6:12">
      <c r="F2683" t="s">
        <v>14581</v>
      </c>
      <c r="G2683" t="s">
        <v>14582</v>
      </c>
      <c r="H2683">
        <v>5</v>
      </c>
      <c r="I2683">
        <v>2</v>
      </c>
      <c r="J2683">
        <v>1</v>
      </c>
      <c r="K2683">
        <v>0</v>
      </c>
      <c r="L2683" s="61" t="s">
        <v>4779</v>
      </c>
    </row>
    <row r="2684" spans="6:12">
      <c r="F2684" t="s">
        <v>14583</v>
      </c>
      <c r="G2684" t="s">
        <v>14584</v>
      </c>
      <c r="H2684">
        <v>6</v>
      </c>
      <c r="I2684">
        <v>2</v>
      </c>
      <c r="J2684">
        <v>0</v>
      </c>
      <c r="K2684">
        <v>0</v>
      </c>
      <c r="L2684" s="61" t="s">
        <v>4809</v>
      </c>
    </row>
    <row r="2685" spans="6:12">
      <c r="F2685" t="s">
        <v>14585</v>
      </c>
      <c r="G2685" t="s">
        <v>14586</v>
      </c>
      <c r="H2685">
        <v>5</v>
      </c>
      <c r="I2685">
        <v>3</v>
      </c>
      <c r="J2685">
        <v>0</v>
      </c>
      <c r="K2685">
        <v>0</v>
      </c>
      <c r="L2685" s="61" t="s">
        <v>4779</v>
      </c>
    </row>
    <row r="2686" spans="6:12">
      <c r="F2686" t="s">
        <v>14587</v>
      </c>
      <c r="G2686" t="s">
        <v>14588</v>
      </c>
      <c r="H2686">
        <v>4</v>
      </c>
      <c r="I2686">
        <v>2</v>
      </c>
      <c r="J2686">
        <v>2</v>
      </c>
      <c r="K2686">
        <v>0</v>
      </c>
      <c r="L2686" s="61" t="s">
        <v>4779</v>
      </c>
    </row>
    <row r="2687" spans="6:12">
      <c r="F2687" t="s">
        <v>14589</v>
      </c>
      <c r="G2687" t="s">
        <v>14590</v>
      </c>
      <c r="H2687">
        <v>6</v>
      </c>
      <c r="I2687">
        <v>1</v>
      </c>
      <c r="J2687">
        <v>1</v>
      </c>
      <c r="K2687">
        <v>0</v>
      </c>
      <c r="L2687" s="61" t="s">
        <v>4779</v>
      </c>
    </row>
    <row r="2688" spans="6:12">
      <c r="F2688" t="s">
        <v>14591</v>
      </c>
      <c r="G2688" t="s">
        <v>14592</v>
      </c>
      <c r="H2688">
        <v>7</v>
      </c>
      <c r="I2688">
        <v>1</v>
      </c>
      <c r="J2688">
        <v>0</v>
      </c>
      <c r="K2688">
        <v>0</v>
      </c>
      <c r="L2688" s="61" t="s">
        <v>4779</v>
      </c>
    </row>
    <row r="2689" spans="6:12">
      <c r="F2689" t="s">
        <v>14593</v>
      </c>
      <c r="G2689" t="s">
        <v>14594</v>
      </c>
      <c r="H2689">
        <v>5</v>
      </c>
      <c r="I2689">
        <v>3</v>
      </c>
      <c r="J2689">
        <v>0</v>
      </c>
      <c r="K2689">
        <v>0</v>
      </c>
      <c r="L2689" s="61" t="s">
        <v>4779</v>
      </c>
    </row>
    <row r="2690" spans="6:12">
      <c r="F2690" t="s">
        <v>14595</v>
      </c>
      <c r="G2690" t="s">
        <v>14596</v>
      </c>
      <c r="H2690">
        <v>6</v>
      </c>
      <c r="I2690">
        <v>2</v>
      </c>
      <c r="J2690">
        <v>0</v>
      </c>
      <c r="K2690">
        <v>0</v>
      </c>
      <c r="L2690" s="61" t="s">
        <v>4779</v>
      </c>
    </row>
    <row r="2691" spans="6:12">
      <c r="F2691" t="s">
        <v>14597</v>
      </c>
      <c r="G2691" t="s">
        <v>5773</v>
      </c>
      <c r="H2691">
        <v>4</v>
      </c>
      <c r="I2691">
        <v>3</v>
      </c>
      <c r="J2691">
        <v>1</v>
      </c>
      <c r="K2691">
        <v>0</v>
      </c>
      <c r="L2691" s="61" t="s">
        <v>4807</v>
      </c>
    </row>
    <row r="2692" spans="6:12">
      <c r="F2692" t="s">
        <v>14598</v>
      </c>
      <c r="G2692" t="s">
        <v>14599</v>
      </c>
      <c r="H2692">
        <v>5</v>
      </c>
      <c r="I2692">
        <v>2</v>
      </c>
      <c r="J2692">
        <v>1</v>
      </c>
      <c r="K2692">
        <v>0</v>
      </c>
      <c r="L2692" s="61" t="s">
        <v>4779</v>
      </c>
    </row>
    <row r="2693" spans="6:12">
      <c r="F2693" t="s">
        <v>14600</v>
      </c>
      <c r="G2693" t="s">
        <v>14601</v>
      </c>
      <c r="H2693">
        <v>4</v>
      </c>
      <c r="I2693">
        <v>3</v>
      </c>
      <c r="J2693">
        <v>1</v>
      </c>
      <c r="K2693">
        <v>0</v>
      </c>
      <c r="L2693" s="61" t="s">
        <v>4779</v>
      </c>
    </row>
    <row r="2694" spans="6:12">
      <c r="F2694" t="s">
        <v>14602</v>
      </c>
      <c r="G2694" t="s">
        <v>14603</v>
      </c>
      <c r="H2694">
        <v>6</v>
      </c>
      <c r="I2694">
        <v>1</v>
      </c>
      <c r="J2694">
        <v>1</v>
      </c>
      <c r="K2694">
        <v>0</v>
      </c>
      <c r="L2694" s="61" t="s">
        <v>4779</v>
      </c>
    </row>
    <row r="2695" spans="6:12">
      <c r="F2695" t="s">
        <v>14604</v>
      </c>
      <c r="G2695" t="s">
        <v>14605</v>
      </c>
      <c r="H2695">
        <v>5</v>
      </c>
      <c r="I2695">
        <v>1</v>
      </c>
      <c r="J2695">
        <v>2</v>
      </c>
      <c r="K2695">
        <v>0</v>
      </c>
      <c r="L2695" s="61" t="s">
        <v>4779</v>
      </c>
    </row>
    <row r="2696" spans="6:12">
      <c r="F2696" t="s">
        <v>14606</v>
      </c>
      <c r="G2696" t="s">
        <v>14607</v>
      </c>
      <c r="H2696">
        <v>7</v>
      </c>
      <c r="I2696">
        <v>1</v>
      </c>
      <c r="J2696">
        <v>0</v>
      </c>
      <c r="K2696">
        <v>0</v>
      </c>
      <c r="L2696" s="61" t="s">
        <v>4809</v>
      </c>
    </row>
    <row r="2697" spans="6:12">
      <c r="F2697" t="s">
        <v>14608</v>
      </c>
      <c r="G2697" t="s">
        <v>14609</v>
      </c>
      <c r="H2697">
        <v>4</v>
      </c>
      <c r="I2697">
        <v>3</v>
      </c>
      <c r="J2697">
        <v>1</v>
      </c>
      <c r="K2697">
        <v>0</v>
      </c>
      <c r="L2697" s="61" t="s">
        <v>4779</v>
      </c>
    </row>
    <row r="2698" spans="6:12">
      <c r="F2698" t="s">
        <v>14610</v>
      </c>
      <c r="G2698" t="s">
        <v>14611</v>
      </c>
      <c r="H2698">
        <v>5</v>
      </c>
      <c r="I2698">
        <v>3</v>
      </c>
      <c r="J2698">
        <v>0</v>
      </c>
      <c r="K2698">
        <v>0</v>
      </c>
      <c r="L2698" s="61" t="s">
        <v>4779</v>
      </c>
    </row>
    <row r="2699" spans="6:12">
      <c r="F2699" t="s">
        <v>14612</v>
      </c>
      <c r="G2699" t="s">
        <v>14613</v>
      </c>
      <c r="H2699">
        <v>6</v>
      </c>
      <c r="I2699">
        <v>1</v>
      </c>
      <c r="J2699">
        <v>1</v>
      </c>
      <c r="K2699">
        <v>0</v>
      </c>
      <c r="L2699" s="61" t="s">
        <v>4810</v>
      </c>
    </row>
    <row r="2700" spans="6:12">
      <c r="F2700" t="s">
        <v>14614</v>
      </c>
      <c r="G2700" t="s">
        <v>14615</v>
      </c>
      <c r="H2700">
        <v>5</v>
      </c>
      <c r="I2700">
        <v>3</v>
      </c>
      <c r="J2700">
        <v>0</v>
      </c>
      <c r="K2700">
        <v>0</v>
      </c>
      <c r="L2700" s="61" t="s">
        <v>4779</v>
      </c>
    </row>
    <row r="2701" spans="6:12">
      <c r="F2701" t="s">
        <v>14616</v>
      </c>
      <c r="G2701" t="s">
        <v>14617</v>
      </c>
      <c r="H2701">
        <v>5</v>
      </c>
      <c r="I2701">
        <v>1</v>
      </c>
      <c r="J2701">
        <v>2</v>
      </c>
      <c r="K2701">
        <v>0</v>
      </c>
      <c r="L2701" s="61" t="s">
        <v>4779</v>
      </c>
    </row>
    <row r="2702" spans="6:12">
      <c r="F2702" t="s">
        <v>14618</v>
      </c>
      <c r="G2702" t="s">
        <v>14619</v>
      </c>
      <c r="H2702">
        <v>6</v>
      </c>
      <c r="I2702">
        <v>2</v>
      </c>
      <c r="J2702">
        <v>0</v>
      </c>
      <c r="K2702">
        <v>0</v>
      </c>
      <c r="L2702" s="61" t="s">
        <v>4779</v>
      </c>
    </row>
    <row r="2703" spans="6:12">
      <c r="F2703" t="s">
        <v>14620</v>
      </c>
      <c r="G2703" t="s">
        <v>14621</v>
      </c>
      <c r="H2703">
        <v>7</v>
      </c>
      <c r="I2703">
        <v>1</v>
      </c>
      <c r="J2703">
        <v>0</v>
      </c>
      <c r="K2703">
        <v>0</v>
      </c>
      <c r="L2703" s="61" t="s">
        <v>4779</v>
      </c>
    </row>
    <row r="2704" spans="6:12">
      <c r="F2704" t="s">
        <v>14622</v>
      </c>
      <c r="G2704" t="s">
        <v>14623</v>
      </c>
      <c r="H2704">
        <v>7</v>
      </c>
      <c r="I2704">
        <v>1</v>
      </c>
      <c r="J2704">
        <v>0</v>
      </c>
      <c r="K2704">
        <v>0</v>
      </c>
      <c r="L2704" s="61" t="s">
        <v>4779</v>
      </c>
    </row>
    <row r="2705" spans="6:12">
      <c r="F2705" t="s">
        <v>14624</v>
      </c>
      <c r="G2705" t="s">
        <v>14625</v>
      </c>
      <c r="H2705">
        <v>4</v>
      </c>
      <c r="I2705">
        <v>3</v>
      </c>
      <c r="J2705">
        <v>1</v>
      </c>
      <c r="K2705">
        <v>0</v>
      </c>
      <c r="L2705" s="61" t="s">
        <v>4779</v>
      </c>
    </row>
    <row r="2706" spans="6:12">
      <c r="F2706" t="s">
        <v>14626</v>
      </c>
      <c r="G2706" t="s">
        <v>5896</v>
      </c>
      <c r="H2706">
        <v>4</v>
      </c>
      <c r="I2706">
        <v>3</v>
      </c>
      <c r="J2706">
        <v>1</v>
      </c>
      <c r="K2706">
        <v>0</v>
      </c>
      <c r="L2706" s="61" t="s">
        <v>4779</v>
      </c>
    </row>
    <row r="2707" spans="6:12">
      <c r="F2707" t="s">
        <v>14627</v>
      </c>
      <c r="G2707" t="s">
        <v>14628</v>
      </c>
      <c r="H2707">
        <v>6</v>
      </c>
      <c r="I2707">
        <v>2</v>
      </c>
      <c r="J2707">
        <v>0</v>
      </c>
      <c r="K2707">
        <v>0</v>
      </c>
      <c r="L2707" s="61" t="s">
        <v>4779</v>
      </c>
    </row>
    <row r="2708" spans="6:12">
      <c r="F2708" t="s">
        <v>14629</v>
      </c>
      <c r="G2708" t="s">
        <v>14630</v>
      </c>
      <c r="H2708">
        <v>6</v>
      </c>
      <c r="I2708">
        <v>2</v>
      </c>
      <c r="J2708">
        <v>0</v>
      </c>
      <c r="K2708">
        <v>0</v>
      </c>
      <c r="L2708" s="61" t="s">
        <v>4807</v>
      </c>
    </row>
    <row r="2709" spans="6:12">
      <c r="F2709" t="s">
        <v>14631</v>
      </c>
      <c r="G2709" t="s">
        <v>14632</v>
      </c>
      <c r="H2709">
        <v>5</v>
      </c>
      <c r="I2709">
        <v>3</v>
      </c>
      <c r="J2709">
        <v>0</v>
      </c>
      <c r="K2709">
        <v>0</v>
      </c>
      <c r="L2709" s="61" t="s">
        <v>4779</v>
      </c>
    </row>
    <row r="2710" spans="6:12">
      <c r="F2710" t="s">
        <v>14633</v>
      </c>
      <c r="G2710" t="s">
        <v>14634</v>
      </c>
      <c r="H2710">
        <v>7</v>
      </c>
      <c r="I2710">
        <v>1</v>
      </c>
      <c r="J2710">
        <v>0</v>
      </c>
      <c r="K2710">
        <v>0</v>
      </c>
      <c r="L2710" s="61" t="s">
        <v>4779</v>
      </c>
    </row>
    <row r="2711" spans="6:12">
      <c r="F2711" t="s">
        <v>14635</v>
      </c>
      <c r="G2711" t="s">
        <v>14636</v>
      </c>
      <c r="H2711">
        <v>5</v>
      </c>
      <c r="I2711">
        <v>3</v>
      </c>
      <c r="J2711">
        <v>0</v>
      </c>
      <c r="K2711">
        <v>0</v>
      </c>
      <c r="L2711" s="61" t="s">
        <v>4779</v>
      </c>
    </row>
    <row r="2712" spans="6:12">
      <c r="F2712" t="s">
        <v>14637</v>
      </c>
      <c r="G2712" t="s">
        <v>14638</v>
      </c>
      <c r="H2712">
        <v>5</v>
      </c>
      <c r="I2712">
        <v>1</v>
      </c>
      <c r="J2712">
        <v>2</v>
      </c>
      <c r="K2712">
        <v>0</v>
      </c>
      <c r="L2712" s="61" t="s">
        <v>4779</v>
      </c>
    </row>
    <row r="2713" spans="6:12">
      <c r="F2713" t="s">
        <v>14639</v>
      </c>
      <c r="G2713" t="s">
        <v>14640</v>
      </c>
      <c r="H2713">
        <v>7</v>
      </c>
      <c r="I2713">
        <v>1</v>
      </c>
      <c r="J2713">
        <v>0</v>
      </c>
      <c r="K2713">
        <v>0</v>
      </c>
      <c r="L2713" s="61" t="s">
        <v>4779</v>
      </c>
    </row>
    <row r="2714" spans="6:12">
      <c r="F2714" t="s">
        <v>14641</v>
      </c>
      <c r="G2714" t="s">
        <v>5755</v>
      </c>
      <c r="H2714">
        <v>4</v>
      </c>
      <c r="I2714">
        <v>2</v>
      </c>
      <c r="J2714">
        <v>2</v>
      </c>
      <c r="K2714">
        <v>0</v>
      </c>
      <c r="L2714" s="61" t="s">
        <v>4807</v>
      </c>
    </row>
    <row r="2715" spans="6:12">
      <c r="F2715" t="s">
        <v>14642</v>
      </c>
      <c r="G2715" t="s">
        <v>14643</v>
      </c>
      <c r="H2715">
        <v>6</v>
      </c>
      <c r="I2715">
        <v>2</v>
      </c>
      <c r="J2715">
        <v>0</v>
      </c>
      <c r="K2715">
        <v>0</v>
      </c>
      <c r="L2715" s="61" t="s">
        <v>4779</v>
      </c>
    </row>
    <row r="2716" spans="6:12">
      <c r="F2716" t="s">
        <v>14644</v>
      </c>
      <c r="G2716" t="s">
        <v>14645</v>
      </c>
      <c r="H2716">
        <v>5</v>
      </c>
      <c r="I2716">
        <v>1</v>
      </c>
      <c r="J2716">
        <v>2</v>
      </c>
      <c r="K2716">
        <v>0</v>
      </c>
      <c r="L2716" s="61" t="s">
        <v>4808</v>
      </c>
    </row>
    <row r="2717" spans="6:12">
      <c r="F2717" t="s">
        <v>14646</v>
      </c>
      <c r="G2717" t="s">
        <v>5918</v>
      </c>
      <c r="H2717">
        <v>5</v>
      </c>
      <c r="I2717">
        <v>1</v>
      </c>
      <c r="J2717">
        <v>2</v>
      </c>
      <c r="K2717">
        <v>0</v>
      </c>
      <c r="L2717" s="61" t="s">
        <v>4779</v>
      </c>
    </row>
    <row r="2718" spans="6:12">
      <c r="F2718" t="s">
        <v>14647</v>
      </c>
      <c r="G2718" t="s">
        <v>10937</v>
      </c>
      <c r="H2718">
        <v>5</v>
      </c>
      <c r="I2718">
        <v>2</v>
      </c>
      <c r="J2718">
        <v>1</v>
      </c>
      <c r="K2718">
        <v>0</v>
      </c>
      <c r="L2718" s="61" t="s">
        <v>4779</v>
      </c>
    </row>
    <row r="2719" spans="6:12">
      <c r="F2719" t="s">
        <v>14648</v>
      </c>
      <c r="G2719" t="s">
        <v>14649</v>
      </c>
      <c r="H2719">
        <v>5</v>
      </c>
      <c r="I2719">
        <v>1</v>
      </c>
      <c r="J2719">
        <v>2</v>
      </c>
      <c r="K2719">
        <v>0</v>
      </c>
      <c r="L2719" s="61" t="s">
        <v>4779</v>
      </c>
    </row>
    <row r="2720" spans="6:12">
      <c r="F2720" t="s">
        <v>14650</v>
      </c>
      <c r="G2720" t="s">
        <v>11089</v>
      </c>
      <c r="H2720">
        <v>3</v>
      </c>
      <c r="I2720">
        <v>3</v>
      </c>
      <c r="J2720">
        <v>2</v>
      </c>
      <c r="K2720">
        <v>0</v>
      </c>
      <c r="L2720" s="61" t="s">
        <v>4779</v>
      </c>
    </row>
    <row r="2721" spans="6:12">
      <c r="F2721" t="s">
        <v>14651</v>
      </c>
      <c r="G2721" t="s">
        <v>14652</v>
      </c>
      <c r="H2721">
        <v>7</v>
      </c>
      <c r="I2721">
        <v>1</v>
      </c>
      <c r="J2721">
        <v>0</v>
      </c>
      <c r="K2721">
        <v>0</v>
      </c>
      <c r="L2721" s="61" t="s">
        <v>4779</v>
      </c>
    </row>
    <row r="2722" spans="6:12">
      <c r="F2722" t="s">
        <v>14653</v>
      </c>
      <c r="G2722" t="s">
        <v>14654</v>
      </c>
      <c r="H2722">
        <v>6</v>
      </c>
      <c r="I2722">
        <v>2</v>
      </c>
      <c r="J2722">
        <v>0</v>
      </c>
      <c r="K2722">
        <v>0</v>
      </c>
      <c r="L2722" s="61" t="s">
        <v>4779</v>
      </c>
    </row>
    <row r="2723" spans="6:12">
      <c r="F2723" t="s">
        <v>14655</v>
      </c>
      <c r="G2723" t="s">
        <v>5024</v>
      </c>
      <c r="H2723">
        <v>4</v>
      </c>
      <c r="I2723">
        <v>2</v>
      </c>
      <c r="J2723">
        <v>2</v>
      </c>
      <c r="K2723">
        <v>0</v>
      </c>
      <c r="L2723" s="61" t="s">
        <v>4779</v>
      </c>
    </row>
    <row r="2724" spans="6:12">
      <c r="F2724" t="s">
        <v>14656</v>
      </c>
      <c r="G2724" t="s">
        <v>14657</v>
      </c>
      <c r="H2724">
        <v>6</v>
      </c>
      <c r="I2724">
        <v>2</v>
      </c>
      <c r="J2724">
        <v>0</v>
      </c>
      <c r="K2724">
        <v>0</v>
      </c>
      <c r="L2724" s="61" t="s">
        <v>4779</v>
      </c>
    </row>
    <row r="2725" spans="6:12">
      <c r="F2725" t="s">
        <v>14658</v>
      </c>
      <c r="G2725" t="s">
        <v>13005</v>
      </c>
      <c r="H2725">
        <v>5</v>
      </c>
      <c r="I2725">
        <v>1</v>
      </c>
      <c r="J2725">
        <v>2</v>
      </c>
      <c r="K2725">
        <v>0</v>
      </c>
      <c r="L2725" s="61" t="s">
        <v>4779</v>
      </c>
    </row>
    <row r="2726" spans="6:12">
      <c r="F2726" t="s">
        <v>14659</v>
      </c>
      <c r="G2726" t="s">
        <v>14660</v>
      </c>
      <c r="H2726">
        <v>5</v>
      </c>
      <c r="I2726">
        <v>3</v>
      </c>
      <c r="J2726">
        <v>0</v>
      </c>
      <c r="K2726">
        <v>0</v>
      </c>
      <c r="L2726" s="61" t="s">
        <v>4807</v>
      </c>
    </row>
    <row r="2727" spans="6:12">
      <c r="F2727" t="s">
        <v>14661</v>
      </c>
      <c r="G2727" t="s">
        <v>14662</v>
      </c>
      <c r="H2727">
        <v>7</v>
      </c>
      <c r="I2727">
        <v>1</v>
      </c>
      <c r="J2727">
        <v>0</v>
      </c>
      <c r="K2727">
        <v>0</v>
      </c>
      <c r="L2727" s="61" t="s">
        <v>4779</v>
      </c>
    </row>
    <row r="2728" spans="6:12">
      <c r="F2728" t="s">
        <v>14663</v>
      </c>
      <c r="G2728" t="s">
        <v>10981</v>
      </c>
      <c r="H2728">
        <v>5</v>
      </c>
      <c r="I2728">
        <v>2</v>
      </c>
      <c r="J2728">
        <v>1</v>
      </c>
      <c r="K2728">
        <v>0</v>
      </c>
      <c r="L2728" s="61" t="s">
        <v>4779</v>
      </c>
    </row>
    <row r="2729" spans="6:12">
      <c r="F2729" t="s">
        <v>14664</v>
      </c>
      <c r="G2729" t="s">
        <v>14665</v>
      </c>
      <c r="H2729">
        <v>6</v>
      </c>
      <c r="I2729">
        <v>2</v>
      </c>
      <c r="J2729">
        <v>0</v>
      </c>
      <c r="K2729">
        <v>0</v>
      </c>
      <c r="L2729" s="61" t="s">
        <v>4779</v>
      </c>
    </row>
    <row r="2730" spans="6:12">
      <c r="F2730" t="s">
        <v>14666</v>
      </c>
      <c r="G2730" t="s">
        <v>14667</v>
      </c>
      <c r="H2730">
        <v>5</v>
      </c>
      <c r="I2730">
        <v>1</v>
      </c>
      <c r="J2730">
        <v>2</v>
      </c>
      <c r="K2730">
        <v>0</v>
      </c>
      <c r="L2730" s="61" t="s">
        <v>4779</v>
      </c>
    </row>
    <row r="2731" spans="6:12">
      <c r="F2731" t="s">
        <v>14668</v>
      </c>
      <c r="G2731" t="s">
        <v>14669</v>
      </c>
      <c r="H2731">
        <v>5</v>
      </c>
      <c r="I2731">
        <v>1</v>
      </c>
      <c r="J2731">
        <v>2</v>
      </c>
      <c r="K2731">
        <v>0</v>
      </c>
      <c r="L2731" s="61" t="s">
        <v>4779</v>
      </c>
    </row>
    <row r="2732" spans="6:12">
      <c r="F2732" t="s">
        <v>14670</v>
      </c>
      <c r="G2732" t="s">
        <v>14671</v>
      </c>
      <c r="H2732">
        <v>7</v>
      </c>
      <c r="I2732">
        <v>1</v>
      </c>
      <c r="J2732">
        <v>0</v>
      </c>
      <c r="K2732">
        <v>0</v>
      </c>
      <c r="L2732" s="61" t="s">
        <v>4807</v>
      </c>
    </row>
    <row r="2733" spans="6:12">
      <c r="F2733" t="s">
        <v>14672</v>
      </c>
      <c r="G2733" t="s">
        <v>14673</v>
      </c>
      <c r="H2733">
        <v>7</v>
      </c>
      <c r="I2733">
        <v>1</v>
      </c>
      <c r="J2733">
        <v>0</v>
      </c>
      <c r="K2733">
        <v>0</v>
      </c>
      <c r="L2733" s="61" t="s">
        <v>4779</v>
      </c>
    </row>
    <row r="2734" spans="6:12">
      <c r="F2734" t="s">
        <v>14674</v>
      </c>
      <c r="G2734" t="s">
        <v>14675</v>
      </c>
      <c r="H2734">
        <v>5</v>
      </c>
      <c r="I2734">
        <v>3</v>
      </c>
      <c r="J2734">
        <v>0</v>
      </c>
      <c r="K2734">
        <v>0</v>
      </c>
      <c r="L2734" s="61" t="s">
        <v>4779</v>
      </c>
    </row>
    <row r="2735" spans="6:12">
      <c r="F2735" t="s">
        <v>14676</v>
      </c>
      <c r="G2735" t="s">
        <v>14677</v>
      </c>
      <c r="H2735">
        <v>5</v>
      </c>
      <c r="I2735">
        <v>3</v>
      </c>
      <c r="J2735">
        <v>0</v>
      </c>
      <c r="K2735">
        <v>0</v>
      </c>
      <c r="L2735" s="61" t="s">
        <v>4807</v>
      </c>
    </row>
    <row r="2736" spans="6:12">
      <c r="F2736" t="s">
        <v>14678</v>
      </c>
      <c r="G2736" t="s">
        <v>14679</v>
      </c>
      <c r="H2736">
        <v>5</v>
      </c>
      <c r="I2736">
        <v>2</v>
      </c>
      <c r="J2736">
        <v>1</v>
      </c>
      <c r="K2736">
        <v>0</v>
      </c>
      <c r="L2736" s="61" t="s">
        <v>4779</v>
      </c>
    </row>
    <row r="2737" spans="6:12">
      <c r="F2737" t="s">
        <v>14680</v>
      </c>
      <c r="G2737" t="s">
        <v>11083</v>
      </c>
      <c r="H2737">
        <v>5</v>
      </c>
      <c r="I2737">
        <v>1</v>
      </c>
      <c r="J2737">
        <v>2</v>
      </c>
      <c r="K2737">
        <v>0</v>
      </c>
      <c r="L2737" s="61" t="s">
        <v>4779</v>
      </c>
    </row>
    <row r="2738" spans="6:12">
      <c r="F2738" t="s">
        <v>14681</v>
      </c>
      <c r="G2738" t="s">
        <v>14682</v>
      </c>
      <c r="H2738">
        <v>5</v>
      </c>
      <c r="I2738">
        <v>3</v>
      </c>
      <c r="J2738">
        <v>0</v>
      </c>
      <c r="K2738">
        <v>0</v>
      </c>
      <c r="L2738" s="61" t="s">
        <v>4779</v>
      </c>
    </row>
    <row r="2739" spans="6:12">
      <c r="F2739" t="s">
        <v>14683</v>
      </c>
      <c r="G2739" t="s">
        <v>14684</v>
      </c>
      <c r="H2739">
        <v>7</v>
      </c>
      <c r="I2739">
        <v>1</v>
      </c>
      <c r="J2739">
        <v>0</v>
      </c>
      <c r="K2739">
        <v>0</v>
      </c>
      <c r="L2739" s="61" t="s">
        <v>4779</v>
      </c>
    </row>
    <row r="2740" spans="6:12">
      <c r="F2740" t="s">
        <v>14685</v>
      </c>
      <c r="G2740" t="s">
        <v>14686</v>
      </c>
      <c r="H2740">
        <v>5</v>
      </c>
      <c r="I2740">
        <v>2</v>
      </c>
      <c r="J2740">
        <v>1</v>
      </c>
      <c r="K2740">
        <v>0</v>
      </c>
      <c r="L2740" s="61" t="s">
        <v>4806</v>
      </c>
    </row>
    <row r="2741" spans="6:12">
      <c r="F2741" t="s">
        <v>14687</v>
      </c>
      <c r="G2741" t="s">
        <v>5533</v>
      </c>
      <c r="H2741">
        <v>4</v>
      </c>
      <c r="I2741">
        <v>2</v>
      </c>
      <c r="J2741">
        <v>2</v>
      </c>
      <c r="K2741">
        <v>0</v>
      </c>
      <c r="L2741" s="61" t="s">
        <v>4779</v>
      </c>
    </row>
    <row r="2742" spans="6:12">
      <c r="F2742" t="s">
        <v>14688</v>
      </c>
      <c r="G2742" t="s">
        <v>14689</v>
      </c>
      <c r="H2742">
        <v>3</v>
      </c>
      <c r="I2742">
        <v>3</v>
      </c>
      <c r="J2742">
        <v>2</v>
      </c>
      <c r="K2742">
        <v>0</v>
      </c>
      <c r="L2742" s="61" t="s">
        <v>4779</v>
      </c>
    </row>
    <row r="2743" spans="6:12">
      <c r="F2743" t="s">
        <v>14690</v>
      </c>
      <c r="G2743" t="s">
        <v>14691</v>
      </c>
      <c r="H2743">
        <v>6</v>
      </c>
      <c r="I2743">
        <v>1</v>
      </c>
      <c r="J2743">
        <v>0</v>
      </c>
      <c r="K2743">
        <v>1</v>
      </c>
      <c r="L2743" s="61" t="s">
        <v>4779</v>
      </c>
    </row>
    <row r="2744" spans="6:12">
      <c r="F2744" t="s">
        <v>14692</v>
      </c>
      <c r="G2744" t="s">
        <v>14693</v>
      </c>
      <c r="H2744">
        <v>6</v>
      </c>
      <c r="I2744">
        <v>2</v>
      </c>
      <c r="J2744">
        <v>0</v>
      </c>
      <c r="K2744">
        <v>0</v>
      </c>
      <c r="L2744" s="61" t="s">
        <v>4779</v>
      </c>
    </row>
    <row r="2745" spans="6:12">
      <c r="F2745" t="s">
        <v>14694</v>
      </c>
      <c r="G2745" t="s">
        <v>14695</v>
      </c>
      <c r="H2745">
        <v>7</v>
      </c>
      <c r="I2745">
        <v>1</v>
      </c>
      <c r="J2745">
        <v>0</v>
      </c>
      <c r="K2745">
        <v>0</v>
      </c>
      <c r="L2745" s="61" t="s">
        <v>4807</v>
      </c>
    </row>
    <row r="2746" spans="6:12">
      <c r="F2746" t="s">
        <v>14696</v>
      </c>
      <c r="G2746" t="s">
        <v>14697</v>
      </c>
      <c r="H2746">
        <v>6</v>
      </c>
      <c r="I2746">
        <v>2</v>
      </c>
      <c r="J2746">
        <v>0</v>
      </c>
      <c r="K2746">
        <v>0</v>
      </c>
      <c r="L2746" s="61" t="s">
        <v>4779</v>
      </c>
    </row>
    <row r="2747" spans="6:12">
      <c r="F2747" t="s">
        <v>14698</v>
      </c>
      <c r="G2747" t="s">
        <v>7364</v>
      </c>
      <c r="H2747">
        <v>4</v>
      </c>
      <c r="I2747">
        <v>3</v>
      </c>
      <c r="J2747">
        <v>1</v>
      </c>
      <c r="K2747">
        <v>0</v>
      </c>
      <c r="L2747" s="61" t="s">
        <v>4779</v>
      </c>
    </row>
    <row r="2748" spans="6:12">
      <c r="F2748" t="s">
        <v>14699</v>
      </c>
      <c r="G2748" t="s">
        <v>11095</v>
      </c>
      <c r="H2748">
        <v>3</v>
      </c>
      <c r="I2748">
        <v>3</v>
      </c>
      <c r="J2748">
        <v>2</v>
      </c>
      <c r="K2748">
        <v>0</v>
      </c>
      <c r="L2748" s="61" t="s">
        <v>4779</v>
      </c>
    </row>
    <row r="2749" spans="6:12">
      <c r="F2749" t="s">
        <v>14700</v>
      </c>
      <c r="G2749" t="s">
        <v>14701</v>
      </c>
      <c r="H2749">
        <v>6</v>
      </c>
      <c r="I2749">
        <v>1</v>
      </c>
      <c r="J2749">
        <v>1</v>
      </c>
      <c r="K2749">
        <v>0</v>
      </c>
      <c r="L2749" s="61" t="s">
        <v>4779</v>
      </c>
    </row>
    <row r="2750" spans="6:12">
      <c r="F2750" t="s">
        <v>14702</v>
      </c>
      <c r="G2750" t="s">
        <v>14703</v>
      </c>
      <c r="H2750">
        <v>5</v>
      </c>
      <c r="I2750">
        <v>2</v>
      </c>
      <c r="J2750">
        <v>1</v>
      </c>
      <c r="K2750">
        <v>0</v>
      </c>
      <c r="L2750" s="61" t="s">
        <v>4810</v>
      </c>
    </row>
    <row r="2751" spans="6:12">
      <c r="F2751" t="s">
        <v>14704</v>
      </c>
      <c r="G2751" t="s">
        <v>14705</v>
      </c>
      <c r="H2751">
        <v>5</v>
      </c>
      <c r="I2751">
        <v>2</v>
      </c>
      <c r="J2751">
        <v>1</v>
      </c>
      <c r="K2751">
        <v>0</v>
      </c>
      <c r="L2751" s="61" t="s">
        <v>4779</v>
      </c>
    </row>
    <row r="2752" spans="6:12">
      <c r="F2752" t="s">
        <v>14706</v>
      </c>
      <c r="G2752" t="s">
        <v>14707</v>
      </c>
      <c r="H2752">
        <v>3</v>
      </c>
      <c r="I2752">
        <v>3</v>
      </c>
      <c r="J2752">
        <v>2</v>
      </c>
      <c r="K2752">
        <v>0</v>
      </c>
      <c r="L2752" s="61" t="s">
        <v>4779</v>
      </c>
    </row>
    <row r="2753" spans="6:12">
      <c r="F2753" t="s">
        <v>14708</v>
      </c>
      <c r="G2753" t="s">
        <v>5260</v>
      </c>
      <c r="H2753">
        <v>3</v>
      </c>
      <c r="I2753">
        <v>3</v>
      </c>
      <c r="J2753">
        <v>2</v>
      </c>
      <c r="K2753">
        <v>0</v>
      </c>
      <c r="L2753" s="61" t="s">
        <v>4779</v>
      </c>
    </row>
    <row r="2754" spans="6:12">
      <c r="F2754" t="s">
        <v>14709</v>
      </c>
      <c r="G2754" t="s">
        <v>5892</v>
      </c>
      <c r="H2754">
        <v>7</v>
      </c>
      <c r="I2754">
        <v>1</v>
      </c>
      <c r="J2754">
        <v>0</v>
      </c>
      <c r="K2754">
        <v>0</v>
      </c>
      <c r="L2754" s="61" t="s">
        <v>4808</v>
      </c>
    </row>
    <row r="2755" spans="6:12">
      <c r="F2755" t="s">
        <v>14710</v>
      </c>
      <c r="G2755" t="s">
        <v>14711</v>
      </c>
      <c r="H2755">
        <v>5</v>
      </c>
      <c r="I2755">
        <v>3</v>
      </c>
      <c r="J2755">
        <v>0</v>
      </c>
      <c r="K2755">
        <v>0</v>
      </c>
      <c r="L2755" s="61" t="s">
        <v>4779</v>
      </c>
    </row>
    <row r="2756" spans="6:12">
      <c r="F2756" t="s">
        <v>14712</v>
      </c>
      <c r="G2756" t="s">
        <v>14713</v>
      </c>
      <c r="H2756">
        <v>5</v>
      </c>
      <c r="I2756">
        <v>2</v>
      </c>
      <c r="J2756">
        <v>1</v>
      </c>
      <c r="K2756">
        <v>0</v>
      </c>
      <c r="L2756" s="61" t="s">
        <v>4779</v>
      </c>
    </row>
    <row r="2757" spans="6:12">
      <c r="F2757" t="s">
        <v>14714</v>
      </c>
      <c r="G2757" t="s">
        <v>14715</v>
      </c>
      <c r="H2757">
        <v>7</v>
      </c>
      <c r="I2757">
        <v>1</v>
      </c>
      <c r="J2757">
        <v>0</v>
      </c>
      <c r="K2757">
        <v>0</v>
      </c>
      <c r="L2757" s="61" t="s">
        <v>4779</v>
      </c>
    </row>
    <row r="2758" spans="6:12">
      <c r="F2758" t="s">
        <v>14716</v>
      </c>
      <c r="G2758" t="s">
        <v>14717</v>
      </c>
      <c r="H2758">
        <v>3</v>
      </c>
      <c r="I2758">
        <v>3</v>
      </c>
      <c r="J2758">
        <v>2</v>
      </c>
      <c r="K2758">
        <v>0</v>
      </c>
      <c r="L2758" s="61" t="s">
        <v>4779</v>
      </c>
    </row>
    <row r="2759" spans="6:12">
      <c r="F2759" t="s">
        <v>14718</v>
      </c>
      <c r="G2759" t="s">
        <v>14719</v>
      </c>
      <c r="H2759">
        <v>6</v>
      </c>
      <c r="I2759">
        <v>2</v>
      </c>
      <c r="J2759">
        <v>0</v>
      </c>
      <c r="K2759">
        <v>0</v>
      </c>
      <c r="L2759" s="61" t="s">
        <v>4779</v>
      </c>
    </row>
    <row r="2760" spans="6:12">
      <c r="F2760" t="s">
        <v>14720</v>
      </c>
      <c r="G2760" t="s">
        <v>6974</v>
      </c>
      <c r="H2760">
        <v>3</v>
      </c>
      <c r="I2760">
        <v>3</v>
      </c>
      <c r="J2760">
        <v>2</v>
      </c>
      <c r="K2760">
        <v>0</v>
      </c>
      <c r="L2760" s="61" t="s">
        <v>4807</v>
      </c>
    </row>
    <row r="2761" spans="6:12">
      <c r="F2761" t="s">
        <v>14721</v>
      </c>
      <c r="G2761" t="s">
        <v>14722</v>
      </c>
      <c r="H2761">
        <v>6</v>
      </c>
      <c r="I2761">
        <v>1</v>
      </c>
      <c r="J2761">
        <v>1</v>
      </c>
      <c r="K2761">
        <v>0</v>
      </c>
      <c r="L2761" s="61" t="s">
        <v>4779</v>
      </c>
    </row>
    <row r="2762" spans="6:12">
      <c r="F2762" t="s">
        <v>14723</v>
      </c>
      <c r="G2762" t="s">
        <v>14724</v>
      </c>
      <c r="H2762">
        <v>6</v>
      </c>
      <c r="I2762">
        <v>1</v>
      </c>
      <c r="J2762">
        <v>1</v>
      </c>
      <c r="K2762">
        <v>0</v>
      </c>
      <c r="L2762" s="61" t="s">
        <v>4779</v>
      </c>
    </row>
    <row r="2763" spans="6:12">
      <c r="F2763" t="s">
        <v>14725</v>
      </c>
      <c r="G2763" t="s">
        <v>14726</v>
      </c>
      <c r="H2763">
        <v>5</v>
      </c>
      <c r="I2763">
        <v>3</v>
      </c>
      <c r="J2763">
        <v>0</v>
      </c>
      <c r="K2763">
        <v>0</v>
      </c>
      <c r="L2763" s="61" t="s">
        <v>4779</v>
      </c>
    </row>
    <row r="2764" spans="6:12">
      <c r="F2764" t="s">
        <v>14727</v>
      </c>
      <c r="G2764" t="s">
        <v>5008</v>
      </c>
      <c r="H2764">
        <v>3</v>
      </c>
      <c r="I2764">
        <v>3</v>
      </c>
      <c r="J2764">
        <v>2</v>
      </c>
      <c r="K2764">
        <v>0</v>
      </c>
      <c r="L2764" s="61" t="s">
        <v>4779</v>
      </c>
    </row>
    <row r="2765" spans="6:12">
      <c r="F2765" t="s">
        <v>14728</v>
      </c>
      <c r="G2765" t="s">
        <v>14729</v>
      </c>
      <c r="H2765">
        <v>5</v>
      </c>
      <c r="I2765">
        <v>3</v>
      </c>
      <c r="J2765">
        <v>0</v>
      </c>
      <c r="K2765">
        <v>0</v>
      </c>
      <c r="L2765" s="61" t="s">
        <v>4779</v>
      </c>
    </row>
    <row r="2766" spans="6:12">
      <c r="F2766" t="s">
        <v>14730</v>
      </c>
      <c r="G2766" t="s">
        <v>10996</v>
      </c>
      <c r="H2766">
        <v>4</v>
      </c>
      <c r="I2766">
        <v>3</v>
      </c>
      <c r="J2766">
        <v>1</v>
      </c>
      <c r="K2766">
        <v>0</v>
      </c>
      <c r="L2766" s="61" t="s">
        <v>4779</v>
      </c>
    </row>
    <row r="2767" spans="6:12">
      <c r="F2767" t="s">
        <v>14731</v>
      </c>
      <c r="G2767" t="s">
        <v>14732</v>
      </c>
      <c r="H2767">
        <v>6</v>
      </c>
      <c r="I2767">
        <v>1</v>
      </c>
      <c r="J2767">
        <v>1</v>
      </c>
      <c r="K2767">
        <v>0</v>
      </c>
      <c r="L2767" s="61" t="s">
        <v>4779</v>
      </c>
    </row>
    <row r="2768" spans="6:12">
      <c r="F2768" t="s">
        <v>14733</v>
      </c>
      <c r="G2768" t="s">
        <v>14218</v>
      </c>
      <c r="H2768">
        <v>5</v>
      </c>
      <c r="I2768">
        <v>2</v>
      </c>
      <c r="J2768">
        <v>1</v>
      </c>
      <c r="K2768">
        <v>0</v>
      </c>
      <c r="L2768" s="61" t="s">
        <v>4779</v>
      </c>
    </row>
    <row r="2769" spans="6:12">
      <c r="F2769" t="s">
        <v>14734</v>
      </c>
      <c r="G2769" t="s">
        <v>8720</v>
      </c>
      <c r="H2769">
        <v>3</v>
      </c>
      <c r="I2769">
        <v>3</v>
      </c>
      <c r="J2769">
        <v>2</v>
      </c>
      <c r="K2769">
        <v>0</v>
      </c>
      <c r="L2769" s="61" t="s">
        <v>4779</v>
      </c>
    </row>
    <row r="2770" spans="6:12">
      <c r="F2770" t="s">
        <v>14735</v>
      </c>
      <c r="G2770" t="s">
        <v>14736</v>
      </c>
      <c r="H2770">
        <v>7</v>
      </c>
      <c r="I2770">
        <v>1</v>
      </c>
      <c r="J2770">
        <v>0</v>
      </c>
      <c r="K2770">
        <v>0</v>
      </c>
      <c r="L2770" s="61" t="s">
        <v>4807</v>
      </c>
    </row>
    <row r="2771" spans="6:12">
      <c r="F2771" t="s">
        <v>14737</v>
      </c>
      <c r="G2771" t="s">
        <v>5872</v>
      </c>
      <c r="H2771">
        <v>6</v>
      </c>
      <c r="I2771">
        <v>1</v>
      </c>
      <c r="J2771">
        <v>1</v>
      </c>
      <c r="K2771">
        <v>0</v>
      </c>
      <c r="L2771" s="61" t="s">
        <v>4779</v>
      </c>
    </row>
    <row r="2772" spans="6:12">
      <c r="F2772" t="s">
        <v>14738</v>
      </c>
      <c r="G2772" t="s">
        <v>10979</v>
      </c>
      <c r="H2772">
        <v>4</v>
      </c>
      <c r="I2772">
        <v>2</v>
      </c>
      <c r="J2772">
        <v>2</v>
      </c>
      <c r="K2772">
        <v>0</v>
      </c>
      <c r="L2772" s="61" t="s">
        <v>4779</v>
      </c>
    </row>
    <row r="2773" spans="6:12">
      <c r="F2773" t="s">
        <v>14739</v>
      </c>
      <c r="G2773" t="s">
        <v>7181</v>
      </c>
      <c r="H2773">
        <v>4</v>
      </c>
      <c r="I2773">
        <v>3</v>
      </c>
      <c r="J2773">
        <v>1</v>
      </c>
      <c r="K2773">
        <v>0</v>
      </c>
      <c r="L2773" s="61" t="s">
        <v>4779</v>
      </c>
    </row>
    <row r="2774" spans="6:12">
      <c r="F2774" t="s">
        <v>14740</v>
      </c>
      <c r="G2774" t="s">
        <v>14741</v>
      </c>
      <c r="H2774">
        <v>6</v>
      </c>
      <c r="I2774">
        <v>2</v>
      </c>
      <c r="J2774">
        <v>0</v>
      </c>
      <c r="K2774">
        <v>0</v>
      </c>
      <c r="L2774" s="61" t="s">
        <v>4779</v>
      </c>
    </row>
    <row r="2775" spans="6:12">
      <c r="F2775" t="s">
        <v>14742</v>
      </c>
      <c r="G2775" t="s">
        <v>14743</v>
      </c>
      <c r="H2775">
        <v>5</v>
      </c>
      <c r="I2775">
        <v>3</v>
      </c>
      <c r="J2775">
        <v>0</v>
      </c>
      <c r="K2775">
        <v>0</v>
      </c>
      <c r="L2775" s="61" t="s">
        <v>4779</v>
      </c>
    </row>
    <row r="2776" spans="6:12">
      <c r="F2776" t="s">
        <v>14744</v>
      </c>
      <c r="G2776" t="s">
        <v>14745</v>
      </c>
      <c r="H2776">
        <v>5</v>
      </c>
      <c r="I2776">
        <v>3</v>
      </c>
      <c r="J2776">
        <v>0</v>
      </c>
      <c r="K2776">
        <v>0</v>
      </c>
      <c r="L2776" s="61" t="s">
        <v>4779</v>
      </c>
    </row>
    <row r="2777" spans="6:12">
      <c r="F2777" t="s">
        <v>14746</v>
      </c>
      <c r="G2777" t="s">
        <v>14747</v>
      </c>
      <c r="H2777">
        <v>6</v>
      </c>
      <c r="I2777">
        <v>2</v>
      </c>
      <c r="J2777">
        <v>0</v>
      </c>
      <c r="K2777">
        <v>0</v>
      </c>
      <c r="L2777" s="61" t="s">
        <v>4779</v>
      </c>
    </row>
    <row r="2778" spans="6:12">
      <c r="F2778" t="s">
        <v>14748</v>
      </c>
      <c r="G2778" t="s">
        <v>14749</v>
      </c>
      <c r="H2778">
        <v>6</v>
      </c>
      <c r="I2778">
        <v>2</v>
      </c>
      <c r="J2778">
        <v>0</v>
      </c>
      <c r="K2778">
        <v>0</v>
      </c>
      <c r="L2778" s="61" t="s">
        <v>4779</v>
      </c>
    </row>
    <row r="2779" spans="6:12">
      <c r="F2779" t="s">
        <v>14750</v>
      </c>
      <c r="G2779" t="s">
        <v>9857</v>
      </c>
      <c r="H2779">
        <v>5</v>
      </c>
      <c r="I2779">
        <v>3</v>
      </c>
      <c r="J2779">
        <v>0</v>
      </c>
      <c r="K2779">
        <v>0</v>
      </c>
      <c r="L2779" s="61" t="s">
        <v>4779</v>
      </c>
    </row>
    <row r="2780" spans="6:12">
      <c r="F2780" t="s">
        <v>14751</v>
      </c>
      <c r="G2780" t="s">
        <v>11081</v>
      </c>
      <c r="H2780">
        <v>5</v>
      </c>
      <c r="I2780">
        <v>1</v>
      </c>
      <c r="J2780">
        <v>2</v>
      </c>
      <c r="K2780">
        <v>0</v>
      </c>
      <c r="L2780" s="61" t="s">
        <v>4779</v>
      </c>
    </row>
    <row r="2781" spans="6:12">
      <c r="F2781" t="s">
        <v>14752</v>
      </c>
      <c r="G2781" t="s">
        <v>8258</v>
      </c>
      <c r="H2781">
        <v>4</v>
      </c>
      <c r="I2781">
        <v>3</v>
      </c>
      <c r="J2781">
        <v>1</v>
      </c>
      <c r="K2781">
        <v>0</v>
      </c>
      <c r="L2781" s="61" t="s">
        <v>4779</v>
      </c>
    </row>
    <row r="2782" spans="6:12">
      <c r="F2782" t="s">
        <v>14753</v>
      </c>
      <c r="G2782" t="s">
        <v>14754</v>
      </c>
      <c r="H2782">
        <v>3</v>
      </c>
      <c r="I2782">
        <v>3</v>
      </c>
      <c r="J2782">
        <v>2</v>
      </c>
      <c r="K2782">
        <v>0</v>
      </c>
      <c r="L2782" s="61" t="s">
        <v>4779</v>
      </c>
    </row>
    <row r="2783" spans="6:12">
      <c r="F2783" t="s">
        <v>14755</v>
      </c>
      <c r="G2783" t="s">
        <v>14756</v>
      </c>
      <c r="H2783">
        <v>6</v>
      </c>
      <c r="I2783">
        <v>1</v>
      </c>
      <c r="J2783">
        <v>1</v>
      </c>
      <c r="K2783">
        <v>0</v>
      </c>
      <c r="L2783" s="61" t="s">
        <v>4779</v>
      </c>
    </row>
    <row r="2784" spans="6:12">
      <c r="F2784" t="s">
        <v>14757</v>
      </c>
      <c r="G2784" t="s">
        <v>14758</v>
      </c>
      <c r="H2784">
        <v>4</v>
      </c>
      <c r="I2784">
        <v>3</v>
      </c>
      <c r="J2784">
        <v>1</v>
      </c>
      <c r="K2784">
        <v>0</v>
      </c>
      <c r="L2784" s="61" t="s">
        <v>4779</v>
      </c>
    </row>
    <row r="2785" spans="6:12">
      <c r="F2785" t="s">
        <v>14759</v>
      </c>
      <c r="G2785" t="s">
        <v>14760</v>
      </c>
      <c r="H2785">
        <v>5</v>
      </c>
      <c r="I2785">
        <v>3</v>
      </c>
      <c r="J2785">
        <v>0</v>
      </c>
      <c r="K2785">
        <v>0</v>
      </c>
      <c r="L2785" s="61" t="s">
        <v>4779</v>
      </c>
    </row>
    <row r="2786" spans="6:12">
      <c r="F2786" t="s">
        <v>14761</v>
      </c>
      <c r="G2786" t="s">
        <v>14762</v>
      </c>
      <c r="H2786">
        <v>6</v>
      </c>
      <c r="I2786">
        <v>2</v>
      </c>
      <c r="J2786">
        <v>0</v>
      </c>
      <c r="K2786">
        <v>0</v>
      </c>
      <c r="L2786" s="61" t="s">
        <v>4779</v>
      </c>
    </row>
    <row r="2787" spans="6:12">
      <c r="F2787" t="s">
        <v>14763</v>
      </c>
      <c r="G2787" t="s">
        <v>5559</v>
      </c>
      <c r="H2787">
        <v>5</v>
      </c>
      <c r="I2787">
        <v>2</v>
      </c>
      <c r="J2787">
        <v>1</v>
      </c>
      <c r="K2787">
        <v>0</v>
      </c>
      <c r="L2787" s="61" t="s">
        <v>4779</v>
      </c>
    </row>
    <row r="2788" spans="6:12">
      <c r="F2788" t="s">
        <v>14764</v>
      </c>
      <c r="G2788" t="s">
        <v>14765</v>
      </c>
      <c r="H2788">
        <v>6</v>
      </c>
      <c r="I2788">
        <v>1</v>
      </c>
      <c r="J2788">
        <v>1</v>
      </c>
      <c r="K2788">
        <v>0</v>
      </c>
      <c r="L2788" s="61" t="s">
        <v>4779</v>
      </c>
    </row>
    <row r="2789" spans="6:12">
      <c r="F2789" t="s">
        <v>14766</v>
      </c>
      <c r="G2789" t="s">
        <v>10956</v>
      </c>
      <c r="H2789">
        <v>5</v>
      </c>
      <c r="I2789">
        <v>2</v>
      </c>
      <c r="J2789">
        <v>1</v>
      </c>
      <c r="K2789">
        <v>0</v>
      </c>
      <c r="L2789" s="61" t="s">
        <v>4779</v>
      </c>
    </row>
    <row r="2790" spans="6:12">
      <c r="F2790" t="s">
        <v>14767</v>
      </c>
      <c r="G2790" t="s">
        <v>14768</v>
      </c>
      <c r="H2790">
        <v>5</v>
      </c>
      <c r="I2790">
        <v>2</v>
      </c>
      <c r="J2790">
        <v>1</v>
      </c>
      <c r="K2790">
        <v>0</v>
      </c>
      <c r="L2790" s="61" t="s">
        <v>4779</v>
      </c>
    </row>
    <row r="2791" spans="6:12">
      <c r="F2791" t="s">
        <v>14769</v>
      </c>
      <c r="G2791" t="s">
        <v>14770</v>
      </c>
      <c r="H2791">
        <v>4</v>
      </c>
      <c r="I2791">
        <v>2</v>
      </c>
      <c r="J2791">
        <v>2</v>
      </c>
      <c r="K2791">
        <v>0</v>
      </c>
      <c r="L2791" s="61" t="s">
        <v>4779</v>
      </c>
    </row>
    <row r="2792" spans="6:12">
      <c r="F2792" t="s">
        <v>14771</v>
      </c>
      <c r="G2792" t="s">
        <v>14772</v>
      </c>
      <c r="H2792">
        <v>5</v>
      </c>
      <c r="I2792">
        <v>3</v>
      </c>
      <c r="J2792">
        <v>0</v>
      </c>
      <c r="K2792">
        <v>0</v>
      </c>
      <c r="L2792" s="61" t="s">
        <v>4779</v>
      </c>
    </row>
    <row r="2793" spans="6:12">
      <c r="F2793" t="s">
        <v>14773</v>
      </c>
      <c r="G2793" t="s">
        <v>14774</v>
      </c>
      <c r="H2793">
        <v>6</v>
      </c>
      <c r="I2793">
        <v>2</v>
      </c>
      <c r="J2793">
        <v>0</v>
      </c>
      <c r="K2793">
        <v>0</v>
      </c>
      <c r="L2793" s="61" t="s">
        <v>4779</v>
      </c>
    </row>
    <row r="2794" spans="6:12">
      <c r="F2794" t="s">
        <v>14775</v>
      </c>
      <c r="G2794" t="s">
        <v>10954</v>
      </c>
      <c r="H2794">
        <v>4</v>
      </c>
      <c r="I2794">
        <v>3</v>
      </c>
      <c r="J2794">
        <v>1</v>
      </c>
      <c r="K2794">
        <v>0</v>
      </c>
      <c r="L2794" s="61" t="s">
        <v>4779</v>
      </c>
    </row>
    <row r="2795" spans="6:12">
      <c r="F2795" t="s">
        <v>14776</v>
      </c>
      <c r="G2795" t="s">
        <v>14777</v>
      </c>
      <c r="H2795">
        <v>6</v>
      </c>
      <c r="I2795">
        <v>2</v>
      </c>
      <c r="J2795">
        <v>0</v>
      </c>
      <c r="K2795">
        <v>0</v>
      </c>
      <c r="L2795" s="61" t="s">
        <v>4779</v>
      </c>
    </row>
    <row r="2796" spans="6:12">
      <c r="F2796" t="s">
        <v>14778</v>
      </c>
      <c r="G2796" t="s">
        <v>5783</v>
      </c>
      <c r="H2796">
        <v>3</v>
      </c>
      <c r="I2796">
        <v>3</v>
      </c>
      <c r="J2796">
        <v>2</v>
      </c>
      <c r="K2796">
        <v>0</v>
      </c>
      <c r="L2796" s="61" t="s">
        <v>4779</v>
      </c>
    </row>
    <row r="2797" spans="6:12">
      <c r="F2797" t="s">
        <v>14779</v>
      </c>
      <c r="G2797" t="s">
        <v>5294</v>
      </c>
      <c r="H2797">
        <v>5</v>
      </c>
      <c r="I2797">
        <v>3</v>
      </c>
      <c r="J2797">
        <v>0</v>
      </c>
      <c r="K2797">
        <v>0</v>
      </c>
      <c r="L2797" s="61" t="s">
        <v>4809</v>
      </c>
    </row>
    <row r="2798" spans="6:12">
      <c r="F2798" t="s">
        <v>14780</v>
      </c>
      <c r="G2798" t="s">
        <v>5282</v>
      </c>
      <c r="H2798">
        <v>2</v>
      </c>
      <c r="I2798">
        <v>4</v>
      </c>
      <c r="J2798">
        <v>2</v>
      </c>
      <c r="K2798">
        <v>0</v>
      </c>
      <c r="L2798" s="61" t="s">
        <v>4779</v>
      </c>
    </row>
    <row r="2799" spans="6:12">
      <c r="F2799" t="s">
        <v>14781</v>
      </c>
      <c r="G2799" t="s">
        <v>14782</v>
      </c>
      <c r="H2799">
        <v>7</v>
      </c>
      <c r="I2799">
        <v>1</v>
      </c>
      <c r="J2799">
        <v>0</v>
      </c>
      <c r="K2799">
        <v>0</v>
      </c>
      <c r="L2799" s="61" t="s">
        <v>4779</v>
      </c>
    </row>
    <row r="2800" spans="6:12">
      <c r="F2800" t="s">
        <v>14783</v>
      </c>
      <c r="G2800" t="s">
        <v>14784</v>
      </c>
      <c r="H2800">
        <v>3</v>
      </c>
      <c r="I2800">
        <v>4</v>
      </c>
      <c r="J2800">
        <v>1</v>
      </c>
      <c r="K2800">
        <v>0</v>
      </c>
      <c r="L2800" s="61" t="s">
        <v>4779</v>
      </c>
    </row>
    <row r="2801" spans="6:12">
      <c r="F2801" t="s">
        <v>14785</v>
      </c>
      <c r="G2801" t="s">
        <v>14786</v>
      </c>
      <c r="H2801">
        <v>7</v>
      </c>
      <c r="I2801">
        <v>0</v>
      </c>
      <c r="J2801">
        <v>1</v>
      </c>
      <c r="K2801">
        <v>0</v>
      </c>
      <c r="L2801" s="61" t="s">
        <v>4806</v>
      </c>
    </row>
    <row r="2802" spans="6:12">
      <c r="F2802" t="s">
        <v>14787</v>
      </c>
      <c r="G2802" t="s">
        <v>14788</v>
      </c>
      <c r="H2802">
        <v>7</v>
      </c>
      <c r="I2802">
        <v>1</v>
      </c>
      <c r="J2802">
        <v>0</v>
      </c>
      <c r="K2802">
        <v>0</v>
      </c>
      <c r="L2802" s="61" t="s">
        <v>4779</v>
      </c>
    </row>
    <row r="2803" spans="6:12">
      <c r="F2803" t="s">
        <v>14789</v>
      </c>
      <c r="G2803" t="s">
        <v>14790</v>
      </c>
      <c r="H2803">
        <v>5</v>
      </c>
      <c r="I2803">
        <v>2</v>
      </c>
      <c r="J2803">
        <v>1</v>
      </c>
      <c r="K2803">
        <v>0</v>
      </c>
      <c r="L2803" s="61" t="s">
        <v>4779</v>
      </c>
    </row>
    <row r="2804" spans="6:12">
      <c r="F2804" t="s">
        <v>14791</v>
      </c>
      <c r="G2804" t="s">
        <v>10218</v>
      </c>
      <c r="H2804">
        <v>3</v>
      </c>
      <c r="I2804">
        <v>3</v>
      </c>
      <c r="J2804">
        <v>2</v>
      </c>
      <c r="K2804">
        <v>0</v>
      </c>
      <c r="L2804" s="61" t="s">
        <v>4779</v>
      </c>
    </row>
    <row r="2805" spans="6:12">
      <c r="F2805" t="s">
        <v>14792</v>
      </c>
      <c r="G2805" t="s">
        <v>14793</v>
      </c>
      <c r="H2805">
        <v>7</v>
      </c>
      <c r="I2805">
        <v>1</v>
      </c>
      <c r="J2805">
        <v>0</v>
      </c>
      <c r="K2805">
        <v>0</v>
      </c>
      <c r="L2805" s="61" t="s">
        <v>4779</v>
      </c>
    </row>
    <row r="2806" spans="6:12">
      <c r="F2806" t="s">
        <v>14794</v>
      </c>
      <c r="G2806" t="s">
        <v>10776</v>
      </c>
      <c r="H2806">
        <v>4</v>
      </c>
      <c r="I2806">
        <v>2</v>
      </c>
      <c r="J2806">
        <v>2</v>
      </c>
      <c r="K2806">
        <v>0</v>
      </c>
      <c r="L2806" s="61" t="s">
        <v>4779</v>
      </c>
    </row>
    <row r="2807" spans="6:12">
      <c r="F2807" t="s">
        <v>14795</v>
      </c>
      <c r="G2807" t="s">
        <v>14796</v>
      </c>
      <c r="H2807">
        <v>4</v>
      </c>
      <c r="I2807">
        <v>4</v>
      </c>
      <c r="J2807">
        <v>0</v>
      </c>
      <c r="K2807">
        <v>0</v>
      </c>
      <c r="L2807" s="61" t="s">
        <v>4810</v>
      </c>
    </row>
    <row r="2808" spans="6:12">
      <c r="F2808" t="s">
        <v>14797</v>
      </c>
      <c r="G2808" t="s">
        <v>14798</v>
      </c>
      <c r="H2808">
        <v>8</v>
      </c>
      <c r="I2808">
        <v>0</v>
      </c>
      <c r="J2808">
        <v>0</v>
      </c>
      <c r="K2808">
        <v>0</v>
      </c>
      <c r="L2808" s="61" t="s">
        <v>4779</v>
      </c>
    </row>
    <row r="2809" spans="6:12">
      <c r="F2809" t="s">
        <v>14799</v>
      </c>
      <c r="G2809" t="s">
        <v>14800</v>
      </c>
      <c r="H2809">
        <v>4</v>
      </c>
      <c r="I2809">
        <v>4</v>
      </c>
      <c r="J2809">
        <v>0</v>
      </c>
      <c r="K2809">
        <v>0</v>
      </c>
      <c r="L2809" s="61" t="s">
        <v>4779</v>
      </c>
    </row>
    <row r="2810" spans="6:12">
      <c r="F2810" t="s">
        <v>14801</v>
      </c>
      <c r="G2810" t="s">
        <v>14802</v>
      </c>
      <c r="H2810">
        <v>6</v>
      </c>
      <c r="I2810">
        <v>2</v>
      </c>
      <c r="J2810">
        <v>0</v>
      </c>
      <c r="K2810">
        <v>0</v>
      </c>
      <c r="L2810" s="61" t="s">
        <v>4779</v>
      </c>
    </row>
    <row r="2811" spans="6:12">
      <c r="F2811" t="s">
        <v>14803</v>
      </c>
      <c r="G2811" t="s">
        <v>14804</v>
      </c>
      <c r="H2811">
        <v>8</v>
      </c>
      <c r="I2811">
        <v>0</v>
      </c>
      <c r="J2811">
        <v>0</v>
      </c>
      <c r="K2811">
        <v>0</v>
      </c>
      <c r="L2811" s="61" t="s">
        <v>4779</v>
      </c>
    </row>
    <row r="2812" spans="6:12">
      <c r="F2812" t="s">
        <v>14805</v>
      </c>
      <c r="G2812" t="s">
        <v>14806</v>
      </c>
      <c r="H2812">
        <v>4</v>
      </c>
      <c r="I2812">
        <v>4</v>
      </c>
      <c r="J2812">
        <v>0</v>
      </c>
      <c r="K2812">
        <v>0</v>
      </c>
      <c r="L2812" s="61" t="s">
        <v>4779</v>
      </c>
    </row>
    <row r="2813" spans="6:12">
      <c r="F2813" t="s">
        <v>14807</v>
      </c>
      <c r="G2813" t="s">
        <v>11090</v>
      </c>
      <c r="H2813">
        <v>5</v>
      </c>
      <c r="I2813">
        <v>3</v>
      </c>
      <c r="J2813">
        <v>0</v>
      </c>
      <c r="K2813">
        <v>0</v>
      </c>
      <c r="L2813" s="61" t="s">
        <v>4779</v>
      </c>
    </row>
    <row r="2814" spans="6:12">
      <c r="F2814" t="s">
        <v>14808</v>
      </c>
      <c r="G2814" t="s">
        <v>11014</v>
      </c>
      <c r="H2814">
        <v>7</v>
      </c>
      <c r="I2814">
        <v>0</v>
      </c>
      <c r="J2814">
        <v>1</v>
      </c>
      <c r="K2814">
        <v>0</v>
      </c>
      <c r="L2814" s="61" t="s">
        <v>4779</v>
      </c>
    </row>
    <row r="2815" spans="6:12">
      <c r="F2815" t="s">
        <v>14809</v>
      </c>
      <c r="G2815" t="s">
        <v>14810</v>
      </c>
      <c r="H2815">
        <v>6</v>
      </c>
      <c r="I2815">
        <v>2</v>
      </c>
      <c r="J2815">
        <v>0</v>
      </c>
      <c r="K2815">
        <v>0</v>
      </c>
      <c r="L2815" s="61" t="s">
        <v>4779</v>
      </c>
    </row>
    <row r="2816" spans="6:12">
      <c r="F2816" t="s">
        <v>14811</v>
      </c>
      <c r="G2816" t="s">
        <v>14812</v>
      </c>
      <c r="H2816">
        <v>5</v>
      </c>
      <c r="I2816">
        <v>3</v>
      </c>
      <c r="J2816">
        <v>0</v>
      </c>
      <c r="K2816">
        <v>0</v>
      </c>
      <c r="L2816" s="61" t="s">
        <v>4810</v>
      </c>
    </row>
    <row r="2817" spans="6:12">
      <c r="F2817" t="s">
        <v>14813</v>
      </c>
      <c r="G2817" t="s">
        <v>14814</v>
      </c>
      <c r="H2817">
        <v>4</v>
      </c>
      <c r="I2817">
        <v>4</v>
      </c>
      <c r="J2817">
        <v>0</v>
      </c>
      <c r="K2817">
        <v>0</v>
      </c>
      <c r="L2817" s="61" t="s">
        <v>4779</v>
      </c>
    </row>
    <row r="2818" spans="6:12">
      <c r="F2818" t="s">
        <v>14815</v>
      </c>
      <c r="G2818" t="s">
        <v>5215</v>
      </c>
      <c r="H2818">
        <v>4</v>
      </c>
      <c r="I2818">
        <v>3</v>
      </c>
      <c r="J2818">
        <v>1</v>
      </c>
      <c r="K2818">
        <v>0</v>
      </c>
      <c r="L2818" s="61" t="s">
        <v>4779</v>
      </c>
    </row>
    <row r="2819" spans="6:12">
      <c r="F2819" t="s">
        <v>14816</v>
      </c>
      <c r="G2819" t="s">
        <v>14817</v>
      </c>
      <c r="H2819">
        <v>8</v>
      </c>
      <c r="I2819">
        <v>0</v>
      </c>
      <c r="J2819">
        <v>0</v>
      </c>
      <c r="K2819">
        <v>0</v>
      </c>
      <c r="L2819" s="61" t="s">
        <v>4779</v>
      </c>
    </row>
    <row r="2820" spans="6:12">
      <c r="F2820" t="s">
        <v>14818</v>
      </c>
      <c r="G2820" t="s">
        <v>14819</v>
      </c>
      <c r="H2820">
        <v>7</v>
      </c>
      <c r="I2820">
        <v>0</v>
      </c>
      <c r="J2820">
        <v>1</v>
      </c>
      <c r="K2820">
        <v>0</v>
      </c>
      <c r="L2820" s="61" t="s">
        <v>4779</v>
      </c>
    </row>
    <row r="2821" spans="6:12">
      <c r="F2821" t="s">
        <v>14820</v>
      </c>
      <c r="G2821" t="s">
        <v>14821</v>
      </c>
      <c r="H2821">
        <v>7</v>
      </c>
      <c r="I2821">
        <v>0</v>
      </c>
      <c r="J2821">
        <v>1</v>
      </c>
      <c r="K2821">
        <v>0</v>
      </c>
      <c r="L2821" s="61" t="s">
        <v>4779</v>
      </c>
    </row>
    <row r="2822" spans="6:12">
      <c r="F2822" t="s">
        <v>14822</v>
      </c>
      <c r="G2822" t="s">
        <v>14823</v>
      </c>
      <c r="H2822">
        <v>7</v>
      </c>
      <c r="I2822">
        <v>0</v>
      </c>
      <c r="J2822">
        <v>1</v>
      </c>
      <c r="K2822">
        <v>0</v>
      </c>
      <c r="L2822" s="61" t="s">
        <v>4779</v>
      </c>
    </row>
    <row r="2823" spans="6:12">
      <c r="F2823" t="s">
        <v>14824</v>
      </c>
      <c r="G2823" t="s">
        <v>14825</v>
      </c>
      <c r="H2823">
        <v>8</v>
      </c>
      <c r="I2823">
        <v>0</v>
      </c>
      <c r="J2823">
        <v>0</v>
      </c>
      <c r="K2823">
        <v>0</v>
      </c>
      <c r="L2823" s="61" t="s">
        <v>4779</v>
      </c>
    </row>
    <row r="2824" spans="6:12">
      <c r="F2824" t="s">
        <v>14826</v>
      </c>
      <c r="G2824" t="s">
        <v>5468</v>
      </c>
      <c r="H2824">
        <v>4</v>
      </c>
      <c r="I2824">
        <v>2</v>
      </c>
      <c r="J2824">
        <v>2</v>
      </c>
      <c r="K2824">
        <v>0</v>
      </c>
      <c r="L2824" s="61" t="s">
        <v>4779</v>
      </c>
    </row>
    <row r="2825" spans="6:12">
      <c r="F2825" t="s">
        <v>14827</v>
      </c>
      <c r="G2825" t="s">
        <v>14828</v>
      </c>
      <c r="H2825">
        <v>6</v>
      </c>
      <c r="I2825">
        <v>0</v>
      </c>
      <c r="J2825">
        <v>2</v>
      </c>
      <c r="K2825">
        <v>0</v>
      </c>
      <c r="L2825" s="61" t="s">
        <v>4779</v>
      </c>
    </row>
    <row r="2826" spans="6:12">
      <c r="F2826" t="s">
        <v>14829</v>
      </c>
      <c r="G2826" t="s">
        <v>14830</v>
      </c>
      <c r="H2826">
        <v>8</v>
      </c>
      <c r="I2826">
        <v>0</v>
      </c>
      <c r="J2826">
        <v>0</v>
      </c>
      <c r="K2826">
        <v>0</v>
      </c>
      <c r="L2826" s="61" t="s">
        <v>4808</v>
      </c>
    </row>
    <row r="2827" spans="6:12">
      <c r="F2827" t="s">
        <v>14831</v>
      </c>
      <c r="G2827" t="s">
        <v>5059</v>
      </c>
      <c r="H2827">
        <v>2</v>
      </c>
      <c r="I2827">
        <v>4</v>
      </c>
      <c r="J2827">
        <v>2</v>
      </c>
      <c r="K2827">
        <v>0</v>
      </c>
      <c r="L2827" s="61" t="s">
        <v>4779</v>
      </c>
    </row>
    <row r="2828" spans="6:12">
      <c r="F2828" t="s">
        <v>14832</v>
      </c>
      <c r="G2828" t="s">
        <v>14833</v>
      </c>
      <c r="H2828">
        <v>5</v>
      </c>
      <c r="I2828">
        <v>3</v>
      </c>
      <c r="J2828">
        <v>0</v>
      </c>
      <c r="K2828">
        <v>0</v>
      </c>
      <c r="L2828" s="61" t="s">
        <v>4779</v>
      </c>
    </row>
    <row r="2829" spans="6:12">
      <c r="F2829" t="s">
        <v>14834</v>
      </c>
      <c r="G2829" t="s">
        <v>14137</v>
      </c>
      <c r="H2829">
        <v>3</v>
      </c>
      <c r="I2829">
        <v>4</v>
      </c>
      <c r="J2829">
        <v>1</v>
      </c>
      <c r="K2829">
        <v>0</v>
      </c>
      <c r="L2829" s="61" t="s">
        <v>4809</v>
      </c>
    </row>
    <row r="2830" spans="6:12">
      <c r="F2830" t="s">
        <v>14835</v>
      </c>
      <c r="G2830" t="s">
        <v>11072</v>
      </c>
      <c r="H2830">
        <v>3</v>
      </c>
      <c r="I2830">
        <v>3</v>
      </c>
      <c r="J2830">
        <v>2</v>
      </c>
      <c r="K2830">
        <v>0</v>
      </c>
      <c r="L2830" s="61" t="s">
        <v>4779</v>
      </c>
    </row>
    <row r="2831" spans="6:12">
      <c r="F2831" t="s">
        <v>14836</v>
      </c>
      <c r="G2831" t="s">
        <v>14837</v>
      </c>
      <c r="H2831">
        <v>6</v>
      </c>
      <c r="I2831">
        <v>2</v>
      </c>
      <c r="J2831">
        <v>0</v>
      </c>
      <c r="K2831">
        <v>0</v>
      </c>
      <c r="L2831" s="61" t="s">
        <v>4779</v>
      </c>
    </row>
    <row r="2832" spans="6:12">
      <c r="F2832" t="s">
        <v>14838</v>
      </c>
      <c r="G2832" t="s">
        <v>14839</v>
      </c>
      <c r="H2832">
        <v>5</v>
      </c>
      <c r="I2832">
        <v>3</v>
      </c>
      <c r="J2832">
        <v>0</v>
      </c>
      <c r="K2832">
        <v>0</v>
      </c>
      <c r="L2832" s="61" t="s">
        <v>4809</v>
      </c>
    </row>
    <row r="2833" spans="6:12">
      <c r="F2833" t="s">
        <v>14840</v>
      </c>
      <c r="G2833" t="s">
        <v>5749</v>
      </c>
      <c r="H2833">
        <v>5</v>
      </c>
      <c r="I2833">
        <v>3</v>
      </c>
      <c r="J2833">
        <v>0</v>
      </c>
      <c r="K2833">
        <v>0</v>
      </c>
      <c r="L2833" s="61" t="s">
        <v>4779</v>
      </c>
    </row>
    <row r="2834" spans="6:12">
      <c r="F2834" t="s">
        <v>14841</v>
      </c>
      <c r="G2834" t="s">
        <v>14842</v>
      </c>
      <c r="H2834">
        <v>4</v>
      </c>
      <c r="I2834">
        <v>4</v>
      </c>
      <c r="J2834">
        <v>0</v>
      </c>
      <c r="K2834">
        <v>0</v>
      </c>
      <c r="L2834" s="61" t="s">
        <v>4807</v>
      </c>
    </row>
    <row r="2835" spans="6:12">
      <c r="F2835" t="s">
        <v>14843</v>
      </c>
      <c r="G2835" t="s">
        <v>14844</v>
      </c>
      <c r="H2835">
        <v>8</v>
      </c>
      <c r="I2835">
        <v>0</v>
      </c>
      <c r="J2835">
        <v>0</v>
      </c>
      <c r="K2835">
        <v>0</v>
      </c>
      <c r="L2835" s="61" t="s">
        <v>4779</v>
      </c>
    </row>
    <row r="2836" spans="6:12">
      <c r="F2836" t="s">
        <v>14845</v>
      </c>
      <c r="G2836" t="s">
        <v>5157</v>
      </c>
      <c r="H2836">
        <v>7</v>
      </c>
      <c r="I2836">
        <v>1</v>
      </c>
      <c r="J2836">
        <v>0</v>
      </c>
      <c r="K2836">
        <v>0</v>
      </c>
      <c r="L2836" s="61" t="s">
        <v>4779</v>
      </c>
    </row>
    <row r="2837" spans="6:12">
      <c r="F2837" t="s">
        <v>14846</v>
      </c>
      <c r="G2837" t="s">
        <v>14847</v>
      </c>
      <c r="H2837">
        <v>7</v>
      </c>
      <c r="I2837">
        <v>1</v>
      </c>
      <c r="J2837">
        <v>0</v>
      </c>
      <c r="K2837">
        <v>0</v>
      </c>
      <c r="L2837" s="61" t="s">
        <v>4779</v>
      </c>
    </row>
    <row r="2838" spans="6:12">
      <c r="F2838" t="s">
        <v>14848</v>
      </c>
      <c r="G2838" t="s">
        <v>5175</v>
      </c>
      <c r="H2838">
        <v>6</v>
      </c>
      <c r="I2838">
        <v>2</v>
      </c>
      <c r="J2838">
        <v>0</v>
      </c>
      <c r="K2838">
        <v>0</v>
      </c>
      <c r="L2838" s="61" t="s">
        <v>4779</v>
      </c>
    </row>
    <row r="2839" spans="6:12">
      <c r="F2839" t="s">
        <v>14849</v>
      </c>
      <c r="G2839" t="s">
        <v>14850</v>
      </c>
      <c r="H2839">
        <v>7</v>
      </c>
      <c r="I2839">
        <v>1</v>
      </c>
      <c r="J2839">
        <v>0</v>
      </c>
      <c r="K2839">
        <v>0</v>
      </c>
      <c r="L2839" s="61" t="s">
        <v>4779</v>
      </c>
    </row>
    <row r="2840" spans="6:12">
      <c r="F2840" t="s">
        <v>14851</v>
      </c>
      <c r="G2840" t="s">
        <v>8972</v>
      </c>
      <c r="H2840">
        <v>5</v>
      </c>
      <c r="I2840">
        <v>1</v>
      </c>
      <c r="J2840">
        <v>2</v>
      </c>
      <c r="K2840">
        <v>0</v>
      </c>
      <c r="L2840" s="61" t="s">
        <v>4779</v>
      </c>
    </row>
    <row r="2841" spans="6:12">
      <c r="F2841" t="s">
        <v>14852</v>
      </c>
      <c r="G2841" t="s">
        <v>14853</v>
      </c>
      <c r="H2841">
        <v>8</v>
      </c>
      <c r="I2841">
        <v>0</v>
      </c>
      <c r="J2841">
        <v>0</v>
      </c>
      <c r="K2841">
        <v>0</v>
      </c>
      <c r="L2841" s="61" t="s">
        <v>4779</v>
      </c>
    </row>
    <row r="2842" spans="6:12">
      <c r="F2842" t="s">
        <v>14854</v>
      </c>
      <c r="G2842" t="s">
        <v>5763</v>
      </c>
      <c r="H2842">
        <v>4</v>
      </c>
      <c r="I2842">
        <v>4</v>
      </c>
      <c r="J2842">
        <v>0</v>
      </c>
      <c r="K2842">
        <v>0</v>
      </c>
      <c r="L2842" s="61" t="s">
        <v>4779</v>
      </c>
    </row>
    <row r="2843" spans="6:12">
      <c r="F2843" t="s">
        <v>14855</v>
      </c>
      <c r="G2843" t="s">
        <v>14856</v>
      </c>
      <c r="H2843">
        <v>3</v>
      </c>
      <c r="I2843">
        <v>4</v>
      </c>
      <c r="J2843">
        <v>1</v>
      </c>
      <c r="K2843">
        <v>0</v>
      </c>
      <c r="L2843" s="61" t="s">
        <v>4779</v>
      </c>
    </row>
    <row r="2844" spans="6:12">
      <c r="F2844" t="s">
        <v>14857</v>
      </c>
      <c r="G2844" t="s">
        <v>5022</v>
      </c>
      <c r="H2844">
        <v>4</v>
      </c>
      <c r="I2844">
        <v>3</v>
      </c>
      <c r="J2844">
        <v>1</v>
      </c>
      <c r="K2844">
        <v>0</v>
      </c>
      <c r="L2844" s="61" t="s">
        <v>4779</v>
      </c>
    </row>
    <row r="2845" spans="6:12">
      <c r="F2845" t="s">
        <v>14858</v>
      </c>
      <c r="G2845" t="s">
        <v>5179</v>
      </c>
      <c r="H2845">
        <v>6</v>
      </c>
      <c r="I2845">
        <v>1</v>
      </c>
      <c r="J2845">
        <v>1</v>
      </c>
      <c r="K2845">
        <v>0</v>
      </c>
      <c r="L2845" s="61" t="s">
        <v>4779</v>
      </c>
    </row>
    <row r="2846" spans="6:12">
      <c r="F2846" t="s">
        <v>14859</v>
      </c>
      <c r="G2846" t="s">
        <v>14860</v>
      </c>
      <c r="H2846">
        <v>3</v>
      </c>
      <c r="I2846">
        <v>4</v>
      </c>
      <c r="J2846">
        <v>1</v>
      </c>
      <c r="K2846">
        <v>0</v>
      </c>
      <c r="L2846" s="61" t="s">
        <v>4779</v>
      </c>
    </row>
    <row r="2847" spans="6:12">
      <c r="F2847" t="s">
        <v>14861</v>
      </c>
      <c r="G2847" t="s">
        <v>14862</v>
      </c>
      <c r="H2847">
        <v>7</v>
      </c>
      <c r="I2847">
        <v>1</v>
      </c>
      <c r="J2847">
        <v>0</v>
      </c>
      <c r="K2847">
        <v>0</v>
      </c>
      <c r="L2847" s="61" t="s">
        <v>4806</v>
      </c>
    </row>
    <row r="2848" spans="6:12">
      <c r="F2848" t="s">
        <v>14863</v>
      </c>
      <c r="G2848" t="s">
        <v>5172</v>
      </c>
      <c r="H2848">
        <v>8</v>
      </c>
      <c r="I2848">
        <v>0</v>
      </c>
      <c r="J2848">
        <v>0</v>
      </c>
      <c r="K2848">
        <v>0</v>
      </c>
      <c r="L2848" s="61" t="s">
        <v>4779</v>
      </c>
    </row>
    <row r="2849" spans="6:12">
      <c r="F2849" t="s">
        <v>14864</v>
      </c>
      <c r="G2849" t="s">
        <v>14865</v>
      </c>
      <c r="H2849">
        <v>6</v>
      </c>
      <c r="I2849">
        <v>1</v>
      </c>
      <c r="J2849">
        <v>1</v>
      </c>
      <c r="K2849">
        <v>0</v>
      </c>
      <c r="L2849" s="61" t="s">
        <v>4779</v>
      </c>
    </row>
    <row r="2850" spans="6:12">
      <c r="F2850" t="s">
        <v>14866</v>
      </c>
      <c r="G2850" t="s">
        <v>14867</v>
      </c>
      <c r="H2850">
        <v>8</v>
      </c>
      <c r="I2850">
        <v>0</v>
      </c>
      <c r="J2850">
        <v>0</v>
      </c>
      <c r="K2850">
        <v>0</v>
      </c>
      <c r="L2850" s="61" t="s">
        <v>4779</v>
      </c>
    </row>
    <row r="2851" spans="6:12">
      <c r="F2851" t="s">
        <v>14868</v>
      </c>
      <c r="G2851" t="s">
        <v>11075</v>
      </c>
      <c r="H2851">
        <v>3</v>
      </c>
      <c r="I2851">
        <v>3</v>
      </c>
      <c r="J2851">
        <v>2</v>
      </c>
      <c r="K2851">
        <v>0</v>
      </c>
      <c r="L2851" s="61" t="s">
        <v>4779</v>
      </c>
    </row>
    <row r="2852" spans="6:12">
      <c r="F2852" t="s">
        <v>14869</v>
      </c>
      <c r="G2852" t="s">
        <v>14870</v>
      </c>
      <c r="H2852">
        <v>7</v>
      </c>
      <c r="I2852">
        <v>1</v>
      </c>
      <c r="J2852">
        <v>0</v>
      </c>
      <c r="K2852">
        <v>0</v>
      </c>
      <c r="L2852" s="61" t="s">
        <v>4779</v>
      </c>
    </row>
    <row r="2853" spans="6:12">
      <c r="F2853" t="s">
        <v>14871</v>
      </c>
      <c r="G2853" t="s">
        <v>14872</v>
      </c>
      <c r="H2853">
        <v>8</v>
      </c>
      <c r="I2853">
        <v>0</v>
      </c>
      <c r="J2853">
        <v>0</v>
      </c>
      <c r="K2853">
        <v>0</v>
      </c>
      <c r="L2853" s="61" t="s">
        <v>4779</v>
      </c>
    </row>
    <row r="2854" spans="6:12">
      <c r="F2854" t="s">
        <v>14873</v>
      </c>
      <c r="G2854" t="s">
        <v>14874</v>
      </c>
      <c r="H2854">
        <v>4</v>
      </c>
      <c r="I2854">
        <v>4</v>
      </c>
      <c r="J2854">
        <v>0</v>
      </c>
      <c r="K2854">
        <v>0</v>
      </c>
      <c r="L2854" s="61" t="s">
        <v>4779</v>
      </c>
    </row>
    <row r="2855" spans="6:12">
      <c r="F2855" t="s">
        <v>14875</v>
      </c>
      <c r="G2855" t="s">
        <v>5163</v>
      </c>
      <c r="H2855">
        <v>5</v>
      </c>
      <c r="I2855">
        <v>1</v>
      </c>
      <c r="J2855">
        <v>2</v>
      </c>
      <c r="K2855">
        <v>0</v>
      </c>
      <c r="L2855" s="61" t="s">
        <v>4779</v>
      </c>
    </row>
    <row r="2856" spans="6:12">
      <c r="F2856" t="s">
        <v>14876</v>
      </c>
      <c r="G2856" t="s">
        <v>14877</v>
      </c>
      <c r="H2856">
        <v>7</v>
      </c>
      <c r="I2856">
        <v>1</v>
      </c>
      <c r="J2856">
        <v>0</v>
      </c>
      <c r="K2856">
        <v>0</v>
      </c>
      <c r="L2856" s="61" t="s">
        <v>4779</v>
      </c>
    </row>
    <row r="2857" spans="6:12">
      <c r="F2857" t="s">
        <v>14878</v>
      </c>
      <c r="G2857" t="s">
        <v>14879</v>
      </c>
      <c r="H2857">
        <v>4</v>
      </c>
      <c r="I2857">
        <v>4</v>
      </c>
      <c r="J2857">
        <v>0</v>
      </c>
      <c r="K2857">
        <v>0</v>
      </c>
      <c r="L2857" s="61" t="s">
        <v>4810</v>
      </c>
    </row>
    <row r="2858" spans="6:12">
      <c r="F2858" t="s">
        <v>14880</v>
      </c>
      <c r="G2858" t="s">
        <v>14881</v>
      </c>
      <c r="H2858">
        <v>4</v>
      </c>
      <c r="I2858">
        <v>4</v>
      </c>
      <c r="J2858">
        <v>0</v>
      </c>
      <c r="K2858">
        <v>0</v>
      </c>
      <c r="L2858" s="61" t="s">
        <v>4779</v>
      </c>
    </row>
    <row r="2859" spans="6:12">
      <c r="F2859" t="s">
        <v>14882</v>
      </c>
      <c r="G2859" t="s">
        <v>14883</v>
      </c>
      <c r="H2859">
        <v>7</v>
      </c>
      <c r="I2859">
        <v>1</v>
      </c>
      <c r="J2859">
        <v>0</v>
      </c>
      <c r="K2859">
        <v>0</v>
      </c>
      <c r="L2859" s="61" t="s">
        <v>4779</v>
      </c>
    </row>
    <row r="2860" spans="6:12">
      <c r="F2860" t="s">
        <v>14884</v>
      </c>
      <c r="G2860" t="s">
        <v>14885</v>
      </c>
      <c r="H2860">
        <v>5</v>
      </c>
      <c r="I2860">
        <v>3</v>
      </c>
      <c r="J2860">
        <v>0</v>
      </c>
      <c r="K2860">
        <v>0</v>
      </c>
      <c r="L2860" s="61" t="s">
        <v>4809</v>
      </c>
    </row>
    <row r="2861" spans="6:12">
      <c r="F2861" t="s">
        <v>14886</v>
      </c>
      <c r="G2861" t="s">
        <v>14887</v>
      </c>
      <c r="H2861">
        <v>2</v>
      </c>
      <c r="I2861">
        <v>4</v>
      </c>
      <c r="J2861">
        <v>2</v>
      </c>
      <c r="K2861">
        <v>0</v>
      </c>
      <c r="L2861" s="61" t="s">
        <v>4779</v>
      </c>
    </row>
    <row r="2862" spans="6:12">
      <c r="F2862" t="s">
        <v>14888</v>
      </c>
      <c r="G2862" t="s">
        <v>10463</v>
      </c>
      <c r="H2862">
        <v>4</v>
      </c>
      <c r="I2862">
        <v>2</v>
      </c>
      <c r="J2862">
        <v>2</v>
      </c>
      <c r="K2862">
        <v>0</v>
      </c>
      <c r="L2862" s="61" t="s">
        <v>4779</v>
      </c>
    </row>
    <row r="2863" spans="6:12">
      <c r="F2863" t="s">
        <v>14889</v>
      </c>
      <c r="G2863" t="s">
        <v>14890</v>
      </c>
      <c r="H2863">
        <v>4</v>
      </c>
      <c r="I2863">
        <v>4</v>
      </c>
      <c r="J2863">
        <v>0</v>
      </c>
      <c r="K2863">
        <v>0</v>
      </c>
      <c r="L2863" s="61" t="s">
        <v>4779</v>
      </c>
    </row>
    <row r="2864" spans="6:12">
      <c r="F2864" t="s">
        <v>14891</v>
      </c>
      <c r="G2864" t="s">
        <v>14892</v>
      </c>
      <c r="H2864">
        <v>6</v>
      </c>
      <c r="I2864">
        <v>2</v>
      </c>
      <c r="J2864">
        <v>0</v>
      </c>
      <c r="K2864">
        <v>0</v>
      </c>
      <c r="L2864" s="61" t="s">
        <v>4779</v>
      </c>
    </row>
    <row r="2865" spans="6:12">
      <c r="F2865" t="s">
        <v>14893</v>
      </c>
      <c r="G2865" t="s">
        <v>14894</v>
      </c>
      <c r="H2865">
        <v>5</v>
      </c>
      <c r="I2865">
        <v>3</v>
      </c>
      <c r="J2865">
        <v>0</v>
      </c>
      <c r="K2865">
        <v>0</v>
      </c>
      <c r="L2865" s="61" t="s">
        <v>4779</v>
      </c>
    </row>
    <row r="2866" spans="6:12">
      <c r="F2866" t="s">
        <v>14895</v>
      </c>
      <c r="G2866" t="s">
        <v>14896</v>
      </c>
      <c r="H2866">
        <v>6</v>
      </c>
      <c r="I2866">
        <v>2</v>
      </c>
      <c r="J2866">
        <v>0</v>
      </c>
      <c r="K2866">
        <v>0</v>
      </c>
      <c r="L2866" s="61" t="s">
        <v>4779</v>
      </c>
    </row>
    <row r="2867" spans="6:12">
      <c r="F2867" t="s">
        <v>14897</v>
      </c>
      <c r="G2867" t="s">
        <v>14898</v>
      </c>
      <c r="H2867">
        <v>6</v>
      </c>
      <c r="I2867">
        <v>2</v>
      </c>
      <c r="J2867">
        <v>0</v>
      </c>
      <c r="K2867">
        <v>0</v>
      </c>
      <c r="L2867" s="61" t="s">
        <v>4779</v>
      </c>
    </row>
    <row r="2868" spans="6:12">
      <c r="F2868" t="s">
        <v>5240</v>
      </c>
      <c r="G2868" t="s">
        <v>14899</v>
      </c>
      <c r="H2868">
        <v>8</v>
      </c>
      <c r="I2868">
        <v>0</v>
      </c>
      <c r="J2868">
        <v>0</v>
      </c>
      <c r="K2868">
        <v>0</v>
      </c>
      <c r="L2868" s="61" t="s">
        <v>4779</v>
      </c>
    </row>
    <row r="2869" spans="6:12">
      <c r="F2869" t="s">
        <v>14900</v>
      </c>
      <c r="G2869" t="s">
        <v>14901</v>
      </c>
      <c r="H2869">
        <v>4</v>
      </c>
      <c r="I2869">
        <v>4</v>
      </c>
      <c r="J2869">
        <v>0</v>
      </c>
      <c r="K2869">
        <v>0</v>
      </c>
      <c r="L2869" s="61" t="s">
        <v>4779</v>
      </c>
    </row>
    <row r="2870" spans="6:12">
      <c r="F2870" t="s">
        <v>14902</v>
      </c>
      <c r="G2870" t="s">
        <v>14903</v>
      </c>
      <c r="H2870">
        <v>8</v>
      </c>
      <c r="I2870">
        <v>0</v>
      </c>
      <c r="J2870">
        <v>0</v>
      </c>
      <c r="K2870">
        <v>0</v>
      </c>
      <c r="L2870" s="61" t="s">
        <v>4779</v>
      </c>
    </row>
    <row r="2871" spans="6:12">
      <c r="F2871" t="s">
        <v>14904</v>
      </c>
      <c r="G2871" t="s">
        <v>11006</v>
      </c>
      <c r="H2871">
        <v>5</v>
      </c>
      <c r="I2871">
        <v>2</v>
      </c>
      <c r="J2871">
        <v>1</v>
      </c>
      <c r="K2871">
        <v>0</v>
      </c>
      <c r="L2871" s="61" t="s">
        <v>4779</v>
      </c>
    </row>
    <row r="2872" spans="6:12">
      <c r="F2872" t="s">
        <v>14905</v>
      </c>
      <c r="G2872" t="s">
        <v>10921</v>
      </c>
      <c r="H2872">
        <v>3</v>
      </c>
      <c r="I2872">
        <v>4</v>
      </c>
      <c r="J2872">
        <v>1</v>
      </c>
      <c r="K2872">
        <v>0</v>
      </c>
      <c r="L2872" s="61" t="s">
        <v>4807</v>
      </c>
    </row>
    <row r="2873" spans="6:12">
      <c r="F2873" t="s">
        <v>14906</v>
      </c>
      <c r="G2873" t="s">
        <v>5734</v>
      </c>
      <c r="H2873">
        <v>4</v>
      </c>
      <c r="I2873">
        <v>2</v>
      </c>
      <c r="J2873">
        <v>2</v>
      </c>
      <c r="K2873">
        <v>0</v>
      </c>
      <c r="L2873" s="61" t="s">
        <v>4779</v>
      </c>
    </row>
    <row r="2874" spans="6:12">
      <c r="F2874" t="s">
        <v>14907</v>
      </c>
      <c r="G2874" t="s">
        <v>14908</v>
      </c>
      <c r="H2874">
        <v>4</v>
      </c>
      <c r="I2874">
        <v>4</v>
      </c>
      <c r="J2874">
        <v>0</v>
      </c>
      <c r="K2874">
        <v>0</v>
      </c>
      <c r="L2874" s="61" t="s">
        <v>4779</v>
      </c>
    </row>
    <row r="2875" spans="6:12">
      <c r="F2875" t="s">
        <v>14909</v>
      </c>
      <c r="G2875" t="s">
        <v>14910</v>
      </c>
      <c r="H2875">
        <v>6</v>
      </c>
      <c r="I2875">
        <v>2</v>
      </c>
      <c r="J2875">
        <v>0</v>
      </c>
      <c r="K2875">
        <v>0</v>
      </c>
      <c r="L2875" s="61" t="s">
        <v>4779</v>
      </c>
    </row>
    <row r="2876" spans="6:12">
      <c r="F2876" t="s">
        <v>14911</v>
      </c>
      <c r="G2876" t="s">
        <v>8241</v>
      </c>
      <c r="H2876">
        <v>6</v>
      </c>
      <c r="I2876">
        <v>2</v>
      </c>
      <c r="J2876">
        <v>0</v>
      </c>
      <c r="K2876">
        <v>0</v>
      </c>
      <c r="L2876" s="61" t="s">
        <v>4779</v>
      </c>
    </row>
    <row r="2877" spans="6:12">
      <c r="F2877" t="s">
        <v>14912</v>
      </c>
      <c r="G2877" t="s">
        <v>14913</v>
      </c>
      <c r="H2877">
        <v>4</v>
      </c>
      <c r="I2877">
        <v>4</v>
      </c>
      <c r="J2877">
        <v>0</v>
      </c>
      <c r="K2877">
        <v>0</v>
      </c>
      <c r="L2877" s="61" t="s">
        <v>4779</v>
      </c>
    </row>
    <row r="2878" spans="6:12">
      <c r="F2878" t="s">
        <v>14914</v>
      </c>
      <c r="G2878" t="s">
        <v>5709</v>
      </c>
      <c r="H2878">
        <v>2</v>
      </c>
      <c r="I2878">
        <v>4</v>
      </c>
      <c r="J2878">
        <v>2</v>
      </c>
      <c r="K2878">
        <v>0</v>
      </c>
      <c r="L2878" s="61" t="s">
        <v>4779</v>
      </c>
    </row>
    <row r="2879" spans="6:12">
      <c r="F2879" t="s">
        <v>14915</v>
      </c>
      <c r="G2879" t="s">
        <v>14916</v>
      </c>
      <c r="H2879">
        <v>3</v>
      </c>
      <c r="I2879">
        <v>4</v>
      </c>
      <c r="J2879">
        <v>1</v>
      </c>
      <c r="K2879">
        <v>0</v>
      </c>
      <c r="L2879" s="61" t="s">
        <v>4779</v>
      </c>
    </row>
    <row r="2880" spans="6:12">
      <c r="F2880" t="s">
        <v>14917</v>
      </c>
      <c r="G2880" t="s">
        <v>10115</v>
      </c>
      <c r="H2880">
        <v>5</v>
      </c>
      <c r="I2880">
        <v>1</v>
      </c>
      <c r="J2880">
        <v>2</v>
      </c>
      <c r="K2880">
        <v>0</v>
      </c>
      <c r="L2880" s="61" t="s">
        <v>4779</v>
      </c>
    </row>
    <row r="2881" spans="6:12">
      <c r="F2881" t="s">
        <v>14918</v>
      </c>
      <c r="G2881" t="s">
        <v>14919</v>
      </c>
      <c r="H2881">
        <v>5</v>
      </c>
      <c r="I2881">
        <v>1</v>
      </c>
      <c r="J2881">
        <v>2</v>
      </c>
      <c r="K2881">
        <v>0</v>
      </c>
      <c r="L2881" s="61" t="s">
        <v>4779</v>
      </c>
    </row>
    <row r="2882" spans="6:12">
      <c r="F2882" t="s">
        <v>14920</v>
      </c>
      <c r="G2882" t="s">
        <v>14921</v>
      </c>
      <c r="H2882">
        <v>7</v>
      </c>
      <c r="I2882">
        <v>1</v>
      </c>
      <c r="J2882">
        <v>0</v>
      </c>
      <c r="K2882">
        <v>0</v>
      </c>
      <c r="L2882" s="61" t="s">
        <v>4779</v>
      </c>
    </row>
    <row r="2883" spans="6:12">
      <c r="F2883" t="s">
        <v>14922</v>
      </c>
      <c r="G2883" t="s">
        <v>14923</v>
      </c>
      <c r="H2883">
        <v>4</v>
      </c>
      <c r="I2883">
        <v>4</v>
      </c>
      <c r="J2883">
        <v>0</v>
      </c>
      <c r="K2883">
        <v>0</v>
      </c>
      <c r="L2883" s="61" t="s">
        <v>4810</v>
      </c>
    </row>
    <row r="2884" spans="6:12">
      <c r="F2884" t="s">
        <v>14924</v>
      </c>
      <c r="G2884" t="s">
        <v>11009</v>
      </c>
      <c r="H2884">
        <v>6</v>
      </c>
      <c r="I2884">
        <v>0</v>
      </c>
      <c r="J2884">
        <v>2</v>
      </c>
      <c r="K2884">
        <v>0</v>
      </c>
      <c r="L2884" s="61" t="s">
        <v>4779</v>
      </c>
    </row>
    <row r="2885" spans="6:12">
      <c r="F2885" t="s">
        <v>14925</v>
      </c>
      <c r="G2885" t="s">
        <v>14892</v>
      </c>
      <c r="H2885">
        <v>5</v>
      </c>
      <c r="I2885">
        <v>3</v>
      </c>
      <c r="J2885">
        <v>0</v>
      </c>
      <c r="K2885">
        <v>0</v>
      </c>
      <c r="L2885" s="61" t="s">
        <v>4779</v>
      </c>
    </row>
    <row r="2886" spans="6:12">
      <c r="F2886" t="s">
        <v>14926</v>
      </c>
      <c r="G2886" t="s">
        <v>5657</v>
      </c>
      <c r="H2886">
        <v>2</v>
      </c>
      <c r="I2886">
        <v>4</v>
      </c>
      <c r="J2886">
        <v>2</v>
      </c>
      <c r="K2886">
        <v>0</v>
      </c>
      <c r="L2886" s="61" t="s">
        <v>4779</v>
      </c>
    </row>
    <row r="2887" spans="6:12">
      <c r="F2887" t="s">
        <v>14927</v>
      </c>
      <c r="G2887" t="s">
        <v>5932</v>
      </c>
      <c r="H2887">
        <v>5</v>
      </c>
      <c r="I2887">
        <v>2</v>
      </c>
      <c r="J2887">
        <v>1</v>
      </c>
      <c r="K2887">
        <v>0</v>
      </c>
      <c r="L2887" s="61" t="s">
        <v>4779</v>
      </c>
    </row>
    <row r="2888" spans="6:12">
      <c r="F2888" t="s">
        <v>14928</v>
      </c>
      <c r="G2888" t="s">
        <v>13966</v>
      </c>
      <c r="H2888">
        <v>4</v>
      </c>
      <c r="I2888">
        <v>4</v>
      </c>
      <c r="J2888">
        <v>0</v>
      </c>
      <c r="K2888">
        <v>0</v>
      </c>
      <c r="L2888" s="61" t="s">
        <v>4779</v>
      </c>
    </row>
    <row r="2889" spans="6:12">
      <c r="F2889" t="s">
        <v>14929</v>
      </c>
      <c r="G2889" t="s">
        <v>10983</v>
      </c>
      <c r="H2889">
        <v>4</v>
      </c>
      <c r="I2889">
        <v>4</v>
      </c>
      <c r="J2889">
        <v>0</v>
      </c>
      <c r="K2889">
        <v>0</v>
      </c>
      <c r="L2889" s="61" t="s">
        <v>4808</v>
      </c>
    </row>
    <row r="2890" spans="6:12">
      <c r="F2890" t="s">
        <v>14930</v>
      </c>
      <c r="G2890" t="s">
        <v>14931</v>
      </c>
      <c r="H2890">
        <v>6</v>
      </c>
      <c r="I2890">
        <v>2</v>
      </c>
      <c r="J2890">
        <v>0</v>
      </c>
      <c r="K2890">
        <v>0</v>
      </c>
      <c r="L2890" s="61" t="s">
        <v>4779</v>
      </c>
    </row>
    <row r="2891" spans="6:12">
      <c r="F2891" t="s">
        <v>14932</v>
      </c>
      <c r="G2891" t="s">
        <v>14933</v>
      </c>
      <c r="H2891">
        <v>5</v>
      </c>
      <c r="I2891">
        <v>3</v>
      </c>
      <c r="J2891">
        <v>0</v>
      </c>
      <c r="K2891">
        <v>0</v>
      </c>
      <c r="L2891" s="61" t="s">
        <v>4779</v>
      </c>
    </row>
    <row r="2892" spans="6:12">
      <c r="F2892" t="s">
        <v>14934</v>
      </c>
      <c r="G2892" t="s">
        <v>14935</v>
      </c>
      <c r="H2892">
        <v>8</v>
      </c>
      <c r="I2892">
        <v>0</v>
      </c>
      <c r="J2892">
        <v>0</v>
      </c>
      <c r="K2892">
        <v>0</v>
      </c>
      <c r="L2892" s="61" t="s">
        <v>4779</v>
      </c>
    </row>
    <row r="2893" spans="6:12">
      <c r="F2893" t="s">
        <v>14936</v>
      </c>
      <c r="G2893" t="s">
        <v>11091</v>
      </c>
      <c r="H2893">
        <v>5</v>
      </c>
      <c r="I2893">
        <v>3</v>
      </c>
      <c r="J2893">
        <v>0</v>
      </c>
      <c r="K2893">
        <v>0</v>
      </c>
      <c r="L2893" s="61" t="s">
        <v>4779</v>
      </c>
    </row>
    <row r="2894" spans="6:12">
      <c r="F2894" t="s">
        <v>14937</v>
      </c>
      <c r="G2894" t="s">
        <v>14938</v>
      </c>
      <c r="H2894">
        <v>8</v>
      </c>
      <c r="I2894">
        <v>0</v>
      </c>
      <c r="J2894">
        <v>0</v>
      </c>
      <c r="K2894">
        <v>0</v>
      </c>
      <c r="L2894" s="61" t="s">
        <v>4779</v>
      </c>
    </row>
    <row r="2895" spans="6:12">
      <c r="F2895" t="s">
        <v>14939</v>
      </c>
      <c r="G2895" t="s">
        <v>14940</v>
      </c>
      <c r="H2895">
        <v>6</v>
      </c>
      <c r="I2895">
        <v>0</v>
      </c>
      <c r="J2895">
        <v>2</v>
      </c>
      <c r="K2895">
        <v>0</v>
      </c>
      <c r="L2895" s="61" t="s">
        <v>4808</v>
      </c>
    </row>
    <row r="2896" spans="6:12">
      <c r="F2896" t="s">
        <v>14941</v>
      </c>
      <c r="G2896" t="s">
        <v>14942</v>
      </c>
      <c r="H2896">
        <v>7</v>
      </c>
      <c r="I2896">
        <v>1</v>
      </c>
      <c r="J2896">
        <v>0</v>
      </c>
      <c r="K2896">
        <v>0</v>
      </c>
      <c r="L2896" s="61" t="s">
        <v>4779</v>
      </c>
    </row>
    <row r="2897" spans="6:12">
      <c r="F2897" t="s">
        <v>14943</v>
      </c>
      <c r="G2897" t="s">
        <v>5461</v>
      </c>
      <c r="H2897">
        <v>2</v>
      </c>
      <c r="I2897">
        <v>4</v>
      </c>
      <c r="J2897">
        <v>2</v>
      </c>
      <c r="K2897">
        <v>0</v>
      </c>
      <c r="L2897" s="61" t="s">
        <v>4779</v>
      </c>
    </row>
    <row r="2898" spans="6:12">
      <c r="F2898" t="s">
        <v>14944</v>
      </c>
      <c r="G2898" t="s">
        <v>14945</v>
      </c>
      <c r="H2898">
        <v>2</v>
      </c>
      <c r="I2898">
        <v>4</v>
      </c>
      <c r="J2898">
        <v>2</v>
      </c>
      <c r="K2898">
        <v>0</v>
      </c>
      <c r="L2898" s="61" t="s">
        <v>4779</v>
      </c>
    </row>
    <row r="2899" spans="6:12">
      <c r="F2899" t="s">
        <v>14946</v>
      </c>
      <c r="G2899" t="s">
        <v>14947</v>
      </c>
      <c r="H2899">
        <v>6</v>
      </c>
      <c r="I2899">
        <v>2</v>
      </c>
      <c r="J2899">
        <v>0</v>
      </c>
      <c r="K2899">
        <v>0</v>
      </c>
      <c r="L2899" s="61" t="s">
        <v>4779</v>
      </c>
    </row>
    <row r="2900" spans="6:12">
      <c r="F2900" t="s">
        <v>14948</v>
      </c>
      <c r="G2900" t="s">
        <v>14949</v>
      </c>
      <c r="H2900">
        <v>5</v>
      </c>
      <c r="I2900">
        <v>3</v>
      </c>
      <c r="J2900">
        <v>0</v>
      </c>
      <c r="K2900">
        <v>0</v>
      </c>
      <c r="L2900" s="61" t="s">
        <v>4779</v>
      </c>
    </row>
    <row r="2901" spans="6:12">
      <c r="F2901" t="s">
        <v>14950</v>
      </c>
      <c r="G2901" t="s">
        <v>14951</v>
      </c>
      <c r="H2901">
        <v>4</v>
      </c>
      <c r="I2901">
        <v>4</v>
      </c>
      <c r="J2901">
        <v>0</v>
      </c>
      <c r="K2901">
        <v>0</v>
      </c>
      <c r="L2901" s="61" t="s">
        <v>4779</v>
      </c>
    </row>
    <row r="2902" spans="6:12">
      <c r="F2902" t="s">
        <v>14952</v>
      </c>
      <c r="G2902" t="s">
        <v>14953</v>
      </c>
      <c r="H2902">
        <v>6</v>
      </c>
      <c r="I2902">
        <v>2</v>
      </c>
      <c r="J2902">
        <v>0</v>
      </c>
      <c r="K2902">
        <v>0</v>
      </c>
      <c r="L2902" s="61" t="s">
        <v>4807</v>
      </c>
    </row>
    <row r="2903" spans="6:12">
      <c r="F2903" t="s">
        <v>14954</v>
      </c>
      <c r="G2903" t="s">
        <v>14955</v>
      </c>
      <c r="H2903">
        <v>5</v>
      </c>
      <c r="I2903">
        <v>3</v>
      </c>
      <c r="J2903">
        <v>0</v>
      </c>
      <c r="K2903">
        <v>0</v>
      </c>
      <c r="L2903" s="61" t="s">
        <v>4779</v>
      </c>
    </row>
    <row r="2904" spans="6:12">
      <c r="F2904" t="s">
        <v>14956</v>
      </c>
      <c r="G2904" t="s">
        <v>11094</v>
      </c>
      <c r="H2904">
        <v>6</v>
      </c>
      <c r="I2904">
        <v>2</v>
      </c>
      <c r="J2904">
        <v>0</v>
      </c>
      <c r="K2904">
        <v>0</v>
      </c>
      <c r="L2904" s="61" t="s">
        <v>4779</v>
      </c>
    </row>
    <row r="2905" spans="6:12">
      <c r="F2905" t="s">
        <v>14957</v>
      </c>
      <c r="G2905" t="s">
        <v>14958</v>
      </c>
      <c r="H2905">
        <v>2</v>
      </c>
      <c r="I2905">
        <v>4</v>
      </c>
      <c r="J2905">
        <v>2</v>
      </c>
      <c r="K2905">
        <v>0</v>
      </c>
      <c r="L2905" s="61" t="s">
        <v>4779</v>
      </c>
    </row>
    <row r="2906" spans="6:12">
      <c r="F2906" t="s">
        <v>14959</v>
      </c>
      <c r="G2906" t="s">
        <v>14960</v>
      </c>
      <c r="H2906">
        <v>5</v>
      </c>
      <c r="I2906">
        <v>3</v>
      </c>
      <c r="J2906">
        <v>0</v>
      </c>
      <c r="K2906">
        <v>0</v>
      </c>
      <c r="L2906" s="61" t="s">
        <v>4779</v>
      </c>
    </row>
    <row r="2907" spans="6:12">
      <c r="F2907" t="s">
        <v>14961</v>
      </c>
      <c r="G2907" t="s">
        <v>14962</v>
      </c>
      <c r="H2907">
        <v>4</v>
      </c>
      <c r="I2907">
        <v>2</v>
      </c>
      <c r="J2907">
        <v>2</v>
      </c>
      <c r="K2907">
        <v>0</v>
      </c>
      <c r="L2907" s="61" t="s">
        <v>4779</v>
      </c>
    </row>
    <row r="2908" spans="6:12">
      <c r="F2908" t="s">
        <v>14963</v>
      </c>
      <c r="G2908" t="s">
        <v>14964</v>
      </c>
      <c r="H2908">
        <v>8</v>
      </c>
      <c r="I2908">
        <v>0</v>
      </c>
      <c r="J2908">
        <v>0</v>
      </c>
      <c r="K2908">
        <v>0</v>
      </c>
      <c r="L2908" s="61" t="s">
        <v>4779</v>
      </c>
    </row>
    <row r="2909" spans="6:12">
      <c r="F2909" t="s">
        <v>14965</v>
      </c>
      <c r="G2909" t="s">
        <v>10180</v>
      </c>
      <c r="H2909">
        <v>4</v>
      </c>
      <c r="I2909">
        <v>4</v>
      </c>
      <c r="J2909">
        <v>0</v>
      </c>
      <c r="K2909">
        <v>0</v>
      </c>
      <c r="L2909" s="61" t="s">
        <v>4779</v>
      </c>
    </row>
    <row r="2910" spans="6:12">
      <c r="F2910" t="s">
        <v>14966</v>
      </c>
      <c r="G2910" t="s">
        <v>14967</v>
      </c>
      <c r="H2910">
        <v>5</v>
      </c>
      <c r="I2910">
        <v>1</v>
      </c>
      <c r="J2910">
        <v>2</v>
      </c>
      <c r="K2910">
        <v>0</v>
      </c>
      <c r="L2910" s="61" t="s">
        <v>4779</v>
      </c>
    </row>
    <row r="2911" spans="6:12">
      <c r="F2911" t="s">
        <v>14968</v>
      </c>
      <c r="G2911" t="s">
        <v>14969</v>
      </c>
      <c r="H2911">
        <v>4</v>
      </c>
      <c r="I2911">
        <v>4</v>
      </c>
      <c r="J2911">
        <v>0</v>
      </c>
      <c r="K2911">
        <v>0</v>
      </c>
      <c r="L2911" s="61" t="s">
        <v>4779</v>
      </c>
    </row>
    <row r="2912" spans="6:12">
      <c r="F2912" t="s">
        <v>14970</v>
      </c>
      <c r="G2912" t="s">
        <v>14971</v>
      </c>
      <c r="H2912">
        <v>8</v>
      </c>
      <c r="I2912">
        <v>0</v>
      </c>
      <c r="J2912">
        <v>0</v>
      </c>
      <c r="K2912">
        <v>0</v>
      </c>
      <c r="L2912" s="61" t="s">
        <v>4779</v>
      </c>
    </row>
    <row r="2913" spans="6:12">
      <c r="F2913" t="s">
        <v>14972</v>
      </c>
      <c r="G2913" t="s">
        <v>5736</v>
      </c>
      <c r="H2913">
        <v>3</v>
      </c>
      <c r="I2913">
        <v>4</v>
      </c>
      <c r="J2913">
        <v>1</v>
      </c>
      <c r="K2913">
        <v>0</v>
      </c>
      <c r="L2913" s="61" t="s">
        <v>4779</v>
      </c>
    </row>
    <row r="2914" spans="6:12">
      <c r="F2914" t="s">
        <v>14973</v>
      </c>
      <c r="G2914" t="s">
        <v>14974</v>
      </c>
      <c r="H2914">
        <v>2</v>
      </c>
      <c r="I2914">
        <v>4</v>
      </c>
      <c r="J2914">
        <v>2</v>
      </c>
      <c r="K2914">
        <v>0</v>
      </c>
      <c r="L2914" s="61" t="s">
        <v>4779</v>
      </c>
    </row>
    <row r="2915" spans="6:12">
      <c r="F2915" t="s">
        <v>14975</v>
      </c>
      <c r="G2915" t="s">
        <v>5181</v>
      </c>
      <c r="H2915">
        <v>2</v>
      </c>
      <c r="I2915">
        <v>4</v>
      </c>
      <c r="J2915">
        <v>2</v>
      </c>
      <c r="K2915">
        <v>0</v>
      </c>
      <c r="L2915" s="61" t="s">
        <v>4779</v>
      </c>
    </row>
    <row r="2916" spans="6:12">
      <c r="F2916" t="s">
        <v>14976</v>
      </c>
      <c r="G2916" t="s">
        <v>10774</v>
      </c>
      <c r="H2916">
        <v>4</v>
      </c>
      <c r="I2916">
        <v>4</v>
      </c>
      <c r="J2916">
        <v>0</v>
      </c>
      <c r="K2916">
        <v>0</v>
      </c>
      <c r="L2916" s="61" t="s">
        <v>4779</v>
      </c>
    </row>
    <row r="2917" spans="6:12">
      <c r="F2917" t="s">
        <v>14977</v>
      </c>
      <c r="G2917" t="s">
        <v>14978</v>
      </c>
      <c r="H2917">
        <v>5</v>
      </c>
      <c r="I2917">
        <v>2</v>
      </c>
      <c r="J2917">
        <v>1</v>
      </c>
      <c r="K2917">
        <v>0</v>
      </c>
      <c r="L2917" s="61" t="s">
        <v>4779</v>
      </c>
    </row>
    <row r="2918" spans="6:12">
      <c r="F2918" t="s">
        <v>14979</v>
      </c>
      <c r="G2918" t="s">
        <v>14980</v>
      </c>
      <c r="H2918">
        <v>4</v>
      </c>
      <c r="I2918">
        <v>4</v>
      </c>
      <c r="J2918">
        <v>0</v>
      </c>
      <c r="K2918">
        <v>0</v>
      </c>
      <c r="L2918" s="61" t="s">
        <v>4779</v>
      </c>
    </row>
    <row r="2919" spans="6:12">
      <c r="F2919" t="s">
        <v>14981</v>
      </c>
      <c r="G2919" t="s">
        <v>14982</v>
      </c>
      <c r="H2919">
        <v>6</v>
      </c>
      <c r="I2919">
        <v>2</v>
      </c>
      <c r="J2919">
        <v>0</v>
      </c>
      <c r="K2919">
        <v>0</v>
      </c>
      <c r="L2919" s="61" t="s">
        <v>4779</v>
      </c>
    </row>
    <row r="2920" spans="6:12">
      <c r="F2920" t="s">
        <v>14983</v>
      </c>
      <c r="G2920" t="s">
        <v>14984</v>
      </c>
      <c r="H2920">
        <v>8</v>
      </c>
      <c r="I2920">
        <v>0</v>
      </c>
      <c r="J2920">
        <v>0</v>
      </c>
      <c r="K2920">
        <v>0</v>
      </c>
      <c r="L2920" s="61" t="s">
        <v>4779</v>
      </c>
    </row>
    <row r="2921" spans="6:12">
      <c r="F2921" t="s">
        <v>14985</v>
      </c>
      <c r="G2921" t="s">
        <v>14986</v>
      </c>
      <c r="H2921">
        <v>3</v>
      </c>
      <c r="I2921">
        <v>4</v>
      </c>
      <c r="J2921">
        <v>1</v>
      </c>
      <c r="K2921">
        <v>0</v>
      </c>
      <c r="L2921" s="61" t="s">
        <v>4779</v>
      </c>
    </row>
    <row r="2922" spans="6:12">
      <c r="F2922" t="s">
        <v>14987</v>
      </c>
      <c r="G2922" t="s">
        <v>14988</v>
      </c>
      <c r="H2922">
        <v>8</v>
      </c>
      <c r="I2922">
        <v>0</v>
      </c>
      <c r="J2922">
        <v>0</v>
      </c>
      <c r="K2922">
        <v>0</v>
      </c>
      <c r="L2922" s="61" t="s">
        <v>4779</v>
      </c>
    </row>
    <row r="2923" spans="6:12">
      <c r="F2923" t="s">
        <v>14989</v>
      </c>
      <c r="G2923" t="s">
        <v>14990</v>
      </c>
      <c r="H2923">
        <v>6</v>
      </c>
      <c r="I2923">
        <v>2</v>
      </c>
      <c r="J2923">
        <v>0</v>
      </c>
      <c r="K2923">
        <v>0</v>
      </c>
      <c r="L2923" s="61" t="s">
        <v>4779</v>
      </c>
    </row>
    <row r="2924" spans="6:12">
      <c r="F2924" t="s">
        <v>14991</v>
      </c>
      <c r="G2924" t="s">
        <v>14992</v>
      </c>
      <c r="H2924">
        <v>2</v>
      </c>
      <c r="I2924">
        <v>4</v>
      </c>
      <c r="J2924">
        <v>2</v>
      </c>
      <c r="K2924">
        <v>0</v>
      </c>
      <c r="L2924" s="61" t="s">
        <v>4779</v>
      </c>
    </row>
    <row r="2925" spans="6:12">
      <c r="F2925" t="s">
        <v>14993</v>
      </c>
      <c r="G2925" t="s">
        <v>14994</v>
      </c>
      <c r="H2925">
        <v>5</v>
      </c>
      <c r="I2925">
        <v>1</v>
      </c>
      <c r="J2925">
        <v>2</v>
      </c>
      <c r="K2925">
        <v>0</v>
      </c>
      <c r="L2925" s="61" t="s">
        <v>4808</v>
      </c>
    </row>
    <row r="2926" spans="6:12">
      <c r="F2926" t="s">
        <v>14995</v>
      </c>
      <c r="G2926" t="s">
        <v>9789</v>
      </c>
      <c r="H2926">
        <v>5</v>
      </c>
      <c r="I2926">
        <v>3</v>
      </c>
      <c r="J2926">
        <v>0</v>
      </c>
      <c r="K2926">
        <v>0</v>
      </c>
      <c r="L2926" s="61" t="s">
        <v>4779</v>
      </c>
    </row>
    <row r="2927" spans="6:12">
      <c r="F2927" t="s">
        <v>14996</v>
      </c>
      <c r="G2927" t="s">
        <v>14997</v>
      </c>
      <c r="H2927">
        <v>6</v>
      </c>
      <c r="I2927">
        <v>2</v>
      </c>
      <c r="J2927">
        <v>0</v>
      </c>
      <c r="K2927">
        <v>0</v>
      </c>
      <c r="L2927" s="61" t="s">
        <v>4806</v>
      </c>
    </row>
    <row r="2928" spans="6:12">
      <c r="F2928" t="s">
        <v>14998</v>
      </c>
      <c r="G2928" t="s">
        <v>5915</v>
      </c>
      <c r="H2928">
        <v>5</v>
      </c>
      <c r="I2928">
        <v>1</v>
      </c>
      <c r="J2928">
        <v>2</v>
      </c>
      <c r="K2928">
        <v>0</v>
      </c>
      <c r="L2928" s="61" t="s">
        <v>4779</v>
      </c>
    </row>
    <row r="2929" spans="6:12">
      <c r="F2929" t="s">
        <v>14999</v>
      </c>
      <c r="G2929" t="s">
        <v>5380</v>
      </c>
      <c r="H2929">
        <v>6</v>
      </c>
      <c r="I2929">
        <v>2</v>
      </c>
      <c r="J2929">
        <v>0</v>
      </c>
      <c r="K2929">
        <v>0</v>
      </c>
      <c r="L2929" s="61" t="s">
        <v>4779</v>
      </c>
    </row>
    <row r="2930" spans="6:12">
      <c r="F2930" t="s">
        <v>15000</v>
      </c>
      <c r="G2930" t="s">
        <v>15001</v>
      </c>
      <c r="H2930">
        <v>8</v>
      </c>
      <c r="I2930">
        <v>0</v>
      </c>
      <c r="J2930">
        <v>0</v>
      </c>
      <c r="K2930">
        <v>0</v>
      </c>
      <c r="L2930" s="61" t="s">
        <v>4806</v>
      </c>
    </row>
    <row r="2931" spans="6:12">
      <c r="F2931" t="s">
        <v>15002</v>
      </c>
      <c r="G2931" t="s">
        <v>5387</v>
      </c>
      <c r="H2931">
        <v>8</v>
      </c>
      <c r="I2931">
        <v>0</v>
      </c>
      <c r="J2931">
        <v>0</v>
      </c>
      <c r="K2931">
        <v>0</v>
      </c>
      <c r="L2931" s="61" t="s">
        <v>4807</v>
      </c>
    </row>
    <row r="2932" spans="6:12">
      <c r="F2932" t="s">
        <v>15003</v>
      </c>
      <c r="G2932" t="s">
        <v>15004</v>
      </c>
      <c r="H2932">
        <v>6</v>
      </c>
      <c r="I2932">
        <v>2</v>
      </c>
      <c r="J2932">
        <v>0</v>
      </c>
      <c r="K2932">
        <v>0</v>
      </c>
      <c r="L2932" s="61" t="s">
        <v>4779</v>
      </c>
    </row>
    <row r="2933" spans="6:12">
      <c r="F2933" t="s">
        <v>15005</v>
      </c>
      <c r="G2933" t="s">
        <v>5088</v>
      </c>
      <c r="H2933">
        <v>2</v>
      </c>
      <c r="I2933">
        <v>4</v>
      </c>
      <c r="J2933">
        <v>2</v>
      </c>
      <c r="K2933">
        <v>0</v>
      </c>
      <c r="L2933" s="61" t="s">
        <v>4779</v>
      </c>
    </row>
    <row r="2934" spans="6:12">
      <c r="F2934" t="s">
        <v>15006</v>
      </c>
      <c r="G2934" t="s">
        <v>10998</v>
      </c>
      <c r="H2934">
        <v>5</v>
      </c>
      <c r="I2934">
        <v>3</v>
      </c>
      <c r="J2934">
        <v>0</v>
      </c>
      <c r="K2934">
        <v>0</v>
      </c>
      <c r="L2934" s="61" t="s">
        <v>4779</v>
      </c>
    </row>
    <row r="2935" spans="6:12">
      <c r="F2935" t="s">
        <v>15007</v>
      </c>
      <c r="G2935" t="s">
        <v>15008</v>
      </c>
      <c r="H2935">
        <v>7</v>
      </c>
      <c r="I2935">
        <v>1</v>
      </c>
      <c r="J2935">
        <v>0</v>
      </c>
      <c r="K2935">
        <v>0</v>
      </c>
      <c r="L2935" s="61" t="s">
        <v>4779</v>
      </c>
    </row>
    <row r="2936" spans="6:12">
      <c r="F2936" t="s">
        <v>15009</v>
      </c>
      <c r="G2936" t="s">
        <v>15010</v>
      </c>
      <c r="H2936">
        <v>4</v>
      </c>
      <c r="I2936">
        <v>3</v>
      </c>
      <c r="J2936">
        <v>1</v>
      </c>
      <c r="K2936">
        <v>0</v>
      </c>
      <c r="L2936" s="61" t="s">
        <v>4779</v>
      </c>
    </row>
    <row r="2937" spans="6:12">
      <c r="F2937" t="s">
        <v>15011</v>
      </c>
      <c r="G2937" t="s">
        <v>15012</v>
      </c>
      <c r="H2937">
        <v>5</v>
      </c>
      <c r="I2937">
        <v>3</v>
      </c>
      <c r="J2937">
        <v>0</v>
      </c>
      <c r="K2937">
        <v>0</v>
      </c>
      <c r="L2937" s="61" t="s">
        <v>4779</v>
      </c>
    </row>
    <row r="2938" spans="6:12">
      <c r="F2938" t="s">
        <v>15013</v>
      </c>
      <c r="G2938" t="s">
        <v>15014</v>
      </c>
      <c r="H2938">
        <v>5</v>
      </c>
      <c r="I2938">
        <v>3</v>
      </c>
      <c r="J2938">
        <v>0</v>
      </c>
      <c r="K2938">
        <v>0</v>
      </c>
      <c r="L2938" s="61" t="s">
        <v>4779</v>
      </c>
    </row>
    <row r="2939" spans="6:12">
      <c r="F2939" t="s">
        <v>15015</v>
      </c>
      <c r="G2939" t="s">
        <v>15016</v>
      </c>
      <c r="H2939">
        <v>7</v>
      </c>
      <c r="I2939">
        <v>1</v>
      </c>
      <c r="J2939">
        <v>0</v>
      </c>
      <c r="K2939">
        <v>0</v>
      </c>
      <c r="L2939" s="61" t="s">
        <v>4779</v>
      </c>
    </row>
    <row r="2940" spans="6:12">
      <c r="F2940" t="s">
        <v>15017</v>
      </c>
      <c r="G2940" t="s">
        <v>15018</v>
      </c>
      <c r="H2940">
        <v>8</v>
      </c>
      <c r="I2940">
        <v>0</v>
      </c>
      <c r="J2940">
        <v>0</v>
      </c>
      <c r="K2940">
        <v>0</v>
      </c>
      <c r="L2940" s="61" t="s">
        <v>4779</v>
      </c>
    </row>
    <row r="2941" spans="6:12">
      <c r="F2941" t="s">
        <v>15019</v>
      </c>
      <c r="G2941" t="s">
        <v>15020</v>
      </c>
      <c r="H2941">
        <v>4</v>
      </c>
      <c r="I2941">
        <v>2</v>
      </c>
      <c r="J2941">
        <v>2</v>
      </c>
      <c r="K2941">
        <v>0</v>
      </c>
      <c r="L2941" s="61" t="s">
        <v>4779</v>
      </c>
    </row>
    <row r="2942" spans="6:12">
      <c r="F2942" t="s">
        <v>15021</v>
      </c>
      <c r="G2942" t="s">
        <v>5395</v>
      </c>
      <c r="H2942">
        <v>7</v>
      </c>
      <c r="I2942">
        <v>1</v>
      </c>
      <c r="J2942">
        <v>0</v>
      </c>
      <c r="K2942">
        <v>0</v>
      </c>
      <c r="L2942" s="61" t="s">
        <v>4779</v>
      </c>
    </row>
    <row r="2943" spans="6:12">
      <c r="F2943" t="s">
        <v>15022</v>
      </c>
      <c r="G2943" t="s">
        <v>15023</v>
      </c>
      <c r="H2943">
        <v>4</v>
      </c>
      <c r="I2943">
        <v>3</v>
      </c>
      <c r="J2943">
        <v>1</v>
      </c>
      <c r="K2943">
        <v>0</v>
      </c>
      <c r="L2943" s="61" t="s">
        <v>4779</v>
      </c>
    </row>
    <row r="2944" spans="6:12">
      <c r="F2944" t="s">
        <v>15024</v>
      </c>
      <c r="G2944" t="s">
        <v>15025</v>
      </c>
      <c r="H2944">
        <v>8</v>
      </c>
      <c r="I2944">
        <v>0</v>
      </c>
      <c r="J2944">
        <v>0</v>
      </c>
      <c r="K2944">
        <v>0</v>
      </c>
      <c r="L2944" s="61" t="s">
        <v>4779</v>
      </c>
    </row>
    <row r="2945" spans="6:12">
      <c r="F2945" t="s">
        <v>15026</v>
      </c>
      <c r="G2945" t="s">
        <v>15027</v>
      </c>
      <c r="H2945">
        <v>5</v>
      </c>
      <c r="I2945">
        <v>1</v>
      </c>
      <c r="J2945">
        <v>2</v>
      </c>
      <c r="K2945">
        <v>0</v>
      </c>
      <c r="L2945" s="61" t="s">
        <v>4779</v>
      </c>
    </row>
    <row r="2946" spans="6:12">
      <c r="F2946" t="s">
        <v>15028</v>
      </c>
      <c r="G2946" t="s">
        <v>15029</v>
      </c>
      <c r="H2946">
        <v>6</v>
      </c>
      <c r="I2946">
        <v>2</v>
      </c>
      <c r="J2946">
        <v>0</v>
      </c>
      <c r="K2946">
        <v>0</v>
      </c>
      <c r="L2946" s="61" t="s">
        <v>4779</v>
      </c>
    </row>
    <row r="2947" spans="6:12">
      <c r="F2947" t="s">
        <v>15030</v>
      </c>
      <c r="G2947" t="s">
        <v>15031</v>
      </c>
      <c r="H2947">
        <v>6</v>
      </c>
      <c r="I2947">
        <v>1</v>
      </c>
      <c r="J2947">
        <v>1</v>
      </c>
      <c r="K2947">
        <v>0</v>
      </c>
      <c r="L2947" s="61" t="s">
        <v>4809</v>
      </c>
    </row>
    <row r="2948" spans="6:12">
      <c r="F2948" t="s">
        <v>15032</v>
      </c>
      <c r="G2948" t="s">
        <v>15033</v>
      </c>
      <c r="H2948">
        <v>7</v>
      </c>
      <c r="I2948">
        <v>1</v>
      </c>
      <c r="J2948">
        <v>0</v>
      </c>
      <c r="K2948">
        <v>0</v>
      </c>
      <c r="L2948" s="61" t="s">
        <v>4779</v>
      </c>
    </row>
    <row r="2949" spans="6:12">
      <c r="F2949" t="s">
        <v>15034</v>
      </c>
      <c r="G2949" t="s">
        <v>15035</v>
      </c>
      <c r="H2949">
        <v>7</v>
      </c>
      <c r="I2949">
        <v>0</v>
      </c>
      <c r="J2949">
        <v>1</v>
      </c>
      <c r="K2949">
        <v>0</v>
      </c>
      <c r="L2949" s="61" t="s">
        <v>4779</v>
      </c>
    </row>
    <row r="2950" spans="6:12">
      <c r="F2950" t="s">
        <v>15036</v>
      </c>
      <c r="G2950" t="s">
        <v>15037</v>
      </c>
      <c r="H2950">
        <v>4</v>
      </c>
      <c r="I2950">
        <v>2</v>
      </c>
      <c r="J2950">
        <v>2</v>
      </c>
      <c r="K2950">
        <v>0</v>
      </c>
      <c r="L2950" s="61" t="s">
        <v>4779</v>
      </c>
    </row>
    <row r="2951" spans="6:12">
      <c r="F2951" t="s">
        <v>15038</v>
      </c>
      <c r="G2951" t="s">
        <v>15039</v>
      </c>
      <c r="H2951">
        <v>8</v>
      </c>
      <c r="I2951">
        <v>0</v>
      </c>
      <c r="J2951">
        <v>0</v>
      </c>
      <c r="K2951">
        <v>0</v>
      </c>
      <c r="L2951" s="61" t="s">
        <v>4779</v>
      </c>
    </row>
    <row r="2952" spans="6:12">
      <c r="F2952" t="s">
        <v>15040</v>
      </c>
      <c r="G2952" t="s">
        <v>15041</v>
      </c>
      <c r="H2952">
        <v>6</v>
      </c>
      <c r="I2952">
        <v>2</v>
      </c>
      <c r="J2952">
        <v>0</v>
      </c>
      <c r="K2952">
        <v>0</v>
      </c>
      <c r="L2952" s="61" t="s">
        <v>4779</v>
      </c>
    </row>
    <row r="2953" spans="6:12">
      <c r="F2953" t="s">
        <v>15042</v>
      </c>
      <c r="G2953" t="s">
        <v>15043</v>
      </c>
      <c r="H2953">
        <v>2</v>
      </c>
      <c r="I2953">
        <v>3</v>
      </c>
      <c r="J2953">
        <v>2</v>
      </c>
      <c r="K2953">
        <v>1</v>
      </c>
      <c r="L2953" s="61" t="s">
        <v>4810</v>
      </c>
    </row>
    <row r="2954" spans="6:12">
      <c r="F2954" t="s">
        <v>15044</v>
      </c>
      <c r="G2954" t="s">
        <v>15045</v>
      </c>
      <c r="H2954">
        <v>5</v>
      </c>
      <c r="I2954">
        <v>1</v>
      </c>
      <c r="J2954">
        <v>2</v>
      </c>
      <c r="K2954">
        <v>0</v>
      </c>
      <c r="L2954" s="61" t="s">
        <v>4779</v>
      </c>
    </row>
    <row r="2955" spans="6:12">
      <c r="F2955" t="s">
        <v>15046</v>
      </c>
      <c r="G2955" t="s">
        <v>11001</v>
      </c>
      <c r="H2955">
        <v>3</v>
      </c>
      <c r="I2955">
        <v>3</v>
      </c>
      <c r="J2955">
        <v>2</v>
      </c>
      <c r="K2955">
        <v>0</v>
      </c>
      <c r="L2955" s="61" t="s">
        <v>4779</v>
      </c>
    </row>
    <row r="2956" spans="6:12">
      <c r="F2956" t="s">
        <v>15047</v>
      </c>
      <c r="G2956" t="s">
        <v>15048</v>
      </c>
      <c r="H2956">
        <v>3</v>
      </c>
      <c r="I2956">
        <v>4</v>
      </c>
      <c r="J2956">
        <v>1</v>
      </c>
      <c r="K2956">
        <v>0</v>
      </c>
      <c r="L2956" s="61" t="s">
        <v>4779</v>
      </c>
    </row>
    <row r="2957" spans="6:12">
      <c r="F2957" t="s">
        <v>15049</v>
      </c>
      <c r="G2957" t="s">
        <v>15050</v>
      </c>
      <c r="H2957">
        <v>8</v>
      </c>
      <c r="I2957">
        <v>0</v>
      </c>
      <c r="J2957">
        <v>0</v>
      </c>
      <c r="K2957">
        <v>0</v>
      </c>
      <c r="L2957" s="61" t="s">
        <v>4779</v>
      </c>
    </row>
    <row r="2958" spans="6:12">
      <c r="F2958" t="s">
        <v>15051</v>
      </c>
      <c r="G2958" t="s">
        <v>15052</v>
      </c>
      <c r="H2958">
        <v>5</v>
      </c>
      <c r="I2958">
        <v>3</v>
      </c>
      <c r="J2958">
        <v>0</v>
      </c>
      <c r="K2958">
        <v>0</v>
      </c>
      <c r="L2958" s="61" t="s">
        <v>4779</v>
      </c>
    </row>
    <row r="2959" spans="6:12">
      <c r="F2959" t="s">
        <v>15053</v>
      </c>
      <c r="G2959" t="s">
        <v>15054</v>
      </c>
      <c r="H2959">
        <v>7</v>
      </c>
      <c r="I2959">
        <v>1</v>
      </c>
      <c r="J2959">
        <v>0</v>
      </c>
      <c r="K2959">
        <v>0</v>
      </c>
      <c r="L2959" s="61" t="s">
        <v>4779</v>
      </c>
    </row>
    <row r="2960" spans="6:12">
      <c r="F2960" t="s">
        <v>15055</v>
      </c>
      <c r="G2960" t="s">
        <v>15056</v>
      </c>
      <c r="H2960">
        <v>2</v>
      </c>
      <c r="I2960">
        <v>4</v>
      </c>
      <c r="J2960">
        <v>2</v>
      </c>
      <c r="K2960">
        <v>0</v>
      </c>
      <c r="L2960" s="61" t="s">
        <v>4779</v>
      </c>
    </row>
    <row r="2961" spans="6:12">
      <c r="F2961" t="s">
        <v>15057</v>
      </c>
      <c r="G2961" t="s">
        <v>15058</v>
      </c>
      <c r="H2961">
        <v>6</v>
      </c>
      <c r="I2961">
        <v>2</v>
      </c>
      <c r="J2961">
        <v>0</v>
      </c>
      <c r="K2961">
        <v>0</v>
      </c>
      <c r="L2961" s="61" t="s">
        <v>4779</v>
      </c>
    </row>
    <row r="2962" spans="6:12">
      <c r="F2962" t="s">
        <v>15059</v>
      </c>
      <c r="G2962" t="s">
        <v>10960</v>
      </c>
      <c r="H2962">
        <v>7</v>
      </c>
      <c r="I2962">
        <v>0</v>
      </c>
      <c r="J2962">
        <v>1</v>
      </c>
      <c r="K2962">
        <v>0</v>
      </c>
      <c r="L2962" s="61" t="s">
        <v>4808</v>
      </c>
    </row>
    <row r="2963" spans="6:12">
      <c r="F2963" t="s">
        <v>15060</v>
      </c>
      <c r="G2963" t="s">
        <v>15061</v>
      </c>
      <c r="H2963">
        <v>6</v>
      </c>
      <c r="I2963">
        <v>1</v>
      </c>
      <c r="J2963">
        <v>1</v>
      </c>
      <c r="K2963">
        <v>0</v>
      </c>
      <c r="L2963" s="61" t="s">
        <v>4779</v>
      </c>
    </row>
    <row r="2964" spans="6:12">
      <c r="F2964" t="s">
        <v>15062</v>
      </c>
      <c r="G2964" t="s">
        <v>15063</v>
      </c>
      <c r="H2964">
        <v>4</v>
      </c>
      <c r="I2964">
        <v>4</v>
      </c>
      <c r="J2964">
        <v>0</v>
      </c>
      <c r="K2964">
        <v>0</v>
      </c>
      <c r="L2964" s="61" t="s">
        <v>4808</v>
      </c>
    </row>
    <row r="2965" spans="6:12">
      <c r="F2965" t="s">
        <v>15064</v>
      </c>
      <c r="G2965" t="s">
        <v>15065</v>
      </c>
      <c r="H2965">
        <v>3</v>
      </c>
      <c r="I2965">
        <v>3</v>
      </c>
      <c r="J2965">
        <v>2</v>
      </c>
      <c r="K2965">
        <v>0</v>
      </c>
      <c r="L2965" s="61" t="s">
        <v>4779</v>
      </c>
    </row>
    <row r="2966" spans="6:12">
      <c r="F2966" t="s">
        <v>15066</v>
      </c>
      <c r="G2966" t="s">
        <v>15067</v>
      </c>
      <c r="H2966">
        <v>3</v>
      </c>
      <c r="I2966">
        <v>4</v>
      </c>
      <c r="J2966">
        <v>1</v>
      </c>
      <c r="K2966">
        <v>0</v>
      </c>
      <c r="L2966" s="61" t="s">
        <v>4779</v>
      </c>
    </row>
    <row r="2967" spans="6:12">
      <c r="F2967" t="s">
        <v>15068</v>
      </c>
      <c r="G2967" t="s">
        <v>15069</v>
      </c>
      <c r="H2967">
        <v>8</v>
      </c>
      <c r="I2967">
        <v>0</v>
      </c>
      <c r="J2967">
        <v>0</v>
      </c>
      <c r="K2967">
        <v>0</v>
      </c>
      <c r="L2967" s="61" t="s">
        <v>4779</v>
      </c>
    </row>
    <row r="2968" spans="6:12">
      <c r="F2968" t="s">
        <v>15070</v>
      </c>
      <c r="G2968" t="s">
        <v>15071</v>
      </c>
      <c r="H2968">
        <v>4</v>
      </c>
      <c r="I2968">
        <v>4</v>
      </c>
      <c r="J2968">
        <v>0</v>
      </c>
      <c r="K2968">
        <v>0</v>
      </c>
      <c r="L2968" s="61" t="s">
        <v>4779</v>
      </c>
    </row>
    <row r="2969" spans="6:12">
      <c r="F2969" t="s">
        <v>15072</v>
      </c>
      <c r="G2969" t="s">
        <v>15073</v>
      </c>
      <c r="H2969">
        <v>6</v>
      </c>
      <c r="I2969">
        <v>0</v>
      </c>
      <c r="J2969">
        <v>2</v>
      </c>
      <c r="K2969">
        <v>0</v>
      </c>
      <c r="L2969" s="61" t="s">
        <v>4779</v>
      </c>
    </row>
    <row r="2970" spans="6:12">
      <c r="F2970" t="s">
        <v>15074</v>
      </c>
      <c r="G2970" t="s">
        <v>15075</v>
      </c>
      <c r="H2970">
        <v>6</v>
      </c>
      <c r="I2970">
        <v>1</v>
      </c>
      <c r="J2970">
        <v>1</v>
      </c>
      <c r="K2970">
        <v>0</v>
      </c>
      <c r="L2970" s="61" t="s">
        <v>4779</v>
      </c>
    </row>
    <row r="2971" spans="6:12">
      <c r="F2971" t="s">
        <v>15076</v>
      </c>
      <c r="G2971" t="s">
        <v>4736</v>
      </c>
      <c r="H2971">
        <v>5</v>
      </c>
      <c r="I2971">
        <v>1</v>
      </c>
      <c r="J2971">
        <v>2</v>
      </c>
      <c r="K2971">
        <v>0</v>
      </c>
      <c r="L2971" s="61" t="s">
        <v>4779</v>
      </c>
    </row>
    <row r="2972" spans="6:12">
      <c r="F2972" t="s">
        <v>15077</v>
      </c>
      <c r="G2972" t="s">
        <v>13918</v>
      </c>
      <c r="H2972">
        <v>3</v>
      </c>
      <c r="I2972">
        <v>4</v>
      </c>
      <c r="J2972">
        <v>1</v>
      </c>
      <c r="K2972">
        <v>0</v>
      </c>
      <c r="L2972" s="61" t="s">
        <v>4779</v>
      </c>
    </row>
    <row r="2973" spans="6:12">
      <c r="F2973" t="s">
        <v>15078</v>
      </c>
      <c r="G2973" t="s">
        <v>15079</v>
      </c>
      <c r="H2973">
        <v>6</v>
      </c>
      <c r="I2973">
        <v>0</v>
      </c>
      <c r="J2973">
        <v>2</v>
      </c>
      <c r="K2973">
        <v>0</v>
      </c>
      <c r="L2973" s="61" t="s">
        <v>4779</v>
      </c>
    </row>
    <row r="2974" spans="6:12">
      <c r="F2974" t="s">
        <v>15080</v>
      </c>
      <c r="G2974" t="s">
        <v>6916</v>
      </c>
      <c r="H2974">
        <v>7</v>
      </c>
      <c r="I2974">
        <v>0</v>
      </c>
      <c r="J2974">
        <v>1</v>
      </c>
      <c r="K2974">
        <v>0</v>
      </c>
      <c r="L2974" s="61" t="s">
        <v>4779</v>
      </c>
    </row>
    <row r="2975" spans="6:12">
      <c r="F2975" t="s">
        <v>15081</v>
      </c>
      <c r="G2975" t="s">
        <v>5173</v>
      </c>
      <c r="H2975">
        <v>5</v>
      </c>
      <c r="I2975">
        <v>3</v>
      </c>
      <c r="J2975">
        <v>0</v>
      </c>
      <c r="K2975">
        <v>0</v>
      </c>
      <c r="L2975" s="61" t="s">
        <v>4807</v>
      </c>
    </row>
    <row r="2976" spans="6:12">
      <c r="F2976" t="s">
        <v>15082</v>
      </c>
      <c r="G2976" t="s">
        <v>15083</v>
      </c>
      <c r="H2976">
        <v>8</v>
      </c>
      <c r="I2976">
        <v>0</v>
      </c>
      <c r="J2976">
        <v>0</v>
      </c>
      <c r="K2976">
        <v>0</v>
      </c>
      <c r="L2976" s="61" t="s">
        <v>4810</v>
      </c>
    </row>
    <row r="2977" spans="6:12">
      <c r="F2977" t="s">
        <v>15084</v>
      </c>
      <c r="G2977" t="s">
        <v>15085</v>
      </c>
      <c r="H2977">
        <v>6</v>
      </c>
      <c r="I2977">
        <v>0</v>
      </c>
      <c r="J2977">
        <v>2</v>
      </c>
      <c r="K2977">
        <v>0</v>
      </c>
      <c r="L2977" s="61" t="s">
        <v>4779</v>
      </c>
    </row>
    <row r="2978" spans="6:12">
      <c r="F2978" t="s">
        <v>15086</v>
      </c>
      <c r="G2978" t="s">
        <v>15087</v>
      </c>
      <c r="H2978">
        <v>6</v>
      </c>
      <c r="I2978">
        <v>2</v>
      </c>
      <c r="J2978">
        <v>0</v>
      </c>
      <c r="K2978">
        <v>0</v>
      </c>
      <c r="L2978" s="61" t="s">
        <v>4779</v>
      </c>
    </row>
    <row r="2979" spans="6:12">
      <c r="F2979" t="s">
        <v>15088</v>
      </c>
      <c r="G2979" t="s">
        <v>15089</v>
      </c>
      <c r="H2979">
        <v>4</v>
      </c>
      <c r="I2979">
        <v>4</v>
      </c>
      <c r="J2979">
        <v>0</v>
      </c>
      <c r="K2979">
        <v>0</v>
      </c>
      <c r="L2979" s="61" t="s">
        <v>4779</v>
      </c>
    </row>
    <row r="2980" spans="6:12">
      <c r="F2980" t="s">
        <v>15090</v>
      </c>
      <c r="G2980" t="s">
        <v>15091</v>
      </c>
      <c r="H2980">
        <v>4</v>
      </c>
      <c r="I2980">
        <v>2</v>
      </c>
      <c r="J2980">
        <v>2</v>
      </c>
      <c r="K2980">
        <v>0</v>
      </c>
      <c r="L2980" s="61" t="s">
        <v>4779</v>
      </c>
    </row>
    <row r="2981" spans="6:12">
      <c r="F2981" t="s">
        <v>15092</v>
      </c>
      <c r="G2981" t="s">
        <v>15093</v>
      </c>
      <c r="H2981">
        <v>6</v>
      </c>
      <c r="I2981">
        <v>1</v>
      </c>
      <c r="J2981">
        <v>1</v>
      </c>
      <c r="K2981">
        <v>0</v>
      </c>
      <c r="L2981" s="61" t="s">
        <v>4779</v>
      </c>
    </row>
    <row r="2982" spans="6:12">
      <c r="F2982" t="s">
        <v>15094</v>
      </c>
      <c r="G2982" t="s">
        <v>11008</v>
      </c>
      <c r="H2982">
        <v>2</v>
      </c>
      <c r="I2982">
        <v>4</v>
      </c>
      <c r="J2982">
        <v>2</v>
      </c>
      <c r="K2982">
        <v>0</v>
      </c>
      <c r="L2982" s="61" t="s">
        <v>4809</v>
      </c>
    </row>
    <row r="2983" spans="6:12">
      <c r="F2983" t="s">
        <v>15095</v>
      </c>
      <c r="G2983" t="s">
        <v>8561</v>
      </c>
      <c r="H2983">
        <v>3</v>
      </c>
      <c r="I2983">
        <v>3</v>
      </c>
      <c r="J2983">
        <v>2</v>
      </c>
      <c r="K2983">
        <v>0</v>
      </c>
      <c r="L2983" s="61" t="s">
        <v>4779</v>
      </c>
    </row>
    <row r="2984" spans="6:12">
      <c r="F2984" t="s">
        <v>15096</v>
      </c>
      <c r="G2984" t="s">
        <v>15097</v>
      </c>
      <c r="H2984">
        <v>6</v>
      </c>
      <c r="I2984">
        <v>0</v>
      </c>
      <c r="J2984">
        <v>2</v>
      </c>
      <c r="K2984">
        <v>0</v>
      </c>
      <c r="L2984" s="61" t="s">
        <v>4809</v>
      </c>
    </row>
    <row r="2985" spans="6:12">
      <c r="F2985" t="s">
        <v>15098</v>
      </c>
      <c r="G2985" t="s">
        <v>15099</v>
      </c>
      <c r="H2985">
        <v>7</v>
      </c>
      <c r="I2985">
        <v>1</v>
      </c>
      <c r="J2985">
        <v>0</v>
      </c>
      <c r="K2985">
        <v>0</v>
      </c>
      <c r="L2985" s="61" t="s">
        <v>4779</v>
      </c>
    </row>
    <row r="2986" spans="6:12">
      <c r="F2986" t="s">
        <v>15100</v>
      </c>
      <c r="G2986" t="s">
        <v>5087</v>
      </c>
      <c r="H2986">
        <v>6</v>
      </c>
      <c r="I2986">
        <v>1</v>
      </c>
      <c r="J2986">
        <v>1</v>
      </c>
      <c r="K2986">
        <v>0</v>
      </c>
      <c r="L2986" s="61" t="s">
        <v>4779</v>
      </c>
    </row>
    <row r="2987" spans="6:12">
      <c r="F2987" t="s">
        <v>15101</v>
      </c>
      <c r="G2987" t="s">
        <v>15102</v>
      </c>
      <c r="H2987">
        <v>5</v>
      </c>
      <c r="I2987">
        <v>2</v>
      </c>
      <c r="J2987">
        <v>1</v>
      </c>
      <c r="K2987">
        <v>0</v>
      </c>
      <c r="L2987" s="61" t="s">
        <v>4779</v>
      </c>
    </row>
    <row r="2988" spans="6:12">
      <c r="F2988" t="s">
        <v>15103</v>
      </c>
      <c r="G2988" t="s">
        <v>15104</v>
      </c>
      <c r="H2988">
        <v>2</v>
      </c>
      <c r="I2988">
        <v>4</v>
      </c>
      <c r="J2988">
        <v>2</v>
      </c>
      <c r="K2988">
        <v>0</v>
      </c>
      <c r="L2988" s="61" t="s">
        <v>4806</v>
      </c>
    </row>
    <row r="2989" spans="6:12">
      <c r="F2989" t="s">
        <v>15105</v>
      </c>
      <c r="G2989" t="s">
        <v>11086</v>
      </c>
      <c r="H2989">
        <v>6</v>
      </c>
      <c r="I2989">
        <v>1</v>
      </c>
      <c r="J2989">
        <v>0</v>
      </c>
      <c r="K2989">
        <v>1</v>
      </c>
      <c r="L2989" s="61" t="s">
        <v>4807</v>
      </c>
    </row>
    <row r="2990" spans="6:12">
      <c r="F2990" t="s">
        <v>15106</v>
      </c>
      <c r="G2990" t="s">
        <v>11015</v>
      </c>
      <c r="H2990">
        <v>4</v>
      </c>
      <c r="I2990">
        <v>3</v>
      </c>
      <c r="J2990">
        <v>1</v>
      </c>
      <c r="K2990">
        <v>0</v>
      </c>
      <c r="L2990" s="61" t="s">
        <v>4779</v>
      </c>
    </row>
    <row r="2991" spans="6:12">
      <c r="F2991" t="s">
        <v>15107</v>
      </c>
      <c r="G2991" t="s">
        <v>5913</v>
      </c>
      <c r="H2991">
        <v>4</v>
      </c>
      <c r="I2991">
        <v>2</v>
      </c>
      <c r="J2991">
        <v>2</v>
      </c>
      <c r="K2991">
        <v>0</v>
      </c>
      <c r="L2991" s="61" t="s">
        <v>4779</v>
      </c>
    </row>
    <row r="2992" spans="6:12">
      <c r="F2992" t="s">
        <v>15108</v>
      </c>
      <c r="G2992" t="s">
        <v>5177</v>
      </c>
      <c r="H2992">
        <v>6</v>
      </c>
      <c r="I2992">
        <v>0</v>
      </c>
      <c r="J2992">
        <v>1</v>
      </c>
      <c r="K2992">
        <v>1</v>
      </c>
      <c r="L2992" s="61" t="s">
        <v>4779</v>
      </c>
    </row>
    <row r="2993" spans="6:12">
      <c r="F2993" t="s">
        <v>15109</v>
      </c>
      <c r="G2993" t="s">
        <v>15110</v>
      </c>
      <c r="H2993">
        <v>6</v>
      </c>
      <c r="I2993">
        <v>1</v>
      </c>
      <c r="J2993">
        <v>1</v>
      </c>
      <c r="K2993">
        <v>0</v>
      </c>
      <c r="L2993" s="61" t="s">
        <v>4779</v>
      </c>
    </row>
    <row r="2994" spans="6:12">
      <c r="F2994" t="s">
        <v>15111</v>
      </c>
      <c r="G2994" t="s">
        <v>15112</v>
      </c>
      <c r="H2994">
        <v>7</v>
      </c>
      <c r="I2994">
        <v>1</v>
      </c>
      <c r="J2994">
        <v>0</v>
      </c>
      <c r="K2994">
        <v>0</v>
      </c>
      <c r="L2994" s="61" t="s">
        <v>4806</v>
      </c>
    </row>
    <row r="2995" spans="6:12">
      <c r="F2995" t="s">
        <v>15113</v>
      </c>
      <c r="G2995" t="s">
        <v>15114</v>
      </c>
      <c r="H2995">
        <v>6</v>
      </c>
      <c r="I2995">
        <v>2</v>
      </c>
      <c r="J2995">
        <v>0</v>
      </c>
      <c r="K2995">
        <v>0</v>
      </c>
      <c r="L2995" s="61" t="s">
        <v>4806</v>
      </c>
    </row>
    <row r="2996" spans="6:12">
      <c r="F2996" t="s">
        <v>15115</v>
      </c>
      <c r="G2996" t="s">
        <v>11088</v>
      </c>
      <c r="H2996">
        <v>3</v>
      </c>
      <c r="I2996">
        <v>3</v>
      </c>
      <c r="J2996">
        <v>2</v>
      </c>
      <c r="K2996">
        <v>0</v>
      </c>
      <c r="L2996" s="61" t="s">
        <v>4779</v>
      </c>
    </row>
    <row r="2997" spans="6:12">
      <c r="F2997" t="s">
        <v>15116</v>
      </c>
      <c r="G2997" t="s">
        <v>5751</v>
      </c>
      <c r="H2997">
        <v>5</v>
      </c>
      <c r="I2997">
        <v>1</v>
      </c>
      <c r="J2997">
        <v>2</v>
      </c>
      <c r="K2997">
        <v>0</v>
      </c>
      <c r="L2997" s="61" t="s">
        <v>4779</v>
      </c>
    </row>
    <row r="2998" spans="6:12">
      <c r="F2998" t="s">
        <v>15117</v>
      </c>
      <c r="G2998" t="s">
        <v>5922</v>
      </c>
      <c r="H2998">
        <v>5</v>
      </c>
      <c r="I2998">
        <v>1</v>
      </c>
      <c r="J2998">
        <v>2</v>
      </c>
      <c r="K2998">
        <v>0</v>
      </c>
      <c r="L2998" s="61" t="s">
        <v>4806</v>
      </c>
    </row>
    <row r="2999" spans="6:12">
      <c r="F2999" t="s">
        <v>15118</v>
      </c>
      <c r="G2999" t="s">
        <v>15119</v>
      </c>
      <c r="H2999">
        <v>8</v>
      </c>
      <c r="I2999">
        <v>0</v>
      </c>
      <c r="J2999">
        <v>0</v>
      </c>
      <c r="K2999">
        <v>0</v>
      </c>
      <c r="L2999" s="61" t="s">
        <v>4779</v>
      </c>
    </row>
    <row r="3000" spans="6:12">
      <c r="F3000" t="s">
        <v>15120</v>
      </c>
      <c r="G3000" t="s">
        <v>5493</v>
      </c>
      <c r="H3000">
        <v>3</v>
      </c>
      <c r="I3000">
        <v>3</v>
      </c>
      <c r="J3000">
        <v>2</v>
      </c>
      <c r="K3000">
        <v>0</v>
      </c>
      <c r="L3000" s="61" t="s">
        <v>4779</v>
      </c>
    </row>
    <row r="3001" spans="6:12">
      <c r="F3001" t="s">
        <v>15121</v>
      </c>
      <c r="G3001" t="s">
        <v>15122</v>
      </c>
      <c r="H3001">
        <v>4</v>
      </c>
      <c r="I3001">
        <v>4</v>
      </c>
      <c r="J3001">
        <v>0</v>
      </c>
      <c r="K3001">
        <v>0</v>
      </c>
      <c r="L3001" s="61" t="s">
        <v>4807</v>
      </c>
    </row>
    <row r="3002" spans="6:12">
      <c r="F3002" t="s">
        <v>15123</v>
      </c>
      <c r="G3002" t="s">
        <v>15124</v>
      </c>
      <c r="H3002">
        <v>6</v>
      </c>
      <c r="I3002">
        <v>2</v>
      </c>
      <c r="J3002">
        <v>0</v>
      </c>
      <c r="K3002">
        <v>0</v>
      </c>
      <c r="L3002" s="61" t="s">
        <v>4779</v>
      </c>
    </row>
    <row r="3003" spans="6:12">
      <c r="F3003" t="s">
        <v>15125</v>
      </c>
      <c r="G3003" t="s">
        <v>15126</v>
      </c>
      <c r="H3003">
        <v>4</v>
      </c>
      <c r="I3003">
        <v>4</v>
      </c>
      <c r="J3003">
        <v>0</v>
      </c>
      <c r="K3003">
        <v>0</v>
      </c>
      <c r="L3003" s="61" t="s">
        <v>4779</v>
      </c>
    </row>
    <row r="3004" spans="6:12">
      <c r="F3004" t="s">
        <v>15127</v>
      </c>
      <c r="G3004" t="s">
        <v>15128</v>
      </c>
      <c r="H3004">
        <v>2</v>
      </c>
      <c r="I3004">
        <v>4</v>
      </c>
      <c r="J3004">
        <v>2</v>
      </c>
      <c r="K3004">
        <v>0</v>
      </c>
      <c r="L3004" s="61" t="s">
        <v>4779</v>
      </c>
    </row>
    <row r="3005" spans="6:12">
      <c r="F3005" t="s">
        <v>15129</v>
      </c>
      <c r="G3005" t="s">
        <v>15130</v>
      </c>
      <c r="H3005">
        <v>8</v>
      </c>
      <c r="I3005">
        <v>0</v>
      </c>
      <c r="J3005">
        <v>0</v>
      </c>
      <c r="K3005">
        <v>0</v>
      </c>
      <c r="L3005" s="61" t="s">
        <v>4779</v>
      </c>
    </row>
    <row r="3006" spans="6:12">
      <c r="F3006" t="s">
        <v>15131</v>
      </c>
      <c r="G3006" t="s">
        <v>15132</v>
      </c>
      <c r="H3006">
        <v>3</v>
      </c>
      <c r="I3006">
        <v>3</v>
      </c>
      <c r="J3006">
        <v>2</v>
      </c>
      <c r="K3006">
        <v>0</v>
      </c>
      <c r="L3006" s="61" t="s">
        <v>4779</v>
      </c>
    </row>
    <row r="3007" spans="6:12">
      <c r="F3007" t="s">
        <v>15133</v>
      </c>
      <c r="G3007" t="s">
        <v>5938</v>
      </c>
      <c r="H3007">
        <v>6</v>
      </c>
      <c r="I3007">
        <v>1</v>
      </c>
      <c r="J3007">
        <v>1</v>
      </c>
      <c r="K3007">
        <v>0</v>
      </c>
      <c r="L3007" s="61" t="s">
        <v>4779</v>
      </c>
    </row>
    <row r="3008" spans="6:12">
      <c r="F3008" t="s">
        <v>15134</v>
      </c>
      <c r="G3008" t="s">
        <v>15135</v>
      </c>
      <c r="H3008">
        <v>5</v>
      </c>
      <c r="I3008">
        <v>1</v>
      </c>
      <c r="J3008">
        <v>2</v>
      </c>
      <c r="K3008">
        <v>0</v>
      </c>
      <c r="L3008" s="61" t="s">
        <v>4810</v>
      </c>
    </row>
    <row r="3009" spans="6:12">
      <c r="F3009" t="s">
        <v>15136</v>
      </c>
      <c r="G3009" t="s">
        <v>15137</v>
      </c>
      <c r="H3009">
        <v>7</v>
      </c>
      <c r="I3009">
        <v>1</v>
      </c>
      <c r="J3009">
        <v>0</v>
      </c>
      <c r="K3009">
        <v>0</v>
      </c>
      <c r="L3009" s="61" t="s">
        <v>4779</v>
      </c>
    </row>
    <row r="3010" spans="6:12">
      <c r="F3010" t="s">
        <v>15138</v>
      </c>
      <c r="G3010" t="s">
        <v>15139</v>
      </c>
      <c r="H3010">
        <v>8</v>
      </c>
      <c r="I3010">
        <v>0</v>
      </c>
      <c r="J3010">
        <v>0</v>
      </c>
      <c r="K3010">
        <v>0</v>
      </c>
      <c r="L3010" s="61" t="s">
        <v>4779</v>
      </c>
    </row>
    <row r="3011" spans="6:12">
      <c r="F3011" t="s">
        <v>15140</v>
      </c>
      <c r="G3011" t="s">
        <v>15141</v>
      </c>
      <c r="H3011">
        <v>4</v>
      </c>
      <c r="I3011">
        <v>4</v>
      </c>
      <c r="J3011">
        <v>0</v>
      </c>
      <c r="K3011">
        <v>0</v>
      </c>
      <c r="L3011" s="61" t="s">
        <v>4779</v>
      </c>
    </row>
    <row r="3012" spans="6:12">
      <c r="F3012" t="s">
        <v>15142</v>
      </c>
      <c r="G3012" t="s">
        <v>15143</v>
      </c>
      <c r="H3012">
        <v>5</v>
      </c>
      <c r="I3012">
        <v>3</v>
      </c>
      <c r="J3012">
        <v>0</v>
      </c>
      <c r="K3012">
        <v>0</v>
      </c>
      <c r="L3012" s="61" t="s">
        <v>4779</v>
      </c>
    </row>
    <row r="3013" spans="6:12">
      <c r="F3013" t="s">
        <v>15144</v>
      </c>
      <c r="G3013" t="s">
        <v>15145</v>
      </c>
      <c r="H3013">
        <v>6</v>
      </c>
      <c r="I3013">
        <v>0</v>
      </c>
      <c r="J3013">
        <v>2</v>
      </c>
      <c r="K3013">
        <v>0</v>
      </c>
      <c r="L3013" s="61" t="s">
        <v>4779</v>
      </c>
    </row>
    <row r="3014" spans="6:12">
      <c r="F3014" t="s">
        <v>15146</v>
      </c>
      <c r="G3014" t="s">
        <v>15147</v>
      </c>
      <c r="H3014">
        <v>6</v>
      </c>
      <c r="I3014">
        <v>1</v>
      </c>
      <c r="J3014">
        <v>1</v>
      </c>
      <c r="K3014">
        <v>0</v>
      </c>
      <c r="L3014" s="61" t="s">
        <v>4779</v>
      </c>
    </row>
    <row r="3015" spans="6:12">
      <c r="F3015" t="s">
        <v>15148</v>
      </c>
      <c r="G3015" t="s">
        <v>15149</v>
      </c>
      <c r="H3015">
        <v>2</v>
      </c>
      <c r="I3015">
        <v>4</v>
      </c>
      <c r="J3015">
        <v>2</v>
      </c>
      <c r="K3015">
        <v>0</v>
      </c>
      <c r="L3015" s="61" t="s">
        <v>4807</v>
      </c>
    </row>
    <row r="3016" spans="6:12">
      <c r="F3016" t="s">
        <v>15150</v>
      </c>
      <c r="G3016" t="s">
        <v>15151</v>
      </c>
      <c r="H3016">
        <v>6</v>
      </c>
      <c r="I3016">
        <v>0</v>
      </c>
      <c r="J3016">
        <v>2</v>
      </c>
      <c r="K3016">
        <v>0</v>
      </c>
      <c r="L3016" s="61" t="s">
        <v>4779</v>
      </c>
    </row>
    <row r="3017" spans="6:12">
      <c r="F3017" t="s">
        <v>15152</v>
      </c>
      <c r="G3017" t="s">
        <v>5158</v>
      </c>
      <c r="H3017">
        <v>7</v>
      </c>
      <c r="I3017">
        <v>1</v>
      </c>
      <c r="J3017">
        <v>0</v>
      </c>
      <c r="K3017">
        <v>0</v>
      </c>
      <c r="L3017" s="61" t="s">
        <v>4807</v>
      </c>
    </row>
    <row r="3018" spans="6:12">
      <c r="F3018" t="s">
        <v>15153</v>
      </c>
      <c r="G3018" t="s">
        <v>15154</v>
      </c>
      <c r="H3018">
        <v>4</v>
      </c>
      <c r="I3018">
        <v>3</v>
      </c>
      <c r="J3018">
        <v>1</v>
      </c>
      <c r="K3018">
        <v>0</v>
      </c>
      <c r="L3018" s="61" t="s">
        <v>4779</v>
      </c>
    </row>
    <row r="3019" spans="6:12">
      <c r="F3019" t="s">
        <v>15155</v>
      </c>
      <c r="G3019" t="s">
        <v>15156</v>
      </c>
      <c r="H3019">
        <v>6</v>
      </c>
      <c r="I3019">
        <v>2</v>
      </c>
      <c r="J3019">
        <v>0</v>
      </c>
      <c r="K3019">
        <v>0</v>
      </c>
      <c r="L3019" s="61" t="s">
        <v>4807</v>
      </c>
    </row>
    <row r="3020" spans="6:12">
      <c r="F3020" t="s">
        <v>15157</v>
      </c>
      <c r="G3020" t="s">
        <v>15158</v>
      </c>
      <c r="H3020">
        <v>6</v>
      </c>
      <c r="I3020">
        <v>1</v>
      </c>
      <c r="J3020">
        <v>1</v>
      </c>
      <c r="K3020">
        <v>0</v>
      </c>
      <c r="L3020" s="61" t="s">
        <v>4779</v>
      </c>
    </row>
    <row r="3021" spans="6:12">
      <c r="F3021" t="s">
        <v>15159</v>
      </c>
      <c r="G3021" t="s">
        <v>15160</v>
      </c>
      <c r="H3021">
        <v>5</v>
      </c>
      <c r="I3021">
        <v>2</v>
      </c>
      <c r="J3021">
        <v>1</v>
      </c>
      <c r="K3021">
        <v>0</v>
      </c>
      <c r="L3021" s="61" t="s">
        <v>4779</v>
      </c>
    </row>
    <row r="3022" spans="6:12">
      <c r="F3022" t="s">
        <v>15161</v>
      </c>
      <c r="G3022" t="s">
        <v>15162</v>
      </c>
      <c r="H3022">
        <v>5</v>
      </c>
      <c r="I3022">
        <v>3</v>
      </c>
      <c r="J3022">
        <v>0</v>
      </c>
      <c r="K3022">
        <v>0</v>
      </c>
      <c r="L3022" s="61" t="s">
        <v>4779</v>
      </c>
    </row>
    <row r="3023" spans="6:12">
      <c r="F3023" t="s">
        <v>15163</v>
      </c>
      <c r="G3023" t="s">
        <v>15164</v>
      </c>
      <c r="H3023">
        <v>7</v>
      </c>
      <c r="I3023">
        <v>1</v>
      </c>
      <c r="J3023">
        <v>0</v>
      </c>
      <c r="K3023">
        <v>0</v>
      </c>
      <c r="L3023" s="61" t="s">
        <v>4779</v>
      </c>
    </row>
    <row r="3024" spans="6:12">
      <c r="F3024" t="s">
        <v>15165</v>
      </c>
      <c r="G3024" t="s">
        <v>10995</v>
      </c>
      <c r="H3024">
        <v>2</v>
      </c>
      <c r="I3024">
        <v>4</v>
      </c>
      <c r="J3024">
        <v>2</v>
      </c>
      <c r="K3024">
        <v>0</v>
      </c>
      <c r="L3024" s="61" t="s">
        <v>4810</v>
      </c>
    </row>
    <row r="3025" spans="6:12">
      <c r="F3025" t="s">
        <v>15166</v>
      </c>
      <c r="G3025" t="s">
        <v>5914</v>
      </c>
      <c r="H3025">
        <v>6</v>
      </c>
      <c r="I3025">
        <v>2</v>
      </c>
      <c r="J3025">
        <v>0</v>
      </c>
      <c r="K3025">
        <v>0</v>
      </c>
      <c r="L3025" s="61" t="s">
        <v>4779</v>
      </c>
    </row>
    <row r="3026" spans="6:12">
      <c r="F3026" t="s">
        <v>15167</v>
      </c>
      <c r="G3026" t="s">
        <v>15168</v>
      </c>
      <c r="H3026">
        <v>7</v>
      </c>
      <c r="I3026">
        <v>1</v>
      </c>
      <c r="J3026">
        <v>0</v>
      </c>
      <c r="K3026">
        <v>0</v>
      </c>
      <c r="L3026" s="61" t="s">
        <v>4779</v>
      </c>
    </row>
    <row r="3027" spans="6:12">
      <c r="F3027" t="s">
        <v>15169</v>
      </c>
      <c r="G3027" t="s">
        <v>5333</v>
      </c>
      <c r="H3027">
        <v>4</v>
      </c>
      <c r="I3027">
        <v>2</v>
      </c>
      <c r="J3027">
        <v>2</v>
      </c>
      <c r="K3027">
        <v>0</v>
      </c>
      <c r="L3027" s="61" t="s">
        <v>4779</v>
      </c>
    </row>
    <row r="3028" spans="6:12">
      <c r="F3028" t="s">
        <v>15170</v>
      </c>
      <c r="G3028" t="s">
        <v>15171</v>
      </c>
      <c r="H3028">
        <v>6</v>
      </c>
      <c r="I3028">
        <v>1</v>
      </c>
      <c r="J3028">
        <v>1</v>
      </c>
      <c r="K3028">
        <v>0</v>
      </c>
      <c r="L3028" s="61" t="s">
        <v>4806</v>
      </c>
    </row>
    <row r="3029" spans="6:12">
      <c r="F3029" t="s">
        <v>15172</v>
      </c>
      <c r="G3029" t="s">
        <v>15173</v>
      </c>
      <c r="H3029">
        <v>5</v>
      </c>
      <c r="I3029">
        <v>3</v>
      </c>
      <c r="J3029">
        <v>0</v>
      </c>
      <c r="K3029">
        <v>0</v>
      </c>
      <c r="L3029" s="61" t="s">
        <v>4779</v>
      </c>
    </row>
    <row r="3030" spans="6:12">
      <c r="F3030" t="s">
        <v>15174</v>
      </c>
      <c r="G3030" t="s">
        <v>5899</v>
      </c>
      <c r="H3030">
        <v>3</v>
      </c>
      <c r="I3030">
        <v>3</v>
      </c>
      <c r="J3030">
        <v>2</v>
      </c>
      <c r="K3030">
        <v>0</v>
      </c>
      <c r="L3030" s="61" t="s">
        <v>4779</v>
      </c>
    </row>
    <row r="3031" spans="6:12">
      <c r="F3031" t="s">
        <v>15175</v>
      </c>
      <c r="G3031" t="s">
        <v>14955</v>
      </c>
      <c r="H3031">
        <v>6</v>
      </c>
      <c r="I3031">
        <v>2</v>
      </c>
      <c r="J3031">
        <v>0</v>
      </c>
      <c r="K3031">
        <v>0</v>
      </c>
      <c r="L3031" s="61" t="s">
        <v>4779</v>
      </c>
    </row>
    <row r="3032" spans="6:12">
      <c r="F3032" t="s">
        <v>15176</v>
      </c>
      <c r="G3032" t="s">
        <v>15177</v>
      </c>
      <c r="H3032">
        <v>6</v>
      </c>
      <c r="I3032">
        <v>2</v>
      </c>
      <c r="J3032">
        <v>0</v>
      </c>
      <c r="K3032">
        <v>0</v>
      </c>
      <c r="L3032" s="61" t="s">
        <v>4779</v>
      </c>
    </row>
    <row r="3033" spans="6:12">
      <c r="F3033" t="s">
        <v>15178</v>
      </c>
      <c r="G3033" t="s">
        <v>10990</v>
      </c>
      <c r="H3033">
        <v>4</v>
      </c>
      <c r="I3033">
        <v>4</v>
      </c>
      <c r="J3033">
        <v>0</v>
      </c>
      <c r="K3033">
        <v>0</v>
      </c>
      <c r="L3033" s="61" t="s">
        <v>4779</v>
      </c>
    </row>
    <row r="3034" spans="6:12">
      <c r="F3034" t="s">
        <v>15179</v>
      </c>
      <c r="G3034" t="s">
        <v>15180</v>
      </c>
      <c r="H3034">
        <v>8</v>
      </c>
      <c r="I3034">
        <v>0</v>
      </c>
      <c r="J3034">
        <v>0</v>
      </c>
      <c r="K3034">
        <v>0</v>
      </c>
      <c r="L3034" s="61" t="s">
        <v>4779</v>
      </c>
    </row>
    <row r="3035" spans="6:12">
      <c r="F3035" t="s">
        <v>15181</v>
      </c>
      <c r="G3035" t="s">
        <v>5917</v>
      </c>
      <c r="H3035">
        <v>4</v>
      </c>
      <c r="I3035">
        <v>3</v>
      </c>
      <c r="J3035">
        <v>1</v>
      </c>
      <c r="K3035">
        <v>0</v>
      </c>
      <c r="L3035" s="61" t="s">
        <v>4779</v>
      </c>
    </row>
    <row r="3036" spans="6:12">
      <c r="F3036" t="s">
        <v>15182</v>
      </c>
      <c r="G3036" t="s">
        <v>15183</v>
      </c>
      <c r="H3036">
        <v>7</v>
      </c>
      <c r="I3036">
        <v>0</v>
      </c>
      <c r="J3036">
        <v>1</v>
      </c>
      <c r="K3036">
        <v>0</v>
      </c>
      <c r="L3036" s="61" t="s">
        <v>4779</v>
      </c>
    </row>
    <row r="3037" spans="6:12">
      <c r="F3037" t="s">
        <v>15184</v>
      </c>
      <c r="G3037" t="s">
        <v>15185</v>
      </c>
      <c r="H3037">
        <v>7</v>
      </c>
      <c r="I3037">
        <v>1</v>
      </c>
      <c r="J3037">
        <v>0</v>
      </c>
      <c r="K3037">
        <v>0</v>
      </c>
      <c r="L3037" s="61" t="s">
        <v>4779</v>
      </c>
    </row>
    <row r="3038" spans="6:12">
      <c r="F3038" t="s">
        <v>15186</v>
      </c>
      <c r="G3038" t="s">
        <v>10251</v>
      </c>
      <c r="H3038">
        <v>7</v>
      </c>
      <c r="I3038">
        <v>1</v>
      </c>
      <c r="J3038">
        <v>0</v>
      </c>
      <c r="K3038">
        <v>0</v>
      </c>
      <c r="L3038" s="61" t="s">
        <v>4779</v>
      </c>
    </row>
    <row r="3039" spans="6:12">
      <c r="F3039" t="s">
        <v>15187</v>
      </c>
      <c r="G3039" t="s">
        <v>11005</v>
      </c>
      <c r="H3039">
        <v>3</v>
      </c>
      <c r="I3039">
        <v>3</v>
      </c>
      <c r="J3039">
        <v>2</v>
      </c>
      <c r="K3039">
        <v>0</v>
      </c>
      <c r="L3039" s="61" t="s">
        <v>4779</v>
      </c>
    </row>
    <row r="3040" spans="6:12">
      <c r="F3040" t="s">
        <v>15188</v>
      </c>
      <c r="G3040" t="s">
        <v>15189</v>
      </c>
      <c r="H3040">
        <v>8</v>
      </c>
      <c r="I3040">
        <v>0</v>
      </c>
      <c r="J3040">
        <v>0</v>
      </c>
      <c r="K3040">
        <v>0</v>
      </c>
      <c r="L3040" s="61" t="s">
        <v>4779</v>
      </c>
    </row>
    <row r="3041" spans="6:12">
      <c r="F3041" t="s">
        <v>15190</v>
      </c>
      <c r="G3041" t="s">
        <v>15191</v>
      </c>
      <c r="H3041">
        <v>5</v>
      </c>
      <c r="I3041">
        <v>3</v>
      </c>
      <c r="J3041">
        <v>0</v>
      </c>
      <c r="K3041">
        <v>0</v>
      </c>
      <c r="L3041" s="61" t="s">
        <v>4779</v>
      </c>
    </row>
    <row r="3042" spans="6:12">
      <c r="F3042" t="s">
        <v>15192</v>
      </c>
      <c r="G3042" t="s">
        <v>15193</v>
      </c>
      <c r="H3042">
        <v>6</v>
      </c>
      <c r="I3042">
        <v>2</v>
      </c>
      <c r="J3042">
        <v>0</v>
      </c>
      <c r="K3042">
        <v>0</v>
      </c>
      <c r="L3042" s="61" t="s">
        <v>4809</v>
      </c>
    </row>
    <row r="3043" spans="6:12">
      <c r="F3043" t="s">
        <v>15194</v>
      </c>
      <c r="G3043" t="s">
        <v>5899</v>
      </c>
      <c r="H3043">
        <v>6</v>
      </c>
      <c r="I3043">
        <v>0</v>
      </c>
      <c r="J3043">
        <v>2</v>
      </c>
      <c r="K3043">
        <v>0</v>
      </c>
      <c r="L3043" s="61" t="s">
        <v>4779</v>
      </c>
    </row>
    <row r="3044" spans="6:12">
      <c r="F3044" t="s">
        <v>15195</v>
      </c>
      <c r="G3044" t="s">
        <v>15196</v>
      </c>
      <c r="H3044">
        <v>4</v>
      </c>
      <c r="I3044">
        <v>4</v>
      </c>
      <c r="J3044">
        <v>0</v>
      </c>
      <c r="K3044">
        <v>0</v>
      </c>
      <c r="L3044" s="61" t="s">
        <v>4779</v>
      </c>
    </row>
    <row r="3045" spans="6:12">
      <c r="F3045" t="s">
        <v>15197</v>
      </c>
      <c r="G3045" t="s">
        <v>10987</v>
      </c>
      <c r="H3045">
        <v>4</v>
      </c>
      <c r="I3045">
        <v>2</v>
      </c>
      <c r="J3045">
        <v>2</v>
      </c>
      <c r="K3045">
        <v>0</v>
      </c>
      <c r="L3045" s="61" t="s">
        <v>4779</v>
      </c>
    </row>
    <row r="3046" spans="6:12">
      <c r="F3046" t="s">
        <v>15198</v>
      </c>
      <c r="G3046" t="s">
        <v>15199</v>
      </c>
      <c r="H3046">
        <v>6</v>
      </c>
      <c r="I3046">
        <v>2</v>
      </c>
      <c r="J3046">
        <v>0</v>
      </c>
      <c r="K3046">
        <v>0</v>
      </c>
      <c r="L3046" s="61" t="s">
        <v>4779</v>
      </c>
    </row>
    <row r="3047" spans="6:12">
      <c r="F3047" t="s">
        <v>15200</v>
      </c>
      <c r="G3047" t="s">
        <v>15201</v>
      </c>
      <c r="H3047">
        <v>6</v>
      </c>
      <c r="I3047">
        <v>0</v>
      </c>
      <c r="J3047">
        <v>2</v>
      </c>
      <c r="K3047">
        <v>0</v>
      </c>
      <c r="L3047" s="61" t="s">
        <v>4809</v>
      </c>
    </row>
    <row r="3048" spans="6:12">
      <c r="F3048" t="s">
        <v>15202</v>
      </c>
      <c r="G3048" t="s">
        <v>15203</v>
      </c>
      <c r="H3048">
        <v>7</v>
      </c>
      <c r="I3048">
        <v>1</v>
      </c>
      <c r="J3048">
        <v>0</v>
      </c>
      <c r="K3048">
        <v>0</v>
      </c>
      <c r="L3048" s="61" t="s">
        <v>4809</v>
      </c>
    </row>
    <row r="3049" spans="6:12">
      <c r="F3049" t="s">
        <v>15204</v>
      </c>
      <c r="G3049" t="s">
        <v>15205</v>
      </c>
      <c r="H3049">
        <v>6</v>
      </c>
      <c r="I3049">
        <v>1</v>
      </c>
      <c r="J3049">
        <v>1</v>
      </c>
      <c r="K3049">
        <v>0</v>
      </c>
      <c r="L3049" s="61" t="s">
        <v>4806</v>
      </c>
    </row>
    <row r="3050" spans="6:12">
      <c r="F3050" t="s">
        <v>15206</v>
      </c>
      <c r="G3050" t="s">
        <v>10982</v>
      </c>
      <c r="H3050">
        <v>6</v>
      </c>
      <c r="I3050">
        <v>0</v>
      </c>
      <c r="J3050">
        <v>2</v>
      </c>
      <c r="K3050">
        <v>0</v>
      </c>
      <c r="L3050" s="61" t="s">
        <v>4779</v>
      </c>
    </row>
    <row r="3051" spans="6:12">
      <c r="F3051" t="s">
        <v>15207</v>
      </c>
      <c r="G3051" t="s">
        <v>15208</v>
      </c>
      <c r="H3051">
        <v>7</v>
      </c>
      <c r="I3051">
        <v>1</v>
      </c>
      <c r="J3051">
        <v>0</v>
      </c>
      <c r="K3051">
        <v>0</v>
      </c>
      <c r="L3051" s="61" t="s">
        <v>4779</v>
      </c>
    </row>
    <row r="3052" spans="6:12">
      <c r="F3052" t="s">
        <v>15209</v>
      </c>
      <c r="G3052" t="s">
        <v>15210</v>
      </c>
      <c r="H3052">
        <v>5</v>
      </c>
      <c r="I3052">
        <v>2</v>
      </c>
      <c r="J3052">
        <v>1</v>
      </c>
      <c r="K3052">
        <v>0</v>
      </c>
      <c r="L3052" s="61" t="s">
        <v>4779</v>
      </c>
    </row>
    <row r="3053" spans="6:12">
      <c r="F3053" t="s">
        <v>15211</v>
      </c>
      <c r="G3053" t="s">
        <v>11092</v>
      </c>
      <c r="H3053">
        <v>7</v>
      </c>
      <c r="I3053">
        <v>1</v>
      </c>
      <c r="J3053">
        <v>0</v>
      </c>
      <c r="K3053">
        <v>0</v>
      </c>
      <c r="L3053" s="61" t="s">
        <v>4779</v>
      </c>
    </row>
    <row r="3054" spans="6:12">
      <c r="F3054" t="s">
        <v>15212</v>
      </c>
      <c r="G3054" t="s">
        <v>15213</v>
      </c>
      <c r="H3054">
        <v>5</v>
      </c>
      <c r="I3054">
        <v>1</v>
      </c>
      <c r="J3054">
        <v>2</v>
      </c>
      <c r="K3054">
        <v>0</v>
      </c>
      <c r="L3054" s="61" t="s">
        <v>4779</v>
      </c>
    </row>
    <row r="3055" spans="6:12">
      <c r="F3055" t="s">
        <v>15214</v>
      </c>
      <c r="G3055" t="s">
        <v>15215</v>
      </c>
      <c r="H3055">
        <v>4</v>
      </c>
      <c r="I3055">
        <v>4</v>
      </c>
      <c r="J3055">
        <v>0</v>
      </c>
      <c r="K3055">
        <v>0</v>
      </c>
      <c r="L3055" s="61" t="s">
        <v>4779</v>
      </c>
    </row>
    <row r="3056" spans="6:12">
      <c r="F3056" t="s">
        <v>15216</v>
      </c>
      <c r="G3056" t="s">
        <v>15217</v>
      </c>
      <c r="H3056">
        <v>3</v>
      </c>
      <c r="I3056">
        <v>4</v>
      </c>
      <c r="J3056">
        <v>0</v>
      </c>
      <c r="K3056">
        <v>1</v>
      </c>
      <c r="L3056" s="61" t="s">
        <v>4779</v>
      </c>
    </row>
    <row r="3057" spans="6:12">
      <c r="F3057" t="s">
        <v>15218</v>
      </c>
      <c r="G3057" t="s">
        <v>11002</v>
      </c>
      <c r="H3057">
        <v>6</v>
      </c>
      <c r="I3057">
        <v>2</v>
      </c>
      <c r="J3057">
        <v>0</v>
      </c>
      <c r="K3057">
        <v>0</v>
      </c>
      <c r="L3057" s="61" t="s">
        <v>4806</v>
      </c>
    </row>
    <row r="3058" spans="6:12">
      <c r="F3058" t="s">
        <v>15219</v>
      </c>
      <c r="G3058" t="s">
        <v>15220</v>
      </c>
      <c r="H3058">
        <v>6</v>
      </c>
      <c r="I3058">
        <v>0</v>
      </c>
      <c r="J3058">
        <v>2</v>
      </c>
      <c r="K3058">
        <v>0</v>
      </c>
      <c r="L3058" s="61" t="s">
        <v>4808</v>
      </c>
    </row>
    <row r="3059" spans="6:12">
      <c r="F3059" t="s">
        <v>15221</v>
      </c>
      <c r="G3059" t="s">
        <v>15222</v>
      </c>
      <c r="H3059">
        <v>4</v>
      </c>
      <c r="I3059">
        <v>4</v>
      </c>
      <c r="J3059">
        <v>0</v>
      </c>
      <c r="K3059">
        <v>0</v>
      </c>
      <c r="L3059" s="61" t="s">
        <v>4779</v>
      </c>
    </row>
    <row r="3060" spans="6:12">
      <c r="F3060" t="s">
        <v>15223</v>
      </c>
      <c r="G3060" t="s">
        <v>15224</v>
      </c>
      <c r="H3060">
        <v>6</v>
      </c>
      <c r="I3060">
        <v>1</v>
      </c>
      <c r="J3060">
        <v>1</v>
      </c>
      <c r="K3060">
        <v>0</v>
      </c>
      <c r="L3060" s="61" t="s">
        <v>4779</v>
      </c>
    </row>
    <row r="3061" spans="6:12">
      <c r="F3061" t="s">
        <v>15225</v>
      </c>
      <c r="G3061" t="s">
        <v>11013</v>
      </c>
      <c r="H3061">
        <v>3</v>
      </c>
      <c r="I3061">
        <v>3</v>
      </c>
      <c r="J3061">
        <v>2</v>
      </c>
      <c r="K3061">
        <v>0</v>
      </c>
      <c r="L3061" s="61" t="s">
        <v>4779</v>
      </c>
    </row>
    <row r="3062" spans="6:12">
      <c r="F3062" t="s">
        <v>15226</v>
      </c>
      <c r="G3062" t="s">
        <v>5679</v>
      </c>
      <c r="H3062">
        <v>3</v>
      </c>
      <c r="I3062">
        <v>3</v>
      </c>
      <c r="J3062">
        <v>2</v>
      </c>
      <c r="K3062">
        <v>0</v>
      </c>
      <c r="L3062" s="61" t="s">
        <v>4779</v>
      </c>
    </row>
    <row r="3063" spans="6:12">
      <c r="F3063" t="s">
        <v>15227</v>
      </c>
      <c r="G3063" t="s">
        <v>15228</v>
      </c>
      <c r="H3063">
        <v>5</v>
      </c>
      <c r="I3063">
        <v>3</v>
      </c>
      <c r="J3063">
        <v>0</v>
      </c>
      <c r="K3063">
        <v>0</v>
      </c>
      <c r="L3063" s="61" t="s">
        <v>4779</v>
      </c>
    </row>
    <row r="3064" spans="6:12">
      <c r="F3064" t="s">
        <v>15229</v>
      </c>
      <c r="G3064" t="s">
        <v>15230</v>
      </c>
      <c r="H3064">
        <v>6</v>
      </c>
      <c r="I3064">
        <v>0</v>
      </c>
      <c r="J3064">
        <v>2</v>
      </c>
      <c r="K3064">
        <v>0</v>
      </c>
      <c r="L3064" s="61" t="s">
        <v>4779</v>
      </c>
    </row>
    <row r="3065" spans="6:12">
      <c r="F3065" t="s">
        <v>15231</v>
      </c>
      <c r="G3065" t="s">
        <v>15232</v>
      </c>
      <c r="H3065">
        <v>4</v>
      </c>
      <c r="I3065">
        <v>4</v>
      </c>
      <c r="J3065">
        <v>0</v>
      </c>
      <c r="K3065">
        <v>0</v>
      </c>
      <c r="L3065" s="61" t="s">
        <v>4779</v>
      </c>
    </row>
    <row r="3066" spans="6:12">
      <c r="F3066" t="s">
        <v>15233</v>
      </c>
      <c r="G3066" t="s">
        <v>15234</v>
      </c>
      <c r="H3066">
        <v>4</v>
      </c>
      <c r="I3066">
        <v>2</v>
      </c>
      <c r="J3066">
        <v>2</v>
      </c>
      <c r="K3066">
        <v>0</v>
      </c>
      <c r="L3066" s="61" t="s">
        <v>4779</v>
      </c>
    </row>
    <row r="3067" spans="6:12">
      <c r="F3067" t="s">
        <v>15235</v>
      </c>
      <c r="G3067" t="s">
        <v>11046</v>
      </c>
      <c r="H3067">
        <v>7</v>
      </c>
      <c r="I3067">
        <v>0</v>
      </c>
      <c r="J3067">
        <v>1</v>
      </c>
      <c r="K3067">
        <v>0</v>
      </c>
      <c r="L3067" s="61" t="s">
        <v>4779</v>
      </c>
    </row>
    <row r="3068" spans="6:12">
      <c r="F3068" t="s">
        <v>15236</v>
      </c>
      <c r="G3068" t="s">
        <v>15052</v>
      </c>
      <c r="H3068">
        <v>5</v>
      </c>
      <c r="I3068">
        <v>3</v>
      </c>
      <c r="J3068">
        <v>0</v>
      </c>
      <c r="K3068">
        <v>0</v>
      </c>
      <c r="L3068" s="61" t="s">
        <v>4779</v>
      </c>
    </row>
    <row r="3069" spans="6:12">
      <c r="F3069" t="s">
        <v>15237</v>
      </c>
      <c r="G3069" t="s">
        <v>15238</v>
      </c>
      <c r="H3069">
        <v>5</v>
      </c>
      <c r="I3069">
        <v>3</v>
      </c>
      <c r="J3069">
        <v>0</v>
      </c>
      <c r="K3069">
        <v>0</v>
      </c>
      <c r="L3069" s="61" t="s">
        <v>4779</v>
      </c>
    </row>
    <row r="3070" spans="6:12">
      <c r="F3070" t="s">
        <v>15239</v>
      </c>
      <c r="G3070" t="s">
        <v>15240</v>
      </c>
      <c r="H3070">
        <v>6</v>
      </c>
      <c r="I3070">
        <v>2</v>
      </c>
      <c r="J3070">
        <v>0</v>
      </c>
      <c r="K3070">
        <v>0</v>
      </c>
      <c r="L3070" s="61" t="s">
        <v>4779</v>
      </c>
    </row>
    <row r="3071" spans="6:12">
      <c r="F3071" t="s">
        <v>15241</v>
      </c>
      <c r="G3071" t="s">
        <v>15242</v>
      </c>
      <c r="H3071">
        <v>8</v>
      </c>
      <c r="I3071">
        <v>0</v>
      </c>
      <c r="J3071">
        <v>0</v>
      </c>
      <c r="K3071">
        <v>0</v>
      </c>
      <c r="L3071" s="61" t="s">
        <v>4779</v>
      </c>
    </row>
    <row r="3072" spans="6:12">
      <c r="F3072" t="s">
        <v>15243</v>
      </c>
      <c r="G3072" t="s">
        <v>14117</v>
      </c>
      <c r="H3072">
        <v>3</v>
      </c>
      <c r="I3072">
        <v>3</v>
      </c>
      <c r="J3072">
        <v>2</v>
      </c>
      <c r="K3072">
        <v>0</v>
      </c>
      <c r="L3072" s="61" t="s">
        <v>4779</v>
      </c>
    </row>
    <row r="3073" spans="6:12">
      <c r="F3073" t="s">
        <v>15244</v>
      </c>
      <c r="G3073" t="s">
        <v>15245</v>
      </c>
      <c r="H3073">
        <v>8</v>
      </c>
      <c r="I3073">
        <v>0</v>
      </c>
      <c r="J3073">
        <v>0</v>
      </c>
      <c r="K3073">
        <v>0</v>
      </c>
      <c r="L3073" s="61" t="s">
        <v>4779</v>
      </c>
    </row>
    <row r="3074" spans="6:12">
      <c r="F3074" t="s">
        <v>15246</v>
      </c>
      <c r="G3074" t="s">
        <v>15247</v>
      </c>
      <c r="H3074">
        <v>5</v>
      </c>
      <c r="I3074">
        <v>1</v>
      </c>
      <c r="J3074">
        <v>2</v>
      </c>
      <c r="K3074">
        <v>0</v>
      </c>
      <c r="L3074" s="61" t="s">
        <v>4779</v>
      </c>
    </row>
    <row r="3075" spans="6:12">
      <c r="F3075" t="s">
        <v>15248</v>
      </c>
      <c r="G3075" t="s">
        <v>15249</v>
      </c>
      <c r="H3075">
        <v>6</v>
      </c>
      <c r="I3075">
        <v>0</v>
      </c>
      <c r="J3075">
        <v>2</v>
      </c>
      <c r="K3075">
        <v>0</v>
      </c>
      <c r="L3075" s="61" t="s">
        <v>4779</v>
      </c>
    </row>
    <row r="3076" spans="6:12">
      <c r="F3076" t="s">
        <v>15250</v>
      </c>
      <c r="G3076" t="s">
        <v>9137</v>
      </c>
      <c r="H3076">
        <v>4</v>
      </c>
      <c r="I3076">
        <v>2</v>
      </c>
      <c r="J3076">
        <v>2</v>
      </c>
      <c r="K3076">
        <v>0</v>
      </c>
      <c r="L3076" s="61" t="s">
        <v>4779</v>
      </c>
    </row>
    <row r="3077" spans="6:12">
      <c r="F3077" t="s">
        <v>15251</v>
      </c>
      <c r="G3077" t="s">
        <v>15213</v>
      </c>
      <c r="H3077">
        <v>5</v>
      </c>
      <c r="I3077">
        <v>1</v>
      </c>
      <c r="J3077">
        <v>2</v>
      </c>
      <c r="K3077">
        <v>0</v>
      </c>
      <c r="L3077" s="61" t="s">
        <v>4779</v>
      </c>
    </row>
    <row r="3078" spans="6:12">
      <c r="F3078" t="s">
        <v>15252</v>
      </c>
      <c r="G3078" t="s">
        <v>14457</v>
      </c>
      <c r="H3078">
        <v>4</v>
      </c>
      <c r="I3078">
        <v>3</v>
      </c>
      <c r="J3078">
        <v>1</v>
      </c>
      <c r="K3078">
        <v>0</v>
      </c>
      <c r="L3078" s="61" t="s">
        <v>4779</v>
      </c>
    </row>
    <row r="3079" spans="6:12">
      <c r="F3079" t="s">
        <v>15253</v>
      </c>
      <c r="G3079" t="s">
        <v>15254</v>
      </c>
      <c r="H3079">
        <v>8</v>
      </c>
      <c r="I3079">
        <v>0</v>
      </c>
      <c r="J3079">
        <v>0</v>
      </c>
      <c r="K3079">
        <v>0</v>
      </c>
      <c r="L3079" s="61" t="s">
        <v>4779</v>
      </c>
    </row>
    <row r="3080" spans="6:12">
      <c r="F3080" t="s">
        <v>15255</v>
      </c>
      <c r="G3080" t="s">
        <v>15093</v>
      </c>
      <c r="H3080">
        <v>7</v>
      </c>
      <c r="I3080">
        <v>0</v>
      </c>
      <c r="J3080">
        <v>1</v>
      </c>
      <c r="K3080">
        <v>0</v>
      </c>
      <c r="L3080" s="61" t="s">
        <v>4809</v>
      </c>
    </row>
    <row r="3081" spans="6:12">
      <c r="F3081" t="s">
        <v>15256</v>
      </c>
      <c r="G3081" t="s">
        <v>15257</v>
      </c>
      <c r="H3081">
        <v>8</v>
      </c>
      <c r="I3081">
        <v>0</v>
      </c>
      <c r="J3081">
        <v>0</v>
      </c>
      <c r="K3081">
        <v>0</v>
      </c>
      <c r="L3081" s="61" t="s">
        <v>4779</v>
      </c>
    </row>
    <row r="3082" spans="6:12">
      <c r="F3082" t="s">
        <v>15258</v>
      </c>
      <c r="G3082" t="s">
        <v>5176</v>
      </c>
      <c r="H3082">
        <v>4</v>
      </c>
      <c r="I3082">
        <v>4</v>
      </c>
      <c r="J3082">
        <v>0</v>
      </c>
      <c r="K3082">
        <v>0</v>
      </c>
      <c r="L3082" s="61" t="s">
        <v>4779</v>
      </c>
    </row>
    <row r="3083" spans="6:12">
      <c r="F3083" t="s">
        <v>15259</v>
      </c>
      <c r="G3083" t="s">
        <v>5335</v>
      </c>
      <c r="H3083">
        <v>2</v>
      </c>
      <c r="I3083">
        <v>3</v>
      </c>
      <c r="J3083">
        <v>2</v>
      </c>
      <c r="K3083">
        <v>1</v>
      </c>
      <c r="L3083" s="61" t="s">
        <v>4779</v>
      </c>
    </row>
    <row r="3084" spans="6:12">
      <c r="F3084" t="s">
        <v>15260</v>
      </c>
      <c r="G3084" t="s">
        <v>15261</v>
      </c>
      <c r="H3084">
        <v>8</v>
      </c>
      <c r="I3084">
        <v>0</v>
      </c>
      <c r="J3084">
        <v>0</v>
      </c>
      <c r="K3084">
        <v>0</v>
      </c>
      <c r="L3084" s="61" t="s">
        <v>4779</v>
      </c>
    </row>
    <row r="3085" spans="6:12">
      <c r="F3085" t="s">
        <v>15262</v>
      </c>
      <c r="G3085" t="s">
        <v>5496</v>
      </c>
      <c r="H3085">
        <v>4</v>
      </c>
      <c r="I3085">
        <v>2</v>
      </c>
      <c r="J3085">
        <v>2</v>
      </c>
      <c r="K3085">
        <v>0</v>
      </c>
      <c r="L3085" s="61" t="s">
        <v>4779</v>
      </c>
    </row>
    <row r="3086" spans="6:12">
      <c r="F3086" t="s">
        <v>15263</v>
      </c>
      <c r="G3086" t="s">
        <v>15264</v>
      </c>
      <c r="H3086">
        <v>5</v>
      </c>
      <c r="I3086">
        <v>1</v>
      </c>
      <c r="J3086">
        <v>2</v>
      </c>
      <c r="K3086">
        <v>0</v>
      </c>
      <c r="L3086" s="61" t="s">
        <v>4779</v>
      </c>
    </row>
    <row r="3087" spans="6:12">
      <c r="F3087" t="s">
        <v>15265</v>
      </c>
      <c r="G3087" t="s">
        <v>15266</v>
      </c>
      <c r="H3087">
        <v>6</v>
      </c>
      <c r="I3087">
        <v>2</v>
      </c>
      <c r="J3087">
        <v>0</v>
      </c>
      <c r="K3087">
        <v>0</v>
      </c>
      <c r="L3087" s="61" t="s">
        <v>4810</v>
      </c>
    </row>
    <row r="3088" spans="6:12">
      <c r="F3088" t="s">
        <v>15267</v>
      </c>
      <c r="G3088" t="s">
        <v>14754</v>
      </c>
      <c r="H3088">
        <v>4</v>
      </c>
      <c r="I3088">
        <v>3</v>
      </c>
      <c r="J3088">
        <v>1</v>
      </c>
      <c r="K3088">
        <v>0</v>
      </c>
      <c r="L3088" s="61" t="s">
        <v>4779</v>
      </c>
    </row>
    <row r="3089" spans="6:12">
      <c r="F3089" t="s">
        <v>15268</v>
      </c>
      <c r="G3089" t="s">
        <v>11087</v>
      </c>
      <c r="H3089">
        <v>5</v>
      </c>
      <c r="I3089">
        <v>1</v>
      </c>
      <c r="J3089">
        <v>2</v>
      </c>
      <c r="K3089">
        <v>0</v>
      </c>
      <c r="L3089" s="61" t="s">
        <v>4779</v>
      </c>
    </row>
    <row r="3090" spans="6:12">
      <c r="F3090" t="s">
        <v>15269</v>
      </c>
      <c r="G3090" t="s">
        <v>15270</v>
      </c>
      <c r="H3090">
        <v>7</v>
      </c>
      <c r="I3090">
        <v>1</v>
      </c>
      <c r="J3090">
        <v>0</v>
      </c>
      <c r="K3090">
        <v>0</v>
      </c>
      <c r="L3090" s="61" t="s">
        <v>4807</v>
      </c>
    </row>
    <row r="3091" spans="6:12">
      <c r="F3091" t="s">
        <v>15271</v>
      </c>
      <c r="G3091" t="s">
        <v>15272</v>
      </c>
      <c r="H3091">
        <v>7</v>
      </c>
      <c r="I3091">
        <v>1</v>
      </c>
      <c r="J3091">
        <v>0</v>
      </c>
      <c r="K3091">
        <v>0</v>
      </c>
      <c r="L3091" s="61" t="s">
        <v>4779</v>
      </c>
    </row>
    <row r="3092" spans="6:12">
      <c r="F3092" t="s">
        <v>15273</v>
      </c>
      <c r="G3092" t="s">
        <v>15274</v>
      </c>
      <c r="H3092">
        <v>4</v>
      </c>
      <c r="I3092">
        <v>3</v>
      </c>
      <c r="J3092">
        <v>1</v>
      </c>
      <c r="K3092">
        <v>0</v>
      </c>
      <c r="L3092" s="61" t="s">
        <v>4779</v>
      </c>
    </row>
    <row r="3093" spans="6:12">
      <c r="F3093" t="s">
        <v>15275</v>
      </c>
      <c r="G3093" t="s">
        <v>15276</v>
      </c>
      <c r="H3093">
        <v>6</v>
      </c>
      <c r="I3093">
        <v>2</v>
      </c>
      <c r="J3093">
        <v>0</v>
      </c>
      <c r="K3093">
        <v>0</v>
      </c>
      <c r="L3093" s="61" t="s">
        <v>4779</v>
      </c>
    </row>
    <row r="3094" spans="6:12">
      <c r="F3094" t="s">
        <v>15277</v>
      </c>
      <c r="G3094" t="s">
        <v>15278</v>
      </c>
      <c r="H3094">
        <v>5</v>
      </c>
      <c r="I3094">
        <v>3</v>
      </c>
      <c r="J3094">
        <v>0</v>
      </c>
      <c r="K3094">
        <v>0</v>
      </c>
      <c r="L3094" s="61" t="s">
        <v>4779</v>
      </c>
    </row>
    <row r="3095" spans="6:12">
      <c r="F3095" t="s">
        <v>15279</v>
      </c>
      <c r="G3095" t="s">
        <v>11003</v>
      </c>
      <c r="H3095">
        <v>3</v>
      </c>
      <c r="I3095">
        <v>3</v>
      </c>
      <c r="J3095">
        <v>2</v>
      </c>
      <c r="K3095">
        <v>0</v>
      </c>
      <c r="L3095" s="61" t="s">
        <v>4779</v>
      </c>
    </row>
    <row r="3096" spans="6:12">
      <c r="F3096" t="s">
        <v>15280</v>
      </c>
      <c r="G3096" t="s">
        <v>15281</v>
      </c>
      <c r="H3096">
        <v>4</v>
      </c>
      <c r="I3096">
        <v>3</v>
      </c>
      <c r="J3096">
        <v>1</v>
      </c>
      <c r="K3096">
        <v>0</v>
      </c>
      <c r="L3096" s="61" t="s">
        <v>4779</v>
      </c>
    </row>
    <row r="3097" spans="6:12">
      <c r="F3097" t="s">
        <v>15282</v>
      </c>
      <c r="G3097" t="s">
        <v>11048</v>
      </c>
      <c r="H3097">
        <v>2</v>
      </c>
      <c r="I3097">
        <v>4</v>
      </c>
      <c r="J3097">
        <v>2</v>
      </c>
      <c r="K3097">
        <v>0</v>
      </c>
      <c r="L3097" s="61" t="s">
        <v>4779</v>
      </c>
    </row>
    <row r="3098" spans="6:12">
      <c r="F3098" t="s">
        <v>15283</v>
      </c>
      <c r="G3098" t="s">
        <v>5935</v>
      </c>
      <c r="H3098">
        <v>4</v>
      </c>
      <c r="I3098">
        <v>2</v>
      </c>
      <c r="J3098">
        <v>2</v>
      </c>
      <c r="K3098">
        <v>0</v>
      </c>
      <c r="L3098" s="61" t="s">
        <v>4779</v>
      </c>
    </row>
    <row r="3099" spans="6:12">
      <c r="F3099" t="s">
        <v>15284</v>
      </c>
      <c r="G3099" t="s">
        <v>15285</v>
      </c>
      <c r="H3099">
        <v>4</v>
      </c>
      <c r="I3099">
        <v>2</v>
      </c>
      <c r="J3099">
        <v>2</v>
      </c>
      <c r="K3099">
        <v>0</v>
      </c>
      <c r="L3099" s="61" t="s">
        <v>4779</v>
      </c>
    </row>
    <row r="3100" spans="6:12">
      <c r="F3100" t="s">
        <v>15286</v>
      </c>
      <c r="G3100" t="s">
        <v>15287</v>
      </c>
      <c r="H3100">
        <v>2</v>
      </c>
      <c r="I3100">
        <v>4</v>
      </c>
      <c r="J3100">
        <v>2</v>
      </c>
      <c r="K3100">
        <v>0</v>
      </c>
      <c r="L3100" s="61" t="s">
        <v>4779</v>
      </c>
    </row>
    <row r="3101" spans="6:12">
      <c r="F3101" t="s">
        <v>15288</v>
      </c>
      <c r="G3101" t="s">
        <v>15289</v>
      </c>
      <c r="H3101">
        <v>3</v>
      </c>
      <c r="I3101">
        <v>4</v>
      </c>
      <c r="J3101">
        <v>1</v>
      </c>
      <c r="K3101">
        <v>0</v>
      </c>
      <c r="L3101" s="61" t="s">
        <v>4779</v>
      </c>
    </row>
    <row r="3102" spans="6:12">
      <c r="F3102" t="s">
        <v>15290</v>
      </c>
      <c r="G3102" t="s">
        <v>10474</v>
      </c>
      <c r="H3102">
        <v>5</v>
      </c>
      <c r="I3102">
        <v>2</v>
      </c>
      <c r="J3102">
        <v>1</v>
      </c>
      <c r="K3102">
        <v>0</v>
      </c>
      <c r="L3102" s="61" t="s">
        <v>4779</v>
      </c>
    </row>
    <row r="3103" spans="6:12">
      <c r="F3103" t="s">
        <v>15291</v>
      </c>
      <c r="G3103" t="s">
        <v>15292</v>
      </c>
      <c r="H3103">
        <v>4</v>
      </c>
      <c r="I3103">
        <v>4</v>
      </c>
      <c r="J3103">
        <v>0</v>
      </c>
      <c r="K3103">
        <v>0</v>
      </c>
      <c r="L3103" s="61" t="s">
        <v>4779</v>
      </c>
    </row>
    <row r="3104" spans="6:12">
      <c r="F3104" t="s">
        <v>15293</v>
      </c>
      <c r="G3104" t="s">
        <v>5393</v>
      </c>
      <c r="H3104">
        <v>8</v>
      </c>
      <c r="I3104">
        <v>0</v>
      </c>
      <c r="J3104">
        <v>0</v>
      </c>
      <c r="K3104">
        <v>0</v>
      </c>
      <c r="L3104" s="61" t="s">
        <v>4779</v>
      </c>
    </row>
    <row r="3105" spans="6:12">
      <c r="F3105" t="s">
        <v>15294</v>
      </c>
      <c r="G3105" t="s">
        <v>15295</v>
      </c>
      <c r="H3105">
        <v>8</v>
      </c>
      <c r="I3105">
        <v>0</v>
      </c>
      <c r="J3105">
        <v>0</v>
      </c>
      <c r="K3105">
        <v>0</v>
      </c>
      <c r="L3105" s="61" t="s">
        <v>4779</v>
      </c>
    </row>
    <row r="3106" spans="6:12">
      <c r="F3106" t="s">
        <v>15296</v>
      </c>
      <c r="G3106" t="s">
        <v>15297</v>
      </c>
      <c r="H3106">
        <v>6</v>
      </c>
      <c r="I3106">
        <v>2</v>
      </c>
      <c r="J3106">
        <v>0</v>
      </c>
      <c r="K3106">
        <v>0</v>
      </c>
      <c r="L3106" s="61" t="s">
        <v>4779</v>
      </c>
    </row>
    <row r="3107" spans="6:12">
      <c r="F3107" t="s">
        <v>15298</v>
      </c>
      <c r="G3107" t="s">
        <v>15299</v>
      </c>
      <c r="H3107">
        <v>5</v>
      </c>
      <c r="I3107">
        <v>3</v>
      </c>
      <c r="J3107">
        <v>0</v>
      </c>
      <c r="K3107">
        <v>0</v>
      </c>
      <c r="L3107" s="61" t="s">
        <v>4779</v>
      </c>
    </row>
    <row r="3108" spans="6:12">
      <c r="F3108" t="s">
        <v>15300</v>
      </c>
      <c r="G3108" t="s">
        <v>5936</v>
      </c>
      <c r="H3108">
        <v>3</v>
      </c>
      <c r="I3108">
        <v>4</v>
      </c>
      <c r="J3108">
        <v>0</v>
      </c>
      <c r="K3108">
        <v>1</v>
      </c>
      <c r="L3108" s="61" t="s">
        <v>4810</v>
      </c>
    </row>
    <row r="3109" spans="6:12">
      <c r="F3109" t="s">
        <v>15301</v>
      </c>
      <c r="G3109" t="s">
        <v>15302</v>
      </c>
      <c r="H3109">
        <v>3</v>
      </c>
      <c r="I3109">
        <v>4</v>
      </c>
      <c r="J3109">
        <v>1</v>
      </c>
      <c r="K3109">
        <v>0</v>
      </c>
      <c r="L3109" s="61" t="s">
        <v>4779</v>
      </c>
    </row>
    <row r="3110" spans="6:12">
      <c r="F3110" t="s">
        <v>15303</v>
      </c>
      <c r="G3110" t="s">
        <v>15304</v>
      </c>
      <c r="H3110">
        <v>7</v>
      </c>
      <c r="I3110">
        <v>0</v>
      </c>
      <c r="J3110">
        <v>0</v>
      </c>
      <c r="K3110">
        <v>1</v>
      </c>
      <c r="L3110" s="61" t="s">
        <v>4808</v>
      </c>
    </row>
    <row r="3111" spans="6:12">
      <c r="F3111" t="s">
        <v>15305</v>
      </c>
      <c r="G3111" t="s">
        <v>15306</v>
      </c>
      <c r="H3111">
        <v>7</v>
      </c>
      <c r="I3111">
        <v>0</v>
      </c>
      <c r="J3111">
        <v>1</v>
      </c>
      <c r="K3111">
        <v>0</v>
      </c>
      <c r="L3111" s="61" t="s">
        <v>4779</v>
      </c>
    </row>
    <row r="3112" spans="6:12">
      <c r="F3112" t="s">
        <v>15307</v>
      </c>
      <c r="G3112" t="s">
        <v>15308</v>
      </c>
      <c r="H3112">
        <v>3</v>
      </c>
      <c r="I3112">
        <v>4</v>
      </c>
      <c r="J3112">
        <v>1</v>
      </c>
      <c r="K3112">
        <v>0</v>
      </c>
      <c r="L3112" s="61" t="s">
        <v>4779</v>
      </c>
    </row>
    <row r="3113" spans="6:12">
      <c r="F3113" t="s">
        <v>15309</v>
      </c>
      <c r="G3113" t="s">
        <v>5126</v>
      </c>
      <c r="H3113">
        <v>5</v>
      </c>
      <c r="I3113">
        <v>3</v>
      </c>
      <c r="J3113">
        <v>0</v>
      </c>
      <c r="K3113">
        <v>0</v>
      </c>
      <c r="L3113" s="61" t="s">
        <v>4779</v>
      </c>
    </row>
    <row r="3114" spans="6:12">
      <c r="F3114" t="s">
        <v>15310</v>
      </c>
      <c r="G3114" t="s">
        <v>11093</v>
      </c>
      <c r="H3114">
        <v>5</v>
      </c>
      <c r="I3114">
        <v>3</v>
      </c>
      <c r="J3114">
        <v>0</v>
      </c>
      <c r="K3114">
        <v>0</v>
      </c>
      <c r="L3114" s="61" t="s">
        <v>4779</v>
      </c>
    </row>
    <row r="3115" spans="6:12">
      <c r="F3115" t="s">
        <v>15311</v>
      </c>
      <c r="G3115" t="s">
        <v>10920</v>
      </c>
      <c r="H3115">
        <v>2</v>
      </c>
      <c r="I3115">
        <v>4</v>
      </c>
      <c r="J3115">
        <v>2</v>
      </c>
      <c r="K3115">
        <v>0</v>
      </c>
      <c r="L3115" s="61" t="s">
        <v>4809</v>
      </c>
    </row>
    <row r="3116" spans="6:12">
      <c r="F3116" t="s">
        <v>15312</v>
      </c>
      <c r="G3116" t="s">
        <v>14887</v>
      </c>
      <c r="H3116">
        <v>2</v>
      </c>
      <c r="I3116">
        <v>4</v>
      </c>
      <c r="J3116">
        <v>2</v>
      </c>
      <c r="K3116">
        <v>0</v>
      </c>
      <c r="L3116" s="61" t="s">
        <v>4806</v>
      </c>
    </row>
    <row r="3117" spans="6:12">
      <c r="F3117" t="s">
        <v>15313</v>
      </c>
      <c r="G3117" t="s">
        <v>15314</v>
      </c>
      <c r="H3117">
        <v>8</v>
      </c>
      <c r="I3117">
        <v>0</v>
      </c>
      <c r="J3117">
        <v>0</v>
      </c>
      <c r="K3117">
        <v>0</v>
      </c>
      <c r="L3117" s="61" t="s">
        <v>4779</v>
      </c>
    </row>
    <row r="3118" spans="6:12">
      <c r="F3118" t="s">
        <v>15315</v>
      </c>
      <c r="G3118" t="s">
        <v>15316</v>
      </c>
      <c r="H3118">
        <v>5</v>
      </c>
      <c r="I3118">
        <v>3</v>
      </c>
      <c r="J3118">
        <v>0</v>
      </c>
      <c r="K3118">
        <v>0</v>
      </c>
      <c r="L3118" s="61" t="s">
        <v>4779</v>
      </c>
    </row>
    <row r="3119" spans="6:12">
      <c r="F3119" t="s">
        <v>15317</v>
      </c>
      <c r="G3119" t="s">
        <v>15318</v>
      </c>
      <c r="H3119">
        <v>4</v>
      </c>
      <c r="I3119">
        <v>1</v>
      </c>
      <c r="J3119">
        <v>2</v>
      </c>
      <c r="K3119">
        <v>1</v>
      </c>
      <c r="L3119" s="61" t="s">
        <v>4779</v>
      </c>
    </row>
    <row r="3120" spans="6:12">
      <c r="F3120" t="s">
        <v>15319</v>
      </c>
      <c r="G3120" t="s">
        <v>5613</v>
      </c>
      <c r="H3120">
        <v>7</v>
      </c>
      <c r="I3120">
        <v>0</v>
      </c>
      <c r="J3120">
        <v>1</v>
      </c>
      <c r="K3120">
        <v>0</v>
      </c>
      <c r="L3120" s="61" t="s">
        <v>4810</v>
      </c>
    </row>
    <row r="3121" spans="6:12">
      <c r="F3121" t="s">
        <v>15320</v>
      </c>
      <c r="G3121" t="s">
        <v>5612</v>
      </c>
      <c r="H3121">
        <v>6</v>
      </c>
      <c r="I3121">
        <v>0</v>
      </c>
      <c r="J3121">
        <v>2</v>
      </c>
      <c r="K3121">
        <v>0</v>
      </c>
      <c r="L3121" s="61" t="s">
        <v>4779</v>
      </c>
    </row>
    <row r="3122" spans="6:12">
      <c r="F3122" t="s">
        <v>15321</v>
      </c>
      <c r="G3122" t="s">
        <v>11097</v>
      </c>
      <c r="H3122">
        <v>6</v>
      </c>
      <c r="I3122">
        <v>0</v>
      </c>
      <c r="J3122">
        <v>2</v>
      </c>
      <c r="K3122">
        <v>0</v>
      </c>
      <c r="L3122" s="61" t="s">
        <v>4807</v>
      </c>
    </row>
    <row r="3123" spans="6:12">
      <c r="F3123" t="s">
        <v>15322</v>
      </c>
      <c r="G3123" t="s">
        <v>15323</v>
      </c>
      <c r="H3123">
        <v>3</v>
      </c>
      <c r="I3123">
        <v>4</v>
      </c>
      <c r="J3123">
        <v>1</v>
      </c>
      <c r="K3123">
        <v>0</v>
      </c>
      <c r="L3123" s="61" t="s">
        <v>4779</v>
      </c>
    </row>
    <row r="3124" spans="6:12">
      <c r="F3124" t="s">
        <v>15324</v>
      </c>
      <c r="G3124" t="s">
        <v>5386</v>
      </c>
      <c r="H3124">
        <v>4</v>
      </c>
      <c r="I3124">
        <v>4</v>
      </c>
      <c r="J3124">
        <v>0</v>
      </c>
      <c r="K3124">
        <v>0</v>
      </c>
      <c r="L3124" s="61" t="s">
        <v>4779</v>
      </c>
    </row>
    <row r="3125" spans="6:12">
      <c r="F3125" t="s">
        <v>15325</v>
      </c>
      <c r="G3125" t="s">
        <v>15326</v>
      </c>
      <c r="H3125">
        <v>4</v>
      </c>
      <c r="I3125">
        <v>4</v>
      </c>
      <c r="J3125">
        <v>0</v>
      </c>
      <c r="K3125">
        <v>0</v>
      </c>
      <c r="L3125" s="61" t="s">
        <v>4779</v>
      </c>
    </row>
    <row r="3126" spans="6:12">
      <c r="F3126" t="s">
        <v>15327</v>
      </c>
      <c r="G3126" t="s">
        <v>15328</v>
      </c>
      <c r="H3126">
        <v>6</v>
      </c>
      <c r="I3126">
        <v>2</v>
      </c>
      <c r="J3126">
        <v>0</v>
      </c>
      <c r="K3126">
        <v>0</v>
      </c>
      <c r="L3126" s="61" t="s">
        <v>4779</v>
      </c>
    </row>
    <row r="3127" spans="6:12">
      <c r="F3127" t="s">
        <v>15329</v>
      </c>
      <c r="G3127" t="s">
        <v>15330</v>
      </c>
      <c r="H3127">
        <v>2</v>
      </c>
      <c r="I3127">
        <v>4</v>
      </c>
      <c r="J3127">
        <v>2</v>
      </c>
      <c r="K3127">
        <v>0</v>
      </c>
      <c r="L3127" s="61" t="s">
        <v>4779</v>
      </c>
    </row>
    <row r="3128" spans="6:12">
      <c r="F3128" t="s">
        <v>15331</v>
      </c>
      <c r="G3128" t="s">
        <v>15332</v>
      </c>
      <c r="H3128">
        <v>2</v>
      </c>
      <c r="I3128">
        <v>4</v>
      </c>
      <c r="J3128">
        <v>2</v>
      </c>
      <c r="K3128">
        <v>0</v>
      </c>
      <c r="L3128" s="61" t="s">
        <v>4810</v>
      </c>
    </row>
    <row r="3129" spans="6:12">
      <c r="F3129" t="s">
        <v>15333</v>
      </c>
      <c r="G3129" t="s">
        <v>15334</v>
      </c>
      <c r="H3129">
        <v>4</v>
      </c>
      <c r="I3129">
        <v>2</v>
      </c>
      <c r="J3129">
        <v>2</v>
      </c>
      <c r="K3129">
        <v>0</v>
      </c>
      <c r="L3129" s="61" t="s">
        <v>4779</v>
      </c>
    </row>
    <row r="3130" spans="6:12">
      <c r="F3130" t="s">
        <v>15335</v>
      </c>
      <c r="G3130" t="s">
        <v>15336</v>
      </c>
      <c r="H3130">
        <v>4</v>
      </c>
      <c r="I3130">
        <v>4</v>
      </c>
      <c r="J3130">
        <v>0</v>
      </c>
      <c r="K3130">
        <v>0</v>
      </c>
      <c r="L3130" s="61" t="s">
        <v>4779</v>
      </c>
    </row>
    <row r="3131" spans="6:12">
      <c r="F3131" t="s">
        <v>15337</v>
      </c>
      <c r="G3131" t="s">
        <v>15338</v>
      </c>
      <c r="H3131">
        <v>6</v>
      </c>
      <c r="I3131">
        <v>2</v>
      </c>
      <c r="J3131">
        <v>0</v>
      </c>
      <c r="K3131">
        <v>0</v>
      </c>
      <c r="L3131" s="61" t="s">
        <v>4779</v>
      </c>
    </row>
    <row r="3132" spans="6:12">
      <c r="F3132" t="s">
        <v>15339</v>
      </c>
      <c r="G3132" t="s">
        <v>15340</v>
      </c>
      <c r="H3132">
        <v>8</v>
      </c>
      <c r="I3132">
        <v>0</v>
      </c>
      <c r="J3132">
        <v>0</v>
      </c>
      <c r="K3132">
        <v>0</v>
      </c>
      <c r="L3132" s="61" t="s">
        <v>4779</v>
      </c>
    </row>
    <row r="3133" spans="6:12">
      <c r="F3133" t="s">
        <v>15341</v>
      </c>
      <c r="G3133" t="s">
        <v>15342</v>
      </c>
      <c r="H3133">
        <v>4</v>
      </c>
      <c r="I3133">
        <v>4</v>
      </c>
      <c r="J3133">
        <v>0</v>
      </c>
      <c r="K3133">
        <v>0</v>
      </c>
      <c r="L3133" s="61" t="s">
        <v>4779</v>
      </c>
    </row>
    <row r="3134" spans="6:12">
      <c r="F3134" t="s">
        <v>15343</v>
      </c>
      <c r="G3134" t="s">
        <v>8593</v>
      </c>
      <c r="H3134">
        <v>5</v>
      </c>
      <c r="I3134">
        <v>2</v>
      </c>
      <c r="J3134">
        <v>1</v>
      </c>
      <c r="K3134">
        <v>0</v>
      </c>
      <c r="L3134" s="61" t="s">
        <v>4779</v>
      </c>
    </row>
    <row r="3135" spans="6:12">
      <c r="F3135" t="s">
        <v>15344</v>
      </c>
      <c r="G3135" t="s">
        <v>15345</v>
      </c>
      <c r="H3135">
        <v>7</v>
      </c>
      <c r="I3135">
        <v>1</v>
      </c>
      <c r="J3135">
        <v>0</v>
      </c>
      <c r="K3135">
        <v>0</v>
      </c>
      <c r="L3135" s="61" t="s">
        <v>4807</v>
      </c>
    </row>
    <row r="3136" spans="6:12">
      <c r="F3136" t="s">
        <v>15346</v>
      </c>
      <c r="G3136" t="s">
        <v>15347</v>
      </c>
      <c r="H3136">
        <v>4</v>
      </c>
      <c r="I3136">
        <v>4</v>
      </c>
      <c r="J3136">
        <v>0</v>
      </c>
      <c r="K3136">
        <v>0</v>
      </c>
      <c r="L3136" s="61" t="s">
        <v>4779</v>
      </c>
    </row>
    <row r="3137" spans="6:12">
      <c r="F3137" t="s">
        <v>15348</v>
      </c>
      <c r="G3137" t="s">
        <v>15349</v>
      </c>
      <c r="H3137">
        <v>4</v>
      </c>
      <c r="I3137">
        <v>4</v>
      </c>
      <c r="J3137">
        <v>0</v>
      </c>
      <c r="K3137">
        <v>0</v>
      </c>
      <c r="L3137" s="61" t="s">
        <v>4810</v>
      </c>
    </row>
    <row r="3138" spans="6:12">
      <c r="F3138" t="s">
        <v>15350</v>
      </c>
      <c r="G3138" t="s">
        <v>15351</v>
      </c>
      <c r="H3138">
        <v>7</v>
      </c>
      <c r="I3138">
        <v>1</v>
      </c>
      <c r="J3138">
        <v>0</v>
      </c>
      <c r="K3138">
        <v>0</v>
      </c>
      <c r="L3138" s="61" t="s">
        <v>4779</v>
      </c>
    </row>
    <row r="3139" spans="6:12">
      <c r="F3139" t="s">
        <v>15352</v>
      </c>
      <c r="G3139" t="s">
        <v>15353</v>
      </c>
      <c r="H3139">
        <v>8</v>
      </c>
      <c r="I3139">
        <v>0</v>
      </c>
      <c r="J3139">
        <v>0</v>
      </c>
      <c r="K3139">
        <v>0</v>
      </c>
      <c r="L3139" s="61" t="s">
        <v>4779</v>
      </c>
    </row>
    <row r="3140" spans="6:12">
      <c r="F3140" t="s">
        <v>15354</v>
      </c>
      <c r="G3140" t="s">
        <v>15355</v>
      </c>
      <c r="H3140">
        <v>6</v>
      </c>
      <c r="I3140">
        <v>2</v>
      </c>
      <c r="J3140">
        <v>0</v>
      </c>
      <c r="K3140">
        <v>0</v>
      </c>
      <c r="L3140" s="61" t="s">
        <v>4779</v>
      </c>
    </row>
    <row r="3141" spans="6:12">
      <c r="F3141" t="s">
        <v>15356</v>
      </c>
      <c r="G3141" t="s">
        <v>15357</v>
      </c>
      <c r="H3141">
        <v>7</v>
      </c>
      <c r="I3141">
        <v>0</v>
      </c>
      <c r="J3141">
        <v>0</v>
      </c>
      <c r="K3141">
        <v>1</v>
      </c>
      <c r="L3141" s="61" t="s">
        <v>4779</v>
      </c>
    </row>
    <row r="3142" spans="6:12">
      <c r="F3142" t="s">
        <v>15358</v>
      </c>
      <c r="G3142" t="s">
        <v>15359</v>
      </c>
      <c r="H3142">
        <v>4</v>
      </c>
      <c r="I3142">
        <v>4</v>
      </c>
      <c r="J3142">
        <v>0</v>
      </c>
      <c r="K3142">
        <v>0</v>
      </c>
      <c r="L3142" s="61" t="s">
        <v>4779</v>
      </c>
    </row>
    <row r="3143" spans="6:12">
      <c r="F3143" t="s">
        <v>15360</v>
      </c>
      <c r="G3143" t="s">
        <v>15361</v>
      </c>
      <c r="H3143">
        <v>4</v>
      </c>
      <c r="I3143">
        <v>4</v>
      </c>
      <c r="J3143">
        <v>0</v>
      </c>
      <c r="K3143">
        <v>0</v>
      </c>
      <c r="L3143" s="61" t="s">
        <v>4779</v>
      </c>
    </row>
    <row r="3144" spans="6:12">
      <c r="F3144" t="s">
        <v>15362</v>
      </c>
      <c r="G3144" t="s">
        <v>15363</v>
      </c>
      <c r="H3144">
        <v>6</v>
      </c>
      <c r="I3144">
        <v>1</v>
      </c>
      <c r="J3144">
        <v>1</v>
      </c>
      <c r="K3144">
        <v>0</v>
      </c>
      <c r="L3144" s="61" t="s">
        <v>4779</v>
      </c>
    </row>
    <row r="3145" spans="6:12">
      <c r="F3145" t="s">
        <v>15364</v>
      </c>
      <c r="G3145" t="s">
        <v>15365</v>
      </c>
      <c r="H3145">
        <v>8</v>
      </c>
      <c r="I3145">
        <v>0</v>
      </c>
      <c r="J3145">
        <v>0</v>
      </c>
      <c r="K3145">
        <v>0</v>
      </c>
      <c r="L3145" s="61" t="s">
        <v>4779</v>
      </c>
    </row>
    <row r="3146" spans="6:12">
      <c r="F3146" t="s">
        <v>15366</v>
      </c>
      <c r="G3146" t="s">
        <v>15367</v>
      </c>
      <c r="H3146">
        <v>5</v>
      </c>
      <c r="I3146">
        <v>3</v>
      </c>
      <c r="J3146">
        <v>0</v>
      </c>
      <c r="K3146">
        <v>0</v>
      </c>
      <c r="L3146" s="61" t="s">
        <v>4806</v>
      </c>
    </row>
    <row r="3147" spans="6:12">
      <c r="F3147" t="s">
        <v>15368</v>
      </c>
      <c r="G3147" t="s">
        <v>15369</v>
      </c>
      <c r="H3147">
        <v>6</v>
      </c>
      <c r="I3147">
        <v>2</v>
      </c>
      <c r="J3147">
        <v>0</v>
      </c>
      <c r="K3147">
        <v>0</v>
      </c>
      <c r="L3147" s="61" t="s">
        <v>4808</v>
      </c>
    </row>
    <row r="3148" spans="6:12">
      <c r="F3148" t="s">
        <v>15370</v>
      </c>
      <c r="G3148" t="s">
        <v>15371</v>
      </c>
      <c r="H3148">
        <v>6</v>
      </c>
      <c r="I3148">
        <v>2</v>
      </c>
      <c r="J3148">
        <v>0</v>
      </c>
      <c r="K3148">
        <v>0</v>
      </c>
      <c r="L3148" s="61" t="s">
        <v>4779</v>
      </c>
    </row>
    <row r="3149" spans="6:12">
      <c r="F3149" t="s">
        <v>15372</v>
      </c>
      <c r="G3149" t="s">
        <v>15373</v>
      </c>
      <c r="H3149">
        <v>6</v>
      </c>
      <c r="I3149">
        <v>2</v>
      </c>
      <c r="J3149">
        <v>0</v>
      </c>
      <c r="K3149">
        <v>0</v>
      </c>
      <c r="L3149" s="61" t="s">
        <v>4779</v>
      </c>
    </row>
    <row r="3150" spans="6:12">
      <c r="F3150" t="s">
        <v>15374</v>
      </c>
      <c r="G3150" t="s">
        <v>15375</v>
      </c>
      <c r="H3150">
        <v>7</v>
      </c>
      <c r="I3150">
        <v>1</v>
      </c>
      <c r="J3150">
        <v>0</v>
      </c>
      <c r="K3150">
        <v>0</v>
      </c>
      <c r="L3150" s="61" t="s">
        <v>4779</v>
      </c>
    </row>
    <row r="3151" spans="6:12">
      <c r="F3151" t="s">
        <v>15376</v>
      </c>
      <c r="G3151" t="s">
        <v>15377</v>
      </c>
      <c r="H3151">
        <v>7</v>
      </c>
      <c r="I3151">
        <v>0</v>
      </c>
      <c r="J3151">
        <v>1</v>
      </c>
      <c r="K3151">
        <v>0</v>
      </c>
      <c r="L3151" s="61" t="s">
        <v>4779</v>
      </c>
    </row>
    <row r="3152" spans="6:12">
      <c r="F3152" t="s">
        <v>15378</v>
      </c>
      <c r="G3152" t="s">
        <v>15379</v>
      </c>
      <c r="H3152">
        <v>4</v>
      </c>
      <c r="I3152">
        <v>4</v>
      </c>
      <c r="J3152">
        <v>0</v>
      </c>
      <c r="K3152">
        <v>0</v>
      </c>
      <c r="L3152" s="61" t="s">
        <v>4779</v>
      </c>
    </row>
    <row r="3153" spans="6:12">
      <c r="F3153" t="s">
        <v>15380</v>
      </c>
      <c r="G3153" t="s">
        <v>15381</v>
      </c>
      <c r="H3153">
        <v>5</v>
      </c>
      <c r="I3153">
        <v>1</v>
      </c>
      <c r="J3153">
        <v>2</v>
      </c>
      <c r="K3153">
        <v>0</v>
      </c>
      <c r="L3153" s="61" t="s">
        <v>4810</v>
      </c>
    </row>
    <row r="3154" spans="6:12">
      <c r="F3154" t="s">
        <v>15382</v>
      </c>
      <c r="G3154" t="s">
        <v>15383</v>
      </c>
      <c r="H3154">
        <v>4</v>
      </c>
      <c r="I3154">
        <v>4</v>
      </c>
      <c r="J3154">
        <v>0</v>
      </c>
      <c r="K3154">
        <v>0</v>
      </c>
      <c r="L3154" s="61" t="s">
        <v>4779</v>
      </c>
    </row>
    <row r="3155" spans="6:12">
      <c r="F3155" t="s">
        <v>15384</v>
      </c>
      <c r="G3155" t="s">
        <v>15385</v>
      </c>
      <c r="H3155">
        <v>3</v>
      </c>
      <c r="I3155">
        <v>4</v>
      </c>
      <c r="J3155">
        <v>1</v>
      </c>
      <c r="K3155">
        <v>0</v>
      </c>
      <c r="L3155" s="61" t="s">
        <v>4779</v>
      </c>
    </row>
    <row r="3156" spans="6:12">
      <c r="F3156" t="s">
        <v>15386</v>
      </c>
      <c r="G3156" t="s">
        <v>15387</v>
      </c>
      <c r="H3156">
        <v>4</v>
      </c>
      <c r="I3156">
        <v>4</v>
      </c>
      <c r="J3156">
        <v>0</v>
      </c>
      <c r="K3156">
        <v>0</v>
      </c>
      <c r="L3156" s="61" t="s">
        <v>4779</v>
      </c>
    </row>
    <row r="3157" spans="6:12">
      <c r="F3157" t="s">
        <v>15388</v>
      </c>
      <c r="G3157" t="s">
        <v>11011</v>
      </c>
      <c r="H3157">
        <v>4</v>
      </c>
      <c r="I3157">
        <v>3</v>
      </c>
      <c r="J3157">
        <v>1</v>
      </c>
      <c r="K3157">
        <v>0</v>
      </c>
      <c r="L3157" s="61" t="s">
        <v>4779</v>
      </c>
    </row>
    <row r="3158" spans="6:12">
      <c r="F3158" t="s">
        <v>15389</v>
      </c>
      <c r="G3158" t="s">
        <v>10079</v>
      </c>
      <c r="H3158">
        <v>6</v>
      </c>
      <c r="I3158">
        <v>0</v>
      </c>
      <c r="J3158">
        <v>2</v>
      </c>
      <c r="K3158">
        <v>0</v>
      </c>
      <c r="L3158" s="61" t="s">
        <v>4779</v>
      </c>
    </row>
    <row r="3159" spans="6:12">
      <c r="F3159" t="s">
        <v>15390</v>
      </c>
      <c r="G3159" t="s">
        <v>15391</v>
      </c>
      <c r="H3159">
        <v>2</v>
      </c>
      <c r="I3159">
        <v>4</v>
      </c>
      <c r="J3159">
        <v>2</v>
      </c>
      <c r="K3159">
        <v>0</v>
      </c>
      <c r="L3159" s="61" t="s">
        <v>4779</v>
      </c>
    </row>
    <row r="3160" spans="6:12">
      <c r="F3160" t="s">
        <v>15392</v>
      </c>
      <c r="G3160" t="s">
        <v>15393</v>
      </c>
      <c r="H3160">
        <v>5</v>
      </c>
      <c r="I3160">
        <v>1</v>
      </c>
      <c r="J3160">
        <v>2</v>
      </c>
      <c r="K3160">
        <v>0</v>
      </c>
      <c r="L3160" s="61" t="s">
        <v>4779</v>
      </c>
    </row>
    <row r="3161" spans="6:12">
      <c r="F3161" t="s">
        <v>15394</v>
      </c>
      <c r="G3161" t="s">
        <v>15395</v>
      </c>
      <c r="H3161">
        <v>8</v>
      </c>
      <c r="I3161">
        <v>0</v>
      </c>
      <c r="J3161">
        <v>0</v>
      </c>
      <c r="K3161">
        <v>0</v>
      </c>
      <c r="L3161" s="61" t="s">
        <v>4806</v>
      </c>
    </row>
    <row r="3162" spans="6:12">
      <c r="F3162" t="s">
        <v>15396</v>
      </c>
      <c r="G3162" t="s">
        <v>15397</v>
      </c>
      <c r="H3162">
        <v>5</v>
      </c>
      <c r="I3162">
        <v>2</v>
      </c>
      <c r="J3162">
        <v>1</v>
      </c>
      <c r="K3162">
        <v>0</v>
      </c>
      <c r="L3162" s="61" t="s">
        <v>4779</v>
      </c>
    </row>
    <row r="3163" spans="6:12">
      <c r="F3163" t="s">
        <v>15398</v>
      </c>
      <c r="G3163" t="s">
        <v>15399</v>
      </c>
      <c r="H3163">
        <v>7</v>
      </c>
      <c r="I3163">
        <v>0</v>
      </c>
      <c r="J3163">
        <v>1</v>
      </c>
      <c r="K3163">
        <v>0</v>
      </c>
      <c r="L3163" s="61" t="s">
        <v>4809</v>
      </c>
    </row>
    <row r="3164" spans="6:12">
      <c r="F3164" t="s">
        <v>15400</v>
      </c>
      <c r="G3164" t="s">
        <v>15401</v>
      </c>
      <c r="H3164">
        <v>6</v>
      </c>
      <c r="I3164">
        <v>2</v>
      </c>
      <c r="J3164">
        <v>0</v>
      </c>
      <c r="K3164">
        <v>0</v>
      </c>
      <c r="L3164" s="61" t="s">
        <v>4779</v>
      </c>
    </row>
    <row r="3165" spans="6:12">
      <c r="F3165" t="s">
        <v>15402</v>
      </c>
      <c r="G3165" t="s">
        <v>15403</v>
      </c>
      <c r="H3165">
        <v>6</v>
      </c>
      <c r="I3165">
        <v>1</v>
      </c>
      <c r="J3165">
        <v>1</v>
      </c>
      <c r="K3165">
        <v>0</v>
      </c>
      <c r="L3165" s="61" t="s">
        <v>4779</v>
      </c>
    </row>
    <row r="3166" spans="6:12">
      <c r="F3166" t="s">
        <v>15404</v>
      </c>
      <c r="G3166" t="s">
        <v>15405</v>
      </c>
      <c r="H3166">
        <v>6</v>
      </c>
      <c r="I3166">
        <v>1</v>
      </c>
      <c r="J3166">
        <v>1</v>
      </c>
      <c r="K3166">
        <v>0</v>
      </c>
      <c r="L3166" s="61" t="s">
        <v>4779</v>
      </c>
    </row>
    <row r="3167" spans="6:12">
      <c r="F3167" t="s">
        <v>15406</v>
      </c>
      <c r="G3167" t="s">
        <v>15407</v>
      </c>
      <c r="H3167">
        <v>6</v>
      </c>
      <c r="I3167">
        <v>2</v>
      </c>
      <c r="J3167">
        <v>0</v>
      </c>
      <c r="K3167">
        <v>0</v>
      </c>
      <c r="L3167" s="61" t="s">
        <v>4808</v>
      </c>
    </row>
    <row r="3168" spans="6:12">
      <c r="F3168" t="s">
        <v>15408</v>
      </c>
      <c r="G3168" t="s">
        <v>15409</v>
      </c>
      <c r="H3168">
        <v>7</v>
      </c>
      <c r="I3168">
        <v>0</v>
      </c>
      <c r="J3168">
        <v>1</v>
      </c>
      <c r="K3168">
        <v>0</v>
      </c>
      <c r="L3168" s="61" t="s">
        <v>4779</v>
      </c>
    </row>
    <row r="3169" spans="6:12">
      <c r="F3169" t="s">
        <v>15410</v>
      </c>
      <c r="G3169" t="s">
        <v>15411</v>
      </c>
      <c r="H3169">
        <v>4</v>
      </c>
      <c r="I3169">
        <v>3</v>
      </c>
      <c r="J3169">
        <v>1</v>
      </c>
      <c r="K3169">
        <v>0</v>
      </c>
      <c r="L3169" s="61" t="s">
        <v>4806</v>
      </c>
    </row>
    <row r="3170" spans="6:12">
      <c r="F3170" t="s">
        <v>15412</v>
      </c>
      <c r="G3170" t="s">
        <v>5637</v>
      </c>
      <c r="H3170">
        <v>5</v>
      </c>
      <c r="I3170">
        <v>2</v>
      </c>
      <c r="J3170">
        <v>0</v>
      </c>
      <c r="K3170">
        <v>1</v>
      </c>
      <c r="L3170" s="61" t="s">
        <v>4779</v>
      </c>
    </row>
    <row r="3171" spans="6:12">
      <c r="F3171" t="s">
        <v>15413</v>
      </c>
      <c r="G3171" t="s">
        <v>15414</v>
      </c>
      <c r="H3171">
        <v>6</v>
      </c>
      <c r="I3171">
        <v>1</v>
      </c>
      <c r="J3171">
        <v>1</v>
      </c>
      <c r="K3171">
        <v>0</v>
      </c>
      <c r="L3171" s="61" t="s">
        <v>4779</v>
      </c>
    </row>
    <row r="3172" spans="6:12">
      <c r="F3172" t="s">
        <v>15415</v>
      </c>
      <c r="G3172" t="s">
        <v>15416</v>
      </c>
      <c r="H3172">
        <v>5</v>
      </c>
      <c r="I3172">
        <v>1</v>
      </c>
      <c r="J3172">
        <v>2</v>
      </c>
      <c r="K3172">
        <v>0</v>
      </c>
      <c r="L3172" s="61" t="s">
        <v>4779</v>
      </c>
    </row>
    <row r="3173" spans="6:12">
      <c r="F3173" t="s">
        <v>15417</v>
      </c>
      <c r="G3173" t="s">
        <v>15418</v>
      </c>
      <c r="H3173">
        <v>5</v>
      </c>
      <c r="I3173">
        <v>2</v>
      </c>
      <c r="J3173">
        <v>1</v>
      </c>
      <c r="K3173">
        <v>0</v>
      </c>
      <c r="L3173" s="61" t="s">
        <v>4809</v>
      </c>
    </row>
    <row r="3174" spans="6:12">
      <c r="F3174" t="s">
        <v>15419</v>
      </c>
      <c r="G3174" t="s">
        <v>15420</v>
      </c>
      <c r="H3174">
        <v>7</v>
      </c>
      <c r="I3174">
        <v>0</v>
      </c>
      <c r="J3174">
        <v>1</v>
      </c>
      <c r="K3174">
        <v>0</v>
      </c>
      <c r="L3174" s="61" t="s">
        <v>4809</v>
      </c>
    </row>
    <row r="3175" spans="6:12">
      <c r="F3175" t="s">
        <v>15421</v>
      </c>
      <c r="G3175" t="s">
        <v>15422</v>
      </c>
      <c r="H3175">
        <v>6</v>
      </c>
      <c r="I3175">
        <v>1</v>
      </c>
      <c r="J3175">
        <v>1</v>
      </c>
      <c r="K3175">
        <v>0</v>
      </c>
      <c r="L3175" s="61" t="s">
        <v>4779</v>
      </c>
    </row>
    <row r="3176" spans="6:12">
      <c r="F3176" t="s">
        <v>15423</v>
      </c>
      <c r="G3176" t="s">
        <v>15424</v>
      </c>
      <c r="H3176">
        <v>2</v>
      </c>
      <c r="I3176">
        <v>3</v>
      </c>
      <c r="J3176">
        <v>2</v>
      </c>
      <c r="K3176">
        <v>1</v>
      </c>
      <c r="L3176" s="61" t="s">
        <v>4779</v>
      </c>
    </row>
    <row r="3177" spans="6:12">
      <c r="F3177" t="s">
        <v>15425</v>
      </c>
      <c r="G3177" t="s">
        <v>15426</v>
      </c>
      <c r="H3177">
        <v>6</v>
      </c>
      <c r="I3177">
        <v>0</v>
      </c>
      <c r="J3177">
        <v>2</v>
      </c>
      <c r="K3177">
        <v>0</v>
      </c>
      <c r="L3177" s="61" t="s">
        <v>4807</v>
      </c>
    </row>
    <row r="3178" spans="6:12">
      <c r="F3178" t="s">
        <v>15427</v>
      </c>
      <c r="G3178" t="s">
        <v>15428</v>
      </c>
      <c r="H3178">
        <v>7</v>
      </c>
      <c r="I3178">
        <v>0</v>
      </c>
      <c r="J3178">
        <v>0</v>
      </c>
      <c r="K3178">
        <v>1</v>
      </c>
      <c r="L3178" s="61" t="s">
        <v>4779</v>
      </c>
    </row>
    <row r="3179" spans="6:12">
      <c r="F3179" t="s">
        <v>15429</v>
      </c>
      <c r="G3179" t="s">
        <v>15430</v>
      </c>
      <c r="H3179">
        <v>4</v>
      </c>
      <c r="I3179">
        <v>4</v>
      </c>
      <c r="J3179">
        <v>0</v>
      </c>
      <c r="K3179">
        <v>0</v>
      </c>
      <c r="L3179" s="61" t="s">
        <v>4809</v>
      </c>
    </row>
    <row r="3180" spans="6:12">
      <c r="F3180" t="s">
        <v>15431</v>
      </c>
      <c r="G3180" t="s">
        <v>15432</v>
      </c>
      <c r="H3180">
        <v>6</v>
      </c>
      <c r="I3180">
        <v>1</v>
      </c>
      <c r="J3180">
        <v>1</v>
      </c>
      <c r="K3180">
        <v>0</v>
      </c>
      <c r="L3180" s="61" t="s">
        <v>4779</v>
      </c>
    </row>
    <row r="3181" spans="6:12">
      <c r="F3181" t="s">
        <v>15433</v>
      </c>
      <c r="G3181" t="s">
        <v>15434</v>
      </c>
      <c r="H3181">
        <v>6</v>
      </c>
      <c r="I3181">
        <v>0</v>
      </c>
      <c r="J3181">
        <v>2</v>
      </c>
      <c r="K3181">
        <v>0</v>
      </c>
      <c r="L3181" s="61" t="s">
        <v>4779</v>
      </c>
    </row>
    <row r="3182" spans="6:12">
      <c r="F3182" t="s">
        <v>15435</v>
      </c>
      <c r="G3182" t="s">
        <v>15436</v>
      </c>
      <c r="H3182">
        <v>6</v>
      </c>
      <c r="I3182">
        <v>2</v>
      </c>
      <c r="J3182">
        <v>0</v>
      </c>
      <c r="K3182">
        <v>0</v>
      </c>
      <c r="L3182" s="61" t="s">
        <v>4779</v>
      </c>
    </row>
    <row r="3183" spans="6:12">
      <c r="F3183" t="s">
        <v>15437</v>
      </c>
      <c r="G3183" t="s">
        <v>15438</v>
      </c>
      <c r="H3183">
        <v>8</v>
      </c>
      <c r="I3183">
        <v>0</v>
      </c>
      <c r="J3183">
        <v>0</v>
      </c>
      <c r="K3183">
        <v>0</v>
      </c>
      <c r="L3183" s="61" t="s">
        <v>4779</v>
      </c>
    </row>
    <row r="3184" spans="6:12">
      <c r="F3184" t="s">
        <v>15439</v>
      </c>
      <c r="G3184" t="s">
        <v>15440</v>
      </c>
      <c r="H3184">
        <v>5</v>
      </c>
      <c r="I3184">
        <v>2</v>
      </c>
      <c r="J3184">
        <v>1</v>
      </c>
      <c r="K3184">
        <v>0</v>
      </c>
      <c r="L3184" s="61" t="s">
        <v>4779</v>
      </c>
    </row>
    <row r="3185" spans="6:12">
      <c r="F3185" t="s">
        <v>15441</v>
      </c>
      <c r="G3185" t="s">
        <v>5433</v>
      </c>
      <c r="H3185">
        <v>2</v>
      </c>
      <c r="I3185">
        <v>4</v>
      </c>
      <c r="J3185">
        <v>2</v>
      </c>
      <c r="K3185">
        <v>0</v>
      </c>
      <c r="L3185" s="61" t="s">
        <v>4779</v>
      </c>
    </row>
    <row r="3186" spans="6:12">
      <c r="F3186" t="s">
        <v>15442</v>
      </c>
      <c r="G3186" t="s">
        <v>15443</v>
      </c>
      <c r="H3186">
        <v>5</v>
      </c>
      <c r="I3186">
        <v>3</v>
      </c>
      <c r="J3186">
        <v>0</v>
      </c>
      <c r="K3186">
        <v>0</v>
      </c>
      <c r="L3186" s="61" t="s">
        <v>4806</v>
      </c>
    </row>
    <row r="3187" spans="6:12">
      <c r="F3187" t="s">
        <v>15444</v>
      </c>
      <c r="G3187" t="s">
        <v>15445</v>
      </c>
      <c r="H3187">
        <v>6</v>
      </c>
      <c r="I3187">
        <v>1</v>
      </c>
      <c r="J3187">
        <v>1</v>
      </c>
      <c r="K3187">
        <v>0</v>
      </c>
      <c r="L3187" s="61" t="s">
        <v>4779</v>
      </c>
    </row>
    <row r="3188" spans="6:12">
      <c r="F3188" t="s">
        <v>15446</v>
      </c>
      <c r="G3188" t="s">
        <v>15447</v>
      </c>
      <c r="H3188">
        <v>6</v>
      </c>
      <c r="I3188">
        <v>2</v>
      </c>
      <c r="J3188">
        <v>0</v>
      </c>
      <c r="K3188">
        <v>0</v>
      </c>
      <c r="L3188" s="61" t="s">
        <v>4779</v>
      </c>
    </row>
    <row r="3189" spans="6:12">
      <c r="F3189" t="s">
        <v>15448</v>
      </c>
      <c r="G3189" t="s">
        <v>15449</v>
      </c>
      <c r="H3189">
        <v>7</v>
      </c>
      <c r="I3189">
        <v>1</v>
      </c>
      <c r="J3189">
        <v>0</v>
      </c>
      <c r="K3189">
        <v>0</v>
      </c>
      <c r="L3189" s="61" t="s">
        <v>4779</v>
      </c>
    </row>
    <row r="3190" spans="6:12">
      <c r="F3190" t="s">
        <v>15450</v>
      </c>
      <c r="G3190" t="s">
        <v>15451</v>
      </c>
      <c r="H3190">
        <v>4</v>
      </c>
      <c r="I3190">
        <v>2</v>
      </c>
      <c r="J3190">
        <v>2</v>
      </c>
      <c r="K3190">
        <v>0</v>
      </c>
      <c r="L3190" s="61" t="s">
        <v>4779</v>
      </c>
    </row>
    <row r="3191" spans="6:12">
      <c r="F3191" t="s">
        <v>15452</v>
      </c>
      <c r="G3191" t="s">
        <v>15453</v>
      </c>
      <c r="H3191">
        <v>6</v>
      </c>
      <c r="I3191">
        <v>2</v>
      </c>
      <c r="J3191">
        <v>0</v>
      </c>
      <c r="K3191">
        <v>0</v>
      </c>
      <c r="L3191" s="61" t="s">
        <v>4779</v>
      </c>
    </row>
    <row r="3192" spans="6:12">
      <c r="F3192" t="s">
        <v>15454</v>
      </c>
      <c r="G3192" t="s">
        <v>5885</v>
      </c>
      <c r="H3192">
        <v>5</v>
      </c>
      <c r="I3192">
        <v>3</v>
      </c>
      <c r="J3192">
        <v>0</v>
      </c>
      <c r="K3192">
        <v>0</v>
      </c>
      <c r="L3192" s="61" t="s">
        <v>4779</v>
      </c>
    </row>
    <row r="3193" spans="6:12">
      <c r="F3193" t="s">
        <v>15455</v>
      </c>
      <c r="G3193" t="s">
        <v>15456</v>
      </c>
      <c r="H3193">
        <v>7</v>
      </c>
      <c r="I3193">
        <v>0</v>
      </c>
      <c r="J3193">
        <v>1</v>
      </c>
      <c r="K3193">
        <v>0</v>
      </c>
      <c r="L3193" s="61" t="s">
        <v>4779</v>
      </c>
    </row>
    <row r="3194" spans="6:12">
      <c r="F3194" t="s">
        <v>15457</v>
      </c>
      <c r="G3194" t="s">
        <v>15458</v>
      </c>
      <c r="H3194">
        <v>5</v>
      </c>
      <c r="I3194">
        <v>1</v>
      </c>
      <c r="J3194">
        <v>2</v>
      </c>
      <c r="K3194">
        <v>0</v>
      </c>
      <c r="L3194" s="61" t="s">
        <v>4779</v>
      </c>
    </row>
    <row r="3195" spans="6:12">
      <c r="F3195" t="s">
        <v>15459</v>
      </c>
      <c r="G3195" t="s">
        <v>9535</v>
      </c>
      <c r="H3195">
        <v>5</v>
      </c>
      <c r="I3195">
        <v>1</v>
      </c>
      <c r="J3195">
        <v>2</v>
      </c>
      <c r="K3195">
        <v>0</v>
      </c>
      <c r="L3195" s="61" t="s">
        <v>4779</v>
      </c>
    </row>
    <row r="3196" spans="6:12">
      <c r="F3196" t="s">
        <v>15460</v>
      </c>
      <c r="G3196" t="s">
        <v>15461</v>
      </c>
      <c r="H3196">
        <v>5</v>
      </c>
      <c r="I3196">
        <v>3</v>
      </c>
      <c r="J3196">
        <v>0</v>
      </c>
      <c r="K3196">
        <v>0</v>
      </c>
      <c r="L3196" s="61" t="s">
        <v>4779</v>
      </c>
    </row>
    <row r="3197" spans="6:12">
      <c r="F3197" t="s">
        <v>15462</v>
      </c>
      <c r="G3197" t="s">
        <v>15463</v>
      </c>
      <c r="H3197">
        <v>6</v>
      </c>
      <c r="I3197">
        <v>2</v>
      </c>
      <c r="J3197">
        <v>0</v>
      </c>
      <c r="K3197">
        <v>0</v>
      </c>
      <c r="L3197" s="61" t="s">
        <v>4779</v>
      </c>
    </row>
    <row r="3198" spans="6:12">
      <c r="F3198" t="s">
        <v>15464</v>
      </c>
      <c r="G3198" t="s">
        <v>15465</v>
      </c>
      <c r="H3198">
        <v>3</v>
      </c>
      <c r="I3198">
        <v>4</v>
      </c>
      <c r="J3198">
        <v>0</v>
      </c>
      <c r="K3198">
        <v>1</v>
      </c>
      <c r="L3198" s="61" t="s">
        <v>4779</v>
      </c>
    </row>
    <row r="3199" spans="6:12">
      <c r="F3199" t="s">
        <v>15466</v>
      </c>
      <c r="G3199" t="s">
        <v>15467</v>
      </c>
      <c r="H3199">
        <v>5</v>
      </c>
      <c r="I3199">
        <v>2</v>
      </c>
      <c r="J3199">
        <v>1</v>
      </c>
      <c r="K3199">
        <v>0</v>
      </c>
      <c r="L3199" s="61" t="s">
        <v>4779</v>
      </c>
    </row>
    <row r="3200" spans="6:12">
      <c r="F3200" t="s">
        <v>15468</v>
      </c>
      <c r="G3200" t="s">
        <v>15469</v>
      </c>
      <c r="H3200">
        <v>7</v>
      </c>
      <c r="I3200">
        <v>0</v>
      </c>
      <c r="J3200">
        <v>0</v>
      </c>
      <c r="K3200">
        <v>1</v>
      </c>
      <c r="L3200" s="61" t="s">
        <v>4779</v>
      </c>
    </row>
    <row r="3201" spans="6:12">
      <c r="F3201" t="s">
        <v>15470</v>
      </c>
      <c r="G3201" t="s">
        <v>5566</v>
      </c>
      <c r="H3201">
        <v>2</v>
      </c>
      <c r="I3201">
        <v>4</v>
      </c>
      <c r="J3201">
        <v>2</v>
      </c>
      <c r="K3201">
        <v>0</v>
      </c>
      <c r="L3201" s="61" t="s">
        <v>4779</v>
      </c>
    </row>
    <row r="3202" spans="6:12">
      <c r="F3202" t="s">
        <v>15471</v>
      </c>
      <c r="G3202" t="s">
        <v>15472</v>
      </c>
      <c r="H3202">
        <v>7</v>
      </c>
      <c r="I3202">
        <v>0</v>
      </c>
      <c r="J3202">
        <v>1</v>
      </c>
      <c r="K3202">
        <v>0</v>
      </c>
      <c r="L3202" s="61" t="s">
        <v>4779</v>
      </c>
    </row>
    <row r="3203" spans="6:12">
      <c r="F3203" t="s">
        <v>15473</v>
      </c>
      <c r="G3203" t="s">
        <v>15474</v>
      </c>
      <c r="H3203">
        <v>8</v>
      </c>
      <c r="I3203">
        <v>0</v>
      </c>
      <c r="J3203">
        <v>0</v>
      </c>
      <c r="K3203">
        <v>0</v>
      </c>
      <c r="L3203" s="61" t="s">
        <v>4779</v>
      </c>
    </row>
    <row r="3204" spans="6:12">
      <c r="F3204" t="s">
        <v>15475</v>
      </c>
      <c r="G3204" t="s">
        <v>5627</v>
      </c>
      <c r="H3204">
        <v>5</v>
      </c>
      <c r="I3204">
        <v>1</v>
      </c>
      <c r="J3204">
        <v>1</v>
      </c>
      <c r="K3204">
        <v>1</v>
      </c>
      <c r="L3204" s="61" t="s">
        <v>4779</v>
      </c>
    </row>
    <row r="3205" spans="6:12">
      <c r="F3205" t="s">
        <v>15476</v>
      </c>
      <c r="G3205" t="s">
        <v>15477</v>
      </c>
      <c r="H3205">
        <v>8</v>
      </c>
      <c r="I3205">
        <v>0</v>
      </c>
      <c r="J3205">
        <v>0</v>
      </c>
      <c r="K3205">
        <v>0</v>
      </c>
      <c r="L3205" s="61" t="s">
        <v>4779</v>
      </c>
    </row>
    <row r="3206" spans="6:12">
      <c r="F3206" t="s">
        <v>15478</v>
      </c>
      <c r="G3206" t="s">
        <v>15037</v>
      </c>
      <c r="H3206">
        <v>2</v>
      </c>
      <c r="I3206">
        <v>4</v>
      </c>
      <c r="J3206">
        <v>2</v>
      </c>
      <c r="K3206">
        <v>0</v>
      </c>
      <c r="L3206" s="61" t="s">
        <v>4779</v>
      </c>
    </row>
    <row r="3207" spans="6:12">
      <c r="F3207" t="s">
        <v>15479</v>
      </c>
      <c r="G3207" t="s">
        <v>15480</v>
      </c>
      <c r="H3207">
        <v>3</v>
      </c>
      <c r="I3207">
        <v>3</v>
      </c>
      <c r="J3207">
        <v>2</v>
      </c>
      <c r="K3207">
        <v>0</v>
      </c>
      <c r="L3207" s="61" t="s">
        <v>4779</v>
      </c>
    </row>
    <row r="3208" spans="6:12">
      <c r="F3208" t="s">
        <v>15481</v>
      </c>
      <c r="G3208" t="s">
        <v>15482</v>
      </c>
      <c r="H3208">
        <v>3</v>
      </c>
      <c r="I3208">
        <v>3</v>
      </c>
      <c r="J3208">
        <v>2</v>
      </c>
      <c r="K3208">
        <v>0</v>
      </c>
      <c r="L3208" s="61" t="s">
        <v>4779</v>
      </c>
    </row>
    <row r="3209" spans="6:12">
      <c r="F3209" t="s">
        <v>15483</v>
      </c>
      <c r="G3209" t="s">
        <v>15484</v>
      </c>
      <c r="H3209">
        <v>7</v>
      </c>
      <c r="I3209">
        <v>1</v>
      </c>
      <c r="J3209">
        <v>0</v>
      </c>
      <c r="K3209">
        <v>0</v>
      </c>
      <c r="L3209" s="61" t="s">
        <v>4779</v>
      </c>
    </row>
    <row r="3210" spans="6:12">
      <c r="F3210" t="s">
        <v>15485</v>
      </c>
      <c r="G3210" t="s">
        <v>15486</v>
      </c>
      <c r="H3210">
        <v>4</v>
      </c>
      <c r="I3210">
        <v>3</v>
      </c>
      <c r="J3210">
        <v>1</v>
      </c>
      <c r="K3210">
        <v>0</v>
      </c>
      <c r="L3210" s="61" t="s">
        <v>4779</v>
      </c>
    </row>
    <row r="3211" spans="6:12">
      <c r="F3211" t="s">
        <v>15487</v>
      </c>
      <c r="G3211" t="s">
        <v>15488</v>
      </c>
      <c r="H3211">
        <v>8</v>
      </c>
      <c r="I3211">
        <v>0</v>
      </c>
      <c r="J3211">
        <v>0</v>
      </c>
      <c r="K3211">
        <v>0</v>
      </c>
      <c r="L3211" s="61" t="s">
        <v>4779</v>
      </c>
    </row>
    <row r="3212" spans="6:12">
      <c r="F3212" t="s">
        <v>15489</v>
      </c>
      <c r="G3212" t="s">
        <v>15490</v>
      </c>
      <c r="H3212">
        <v>4</v>
      </c>
      <c r="I3212">
        <v>3</v>
      </c>
      <c r="J3212">
        <v>1</v>
      </c>
      <c r="K3212">
        <v>0</v>
      </c>
      <c r="L3212" s="61" t="s">
        <v>4779</v>
      </c>
    </row>
    <row r="3213" spans="6:12">
      <c r="F3213" t="s">
        <v>15491</v>
      </c>
      <c r="G3213" t="s">
        <v>15492</v>
      </c>
      <c r="H3213">
        <v>6</v>
      </c>
      <c r="I3213">
        <v>1</v>
      </c>
      <c r="J3213">
        <v>1</v>
      </c>
      <c r="K3213">
        <v>0</v>
      </c>
      <c r="L3213" s="61" t="s">
        <v>4779</v>
      </c>
    </row>
    <row r="3214" spans="6:12">
      <c r="F3214" t="s">
        <v>15493</v>
      </c>
      <c r="G3214" t="s">
        <v>15494</v>
      </c>
      <c r="H3214">
        <v>6</v>
      </c>
      <c r="I3214">
        <v>0</v>
      </c>
      <c r="J3214">
        <v>2</v>
      </c>
      <c r="K3214">
        <v>0</v>
      </c>
      <c r="L3214" s="61" t="s">
        <v>4779</v>
      </c>
    </row>
    <row r="3215" spans="6:12">
      <c r="F3215" t="s">
        <v>15495</v>
      </c>
      <c r="G3215" t="s">
        <v>15496</v>
      </c>
      <c r="H3215">
        <v>6</v>
      </c>
      <c r="I3215">
        <v>1</v>
      </c>
      <c r="J3215">
        <v>1</v>
      </c>
      <c r="K3215">
        <v>0</v>
      </c>
      <c r="L3215" s="61" t="s">
        <v>4810</v>
      </c>
    </row>
    <row r="3216" spans="6:12">
      <c r="F3216" t="s">
        <v>15497</v>
      </c>
      <c r="G3216" t="s">
        <v>15498</v>
      </c>
      <c r="H3216">
        <v>3</v>
      </c>
      <c r="I3216">
        <v>3</v>
      </c>
      <c r="J3216">
        <v>2</v>
      </c>
      <c r="K3216">
        <v>0</v>
      </c>
      <c r="L3216" s="61" t="s">
        <v>4779</v>
      </c>
    </row>
    <row r="3217" spans="6:12">
      <c r="F3217" t="s">
        <v>15499</v>
      </c>
      <c r="G3217" t="s">
        <v>15500</v>
      </c>
      <c r="H3217">
        <v>4</v>
      </c>
      <c r="I3217">
        <v>4</v>
      </c>
      <c r="J3217">
        <v>0</v>
      </c>
      <c r="K3217">
        <v>0</v>
      </c>
      <c r="L3217" s="61" t="s">
        <v>4779</v>
      </c>
    </row>
    <row r="3218" spans="6:12">
      <c r="F3218" t="s">
        <v>15501</v>
      </c>
      <c r="G3218" t="s">
        <v>15502</v>
      </c>
      <c r="H3218">
        <v>6</v>
      </c>
      <c r="I3218">
        <v>2</v>
      </c>
      <c r="J3218">
        <v>0</v>
      </c>
      <c r="K3218">
        <v>0</v>
      </c>
      <c r="L3218" s="61" t="s">
        <v>4779</v>
      </c>
    </row>
    <row r="3219" spans="6:12">
      <c r="F3219" t="s">
        <v>15503</v>
      </c>
      <c r="G3219" t="s">
        <v>15504</v>
      </c>
      <c r="H3219">
        <v>6</v>
      </c>
      <c r="I3219">
        <v>1</v>
      </c>
      <c r="J3219">
        <v>1</v>
      </c>
      <c r="K3219">
        <v>0</v>
      </c>
      <c r="L3219" s="61" t="s">
        <v>4779</v>
      </c>
    </row>
    <row r="3220" spans="6:12">
      <c r="F3220" t="s">
        <v>15505</v>
      </c>
      <c r="G3220" t="s">
        <v>4734</v>
      </c>
      <c r="H3220">
        <v>5</v>
      </c>
      <c r="I3220">
        <v>2</v>
      </c>
      <c r="J3220">
        <v>1</v>
      </c>
      <c r="K3220">
        <v>0</v>
      </c>
      <c r="L3220" s="61" t="s">
        <v>4779</v>
      </c>
    </row>
    <row r="3221" spans="6:12">
      <c r="F3221" t="s">
        <v>15506</v>
      </c>
      <c r="G3221" t="s">
        <v>15507</v>
      </c>
      <c r="H3221">
        <v>5</v>
      </c>
      <c r="I3221">
        <v>2</v>
      </c>
      <c r="J3221">
        <v>1</v>
      </c>
      <c r="K3221">
        <v>0</v>
      </c>
      <c r="L3221" s="61" t="s">
        <v>4779</v>
      </c>
    </row>
    <row r="3222" spans="6:12">
      <c r="F3222" t="s">
        <v>15508</v>
      </c>
      <c r="G3222" t="s">
        <v>15509</v>
      </c>
      <c r="H3222">
        <v>5</v>
      </c>
      <c r="I3222">
        <v>3</v>
      </c>
      <c r="J3222">
        <v>0</v>
      </c>
      <c r="K3222">
        <v>0</v>
      </c>
      <c r="L3222" s="61" t="s">
        <v>4779</v>
      </c>
    </row>
    <row r="3223" spans="6:12">
      <c r="F3223" t="s">
        <v>15510</v>
      </c>
      <c r="G3223" t="s">
        <v>15511</v>
      </c>
      <c r="H3223">
        <v>5</v>
      </c>
      <c r="I3223">
        <v>2</v>
      </c>
      <c r="J3223">
        <v>1</v>
      </c>
      <c r="K3223">
        <v>0</v>
      </c>
      <c r="L3223" s="61" t="s">
        <v>4779</v>
      </c>
    </row>
    <row r="3224" spans="6:12">
      <c r="F3224" t="s">
        <v>15512</v>
      </c>
      <c r="G3224" t="s">
        <v>15513</v>
      </c>
      <c r="H3224">
        <v>2</v>
      </c>
      <c r="I3224">
        <v>4</v>
      </c>
      <c r="J3224">
        <v>2</v>
      </c>
      <c r="K3224">
        <v>0</v>
      </c>
      <c r="L3224" s="61" t="s">
        <v>4806</v>
      </c>
    </row>
    <row r="3225" spans="6:12">
      <c r="F3225" t="s">
        <v>15514</v>
      </c>
      <c r="G3225" t="s">
        <v>8996</v>
      </c>
      <c r="H3225">
        <v>5</v>
      </c>
      <c r="I3225">
        <v>1</v>
      </c>
      <c r="J3225">
        <v>2</v>
      </c>
      <c r="K3225">
        <v>0</v>
      </c>
      <c r="L3225" s="61" t="s">
        <v>4779</v>
      </c>
    </row>
    <row r="3226" spans="6:12">
      <c r="F3226" t="s">
        <v>15515</v>
      </c>
      <c r="G3226" t="s">
        <v>15516</v>
      </c>
      <c r="H3226">
        <v>7</v>
      </c>
      <c r="I3226">
        <v>1</v>
      </c>
      <c r="J3226">
        <v>0</v>
      </c>
      <c r="K3226">
        <v>0</v>
      </c>
      <c r="L3226" s="61" t="s">
        <v>4779</v>
      </c>
    </row>
    <row r="3227" spans="6:12">
      <c r="F3227" t="s">
        <v>15517</v>
      </c>
      <c r="G3227" t="s">
        <v>15518</v>
      </c>
      <c r="H3227">
        <v>7</v>
      </c>
      <c r="I3227">
        <v>1</v>
      </c>
      <c r="J3227">
        <v>0</v>
      </c>
      <c r="K3227">
        <v>0</v>
      </c>
      <c r="L3227" s="61" t="s">
        <v>4779</v>
      </c>
    </row>
    <row r="3228" spans="6:12">
      <c r="F3228" t="s">
        <v>15519</v>
      </c>
      <c r="G3228" t="s">
        <v>15520</v>
      </c>
      <c r="H3228">
        <v>7</v>
      </c>
      <c r="I3228">
        <v>1</v>
      </c>
      <c r="J3228">
        <v>0</v>
      </c>
      <c r="K3228">
        <v>0</v>
      </c>
      <c r="L3228" s="61" t="s">
        <v>4779</v>
      </c>
    </row>
    <row r="3229" spans="6:12">
      <c r="F3229" t="s">
        <v>15521</v>
      </c>
      <c r="G3229" t="s">
        <v>15522</v>
      </c>
      <c r="H3229">
        <v>6</v>
      </c>
      <c r="I3229">
        <v>0</v>
      </c>
      <c r="J3229">
        <v>2</v>
      </c>
      <c r="K3229">
        <v>0</v>
      </c>
      <c r="L3229" s="61" t="s">
        <v>4808</v>
      </c>
    </row>
    <row r="3230" spans="6:12">
      <c r="F3230" t="s">
        <v>15523</v>
      </c>
      <c r="G3230" t="s">
        <v>15524</v>
      </c>
      <c r="H3230">
        <v>5</v>
      </c>
      <c r="I3230">
        <v>1</v>
      </c>
      <c r="J3230">
        <v>2</v>
      </c>
      <c r="K3230">
        <v>0</v>
      </c>
      <c r="L3230" s="61" t="s">
        <v>4810</v>
      </c>
    </row>
    <row r="3231" spans="6:12">
      <c r="F3231" t="s">
        <v>15525</v>
      </c>
      <c r="G3231" t="s">
        <v>15526</v>
      </c>
      <c r="H3231">
        <v>5</v>
      </c>
      <c r="I3231">
        <v>1</v>
      </c>
      <c r="J3231">
        <v>2</v>
      </c>
      <c r="K3231">
        <v>0</v>
      </c>
      <c r="L3231" s="61" t="s">
        <v>4779</v>
      </c>
    </row>
    <row r="3232" spans="6:12">
      <c r="F3232" t="s">
        <v>15527</v>
      </c>
      <c r="G3232" t="s">
        <v>15528</v>
      </c>
      <c r="H3232">
        <v>4</v>
      </c>
      <c r="I3232">
        <v>3</v>
      </c>
      <c r="J3232">
        <v>1</v>
      </c>
      <c r="K3232">
        <v>0</v>
      </c>
      <c r="L3232" s="61" t="s">
        <v>4779</v>
      </c>
    </row>
    <row r="3233" spans="6:12">
      <c r="F3233" t="s">
        <v>15529</v>
      </c>
      <c r="G3233" t="s">
        <v>15530</v>
      </c>
      <c r="H3233">
        <v>6</v>
      </c>
      <c r="I3233">
        <v>2</v>
      </c>
      <c r="J3233">
        <v>0</v>
      </c>
      <c r="K3233">
        <v>0</v>
      </c>
      <c r="L3233" s="61" t="s">
        <v>4779</v>
      </c>
    </row>
    <row r="3234" spans="6:12">
      <c r="F3234" t="s">
        <v>15531</v>
      </c>
      <c r="G3234" t="s">
        <v>15532</v>
      </c>
      <c r="H3234">
        <v>5</v>
      </c>
      <c r="I3234">
        <v>2</v>
      </c>
      <c r="J3234">
        <v>1</v>
      </c>
      <c r="K3234">
        <v>0</v>
      </c>
      <c r="L3234" s="61" t="s">
        <v>4779</v>
      </c>
    </row>
    <row r="3235" spans="6:12">
      <c r="F3235" t="s">
        <v>15533</v>
      </c>
      <c r="G3235" t="s">
        <v>15534</v>
      </c>
      <c r="H3235">
        <v>2</v>
      </c>
      <c r="I3235">
        <v>4</v>
      </c>
      <c r="J3235">
        <v>2</v>
      </c>
      <c r="K3235">
        <v>0</v>
      </c>
      <c r="L3235" s="61" t="s">
        <v>4779</v>
      </c>
    </row>
    <row r="3236" spans="6:12">
      <c r="F3236" t="s">
        <v>15535</v>
      </c>
      <c r="G3236" t="s">
        <v>15536</v>
      </c>
      <c r="H3236">
        <v>5</v>
      </c>
      <c r="I3236">
        <v>3</v>
      </c>
      <c r="J3236">
        <v>0</v>
      </c>
      <c r="K3236">
        <v>0</v>
      </c>
      <c r="L3236" s="61" t="s">
        <v>4779</v>
      </c>
    </row>
    <row r="3237" spans="6:12">
      <c r="F3237" t="s">
        <v>15537</v>
      </c>
      <c r="G3237" t="s">
        <v>15538</v>
      </c>
      <c r="H3237">
        <v>3</v>
      </c>
      <c r="I3237">
        <v>4</v>
      </c>
      <c r="J3237">
        <v>1</v>
      </c>
      <c r="K3237">
        <v>0</v>
      </c>
      <c r="L3237" s="61" t="s">
        <v>4806</v>
      </c>
    </row>
    <row r="3238" spans="6:12">
      <c r="F3238" t="s">
        <v>15539</v>
      </c>
      <c r="G3238" t="s">
        <v>15540</v>
      </c>
      <c r="H3238">
        <v>6</v>
      </c>
      <c r="I3238">
        <v>1</v>
      </c>
      <c r="J3238">
        <v>1</v>
      </c>
      <c r="K3238">
        <v>0</v>
      </c>
      <c r="L3238" s="61" t="s">
        <v>4779</v>
      </c>
    </row>
    <row r="3239" spans="6:12">
      <c r="F3239" t="s">
        <v>15541</v>
      </c>
      <c r="G3239" t="s">
        <v>15542</v>
      </c>
      <c r="H3239">
        <v>6</v>
      </c>
      <c r="I3239">
        <v>1</v>
      </c>
      <c r="J3239">
        <v>1</v>
      </c>
      <c r="K3239">
        <v>0</v>
      </c>
      <c r="L3239" s="61" t="s">
        <v>4779</v>
      </c>
    </row>
    <row r="3240" spans="6:12">
      <c r="F3240" t="s">
        <v>15543</v>
      </c>
      <c r="G3240" t="s">
        <v>15544</v>
      </c>
      <c r="H3240">
        <v>7</v>
      </c>
      <c r="I3240">
        <v>0</v>
      </c>
      <c r="J3240">
        <v>1</v>
      </c>
      <c r="K3240">
        <v>0</v>
      </c>
      <c r="L3240" s="61" t="s">
        <v>4779</v>
      </c>
    </row>
    <row r="3241" spans="6:12">
      <c r="F3241" t="s">
        <v>15545</v>
      </c>
      <c r="G3241" t="s">
        <v>15546</v>
      </c>
      <c r="H3241">
        <v>3</v>
      </c>
      <c r="I3241">
        <v>3</v>
      </c>
      <c r="J3241">
        <v>2</v>
      </c>
      <c r="K3241">
        <v>0</v>
      </c>
      <c r="L3241" s="61" t="s">
        <v>4779</v>
      </c>
    </row>
    <row r="3242" spans="6:12">
      <c r="F3242" t="s">
        <v>15547</v>
      </c>
      <c r="G3242" t="s">
        <v>15548</v>
      </c>
      <c r="H3242">
        <v>5</v>
      </c>
      <c r="I3242">
        <v>1</v>
      </c>
      <c r="J3242">
        <v>2</v>
      </c>
      <c r="K3242">
        <v>0</v>
      </c>
      <c r="L3242" s="61" t="s">
        <v>4779</v>
      </c>
    </row>
    <row r="3243" spans="6:12">
      <c r="F3243" t="s">
        <v>15549</v>
      </c>
      <c r="G3243" t="s">
        <v>15550</v>
      </c>
      <c r="H3243">
        <v>7</v>
      </c>
      <c r="I3243">
        <v>0</v>
      </c>
      <c r="J3243">
        <v>1</v>
      </c>
      <c r="K3243">
        <v>0</v>
      </c>
      <c r="L3243" s="61" t="s">
        <v>4779</v>
      </c>
    </row>
    <row r="3244" spans="6:12">
      <c r="F3244" t="s">
        <v>15551</v>
      </c>
      <c r="G3244" t="s">
        <v>15552</v>
      </c>
      <c r="H3244">
        <v>3</v>
      </c>
      <c r="I3244">
        <v>4</v>
      </c>
      <c r="J3244">
        <v>1</v>
      </c>
      <c r="K3244">
        <v>0</v>
      </c>
      <c r="L3244" s="61" t="s">
        <v>4810</v>
      </c>
    </row>
    <row r="3245" spans="6:12">
      <c r="F3245" t="s">
        <v>15553</v>
      </c>
      <c r="G3245" t="s">
        <v>15554</v>
      </c>
      <c r="H3245">
        <v>3</v>
      </c>
      <c r="I3245">
        <v>3</v>
      </c>
      <c r="J3245">
        <v>2</v>
      </c>
      <c r="K3245">
        <v>0</v>
      </c>
      <c r="L3245" s="61" t="s">
        <v>4779</v>
      </c>
    </row>
    <row r="3246" spans="6:12">
      <c r="F3246" t="s">
        <v>15555</v>
      </c>
      <c r="G3246" t="s">
        <v>15556</v>
      </c>
      <c r="H3246">
        <v>3</v>
      </c>
      <c r="I3246">
        <v>3</v>
      </c>
      <c r="J3246">
        <v>2</v>
      </c>
      <c r="K3246">
        <v>0</v>
      </c>
      <c r="L3246" s="61" t="s">
        <v>4810</v>
      </c>
    </row>
    <row r="3247" spans="6:12">
      <c r="F3247" t="s">
        <v>15557</v>
      </c>
      <c r="G3247" t="s">
        <v>15558</v>
      </c>
      <c r="H3247">
        <v>5</v>
      </c>
      <c r="I3247">
        <v>2</v>
      </c>
      <c r="J3247">
        <v>1</v>
      </c>
      <c r="K3247">
        <v>0</v>
      </c>
      <c r="L3247" s="61" t="s">
        <v>4779</v>
      </c>
    </row>
    <row r="3248" spans="6:12">
      <c r="F3248" t="s">
        <v>15559</v>
      </c>
      <c r="G3248" t="s">
        <v>5394</v>
      </c>
      <c r="H3248">
        <v>6</v>
      </c>
      <c r="I3248">
        <v>1</v>
      </c>
      <c r="J3248">
        <v>1</v>
      </c>
      <c r="K3248">
        <v>0</v>
      </c>
      <c r="L3248" s="61" t="s">
        <v>4779</v>
      </c>
    </row>
    <row r="3249" spans="6:12">
      <c r="F3249" t="s">
        <v>15560</v>
      </c>
      <c r="G3249" t="s">
        <v>11085</v>
      </c>
      <c r="H3249">
        <v>6</v>
      </c>
      <c r="I3249">
        <v>0</v>
      </c>
      <c r="J3249">
        <v>2</v>
      </c>
      <c r="K3249">
        <v>0</v>
      </c>
      <c r="L3249" s="61" t="s">
        <v>4779</v>
      </c>
    </row>
    <row r="3250" spans="6:12">
      <c r="F3250" t="s">
        <v>15561</v>
      </c>
      <c r="G3250" t="s">
        <v>15562</v>
      </c>
      <c r="H3250">
        <v>8</v>
      </c>
      <c r="I3250">
        <v>0</v>
      </c>
      <c r="J3250">
        <v>0</v>
      </c>
      <c r="K3250">
        <v>0</v>
      </c>
      <c r="L3250" s="61" t="s">
        <v>4779</v>
      </c>
    </row>
    <row r="3251" spans="6:12">
      <c r="F3251" t="s">
        <v>15563</v>
      </c>
      <c r="G3251" t="s">
        <v>10855</v>
      </c>
      <c r="H3251">
        <v>6</v>
      </c>
      <c r="I3251">
        <v>0</v>
      </c>
      <c r="J3251">
        <v>2</v>
      </c>
      <c r="K3251">
        <v>0</v>
      </c>
      <c r="L3251" s="61" t="s">
        <v>4779</v>
      </c>
    </row>
    <row r="3252" spans="6:12">
      <c r="F3252" t="s">
        <v>15564</v>
      </c>
      <c r="G3252" t="s">
        <v>15565</v>
      </c>
      <c r="H3252">
        <v>6</v>
      </c>
      <c r="I3252">
        <v>2</v>
      </c>
      <c r="J3252">
        <v>0</v>
      </c>
      <c r="K3252">
        <v>0</v>
      </c>
      <c r="L3252" s="61" t="s">
        <v>4779</v>
      </c>
    </row>
    <row r="3253" spans="6:12">
      <c r="F3253" t="s">
        <v>15566</v>
      </c>
      <c r="G3253" t="s">
        <v>15567</v>
      </c>
      <c r="H3253">
        <v>8</v>
      </c>
      <c r="I3253">
        <v>0</v>
      </c>
      <c r="J3253">
        <v>0</v>
      </c>
      <c r="K3253">
        <v>0</v>
      </c>
      <c r="L3253" s="61" t="s">
        <v>4779</v>
      </c>
    </row>
    <row r="3254" spans="6:12">
      <c r="F3254" t="s">
        <v>15568</v>
      </c>
      <c r="G3254" t="s">
        <v>15532</v>
      </c>
      <c r="H3254">
        <v>4</v>
      </c>
      <c r="I3254">
        <v>2</v>
      </c>
      <c r="J3254">
        <v>2</v>
      </c>
      <c r="K3254">
        <v>0</v>
      </c>
      <c r="L3254" s="61" t="s">
        <v>4779</v>
      </c>
    </row>
    <row r="3255" spans="6:12">
      <c r="F3255" t="s">
        <v>15569</v>
      </c>
      <c r="G3255" t="s">
        <v>15570</v>
      </c>
      <c r="H3255">
        <v>7</v>
      </c>
      <c r="I3255">
        <v>1</v>
      </c>
      <c r="J3255">
        <v>0</v>
      </c>
      <c r="K3255">
        <v>0</v>
      </c>
      <c r="L3255" s="61" t="s">
        <v>4779</v>
      </c>
    </row>
    <row r="3256" spans="6:12">
      <c r="F3256" t="s">
        <v>15571</v>
      </c>
      <c r="G3256" t="s">
        <v>15572</v>
      </c>
      <c r="H3256">
        <v>5</v>
      </c>
      <c r="I3256">
        <v>3</v>
      </c>
      <c r="J3256">
        <v>0</v>
      </c>
      <c r="K3256">
        <v>0</v>
      </c>
      <c r="L3256" s="61" t="s">
        <v>4779</v>
      </c>
    </row>
    <row r="3257" spans="6:12">
      <c r="F3257" t="s">
        <v>15573</v>
      </c>
      <c r="G3257" t="s">
        <v>15574</v>
      </c>
      <c r="H3257">
        <v>7</v>
      </c>
      <c r="I3257">
        <v>1</v>
      </c>
      <c r="J3257">
        <v>0</v>
      </c>
      <c r="K3257">
        <v>0</v>
      </c>
      <c r="L3257" s="61" t="s">
        <v>4779</v>
      </c>
    </row>
    <row r="3258" spans="6:12">
      <c r="F3258" t="s">
        <v>15575</v>
      </c>
      <c r="G3258" t="s">
        <v>15576</v>
      </c>
      <c r="H3258">
        <v>7</v>
      </c>
      <c r="I3258">
        <v>1</v>
      </c>
      <c r="J3258">
        <v>0</v>
      </c>
      <c r="K3258">
        <v>0</v>
      </c>
      <c r="L3258" s="61" t="s">
        <v>4810</v>
      </c>
    </row>
    <row r="3259" spans="6:12">
      <c r="F3259" t="s">
        <v>15577</v>
      </c>
      <c r="G3259" t="s">
        <v>15578</v>
      </c>
      <c r="H3259">
        <v>2</v>
      </c>
      <c r="I3259">
        <v>4</v>
      </c>
      <c r="J3259">
        <v>2</v>
      </c>
      <c r="K3259">
        <v>0</v>
      </c>
      <c r="L3259" s="61" t="s">
        <v>4779</v>
      </c>
    </row>
    <row r="3260" spans="6:12">
      <c r="F3260" t="s">
        <v>15579</v>
      </c>
      <c r="G3260" t="s">
        <v>15580</v>
      </c>
      <c r="H3260">
        <v>3</v>
      </c>
      <c r="I3260">
        <v>3</v>
      </c>
      <c r="J3260">
        <v>2</v>
      </c>
      <c r="K3260">
        <v>0</v>
      </c>
      <c r="L3260" s="61" t="s">
        <v>4810</v>
      </c>
    </row>
    <row r="3261" spans="6:12">
      <c r="F3261" t="s">
        <v>15581</v>
      </c>
      <c r="G3261" t="s">
        <v>15582</v>
      </c>
      <c r="H3261">
        <v>5</v>
      </c>
      <c r="I3261">
        <v>2</v>
      </c>
      <c r="J3261">
        <v>1</v>
      </c>
      <c r="K3261">
        <v>0</v>
      </c>
      <c r="L3261" s="61" t="s">
        <v>4810</v>
      </c>
    </row>
    <row r="3262" spans="6:12">
      <c r="F3262" t="s">
        <v>15583</v>
      </c>
      <c r="G3262" t="s">
        <v>15584</v>
      </c>
      <c r="H3262">
        <v>5</v>
      </c>
      <c r="I3262">
        <v>1</v>
      </c>
      <c r="J3262">
        <v>2</v>
      </c>
      <c r="K3262">
        <v>0</v>
      </c>
      <c r="L3262" s="61" t="s">
        <v>4779</v>
      </c>
    </row>
    <row r="3263" spans="6:12">
      <c r="F3263" t="s">
        <v>15585</v>
      </c>
      <c r="G3263" t="s">
        <v>15586</v>
      </c>
      <c r="H3263">
        <v>5</v>
      </c>
      <c r="I3263">
        <v>3</v>
      </c>
      <c r="J3263">
        <v>0</v>
      </c>
      <c r="K3263">
        <v>0</v>
      </c>
      <c r="L3263" s="61" t="s">
        <v>4779</v>
      </c>
    </row>
    <row r="3264" spans="6:12">
      <c r="F3264" t="s">
        <v>15587</v>
      </c>
      <c r="G3264" t="s">
        <v>15588</v>
      </c>
      <c r="H3264">
        <v>5</v>
      </c>
      <c r="I3264">
        <v>1</v>
      </c>
      <c r="J3264">
        <v>2</v>
      </c>
      <c r="K3264">
        <v>0</v>
      </c>
      <c r="L3264" s="61" t="s">
        <v>4779</v>
      </c>
    </row>
    <row r="3265" spans="6:12">
      <c r="F3265" t="s">
        <v>15589</v>
      </c>
      <c r="G3265" t="s">
        <v>15590</v>
      </c>
      <c r="H3265">
        <v>8</v>
      </c>
      <c r="I3265">
        <v>0</v>
      </c>
      <c r="J3265">
        <v>0</v>
      </c>
      <c r="K3265">
        <v>0</v>
      </c>
      <c r="L3265" s="61" t="s">
        <v>4779</v>
      </c>
    </row>
    <row r="3266" spans="6:12">
      <c r="F3266" t="s">
        <v>15591</v>
      </c>
      <c r="G3266" t="s">
        <v>15592</v>
      </c>
      <c r="H3266">
        <v>5</v>
      </c>
      <c r="I3266">
        <v>2</v>
      </c>
      <c r="J3266">
        <v>1</v>
      </c>
      <c r="K3266">
        <v>0</v>
      </c>
      <c r="L3266" s="61" t="s">
        <v>4779</v>
      </c>
    </row>
    <row r="3267" spans="6:12">
      <c r="F3267" t="s">
        <v>15593</v>
      </c>
      <c r="G3267" t="s">
        <v>15594</v>
      </c>
      <c r="H3267">
        <v>4</v>
      </c>
      <c r="I3267">
        <v>4</v>
      </c>
      <c r="J3267">
        <v>0</v>
      </c>
      <c r="K3267">
        <v>0</v>
      </c>
      <c r="L3267" s="61" t="s">
        <v>4779</v>
      </c>
    </row>
    <row r="3268" spans="6:12">
      <c r="F3268" t="s">
        <v>15595</v>
      </c>
      <c r="G3268" t="s">
        <v>15596</v>
      </c>
      <c r="H3268">
        <v>5</v>
      </c>
      <c r="I3268">
        <v>3</v>
      </c>
      <c r="J3268">
        <v>0</v>
      </c>
      <c r="K3268">
        <v>0</v>
      </c>
      <c r="L3268" s="61" t="s">
        <v>4779</v>
      </c>
    </row>
    <row r="3269" spans="6:12">
      <c r="F3269" t="s">
        <v>15597</v>
      </c>
      <c r="G3269" t="s">
        <v>15598</v>
      </c>
      <c r="H3269">
        <v>4</v>
      </c>
      <c r="I3269">
        <v>3</v>
      </c>
      <c r="J3269">
        <v>1</v>
      </c>
      <c r="K3269">
        <v>0</v>
      </c>
      <c r="L3269" s="61" t="s">
        <v>4810</v>
      </c>
    </row>
    <row r="3270" spans="6:12">
      <c r="F3270" t="s">
        <v>15599</v>
      </c>
      <c r="G3270" t="s">
        <v>15600</v>
      </c>
      <c r="H3270">
        <v>6</v>
      </c>
      <c r="I3270">
        <v>2</v>
      </c>
      <c r="J3270">
        <v>0</v>
      </c>
      <c r="K3270">
        <v>0</v>
      </c>
      <c r="L3270" s="61" t="s">
        <v>4806</v>
      </c>
    </row>
    <row r="3271" spans="6:12">
      <c r="F3271" t="s">
        <v>15601</v>
      </c>
      <c r="G3271" t="s">
        <v>5631</v>
      </c>
      <c r="H3271">
        <v>4</v>
      </c>
      <c r="I3271">
        <v>2</v>
      </c>
      <c r="J3271">
        <v>2</v>
      </c>
      <c r="K3271">
        <v>0</v>
      </c>
      <c r="L3271" s="61" t="s">
        <v>4779</v>
      </c>
    </row>
    <row r="3272" spans="6:12">
      <c r="F3272" t="s">
        <v>15602</v>
      </c>
      <c r="G3272" t="s">
        <v>15603</v>
      </c>
      <c r="H3272">
        <v>6</v>
      </c>
      <c r="I3272">
        <v>0</v>
      </c>
      <c r="J3272">
        <v>2</v>
      </c>
      <c r="K3272">
        <v>0</v>
      </c>
      <c r="L3272" s="61" t="s">
        <v>4807</v>
      </c>
    </row>
    <row r="3273" spans="6:12">
      <c r="F3273" t="s">
        <v>15604</v>
      </c>
      <c r="G3273" t="s">
        <v>15605</v>
      </c>
      <c r="H3273">
        <v>5</v>
      </c>
      <c r="I3273">
        <v>3</v>
      </c>
      <c r="J3273">
        <v>0</v>
      </c>
      <c r="K3273">
        <v>0</v>
      </c>
      <c r="L3273" s="61" t="s">
        <v>4779</v>
      </c>
    </row>
    <row r="3274" spans="6:12">
      <c r="F3274" t="s">
        <v>15606</v>
      </c>
      <c r="G3274" t="s">
        <v>15607</v>
      </c>
      <c r="H3274">
        <v>4</v>
      </c>
      <c r="I3274">
        <v>4</v>
      </c>
      <c r="J3274">
        <v>0</v>
      </c>
      <c r="K3274">
        <v>0</v>
      </c>
      <c r="L3274" s="61" t="s">
        <v>4779</v>
      </c>
    </row>
    <row r="3275" spans="6:12">
      <c r="F3275" t="s">
        <v>15608</v>
      </c>
      <c r="G3275" t="s">
        <v>15609</v>
      </c>
      <c r="H3275">
        <v>5</v>
      </c>
      <c r="I3275">
        <v>3</v>
      </c>
      <c r="J3275">
        <v>0</v>
      </c>
      <c r="K3275">
        <v>0</v>
      </c>
      <c r="L3275" s="61" t="s">
        <v>4809</v>
      </c>
    </row>
    <row r="3276" spans="6:12">
      <c r="F3276" t="s">
        <v>15610</v>
      </c>
      <c r="G3276" t="s">
        <v>15611</v>
      </c>
      <c r="H3276">
        <v>6</v>
      </c>
      <c r="I3276">
        <v>2</v>
      </c>
      <c r="J3276">
        <v>0</v>
      </c>
      <c r="K3276">
        <v>0</v>
      </c>
      <c r="L3276" s="61" t="s">
        <v>4779</v>
      </c>
    </row>
    <row r="3277" spans="6:12">
      <c r="F3277" t="s">
        <v>15612</v>
      </c>
      <c r="G3277" t="s">
        <v>15613</v>
      </c>
      <c r="H3277">
        <v>5</v>
      </c>
      <c r="I3277">
        <v>1</v>
      </c>
      <c r="J3277">
        <v>2</v>
      </c>
      <c r="K3277">
        <v>0</v>
      </c>
      <c r="L3277" s="61" t="s">
        <v>4808</v>
      </c>
    </row>
    <row r="3278" spans="6:12">
      <c r="F3278" t="s">
        <v>15614</v>
      </c>
      <c r="G3278" t="s">
        <v>15615</v>
      </c>
      <c r="H3278">
        <v>2</v>
      </c>
      <c r="I3278">
        <v>4</v>
      </c>
      <c r="J3278">
        <v>2</v>
      </c>
      <c r="K3278">
        <v>0</v>
      </c>
      <c r="L3278" s="61" t="s">
        <v>4779</v>
      </c>
    </row>
    <row r="3279" spans="6:12">
      <c r="F3279" t="s">
        <v>15616</v>
      </c>
      <c r="G3279" t="s">
        <v>15617</v>
      </c>
      <c r="H3279">
        <v>6</v>
      </c>
      <c r="I3279">
        <v>0</v>
      </c>
      <c r="J3279">
        <v>2</v>
      </c>
      <c r="K3279">
        <v>0</v>
      </c>
      <c r="L3279" s="61" t="s">
        <v>4779</v>
      </c>
    </row>
    <row r="3280" spans="6:12">
      <c r="F3280" t="s">
        <v>15618</v>
      </c>
      <c r="G3280" t="s">
        <v>15619</v>
      </c>
      <c r="H3280">
        <v>3</v>
      </c>
      <c r="I3280">
        <v>3</v>
      </c>
      <c r="J3280">
        <v>2</v>
      </c>
      <c r="K3280">
        <v>0</v>
      </c>
      <c r="L3280" s="61" t="s">
        <v>4809</v>
      </c>
    </row>
    <row r="3281" spans="6:12">
      <c r="F3281" t="s">
        <v>15620</v>
      </c>
      <c r="G3281" t="s">
        <v>15621</v>
      </c>
      <c r="H3281">
        <v>3</v>
      </c>
      <c r="I3281">
        <v>4</v>
      </c>
      <c r="J3281">
        <v>1</v>
      </c>
      <c r="K3281">
        <v>0</v>
      </c>
      <c r="L3281" s="61" t="s">
        <v>4779</v>
      </c>
    </row>
    <row r="3282" spans="6:12">
      <c r="F3282" t="s">
        <v>15622</v>
      </c>
      <c r="G3282" t="s">
        <v>15623</v>
      </c>
      <c r="H3282">
        <v>6</v>
      </c>
      <c r="I3282">
        <v>1</v>
      </c>
      <c r="J3282">
        <v>1</v>
      </c>
      <c r="K3282">
        <v>0</v>
      </c>
      <c r="L3282" s="61" t="s">
        <v>4779</v>
      </c>
    </row>
    <row r="3283" spans="6:12">
      <c r="F3283" t="s">
        <v>15624</v>
      </c>
      <c r="G3283" t="s">
        <v>15625</v>
      </c>
      <c r="H3283">
        <v>5</v>
      </c>
      <c r="I3283">
        <v>3</v>
      </c>
      <c r="J3283">
        <v>0</v>
      </c>
      <c r="K3283">
        <v>0</v>
      </c>
      <c r="L3283" s="61" t="s">
        <v>4810</v>
      </c>
    </row>
    <row r="3284" spans="6:12">
      <c r="F3284" t="s">
        <v>15626</v>
      </c>
      <c r="G3284" t="s">
        <v>15627</v>
      </c>
      <c r="H3284">
        <v>5</v>
      </c>
      <c r="I3284">
        <v>2</v>
      </c>
      <c r="J3284">
        <v>1</v>
      </c>
      <c r="K3284">
        <v>0</v>
      </c>
      <c r="L3284" s="61" t="s">
        <v>4779</v>
      </c>
    </row>
    <row r="3285" spans="6:12">
      <c r="F3285" t="s">
        <v>15628</v>
      </c>
      <c r="G3285" t="s">
        <v>15629</v>
      </c>
      <c r="H3285">
        <v>6</v>
      </c>
      <c r="I3285">
        <v>0</v>
      </c>
      <c r="J3285">
        <v>2</v>
      </c>
      <c r="K3285">
        <v>0</v>
      </c>
      <c r="L3285" s="61" t="s">
        <v>4779</v>
      </c>
    </row>
    <row r="3286" spans="6:12">
      <c r="F3286" t="s">
        <v>15630</v>
      </c>
      <c r="G3286" t="s">
        <v>15631</v>
      </c>
      <c r="H3286">
        <v>4</v>
      </c>
      <c r="I3286">
        <v>2</v>
      </c>
      <c r="J3286">
        <v>2</v>
      </c>
      <c r="K3286">
        <v>0</v>
      </c>
      <c r="L3286" s="61" t="s">
        <v>4808</v>
      </c>
    </row>
    <row r="3287" spans="6:12">
      <c r="F3287" t="s">
        <v>15632</v>
      </c>
      <c r="G3287" t="s">
        <v>15633</v>
      </c>
      <c r="H3287">
        <v>5</v>
      </c>
      <c r="I3287">
        <v>2</v>
      </c>
      <c r="J3287">
        <v>1</v>
      </c>
      <c r="K3287">
        <v>0</v>
      </c>
      <c r="L3287" s="61" t="s">
        <v>4779</v>
      </c>
    </row>
    <row r="3288" spans="6:12">
      <c r="F3288" t="s">
        <v>15634</v>
      </c>
      <c r="G3288" t="s">
        <v>15635</v>
      </c>
      <c r="H3288">
        <v>2</v>
      </c>
      <c r="I3288">
        <v>4</v>
      </c>
      <c r="J3288">
        <v>2</v>
      </c>
      <c r="K3288">
        <v>0</v>
      </c>
      <c r="L3288" s="61" t="s">
        <v>4779</v>
      </c>
    </row>
    <row r="3289" spans="6:12">
      <c r="F3289" t="s">
        <v>15636</v>
      </c>
      <c r="G3289" t="s">
        <v>15637</v>
      </c>
      <c r="H3289">
        <v>2</v>
      </c>
      <c r="I3289">
        <v>4</v>
      </c>
      <c r="J3289">
        <v>2</v>
      </c>
      <c r="K3289">
        <v>0</v>
      </c>
      <c r="L3289" s="61" t="s">
        <v>4779</v>
      </c>
    </row>
    <row r="3290" spans="6:12">
      <c r="F3290" t="s">
        <v>15638</v>
      </c>
      <c r="G3290" t="s">
        <v>15639</v>
      </c>
      <c r="H3290">
        <v>3</v>
      </c>
      <c r="I3290">
        <v>4</v>
      </c>
      <c r="J3290">
        <v>1</v>
      </c>
      <c r="K3290">
        <v>0</v>
      </c>
      <c r="L3290" s="61" t="s">
        <v>4779</v>
      </c>
    </row>
    <row r="3291" spans="6:12">
      <c r="F3291" t="s">
        <v>15640</v>
      </c>
      <c r="G3291" t="s">
        <v>15641</v>
      </c>
      <c r="H3291">
        <v>5</v>
      </c>
      <c r="I3291">
        <v>3</v>
      </c>
      <c r="J3291">
        <v>0</v>
      </c>
      <c r="K3291">
        <v>0</v>
      </c>
      <c r="L3291" s="61" t="s">
        <v>4779</v>
      </c>
    </row>
    <row r="3292" spans="6:12">
      <c r="F3292" t="s">
        <v>15642</v>
      </c>
      <c r="G3292" t="s">
        <v>11033</v>
      </c>
      <c r="H3292">
        <v>2</v>
      </c>
      <c r="I3292">
        <v>4</v>
      </c>
      <c r="J3292">
        <v>2</v>
      </c>
      <c r="K3292">
        <v>0</v>
      </c>
      <c r="L3292" s="61" t="s">
        <v>4806</v>
      </c>
    </row>
    <row r="3293" spans="6:12">
      <c r="F3293" t="s">
        <v>15643</v>
      </c>
      <c r="G3293" t="s">
        <v>15644</v>
      </c>
      <c r="H3293">
        <v>4</v>
      </c>
      <c r="I3293">
        <v>3</v>
      </c>
      <c r="J3293">
        <v>1</v>
      </c>
      <c r="K3293">
        <v>0</v>
      </c>
      <c r="L3293" s="61" t="s">
        <v>4779</v>
      </c>
    </row>
    <row r="3294" spans="6:12">
      <c r="F3294" t="s">
        <v>15645</v>
      </c>
      <c r="G3294" t="s">
        <v>15646</v>
      </c>
      <c r="H3294">
        <v>5</v>
      </c>
      <c r="I3294">
        <v>3</v>
      </c>
      <c r="J3294">
        <v>0</v>
      </c>
      <c r="K3294">
        <v>0</v>
      </c>
      <c r="L3294" s="61" t="s">
        <v>4779</v>
      </c>
    </row>
    <row r="3295" spans="6:12">
      <c r="F3295" t="s">
        <v>15647</v>
      </c>
      <c r="G3295" t="s">
        <v>15648</v>
      </c>
      <c r="H3295">
        <v>8</v>
      </c>
      <c r="I3295">
        <v>0</v>
      </c>
      <c r="J3295">
        <v>0</v>
      </c>
      <c r="K3295">
        <v>0</v>
      </c>
      <c r="L3295" s="61" t="s">
        <v>4810</v>
      </c>
    </row>
    <row r="3296" spans="6:12">
      <c r="F3296" t="s">
        <v>15649</v>
      </c>
      <c r="G3296" t="s">
        <v>15650</v>
      </c>
      <c r="H3296">
        <v>5</v>
      </c>
      <c r="I3296">
        <v>1</v>
      </c>
      <c r="J3296">
        <v>2</v>
      </c>
      <c r="K3296">
        <v>0</v>
      </c>
      <c r="L3296" s="61" t="s">
        <v>4779</v>
      </c>
    </row>
    <row r="3297" spans="6:12">
      <c r="F3297" t="s">
        <v>15651</v>
      </c>
      <c r="G3297" t="s">
        <v>15652</v>
      </c>
      <c r="H3297">
        <v>6</v>
      </c>
      <c r="I3297">
        <v>1</v>
      </c>
      <c r="J3297">
        <v>1</v>
      </c>
      <c r="K3297">
        <v>0</v>
      </c>
      <c r="L3297" s="61" t="s">
        <v>4779</v>
      </c>
    </row>
    <row r="3298" spans="6:12">
      <c r="F3298" t="s">
        <v>15653</v>
      </c>
      <c r="G3298" t="s">
        <v>15654</v>
      </c>
      <c r="H3298">
        <v>3</v>
      </c>
      <c r="I3298">
        <v>3</v>
      </c>
      <c r="J3298">
        <v>2</v>
      </c>
      <c r="K3298">
        <v>0</v>
      </c>
      <c r="L3298" s="61" t="s">
        <v>4779</v>
      </c>
    </row>
    <row r="3299" spans="6:12">
      <c r="F3299" t="s">
        <v>15655</v>
      </c>
      <c r="G3299" t="s">
        <v>15656</v>
      </c>
      <c r="H3299">
        <v>7</v>
      </c>
      <c r="I3299">
        <v>1</v>
      </c>
      <c r="J3299">
        <v>0</v>
      </c>
      <c r="K3299">
        <v>0</v>
      </c>
      <c r="L3299" s="61" t="s">
        <v>4779</v>
      </c>
    </row>
    <row r="3300" spans="6:12">
      <c r="F3300" t="s">
        <v>15657</v>
      </c>
      <c r="G3300" t="s">
        <v>15658</v>
      </c>
      <c r="H3300">
        <v>5</v>
      </c>
      <c r="I3300">
        <v>2</v>
      </c>
      <c r="J3300">
        <v>1</v>
      </c>
      <c r="K3300">
        <v>0</v>
      </c>
      <c r="L3300" s="61" t="s">
        <v>4779</v>
      </c>
    </row>
    <row r="3301" spans="6:12">
      <c r="F3301" t="s">
        <v>15659</v>
      </c>
      <c r="G3301" t="s">
        <v>15660</v>
      </c>
      <c r="H3301">
        <v>6</v>
      </c>
      <c r="I3301">
        <v>1</v>
      </c>
      <c r="J3301">
        <v>1</v>
      </c>
      <c r="K3301">
        <v>0</v>
      </c>
      <c r="L3301" s="61" t="s">
        <v>4779</v>
      </c>
    </row>
    <row r="3302" spans="6:12">
      <c r="F3302" t="s">
        <v>15661</v>
      </c>
      <c r="G3302" t="s">
        <v>15662</v>
      </c>
      <c r="H3302">
        <v>4</v>
      </c>
      <c r="I3302">
        <v>3</v>
      </c>
      <c r="J3302">
        <v>1</v>
      </c>
      <c r="K3302">
        <v>0</v>
      </c>
      <c r="L3302" s="61" t="s">
        <v>4779</v>
      </c>
    </row>
    <row r="3303" spans="6:12">
      <c r="F3303" t="s">
        <v>15663</v>
      </c>
      <c r="G3303" t="s">
        <v>5180</v>
      </c>
      <c r="H3303">
        <v>6</v>
      </c>
      <c r="I3303">
        <v>1</v>
      </c>
      <c r="J3303">
        <v>1</v>
      </c>
      <c r="K3303">
        <v>0</v>
      </c>
      <c r="L3303" s="61" t="s">
        <v>4779</v>
      </c>
    </row>
    <row r="3304" spans="6:12">
      <c r="F3304" t="s">
        <v>15664</v>
      </c>
      <c r="G3304" t="s">
        <v>15665</v>
      </c>
      <c r="H3304">
        <v>3</v>
      </c>
      <c r="I3304">
        <v>4</v>
      </c>
      <c r="J3304">
        <v>1</v>
      </c>
      <c r="K3304">
        <v>0</v>
      </c>
      <c r="L3304" s="61" t="s">
        <v>4779</v>
      </c>
    </row>
    <row r="3305" spans="6:12">
      <c r="F3305" t="s">
        <v>15666</v>
      </c>
      <c r="G3305" t="s">
        <v>15667</v>
      </c>
      <c r="H3305">
        <v>5</v>
      </c>
      <c r="I3305">
        <v>3</v>
      </c>
      <c r="J3305">
        <v>0</v>
      </c>
      <c r="K3305">
        <v>0</v>
      </c>
      <c r="L3305" s="61" t="s">
        <v>4779</v>
      </c>
    </row>
    <row r="3306" spans="6:12">
      <c r="F3306" t="s">
        <v>15668</v>
      </c>
      <c r="G3306" t="s">
        <v>15669</v>
      </c>
      <c r="H3306">
        <v>6</v>
      </c>
      <c r="I3306">
        <v>2</v>
      </c>
      <c r="J3306">
        <v>0</v>
      </c>
      <c r="K3306">
        <v>0</v>
      </c>
      <c r="L3306" s="61" t="s">
        <v>4779</v>
      </c>
    </row>
    <row r="3307" spans="6:12">
      <c r="F3307" t="s">
        <v>15670</v>
      </c>
      <c r="G3307" t="s">
        <v>15671</v>
      </c>
      <c r="H3307">
        <v>4</v>
      </c>
      <c r="I3307">
        <v>2</v>
      </c>
      <c r="J3307">
        <v>2</v>
      </c>
      <c r="K3307">
        <v>0</v>
      </c>
      <c r="L3307" s="61" t="s">
        <v>4779</v>
      </c>
    </row>
    <row r="3308" spans="6:12">
      <c r="F3308" t="s">
        <v>15672</v>
      </c>
      <c r="G3308" t="s">
        <v>15673</v>
      </c>
      <c r="H3308">
        <v>2</v>
      </c>
      <c r="I3308">
        <v>4</v>
      </c>
      <c r="J3308">
        <v>2</v>
      </c>
      <c r="K3308">
        <v>0</v>
      </c>
      <c r="L3308" s="61" t="s">
        <v>4779</v>
      </c>
    </row>
    <row r="3309" spans="6:12">
      <c r="F3309" t="s">
        <v>15674</v>
      </c>
      <c r="G3309" t="s">
        <v>15675</v>
      </c>
      <c r="H3309">
        <v>5</v>
      </c>
      <c r="I3309">
        <v>1</v>
      </c>
      <c r="J3309">
        <v>2</v>
      </c>
      <c r="K3309">
        <v>0</v>
      </c>
      <c r="L3309" s="61" t="s">
        <v>4779</v>
      </c>
    </row>
    <row r="3310" spans="6:12">
      <c r="F3310" t="s">
        <v>15676</v>
      </c>
      <c r="G3310" t="s">
        <v>15677</v>
      </c>
      <c r="H3310">
        <v>6</v>
      </c>
      <c r="I3310">
        <v>2</v>
      </c>
      <c r="J3310">
        <v>0</v>
      </c>
      <c r="K3310">
        <v>0</v>
      </c>
      <c r="L3310" s="61" t="s">
        <v>4779</v>
      </c>
    </row>
    <row r="3311" spans="6:12">
      <c r="F3311" t="s">
        <v>15678</v>
      </c>
      <c r="G3311" t="s">
        <v>5834</v>
      </c>
      <c r="H3311">
        <v>2</v>
      </c>
      <c r="I3311">
        <v>3</v>
      </c>
      <c r="J3311">
        <v>2</v>
      </c>
      <c r="K3311">
        <v>1</v>
      </c>
      <c r="L3311" s="61" t="s">
        <v>4810</v>
      </c>
    </row>
    <row r="3312" spans="6:12">
      <c r="F3312" t="s">
        <v>15679</v>
      </c>
      <c r="G3312" t="s">
        <v>5609</v>
      </c>
      <c r="H3312">
        <v>3</v>
      </c>
      <c r="I3312">
        <v>4</v>
      </c>
      <c r="J3312">
        <v>1</v>
      </c>
      <c r="K3312">
        <v>0</v>
      </c>
      <c r="L3312" s="61" t="s">
        <v>4779</v>
      </c>
    </row>
    <row r="3313" spans="6:12">
      <c r="F3313" t="s">
        <v>15680</v>
      </c>
      <c r="G3313" t="s">
        <v>15681</v>
      </c>
      <c r="H3313">
        <v>3</v>
      </c>
      <c r="I3313">
        <v>3</v>
      </c>
      <c r="J3313">
        <v>2</v>
      </c>
      <c r="K3313">
        <v>0</v>
      </c>
      <c r="L3313" s="61" t="s">
        <v>4779</v>
      </c>
    </row>
    <row r="3314" spans="6:12">
      <c r="F3314" t="s">
        <v>15682</v>
      </c>
      <c r="G3314" t="s">
        <v>9957</v>
      </c>
      <c r="H3314">
        <v>4</v>
      </c>
      <c r="I3314">
        <v>2</v>
      </c>
      <c r="J3314">
        <v>2</v>
      </c>
      <c r="K3314">
        <v>0</v>
      </c>
      <c r="L3314" s="61" t="s">
        <v>4779</v>
      </c>
    </row>
    <row r="3315" spans="6:12">
      <c r="F3315" t="s">
        <v>15683</v>
      </c>
      <c r="G3315" t="s">
        <v>15684</v>
      </c>
      <c r="H3315">
        <v>5</v>
      </c>
      <c r="I3315">
        <v>2</v>
      </c>
      <c r="J3315">
        <v>1</v>
      </c>
      <c r="K3315">
        <v>0</v>
      </c>
      <c r="L3315" s="61" t="s">
        <v>4779</v>
      </c>
    </row>
    <row r="3316" spans="6:12">
      <c r="F3316" t="s">
        <v>15685</v>
      </c>
      <c r="G3316" t="s">
        <v>15686</v>
      </c>
      <c r="H3316">
        <v>6</v>
      </c>
      <c r="I3316">
        <v>1</v>
      </c>
      <c r="J3316">
        <v>1</v>
      </c>
      <c r="K3316">
        <v>0</v>
      </c>
      <c r="L3316" s="61" t="s">
        <v>4779</v>
      </c>
    </row>
    <row r="3317" spans="6:12">
      <c r="F3317" t="s">
        <v>15687</v>
      </c>
      <c r="G3317" t="s">
        <v>15289</v>
      </c>
      <c r="H3317">
        <v>3</v>
      </c>
      <c r="I3317">
        <v>3</v>
      </c>
      <c r="J3317">
        <v>2</v>
      </c>
      <c r="K3317">
        <v>0</v>
      </c>
      <c r="L3317" s="61" t="s">
        <v>4779</v>
      </c>
    </row>
    <row r="3318" spans="6:12">
      <c r="F3318" t="s">
        <v>15688</v>
      </c>
      <c r="G3318" t="s">
        <v>15689</v>
      </c>
      <c r="H3318">
        <v>4</v>
      </c>
      <c r="I3318">
        <v>2</v>
      </c>
      <c r="J3318">
        <v>2</v>
      </c>
      <c r="K3318">
        <v>0</v>
      </c>
      <c r="L3318" s="61" t="s">
        <v>4806</v>
      </c>
    </row>
    <row r="3319" spans="6:12">
      <c r="F3319" t="s">
        <v>15690</v>
      </c>
      <c r="G3319" t="s">
        <v>15691</v>
      </c>
      <c r="H3319">
        <v>6</v>
      </c>
      <c r="I3319">
        <v>1</v>
      </c>
      <c r="J3319">
        <v>1</v>
      </c>
      <c r="K3319">
        <v>0</v>
      </c>
      <c r="L3319" s="61" t="s">
        <v>4779</v>
      </c>
    </row>
    <row r="3320" spans="6:12">
      <c r="F3320" t="s">
        <v>15692</v>
      </c>
      <c r="G3320" t="s">
        <v>15693</v>
      </c>
      <c r="H3320">
        <v>5</v>
      </c>
      <c r="I3320">
        <v>3</v>
      </c>
      <c r="J3320">
        <v>0</v>
      </c>
      <c r="K3320">
        <v>0</v>
      </c>
      <c r="L3320" s="61" t="s">
        <v>4779</v>
      </c>
    </row>
    <row r="3321" spans="6:12">
      <c r="F3321" t="s">
        <v>15694</v>
      </c>
      <c r="G3321" t="s">
        <v>15695</v>
      </c>
      <c r="H3321">
        <v>3</v>
      </c>
      <c r="I3321">
        <v>3</v>
      </c>
      <c r="J3321">
        <v>2</v>
      </c>
      <c r="K3321">
        <v>0</v>
      </c>
      <c r="L3321" s="61" t="s">
        <v>4779</v>
      </c>
    </row>
    <row r="3322" spans="6:12">
      <c r="F3322" t="s">
        <v>15696</v>
      </c>
      <c r="G3322" t="s">
        <v>15697</v>
      </c>
      <c r="H3322">
        <v>4</v>
      </c>
      <c r="I3322">
        <v>3</v>
      </c>
      <c r="J3322">
        <v>1</v>
      </c>
      <c r="K3322">
        <v>0</v>
      </c>
      <c r="L3322" s="61" t="s">
        <v>4810</v>
      </c>
    </row>
    <row r="3323" spans="6:12">
      <c r="F3323" t="s">
        <v>15698</v>
      </c>
      <c r="G3323" t="s">
        <v>15699</v>
      </c>
      <c r="H3323">
        <v>3</v>
      </c>
      <c r="I3323">
        <v>3</v>
      </c>
      <c r="J3323">
        <v>2</v>
      </c>
      <c r="K3323">
        <v>0</v>
      </c>
      <c r="L3323" s="61" t="s">
        <v>4779</v>
      </c>
    </row>
    <row r="3324" spans="6:12">
      <c r="F3324" t="s">
        <v>15700</v>
      </c>
      <c r="G3324" t="s">
        <v>15701</v>
      </c>
      <c r="H3324">
        <v>4</v>
      </c>
      <c r="I3324">
        <v>3</v>
      </c>
      <c r="J3324">
        <v>1</v>
      </c>
      <c r="K3324">
        <v>0</v>
      </c>
      <c r="L3324" s="61" t="s">
        <v>4779</v>
      </c>
    </row>
    <row r="3325" spans="6:12">
      <c r="F3325" t="s">
        <v>15702</v>
      </c>
      <c r="G3325" t="s">
        <v>15703</v>
      </c>
      <c r="H3325">
        <v>6</v>
      </c>
      <c r="I3325">
        <v>2</v>
      </c>
      <c r="J3325">
        <v>0</v>
      </c>
      <c r="K3325">
        <v>0</v>
      </c>
      <c r="L3325" s="61" t="s">
        <v>4779</v>
      </c>
    </row>
    <row r="3326" spans="6:12">
      <c r="F3326" t="s">
        <v>15704</v>
      </c>
      <c r="G3326" t="s">
        <v>15705</v>
      </c>
      <c r="H3326">
        <v>3</v>
      </c>
      <c r="I3326">
        <v>3</v>
      </c>
      <c r="J3326">
        <v>2</v>
      </c>
      <c r="K3326">
        <v>0</v>
      </c>
      <c r="L3326" s="61" t="s">
        <v>4810</v>
      </c>
    </row>
    <row r="3327" spans="6:12">
      <c r="F3327" t="s">
        <v>15706</v>
      </c>
      <c r="G3327" t="s">
        <v>5557</v>
      </c>
      <c r="H3327">
        <v>2</v>
      </c>
      <c r="I3327">
        <v>4</v>
      </c>
      <c r="J3327">
        <v>2</v>
      </c>
      <c r="K3327">
        <v>0</v>
      </c>
      <c r="L3327" s="61" t="s">
        <v>4779</v>
      </c>
    </row>
    <row r="3328" spans="6:12">
      <c r="F3328" t="s">
        <v>15707</v>
      </c>
      <c r="G3328" t="s">
        <v>15708</v>
      </c>
      <c r="H3328">
        <v>3</v>
      </c>
      <c r="I3328">
        <v>4</v>
      </c>
      <c r="J3328">
        <v>1</v>
      </c>
      <c r="K3328">
        <v>0</v>
      </c>
      <c r="L3328" s="61" t="s">
        <v>4779</v>
      </c>
    </row>
    <row r="3329" spans="6:12">
      <c r="F3329" t="s">
        <v>15709</v>
      </c>
      <c r="G3329" t="s">
        <v>15710</v>
      </c>
      <c r="H3329">
        <v>3</v>
      </c>
      <c r="I3329">
        <v>4</v>
      </c>
      <c r="J3329">
        <v>1</v>
      </c>
      <c r="K3329">
        <v>0</v>
      </c>
      <c r="L3329" s="61" t="s">
        <v>4779</v>
      </c>
    </row>
    <row r="3330" spans="6:12">
      <c r="F3330" t="s">
        <v>15711</v>
      </c>
      <c r="G3330" t="s">
        <v>15712</v>
      </c>
      <c r="H3330">
        <v>6</v>
      </c>
      <c r="I3330">
        <v>1</v>
      </c>
      <c r="J3330">
        <v>1</v>
      </c>
      <c r="K3330">
        <v>0</v>
      </c>
      <c r="L3330" s="61" t="s">
        <v>4809</v>
      </c>
    </row>
    <row r="3331" spans="6:12">
      <c r="F3331" t="s">
        <v>15713</v>
      </c>
      <c r="G3331" t="s">
        <v>15714</v>
      </c>
      <c r="H3331">
        <v>7</v>
      </c>
      <c r="I3331">
        <v>1</v>
      </c>
      <c r="J3331">
        <v>0</v>
      </c>
      <c r="K3331">
        <v>0</v>
      </c>
      <c r="L3331" s="61" t="s">
        <v>4779</v>
      </c>
    </row>
    <row r="3332" spans="6:12">
      <c r="F3332" t="s">
        <v>15715</v>
      </c>
      <c r="G3332" t="s">
        <v>15716</v>
      </c>
      <c r="H3332">
        <v>7</v>
      </c>
      <c r="I3332">
        <v>1</v>
      </c>
      <c r="J3332">
        <v>0</v>
      </c>
      <c r="K3332">
        <v>0</v>
      </c>
      <c r="L3332" s="61" t="s">
        <v>4779</v>
      </c>
    </row>
    <row r="3333" spans="6:12">
      <c r="F3333" t="s">
        <v>15717</v>
      </c>
      <c r="G3333" t="s">
        <v>15718</v>
      </c>
      <c r="H3333">
        <v>5</v>
      </c>
      <c r="I3333">
        <v>2</v>
      </c>
      <c r="J3333">
        <v>1</v>
      </c>
      <c r="K3333">
        <v>0</v>
      </c>
      <c r="L3333" s="61" t="s">
        <v>4779</v>
      </c>
    </row>
    <row r="3334" spans="6:12">
      <c r="F3334" t="s">
        <v>15719</v>
      </c>
      <c r="G3334" t="s">
        <v>15720</v>
      </c>
      <c r="H3334">
        <v>5</v>
      </c>
      <c r="I3334">
        <v>3</v>
      </c>
      <c r="J3334">
        <v>0</v>
      </c>
      <c r="K3334">
        <v>0</v>
      </c>
      <c r="L3334" s="61" t="s">
        <v>4779</v>
      </c>
    </row>
    <row r="3335" spans="6:12">
      <c r="F3335" t="s">
        <v>15721</v>
      </c>
      <c r="G3335" t="s">
        <v>15722</v>
      </c>
      <c r="H3335">
        <v>6</v>
      </c>
      <c r="I3335">
        <v>2</v>
      </c>
      <c r="J3335">
        <v>0</v>
      </c>
      <c r="K3335">
        <v>0</v>
      </c>
      <c r="L3335" s="61" t="s">
        <v>4779</v>
      </c>
    </row>
    <row r="3336" spans="6:12">
      <c r="F3336" t="s">
        <v>15723</v>
      </c>
      <c r="G3336" t="s">
        <v>8910</v>
      </c>
      <c r="H3336">
        <v>2</v>
      </c>
      <c r="I3336">
        <v>4</v>
      </c>
      <c r="J3336">
        <v>2</v>
      </c>
      <c r="K3336">
        <v>0</v>
      </c>
      <c r="L3336" s="61" t="s">
        <v>4806</v>
      </c>
    </row>
    <row r="3337" spans="6:12">
      <c r="F3337" t="s">
        <v>15724</v>
      </c>
      <c r="G3337" t="s">
        <v>15725</v>
      </c>
      <c r="H3337">
        <v>5</v>
      </c>
      <c r="I3337">
        <v>2</v>
      </c>
      <c r="J3337">
        <v>1</v>
      </c>
      <c r="K3337">
        <v>0</v>
      </c>
      <c r="L3337" s="61" t="s">
        <v>4779</v>
      </c>
    </row>
    <row r="3338" spans="6:12">
      <c r="F3338" t="s">
        <v>15726</v>
      </c>
      <c r="G3338" t="s">
        <v>15727</v>
      </c>
      <c r="H3338">
        <v>3</v>
      </c>
      <c r="I3338">
        <v>4</v>
      </c>
      <c r="J3338">
        <v>1</v>
      </c>
      <c r="K3338">
        <v>0</v>
      </c>
      <c r="L3338" s="61" t="s">
        <v>4806</v>
      </c>
    </row>
    <row r="3339" spans="6:12">
      <c r="F3339" t="s">
        <v>15728</v>
      </c>
      <c r="G3339" t="s">
        <v>15729</v>
      </c>
      <c r="H3339">
        <v>4</v>
      </c>
      <c r="I3339">
        <v>4</v>
      </c>
      <c r="J3339">
        <v>0</v>
      </c>
      <c r="K3339">
        <v>0</v>
      </c>
      <c r="L3339" s="61" t="s">
        <v>4810</v>
      </c>
    </row>
    <row r="3340" spans="6:12">
      <c r="F3340" t="s">
        <v>15730</v>
      </c>
      <c r="G3340" t="s">
        <v>15731</v>
      </c>
      <c r="H3340">
        <v>4</v>
      </c>
      <c r="I3340">
        <v>4</v>
      </c>
      <c r="J3340">
        <v>0</v>
      </c>
      <c r="K3340">
        <v>0</v>
      </c>
      <c r="L3340" s="61" t="s">
        <v>4779</v>
      </c>
    </row>
    <row r="3341" spans="6:12">
      <c r="F3341" t="s">
        <v>15732</v>
      </c>
      <c r="G3341" t="s">
        <v>15733</v>
      </c>
      <c r="H3341">
        <v>4</v>
      </c>
      <c r="I3341">
        <v>4</v>
      </c>
      <c r="J3341">
        <v>0</v>
      </c>
      <c r="K3341">
        <v>0</v>
      </c>
      <c r="L3341" s="61" t="s">
        <v>4779</v>
      </c>
    </row>
    <row r="3342" spans="6:12">
      <c r="F3342" t="s">
        <v>15734</v>
      </c>
      <c r="G3342" t="s">
        <v>15735</v>
      </c>
      <c r="H3342">
        <v>3</v>
      </c>
      <c r="I3342">
        <v>4</v>
      </c>
      <c r="J3342">
        <v>1</v>
      </c>
      <c r="K3342">
        <v>0</v>
      </c>
      <c r="L3342" s="61" t="s">
        <v>4779</v>
      </c>
    </row>
    <row r="3343" spans="6:12">
      <c r="F3343" t="s">
        <v>15736</v>
      </c>
      <c r="G3343" t="s">
        <v>15737</v>
      </c>
      <c r="H3343">
        <v>2</v>
      </c>
      <c r="I3343">
        <v>4</v>
      </c>
      <c r="J3343">
        <v>2</v>
      </c>
      <c r="K3343">
        <v>0</v>
      </c>
      <c r="L3343" s="61" t="s">
        <v>4806</v>
      </c>
    </row>
    <row r="3344" spans="6:12">
      <c r="F3344" t="s">
        <v>15738</v>
      </c>
      <c r="G3344" t="s">
        <v>15739</v>
      </c>
      <c r="H3344">
        <v>4</v>
      </c>
      <c r="I3344">
        <v>2</v>
      </c>
      <c r="J3344">
        <v>2</v>
      </c>
      <c r="K3344">
        <v>0</v>
      </c>
      <c r="L3344" s="61" t="s">
        <v>4779</v>
      </c>
    </row>
    <row r="3345" spans="6:12">
      <c r="F3345" t="s">
        <v>15740</v>
      </c>
      <c r="G3345" t="s">
        <v>15741</v>
      </c>
      <c r="H3345">
        <v>5</v>
      </c>
      <c r="I3345">
        <v>2</v>
      </c>
      <c r="J3345">
        <v>1</v>
      </c>
      <c r="K3345">
        <v>0</v>
      </c>
      <c r="L3345" s="61" t="s">
        <v>4779</v>
      </c>
    </row>
    <row r="3346" spans="6:12">
      <c r="F3346" t="s">
        <v>15742</v>
      </c>
      <c r="G3346" t="s">
        <v>15743</v>
      </c>
      <c r="H3346">
        <v>6</v>
      </c>
      <c r="I3346">
        <v>1</v>
      </c>
      <c r="J3346">
        <v>1</v>
      </c>
      <c r="K3346">
        <v>0</v>
      </c>
      <c r="L3346" s="61" t="s">
        <v>4779</v>
      </c>
    </row>
    <row r="3347" spans="6:12">
      <c r="F3347" t="s">
        <v>15744</v>
      </c>
      <c r="G3347" t="s">
        <v>15745</v>
      </c>
      <c r="H3347">
        <v>4</v>
      </c>
      <c r="I3347">
        <v>3</v>
      </c>
      <c r="J3347">
        <v>0</v>
      </c>
      <c r="K3347">
        <v>1</v>
      </c>
      <c r="L3347" s="61" t="s">
        <v>4779</v>
      </c>
    </row>
    <row r="3348" spans="6:12">
      <c r="F3348" t="s">
        <v>15746</v>
      </c>
      <c r="G3348" t="s">
        <v>15747</v>
      </c>
      <c r="H3348">
        <v>3</v>
      </c>
      <c r="I3348">
        <v>3</v>
      </c>
      <c r="J3348">
        <v>2</v>
      </c>
      <c r="K3348">
        <v>0</v>
      </c>
      <c r="L3348" s="61" t="s">
        <v>4779</v>
      </c>
    </row>
    <row r="3349" spans="6:12">
      <c r="F3349" t="s">
        <v>15748</v>
      </c>
      <c r="G3349" t="s">
        <v>15749</v>
      </c>
      <c r="H3349">
        <v>4</v>
      </c>
      <c r="I3349">
        <v>4</v>
      </c>
      <c r="J3349">
        <v>0</v>
      </c>
      <c r="K3349">
        <v>0</v>
      </c>
      <c r="L3349" s="61" t="s">
        <v>4779</v>
      </c>
    </row>
    <row r="3350" spans="6:12">
      <c r="F3350" t="s">
        <v>15750</v>
      </c>
      <c r="G3350" t="s">
        <v>15751</v>
      </c>
      <c r="H3350">
        <v>4</v>
      </c>
      <c r="I3350">
        <v>2</v>
      </c>
      <c r="J3350">
        <v>2</v>
      </c>
      <c r="K3350">
        <v>0</v>
      </c>
      <c r="L3350" s="61" t="s">
        <v>4779</v>
      </c>
    </row>
    <row r="3351" spans="6:12">
      <c r="F3351" t="s">
        <v>15752</v>
      </c>
      <c r="G3351" t="s">
        <v>15753</v>
      </c>
      <c r="H3351">
        <v>7</v>
      </c>
      <c r="I3351">
        <v>1</v>
      </c>
      <c r="J3351">
        <v>0</v>
      </c>
      <c r="K3351">
        <v>0</v>
      </c>
      <c r="L3351" s="61" t="s">
        <v>4779</v>
      </c>
    </row>
    <row r="3352" spans="6:12">
      <c r="F3352" t="s">
        <v>15754</v>
      </c>
      <c r="G3352" t="s">
        <v>15755</v>
      </c>
      <c r="H3352">
        <v>4</v>
      </c>
      <c r="I3352">
        <v>3</v>
      </c>
      <c r="J3352">
        <v>1</v>
      </c>
      <c r="K3352">
        <v>0</v>
      </c>
      <c r="L3352" s="61" t="s">
        <v>4779</v>
      </c>
    </row>
    <row r="3353" spans="6:12">
      <c r="F3353" t="s">
        <v>15756</v>
      </c>
      <c r="G3353" t="s">
        <v>15757</v>
      </c>
      <c r="H3353">
        <v>3</v>
      </c>
      <c r="I3353">
        <v>3</v>
      </c>
      <c r="J3353">
        <v>2</v>
      </c>
      <c r="K3353">
        <v>0</v>
      </c>
      <c r="L3353" s="61" t="s">
        <v>4779</v>
      </c>
    </row>
    <row r="3354" spans="6:12">
      <c r="F3354" t="s">
        <v>15758</v>
      </c>
      <c r="G3354" t="s">
        <v>9180</v>
      </c>
      <c r="H3354">
        <v>6</v>
      </c>
      <c r="I3354">
        <v>2</v>
      </c>
      <c r="J3354">
        <v>0</v>
      </c>
      <c r="K3354">
        <v>0</v>
      </c>
      <c r="L3354" s="61" t="s">
        <v>4779</v>
      </c>
    </row>
    <row r="3355" spans="6:12">
      <c r="F3355" t="s">
        <v>15759</v>
      </c>
      <c r="G3355" t="s">
        <v>10754</v>
      </c>
      <c r="H3355">
        <v>5</v>
      </c>
      <c r="I3355">
        <v>2</v>
      </c>
      <c r="J3355">
        <v>1</v>
      </c>
      <c r="K3355">
        <v>0</v>
      </c>
      <c r="L3355" s="61" t="s">
        <v>4779</v>
      </c>
    </row>
    <row r="3356" spans="6:12">
      <c r="F3356" t="s">
        <v>15760</v>
      </c>
      <c r="G3356" t="s">
        <v>15761</v>
      </c>
      <c r="H3356">
        <v>4</v>
      </c>
      <c r="I3356">
        <v>2</v>
      </c>
      <c r="J3356">
        <v>2</v>
      </c>
      <c r="K3356">
        <v>0</v>
      </c>
      <c r="L3356" s="61" t="s">
        <v>4779</v>
      </c>
    </row>
    <row r="3357" spans="6:12">
      <c r="F3357" t="s">
        <v>15762</v>
      </c>
      <c r="G3357" t="s">
        <v>15763</v>
      </c>
      <c r="H3357">
        <v>6</v>
      </c>
      <c r="I3357">
        <v>2</v>
      </c>
      <c r="J3357">
        <v>0</v>
      </c>
      <c r="K3357">
        <v>0</v>
      </c>
      <c r="L3357" s="61" t="s">
        <v>4779</v>
      </c>
    </row>
    <row r="3358" spans="6:12">
      <c r="F3358" t="s">
        <v>15764</v>
      </c>
      <c r="G3358" t="s">
        <v>15765</v>
      </c>
      <c r="H3358">
        <v>6</v>
      </c>
      <c r="I3358">
        <v>1</v>
      </c>
      <c r="J3358">
        <v>1</v>
      </c>
      <c r="K3358">
        <v>0</v>
      </c>
      <c r="L3358" s="61" t="s">
        <v>4779</v>
      </c>
    </row>
    <row r="3359" spans="6:12">
      <c r="F3359" t="s">
        <v>15766</v>
      </c>
      <c r="G3359" t="s">
        <v>15767</v>
      </c>
      <c r="H3359">
        <v>7</v>
      </c>
      <c r="I3359">
        <v>1</v>
      </c>
      <c r="J3359">
        <v>0</v>
      </c>
      <c r="K3359">
        <v>0</v>
      </c>
      <c r="L3359" s="61" t="s">
        <v>4779</v>
      </c>
    </row>
    <row r="3360" spans="6:12">
      <c r="F3360" t="s">
        <v>15768</v>
      </c>
      <c r="G3360" t="s">
        <v>15769</v>
      </c>
      <c r="H3360">
        <v>6</v>
      </c>
      <c r="I3360">
        <v>1</v>
      </c>
      <c r="J3360">
        <v>1</v>
      </c>
      <c r="K3360">
        <v>0</v>
      </c>
      <c r="L3360" s="61" t="s">
        <v>4779</v>
      </c>
    </row>
    <row r="3361" spans="6:12">
      <c r="F3361" t="s">
        <v>15770</v>
      </c>
      <c r="G3361" t="s">
        <v>15771</v>
      </c>
      <c r="H3361">
        <v>6</v>
      </c>
      <c r="I3361">
        <v>2</v>
      </c>
      <c r="J3361">
        <v>0</v>
      </c>
      <c r="K3361">
        <v>0</v>
      </c>
      <c r="L3361" s="61" t="s">
        <v>4779</v>
      </c>
    </row>
    <row r="3362" spans="6:12">
      <c r="F3362" t="s">
        <v>15772</v>
      </c>
      <c r="G3362" t="s">
        <v>15773</v>
      </c>
      <c r="H3362">
        <v>4</v>
      </c>
      <c r="I3362">
        <v>3</v>
      </c>
      <c r="J3362">
        <v>1</v>
      </c>
      <c r="K3362">
        <v>0</v>
      </c>
      <c r="L3362" s="61" t="s">
        <v>4779</v>
      </c>
    </row>
    <row r="3363" spans="6:12">
      <c r="F3363" t="s">
        <v>15774</v>
      </c>
      <c r="G3363" t="s">
        <v>15775</v>
      </c>
      <c r="H3363">
        <v>4</v>
      </c>
      <c r="I3363">
        <v>4</v>
      </c>
      <c r="J3363">
        <v>0</v>
      </c>
      <c r="K3363">
        <v>0</v>
      </c>
      <c r="L3363" s="61" t="s">
        <v>4810</v>
      </c>
    </row>
    <row r="3364" spans="6:12">
      <c r="F3364" t="s">
        <v>15776</v>
      </c>
      <c r="G3364" t="s">
        <v>15777</v>
      </c>
      <c r="H3364">
        <v>3</v>
      </c>
      <c r="I3364">
        <v>4</v>
      </c>
      <c r="J3364">
        <v>1</v>
      </c>
      <c r="K3364">
        <v>0</v>
      </c>
      <c r="L3364" s="61" t="s">
        <v>4779</v>
      </c>
    </row>
    <row r="3365" spans="6:12">
      <c r="F3365" t="s">
        <v>15778</v>
      </c>
      <c r="G3365" t="s">
        <v>15779</v>
      </c>
      <c r="H3365">
        <v>6</v>
      </c>
      <c r="I3365">
        <v>1</v>
      </c>
      <c r="J3365">
        <v>1</v>
      </c>
      <c r="K3365">
        <v>0</v>
      </c>
      <c r="L3365" s="61" t="s">
        <v>4779</v>
      </c>
    </row>
    <row r="3366" spans="6:12">
      <c r="F3366" t="s">
        <v>15780</v>
      </c>
      <c r="G3366" t="s">
        <v>15781</v>
      </c>
      <c r="H3366">
        <v>5</v>
      </c>
      <c r="I3366">
        <v>2</v>
      </c>
      <c r="J3366">
        <v>1</v>
      </c>
      <c r="K3366">
        <v>0</v>
      </c>
      <c r="L3366" s="61" t="s">
        <v>4779</v>
      </c>
    </row>
    <row r="3367" spans="6:12">
      <c r="F3367" t="s">
        <v>15782</v>
      </c>
      <c r="G3367" t="s">
        <v>15783</v>
      </c>
      <c r="H3367">
        <v>7</v>
      </c>
      <c r="I3367">
        <v>1</v>
      </c>
      <c r="J3367">
        <v>0</v>
      </c>
      <c r="K3367">
        <v>0</v>
      </c>
      <c r="L3367" s="61" t="s">
        <v>4810</v>
      </c>
    </row>
    <row r="3368" spans="6:12">
      <c r="F3368" t="s">
        <v>15784</v>
      </c>
      <c r="G3368" t="s">
        <v>10332</v>
      </c>
      <c r="H3368">
        <v>2</v>
      </c>
      <c r="I3368">
        <v>4</v>
      </c>
      <c r="J3368">
        <v>2</v>
      </c>
      <c r="K3368">
        <v>0</v>
      </c>
      <c r="L3368" s="61" t="s">
        <v>4779</v>
      </c>
    </row>
    <row r="3369" spans="6:12">
      <c r="F3369" t="s">
        <v>15785</v>
      </c>
      <c r="G3369" t="s">
        <v>15786</v>
      </c>
      <c r="H3369">
        <v>6</v>
      </c>
      <c r="I3369">
        <v>2</v>
      </c>
      <c r="J3369">
        <v>0</v>
      </c>
      <c r="K3369">
        <v>0</v>
      </c>
      <c r="L3369" s="61" t="s">
        <v>4779</v>
      </c>
    </row>
    <row r="3370" spans="6:12">
      <c r="F3370" t="s">
        <v>15787</v>
      </c>
      <c r="G3370" t="s">
        <v>15788</v>
      </c>
      <c r="H3370">
        <v>4</v>
      </c>
      <c r="I3370">
        <v>4</v>
      </c>
      <c r="J3370">
        <v>0</v>
      </c>
      <c r="K3370">
        <v>0</v>
      </c>
      <c r="L3370" s="61" t="s">
        <v>4807</v>
      </c>
    </row>
    <row r="3371" spans="6:12">
      <c r="F3371" t="s">
        <v>15789</v>
      </c>
      <c r="G3371" t="s">
        <v>15790</v>
      </c>
      <c r="H3371">
        <v>4</v>
      </c>
      <c r="I3371">
        <v>2</v>
      </c>
      <c r="J3371">
        <v>2</v>
      </c>
      <c r="K3371">
        <v>0</v>
      </c>
      <c r="L3371" s="61" t="s">
        <v>4779</v>
      </c>
    </row>
    <row r="3372" spans="6:12">
      <c r="F3372" t="s">
        <v>15791</v>
      </c>
      <c r="G3372" t="s">
        <v>15792</v>
      </c>
      <c r="H3372">
        <v>2</v>
      </c>
      <c r="I3372">
        <v>4</v>
      </c>
      <c r="J3372">
        <v>2</v>
      </c>
      <c r="K3372">
        <v>0</v>
      </c>
      <c r="L3372" s="61" t="s">
        <v>4779</v>
      </c>
    </row>
    <row r="3373" spans="6:12">
      <c r="F3373" t="s">
        <v>15793</v>
      </c>
      <c r="G3373" t="s">
        <v>15794</v>
      </c>
      <c r="H3373">
        <v>2</v>
      </c>
      <c r="I3373">
        <v>4</v>
      </c>
      <c r="J3373">
        <v>1</v>
      </c>
      <c r="K3373">
        <v>1</v>
      </c>
      <c r="L3373" s="61" t="s">
        <v>4779</v>
      </c>
    </row>
    <row r="3374" spans="6:12">
      <c r="F3374" t="s">
        <v>15795</v>
      </c>
      <c r="G3374" t="s">
        <v>15796</v>
      </c>
      <c r="H3374">
        <v>2</v>
      </c>
      <c r="I3374">
        <v>4</v>
      </c>
      <c r="J3374">
        <v>2</v>
      </c>
      <c r="K3374">
        <v>0</v>
      </c>
      <c r="L3374" s="61" t="s">
        <v>4779</v>
      </c>
    </row>
    <row r="3375" spans="6:12">
      <c r="F3375" t="s">
        <v>15797</v>
      </c>
      <c r="G3375" t="s">
        <v>15798</v>
      </c>
      <c r="H3375">
        <v>2</v>
      </c>
      <c r="I3375">
        <v>4</v>
      </c>
      <c r="J3375">
        <v>2</v>
      </c>
      <c r="K3375">
        <v>0</v>
      </c>
      <c r="L3375" s="61" t="s">
        <v>4779</v>
      </c>
    </row>
    <row r="3376" spans="6:12">
      <c r="F3376" t="s">
        <v>15799</v>
      </c>
      <c r="G3376" t="s">
        <v>15800</v>
      </c>
      <c r="H3376">
        <v>5</v>
      </c>
      <c r="I3376">
        <v>1</v>
      </c>
      <c r="J3376">
        <v>2</v>
      </c>
      <c r="K3376">
        <v>0</v>
      </c>
      <c r="L3376" s="61" t="s">
        <v>4779</v>
      </c>
    </row>
    <row r="3377" spans="6:12">
      <c r="F3377" t="s">
        <v>15801</v>
      </c>
      <c r="G3377" t="s">
        <v>15802</v>
      </c>
      <c r="H3377">
        <v>4</v>
      </c>
      <c r="I3377">
        <v>3</v>
      </c>
      <c r="J3377">
        <v>1</v>
      </c>
      <c r="K3377">
        <v>0</v>
      </c>
      <c r="L3377" s="61" t="s">
        <v>4779</v>
      </c>
    </row>
    <row r="3378" spans="6:12">
      <c r="F3378" t="s">
        <v>15803</v>
      </c>
      <c r="G3378" t="s">
        <v>15804</v>
      </c>
      <c r="H3378">
        <v>7</v>
      </c>
      <c r="I3378">
        <v>1</v>
      </c>
      <c r="J3378">
        <v>0</v>
      </c>
      <c r="K3378">
        <v>0</v>
      </c>
      <c r="L3378" s="61" t="s">
        <v>4779</v>
      </c>
    </row>
    <row r="3379" spans="6:12">
      <c r="F3379" t="s">
        <v>15805</v>
      </c>
      <c r="G3379" t="s">
        <v>15806</v>
      </c>
      <c r="H3379">
        <v>5</v>
      </c>
      <c r="I3379">
        <v>3</v>
      </c>
      <c r="J3379">
        <v>0</v>
      </c>
      <c r="K3379">
        <v>0</v>
      </c>
      <c r="L3379" s="61" t="s">
        <v>4810</v>
      </c>
    </row>
    <row r="3380" spans="6:12">
      <c r="F3380" t="s">
        <v>15807</v>
      </c>
      <c r="G3380" t="s">
        <v>15808</v>
      </c>
      <c r="H3380">
        <v>4</v>
      </c>
      <c r="I3380">
        <v>3</v>
      </c>
      <c r="J3380">
        <v>1</v>
      </c>
      <c r="K3380">
        <v>0</v>
      </c>
      <c r="L3380" s="61" t="s">
        <v>4779</v>
      </c>
    </row>
    <row r="3381" spans="6:12">
      <c r="F3381" t="s">
        <v>15809</v>
      </c>
      <c r="G3381" t="s">
        <v>15810</v>
      </c>
      <c r="H3381">
        <v>4</v>
      </c>
      <c r="I3381">
        <v>3</v>
      </c>
      <c r="J3381">
        <v>1</v>
      </c>
      <c r="K3381">
        <v>0</v>
      </c>
      <c r="L3381" s="61" t="s">
        <v>4779</v>
      </c>
    </row>
    <row r="3382" spans="6:12">
      <c r="F3382" t="s">
        <v>15811</v>
      </c>
      <c r="G3382" t="s">
        <v>15812</v>
      </c>
      <c r="H3382">
        <v>4</v>
      </c>
      <c r="I3382">
        <v>2</v>
      </c>
      <c r="J3382">
        <v>2</v>
      </c>
      <c r="K3382">
        <v>0</v>
      </c>
      <c r="L3382" s="61" t="s">
        <v>4779</v>
      </c>
    </row>
    <row r="3383" spans="6:12">
      <c r="F3383" t="s">
        <v>15813</v>
      </c>
      <c r="G3383" t="s">
        <v>15814</v>
      </c>
      <c r="H3383">
        <v>5</v>
      </c>
      <c r="I3383">
        <v>3</v>
      </c>
      <c r="J3383">
        <v>0</v>
      </c>
      <c r="K3383">
        <v>0</v>
      </c>
      <c r="L3383" s="61" t="s">
        <v>4779</v>
      </c>
    </row>
    <row r="3384" spans="6:12">
      <c r="F3384" t="s">
        <v>15815</v>
      </c>
      <c r="G3384" t="s">
        <v>8609</v>
      </c>
      <c r="H3384">
        <v>5</v>
      </c>
      <c r="I3384">
        <v>1</v>
      </c>
      <c r="J3384">
        <v>2</v>
      </c>
      <c r="K3384">
        <v>0</v>
      </c>
      <c r="L3384" s="61" t="s">
        <v>4779</v>
      </c>
    </row>
    <row r="3385" spans="6:12">
      <c r="F3385" t="s">
        <v>15816</v>
      </c>
      <c r="G3385" t="s">
        <v>15817</v>
      </c>
      <c r="H3385">
        <v>3</v>
      </c>
      <c r="I3385">
        <v>3</v>
      </c>
      <c r="J3385">
        <v>2</v>
      </c>
      <c r="K3385">
        <v>0</v>
      </c>
      <c r="L3385" s="61" t="s">
        <v>4779</v>
      </c>
    </row>
    <row r="3386" spans="6:12">
      <c r="F3386" t="s">
        <v>15818</v>
      </c>
      <c r="G3386" t="s">
        <v>15819</v>
      </c>
      <c r="H3386">
        <v>7</v>
      </c>
      <c r="I3386">
        <v>1</v>
      </c>
      <c r="J3386">
        <v>0</v>
      </c>
      <c r="K3386">
        <v>0</v>
      </c>
      <c r="L3386" s="61" t="s">
        <v>4779</v>
      </c>
    </row>
    <row r="3387" spans="6:12">
      <c r="F3387" t="s">
        <v>15820</v>
      </c>
      <c r="G3387" t="s">
        <v>15821</v>
      </c>
      <c r="H3387">
        <v>5</v>
      </c>
      <c r="I3387">
        <v>3</v>
      </c>
      <c r="J3387">
        <v>0</v>
      </c>
      <c r="K3387">
        <v>0</v>
      </c>
      <c r="L3387" s="61" t="s">
        <v>4779</v>
      </c>
    </row>
    <row r="3388" spans="6:12">
      <c r="F3388" t="s">
        <v>15822</v>
      </c>
      <c r="G3388" t="s">
        <v>5182</v>
      </c>
      <c r="H3388">
        <v>3</v>
      </c>
      <c r="I3388">
        <v>3</v>
      </c>
      <c r="J3388">
        <v>2</v>
      </c>
      <c r="K3388">
        <v>0</v>
      </c>
      <c r="L3388" s="61" t="s">
        <v>4779</v>
      </c>
    </row>
    <row r="3389" spans="6:12">
      <c r="F3389" t="s">
        <v>15823</v>
      </c>
      <c r="G3389" t="s">
        <v>15824</v>
      </c>
      <c r="H3389">
        <v>3</v>
      </c>
      <c r="I3389">
        <v>4</v>
      </c>
      <c r="J3389">
        <v>0</v>
      </c>
      <c r="K3389">
        <v>1</v>
      </c>
      <c r="L3389" s="61" t="s">
        <v>4779</v>
      </c>
    </row>
    <row r="3390" spans="6:12">
      <c r="F3390" t="s">
        <v>15825</v>
      </c>
      <c r="G3390" t="s">
        <v>15826</v>
      </c>
      <c r="H3390">
        <v>4</v>
      </c>
      <c r="I3390">
        <v>3</v>
      </c>
      <c r="J3390">
        <v>1</v>
      </c>
      <c r="K3390">
        <v>0</v>
      </c>
      <c r="L3390" s="61" t="s">
        <v>4810</v>
      </c>
    </row>
    <row r="3391" spans="6:12">
      <c r="F3391" t="s">
        <v>15827</v>
      </c>
      <c r="G3391" t="s">
        <v>15828</v>
      </c>
      <c r="H3391">
        <v>2</v>
      </c>
      <c r="I3391">
        <v>4</v>
      </c>
      <c r="J3391">
        <v>2</v>
      </c>
      <c r="K3391">
        <v>0</v>
      </c>
      <c r="L3391" s="61" t="s">
        <v>4810</v>
      </c>
    </row>
    <row r="3392" spans="6:12">
      <c r="F3392" t="s">
        <v>15829</v>
      </c>
      <c r="G3392" t="s">
        <v>5076</v>
      </c>
      <c r="H3392">
        <v>2</v>
      </c>
      <c r="I3392">
        <v>4</v>
      </c>
      <c r="J3392">
        <v>2</v>
      </c>
      <c r="K3392">
        <v>0</v>
      </c>
      <c r="L3392" s="61" t="s">
        <v>4779</v>
      </c>
    </row>
    <row r="3393" spans="6:12">
      <c r="F3393" t="s">
        <v>15830</v>
      </c>
      <c r="G3393" t="s">
        <v>5765</v>
      </c>
      <c r="H3393">
        <v>2</v>
      </c>
      <c r="I3393">
        <v>4</v>
      </c>
      <c r="J3393">
        <v>2</v>
      </c>
      <c r="K3393">
        <v>0</v>
      </c>
      <c r="L3393" s="61" t="s">
        <v>4806</v>
      </c>
    </row>
    <row r="3394" spans="6:12">
      <c r="F3394" t="s">
        <v>15831</v>
      </c>
      <c r="G3394" t="s">
        <v>15832</v>
      </c>
      <c r="H3394">
        <v>6</v>
      </c>
      <c r="I3394">
        <v>2</v>
      </c>
      <c r="J3394">
        <v>0</v>
      </c>
      <c r="K3394">
        <v>0</v>
      </c>
      <c r="L3394" s="61" t="s">
        <v>4779</v>
      </c>
    </row>
    <row r="3395" spans="6:12">
      <c r="F3395" t="s">
        <v>15833</v>
      </c>
      <c r="G3395" t="s">
        <v>15834</v>
      </c>
      <c r="H3395">
        <v>3</v>
      </c>
      <c r="I3395">
        <v>4</v>
      </c>
      <c r="J3395">
        <v>1</v>
      </c>
      <c r="K3395">
        <v>0</v>
      </c>
      <c r="L3395" s="61" t="s">
        <v>4779</v>
      </c>
    </row>
    <row r="3396" spans="6:12">
      <c r="F3396" t="s">
        <v>15835</v>
      </c>
      <c r="G3396" t="s">
        <v>4718</v>
      </c>
      <c r="H3396">
        <v>5</v>
      </c>
      <c r="I3396">
        <v>3</v>
      </c>
      <c r="J3396">
        <v>0</v>
      </c>
      <c r="K3396">
        <v>0</v>
      </c>
      <c r="L3396" s="61" t="s">
        <v>4809</v>
      </c>
    </row>
    <row r="3397" spans="6:12">
      <c r="F3397" t="s">
        <v>15836</v>
      </c>
      <c r="G3397" t="s">
        <v>10231</v>
      </c>
      <c r="H3397">
        <v>3</v>
      </c>
      <c r="I3397">
        <v>3</v>
      </c>
      <c r="J3397">
        <v>2</v>
      </c>
      <c r="K3397">
        <v>0</v>
      </c>
      <c r="L3397" s="61" t="s">
        <v>4779</v>
      </c>
    </row>
    <row r="3398" spans="6:12">
      <c r="F3398" t="s">
        <v>15837</v>
      </c>
      <c r="G3398" t="s">
        <v>15838</v>
      </c>
      <c r="H3398">
        <v>5</v>
      </c>
      <c r="I3398">
        <v>2</v>
      </c>
      <c r="J3398">
        <v>1</v>
      </c>
      <c r="K3398">
        <v>0</v>
      </c>
      <c r="L3398" s="61" t="s">
        <v>4779</v>
      </c>
    </row>
    <row r="3399" spans="6:12">
      <c r="F3399" t="s">
        <v>15839</v>
      </c>
      <c r="G3399" t="s">
        <v>4701</v>
      </c>
      <c r="H3399">
        <v>5</v>
      </c>
      <c r="I3399">
        <v>1</v>
      </c>
      <c r="J3399">
        <v>2</v>
      </c>
      <c r="K3399">
        <v>0</v>
      </c>
      <c r="L3399" s="61" t="s">
        <v>4779</v>
      </c>
    </row>
    <row r="3400" spans="6:12">
      <c r="F3400" t="s">
        <v>15840</v>
      </c>
      <c r="G3400" t="s">
        <v>15841</v>
      </c>
      <c r="H3400">
        <v>7</v>
      </c>
      <c r="I3400">
        <v>1</v>
      </c>
      <c r="J3400">
        <v>0</v>
      </c>
      <c r="K3400">
        <v>0</v>
      </c>
      <c r="L3400" s="61" t="s">
        <v>4806</v>
      </c>
    </row>
    <row r="3401" spans="6:12">
      <c r="F3401" t="s">
        <v>15842</v>
      </c>
      <c r="G3401" t="s">
        <v>15843</v>
      </c>
      <c r="H3401">
        <v>4</v>
      </c>
      <c r="I3401">
        <v>2</v>
      </c>
      <c r="J3401">
        <v>1</v>
      </c>
      <c r="K3401">
        <v>1</v>
      </c>
      <c r="L3401" s="61" t="s">
        <v>4779</v>
      </c>
    </row>
    <row r="3402" spans="6:12">
      <c r="F3402" t="s">
        <v>15844</v>
      </c>
      <c r="G3402" t="s">
        <v>15845</v>
      </c>
      <c r="H3402">
        <v>4</v>
      </c>
      <c r="I3402">
        <v>3</v>
      </c>
      <c r="J3402">
        <v>1</v>
      </c>
      <c r="K3402">
        <v>0</v>
      </c>
      <c r="L3402" s="61" t="s">
        <v>4779</v>
      </c>
    </row>
    <row r="3403" spans="6:12">
      <c r="F3403" t="s">
        <v>15846</v>
      </c>
      <c r="G3403" t="s">
        <v>4703</v>
      </c>
      <c r="H3403">
        <v>3</v>
      </c>
      <c r="I3403">
        <v>3</v>
      </c>
      <c r="J3403">
        <v>2</v>
      </c>
      <c r="K3403">
        <v>0</v>
      </c>
      <c r="L3403" s="61" t="s">
        <v>4779</v>
      </c>
    </row>
    <row r="3404" spans="6:12">
      <c r="F3404" t="s">
        <v>15847</v>
      </c>
      <c r="G3404" t="s">
        <v>15848</v>
      </c>
      <c r="H3404">
        <v>3</v>
      </c>
      <c r="I3404">
        <v>2</v>
      </c>
      <c r="J3404">
        <v>2</v>
      </c>
      <c r="K3404">
        <v>1</v>
      </c>
      <c r="L3404" s="61" t="s">
        <v>4779</v>
      </c>
    </row>
    <row r="3405" spans="6:12">
      <c r="F3405" t="s">
        <v>15849</v>
      </c>
      <c r="G3405" t="s">
        <v>15850</v>
      </c>
      <c r="H3405">
        <v>5</v>
      </c>
      <c r="I3405">
        <v>3</v>
      </c>
      <c r="J3405">
        <v>0</v>
      </c>
      <c r="K3405">
        <v>0</v>
      </c>
      <c r="L3405" s="61" t="s">
        <v>4779</v>
      </c>
    </row>
    <row r="3406" spans="6:12">
      <c r="F3406" t="s">
        <v>15851</v>
      </c>
      <c r="G3406" t="s">
        <v>11012</v>
      </c>
      <c r="H3406">
        <v>5</v>
      </c>
      <c r="I3406">
        <v>2</v>
      </c>
      <c r="J3406">
        <v>1</v>
      </c>
      <c r="K3406">
        <v>0</v>
      </c>
      <c r="L3406" s="61" t="s">
        <v>4779</v>
      </c>
    </row>
    <row r="3407" spans="6:12">
      <c r="F3407" t="s">
        <v>15852</v>
      </c>
      <c r="G3407" t="s">
        <v>15853</v>
      </c>
      <c r="H3407">
        <v>6</v>
      </c>
      <c r="I3407">
        <v>2</v>
      </c>
      <c r="J3407">
        <v>0</v>
      </c>
      <c r="K3407">
        <v>0</v>
      </c>
      <c r="L3407" s="61" t="s">
        <v>4779</v>
      </c>
    </row>
    <row r="3408" spans="6:12">
      <c r="F3408" t="s">
        <v>15854</v>
      </c>
      <c r="G3408" t="s">
        <v>10182</v>
      </c>
      <c r="H3408">
        <v>4</v>
      </c>
      <c r="I3408">
        <v>2</v>
      </c>
      <c r="J3408">
        <v>2</v>
      </c>
      <c r="K3408">
        <v>0</v>
      </c>
      <c r="L3408" s="61" t="s">
        <v>4779</v>
      </c>
    </row>
    <row r="3409" spans="6:12">
      <c r="F3409" t="s">
        <v>15855</v>
      </c>
      <c r="G3409" t="s">
        <v>15856</v>
      </c>
      <c r="H3409">
        <v>5</v>
      </c>
      <c r="I3409">
        <v>1</v>
      </c>
      <c r="J3409">
        <v>2</v>
      </c>
      <c r="K3409">
        <v>0</v>
      </c>
      <c r="L3409" s="61" t="s">
        <v>4809</v>
      </c>
    </row>
    <row r="3410" spans="6:12">
      <c r="F3410" t="s">
        <v>15857</v>
      </c>
      <c r="G3410" t="s">
        <v>15858</v>
      </c>
      <c r="H3410">
        <v>5</v>
      </c>
      <c r="I3410">
        <v>3</v>
      </c>
      <c r="J3410">
        <v>0</v>
      </c>
      <c r="K3410">
        <v>0</v>
      </c>
      <c r="L3410" s="61" t="s">
        <v>4806</v>
      </c>
    </row>
    <row r="3411" spans="6:12">
      <c r="F3411" t="s">
        <v>15859</v>
      </c>
      <c r="G3411" t="s">
        <v>15860</v>
      </c>
      <c r="H3411">
        <v>4</v>
      </c>
      <c r="I3411">
        <v>2</v>
      </c>
      <c r="J3411">
        <v>2</v>
      </c>
      <c r="K3411">
        <v>0</v>
      </c>
      <c r="L3411" s="61" t="s">
        <v>4779</v>
      </c>
    </row>
    <row r="3412" spans="6:12">
      <c r="F3412" t="s">
        <v>15861</v>
      </c>
      <c r="G3412" t="s">
        <v>15862</v>
      </c>
      <c r="H3412">
        <v>3</v>
      </c>
      <c r="I3412">
        <v>3</v>
      </c>
      <c r="J3412">
        <v>2</v>
      </c>
      <c r="K3412">
        <v>0</v>
      </c>
      <c r="L3412" s="61" t="s">
        <v>4779</v>
      </c>
    </row>
    <row r="3413" spans="6:12">
      <c r="F3413" t="s">
        <v>15863</v>
      </c>
      <c r="G3413" t="s">
        <v>15864</v>
      </c>
      <c r="H3413">
        <v>4</v>
      </c>
      <c r="I3413">
        <v>4</v>
      </c>
      <c r="J3413">
        <v>0</v>
      </c>
      <c r="K3413">
        <v>0</v>
      </c>
      <c r="L3413" s="61" t="s">
        <v>4779</v>
      </c>
    </row>
    <row r="3414" spans="6:12">
      <c r="F3414" t="s">
        <v>15865</v>
      </c>
      <c r="G3414" t="s">
        <v>15866</v>
      </c>
      <c r="H3414">
        <v>4</v>
      </c>
      <c r="I3414">
        <v>3</v>
      </c>
      <c r="J3414">
        <v>1</v>
      </c>
      <c r="K3414">
        <v>0</v>
      </c>
      <c r="L3414" s="61" t="s">
        <v>4779</v>
      </c>
    </row>
    <row r="3415" spans="6:12">
      <c r="F3415" t="s">
        <v>15867</v>
      </c>
      <c r="G3415" t="s">
        <v>15868</v>
      </c>
      <c r="H3415">
        <v>4</v>
      </c>
      <c r="I3415">
        <v>2</v>
      </c>
      <c r="J3415">
        <v>2</v>
      </c>
      <c r="K3415">
        <v>0</v>
      </c>
      <c r="L3415" s="61" t="s">
        <v>4779</v>
      </c>
    </row>
    <row r="3416" spans="6:12">
      <c r="F3416" t="s">
        <v>15869</v>
      </c>
      <c r="G3416" t="s">
        <v>15870</v>
      </c>
      <c r="H3416">
        <v>5</v>
      </c>
      <c r="I3416">
        <v>1</v>
      </c>
      <c r="J3416">
        <v>2</v>
      </c>
      <c r="K3416">
        <v>0</v>
      </c>
      <c r="L3416" s="61" t="s">
        <v>4779</v>
      </c>
    </row>
    <row r="3417" spans="6:12">
      <c r="F3417" t="s">
        <v>15871</v>
      </c>
      <c r="G3417" t="s">
        <v>15872</v>
      </c>
      <c r="H3417">
        <v>6</v>
      </c>
      <c r="I3417">
        <v>2</v>
      </c>
      <c r="J3417">
        <v>0</v>
      </c>
      <c r="K3417">
        <v>0</v>
      </c>
      <c r="L3417" s="61" t="s">
        <v>4779</v>
      </c>
    </row>
    <row r="3418" spans="6:12">
      <c r="F3418" t="s">
        <v>15873</v>
      </c>
      <c r="G3418" t="s">
        <v>15874</v>
      </c>
      <c r="H3418">
        <v>4</v>
      </c>
      <c r="I3418">
        <v>3</v>
      </c>
      <c r="J3418">
        <v>0</v>
      </c>
      <c r="K3418">
        <v>1</v>
      </c>
      <c r="L3418" s="61" t="s">
        <v>4779</v>
      </c>
    </row>
    <row r="3419" spans="6:12">
      <c r="F3419" t="s">
        <v>15875</v>
      </c>
      <c r="G3419" t="s">
        <v>5931</v>
      </c>
      <c r="H3419">
        <v>5</v>
      </c>
      <c r="I3419">
        <v>1</v>
      </c>
      <c r="J3419">
        <v>2</v>
      </c>
      <c r="K3419">
        <v>0</v>
      </c>
      <c r="L3419" s="61" t="s">
        <v>4779</v>
      </c>
    </row>
    <row r="3420" spans="6:12">
      <c r="F3420" t="s">
        <v>15876</v>
      </c>
      <c r="G3420" t="s">
        <v>15877</v>
      </c>
      <c r="H3420">
        <v>3</v>
      </c>
      <c r="I3420">
        <v>3</v>
      </c>
      <c r="J3420">
        <v>2</v>
      </c>
      <c r="K3420">
        <v>0</v>
      </c>
      <c r="L3420" s="61" t="s">
        <v>4779</v>
      </c>
    </row>
    <row r="3421" spans="6:12">
      <c r="F3421" t="s">
        <v>15878</v>
      </c>
      <c r="G3421" t="s">
        <v>15879</v>
      </c>
      <c r="H3421">
        <v>6</v>
      </c>
      <c r="I3421">
        <v>1</v>
      </c>
      <c r="J3421">
        <v>1</v>
      </c>
      <c r="K3421">
        <v>0</v>
      </c>
      <c r="L3421" s="61" t="s">
        <v>4779</v>
      </c>
    </row>
    <row r="3422" spans="6:12">
      <c r="F3422" t="s">
        <v>15880</v>
      </c>
      <c r="G3422" t="s">
        <v>15881</v>
      </c>
      <c r="H3422">
        <v>3</v>
      </c>
      <c r="I3422">
        <v>3</v>
      </c>
      <c r="J3422">
        <v>2</v>
      </c>
      <c r="K3422">
        <v>0</v>
      </c>
      <c r="L3422" s="61" t="s">
        <v>4779</v>
      </c>
    </row>
    <row r="3423" spans="6:12">
      <c r="F3423" t="s">
        <v>15882</v>
      </c>
      <c r="G3423" t="s">
        <v>15883</v>
      </c>
      <c r="H3423">
        <v>3</v>
      </c>
      <c r="I3423">
        <v>2</v>
      </c>
      <c r="J3423">
        <v>2</v>
      </c>
      <c r="K3423">
        <v>1</v>
      </c>
      <c r="L3423" s="61" t="s">
        <v>4779</v>
      </c>
    </row>
    <row r="3424" spans="6:12">
      <c r="F3424" t="s">
        <v>15884</v>
      </c>
      <c r="G3424" t="s">
        <v>15885</v>
      </c>
      <c r="H3424">
        <v>5</v>
      </c>
      <c r="I3424">
        <v>2</v>
      </c>
      <c r="J3424">
        <v>1</v>
      </c>
      <c r="K3424">
        <v>0</v>
      </c>
      <c r="L3424" s="61" t="s">
        <v>4779</v>
      </c>
    </row>
    <row r="3425" spans="6:12">
      <c r="F3425" t="s">
        <v>15886</v>
      </c>
      <c r="G3425" t="s">
        <v>15887</v>
      </c>
      <c r="H3425">
        <v>5</v>
      </c>
      <c r="I3425">
        <v>3</v>
      </c>
      <c r="J3425">
        <v>0</v>
      </c>
      <c r="K3425">
        <v>0</v>
      </c>
      <c r="L3425" s="61" t="s">
        <v>4809</v>
      </c>
    </row>
    <row r="3426" spans="6:12">
      <c r="F3426" t="s">
        <v>15888</v>
      </c>
      <c r="G3426" t="s">
        <v>15889</v>
      </c>
      <c r="H3426">
        <v>7</v>
      </c>
      <c r="I3426">
        <v>1</v>
      </c>
      <c r="J3426">
        <v>0</v>
      </c>
      <c r="K3426">
        <v>0</v>
      </c>
      <c r="L3426" s="61" t="s">
        <v>4779</v>
      </c>
    </row>
    <row r="3427" spans="6:12">
      <c r="F3427" t="s">
        <v>15890</v>
      </c>
      <c r="G3427" t="s">
        <v>15891</v>
      </c>
      <c r="H3427">
        <v>5</v>
      </c>
      <c r="I3427">
        <v>1</v>
      </c>
      <c r="J3427">
        <v>2</v>
      </c>
      <c r="K3427">
        <v>0</v>
      </c>
      <c r="L3427" s="61" t="s">
        <v>4779</v>
      </c>
    </row>
    <row r="3428" spans="6:12">
      <c r="F3428" t="s">
        <v>15892</v>
      </c>
      <c r="G3428" t="s">
        <v>15893</v>
      </c>
      <c r="H3428">
        <v>2</v>
      </c>
      <c r="I3428">
        <v>4</v>
      </c>
      <c r="J3428">
        <v>2</v>
      </c>
      <c r="K3428">
        <v>0</v>
      </c>
      <c r="L3428" s="61" t="s">
        <v>4779</v>
      </c>
    </row>
    <row r="3429" spans="6:12">
      <c r="F3429" t="s">
        <v>15894</v>
      </c>
      <c r="G3429" t="s">
        <v>15895</v>
      </c>
      <c r="H3429">
        <v>2</v>
      </c>
      <c r="I3429">
        <v>4</v>
      </c>
      <c r="J3429">
        <v>2</v>
      </c>
      <c r="K3429">
        <v>0</v>
      </c>
      <c r="L3429" s="61" t="s">
        <v>4779</v>
      </c>
    </row>
    <row r="3430" spans="6:12">
      <c r="F3430" t="s">
        <v>15896</v>
      </c>
      <c r="G3430" t="s">
        <v>15897</v>
      </c>
      <c r="H3430">
        <v>6</v>
      </c>
      <c r="I3430">
        <v>1</v>
      </c>
      <c r="J3430">
        <v>1</v>
      </c>
      <c r="K3430">
        <v>0</v>
      </c>
      <c r="L3430" s="61" t="s">
        <v>4807</v>
      </c>
    </row>
    <row r="3431" spans="6:12">
      <c r="F3431" t="s">
        <v>15898</v>
      </c>
      <c r="G3431" t="s">
        <v>15899</v>
      </c>
      <c r="H3431">
        <v>4</v>
      </c>
      <c r="I3431">
        <v>3</v>
      </c>
      <c r="J3431">
        <v>1</v>
      </c>
      <c r="K3431">
        <v>0</v>
      </c>
      <c r="L3431" s="61" t="s">
        <v>4810</v>
      </c>
    </row>
    <row r="3432" spans="6:12">
      <c r="F3432" t="s">
        <v>15900</v>
      </c>
      <c r="G3432" t="s">
        <v>15901</v>
      </c>
      <c r="H3432">
        <v>4</v>
      </c>
      <c r="I3432">
        <v>2</v>
      </c>
      <c r="J3432">
        <v>2</v>
      </c>
      <c r="K3432">
        <v>0</v>
      </c>
      <c r="L3432" s="61" t="s">
        <v>4779</v>
      </c>
    </row>
    <row r="3433" spans="6:12">
      <c r="F3433" t="s">
        <v>15902</v>
      </c>
      <c r="G3433" t="s">
        <v>11010</v>
      </c>
      <c r="H3433">
        <v>5</v>
      </c>
      <c r="I3433">
        <v>1</v>
      </c>
      <c r="J3433">
        <v>2</v>
      </c>
      <c r="K3433">
        <v>0</v>
      </c>
      <c r="L3433" s="61" t="s">
        <v>4779</v>
      </c>
    </row>
    <row r="3434" spans="6:12">
      <c r="F3434" t="s">
        <v>15903</v>
      </c>
      <c r="G3434" t="s">
        <v>5718</v>
      </c>
      <c r="H3434">
        <v>3</v>
      </c>
      <c r="I3434">
        <v>3</v>
      </c>
      <c r="J3434">
        <v>2</v>
      </c>
      <c r="K3434">
        <v>0</v>
      </c>
      <c r="L3434" s="61" t="s">
        <v>4779</v>
      </c>
    </row>
    <row r="3435" spans="6:12">
      <c r="F3435" t="s">
        <v>15904</v>
      </c>
      <c r="G3435" t="s">
        <v>15905</v>
      </c>
      <c r="H3435">
        <v>3</v>
      </c>
      <c r="I3435">
        <v>4</v>
      </c>
      <c r="J3435">
        <v>1</v>
      </c>
      <c r="K3435">
        <v>0</v>
      </c>
      <c r="L3435" s="61" t="s">
        <v>4779</v>
      </c>
    </row>
    <row r="3436" spans="6:12">
      <c r="F3436" t="s">
        <v>15906</v>
      </c>
      <c r="G3436" t="s">
        <v>15907</v>
      </c>
      <c r="H3436">
        <v>6</v>
      </c>
      <c r="I3436">
        <v>1</v>
      </c>
      <c r="J3436">
        <v>1</v>
      </c>
      <c r="K3436">
        <v>0</v>
      </c>
      <c r="L3436" s="61" t="s">
        <v>4779</v>
      </c>
    </row>
    <row r="3437" spans="6:12">
      <c r="F3437" t="s">
        <v>15908</v>
      </c>
      <c r="G3437" t="s">
        <v>15909</v>
      </c>
      <c r="H3437">
        <v>3</v>
      </c>
      <c r="I3437">
        <v>3</v>
      </c>
      <c r="J3437">
        <v>2</v>
      </c>
      <c r="K3437">
        <v>0</v>
      </c>
      <c r="L3437" s="61" t="s">
        <v>4809</v>
      </c>
    </row>
    <row r="3438" spans="6:12">
      <c r="F3438" t="s">
        <v>15910</v>
      </c>
      <c r="G3438" t="s">
        <v>11017</v>
      </c>
      <c r="H3438">
        <v>5</v>
      </c>
      <c r="I3438">
        <v>1</v>
      </c>
      <c r="J3438">
        <v>2</v>
      </c>
      <c r="K3438">
        <v>0</v>
      </c>
      <c r="L3438" s="61" t="s">
        <v>4779</v>
      </c>
    </row>
    <row r="3439" spans="6:12">
      <c r="F3439" t="s">
        <v>15911</v>
      </c>
      <c r="G3439" t="s">
        <v>15912</v>
      </c>
      <c r="H3439">
        <v>4</v>
      </c>
      <c r="I3439">
        <v>4</v>
      </c>
      <c r="J3439">
        <v>0</v>
      </c>
      <c r="K3439">
        <v>0</v>
      </c>
      <c r="L3439" s="61" t="s">
        <v>4779</v>
      </c>
    </row>
    <row r="3440" spans="6:12">
      <c r="F3440" t="s">
        <v>15913</v>
      </c>
      <c r="G3440" t="s">
        <v>15914</v>
      </c>
      <c r="H3440">
        <v>3</v>
      </c>
      <c r="I3440">
        <v>4</v>
      </c>
      <c r="J3440">
        <v>1</v>
      </c>
      <c r="K3440">
        <v>0</v>
      </c>
      <c r="L3440" s="61" t="s">
        <v>4779</v>
      </c>
    </row>
    <row r="3441" spans="6:12">
      <c r="F3441" t="s">
        <v>15915</v>
      </c>
      <c r="G3441" t="s">
        <v>15916</v>
      </c>
      <c r="H3441">
        <v>3</v>
      </c>
      <c r="I3441">
        <v>4</v>
      </c>
      <c r="J3441">
        <v>1</v>
      </c>
      <c r="K3441">
        <v>0</v>
      </c>
      <c r="L3441" s="61" t="s">
        <v>4779</v>
      </c>
    </row>
    <row r="3442" spans="6:12">
      <c r="F3442" t="s">
        <v>15917</v>
      </c>
      <c r="G3442" t="s">
        <v>5397</v>
      </c>
      <c r="H3442">
        <v>3</v>
      </c>
      <c r="I3442">
        <v>3</v>
      </c>
      <c r="J3442">
        <v>2</v>
      </c>
      <c r="K3442">
        <v>0</v>
      </c>
      <c r="L3442" s="61" t="s">
        <v>4810</v>
      </c>
    </row>
    <row r="3443" spans="6:12">
      <c r="F3443" t="s">
        <v>15918</v>
      </c>
      <c r="G3443" t="s">
        <v>15919</v>
      </c>
      <c r="H3443">
        <v>3</v>
      </c>
      <c r="I3443">
        <v>3</v>
      </c>
      <c r="J3443">
        <v>2</v>
      </c>
      <c r="K3443">
        <v>0</v>
      </c>
      <c r="L3443" s="61" t="s">
        <v>4779</v>
      </c>
    </row>
    <row r="3444" spans="6:12">
      <c r="F3444" t="s">
        <v>15920</v>
      </c>
      <c r="G3444" t="s">
        <v>15921</v>
      </c>
      <c r="H3444">
        <v>4</v>
      </c>
      <c r="I3444">
        <v>4</v>
      </c>
      <c r="J3444">
        <v>0</v>
      </c>
      <c r="K3444">
        <v>0</v>
      </c>
      <c r="L3444" s="61" t="s">
        <v>4779</v>
      </c>
    </row>
    <row r="3445" spans="6:12">
      <c r="F3445" t="s">
        <v>15922</v>
      </c>
      <c r="G3445" t="s">
        <v>15923</v>
      </c>
      <c r="H3445">
        <v>4</v>
      </c>
      <c r="I3445">
        <v>3</v>
      </c>
      <c r="J3445">
        <v>1</v>
      </c>
      <c r="K3445">
        <v>0</v>
      </c>
      <c r="L3445" s="61" t="s">
        <v>4779</v>
      </c>
    </row>
    <row r="3446" spans="6:12">
      <c r="F3446" t="s">
        <v>15924</v>
      </c>
      <c r="G3446" t="s">
        <v>5682</v>
      </c>
      <c r="H3446">
        <v>3</v>
      </c>
      <c r="I3446">
        <v>4</v>
      </c>
      <c r="J3446">
        <v>1</v>
      </c>
      <c r="K3446">
        <v>0</v>
      </c>
      <c r="L3446" s="61" t="s">
        <v>4779</v>
      </c>
    </row>
    <row r="3447" spans="6:12">
      <c r="F3447" t="s">
        <v>15925</v>
      </c>
      <c r="G3447" t="s">
        <v>15926</v>
      </c>
      <c r="H3447">
        <v>3</v>
      </c>
      <c r="I3447">
        <v>4</v>
      </c>
      <c r="J3447">
        <v>1</v>
      </c>
      <c r="K3447">
        <v>0</v>
      </c>
      <c r="L3447" s="61" t="s">
        <v>4779</v>
      </c>
    </row>
    <row r="3448" spans="6:12">
      <c r="F3448" t="s">
        <v>15927</v>
      </c>
      <c r="G3448" t="s">
        <v>15928</v>
      </c>
      <c r="H3448">
        <v>4</v>
      </c>
      <c r="I3448">
        <v>2</v>
      </c>
      <c r="J3448">
        <v>2</v>
      </c>
      <c r="K3448">
        <v>0</v>
      </c>
      <c r="L3448" s="61" t="s">
        <v>4779</v>
      </c>
    </row>
    <row r="3449" spans="6:12">
      <c r="F3449" t="s">
        <v>15929</v>
      </c>
      <c r="G3449" t="s">
        <v>10825</v>
      </c>
      <c r="H3449">
        <v>2</v>
      </c>
      <c r="I3449">
        <v>4</v>
      </c>
      <c r="J3449">
        <v>2</v>
      </c>
      <c r="K3449">
        <v>0</v>
      </c>
      <c r="L3449" s="61" t="s">
        <v>4779</v>
      </c>
    </row>
    <row r="3450" spans="6:12">
      <c r="F3450" t="s">
        <v>15930</v>
      </c>
      <c r="G3450" t="s">
        <v>15931</v>
      </c>
      <c r="H3450">
        <v>3</v>
      </c>
      <c r="I3450">
        <v>4</v>
      </c>
      <c r="J3450">
        <v>1</v>
      </c>
      <c r="K3450">
        <v>0</v>
      </c>
      <c r="L3450" s="61" t="s">
        <v>4779</v>
      </c>
    </row>
    <row r="3451" spans="6:12">
      <c r="F3451" t="s">
        <v>15932</v>
      </c>
      <c r="G3451" t="s">
        <v>15933</v>
      </c>
      <c r="H3451">
        <v>5</v>
      </c>
      <c r="I3451">
        <v>3</v>
      </c>
      <c r="J3451">
        <v>0</v>
      </c>
      <c r="K3451">
        <v>0</v>
      </c>
      <c r="L3451" s="61" t="s">
        <v>4779</v>
      </c>
    </row>
    <row r="3452" spans="6:12">
      <c r="F3452" t="s">
        <v>15934</v>
      </c>
      <c r="G3452" t="s">
        <v>15935</v>
      </c>
      <c r="H3452">
        <v>3</v>
      </c>
      <c r="I3452">
        <v>2</v>
      </c>
      <c r="J3452">
        <v>3</v>
      </c>
      <c r="K3452">
        <v>0</v>
      </c>
      <c r="L3452" s="61" t="s">
        <v>4779</v>
      </c>
    </row>
    <row r="3453" spans="6:12">
      <c r="F3453" t="s">
        <v>15936</v>
      </c>
      <c r="G3453" t="s">
        <v>15937</v>
      </c>
      <c r="H3453">
        <v>3</v>
      </c>
      <c r="I3453">
        <v>4</v>
      </c>
      <c r="J3453">
        <v>1</v>
      </c>
      <c r="K3453">
        <v>0</v>
      </c>
      <c r="L3453" s="61" t="s">
        <v>4779</v>
      </c>
    </row>
    <row r="3454" spans="6:12">
      <c r="F3454" t="s">
        <v>15938</v>
      </c>
      <c r="G3454" t="s">
        <v>15939</v>
      </c>
      <c r="H3454">
        <v>2</v>
      </c>
      <c r="I3454">
        <v>4</v>
      </c>
      <c r="J3454">
        <v>2</v>
      </c>
      <c r="K3454">
        <v>0</v>
      </c>
      <c r="L3454" s="61" t="s">
        <v>4779</v>
      </c>
    </row>
    <row r="3455" spans="6:12">
      <c r="F3455" t="s">
        <v>15940</v>
      </c>
      <c r="G3455" t="s">
        <v>15941</v>
      </c>
      <c r="H3455">
        <v>5</v>
      </c>
      <c r="I3455">
        <v>3</v>
      </c>
      <c r="J3455">
        <v>0</v>
      </c>
      <c r="K3455">
        <v>0</v>
      </c>
      <c r="L3455" s="61" t="s">
        <v>4779</v>
      </c>
    </row>
    <row r="3456" spans="6:12">
      <c r="F3456" t="s">
        <v>15942</v>
      </c>
      <c r="G3456" t="s">
        <v>15943</v>
      </c>
      <c r="H3456">
        <v>4</v>
      </c>
      <c r="I3456">
        <v>1</v>
      </c>
      <c r="J3456">
        <v>3</v>
      </c>
      <c r="K3456">
        <v>0</v>
      </c>
      <c r="L3456" s="61" t="s">
        <v>4779</v>
      </c>
    </row>
    <row r="3457" spans="6:12">
      <c r="F3457" t="s">
        <v>15944</v>
      </c>
      <c r="G3457" t="s">
        <v>15945</v>
      </c>
      <c r="H3457">
        <v>4</v>
      </c>
      <c r="I3457">
        <v>3</v>
      </c>
      <c r="J3457">
        <v>1</v>
      </c>
      <c r="K3457">
        <v>0</v>
      </c>
      <c r="L3457" s="61" t="s">
        <v>4779</v>
      </c>
    </row>
    <row r="3458" spans="6:12">
      <c r="F3458" t="s">
        <v>15946</v>
      </c>
      <c r="G3458" t="s">
        <v>15947</v>
      </c>
      <c r="H3458">
        <v>5</v>
      </c>
      <c r="I3458">
        <v>1</v>
      </c>
      <c r="J3458">
        <v>2</v>
      </c>
      <c r="K3458">
        <v>0</v>
      </c>
      <c r="L3458" s="61" t="s">
        <v>4779</v>
      </c>
    </row>
    <row r="3459" spans="6:12">
      <c r="F3459" t="s">
        <v>15948</v>
      </c>
      <c r="G3459" t="s">
        <v>15949</v>
      </c>
      <c r="H3459">
        <v>4</v>
      </c>
      <c r="I3459">
        <v>4</v>
      </c>
      <c r="J3459">
        <v>0</v>
      </c>
      <c r="K3459">
        <v>0</v>
      </c>
      <c r="L3459" s="61" t="s">
        <v>4779</v>
      </c>
    </row>
    <row r="3460" spans="6:12">
      <c r="F3460" t="s">
        <v>15950</v>
      </c>
      <c r="G3460" t="s">
        <v>15951</v>
      </c>
      <c r="H3460">
        <v>2</v>
      </c>
      <c r="I3460">
        <v>4</v>
      </c>
      <c r="J3460">
        <v>1</v>
      </c>
      <c r="K3460">
        <v>1</v>
      </c>
      <c r="L3460" s="61" t="s">
        <v>4779</v>
      </c>
    </row>
    <row r="3461" spans="6:12">
      <c r="F3461" t="s">
        <v>15952</v>
      </c>
      <c r="G3461" t="s">
        <v>15953</v>
      </c>
      <c r="H3461">
        <v>4</v>
      </c>
      <c r="I3461">
        <v>1</v>
      </c>
      <c r="J3461">
        <v>2</v>
      </c>
      <c r="K3461">
        <v>1</v>
      </c>
      <c r="L3461" s="61" t="s">
        <v>4779</v>
      </c>
    </row>
    <row r="3462" spans="6:12">
      <c r="F3462" t="s">
        <v>15954</v>
      </c>
      <c r="G3462" t="s">
        <v>15955</v>
      </c>
      <c r="H3462">
        <v>4</v>
      </c>
      <c r="I3462">
        <v>3</v>
      </c>
      <c r="J3462">
        <v>1</v>
      </c>
      <c r="K3462">
        <v>0</v>
      </c>
      <c r="L3462" s="61" t="s">
        <v>4779</v>
      </c>
    </row>
    <row r="3463" spans="6:12">
      <c r="F3463" t="s">
        <v>15956</v>
      </c>
      <c r="G3463" t="s">
        <v>15957</v>
      </c>
      <c r="H3463">
        <v>6</v>
      </c>
      <c r="I3463">
        <v>1</v>
      </c>
      <c r="J3463">
        <v>0</v>
      </c>
      <c r="K3463">
        <v>1</v>
      </c>
      <c r="L3463" s="61" t="s">
        <v>4810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2</vt:i4>
      </vt:variant>
    </vt:vector>
  </HeadingPairs>
  <TitlesOfParts>
    <vt:vector size="11" baseType="lpstr">
      <vt:lpstr>更新</vt:lpstr>
      <vt:lpstr>Arenas</vt:lpstr>
      <vt:lpstr>monster</vt:lpstr>
      <vt:lpstr>导出CSV</vt:lpstr>
      <vt:lpstr>RobotName</vt:lpstr>
      <vt:lpstr>ArenasRobot</vt:lpstr>
      <vt:lpstr>Sheet1</vt:lpstr>
      <vt:lpstr>引用</vt:lpstr>
      <vt:lpstr>机器人统计</vt:lpstr>
      <vt:lpstr>卡牌ID</vt:lpstr>
      <vt:lpstr>威力人数</vt:lpstr>
    </vt:vector>
  </TitlesOfParts>
  <Company>110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XG</dc:creator>
  <cp:lastModifiedBy>ZL</cp:lastModifiedBy>
  <dcterms:created xsi:type="dcterms:W3CDTF">2014-10-10T14:12:00Z</dcterms:created>
  <dcterms:modified xsi:type="dcterms:W3CDTF">2016-11-07T08:12:33Z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2052-9.1.0.5041</vt:lpwstr>
  </property>
</Properties>
</file>